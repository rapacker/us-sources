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LIHEAP\West Virginia\"/>
    </mc:Choice>
  </mc:AlternateContent>
  <xr:revisionPtr revIDLastSave="0" documentId="13_ncr:1_{9F1326B3-6896-4FDA-A201-760CEC9FEE77}" xr6:coauthVersionLast="47" xr6:coauthVersionMax="47" xr10:uidLastSave="{00000000-0000-0000-0000-000000000000}"/>
  <bookViews>
    <workbookView xWindow="8070" yWindow="110" windowWidth="11000" windowHeight="9590" xr2:uid="{FE81BDB0-F94B-4999-B79D-58D73CAE621A}"/>
  </bookViews>
  <sheets>
    <sheet name="Sheet1" sheetId="1" r:id="rId1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 s="1"/>
  <c r="C6" i="1"/>
  <c r="C7" i="1"/>
  <c r="C9" i="1" s="1"/>
  <c r="C8" i="1"/>
  <c r="C4" i="1"/>
  <c r="C5" i="1" s="1"/>
  <c r="C3" i="1"/>
  <c r="C20" i="1" l="1"/>
  <c r="C21" i="1" s="1"/>
  <c r="C10" i="1"/>
  <c r="C22" i="1" l="1"/>
  <c r="C23" i="1" s="1"/>
  <c r="C11" i="1"/>
  <c r="C12" i="1" l="1"/>
  <c r="C13" i="1" l="1"/>
  <c r="C14" i="1"/>
  <c r="C15" i="1" s="1"/>
  <c r="C16" i="1" s="1"/>
</calcChain>
</file>

<file path=xl/sharedStrings.xml><?xml version="1.0" encoding="utf-8"?>
<sst xmlns="http://schemas.openxmlformats.org/spreadsheetml/2006/main" count="24" uniqueCount="24">
  <si>
    <r>
      <t>1</t>
    </r>
    <r>
      <rPr>
        <sz val="8"/>
        <color indexed="8"/>
        <rFont val="Arial"/>
        <family val="1"/>
        <charset val="204"/>
      </rPr>
      <t xml:space="preserve">
$400</t>
    </r>
  </si>
  <si>
    <r>
      <t>2</t>
    </r>
    <r>
      <rPr>
        <sz val="8"/>
        <color indexed="8"/>
        <rFont val="Arial"/>
        <family val="1"/>
        <charset val="204"/>
      </rPr>
      <t xml:space="preserve">
$405</t>
    </r>
  </si>
  <si>
    <r>
      <t>3</t>
    </r>
    <r>
      <rPr>
        <sz val="8"/>
        <color indexed="8"/>
        <rFont val="Arial"/>
        <family val="1"/>
        <charset val="204"/>
      </rPr>
      <t xml:space="preserve">
$410</t>
    </r>
  </si>
  <si>
    <r>
      <t>4</t>
    </r>
    <r>
      <rPr>
        <sz val="8"/>
        <color indexed="8"/>
        <rFont val="Arial"/>
        <family val="1"/>
        <charset val="204"/>
      </rPr>
      <t xml:space="preserve">
$415</t>
    </r>
  </si>
  <si>
    <r>
      <t>5</t>
    </r>
    <r>
      <rPr>
        <sz val="8"/>
        <color indexed="8"/>
        <rFont val="Arial"/>
        <family val="1"/>
        <charset val="204"/>
      </rPr>
      <t xml:space="preserve">
$420</t>
    </r>
  </si>
  <si>
    <r>
      <t>6</t>
    </r>
    <r>
      <rPr>
        <sz val="8"/>
        <color indexed="8"/>
        <rFont val="Arial"/>
        <family val="1"/>
        <charset val="204"/>
      </rPr>
      <t xml:space="preserve">
$425</t>
    </r>
  </si>
  <si>
    <r>
      <t>7</t>
    </r>
    <r>
      <rPr>
        <sz val="8"/>
        <color indexed="8"/>
        <rFont val="Arial"/>
        <family val="1"/>
        <charset val="204"/>
      </rPr>
      <t xml:space="preserve">
$430</t>
    </r>
  </si>
  <si>
    <r>
      <t>8</t>
    </r>
    <r>
      <rPr>
        <sz val="8"/>
        <color indexed="8"/>
        <rFont val="Arial"/>
        <family val="1"/>
        <charset val="204"/>
      </rPr>
      <t xml:space="preserve">
$435</t>
    </r>
  </si>
  <si>
    <r>
      <t>9</t>
    </r>
    <r>
      <rPr>
        <sz val="8"/>
        <color indexed="8"/>
        <rFont val="Arial"/>
        <family val="1"/>
        <charset val="204"/>
      </rPr>
      <t xml:space="preserve">
$440</t>
    </r>
  </si>
  <si>
    <r>
      <t>10</t>
    </r>
    <r>
      <rPr>
        <sz val="8"/>
        <color indexed="8"/>
        <rFont val="Arial"/>
        <family val="1"/>
        <charset val="204"/>
      </rPr>
      <t xml:space="preserve">
$445</t>
    </r>
  </si>
  <si>
    <r>
      <t>11</t>
    </r>
    <r>
      <rPr>
        <sz val="8"/>
        <color indexed="8"/>
        <rFont val="Arial"/>
        <family val="1"/>
        <charset val="204"/>
      </rPr>
      <t xml:space="preserve">
$450</t>
    </r>
  </si>
  <si>
    <r>
      <t>12</t>
    </r>
    <r>
      <rPr>
        <sz val="8"/>
        <color indexed="8"/>
        <rFont val="Arial"/>
        <family val="1"/>
        <charset val="204"/>
      </rPr>
      <t xml:space="preserve">
$455</t>
    </r>
  </si>
  <si>
    <r>
      <t>13</t>
    </r>
    <r>
      <rPr>
        <sz val="8"/>
        <color indexed="8"/>
        <rFont val="Arial"/>
        <family val="1"/>
        <charset val="204"/>
      </rPr>
      <t xml:space="preserve">
$460</t>
    </r>
  </si>
  <si>
    <r>
      <t>14</t>
    </r>
    <r>
      <rPr>
        <sz val="8"/>
        <color indexed="8"/>
        <rFont val="Arial"/>
        <family val="1"/>
        <charset val="204"/>
      </rPr>
      <t xml:space="preserve">
$465</t>
    </r>
  </si>
  <si>
    <r>
      <t>15</t>
    </r>
    <r>
      <rPr>
        <sz val="8"/>
        <color indexed="8"/>
        <rFont val="Arial"/>
        <family val="1"/>
        <charset val="204"/>
      </rPr>
      <t xml:space="preserve">
$470</t>
    </r>
  </si>
  <si>
    <r>
      <t>16</t>
    </r>
    <r>
      <rPr>
        <sz val="8"/>
        <color indexed="8"/>
        <rFont val="Arial"/>
        <family val="1"/>
        <charset val="204"/>
      </rPr>
      <t xml:space="preserve">
$475</t>
    </r>
  </si>
  <si>
    <r>
      <t>17</t>
    </r>
    <r>
      <rPr>
        <sz val="8"/>
        <color indexed="8"/>
        <rFont val="Arial"/>
        <family val="1"/>
        <charset val="204"/>
      </rPr>
      <t xml:space="preserve">
$480</t>
    </r>
  </si>
  <si>
    <r>
      <t>18</t>
    </r>
    <r>
      <rPr>
        <sz val="8"/>
        <color indexed="8"/>
        <rFont val="Arial"/>
        <family val="1"/>
        <charset val="204"/>
      </rPr>
      <t xml:space="preserve">
$485</t>
    </r>
  </si>
  <si>
    <r>
      <t>19</t>
    </r>
    <r>
      <rPr>
        <sz val="8"/>
        <color indexed="8"/>
        <rFont val="Arial"/>
        <family val="1"/>
        <charset val="204"/>
      </rPr>
      <t xml:space="preserve">
$490</t>
    </r>
  </si>
  <si>
    <r>
      <t>20</t>
    </r>
    <r>
      <rPr>
        <sz val="8"/>
        <color indexed="8"/>
        <rFont val="Arial"/>
        <family val="1"/>
        <charset val="204"/>
      </rPr>
      <t xml:space="preserve">
$495</t>
    </r>
  </si>
  <si>
    <t>Gross Monthly Income 60% SMI</t>
  </si>
  <si>
    <t>From</t>
  </si>
  <si>
    <t>To</t>
  </si>
  <si>
    <t>Number in Benefit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</si>
</sst>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8" formatCode="&quot;$&quot;#,##0"/>
    <numFmt numFmtId="169" formatCode="&quot;$&quot;0"/>
  </numFmts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1"/>
      <charset val="204"/>
    </font>
    <font>
      <sz val="8"/>
      <color indexed="9"/>
      <name val="Arial"/>
      <family val="1"/>
      <charset val="204"/>
    </font>
    <font>
      <sz val="10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EB1D5"/>
        <bgColor indexed="64"/>
      </patternFill>
    </fill>
    <fill>
      <patternFill patternType="solid">
        <fgColor rgb="FF1B376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2" xfId="0" applyFont="1" applyFill="1" applyBorder="1" applyAlignment="1">
      <alignment horizontal="left" vertical="top" wrapText="1" indent="3"/>
    </xf>
    <xf numFmtId="0" fontId="3" fillId="2" borderId="3" xfId="0" applyFont="1" applyFill="1" applyBorder="1" applyAlignment="1">
      <alignment horizontal="left" vertical="top" wrapText="1" indent="3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169" fontId="3" fillId="0" borderId="6" xfId="0" applyNumberFormat="1" applyFont="1" applyBorder="1" applyAlignment="1">
      <alignment horizontal="center" vertical="top" wrapText="1"/>
    </xf>
    <xf numFmtId="169" fontId="3" fillId="0" borderId="7" xfId="0" applyNumberFormat="1" applyFont="1" applyBorder="1" applyAlignment="1">
      <alignment horizontal="center" vertical="top" wrapText="1"/>
    </xf>
    <xf numFmtId="0" fontId="6" fillId="3" borderId="4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6" fontId="2" fillId="2" borderId="1" xfId="0" applyNumberFormat="1" applyFont="1" applyFill="1" applyBorder="1" applyAlignment="1">
      <alignment wrapText="1"/>
    </xf>
    <xf numFmtId="168" fontId="2" fillId="2" borderId="1" xfId="0" applyNumberFormat="1" applyFont="1" applyFill="1" applyBorder="1" applyAlignment="1">
      <alignment wrapText="1"/>
    </xf>
    <xf numFmtId="168" fontId="2" fillId="2" borderId="8" xfId="0" applyNumberFormat="1" applyFont="1" applyFill="1" applyBorder="1" applyAlignment="1">
      <alignment wrapText="1"/>
    </xf>
    <xf numFmtId="168" fontId="2" fillId="2" borderId="9" xfId="0" applyNumberFormat="1" applyFont="1" applyFill="1" applyBorder="1" applyAlignment="1">
      <alignment wrapText="1"/>
    </xf>
    <xf numFmtId="169" fontId="3" fillId="0" borderId="9" xfId="0" applyNumberFormat="1" applyFont="1" applyBorder="1" applyAlignment="1">
      <alignment horizontal="center" vertical="top" wrapText="1"/>
    </xf>
    <xf numFmtId="168" fontId="2" fillId="2" borderId="1" xfId="0" applyNumberFormat="1" applyFont="1" applyFill="1" applyBorder="1" applyAlignment="1">
      <alignment horizontal="righ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3" borderId="0" xfId="0" applyFill="1" applyAlignment="1">
      <alignment horizontal="center"/>
    </xf>
    <xf numFmtId="0" fontId="3" fillId="2" borderId="0" xfId="0" applyFont="1" applyFill="1" applyBorder="1" applyAlignment="1">
      <alignment horizontal="left" vertical="top" wrapText="1" indent="3"/>
    </xf>
    <xf numFmtId="0" fontId="3" fillId="2" borderId="0" xfId="0" applyFont="1" applyFill="1" applyBorder="1" applyAlignment="1">
      <alignment vertical="top" wrapText="1"/>
    </xf>
    <xf numFmtId="9" fontId="2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37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0288-3B5E-4405-AD71-C0EB94F1DAD1}">
  <dimension ref="A1:W23"/>
  <sheetViews>
    <sheetView tabSelected="1" topLeftCell="E4" workbookViewId="0">
      <selection activeCell="M3" sqref="M3:M22"/>
    </sheetView>
  </sheetViews>
  <sheetFormatPr defaultRowHeight="14.5" x14ac:dyDescent="0.35"/>
  <sheetData>
    <row r="1" spans="1:23" ht="20.5" customHeight="1" x14ac:dyDescent="0.35">
      <c r="A1" s="1" t="s">
        <v>20</v>
      </c>
      <c r="B1" s="2"/>
      <c r="C1" s="20"/>
      <c r="D1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14.5" customHeight="1" x14ac:dyDescent="0.35">
      <c r="A2" s="9" t="s">
        <v>21</v>
      </c>
      <c r="B2" s="10" t="s">
        <v>22</v>
      </c>
      <c r="C2" s="21"/>
      <c r="D2" s="7">
        <v>1</v>
      </c>
      <c r="E2" s="8">
        <v>2</v>
      </c>
      <c r="F2" s="7">
        <v>3</v>
      </c>
      <c r="G2" s="8">
        <v>4</v>
      </c>
      <c r="H2" s="7">
        <v>5</v>
      </c>
      <c r="I2" s="8">
        <v>6</v>
      </c>
      <c r="J2" s="7">
        <v>7</v>
      </c>
      <c r="K2" s="8">
        <v>8</v>
      </c>
      <c r="L2" s="7">
        <v>9</v>
      </c>
      <c r="M2" s="8">
        <v>10</v>
      </c>
      <c r="N2" s="7">
        <v>11</v>
      </c>
      <c r="O2" s="8">
        <v>12</v>
      </c>
      <c r="P2" s="7">
        <v>13</v>
      </c>
      <c r="Q2" s="8">
        <v>14</v>
      </c>
      <c r="R2" s="7">
        <v>15</v>
      </c>
      <c r="S2" s="8">
        <v>16</v>
      </c>
      <c r="T2" s="7">
        <v>17</v>
      </c>
      <c r="U2" s="8">
        <v>18</v>
      </c>
      <c r="V2" s="7">
        <v>19</v>
      </c>
      <c r="W2" s="8">
        <v>20</v>
      </c>
    </row>
    <row r="3" spans="1:23" ht="20" x14ac:dyDescent="0.35">
      <c r="A3" s="11">
        <v>0</v>
      </c>
      <c r="B3" s="11">
        <v>2049</v>
      </c>
      <c r="C3" s="22">
        <f>B3/24588</f>
        <v>8.3333333333333329E-2</v>
      </c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18</v>
      </c>
      <c r="W3" s="4" t="s">
        <v>19</v>
      </c>
    </row>
    <row r="4" spans="1:23" x14ac:dyDescent="0.35">
      <c r="A4" s="12">
        <v>2050</v>
      </c>
      <c r="B4" s="12">
        <v>2366</v>
      </c>
      <c r="C4" s="22">
        <f>B4/24588-SUM($C$3:C3)</f>
        <v>1.2892467870505936E-2</v>
      </c>
      <c r="D4" s="5">
        <v>395</v>
      </c>
      <c r="E4" s="5">
        <v>400</v>
      </c>
      <c r="F4" s="5">
        <v>405</v>
      </c>
      <c r="G4" s="5">
        <v>410</v>
      </c>
      <c r="H4" s="5">
        <v>415</v>
      </c>
      <c r="I4" s="5">
        <v>420</v>
      </c>
      <c r="J4" s="5">
        <v>425</v>
      </c>
      <c r="K4" s="5">
        <v>430</v>
      </c>
      <c r="L4" s="5">
        <v>435</v>
      </c>
      <c r="M4" s="5">
        <v>440</v>
      </c>
      <c r="N4" s="5">
        <v>445</v>
      </c>
      <c r="O4" s="5">
        <v>450</v>
      </c>
      <c r="P4" s="5">
        <v>455</v>
      </c>
      <c r="Q4" s="5">
        <v>460</v>
      </c>
      <c r="R4" s="5">
        <v>465</v>
      </c>
      <c r="S4" s="5">
        <v>470</v>
      </c>
      <c r="T4" s="5">
        <v>475</v>
      </c>
      <c r="U4" s="5">
        <v>480</v>
      </c>
      <c r="V4" s="5">
        <v>485</v>
      </c>
      <c r="W4" s="6">
        <v>490</v>
      </c>
    </row>
    <row r="5" spans="1:23" x14ac:dyDescent="0.35">
      <c r="A5" s="12">
        <v>2367</v>
      </c>
      <c r="B5" s="12">
        <v>2680</v>
      </c>
      <c r="C5" s="22">
        <f>B5/24588-SUM($C$3:C4)</f>
        <v>1.2770457133561092E-2</v>
      </c>
      <c r="D5" s="17"/>
      <c r="E5" s="5">
        <v>395</v>
      </c>
      <c r="F5" s="5">
        <v>400</v>
      </c>
      <c r="G5" s="5">
        <v>405</v>
      </c>
      <c r="H5" s="5">
        <v>410</v>
      </c>
      <c r="I5" s="5">
        <v>415</v>
      </c>
      <c r="J5" s="5">
        <v>420</v>
      </c>
      <c r="K5" s="5">
        <v>425</v>
      </c>
      <c r="L5" s="5">
        <v>430</v>
      </c>
      <c r="M5" s="5">
        <v>435</v>
      </c>
      <c r="N5" s="5">
        <v>440</v>
      </c>
      <c r="O5" s="5">
        <v>445</v>
      </c>
      <c r="P5" s="5">
        <v>450</v>
      </c>
      <c r="Q5" s="5">
        <v>455</v>
      </c>
      <c r="R5" s="5">
        <v>460</v>
      </c>
      <c r="S5" s="5">
        <v>465</v>
      </c>
      <c r="T5" s="5">
        <v>470</v>
      </c>
      <c r="U5" s="5">
        <v>475</v>
      </c>
      <c r="V5" s="5">
        <v>480</v>
      </c>
      <c r="W5" s="6">
        <v>485</v>
      </c>
    </row>
    <row r="6" spans="1:23" x14ac:dyDescent="0.35">
      <c r="A6" s="12">
        <v>2681</v>
      </c>
      <c r="B6" s="12">
        <v>2996</v>
      </c>
      <c r="C6" s="22">
        <f>B6/24588-SUM($C$3:C5)</f>
        <v>1.285179762485765E-2</v>
      </c>
      <c r="D6" s="17"/>
      <c r="E6" s="5">
        <v>390</v>
      </c>
      <c r="F6" s="5">
        <v>395</v>
      </c>
      <c r="G6" s="5">
        <v>400</v>
      </c>
      <c r="H6" s="5">
        <v>405</v>
      </c>
      <c r="I6" s="5">
        <v>410</v>
      </c>
      <c r="J6" s="5">
        <v>415</v>
      </c>
      <c r="K6" s="5">
        <v>420</v>
      </c>
      <c r="L6" s="5">
        <v>425</v>
      </c>
      <c r="M6" s="5">
        <v>430</v>
      </c>
      <c r="N6" s="5">
        <v>435</v>
      </c>
      <c r="O6" s="5">
        <v>440</v>
      </c>
      <c r="P6" s="5">
        <v>445</v>
      </c>
      <c r="Q6" s="5">
        <v>450</v>
      </c>
      <c r="R6" s="5">
        <v>455</v>
      </c>
      <c r="S6" s="5">
        <v>460</v>
      </c>
      <c r="T6" s="5">
        <v>465</v>
      </c>
      <c r="U6" s="5">
        <v>470</v>
      </c>
      <c r="V6" s="5">
        <v>475</v>
      </c>
      <c r="W6" s="6">
        <v>480</v>
      </c>
    </row>
    <row r="7" spans="1:23" x14ac:dyDescent="0.35">
      <c r="A7" s="12">
        <v>2997</v>
      </c>
      <c r="B7" s="12">
        <v>3310</v>
      </c>
      <c r="C7" s="22">
        <f>B7/24588-SUM($C$3:C6)</f>
        <v>1.2770457133561092E-2</v>
      </c>
      <c r="D7" s="17"/>
      <c r="E7" s="17"/>
      <c r="F7" s="5">
        <v>390</v>
      </c>
      <c r="G7" s="5">
        <v>395</v>
      </c>
      <c r="H7" s="5">
        <v>400</v>
      </c>
      <c r="I7" s="5">
        <v>405</v>
      </c>
      <c r="J7" s="5">
        <v>410</v>
      </c>
      <c r="K7" s="5">
        <v>415</v>
      </c>
      <c r="L7" s="5">
        <v>420</v>
      </c>
      <c r="M7" s="5">
        <v>425</v>
      </c>
      <c r="N7" s="5">
        <v>430</v>
      </c>
      <c r="O7" s="5">
        <v>435</v>
      </c>
      <c r="P7" s="5">
        <v>440</v>
      </c>
      <c r="Q7" s="5">
        <v>445</v>
      </c>
      <c r="R7" s="5">
        <v>450</v>
      </c>
      <c r="S7" s="5">
        <v>455</v>
      </c>
      <c r="T7" s="5">
        <v>460</v>
      </c>
      <c r="U7" s="5">
        <v>465</v>
      </c>
      <c r="V7" s="5">
        <v>470</v>
      </c>
      <c r="W7" s="6">
        <v>475</v>
      </c>
    </row>
    <row r="8" spans="1:23" x14ac:dyDescent="0.35">
      <c r="A8" s="12">
        <v>3311</v>
      </c>
      <c r="B8" s="12">
        <v>3627</v>
      </c>
      <c r="C8" s="22">
        <f>B8/24588-SUM($C$3:C7)</f>
        <v>1.2892467870505936E-2</v>
      </c>
      <c r="D8" s="17"/>
      <c r="E8" s="17"/>
      <c r="F8" s="5">
        <v>385</v>
      </c>
      <c r="G8" s="5">
        <v>390</v>
      </c>
      <c r="H8" s="5">
        <v>395</v>
      </c>
      <c r="I8" s="5">
        <v>400</v>
      </c>
      <c r="J8" s="5">
        <v>405</v>
      </c>
      <c r="K8" s="5">
        <v>410</v>
      </c>
      <c r="L8" s="5">
        <v>415</v>
      </c>
      <c r="M8" s="5">
        <v>420</v>
      </c>
      <c r="N8" s="5">
        <v>425</v>
      </c>
      <c r="O8" s="5">
        <v>430</v>
      </c>
      <c r="P8" s="5">
        <v>435</v>
      </c>
      <c r="Q8" s="5">
        <v>440</v>
      </c>
      <c r="R8" s="5">
        <v>445</v>
      </c>
      <c r="S8" s="5">
        <v>450</v>
      </c>
      <c r="T8" s="5">
        <v>455</v>
      </c>
      <c r="U8" s="5">
        <v>460</v>
      </c>
      <c r="V8" s="5">
        <v>465</v>
      </c>
      <c r="W8" s="6">
        <v>470</v>
      </c>
    </row>
    <row r="9" spans="1:23" x14ac:dyDescent="0.35">
      <c r="A9" s="12">
        <v>3628</v>
      </c>
      <c r="B9" s="12">
        <v>3941</v>
      </c>
      <c r="C9" s="22">
        <f>B9/24588-SUM($C$3:C8)</f>
        <v>1.2770457133561092E-2</v>
      </c>
      <c r="D9" s="17"/>
      <c r="E9" s="17"/>
      <c r="F9" s="17"/>
      <c r="G9" s="5">
        <v>385</v>
      </c>
      <c r="H9" s="5">
        <v>390</v>
      </c>
      <c r="I9" s="5">
        <v>395</v>
      </c>
      <c r="J9" s="5">
        <v>400</v>
      </c>
      <c r="K9" s="5">
        <v>405</v>
      </c>
      <c r="L9" s="5">
        <v>410</v>
      </c>
      <c r="M9" s="5">
        <v>415</v>
      </c>
      <c r="N9" s="5">
        <v>420</v>
      </c>
      <c r="O9" s="5">
        <v>425</v>
      </c>
      <c r="P9" s="5">
        <v>430</v>
      </c>
      <c r="Q9" s="5">
        <v>435</v>
      </c>
      <c r="R9" s="5">
        <v>440</v>
      </c>
      <c r="S9" s="5">
        <v>445</v>
      </c>
      <c r="T9" s="5">
        <v>450</v>
      </c>
      <c r="U9" s="5">
        <v>455</v>
      </c>
      <c r="V9" s="5">
        <v>460</v>
      </c>
      <c r="W9" s="6">
        <v>465</v>
      </c>
    </row>
    <row r="10" spans="1:23" x14ac:dyDescent="0.35">
      <c r="A10" s="12">
        <v>3942</v>
      </c>
      <c r="B10" s="12">
        <v>4257</v>
      </c>
      <c r="C10" s="22">
        <f>B10/24588-SUM($C$3:C9)</f>
        <v>1.2851797624857664E-2</v>
      </c>
      <c r="D10" s="17"/>
      <c r="E10" s="17"/>
      <c r="F10" s="17"/>
      <c r="G10" s="5">
        <v>380</v>
      </c>
      <c r="H10" s="5">
        <v>385</v>
      </c>
      <c r="I10" s="5">
        <v>390</v>
      </c>
      <c r="J10" s="5">
        <v>395</v>
      </c>
      <c r="K10" s="5">
        <v>400</v>
      </c>
      <c r="L10" s="5">
        <v>405</v>
      </c>
      <c r="M10" s="5">
        <v>410</v>
      </c>
      <c r="N10" s="5">
        <v>415</v>
      </c>
      <c r="O10" s="5">
        <v>420</v>
      </c>
      <c r="P10" s="5">
        <v>425</v>
      </c>
      <c r="Q10" s="5">
        <v>430</v>
      </c>
      <c r="R10" s="5">
        <v>435</v>
      </c>
      <c r="S10" s="5">
        <v>440</v>
      </c>
      <c r="T10" s="5">
        <v>445</v>
      </c>
      <c r="U10" s="5">
        <v>450</v>
      </c>
      <c r="V10" s="5">
        <v>455</v>
      </c>
      <c r="W10" s="6">
        <v>460</v>
      </c>
    </row>
    <row r="11" spans="1:23" x14ac:dyDescent="0.35">
      <c r="A11" s="12">
        <v>4258</v>
      </c>
      <c r="B11" s="12">
        <v>4571</v>
      </c>
      <c r="C11" s="22">
        <f>B11/24588-SUM($C$3:C10)</f>
        <v>1.2770457133561064E-2</v>
      </c>
      <c r="D11" s="17"/>
      <c r="E11" s="17"/>
      <c r="F11" s="17"/>
      <c r="G11" s="17"/>
      <c r="H11" s="5">
        <v>380</v>
      </c>
      <c r="I11" s="5">
        <v>385</v>
      </c>
      <c r="J11" s="5">
        <v>390</v>
      </c>
      <c r="K11" s="5">
        <v>395</v>
      </c>
      <c r="L11" s="5">
        <v>400</v>
      </c>
      <c r="M11" s="5">
        <v>405</v>
      </c>
      <c r="N11" s="5">
        <v>410</v>
      </c>
      <c r="O11" s="5">
        <v>415</v>
      </c>
      <c r="P11" s="5">
        <v>420</v>
      </c>
      <c r="Q11" s="5">
        <v>425</v>
      </c>
      <c r="R11" s="5">
        <v>430</v>
      </c>
      <c r="S11" s="5">
        <v>435</v>
      </c>
      <c r="T11" s="5">
        <v>440</v>
      </c>
      <c r="U11" s="5">
        <v>445</v>
      </c>
      <c r="V11" s="5">
        <v>450</v>
      </c>
      <c r="W11" s="6">
        <v>455</v>
      </c>
    </row>
    <row r="12" spans="1:23" x14ac:dyDescent="0.35">
      <c r="A12" s="12">
        <v>4572</v>
      </c>
      <c r="B12" s="12">
        <v>4887</v>
      </c>
      <c r="C12" s="22">
        <f>B12/24588-SUM($C$3:C11)</f>
        <v>1.2851797624857664E-2</v>
      </c>
      <c r="D12" s="17"/>
      <c r="E12" s="17"/>
      <c r="F12" s="17"/>
      <c r="G12" s="17"/>
      <c r="H12" s="5">
        <v>375</v>
      </c>
      <c r="I12" s="5">
        <v>380</v>
      </c>
      <c r="J12" s="5">
        <v>385</v>
      </c>
      <c r="K12" s="5">
        <v>390</v>
      </c>
      <c r="L12" s="5">
        <v>395</v>
      </c>
      <c r="M12" s="5">
        <v>400</v>
      </c>
      <c r="N12" s="5">
        <v>405</v>
      </c>
      <c r="O12" s="5">
        <v>410</v>
      </c>
      <c r="P12" s="5">
        <v>415</v>
      </c>
      <c r="Q12" s="5">
        <v>420</v>
      </c>
      <c r="R12" s="5">
        <v>425</v>
      </c>
      <c r="S12" s="5">
        <v>430</v>
      </c>
      <c r="T12" s="5">
        <v>435</v>
      </c>
      <c r="U12" s="5">
        <v>440</v>
      </c>
      <c r="V12" s="5">
        <v>445</v>
      </c>
      <c r="W12" s="6">
        <v>450</v>
      </c>
    </row>
    <row r="13" spans="1:23" x14ac:dyDescent="0.35">
      <c r="A13" s="12">
        <v>4888</v>
      </c>
      <c r="B13" s="12">
        <v>5201</v>
      </c>
      <c r="C13" s="22">
        <f>B13/24588-SUM($C$3:C12)</f>
        <v>1.2770457133561092E-2</v>
      </c>
      <c r="D13" s="17"/>
      <c r="E13" s="17"/>
      <c r="F13" s="17"/>
      <c r="G13" s="17"/>
      <c r="H13" s="17"/>
      <c r="I13" s="5">
        <v>375</v>
      </c>
      <c r="J13" s="5">
        <v>380</v>
      </c>
      <c r="K13" s="5">
        <v>385</v>
      </c>
      <c r="L13" s="5">
        <v>390</v>
      </c>
      <c r="M13" s="5">
        <v>395</v>
      </c>
      <c r="N13" s="5">
        <v>400</v>
      </c>
      <c r="O13" s="5">
        <v>405</v>
      </c>
      <c r="P13" s="5">
        <v>410</v>
      </c>
      <c r="Q13" s="5">
        <v>415</v>
      </c>
      <c r="R13" s="5">
        <v>420</v>
      </c>
      <c r="S13" s="5">
        <v>425</v>
      </c>
      <c r="T13" s="5">
        <v>430</v>
      </c>
      <c r="U13" s="5">
        <v>435</v>
      </c>
      <c r="V13" s="5">
        <v>440</v>
      </c>
      <c r="W13" s="6">
        <v>445</v>
      </c>
    </row>
    <row r="14" spans="1:23" x14ac:dyDescent="0.35">
      <c r="A14" s="12">
        <v>5202</v>
      </c>
      <c r="B14" s="12">
        <v>5520</v>
      </c>
      <c r="C14" s="22">
        <f>B14/24588-SUM($C$3:C13)</f>
        <v>1.2973808361802508E-2</v>
      </c>
      <c r="D14" s="17"/>
      <c r="E14" s="17"/>
      <c r="F14" s="17"/>
      <c r="G14" s="17"/>
      <c r="H14" s="17"/>
      <c r="I14" s="5">
        <v>370</v>
      </c>
      <c r="J14" s="5">
        <v>375</v>
      </c>
      <c r="K14" s="5">
        <v>380</v>
      </c>
      <c r="L14" s="5">
        <v>385</v>
      </c>
      <c r="M14" s="5">
        <v>390</v>
      </c>
      <c r="N14" s="5">
        <v>395</v>
      </c>
      <c r="O14" s="5">
        <v>400</v>
      </c>
      <c r="P14" s="5">
        <v>405</v>
      </c>
      <c r="Q14" s="5">
        <v>410</v>
      </c>
      <c r="R14" s="5">
        <v>415</v>
      </c>
      <c r="S14" s="5">
        <v>420</v>
      </c>
      <c r="T14" s="5">
        <v>425</v>
      </c>
      <c r="U14" s="5">
        <v>430</v>
      </c>
      <c r="V14" s="5">
        <v>435</v>
      </c>
      <c r="W14" s="6">
        <v>440</v>
      </c>
    </row>
    <row r="15" spans="1:23" x14ac:dyDescent="0.35">
      <c r="A15" s="12">
        <v>5521</v>
      </c>
      <c r="B15" s="12">
        <v>5829</v>
      </c>
      <c r="C15" s="22">
        <f>B15/24588-SUM($C$3:C14)</f>
        <v>1.2567105905319675E-2</v>
      </c>
      <c r="D15" s="17"/>
      <c r="E15" s="17"/>
      <c r="F15" s="17"/>
      <c r="G15" s="17"/>
      <c r="H15" s="17"/>
      <c r="I15" s="17"/>
      <c r="J15" s="5">
        <v>370</v>
      </c>
      <c r="K15" s="5">
        <v>375</v>
      </c>
      <c r="L15" s="5">
        <v>380</v>
      </c>
      <c r="M15" s="5">
        <v>385</v>
      </c>
      <c r="N15" s="5">
        <v>390</v>
      </c>
      <c r="O15" s="5">
        <v>395</v>
      </c>
      <c r="P15" s="5">
        <v>400</v>
      </c>
      <c r="Q15" s="5">
        <v>405</v>
      </c>
      <c r="R15" s="5">
        <v>410</v>
      </c>
      <c r="S15" s="5">
        <v>415</v>
      </c>
      <c r="T15" s="5">
        <v>420</v>
      </c>
      <c r="U15" s="5">
        <v>425</v>
      </c>
      <c r="V15" s="5">
        <v>430</v>
      </c>
      <c r="W15" s="6">
        <v>435</v>
      </c>
    </row>
    <row r="16" spans="1:23" x14ac:dyDescent="0.35">
      <c r="A16" s="12">
        <v>5830</v>
      </c>
      <c r="B16" s="12">
        <v>6125</v>
      </c>
      <c r="C16" s="22">
        <f>B16/24588-SUM($C$3:C15)</f>
        <v>1.2038392711891971E-2</v>
      </c>
      <c r="D16" s="17"/>
      <c r="E16" s="17"/>
      <c r="F16" s="17"/>
      <c r="G16" s="17"/>
      <c r="H16" s="17"/>
      <c r="I16" s="17"/>
      <c r="J16" s="5">
        <v>365</v>
      </c>
      <c r="K16" s="5">
        <v>370</v>
      </c>
      <c r="L16" s="5">
        <v>375</v>
      </c>
      <c r="M16" s="5">
        <v>380</v>
      </c>
      <c r="N16" s="5">
        <v>385</v>
      </c>
      <c r="O16" s="5">
        <v>390</v>
      </c>
      <c r="P16" s="5">
        <v>395</v>
      </c>
      <c r="Q16" s="5">
        <v>400</v>
      </c>
      <c r="R16" s="5">
        <v>405</v>
      </c>
      <c r="S16" s="5">
        <v>410</v>
      </c>
      <c r="T16" s="5">
        <v>415</v>
      </c>
      <c r="U16" s="5">
        <v>420</v>
      </c>
      <c r="V16" s="5">
        <v>425</v>
      </c>
      <c r="W16" s="6">
        <v>430</v>
      </c>
    </row>
    <row r="17" spans="1:23" x14ac:dyDescent="0.35">
      <c r="A17" s="12">
        <v>6126</v>
      </c>
      <c r="B17" s="12">
        <v>6419</v>
      </c>
      <c r="C17" s="22">
        <f>B17/24588-SUM($C$3:C16)</f>
        <v>1.1957052220595427E-2</v>
      </c>
      <c r="D17" s="17"/>
      <c r="E17" s="17"/>
      <c r="F17" s="17"/>
      <c r="G17" s="17"/>
      <c r="H17" s="17"/>
      <c r="I17" s="17"/>
      <c r="J17" s="17"/>
      <c r="K17" s="5">
        <v>365</v>
      </c>
      <c r="L17" s="5">
        <v>370</v>
      </c>
      <c r="M17" s="5">
        <v>375</v>
      </c>
      <c r="N17" s="5">
        <v>380</v>
      </c>
      <c r="O17" s="5">
        <v>385</v>
      </c>
      <c r="P17" s="5">
        <v>390</v>
      </c>
      <c r="Q17" s="5">
        <v>395</v>
      </c>
      <c r="R17" s="5">
        <v>400</v>
      </c>
      <c r="S17" s="5">
        <v>405</v>
      </c>
      <c r="T17" s="5">
        <v>410</v>
      </c>
      <c r="U17" s="5">
        <v>415</v>
      </c>
      <c r="V17" s="5">
        <v>420</v>
      </c>
      <c r="W17" s="6">
        <v>425</v>
      </c>
    </row>
    <row r="18" spans="1:23" x14ac:dyDescent="0.35">
      <c r="A18" s="13">
        <v>6420</v>
      </c>
      <c r="B18" s="13">
        <v>6715</v>
      </c>
      <c r="C18" s="22">
        <f>B18/24588-SUM($C$3:C17)</f>
        <v>1.2038392711891943E-2</v>
      </c>
      <c r="D18" s="17"/>
      <c r="E18" s="17"/>
      <c r="F18" s="17"/>
      <c r="G18" s="17"/>
      <c r="H18" s="17"/>
      <c r="I18" s="17"/>
      <c r="J18" s="17"/>
      <c r="K18" s="5">
        <v>360</v>
      </c>
      <c r="L18" s="5">
        <v>365</v>
      </c>
      <c r="M18" s="5">
        <v>370</v>
      </c>
      <c r="N18" s="5">
        <v>375</v>
      </c>
      <c r="O18" s="5">
        <v>380</v>
      </c>
      <c r="P18" s="5">
        <v>385</v>
      </c>
      <c r="Q18" s="5">
        <v>390</v>
      </c>
      <c r="R18" s="5">
        <v>395</v>
      </c>
      <c r="S18" s="5">
        <v>400</v>
      </c>
      <c r="T18" s="5">
        <v>405</v>
      </c>
      <c r="U18" s="5">
        <v>410</v>
      </c>
      <c r="V18" s="5">
        <v>415</v>
      </c>
      <c r="W18" s="6">
        <v>420</v>
      </c>
    </row>
    <row r="19" spans="1:23" x14ac:dyDescent="0.35">
      <c r="A19" s="14">
        <v>6716</v>
      </c>
      <c r="B19" s="14">
        <v>7009</v>
      </c>
      <c r="C19" s="22">
        <f>B19/24588-SUM($C$3:C18)</f>
        <v>1.1957052220595454E-2</v>
      </c>
      <c r="D19" s="17"/>
      <c r="E19" s="17"/>
      <c r="F19" s="17"/>
      <c r="G19" s="17"/>
      <c r="H19" s="17"/>
      <c r="I19" s="17"/>
      <c r="J19" s="17"/>
      <c r="K19" s="17"/>
      <c r="L19" s="5">
        <v>360</v>
      </c>
      <c r="M19" s="5">
        <v>365</v>
      </c>
      <c r="N19" s="5">
        <v>370</v>
      </c>
      <c r="O19" s="5">
        <v>375</v>
      </c>
      <c r="P19" s="5">
        <v>380</v>
      </c>
      <c r="Q19" s="5">
        <v>385</v>
      </c>
      <c r="R19" s="5">
        <v>390</v>
      </c>
      <c r="S19" s="5">
        <v>395</v>
      </c>
      <c r="T19" s="5">
        <v>400</v>
      </c>
      <c r="U19" s="5">
        <v>405</v>
      </c>
      <c r="V19" s="5">
        <v>410</v>
      </c>
      <c r="W19" s="6">
        <v>415</v>
      </c>
    </row>
    <row r="20" spans="1:23" x14ac:dyDescent="0.35">
      <c r="A20" s="12">
        <v>7010</v>
      </c>
      <c r="B20" s="12">
        <v>7305</v>
      </c>
      <c r="C20" s="22">
        <f>B20/24588-SUM($C$3:C19)</f>
        <v>1.2038392711891943E-2</v>
      </c>
      <c r="D20" s="17"/>
      <c r="E20" s="17"/>
      <c r="F20" s="17"/>
      <c r="G20" s="17"/>
      <c r="H20" s="17"/>
      <c r="I20" s="17"/>
      <c r="J20" s="17"/>
      <c r="K20" s="17"/>
      <c r="L20" s="5">
        <v>355</v>
      </c>
      <c r="M20" s="5">
        <v>360</v>
      </c>
      <c r="N20" s="5">
        <v>365</v>
      </c>
      <c r="O20" s="5">
        <v>370</v>
      </c>
      <c r="P20" s="5">
        <v>375</v>
      </c>
      <c r="Q20" s="5">
        <v>380</v>
      </c>
      <c r="R20" s="5">
        <v>385</v>
      </c>
      <c r="S20" s="5">
        <v>390</v>
      </c>
      <c r="T20" s="5">
        <v>395</v>
      </c>
      <c r="U20" s="5">
        <v>400</v>
      </c>
      <c r="V20" s="5">
        <v>405</v>
      </c>
      <c r="W20" s="6">
        <v>410</v>
      </c>
    </row>
    <row r="21" spans="1:23" x14ac:dyDescent="0.35">
      <c r="A21" s="16">
        <v>7306</v>
      </c>
      <c r="B21" s="16">
        <v>7599</v>
      </c>
      <c r="C21" s="22">
        <f>B21/24588-SUM($C$3:C20)</f>
        <v>1.1957052220595399E-2</v>
      </c>
      <c r="D21" s="17"/>
      <c r="E21" s="17"/>
      <c r="F21" s="17"/>
      <c r="G21" s="17"/>
      <c r="H21" s="17"/>
      <c r="I21" s="17"/>
      <c r="J21" s="17"/>
      <c r="K21" s="17"/>
      <c r="L21" s="17"/>
      <c r="M21" s="5">
        <v>355</v>
      </c>
      <c r="N21" s="5">
        <v>360</v>
      </c>
      <c r="O21" s="5">
        <v>365</v>
      </c>
      <c r="P21" s="5">
        <v>370</v>
      </c>
      <c r="Q21" s="5">
        <v>375</v>
      </c>
      <c r="R21" s="5">
        <v>380</v>
      </c>
      <c r="S21" s="5">
        <v>385</v>
      </c>
      <c r="T21" s="5">
        <v>390</v>
      </c>
      <c r="U21" s="5">
        <v>395</v>
      </c>
      <c r="V21" s="5">
        <v>400</v>
      </c>
      <c r="W21" s="5">
        <v>405</v>
      </c>
    </row>
    <row r="22" spans="1:23" x14ac:dyDescent="0.35">
      <c r="A22" s="16">
        <v>7600</v>
      </c>
      <c r="B22" s="16">
        <v>7893</v>
      </c>
      <c r="C22" s="22">
        <f>B22/24588-SUM($C$3:C21)</f>
        <v>1.1957052220595454E-2</v>
      </c>
      <c r="D22" s="17"/>
      <c r="E22" s="17"/>
      <c r="F22" s="17"/>
      <c r="G22" s="17"/>
      <c r="H22" s="17"/>
      <c r="I22" s="17"/>
      <c r="J22" s="17"/>
      <c r="K22" s="17"/>
      <c r="L22" s="17"/>
      <c r="M22" s="5">
        <v>350</v>
      </c>
      <c r="N22" s="5">
        <v>355</v>
      </c>
      <c r="O22" s="5">
        <v>360</v>
      </c>
      <c r="P22" s="5">
        <v>365</v>
      </c>
      <c r="Q22" s="5">
        <v>370</v>
      </c>
      <c r="R22" s="5">
        <v>375</v>
      </c>
      <c r="S22" s="5">
        <v>380</v>
      </c>
      <c r="T22" s="5">
        <v>385</v>
      </c>
      <c r="U22" s="5">
        <v>390</v>
      </c>
      <c r="V22" s="5">
        <v>395</v>
      </c>
      <c r="W22" s="5">
        <v>400</v>
      </c>
    </row>
    <row r="23" spans="1:23" x14ac:dyDescent="0.35">
      <c r="A23" s="16">
        <v>7894</v>
      </c>
      <c r="B23" s="16">
        <v>8189</v>
      </c>
      <c r="C23" s="22">
        <f>B23/24588-SUM($C$3:C22)</f>
        <v>1.2038392711891943E-2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5">
        <v>350</v>
      </c>
      <c r="O23" s="15">
        <v>355</v>
      </c>
      <c r="P23" s="15">
        <v>360</v>
      </c>
      <c r="Q23" s="15">
        <v>365</v>
      </c>
      <c r="R23" s="15">
        <v>370</v>
      </c>
      <c r="S23" s="15">
        <v>375</v>
      </c>
      <c r="T23" s="15">
        <v>380</v>
      </c>
      <c r="U23" s="15">
        <v>385</v>
      </c>
      <c r="V23" s="15">
        <v>390</v>
      </c>
      <c r="W23" s="15">
        <v>395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2023-03-10T19:06:49Z</dcterms:created>
  <dcterms:modified xsi:type="dcterms:W3CDTF">2023-03-10T21:28:49Z</dcterms:modified>
</cp:coreProperties>
</file>