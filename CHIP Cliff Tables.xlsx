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13_ncr:1_{EF496E54-B0C0-4841-9093-A6139D845B9A}" xr6:coauthVersionLast="47" xr6:coauthVersionMax="47" xr10:uidLastSave="{00000000-0000-0000-0000-000000000000}"/>
  <bookViews>
    <workbookView xWindow="380" yWindow="380" windowWidth="17590" windowHeight="10060" xr2:uid="{7F21A33E-D4E2-446B-9A5E-904B4D4C2673}"/>
  </bookViews>
  <sheets>
    <sheet name="CHIP" sheetId="1" r:id="rId1"/>
  </sheets>
  <externalReferences>
    <externalReference r:id="rId2"/>
    <externalReference r:id="rId3"/>
  </externalReferences>
  <definedNames>
    <definedName name="Adjusted_Gross_Income">[1]Calc1!$N$66:INDEX([1]Calc1!$N$66:$HH$66,COUNTIF([1]Calc1!$N$66:$HH$66,”&lt;&gt;”&amp;””))</definedName>
    <definedName name="AgeAdult">[1]Lists!$F$10:$F$60</definedName>
    <definedName name="AgeChild">[1]Lists!$H$10:$H$29</definedName>
    <definedName name="CCA_RateCategoryEntireCol">INDEX([1]!CCA_RateCategory[#Data],,CCA_RateCategoryStateColNum)</definedName>
    <definedName name="CCA_RateCategoryLookup">INDEX([1]!CCA_RateCategory[#Data],1,CCA_RateCategoryStateColNum):INDEX([1]!CCA_RateCategory[#Data],COUNTA(CCA_RateCategoryEntireCol),CCA_RateCategoryStateColNum)</definedName>
    <definedName name="CCA_RateCategoryStateColNum">MATCH(InputStateName,[1]!CCA_RateCategory[#Headers],0)</definedName>
    <definedName name="CCA_SettingsEntireCol">INDEX([1]!CCA_Settings[#Data],,CCA_SettingsStateColNum)</definedName>
    <definedName name="CCA_SettingsLookup">INDEX([1]!CCA_Settings[#Data],1,CCA_SettingsStateColNum):INDEX([1]!CCA_Settings[#Data],COUNTA(CCA_SettingsEntireCol),CCA_SettingsStateColNum)</definedName>
    <definedName name="CCA_SettingsStateColNum">MATCH(InputStateName,[1]!CCA_Settings[#Headers],0)</definedName>
    <definedName name="CHIP_GroupLookup1">[1]Calc1!$C$384:$G$391</definedName>
    <definedName name="CompareAlabamaAdjusted_Gross_Income">[1]Calc1!$N$66:INDEX([1]Calc1!$N$66:$HH$66,COUNTIF([1]Calc1!$N$66:$HH$66,”&lt;&gt;”&amp;””))</definedName>
    <definedName name="CompareAlabamaHousehold_Annual_Earned_Income">[1]Calc1!$N$46:INDEX([1]Calc1!$N$46:$HH$46,COUNTIF([1]Calc1!$N$46:$HH$46,”&lt;&gt;”&amp;””))</definedName>
    <definedName name="CompareAlabamaHousehold_Annual_Income">[1]Calc1!$N$50:INDEX([1]Calc1!$N$50:$HH$50,COUNTIF([1]Calc1!$N$50:$HH$50,”&lt;&gt;”&amp;””))</definedName>
    <definedName name="CompareAlabamaHousehold_Annual_Unearned_Income">[1]Calc1!$N$48:INDEX([1]Calc1!$N$48:$HH$48,COUNTIF([1]Calc1!$N$48:$HH$48,”&lt;&gt;”&amp;””))</definedName>
    <definedName name="CompareAlabamaHousehold_Monthly_Earned_Income">[1]Calc1!$N$45:INDEX([1]Calc1!$N$45:$HH$45,COUNTIF([1]Calc1!$N$45:$HH$45,”&lt;&gt;”&amp;””))</definedName>
    <definedName name="CompareAlabamaHousehold_Monthly_Income">[1]Calc1!$N$49:INDEX([1]Calc1!$N$49:$HH$49,COUNTIF([1]Calc1!$N$49:$HH$49,”&lt;&gt;”&amp;””))</definedName>
    <definedName name="CompareAlabamaHousehold_Monthly_Unearned_Income">[1]Calc1!$N$47:INDEX([1]Calc1!$N$47:$HH$47,COUNTIF([1]Calc1!$N$47:$HH$47,”&lt;&gt;”&amp;””))</definedName>
    <definedName name="CompareAlabamaOutputACTC">[1]Calc1!$N$140:$HF$140</definedName>
    <definedName name="CompareAlabamaOutputChildCareSubsidyFinal">[1]Calc1!$N$588:$HF$588</definedName>
    <definedName name="CompareAlabamaOutputCHIP">[1]Calc1!$N$419:$HF$419</definedName>
    <definedName name="CompareAlabamaOutputComboCashAssistance">CompareAlabamaOutputTANF + CompareAlabamaOutputSSI +CompareAlabamaOutputLIHEAP</definedName>
    <definedName name="CompareAlabamaOutputComboFoodAssistance">CompareAlabamaOutputSNAP + CompareAlabamaOutputWIC + CompareAlabamaOutputSubsidizedSchoolMeals</definedName>
    <definedName name="CompareAlabamaOutputComboMedicalAssistance">CompareAlabamaOutputMedicaid + CompareAlabamaOutputCHIP + CompareAlabamaOutputHIXPTC</definedName>
    <definedName name="CompareAlabamaOutputComboNetEarnings">CompareAlabamaAdjusted_Gross_Income - CompareAlabamaOutputFICA - CompareAlabamaOutputFedTax - CompareAlabamaOutputStateTax</definedName>
    <definedName name="CompareAlabamaOutputComboRefundableTaxCredits">CompareAlabamaOutputEITC + CompareAlabamaOutputACTC + CompareAlabamaOutputStateEITC + CompareAlabamaOutputCTC</definedName>
    <definedName name="CompareAlabamaOutputCTC">[1]Calc1!$N$108:$HF$108</definedName>
    <definedName name="CompareAlabamaOutputEITC">[1]Calc1!$N$122:$HF$122</definedName>
    <definedName name="CompareAlabamaOutputFedTax">[1]Calc1!$N$102:$HF$102</definedName>
    <definedName name="CompareAlabamaOutputFICA">[1]Calc1!$N$54:$HF$54</definedName>
    <definedName name="CompareAlabamaOutputHIXPTC">[1]Calc1!$N$462:$HF$462</definedName>
    <definedName name="CompareAlabamaOutputInterval">[1]Calc1!$N$2:$HF$2</definedName>
    <definedName name="CompareAlabamaOutputLIHEAP">[1]Calc1!$N$711:$HF$711</definedName>
    <definedName name="CompareAlabamaOutputMedicaid">[1]Calc1!$N$375:$HF$375</definedName>
    <definedName name="CompareAlabamaOutputMedicaidAndCHIP">CompareAlabamaOutputMedicaid + CompareAlabamaOutputCHIP</definedName>
    <definedName name="CompareAlabamaOutputMomHourlyWage">[1]Calc1!$N$10:$HF$10</definedName>
    <definedName name="CompareAlabamaOutputMomWeeklyHours">[1]Calc1!$N$5:$HF$5</definedName>
    <definedName name="CompareAlabamaOutputSec8Entry">[1]Calc1!$N$685:$HF$685</definedName>
    <definedName name="CompareAlabamaOutputSec8Extended">[1]Calc1!$N$690:$HF$690</definedName>
    <definedName name="CompareAlabamaOutputSec8Final">[1]Calc1!$N$688:$HF$688</definedName>
    <definedName name="CompareAlabamaOutputSNAP">[1]Calc1!$N$313:$HF$313</definedName>
    <definedName name="CompareAlabamaOutputSSI">[1]Calc1!$N$280:$HF$280</definedName>
    <definedName name="CompareAlabamaOutputStackPlusCashAssistance">CompareAlabamaOutputStackPlusRefundableTaxCredits + CompareAlabamaOutputComboCashAssistance</definedName>
    <definedName name="CompareAlabamaOutputStackPlusChildCareFinal">CompareAlabamaOutputStackPlusMedicalAssistance + CompareAlabamaOutputChildCareSubsidyFinal</definedName>
    <definedName name="CompareAlabamaOutputStackPlusFoodAssistance">CompareAlabamaOutputStackPlusCashAssistance + CompareAlabamaOutputComboFoodAssistance</definedName>
    <definedName name="CompareAlabamaOutputStackPlusHIXPTC">CompareAlabamaOutputStackPlusMedicaidAndCHIP + CompareAlabamaOutputHIXPTC</definedName>
    <definedName name="CompareAlabamaOutputStackPlusMedicaidAndCHIP">CompareAlabamaOutputStackPlusFoodAssistance + CompareAlabamaOutputMedicaid + CompareAlabamaOutputCHIP</definedName>
    <definedName name="CompareAlabamaOutputStackPlusMedicalAssistance">CompareAlabamaOutputStackPlusFoodAssistance + CompareAlabamaOutputComboMedicalAssistance</definedName>
    <definedName name="CompareAlabamaOutputStackPlusRefundableTaxCredits">CompareAlabamaOutputComboNetEarnings+CompareAlabamaOutputComboRefundableTaxCredits</definedName>
    <definedName name="CompareAlabamaOutputStackPlusSec8Entry">CompareAlabamaOutputStackPlusChildCareFinal + CompareAlabamaOutputSec8Entry</definedName>
    <definedName name="CompareAlabamaOutputStackPlusSec8Entry_Graph">CompareAlabamaOutputStackPlusChildCareFinal + CompareAlabamaOutputSec8Final</definedName>
    <definedName name="CompareAlabamaOutputStackPlusSec8Extended">CompareAlabamaOutputStackPlusSec8Entry + CompareAlabamaOutputSec8Extended</definedName>
    <definedName name="CompareAlabamaOutputStateEITC">[1]Calc1!$N$221:$HF$221</definedName>
    <definedName name="CompareAlabamaOutputStateTax">[1]Calc1!$N$206:$HF$206</definedName>
    <definedName name="CompareAlabamaOutputSubsidizedSchoolMeals">[1]Calc1!$N$346:$HF$346</definedName>
    <definedName name="CompareAlabamaOutputTANF">[1]Calc1!$N$267:$HF$267</definedName>
    <definedName name="CompareAlabamaOutputWIC">[1]Calc1!$N$335:$HF$335</definedName>
    <definedName name="CompareFloridaAdjusted_Gross_Income">[1]Calc1!$N$66:INDEX([1]Calc1!$N$66:$HH$66,COUNTIF([1]Calc1!$N$66:$HH$66,”&lt;&gt;”&amp;””))</definedName>
    <definedName name="CompareFloridaHousehold_Annual_Earned_Income">[1]Calc1!$N$46:INDEX([1]Calc1!$N$46:$HH$46,COUNTIF([1]Calc1!$N$46:$HH$46,”&lt;&gt;”&amp;””))</definedName>
    <definedName name="CompareFloridaHousehold_Annual_Income">[1]Calc1!$N$50:INDEX([1]Calc1!$N$50:$HH$50,COUNTIF([1]Calc1!$N$50:$HH$50,”&lt;&gt;”&amp;””))</definedName>
    <definedName name="CompareFloridaHousehold_Annual_Unearned_Income">[1]Calc1!$N$48:INDEX([1]Calc1!$N$48:$HH$48,COUNTIF([1]Calc1!$N$48:$HH$48,”&lt;&gt;”&amp;””))</definedName>
    <definedName name="CompareFloridaHousehold_Monthly_Earned_Income">[1]Calc1!$N$45:INDEX([1]Calc1!$N$45:$HH$45,COUNTIF([1]Calc1!$N$45:$HH$45,”&lt;&gt;”&amp;””))</definedName>
    <definedName name="CompareFloridaHousehold_Monthly_Income">[1]Calc1!$N$49:INDEX([1]Calc1!$N$49:$HH$49,COUNTIF([1]Calc1!$N$49:$HH$49,”&lt;&gt;”&amp;””))</definedName>
    <definedName name="CompareFloridaHousehold_Monthly_Unearned_Income">[1]Calc1!$N$47:INDEX([1]Calc1!$N$47:$HH$47,COUNTIF([1]Calc1!$N$47:$HH$47,”&lt;&gt;”&amp;””))</definedName>
    <definedName name="CompareFloridaOutputACTC">[1]Calc1!$N$140:$HF$140</definedName>
    <definedName name="CompareFloridaOutputChildCareSubsidyFinal">[1]Calc1!$N$588:$HF$588</definedName>
    <definedName name="CompareFloridaOutputCHIP">[1]Calc1!$N$419:$HF$419</definedName>
    <definedName name="CompareFloridaOutputComboCashAssistance">CompareFloridaOutputTANF + CompareFloridaOutputSSI +CompareFloridaOutputLIHEAP</definedName>
    <definedName name="CompareFloridaOutputComboFoodAssistance">CompareFloridaOutputSNAP + CompareFloridaOutputWIC + CompareFloridaOutputSubsidizedSchoolMeals</definedName>
    <definedName name="CompareFloridaOutputComboMedicalAssistance">CompareFloridaOutputMedicaid + CompareFloridaOutputCHIP + CompareFloridaOutputHIXPTC</definedName>
    <definedName name="CompareFloridaOutputComboNetEarnings">CompareFloridaAdjusted_Gross_Income - CompareFloridaOutputFICA - CompareFloridaOutputFedTax - CompareFloridaOutputStateTax</definedName>
    <definedName name="CompareFloridaOutputComboRefundableTaxCredits">CompareFloridaOutputEITC + CompareFloridaOutputACTC + CompareFloridaOutputStateEITC + CompareFloridaOutputCTC</definedName>
    <definedName name="CompareFloridaOutputCTC">[1]Calc1!$N$108:$HF$108</definedName>
    <definedName name="CompareFloridaOutputEITC">[1]Calc1!$N$122:$HF$122</definedName>
    <definedName name="CompareFloridaOutputFedTax">[1]Calc1!$N$102:$HF$102</definedName>
    <definedName name="CompareFloridaOutputFICA">[1]Calc1!$N$54:$HF$54</definedName>
    <definedName name="CompareFloridaOutputHIXPTC">[1]Calc1!$N$462:$HF$462</definedName>
    <definedName name="CompareFloridaOutputInterval">[1]Calc1!$N$2:$HF$2</definedName>
    <definedName name="CompareFloridaOutputLIHEAP">[1]Calc1!$N$711:$HF$711</definedName>
    <definedName name="CompareFloridaOutputMedicaid">[1]Calc1!$N$375:$HF$375</definedName>
    <definedName name="CompareFloridaOutputMedicaidAndCHIP">CompareFloridaOutputMedicaid + CompareFloridaOutputCHIP</definedName>
    <definedName name="CompareFloridaOutputMomHourlyWage">[1]Calc1!$N$10:$HF$10</definedName>
    <definedName name="CompareFloridaOutputMomWeeklyHours">[1]Calc1!$N$5:$HF$5</definedName>
    <definedName name="CompareFloridaOutputSec8Entry">[1]Calc1!$N$685:$HF$685</definedName>
    <definedName name="CompareFloridaOutputSec8Extended">[1]Calc1!$N$690:$HF$690</definedName>
    <definedName name="CompareFloridaOutputSec8Final">[1]Calc1!$N$688:$HF$688</definedName>
    <definedName name="CompareFloridaOutputSNAP">[1]Calc1!$N$313:$HF$313</definedName>
    <definedName name="CompareFloridaOutputSSI">[1]Calc1!$N$280:$HF$280</definedName>
    <definedName name="CompareFloridaOutputStackPlusCashAssistance">CompareFloridaOutputStackPlusRefundableTaxCredits + CompareFloridaOutputComboCashAssistance</definedName>
    <definedName name="CompareFloridaOutputStackPlusChildCareFinal">CompareFloridaOutputStackPlusMedicalAssistance + CompareFloridaOutputChildCareSubsidyFinal</definedName>
    <definedName name="CompareFloridaOutputStackPlusFoodAssistance">CompareFloridaOutputStackPlusCashAssistance + CompareFloridaOutputComboFoodAssistance</definedName>
    <definedName name="CompareFloridaOutputStackPlusHIXPTC">CompareFloridaOutputStackPlusMedicaidAndCHIP + CompareFloridaOutputHIXPTC</definedName>
    <definedName name="CompareFloridaOutputStackPlusMedicaidAndCHIP">CompareFloridaOutputStackPlusFoodAssistance + CompareFloridaOutputMedicaid + CompareFloridaOutputCHIP</definedName>
    <definedName name="CompareFloridaOutputStackPlusMedicalAssistance">CompareFloridaOutputStackPlusFoodAssistance + CompareFloridaOutputComboMedicalAssistance</definedName>
    <definedName name="CompareFloridaOutputStackPlusRefundableTaxCredits">CompareFloridaOutputComboNetEarnings+CompareFloridaOutputComboRefundableTaxCredits</definedName>
    <definedName name="CompareFloridaOutputStackPlusSec8Entry">CompareFloridaOutputStackPlusChildCareFinal + CompareFloridaOutputSec8Entry</definedName>
    <definedName name="CompareFloridaOutputStackPlusSec8Entry_Graph">CompareFloridaOutputStackPlusChildCareFinal + CompareFloridaOutputSec8Final</definedName>
    <definedName name="CompareFloridaOutputStackPlusSec8Extended">CompareFloridaOutputStackPlusSec8Entry + CompareFloridaOutputSec8Extended</definedName>
    <definedName name="CompareFloridaOutputStateEITC">[1]Calc1!$N$221:$HF$221</definedName>
    <definedName name="CompareFloridaOutputStateTax">[1]Calc1!$N$206:$HF$206</definedName>
    <definedName name="CompareFloridaOutputSubsidizedSchoolMeals">[1]Calc1!$N$346:$HF$346</definedName>
    <definedName name="CompareFloridaOutputTANF">[1]Calc1!$N$267:$HF$267</definedName>
    <definedName name="CompareFloridaOutputWIC">[1]Calc1!$N$335:$HF$335</definedName>
    <definedName name="CompareGeorgiaAdjusted_Gross_Income">[1]Calc1!$N$66:INDEX([1]Calc1!$N$66:$HH$66,COUNTIF([1]Calc1!$N$66:$HH$66,”&lt;&gt;”&amp;””))</definedName>
    <definedName name="CompareGeorgiaHousehold_Annual_Earned_Income">[1]Calc1!$N$46:INDEX([1]Calc1!$N$46:$HH$46,COUNTIF([1]Calc1!$N$46:$HH$46,”&lt;&gt;”&amp;””))</definedName>
    <definedName name="CompareGeorgiaHousehold_Annual_Income">[1]Calc1!$N$50:INDEX([1]Calc1!$N$50:$HH$50,COUNTIF([1]Calc1!$N$50:$HH$50,”&lt;&gt;”&amp;””))</definedName>
    <definedName name="CompareGeorgiaHousehold_Annual_Unearned_Income">[1]Calc1!$N$48:INDEX([1]Calc1!$N$48:$HH$48,COUNTIF([1]Calc1!$N$48:$HH$48,”&lt;&gt;”&amp;””))</definedName>
    <definedName name="CompareGeorgiaHousehold_Monthly_Earned_Income">[1]Calc1!$N$45:INDEX([1]Calc1!$N$45:$HH$45,COUNTIF([1]Calc1!$N$45:$HH$45,”&lt;&gt;”&amp;””))</definedName>
    <definedName name="CompareGeorgiaHousehold_Monthly_Income">[1]Calc1!$N$49:INDEX([1]Calc1!$N$49:$HH$49,COUNTIF([1]Calc1!$N$49:$HH$49,”&lt;&gt;”&amp;””))</definedName>
    <definedName name="CompareGeorgiaHousehold_Monthly_Unearned_Income">[1]Calc1!$N$47:INDEX([1]Calc1!$N$47:$HH$47,COUNTIF([1]Calc1!$N$47:$HH$47,”&lt;&gt;”&amp;””))</definedName>
    <definedName name="CompareGeorgiaOutputACTC">[1]Calc1!$N$140:$HF$140</definedName>
    <definedName name="CompareGeorgiaOutputChildCareSubsidyFinal">[1]Calc1!$N$588:$HF$588</definedName>
    <definedName name="CompareGeorgiaOutputCHIP">[1]Calc1!$N$419:$HF$419</definedName>
    <definedName name="CompareGeorgiaOutputComboCashAssistance">CompareGeorgiaOutputTANF + CompareGeorgiaOutputSSI +CompareGeorgiaOutputLIHEAP</definedName>
    <definedName name="CompareGeorgiaOutputComboFoodAssistance">CompareGeorgiaOutputSNAP + CompareGeorgiaOutputWIC + CompareGeorgiaOutputSubsidizedSchoolMeals</definedName>
    <definedName name="CompareGeorgiaOutputComboMedicalAssistance">CompareGeorgiaOutputMedicaid + CompareGeorgiaOutputCHIP + CompareGeorgiaOutputHIXPTC</definedName>
    <definedName name="CompareGeorgiaOutputComboNetEarnings">CompareGeorgiaAdjusted_Gross_Income - CompareGeorgiaOutputFICA - CompareGeorgiaOutputFedTax - CompareGeorgiaOutputStateTax</definedName>
    <definedName name="CompareGeorgiaOutputComboRefundableTaxCredits">CompareGeorgiaOutputEITC + CompareGeorgiaOutputACTC + CompareGeorgiaOutputStateEITC + CompareGeorgiaOutputCTC</definedName>
    <definedName name="CompareGeorgiaOutputCTC">[1]Calc1!$N$108:$HF$108</definedName>
    <definedName name="CompareGeorgiaOutputEITC">[1]Calc1!$N$122:$HF$122</definedName>
    <definedName name="CompareGeorgiaOutputFedTax">[1]Calc1!$N$102:$HF$102</definedName>
    <definedName name="CompareGeorgiaOutputFICA">[1]Calc1!$N$54:$HF$54</definedName>
    <definedName name="CompareGeorgiaOutputHIXPTC">[1]Calc1!$N$462:$HF$462</definedName>
    <definedName name="CompareGeorgiaOutputInterval">[1]Calc1!$N$2:$HF$2</definedName>
    <definedName name="CompareGeorgiaOutputLIHEAP">[1]Calc1!$N$711:$HF$711</definedName>
    <definedName name="CompareGeorgiaOutputMedicaid">[1]Calc1!$N$375:$HF$375</definedName>
    <definedName name="CompareGeorgiaOutputMedicaidAndCHIP">CompareGeorgiaOutputMedicaid + CompareGeorgiaOutputCHIP</definedName>
    <definedName name="CompareGeorgiaOutputMomHourlyWage">[1]Calc1!$N$10:$HF$10</definedName>
    <definedName name="CompareGeorgiaOutputMomWeeklyHours">[1]Calc1!$N$5:$HF$5</definedName>
    <definedName name="CompareGeorgiaOutputSec8Entry">[1]Calc1!$N$685:$HF$685</definedName>
    <definedName name="CompareGeorgiaOutputSec8Extended">[1]Calc1!$N$690:$HF$690</definedName>
    <definedName name="CompareGeorgiaOutputSec8Final">[1]Calc1!$N$688:$HF$688</definedName>
    <definedName name="CompareGeorgiaOutputSNAP">[1]Calc1!$N$313:$HF$313</definedName>
    <definedName name="CompareGeorgiaOutputSSI">[1]Calc1!$N$280:$HF$280</definedName>
    <definedName name="CompareGeorgiaOutputStackPlusCashAssistance">CompareGeorgiaOutputStackPlusRefundableTaxCredits + CompareGeorgiaOutputComboCashAssistance</definedName>
    <definedName name="CompareGeorgiaOutputStackPlusChildCareFinal">CompareGeorgiaOutputStackPlusMedicalAssistance + CompareGeorgiaOutputChildCareSubsidyFinal</definedName>
    <definedName name="CompareGeorgiaOutputStackPlusFoodAssistance">CompareGeorgiaOutputStackPlusCashAssistance + CompareGeorgiaOutputComboFoodAssistance</definedName>
    <definedName name="CompareGeorgiaOutputStackPlusHIXPTC">CompareGeorgiaOutputStackPlusMedicaidAndCHIP + CompareGeorgiaOutputHIXPTC</definedName>
    <definedName name="CompareGeorgiaOutputStackPlusMedicaidAndCHIP">CompareGeorgiaOutputStackPlusFoodAssistance + CompareGeorgiaOutputMedicaid + CompareGeorgiaOutputCHIP</definedName>
    <definedName name="CompareGeorgiaOutputStackPlusMedicalAssistance">CompareGeorgiaOutputStackPlusFoodAssistance + CompareGeorgiaOutputComboMedicalAssistance</definedName>
    <definedName name="CompareGeorgiaOutputStackPlusRefundableTaxCredits">CompareGeorgiaOutputComboNetEarnings+CompareGeorgiaOutputComboRefundableTaxCredits</definedName>
    <definedName name="CompareGeorgiaOutputStackPlusSec8Entry">CompareGeorgiaOutputStackPlusChildCareFinal + CompareGeorgiaOutputSec8Entry</definedName>
    <definedName name="CompareGeorgiaOutputStackPlusSec8Entry_Graph">CompareGeorgiaOutputStackPlusChildCareFinal + CompareGeorgiaOutputSec8Final</definedName>
    <definedName name="CompareGeorgiaOutputStackPlusSec8Extended">CompareGeorgiaOutputStackPlusSec8Entry + CompareGeorgiaOutputSec8Extended</definedName>
    <definedName name="CompareGeorgiaOutputStateEITC">[1]Calc1!$N$221:$HF$221</definedName>
    <definedName name="CompareGeorgiaOutputStateTax">[1]Calc1!$N$206:$HF$206</definedName>
    <definedName name="CompareGeorgiaOutputSubsidizedSchoolMeals">[1]Calc1!$N$346:$HF$346</definedName>
    <definedName name="CompareGeorgiaOutputTANF">[1]Calc1!$N$267:$HF$267</definedName>
    <definedName name="CompareGeorgiaOutputWIC">[1]Calc1!$N$335:$HF$335</definedName>
    <definedName name="CompareLouisianaAdjusted_Gross_Income">[1]Calc1!$N$66:INDEX([1]Calc1!$N$66:$HH$66,COUNTIF([1]Calc1!$N$66:$HH$66,”&lt;&gt;”&amp;””))</definedName>
    <definedName name="CompareLouisianaHousehold_Annual_Earned_Income">[1]Calc1!$N$46:INDEX([1]Calc1!$N$46:$HH$46,COUNTIF([1]Calc1!$N$46:$HH$46,”&lt;&gt;”&amp;””))</definedName>
    <definedName name="CompareLouisianaHousehold_Annual_Income">[1]Calc1!$N$50:INDEX([1]Calc1!$N$50:$HH$50,COUNTIF([1]Calc1!$N$50:$HH$50,”&lt;&gt;”&amp;””))</definedName>
    <definedName name="CompareLouisianaHousehold_Annual_Unearned_Income">[1]Calc1!$N$48:INDEX([1]Calc1!$N$48:$HH$48,COUNTIF([1]Calc1!$N$48:$HH$48,”&lt;&gt;”&amp;””))</definedName>
    <definedName name="CompareLouisianaHousehold_Monthly_Earned_Income">[1]Calc1!$N$45:INDEX([1]Calc1!$N$45:$HH$45,COUNTIF([1]Calc1!$N$45:$HH$45,”&lt;&gt;”&amp;””))</definedName>
    <definedName name="CompareLouisianaHousehold_Monthly_Income">[1]Calc1!$N$49:INDEX([1]Calc1!$N$49:$HH$49,COUNTIF([1]Calc1!$N$49:$HH$49,”&lt;&gt;”&amp;””))</definedName>
    <definedName name="CompareLouisianaHousehold_Monthly_Unearned_Income">[1]Calc1!$N$47:INDEX([1]Calc1!$N$47:$HH$47,COUNTIF([1]Calc1!$N$47:$HH$47,”&lt;&gt;”&amp;””))</definedName>
    <definedName name="CompareLouisianaOutputACTC">[1]Calc1!$N$140:$HF$140</definedName>
    <definedName name="CompareLouisianaOutputChildCareSubsidyFinal">[1]Calc1!$N$588:$HF$588</definedName>
    <definedName name="CompareLouisianaOutputCHIP">[1]Calc1!$N$419:$HF$419</definedName>
    <definedName name="CompareLouisianaOutputComboCashAssistance">CompareLouisianaOutputTANF + CompareLouisianaOutputSSI + CompareLouisianaOutputLIHEAP</definedName>
    <definedName name="CompareLouisianaOutputComboFoodAssistance">CompareLouisianaOutputSNAP + CompareLouisianaOutputWIC + CompareLouisianaOutputSubsidizedSchoolMeals</definedName>
    <definedName name="CompareLouisianaOutputComboMedicalAssistance">CompareLouisianaOutputMedicaid + CompareLouisianaOutputCHIP + CompareLouisianaOutputHIXPTC</definedName>
    <definedName name="CompareLouisianaOutputComboNetEarnings">CompareLouisianaAdjusted_Gross_Income - CompareLouisianaOutputFICA - CompareLouisianaOutputFedTax - CompareLouisianaOutputStateTax</definedName>
    <definedName name="CompareLouisianaOutputComboRefundableTaxCredits">CompareLouisianaOutputEITC + CompareLouisianaOutputACTC + CompareLouisianaOutputStateEITC + CompareLouisianaOutputCTC</definedName>
    <definedName name="CompareLouisianaOutputCTC">[1]Calc1!$N$108:$HF$108</definedName>
    <definedName name="CompareLouisianaOutputEITC">[1]Calc1!$N$122:$HF$122</definedName>
    <definedName name="CompareLouisianaOutputFedTax">[1]Calc1!$N$102:$HF$102</definedName>
    <definedName name="CompareLouisianaOutputFICA">[1]Calc1!$N$54:$HF$54</definedName>
    <definedName name="CompareLouisianaOutputHIXPTC">[1]Calc1!$N$462:$HF$462</definedName>
    <definedName name="CompareLouisianaOutputInterval">[1]Calc1!$N$2:$HF$2</definedName>
    <definedName name="CompareLouisianaOutputLIHEAP">[1]Calc1!$N$711:$HF$711</definedName>
    <definedName name="CompareLouisianaOutputMedicaid">[1]Calc1!$N$375:$HF$375</definedName>
    <definedName name="CompareLouisianaOutputMedicaidAndCHIP">CompareLouisianaOutputMedicaid + CompareLouisianaOutputCHIP</definedName>
    <definedName name="CompareLouisianaOutputMomHourlyWage">[1]Calc1!$N$10:$HF$10</definedName>
    <definedName name="CompareLouisianaOutputMomWeeklyHours">[1]Calc1!$N$5:$HF$5</definedName>
    <definedName name="CompareLouisianaOutputSec8Entry">[1]Calc1!$N$685:$HF$685</definedName>
    <definedName name="CompareLouisianaOutputSec8Extended">[1]Calc1!$N$690:$HF$690</definedName>
    <definedName name="CompareLouisianaOutputSec8Final">[1]Calc1!$N$688:$HF$688</definedName>
    <definedName name="CompareLouisianaOutputSNAP">[1]Calc1!$N$313:$HF$313</definedName>
    <definedName name="CompareLouisianaOutputSSI">[1]Calc1!$N$280:$HF$280</definedName>
    <definedName name="CompareLouisianaOutputStackPlusCashAssistance">CompareLouisianaOutputStackPlusRefundableTaxCredits + CompareLouisianaOutputComboCashAssistance</definedName>
    <definedName name="CompareLouisianaOutputStackPlusChildCareFinal">CompareLouisianaOutputStackPlusMedicalAssistance + CompareLouisianaOutputChildCareSubsidyFinal</definedName>
    <definedName name="CompareLouisianaOutputStackPlusFoodAssistance">CompareLouisianaOutputStackPlusCashAssistance + CompareLouisianaOutputComboFoodAssistance</definedName>
    <definedName name="CompareLouisianaOutputStackPlusHIXPTC">CompareLouisianaOutputStackPlusMedicaidAndCHIP + CompareLouisianaOutputHIXPTC</definedName>
    <definedName name="CompareLouisianaOutputStackPlusMedicaidAndCHIP">CompareLouisianaOutputStackPlusFoodAssistance + CompareLouisianaOutputMedicaid + CompareLouisianaOutputCHIP</definedName>
    <definedName name="CompareLouisianaOutputStackPlusMedicalAssistance">CompareLouisianaOutputStackPlusFoodAssistance + CompareLouisianaOutputComboMedicalAssistance</definedName>
    <definedName name="CompareLouisianaOutputStackPlusRefundableTaxCredits">CompareLouisianaOutputComboNetEarnings+CompareLouisianaOutputComboRefundableTaxCredits</definedName>
    <definedName name="CompareLouisianaOutputStackPlusSec8Entry">CompareLouisianaOutputStackPlusChildCareFinal + CompareLouisianaOutputSec8Entry</definedName>
    <definedName name="CompareLouisianaOutputStackPlusSec8Entry_Graph">CompareLouisianaOutputStackPlusChildCareFinal + CompareLouisianaOutputSec8Final</definedName>
    <definedName name="CompareLouisianaOutputStackPlusSec8Extended">CompareLouisianaOutputStackPlusSec8Entry + CompareLouisianaOutputSec8Extended</definedName>
    <definedName name="CompareLouisianaOutputStateEITC">[1]Calc1!$N$221:$HF$221</definedName>
    <definedName name="CompareLouisianaOutputStateTax">[1]Calc1!$N$206:$HF$206</definedName>
    <definedName name="CompareLouisianaOutputSubsidizedSchoolMeals">[1]Calc1!$N$346:$HF$346</definedName>
    <definedName name="CompareLouisianaOutputTANF">[1]Calc1!$N$267:$HF$267</definedName>
    <definedName name="CompareLouisianaOutputWIC">[1]Calc1!$N$335:$HF$335</definedName>
    <definedName name="CompareMississippiAdjusted_Gross_Income">[1]Calc1!$N$66:INDEX([1]Calc1!$N$66:$HH$66,COUNTIF([1]Calc1!$N$66:$HH$66,”&lt;&gt;”&amp;””))</definedName>
    <definedName name="CompareMississippiHousehold_Annual_Earned_Income">[1]Calc1!$N$46:INDEX([1]Calc1!$N$46:$HH$46,COUNTIF([1]Calc1!$N$46:$HH$46,”&lt;&gt;”&amp;””))</definedName>
    <definedName name="CompareMississippiHousehold_Annual_Income">[1]Calc1!$N$50:INDEX([1]Calc1!$N$50:$HH$50,COUNTIF([1]Calc1!$N$50:$HH$50,”&lt;&gt;”&amp;””))</definedName>
    <definedName name="CompareMississippiHousehold_Annual_Unearned_Income">[1]Calc1!$N$48:INDEX([1]Calc1!$N$48:$HH$48,COUNTIF([1]Calc1!$N$48:$HH$48,”&lt;&gt;”&amp;””))</definedName>
    <definedName name="CompareMississippiHousehold_Monthly_Earned_Income">[1]Calc1!$N$45:INDEX([1]Calc1!$N$45:$HH$45,COUNTIF([1]Calc1!$N$45:$HH$45,”&lt;&gt;”&amp;””))</definedName>
    <definedName name="CompareMississippiHousehold_Monthly_Income">[1]Calc1!$N$49:INDEX([1]Calc1!$N$49:$HH$49,COUNTIF([1]Calc1!$N$49:$HH$49,”&lt;&gt;”&amp;””))</definedName>
    <definedName name="CompareMississippiHousehold_Monthly_Unearned_Income">[1]Calc1!$N$47:INDEX([1]Calc1!$N$47:$HH$47,COUNTIF([1]Calc1!$N$47:$HH$47,”&lt;&gt;”&amp;””))</definedName>
    <definedName name="CompareMississippiOutputACTC">[1]Calc1!$N$140:$HF$140</definedName>
    <definedName name="CompareMississippiOutputChildCareSubsidyFinal">[1]Calc1!$N$588:$HF$588</definedName>
    <definedName name="CompareMississippiOutputCHIP">[1]Calc1!$N$419:$HF$419</definedName>
    <definedName name="CompareMississippiOutputComboCashAssistance">CompareMississippiOutputTANF + CompareMississippiOutputSSI + CompareMississippiOutputLIHEAP</definedName>
    <definedName name="CompareMississippiOutputComboFoodAssistance">CompareMississippiOutputSNAP + CompareMississippiOutputWIC + CompareMississippiOutputSubsidizedSchoolMeals</definedName>
    <definedName name="CompareMississippiOutputComboMedicalAssistance">CompareMississippiOutputMedicaid + CompareMississippiOutputCHIP + CompareMississippiOutputHIXPTC</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CompareMississippiOutputEITC + CompareMississippiOutputACTC + CompareMississippiOutputStateEITC + CompareMississippiOutputCTC</definedName>
    <definedName name="CompareMississippiOutputCTC">[1]Calc1!$N$108:$HF$108</definedName>
    <definedName name="CompareMississippiOutputEITC">[1]Calc1!$N$122:$HF$122</definedName>
    <definedName name="CompareMississippiOutputFedTax">[1]Calc1!$N$102:$HF$102</definedName>
    <definedName name="CompareMississippiOutputFICA">[1]Calc1!$N$54:$HF$54</definedName>
    <definedName name="CompareMississippiOutputHIXPTC">[1]Calc1!$N$462:$HF$462</definedName>
    <definedName name="CompareMississippiOutputInterval">[1]Calc1!$N$2:$HF$2</definedName>
    <definedName name="CompareMississippiOutputLIHEAP">[1]Calc1!$N$711:$HF$711</definedName>
    <definedName name="CompareMississippiOutputMedicaid">[1]Calc1!$N$375:$HF$375</definedName>
    <definedName name="CompareMississippiOutputMedicaidAndCHIP">CompareMississippiOutputMedicaid + CompareMississippiOutputCHIP</definedName>
    <definedName name="CompareMississippiOutputMomHourlyWage">[1]Calc1!$N$10:$HF$10</definedName>
    <definedName name="CompareMississippiOutputMomWeeklyHours">[1]Calc1!$N$5:$HF$5</definedName>
    <definedName name="CompareMississippiOutputSec8Entry">[1]Calc1!$N$685:$HF$685</definedName>
    <definedName name="CompareMississippiOutputSec8Extended">[1]Calc1!$N$690:$HF$690</definedName>
    <definedName name="CompareMississippiOutputSec8Final">[1]Calc1!$N$688:$HF$688</definedName>
    <definedName name="CompareMississippiOutputSNAP">[1]Calc1!$N$313:$HF$313</definedName>
    <definedName name="CompareMississippiOutputSSI">[1]Calc1!$N$280:$HF$280</definedName>
    <definedName name="CompareMississippiOutputStackPlusCashAssistance">CompareMississippiOutputStackPlusRefundableTaxCredits + CompareMississippiOutputComboCashAssistance</definedName>
    <definedName name="CompareMississippiOutputStackPlusChildCareFinal">CompareMississippiOutputStackPlusMedicalAssistance + CompareMississippiOutputChildCareSubsidyFinal</definedName>
    <definedName name="CompareMississippiOutputStackPlusFoodAssistance">CompareMississippiOutputStackPlusCashAssistance + CompareMississippiOutputComboFoodAssistance</definedName>
    <definedName name="CompareMississippiOutputStackPlusHIXPTC">CompareMississippiOutputStackPlusMedicaidAndCHIP + CompareMississippiOutputHIXPTC</definedName>
    <definedName name="CompareMississippiOutputStackPlusMedicaidAndCHIP">CompareMississippiOutputStackPlusFoodAssistance + CompareMississippiOutputMedicaid + CompareMississippiOutputCHIP</definedName>
    <definedName name="CompareMississippiOutputStackPlusMedicalAssistance">CompareMississippiOutputStackPlusFoodAssistance + CompareMississippiOutputComboMedicalAssistance</definedName>
    <definedName name="CompareMississippiOutputStackPlusRefundableTaxCredits">CompareMississippiOutputComboNetEarnings+CompareMississippiOutputComboRefundableTaxCredits</definedName>
    <definedName name="CompareMississippiOutputStackPlusSec8Entry">CompareMississippiOutputStackPlusChildCareFinal + CompareMississippiOutputSec8Entry</definedName>
    <definedName name="CompareMississippiOutputStackPlusSec8Entry_Graph">CompareMississippiOutputStackPlusChildCareFinal + CompareMississippiOutputSec8Final</definedName>
    <definedName name="CompareMississippiOutputStackPlusSec8Extended">CompareMississippiOutputStackPlusSec8Entry + CompareMississippiOutputSec8Extended</definedName>
    <definedName name="CompareMississippiOutputStateEITC">[1]Calc1!$N$221:$HF$221</definedName>
    <definedName name="CompareMississippiOutputStateTax">[1]Calc1!$N$206:$HF$206</definedName>
    <definedName name="CompareMississippiOutputSubsidizedSchoolMeals">[1]Calc1!$N$346:$HF$346</definedName>
    <definedName name="CompareMississippiOutputTANF">[1]Calc1!$N$267:$HF$267</definedName>
    <definedName name="CompareMississippiOutputWIC">[1]Calc1!$N$335:$HF$335</definedName>
    <definedName name="CompareNorthCarolinaAdjusted_Gross_Income">[1]Calc1!$N$66:INDEX([1]Calc1!$N$66:$HH$66,COUNTIF([1]Calc1!$N$66:$HH$66,”&lt;&gt;”&amp;””))</definedName>
    <definedName name="CompareNorthCarolinaHousehold_Annual_Earned_Income">[1]Calc1!$N$46:INDEX([1]Calc1!$N$46:$HH$46,COUNTIF([1]Calc1!$N$46:$HH$46,”&lt;&gt;”&amp;””))</definedName>
    <definedName name="CompareNorthCarolinaHousehold_Annual_Income">[1]Calc1!$N$50:INDEX([1]Calc1!$N$50:$HH$50,COUNTIF([1]Calc1!$N$50:$HH$50,”&lt;&gt;”&amp;””))</definedName>
    <definedName name="CompareNorthCarolinaHousehold_Annual_Unearned_Income">[1]Calc1!$N$48:INDEX([1]Calc1!$N$48:$HH$48,COUNTIF([1]Calc1!$N$48:$HH$48,”&lt;&gt;”&amp;””))</definedName>
    <definedName name="CompareNorthCarolinaHousehold_Monthly_Earned_Income">[1]Calc1!$N$45:INDEX([1]Calc1!$N$45:$HH$45,COUNTIF([1]Calc1!$N$45:$HH$45,”&lt;&gt;”&amp;””))</definedName>
    <definedName name="CompareNorthCarolinaHousehold_Monthly_Income">[1]Calc1!$N$49:INDEX([1]Calc1!$N$49:$HH$49,COUNTIF([1]Calc1!$N$49:$HH$49,”&lt;&gt;”&amp;””))</definedName>
    <definedName name="CompareNorthCarolinaHousehold_Monthly_Unearned_Income">[1]Calc1!$N$47:INDEX([1]Calc1!$N$47:$HH$47,COUNTIF([1]Calc1!$N$47:$HH$47,”&lt;&gt;”&amp;””))</definedName>
    <definedName name="CompareNorthCarolinaOutputACTC">[1]Calc1!$N$140:$HF$140</definedName>
    <definedName name="CompareNorthCarolinaOutputChildCareSubsidyFinal">[1]Calc1!$N$588:$HF$588</definedName>
    <definedName name="CompareNorthCarolinaOutputCHIP">[1]Calc1!$N$419:$HF$419</definedName>
    <definedName name="CompareNorthCarolinaOutputComboCashAssistance">CompareNorthCarolinaOutputTANF + CompareNorthCarolinaOutputSSI +CompareNorthCarolinaOutputLIHEAP</definedName>
    <definedName name="CompareNorthCarolinaOutputComboFoodAssistance">CompareNorthCarolinaOutputSNAP + CompareNorthCarolinaOutputWIC + CompareNorthCarolinaOutputSubsidizedSchoolMeals</definedName>
    <definedName name="CompareNorthCarolinaOutputComboMedicalAssistance">CompareNorthCarolinaOutputMedicaid + CompareNorthCarolinaOutputCHIP + CompareNorthCarolinaOutputHIXPTC</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CompareNorthCarolinaOutputEITC + CompareNorthCarolinaOutputACTC + CompareNorthCarolinaOutputStateEITC + CompareNorthCarolinaOutputCTC</definedName>
    <definedName name="CompareNorthCarolinaOutputCTC">[1]Calc1!$N$108:$HF$108</definedName>
    <definedName name="CompareNorthCarolinaOutputEITC">[1]Calc1!$N$122:$HF$122</definedName>
    <definedName name="CompareNorthCarolinaOutputFedTax">[1]Calc1!$N$102:$HF$102</definedName>
    <definedName name="CompareNorthCarolinaOutputFICA">[1]Calc1!$N$54:$HF$54</definedName>
    <definedName name="CompareNorthCarolinaOutputHIXPTC">[1]Calc1!$N$462:$HF$462</definedName>
    <definedName name="CompareNorthCarolinaOutputInterval">[1]Calc1!$N$2:$HF$2</definedName>
    <definedName name="CompareNorthCarolinaOutputLIHEAP">[1]Calc1!$N$711:$HF$711</definedName>
    <definedName name="CompareNorthCarolinaOutputMedicaid">[1]Calc1!$N$375:$HF$375</definedName>
    <definedName name="CompareNorthCarolinaOutputMedicaidAndCHIP">CompareNorthCarolinaOutputMedicaid + CompareNorthCarolinaOutputCHIP</definedName>
    <definedName name="CompareNorthCarolinaOutputMomHourlyWage">[1]Calc1!$N$10:$HF$10</definedName>
    <definedName name="CompareNorthCarolinaOutputMomWeeklyHours">[1]Calc1!$N$5:$HF$5</definedName>
    <definedName name="CompareNorthCarolinaOutputSec8Entry">[1]Calc1!$N$685:$HF$685</definedName>
    <definedName name="CompareNorthCarolinaOutputSec8Extended">[1]Calc1!$N$690:$HF$690</definedName>
    <definedName name="CompareNorthCarolinaOutputSec8Final">[1]Calc1!$N$688:$HF$688</definedName>
    <definedName name="CompareNorthCarolinaOutputSNAP">[1]Calc1!$N$313:$HF$313</definedName>
    <definedName name="CompareNorthCarolinaOutputSSI">[1]Calc1!$N$280:$HF$280</definedName>
    <definedName name="CompareNorthCarolinaOutputStackPlusCashAssistance">CompareNorthCarolinaOutputStackPlusRefundableTaxCredits + CompareNorthCarolinaOutputComboCashAssistance</definedName>
    <definedName name="CompareNorthCarolinaOutputStackPlusChildCareFinal">CompareNorthCarolinaOutputStackPlusMedicalAssistance + CompareNorthCarolinaOutputChildCareSubsidyFinal</definedName>
    <definedName name="CompareNorthCarolinaOutputStackPlusFoodAssistance">CompareNorthCarolinaOutputStackPlusCashAssistance + CompareNorthCarolinaOutputComboFoodAssistance</definedName>
    <definedName name="CompareNorthCarolinaOutputStackPlusHIXPTC">CompareNorthCarolinaOutputStackPlusMedicaidAndCHIP + CompareNorthCarolinaOutputHIXPTC</definedName>
    <definedName name="CompareNorthCarolinaOutputStackPlusMedicaidAndCHIP">CompareNorthCarolinaOutputStackPlusFoodAssistance + CompareNorthCarolinaOutputMedicaid + CompareNorthCarolinaOutputCHIP</definedName>
    <definedName name="CompareNorthCarolinaOutputStackPlusMedicalAssistance">CompareNorthCarolinaOutputStackPlusFoodAssistance + CompareNorthCarolinaOutputComboMedicalAssistance</definedName>
    <definedName name="CompareNorthCarolinaOutputStackPlusRefundableTaxCredits">CompareNorthCarolinaOutputComboNetEarnings+CompareNorthCarolinaOutputComboRefundableTaxCredits</definedName>
    <definedName name="CompareNorthCarolinaOutputStackPlusSec8Entry">CompareNorthCarolinaOutputStackPlusChildCareFinal + CompareNorthCarolinaOutputSec8Entry</definedName>
    <definedName name="CompareNorthCarolinaOutputStackPlusSec8Entry_Graph">CompareNorthCarolinaOutputStackPlusChildCareFinal + CompareNorthCarolinaOutputSec8Final</definedName>
    <definedName name="CompareNorthCarolinaOutputStackPlusSec8Extended">CompareNorthCarolinaOutputStackPlusSec8Entry + CompareNorthCarolinaOutputSec8Extended</definedName>
    <definedName name="CompareNorthCarolinaOutputStateEITC">[1]Calc1!$N$221:$HF$221</definedName>
    <definedName name="CompareNorthCarolinaOutputStateTax">[1]Calc1!$N$206:$HF$206</definedName>
    <definedName name="CompareNorthCarolinaOutputSubsidizedSchoolMeals">[1]Calc1!$N$346:$HF$346</definedName>
    <definedName name="CompareNorthCarolinaOutputTANF">[1]Calc1!$N$267:$HF$267</definedName>
    <definedName name="CompareNorthCarolinaOutputWIC">[1]Calc1!$N$335:$HF$335</definedName>
    <definedName name="CompareOriginalIncomeAdjusted_Gross_Income">[1]Calc1!$N$66:INDEX([1]Calc1!$N$66:$HH$66,COUNTIF([1]Calc1!$N$66:$HH$66,”&lt;&gt;”&amp;””))</definedName>
    <definedName name="CompareOriginalIncomeHousehold_Annual_Earned_Income">[1]Calc1!$N$46:INDEX([1]Calc1!$N$46:$HH$46,COUNTIF([1]Calc1!$N$46:$HH$46,”&lt;&gt;”&amp;””))</definedName>
    <definedName name="CompareOriginalIncomeHousehold_Annual_Income">[1]Calc1!$N$50:INDEX([1]Calc1!$N$50:$HH$50,COUNTIF([1]Calc1!$N$50:$HH$50,”&lt;&gt;”&amp;””))</definedName>
    <definedName name="CompareOriginalIncomeHousehold_Annual_Unearned_Income">[1]Calc1!$N$48:INDEX([1]Calc1!$N$48:$HH$48,COUNTIF([1]Calc1!$N$48:$HH$48,”&lt;&gt;”&amp;””))</definedName>
    <definedName name="CompareOriginalIncomeHousehold_Monthly_Earned_Income">[1]Calc1!$N$45:INDEX([1]Calc1!$N$45:$HH$45,COUNTIF([1]Calc1!$N$45:$HH$45,”&lt;&gt;”&amp;””))</definedName>
    <definedName name="CompareOriginalIncomeHousehold_Monthly_Income">[1]Calc1!$N$49:INDEX([1]Calc1!$N$49:$HH$49,COUNTIF([1]Calc1!$N$49:$HH$49,”&lt;&gt;”&amp;””))</definedName>
    <definedName name="CompareOriginalIncomeHousehold_Monthly_Unearned_Income">[1]Calc1!$N$47:INDEX([1]Calc1!$N$47:$HH$47,COUNTIF([1]Calc1!$N$47:$HH$47,”&lt;&gt;”&amp;””))</definedName>
    <definedName name="CompareOriginalIncomeOutputACTC">[1]Calc1!$N$140:$HF$140</definedName>
    <definedName name="CompareOriginalIncomeOutputChildCareSubsidyFinal">[1]Calc1!$N$588:$HF$588</definedName>
    <definedName name="CompareOriginalIncomeOutputCHIP">[1]Calc1!$N$419:$HF$419</definedName>
    <definedName name="CompareOriginalIncomeOutputComboCashAssistance">CompareOriginalIncomeOutputTANF + CompareOriginalIncomeOutputSSI + CompareOriginalIncomeOutputLIHEAP</definedName>
    <definedName name="CompareOriginalIncomeOutputComboFoodAssistance">CompareOriginalIncomeOutputSNAP + CompareOriginalIncomeOutputWIC + CompareOriginalIncomeOutputSubsidizedSchoolMeals</definedName>
    <definedName name="CompareOriginalIncomeOutputComboMedicalAssistance">CompareOriginalIncomeOutputMedicaid + CompareOriginalIncomeOutputCHIP + CompareOriginalIncomeOutputHIXPTC</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CompareOriginalIncomeOutputEITC + CompareOriginalIncomeOutputACTC + CompareOriginalIncomeOutputStateEITC + CompareOriginalIncomeOutputCTC</definedName>
    <definedName name="CompareOriginalIncomeOutputCTC">[1]Calc1!$N$108:$HF$108</definedName>
    <definedName name="CompareOriginalIncomeOutputEITC">[1]Calc1!$N$122:$HF$122</definedName>
    <definedName name="CompareOriginalIncomeOutputFedTax">[1]Calc1!$N$102:$HF$102</definedName>
    <definedName name="CompareOriginalIncomeOutputFICA">[1]Calc1!$N$54:$HF$54</definedName>
    <definedName name="CompareOriginalIncomeOutputHIXPTC">[1]Calc1!$N$462:$HF$462</definedName>
    <definedName name="CompareOriginalIncomeOutputInterval">[1]Calc1!$N$2:$HF$2</definedName>
    <definedName name="CompareOriginalIncomeOutputLIHEAP">[1]Calc1!$N$711:$HF$711</definedName>
    <definedName name="CompareOriginalIncomeOutputMedicaid">[1]Calc1!$N$375:$HF$375</definedName>
    <definedName name="CompareOriginalIncomeOutputMedicaidAndCHIP">CompareOriginalIncomeOutputMedicaid + CompareOriginalIncomeOutputCHIP</definedName>
    <definedName name="CompareOriginalIncomeOutputMomHourlyWage">[1]Calc1!$N$10:$HF$10</definedName>
    <definedName name="CompareOriginalIncomeOutputMomWeeklyHours">[1]Calc1!$N$5:$HF$5</definedName>
    <definedName name="CompareOriginalIncomeOutputSec8Entry">[1]Calc1!$N$685:$HF$685</definedName>
    <definedName name="CompareOriginalIncomeOutputSec8Extended">[1]Calc1!$N$690:$HF$690</definedName>
    <definedName name="CompareOriginalIncomeOutputSec8Final">[1]Calc1!$N$688:$HF$688</definedName>
    <definedName name="CompareOriginalIncomeOutputSNAP">[1]Calc1!$N$313:$HF$313</definedName>
    <definedName name="CompareOriginalIncomeOutputSSI">[1]Calc1!$N$280:$HF$280</definedName>
    <definedName name="CompareOriginalIncomeOutputStackPlusCashAssistance">CompareOriginalIncomeOutputStackPlusRefundableTaxCredits + CompareOriginalIncomeOutputComboCashAssistance</definedName>
    <definedName name="CompareOriginalIncomeOutputStackPlusChildCareFinal">CompareOriginalIncomeOutputStackPlusMedicalAssistance + CompareOriginalIncomeOutputChildCareSubsidyFinal</definedName>
    <definedName name="CompareOriginalIncomeOutputStackPlusFoodAssistance">CompareOriginalIncomeOutputStackPlusCashAssistance + CompareOriginalIncomeOutputComboFoodAssistance</definedName>
    <definedName name="CompareOriginalIncomeOutputStackPlusHIXPTC">CompareOriginalIncomeOutputStackPlusMedicaidAndCHIP + CompareOriginalIncomeOutputHIXPTC</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CompareOriginalIncomeOutputStackPlusFoodAssistance + CompareOriginalIncomeOutputComboMedicalAssistance</definedName>
    <definedName name="CompareOriginalIncomeOutputStackPlusRefundableTaxCredits">CompareOriginalIncomeOutputComboNetEarnings+CompareOriginalIncomeOutputComboRefundableTaxCredits</definedName>
    <definedName name="CompareOriginalIncomeOutputStackPlusSec8Entry">CompareOriginalIncomeOutputStackPlusChildCareFinal + CompareOriginalIncomeOutputSec8Entry</definedName>
    <definedName name="CompareOriginalIncomeOutputStackPlusSec8Entry_Graph">CompareOriginalIncomeOutputStackPlusChildCareFinal + CompareOriginalIncomeOutputSec8Final</definedName>
    <definedName name="CompareOriginalIncomeOutputStackPlusSec8Extended">CompareOriginalIncomeOutputStackPlusSec8Entry + CompareOriginalIncomeOutputSec8Extended</definedName>
    <definedName name="CompareOriginalIncomeOutputStateEITC">[1]Calc1!$N$221:$HF$221</definedName>
    <definedName name="CompareOriginalIncomeOutputStateTax">[1]Calc1!$N$206:$HF$206</definedName>
    <definedName name="CompareOriginalIncomeOutputSubsidizedSchoolMeals">[1]Calc1!$N$346:$HF$346</definedName>
    <definedName name="CompareOriginalIncomeOutputTANF">[1]Calc1!$N$267:$HF$267</definedName>
    <definedName name="CompareOriginalIncomeOutputWIC">[1]Calc1!$N$335:$HF$335</definedName>
    <definedName name="CompareProspectiveIncomeAdjusted_Gross_Income">[1]Calc1!$N$66:INDEX([1]Calc1!$N$66:$HH$66,COUNTIF([1]Calc1!$N$66:$HH$66,”&lt;&gt;”&amp;””))</definedName>
    <definedName name="CompareProspectiveIncomeHousehold_Annual_Earned_Income">[1]Calc1!$N$46:INDEX([1]Calc1!$N$46:$HH$46,COUNTIF([1]Calc1!$N$46:$HH$46,”&lt;&gt;”&amp;””))</definedName>
    <definedName name="CompareProspectiveIncomeHousehold_Annual_Income">[1]Calc1!$N$50:INDEX([1]Calc1!$N$50:$HH$50,COUNTIF([1]Calc1!$N$50:$HH$50,”&lt;&gt;”&amp;””))</definedName>
    <definedName name="CompareProspectiveIncomeHousehold_Annual_Unearned_Income">[1]Calc1!$N$48:INDEX([1]Calc1!$N$48:$HH$48,COUNTIF([1]Calc1!$N$48:$HH$48,”&lt;&gt;”&amp;””))</definedName>
    <definedName name="CompareProspectiveIncomeHousehold_Monthly_Earned_Income">[1]Calc1!$N$45:INDEX([1]Calc1!$N$45:$HH$45,COUNTIF([1]Calc1!$N$45:$HH$45,”&lt;&gt;”&amp;””))</definedName>
    <definedName name="CompareProspectiveIncomeHousehold_Monthly_Income">[1]Calc1!$N$49:INDEX([1]Calc1!$N$49:$HH$49,COUNTIF([1]Calc1!$N$49:$HH$49,”&lt;&gt;”&amp;””))</definedName>
    <definedName name="CompareProspectiveIncomeHousehold_Monthly_Unearned_Income">[1]Calc1!$N$47:INDEX([1]Calc1!$N$47:$HH$47,COUNTIF([1]Calc1!$N$47:$HH$47,”&lt;&gt;”&amp;””))</definedName>
    <definedName name="CompareProspectiveIncomeOutputACTC">[1]Calc1!$N$140:$HF$140</definedName>
    <definedName name="CompareProspectiveIncomeOutputChildCareSubsidyFinal">[1]Calc1!$N$588:$HF$588</definedName>
    <definedName name="CompareProspectiveIncomeOutputCHIP">[1]Calc1!$N$419:$HF$419</definedName>
    <definedName name="CompareProspectiveIncomeOutputComboCashAssistance">CompareProspectiveIncomeOutputTANF + CompareProspectiveIncomeOutputSSI + CompareProspectiveIncomeOutputLIHEAP</definedName>
    <definedName name="CompareProspectiveIncomeOutputComboFoodAssistance">CompareProspectiveIncomeOutputSNAP + CompareProspectiveIncomeOutputWIC + CompareProspectiveIncomeOutputSubsidizedSchoolMeals</definedName>
    <definedName name="CompareProspectiveIncomeOutputComboMedicalAssistance">CompareProspectiveIncomeOutputMedicaid + CompareProspectiveIncomeOutputCHIP + CompareProspectiveIncomeOutputHIXPTC</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CompareProspectiveIncomeOutputEITC + CompareProspectiveIncomeOutputACTC + CompareProspectiveIncomeOutputStateEITC</definedName>
    <definedName name="CompareProspectiveIncomeOutputCTC">[1]Calc1!$N$108:$HF$108</definedName>
    <definedName name="CompareProspectiveIncomeOutputEITC">[1]Calc1!$N$122:$HF$122</definedName>
    <definedName name="CompareProspectiveIncomeOutputFedTax">[1]Calc1!$N$102:$HF$102</definedName>
    <definedName name="CompareProspectiveIncomeOutputFICA">[1]Calc1!$N$54:$HF$54</definedName>
    <definedName name="CompareProspectiveIncomeOutputHIXPTC">[1]Calc1!$N$462:$HF$462</definedName>
    <definedName name="CompareProspectiveIncomeOutputInterval">[1]Calc1!$N$2:$HF$2</definedName>
    <definedName name="CompareProspectiveIncomeOutputLIHEAP">[1]Calc1!$N$711:$HF$711</definedName>
    <definedName name="CompareProspectiveIncomeOutputMedicaid">[1]Calc1!$N$375:$HF$375</definedName>
    <definedName name="CompareProspectiveIncomeOutputMedicaidAndCHIP">CompareProspectiveIncomeOutputMedicaid + CompareProspectiveIncomeOutputCHIP</definedName>
    <definedName name="CompareProspectiveIncomeOutputMomHourlyWage">[1]Calc1!$N$10:$HF$10</definedName>
    <definedName name="CompareProspectiveIncomeOutputMomWeeklyHours">[1]Calc1!$N$5:$HF$5</definedName>
    <definedName name="CompareProspectiveIncomeOutputSec8Entry">[1]Calc1!$N$685:$HF$685</definedName>
    <definedName name="CompareProspectiveIncomeOutputSec8Extended">[1]Calc1!$N$690:$HF$690</definedName>
    <definedName name="CompareProspectiveIncomeOutputSec8Final">[1]Calc1!$N$688:$HF$688</definedName>
    <definedName name="CompareProspectiveIncomeOutputSNAP">[1]Calc1!$N$313:$HF$313</definedName>
    <definedName name="CompareProspectiveIncomeOutputSSI">[1]Calc1!$N$280:$HF$280</definedName>
    <definedName name="CompareProspectiveIncomeOutputStackPlusCashAssistance">CompareProspectiveIncomeOutputStackPlusRefundableTaxCredits + CompareProspectiveIncomeOutputComboCashAssistance</definedName>
    <definedName name="CompareProspectiveIncomeOutputStackPlusChildCareFinal">CompareProspectiveIncomeOutputStackPlusMedicalAssistance + CompareProspectiveIncomeOutputChildCareSubsidyFinal</definedName>
    <definedName name="CompareProspectiveIncomeOutputStackPlusFoodAssistance">CompareProspectiveIncomeOutputStackPlusCashAssistance + CompareProspectiveIncomeOutputComboFoodAssistance</definedName>
    <definedName name="CompareProspectiveIncomeOutputStackPlusHIXPTC">CompareProspectiveIncomeOutputStackPlusMedicaidAndCHIP + CompareProspectiveIncomeOutputHIXPTC</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CompareProspectiveIncomeOutputStackPlusFoodAssistance + CompareProspectiveIncomeOutputComboMedicalAssistance</definedName>
    <definedName name="CompareProspectiveIncomeOutputStackPlusRefundableTaxCredits">CompareProspectiveIncomeOutputComboNetEarnings+CompareProspectiveIncomeOutputComboRefundableTaxCredits</definedName>
    <definedName name="CompareProspectiveIncomeOutputStackPlusSec8Entry">CompareProspectiveIncomeOutputStackPlusChildCareFinal + CompareProspectiveIncomeOutputSec8Entry</definedName>
    <definedName name="CompareProspectiveIncomeOutputStackPlusSec8Entry_Graph">CompareProspectiveIncomeOutputStackPlusChildCareFinal + CompareProspectiveIncomeOutputSec8Final</definedName>
    <definedName name="CompareProspectiveIncomeOutputStackPlusSec8Extended">CompareProspectiveIncomeOutputStackPlusSec8Entry + CompareProspectiveIncomeOutputSec8Extended</definedName>
    <definedName name="CompareProspectiveIncomeOutputStateEITC">[1]Calc1!$N$221:$HF$221</definedName>
    <definedName name="CompareProspectiveIncomeOutputStateTax">[1]Calc1!$N$206:$HF$206</definedName>
    <definedName name="CompareProspectiveIncomeOutputSubsidizedSchoolMeals">[1]Calc1!$N$346:$HF$346</definedName>
    <definedName name="CompareProspectiveIncomeOutputTANF">[1]Calc1!$N$267:$HF$267</definedName>
    <definedName name="CompareProspectiveIncomeOutputWIC">[1]Calc1!$N$335:$HF$335</definedName>
    <definedName name="CompareSouthCarolinaAdjusted_Gross_Income">[1]Calc1!$N$66:INDEX([1]Calc1!$N$66:$HH$66,COUNTIF([1]Calc1!$N$66:$HH$66,”&lt;&gt;”&amp;””))</definedName>
    <definedName name="CompareSouthCarolinaHousehold_Annual_Earned_Income">[1]Calc1!$N$46:INDEX([1]Calc1!$N$46:$HH$46,COUNTIF([1]Calc1!$N$46:$HH$46,”&lt;&gt;”&amp;””))</definedName>
    <definedName name="CompareSouthCarolinaHousehold_Annual_Income">[1]Calc1!$N$50:INDEX([1]Calc1!$N$50:$HH$50,COUNTIF([1]Calc1!$N$50:$HH$50,”&lt;&gt;”&amp;””))</definedName>
    <definedName name="CompareSouthCarolinaHousehold_Annual_Unearned_Income">[1]Calc1!$N$48:INDEX([1]Calc1!$N$48:$HH$48,COUNTIF([1]Calc1!$N$48:$HH$48,”&lt;&gt;”&amp;””))</definedName>
    <definedName name="CompareSouthCarolinaHousehold_Monthly_Earned_Income">[1]Calc1!$N$45:INDEX([1]Calc1!$N$45:$HH$45,COUNTIF([1]Calc1!$N$45:$HH$45,”&lt;&gt;”&amp;””))</definedName>
    <definedName name="CompareSouthCarolinaHousehold_Monthly_Income">[1]Calc1!$N$49:INDEX([1]Calc1!$N$49:$HH$49,COUNTIF([1]Calc1!$N$49:$HH$49,”&lt;&gt;”&amp;””))</definedName>
    <definedName name="CompareSouthCarolinaHousehold_Monthly_Unearned_Income">[1]Calc1!$N$47:INDEX([1]Calc1!$N$47:$HH$47,COUNTIF([1]Calc1!$N$47:$HH$47,”&lt;&gt;”&amp;””))</definedName>
    <definedName name="CompareSouthCarolinaOutputACTC">[1]Calc1!$N$140:$HF$140</definedName>
    <definedName name="CompareSouthCarolinaOutputChildCareSubsidyFinal">[1]Calc1!$N$588:$HF$588</definedName>
    <definedName name="CompareSouthCarolinaOutputCHIP">[1]Calc1!$N$419:$HF$419</definedName>
    <definedName name="CompareSouthCarolinaOutputComboCashAssistance">CompareSouthCarolinaOutputTANF + CompareSouthCarolinaOutputSSI + CompareSouthCarolinaOutputLIHEAP</definedName>
    <definedName name="CompareSouthCarolinaOutputComboFoodAssistance">CompareSouthCarolinaOutputSNAP + CompareSouthCarolinaOutputWIC + CompareSouthCarolinaOutputSubsidizedSchoolMeals</definedName>
    <definedName name="CompareSouthCarolinaOutputComboMedicalAssistance">CompareSouthCarolinaOutputMedicaid + CompareSouthCarolinaOutputCHIP + CompareSouthCarolinaOutputHIXPTC</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CompareSouthCarolinaOutputEITC + CompareSouthCarolinaOutputACTC + CompareSouthCarolinaOutputStateEITC + CompareSouthCarolinaOutputCTC</definedName>
    <definedName name="CompareSouthCarolinaOutputCTC">[1]Calc1!$N$108:$HF$108</definedName>
    <definedName name="CompareSouthCarolinaOutputEITC">[1]Calc1!$N$122:$HF$122</definedName>
    <definedName name="CompareSouthCarolinaOutputFedTax">[1]Calc1!$N$102:$HF$102</definedName>
    <definedName name="CompareSouthCarolinaOutputFICA">[1]Calc1!$N$54:$HF$54</definedName>
    <definedName name="CompareSouthCarolinaOutputHIXPTC">[1]Calc1!$N$462:$HF$462</definedName>
    <definedName name="CompareSouthCarolinaOutputInterval">[1]Calc1!$N$2:$HF$2</definedName>
    <definedName name="CompareSouthCarolinaOutputLIHEAP">[1]Calc1!$N$711:$HF$711</definedName>
    <definedName name="CompareSouthCarolinaOutputMedicaid">[1]Calc1!$N$375:$HF$375</definedName>
    <definedName name="CompareSouthCarolinaOutputMedicaidAndCHIP">CompareSouthCarolinaOutputMedicaid + CompareSouthCarolinaOutputCHIP</definedName>
    <definedName name="CompareSouthCarolinaOutputMomHourlyWage">[1]Calc1!$N$10:$HF$10</definedName>
    <definedName name="CompareSouthCarolinaOutputMomWeeklyHours">[1]Calc1!$N$5:$HF$5</definedName>
    <definedName name="CompareSouthCarolinaOutputSec8Entry">[1]Calc1!$N$685:$HF$685</definedName>
    <definedName name="CompareSouthCarolinaOutputSec8Extended">[1]Calc1!$N$690:$HF$690</definedName>
    <definedName name="CompareSouthCarolinaOutputSec8Final">[1]Calc1!$N$688:$HF$688</definedName>
    <definedName name="CompareSouthCarolinaOutputSNAP">[1]Calc1!$N$313:$HF$313</definedName>
    <definedName name="CompareSouthCarolinaOutputSSI">[1]Calc1!$N$280:$HF$280</definedName>
    <definedName name="CompareSouthCarolinaOutputStackPlusCashAssistance">CompareSouthCarolinaOutputStackPlusRefundableTaxCredits + CompareSouthCarolinaOutputComboCashAssistance</definedName>
    <definedName name="CompareSouthCarolinaOutputStackPlusChildCareFinal">CompareSouthCarolinaOutputStackPlusMedicalAssistance + CompareSouthCarolinaOutputChildCareSubsidyFinal</definedName>
    <definedName name="CompareSouthCarolinaOutputStackPlusFoodAssistance">CompareSouthCarolinaOutputStackPlusCashAssistance + CompareSouthCarolinaOutputComboFoodAssistance</definedName>
    <definedName name="CompareSouthCarolinaOutputStackPlusHIXPTC">CompareSouthCarolinaOutputStackPlusMedicaidAndCHIP + CompareSouthCarolinaOutputHIXPTC</definedName>
    <definedName name="CompareSouthCarolinaOutputStackPlusMedicaidAndCHIP">CompareSouthCarolinaOutputStackPlusFoodAssistance + CompareSouthCarolinaOutputMedicaid + CompareSouthCarolinaOutputCHIP</definedName>
    <definedName name="CompareSouthCarolinaOutputStackPlusMedicalAssistance">CompareSouthCarolinaOutputStackPlusFoodAssistance + CompareSouthCarolinaOutputComboMedicalAssistance</definedName>
    <definedName name="CompareSouthCarolinaOutputStackPlusRefundableTaxCredits">CompareSouthCarolinaOutputComboNetEarnings+CompareSouthCarolinaOutputComboRefundableTaxCredits</definedName>
    <definedName name="CompareSouthCarolinaOutputStackPlusSec8Entry">CompareSouthCarolinaOutputStackPlusChildCareFinal + CompareSouthCarolinaOutputSec8Entry</definedName>
    <definedName name="CompareSouthCarolinaOutputStackPlusSec8Entry_Graph">CompareSouthCarolinaOutputStackPlusChildCareFinal + CompareSouthCarolinaOutputSec8Final</definedName>
    <definedName name="CompareSouthCarolinaOutputStackPlusSec8Extended">CompareSouthCarolinaOutputStackPlusSec8Entry + CompareSouthCarolinaOutputSec8Extended</definedName>
    <definedName name="CompareSouthCarolinaOutputStateEITC">[1]Calc1!$N$221:$HF$221</definedName>
    <definedName name="CompareSouthCarolinaOutputStateTax">[1]Calc1!$N$206:$HF$206</definedName>
    <definedName name="CompareSouthCarolinaOutputSubsidizedSchoolMeals">[1]Calc1!$N$346:$HF$346</definedName>
    <definedName name="CompareSouthCarolinaOutputTANF">[1]Calc1!$N$267:$HF$267</definedName>
    <definedName name="CompareSouthCarolinaOutputWIC">[1]Calc1!$N$335:$HF$335</definedName>
    <definedName name="CompareTennesseeAdjusted_Gross_Income">[1]Calc1!$N$66:INDEX([1]Calc1!$N$66:$HH$66,COUNTIF([1]Calc1!$N$66:$HH$66,”&lt;&gt;”&amp;””))</definedName>
    <definedName name="CompareTennesseeHousehold_Annual_Earned_Income">[1]Calc1!$N$46:INDEX([1]Calc1!$N$46:$HH$46,COUNTIF([1]Calc1!$N$46:$HH$46,”&lt;&gt;”&amp;””))</definedName>
    <definedName name="CompareTennesseeHousehold_Annual_Income">[1]Calc1!$N$50:INDEX([1]Calc1!$N$50:$HH$50,COUNTIF([1]Calc1!$N$50:$HH$50,”&lt;&gt;”&amp;””))</definedName>
    <definedName name="CompareTennesseeHousehold_Annual_Unearned_Income">[1]Calc1!$N$48:INDEX([1]Calc1!$N$48:$HH$48,COUNTIF([1]Calc1!$N$48:$HH$48,”&lt;&gt;”&amp;””))</definedName>
    <definedName name="CompareTennesseeHousehold_Monthly_Earned_Income">[1]Calc1!$N$45:INDEX([1]Calc1!$N$45:$HH$45,COUNTIF([1]Calc1!$N$45:$HH$45,”&lt;&gt;”&amp;””))</definedName>
    <definedName name="CompareTennesseeHousehold_Monthly_Income">[1]Calc1!$N$49:INDEX([1]Calc1!$N$49:$HH$49,COUNTIF([1]Calc1!$N$49:$HH$49,”&lt;&gt;”&amp;””))</definedName>
    <definedName name="CompareTennesseeHousehold_Monthly_Unearned_Income">[1]Calc1!$N$47:INDEX([1]Calc1!$N$47:$HH$47,COUNTIF([1]Calc1!$N$47:$HH$47,”&lt;&gt;”&amp;””))</definedName>
    <definedName name="CompareTennesseeOutputACTC">[1]Calc1!$N$140:$HF$140</definedName>
    <definedName name="CompareTennesseeOutputChildCareSubsidyFinal">[1]Calc1!$N$588:$HF$588</definedName>
    <definedName name="CompareTennesseeOutputCHIP">[1]Calc1!$N$419:$HF$419</definedName>
    <definedName name="CompareTennesseeOutputComboCashAssistance">CompareTennesseeOutputTANF + CompareTennesseeOutputSSI + CompareTennesseeOutputLIHEAP</definedName>
    <definedName name="CompareTennesseeOutputComboFoodAssistance">CompareTennesseeOutputSNAP + CompareTennesseeOutputWIC + CompareTennesseeOutputSubsidizedSchoolMeals</definedName>
    <definedName name="CompareTennesseeOutputComboMedicalAssistance">CompareTennesseeOutputMedicaid + CompareTennesseeOutputCHIP + CompareTennesseeOutputHIXPTC</definedName>
    <definedName name="CompareTennesseeOutputComboNetEarnings">CompareTennesseeAdjusted_Gross_Income - CompareTennesseeOutputFICA - CompareTennesseeOutputFedTax - CompareTennesseeOutputStateTax</definedName>
    <definedName name="CompareTennesseeOutputComboRefundableTaxCredits">CompareTennesseeOutputEITC + CompareTennesseeOutputACTC + CompareTennesseeOutputStateEITC + CompareTennesseeOutputCTC</definedName>
    <definedName name="CompareTennesseeOutputCTC">[1]Calc1!$N$108:$HF$108</definedName>
    <definedName name="CompareTennesseeOutputEITC">[1]Calc1!$N$122:$HF$122</definedName>
    <definedName name="CompareTennesseeOutputFedTax">[1]Calc1!$N$102:$HF$102</definedName>
    <definedName name="CompareTennesseeOutputFICA">[1]Calc1!$N$54:$HF$54</definedName>
    <definedName name="CompareTennesseeOutputHIXPTC">[1]Calc1!$N$462:$HF$462</definedName>
    <definedName name="CompareTennesseeOutputInterval">[1]Calc1!$N$2:$HF$2</definedName>
    <definedName name="CompareTennesseeOutputLIHEAP">[1]Calc1!$N$711:$HF$711</definedName>
    <definedName name="CompareTennesseeOutputMedicaid">[1]Calc1!$N$375:$HF$375</definedName>
    <definedName name="CompareTennesseeOutputMedicaidAndCHIP">CompareTennesseeOutputMedicaid + CompareTennesseeOutputCHIP</definedName>
    <definedName name="CompareTennesseeOutputMomHourlyWage">[1]Calc1!$N$10:$HF$10</definedName>
    <definedName name="CompareTennesseeOutputMomWeeklyHours">[1]Calc1!$N$5:$HF$5</definedName>
    <definedName name="CompareTennesseeOutputSec8Entry">[1]Calc1!$N$685:$HF$685</definedName>
    <definedName name="CompareTennesseeOutputSec8Extended">[1]Calc1!$N$690:$HF$690</definedName>
    <definedName name="CompareTennesseeOutputSec8Final">[1]Calc1!$N$688:$HF$688</definedName>
    <definedName name="CompareTennesseeOutputSNAP">[1]Calc1!$N$313:$HF$313</definedName>
    <definedName name="CompareTennesseeOutputSSI">[1]Calc1!$N$280:$HF$280</definedName>
    <definedName name="CompareTennesseeOutputStackPlusCashAssistance">CompareTennesseeOutputStackPlusRefundableTaxCredits + CompareTennesseeOutputComboCashAssistance</definedName>
    <definedName name="CompareTennesseeOutputStackPlusChildCareFinal">CompareTennesseeOutputStackPlusMedicalAssistance + CompareTennesseeOutputChildCareSubsidyFinal</definedName>
    <definedName name="CompareTennesseeOutputStackPlusFoodAssistance">CompareTennesseeOutputStackPlusCashAssistance + CompareTennesseeOutputComboFoodAssistance</definedName>
    <definedName name="CompareTennesseeOutputStackPlusHIXPTC">CompareTennesseeOutputStackPlusMedicaidAndCHIP + CompareTennesseeOutputHIXPTC</definedName>
    <definedName name="CompareTennesseeOutputStackPlusMedicaidAndCHIP">CompareTennesseeOutputStackPlusFoodAssistance + CompareTennesseeOutputMedicaid + CompareTennesseeOutputCHIP</definedName>
    <definedName name="CompareTennesseeOutputStackPlusMedicalAssistance">CompareTennesseeOutputStackPlusFoodAssistance + CompareTennesseeOutputComboMedicalAssistance</definedName>
    <definedName name="CompareTennesseeOutputStackPlusRefundableTaxCredits">CompareTennesseeOutputComboNetEarnings+CompareTennesseeOutputComboRefundableTaxCredits</definedName>
    <definedName name="CompareTennesseeOutputStackPlusSec8Entry">CompareTennesseeOutputStackPlusChildCareFinal + CompareTennesseeOutputSec8Entry</definedName>
    <definedName name="CompareTennesseeOutputStackPlusSec8Entry_Graph">CompareTennesseeOutputStackPlusChildCareFinal + CompareTennesseeOutputSec8Final</definedName>
    <definedName name="CompareTennesseeOutputStackPlusSec8Extended">CompareTennesseeOutputStackPlusSec8Entry + CompareTennesseeOutputSec8Extended</definedName>
    <definedName name="CompareTennesseeOutputStateEITC">[1]Calc1!$N$221:$HF$221</definedName>
    <definedName name="CompareTennesseeOutputStateTax">[1]Calc1!$N$206:$HF$206</definedName>
    <definedName name="CompareTennesseeOutputSubsidizedSchoolMeals">[1]Calc1!$N$346:$HF$346</definedName>
    <definedName name="CompareTennesseeOutputTANF">[1]Calc1!$N$267:$HF$267</definedName>
    <definedName name="CompareTennesseeOutputWIC">[1]Calc1!$N$335:$HF$335</definedName>
    <definedName name="CompareTexasAdjusted_Gross_Income">[1]Calc1!$N$66:INDEX([1]Calc1!$N$66:$HH$66,COUNTIF([1]Calc1!$N$66:$HH$66,”&lt;&gt;”&amp;””))</definedName>
    <definedName name="CompareTexasHousehold_Annual_Earned_Income">[1]Calc1!$N$46:INDEX([1]Calc1!$N$46:$HH$46,COUNTIF([1]Calc1!$N$46:$HH$46,”&lt;&gt;”&amp;””))</definedName>
    <definedName name="CompareTexasHousehold_Annual_Income">[1]Calc1!$N$50:INDEX([1]Calc1!$N$50:$HH$50,COUNTIF([1]Calc1!$N$50:$HH$50,”&lt;&gt;”&amp;””))</definedName>
    <definedName name="CompareTexasHousehold_Annual_Unearned_Income">[1]Calc1!$N$48:INDEX([1]Calc1!$N$48:$HH$48,COUNTIF([1]Calc1!$N$48:$HH$48,”&lt;&gt;”&amp;””))</definedName>
    <definedName name="CompareTexasHousehold_Monthly_Earned_Income">[1]Calc1!$N$45:INDEX([1]Calc1!$N$45:$HH$45,COUNTIF([1]Calc1!$N$45:$HH$45,”&lt;&gt;”&amp;””))</definedName>
    <definedName name="CompareTexasHousehold_Monthly_Income">[1]Calc1!$N$49:INDEX([1]Calc1!$N$49:$HH$49,COUNTIF([1]Calc1!$N$49:$HH$49,”&lt;&gt;”&amp;””))</definedName>
    <definedName name="CompareTexasHousehold_Monthly_Unearned_Income">[1]Calc1!$N$47:INDEX([1]Calc1!$N$47:$HH$47,COUNTIF([1]Calc1!$N$47:$HH$47,”&lt;&gt;”&amp;””))</definedName>
    <definedName name="CompareTexasOutputACTC">[1]Calc1!$N$140:$HF$140</definedName>
    <definedName name="CompareTexasOutputChildCareSubsidyFinal">[1]Calc1!$N$588:$HF$588</definedName>
    <definedName name="CompareTexasOutputCHIP">[1]Calc1!$N$419:$HF$419</definedName>
    <definedName name="CompareTexasOutputComboCashAssistance">CompareTexasOutputTANF + CompareTexasOutputSSI + CompareTexasOutputLIHEAP</definedName>
    <definedName name="CompareTexasOutputComboFoodAssistance">CompareTexasOutputSNAP + CompareTexasOutputWIC + CompareTexasOutputSubsidizedSchoolMeals</definedName>
    <definedName name="CompareTexasOutputComboMedicalAssistance">CompareTexasOutputMedicaid + CompareTexasOutputCHIP + CompareTexasOutputHIXPTC</definedName>
    <definedName name="CompareTexasOutputComboNetEarnings">CompareTexasAdjusted_Gross_Income - CompareTexasOutputFICA - CompareTexasOutputFedTax - CompareTexasOutputStateTax</definedName>
    <definedName name="CompareTexasOutputComboRefundableTaxCredits">CompareTexasOutputEITC + CompareTexasOutputACTC + CompareTexasOutputStateEITC + CompareTexasOutputCTC</definedName>
    <definedName name="CompareTexasOutputCTC">[1]Calc1!$N$108:$HF$108</definedName>
    <definedName name="CompareTexasOutputEITC">[1]Calc1!$N$122:$HF$122</definedName>
    <definedName name="CompareTexasOutputFedTax">[1]Calc1!$N$102:$HF$102</definedName>
    <definedName name="CompareTexasOutputFICA">[1]Calc1!$N$54:$HF$54</definedName>
    <definedName name="CompareTexasOutputHIXPTC">[1]Calc1!$N$462:$HF$462</definedName>
    <definedName name="CompareTexasOutputInterval">[1]Calc1!$N$2:$HF$2</definedName>
    <definedName name="CompareTexasOutputLIHEAP">[1]Calc1!$N$711:$HF$711</definedName>
    <definedName name="CompareTexasOutputMedicaid">[1]Calc1!$N$375:$HF$375</definedName>
    <definedName name="CompareTexasOutputMedicaidAndCHIP">CompareTexasOutputMedicaid + CompareTexasOutputCHIP</definedName>
    <definedName name="CompareTexasOutputMomHourlyWage">[1]Calc1!$N$10:$HF$10</definedName>
    <definedName name="CompareTexasOutputMomWeeklyHours">[1]Calc1!$N$5:$HF$5</definedName>
    <definedName name="CompareTexasOutputSec8Entry">[1]Calc1!$N$685:$HF$685</definedName>
    <definedName name="CompareTexasOutputSec8Extended">[1]Calc1!$N$690:$HF$690</definedName>
    <definedName name="CompareTexasOutputSec8Final">[1]Calc1!$N$688:$HF$688</definedName>
    <definedName name="CompareTexasOutputSNAP">[1]Calc1!$N$313:$HF$313</definedName>
    <definedName name="CompareTexasOutputSSI">[1]Calc1!$N$280:$HF$280</definedName>
    <definedName name="CompareTexasOutputStackPlusCashAssistance">CompareTexasOutputStackPlusRefundableTaxCredits + CompareTexasOutputComboCashAssistance</definedName>
    <definedName name="CompareTexasOutputStackPlusChildCareFinal">CompareTexasOutputStackPlusMedicalAssistance + CompareTexasOutputChildCareSubsidyFinal</definedName>
    <definedName name="CompareTexasOutputStackPlusFoodAssistance">CompareTexasOutputStackPlusCashAssistance + CompareTexasOutputComboFoodAssistance</definedName>
    <definedName name="CompareTexasOutputStackPlusHIXPTC">CompareTexasOutputStackPlusMedicaidAndCHIP + CompareTexasOutputHIXPTC</definedName>
    <definedName name="CompareTexasOutputStackPlusMedicaidAndCHIP">CompareTexasOutputStackPlusFoodAssistance + CompareTexasOutputMedicaid + CompareTexasOutputCHIP</definedName>
    <definedName name="CompareTexasOutputStackPlusMedicalAssistance">CompareTexasOutputStackPlusFoodAssistance + CompareTexasOutputComboMedicalAssistance</definedName>
    <definedName name="CompareTexasOutputStackPlusRefundableTaxCredits">CompareTexasOutputComboNetEarnings+CompareTexasOutputComboRefundableTaxCredits</definedName>
    <definedName name="CompareTexasOutputStackPlusSec8Entry">CompareTexasOutputStackPlusChildCareFinal + CompareTexasOutputSec8Entry</definedName>
    <definedName name="CompareTexasOutputStackPlusSec8Entry_Graph">CompareTexasOutputStackPlusChildCareFinal + CompareTexasOutputSec8Final</definedName>
    <definedName name="CompareTexasOutputStackPlusSec8Extended">CompareTexasOutputStackPlusSec8Entry + CompareTexasOutputSec8Extended</definedName>
    <definedName name="CompareTexasOutputStateEITC">[1]Calc1!$N$221:$HF$221</definedName>
    <definedName name="CompareTexasOutputStateTax">[1]Calc1!$N$206:$HF$206</definedName>
    <definedName name="CompareTexasOutputSubsidizedSchoolMeals">[1]Calc1!$N$346:$HF$346</definedName>
    <definedName name="CompareTexasOutputTANF">[1]Calc1!$N$267:$HF$267</definedName>
    <definedName name="CompareTexasOutputWIC">[1]Calc1!$N$335:$HF$335</definedName>
    <definedName name="FICAlist">[1]!FICAtbl[#Headers]</definedName>
    <definedName name="GeorgiaLowIncomeTaxCredit">[2]GAIncTax!$B$71:$J$76</definedName>
    <definedName name="Household_Annual_Earned_Income">[1]Calc1!$N$46:INDEX([1]Calc1!$N$46:$HH$46,COUNTIF([1]Calc1!$N$46:$HH$46,”&lt;&gt;”&amp;””))</definedName>
    <definedName name="Household_Annual_Income">[1]Calc1!$N$50:INDEX([1]Calc1!$N$50:$HH$50,COUNTIF([1]Calc1!$N$50:$HH$50,”&lt;&gt;”&amp;””))</definedName>
    <definedName name="Household_Annual_Unearned_Income">[1]Calc1!$N$48:INDEX([1]Calc1!$N$48:$HH$48,COUNTIF([1]Calc1!$N$48:$HH$48,”&lt;&gt;”&amp;””))</definedName>
    <definedName name="Household_Monthly_Earned_Income">[1]Calc1!$N$45:INDEX([1]Calc1!$N$45:$HH$45,COUNTIF([1]Calc1!$N$45:$HH$45,”&lt;&gt;”&amp;””))</definedName>
    <definedName name="Household_Monthly_Income">[1]Calc1!$N$49:INDEX([1]Calc1!$N$49:$HH$49,COUNTIF([1]Calc1!$N$49:$HH$49,”&lt;&gt;”&amp;””))</definedName>
    <definedName name="Household_Monthly_Unearned_Income">[1]Calc1!$N$47:INDEX([1]Calc1!$N$47:$HH$47,COUNTIF([1]Calc1!$N$47:$HH$47,”&lt;&gt;”&amp;””))</definedName>
    <definedName name="HouseholdMember1AnnualIncome">[1]Calc1!$N$6:$HF$6</definedName>
    <definedName name="HouseholdMember2AnnualIncome">[1]Calc1!$N$7:$HF$7</definedName>
    <definedName name="Income_Exclusions">[1]!Table86[#All]</definedName>
    <definedName name="InputDadAge">[1]Inputs!$D$12</definedName>
    <definedName name="InputMarried">[1]Inputs!#REF!</definedName>
    <definedName name="InputMom">[1]Inputs!$C$11</definedName>
    <definedName name="InputMomAge">[1]Inputs!$D$11</definedName>
    <definedName name="InputMomPregnant">[1]Inputs!$H$11:$H$14</definedName>
    <definedName name="InputStateName">[1]Inputs!$C$6</definedName>
    <definedName name="InputYear">[1]Inputs!$C$5</definedName>
    <definedName name="LIEAP_Fuel_Type">[1]!Table93[[#All],[LIEAP Fuel Type]]</definedName>
    <definedName name="OnACTC">[1]Inputs!$D$33</definedName>
    <definedName name="OnCHIP">[1]Inputs!$D$40</definedName>
    <definedName name="OnCTC">[1]Inputs!$D$32</definedName>
    <definedName name="OnEITC">[1]Inputs!$D$30</definedName>
    <definedName name="OnFedTax">[1]Inputs!$D$28</definedName>
    <definedName name="OnFICA">[1]Inputs!$D$27</definedName>
    <definedName name="OnHIX_PTC">[1]Inputs!$D$41</definedName>
    <definedName name="OnLIHEAP">[1]Inputs!$D$44</definedName>
    <definedName name="OnMedicaid">[1]Inputs!$D$39</definedName>
    <definedName name="OnPandemic">[1]Inputs!$D$26</definedName>
    <definedName name="OnSchoolMealsSubsidy">[1]Inputs!$D$37</definedName>
    <definedName name="OnSec8_Housing">[1]Inputs!$D$43</definedName>
    <definedName name="OnSNAP">[1]Inputs!$D$36</definedName>
    <definedName name="OnSSI">[1]Inputs!$D$35</definedName>
    <definedName name="OnstateEITC">[1]Inputs!$D$31</definedName>
    <definedName name="OnStateTax">[1]Inputs!$D$29</definedName>
    <definedName name="OnSubsidizedChildcare">[1]Inputs!$D$42</definedName>
    <definedName name="OnTANF">[1]Inputs!$D$34</definedName>
    <definedName name="OnWIC">[1]Inputs!$D$38</definedName>
    <definedName name="OutputACTC">[1]Calc1!$N$140:$HF$140</definedName>
    <definedName name="OutputChildCareSubsidyFinal">[1]Calc1!$N$588:$HF$588</definedName>
    <definedName name="OutputCHIP">[1]Calc1!$N$419:$HF$419</definedName>
    <definedName name="OutputComboCashAssistance">OutputTANF + OutputSSI + OutputLIHEAP</definedName>
    <definedName name="OutputComboFoodAssistance">OutputSNAP + OutputWIC + OutputSubsidizedSchoolMeals</definedName>
    <definedName name="OutputComboMedicalAssistance">OutputMedicaid + OutputCHIP + OutputHIXPTC</definedName>
    <definedName name="OutputComboNetEarnings">Adjusted_Gross_Income - OutputFICA - OutputFedTax - OutputStateTax</definedName>
    <definedName name="OutputComboRefundableTaxCredits">OutputEITC + OutputACTC + OutputStateEITC + OutputCTC</definedName>
    <definedName name="OutputCTC">[1]Calc1!$N$108:$HF$108</definedName>
    <definedName name="OutputEarnings">[1]Calc1!$N$46:$HF$46</definedName>
    <definedName name="OutputEITC">[1]Calc1!$N$122:$HF$122</definedName>
    <definedName name="OutputFedTax">[1]Calc1!$N$102:$HF$102</definedName>
    <definedName name="OutputFICA">[1]Calc1!$N$54:$HF$54</definedName>
    <definedName name="OutputHIXPTC">[1]Calc1!$N$462:$HF$462</definedName>
    <definedName name="OutputInterval">[1]Calc1!$N$2:$HF$2</definedName>
    <definedName name="OutputLIHEAP">[1]Calc1!$N$711:$HF$711</definedName>
    <definedName name="OutputMedicaid">[1]Calc1!$N$375:$HF$375</definedName>
    <definedName name="OutputMedicaidAndCHIP">OutputMedicaid + OutputCHIP</definedName>
    <definedName name="OutputMomHourlyWage">[1]Calc1!$N$10:$HF$10</definedName>
    <definedName name="OutputMomWeeklyHours">[1]Calc1!$N$5:$HF$5</definedName>
    <definedName name="OutputSec8Entry">[1]Calc1!$N$685:$HF$685</definedName>
    <definedName name="OutputSec8Extended">[1]Calc1!$N$690:$HF$690</definedName>
    <definedName name="OutputSec8Final">[1]Calc1!$N$688:$HF$688</definedName>
    <definedName name="OutputSNAP">[1]Calc1!$N$313:$HF$313</definedName>
    <definedName name="OutputSSI">[1]Calc1!$N$280:$HF$280</definedName>
    <definedName name="OutputStackPlusCashAssistance">OutputStackPlusRefundableTaxCredits + OutputComboCashAssistance</definedName>
    <definedName name="OutputStackPlusChildCareFinal">OutputStackPlusMedicalAssistance + OutputChildCareSubsidyFinal</definedName>
    <definedName name="OutputStackPlusFoodAssistance">OutputStackPlusCashAssistance + OutputComboFoodAssistance</definedName>
    <definedName name="OutputStackPlusHIXPTC">OutputStackPlusMedicaidAndCHIP + OutputHIXPTC</definedName>
    <definedName name="OutputStackPlusMedicaidAndCHIP">OutputStackPlusFoodAssistance + OutputMedicaid + OutputCHIP</definedName>
    <definedName name="OutputStackPlusMedicalAssistance">OutputStackPlusFoodAssistance + OutputComboMedicalAssistance</definedName>
    <definedName name="OutputStackPlusRefundableTaxCredits">OutputComboNetEarnings+OutputComboRefundableTaxCredits</definedName>
    <definedName name="OutputStackPlusSec8Entry">OutputStackPlusChildCareFinal + OutputSec8Entry</definedName>
    <definedName name="OutputStackPlusSec8Entry_Graph">OutputStackPlusChildCareFinal + OutputSec8Final</definedName>
    <definedName name="OutputStackPlusSec8Extended">OutputStackPlusSec8Entry + OutputSec8Extended</definedName>
    <definedName name="OutputStateEITC">[1]Calc1!$N$221:$HF$221</definedName>
    <definedName name="OutputStateTax">[1]Calc1!$N$206:$HF$206</definedName>
    <definedName name="OutputSubsidizedSchoolMeals">[1]Calc1!$N$346:$HF$346</definedName>
    <definedName name="OutputTANF">[1]Calc1!$N$267:$HF$267</definedName>
    <definedName name="OutputWIC">[1]Calc1!$N$335:$HF$335</definedName>
    <definedName name="Sex">[1]Lists!$D$15:$D$16</definedName>
    <definedName name="Social_Security_Income_Deductions">[1]!Table89[#All]</definedName>
    <definedName name="State_List">[1]!StateAreasTbl[#Headers]</definedName>
    <definedName name="StateColNum">MATCH(InputStateName,State_List,0)</definedName>
    <definedName name="StateEntireCol">INDEX([1]!StateAreasTbl[#Data],,StateColNum)</definedName>
    <definedName name="StateLookup2">INDEX([1]!StateAreasTbl[#Data],1,StateColNum):INDEX([1]!StateAreasTbl[#Data],COUNTA(StateEntireCol),StateColNum)</definedName>
    <definedName name="SubdivisionName">[1]Inputs!$C$7</definedName>
    <definedName name="YesNo">[1]Lists!$D$10:$D$11</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9" i="1" l="1"/>
  <c r="U39" i="1"/>
  <c r="W36" i="1"/>
  <c r="U36" i="1"/>
  <c r="W35" i="1"/>
  <c r="U35" i="1"/>
  <c r="W34" i="1"/>
  <c r="U34" i="1"/>
  <c r="W33" i="1"/>
  <c r="U33" i="1"/>
  <c r="W32" i="1"/>
  <c r="U32" i="1"/>
  <c r="W31" i="1"/>
  <c r="U31" i="1"/>
  <c r="W30" i="1"/>
  <c r="U30" i="1"/>
  <c r="W29" i="1"/>
  <c r="U29" i="1"/>
  <c r="W28" i="1"/>
  <c r="U28" i="1"/>
  <c r="W27" i="1"/>
  <c r="U27" i="1"/>
  <c r="W26" i="1"/>
  <c r="U26" i="1"/>
  <c r="W25" i="1"/>
  <c r="U25" i="1"/>
  <c r="W18" i="1"/>
  <c r="U18" i="1"/>
  <c r="W17" i="1"/>
  <c r="U17" i="1"/>
  <c r="P286" i="1" l="1"/>
  <c r="Q286" i="1" s="1"/>
  <c r="L286" i="1"/>
  <c r="P285" i="1"/>
  <c r="Q285" i="1" s="1"/>
  <c r="L285" i="1"/>
  <c r="G285" i="1" a="1"/>
  <c r="G285" i="1" s="1"/>
  <c r="F285" i="1"/>
  <c r="P284" i="1"/>
  <c r="Q284" i="1" s="1"/>
  <c r="L284" i="1"/>
  <c r="G284" i="1" a="1"/>
  <c r="G284" i="1" s="1"/>
  <c r="P283" i="1"/>
  <c r="Q283" i="1" s="1"/>
  <c r="L283" i="1"/>
  <c r="G283" i="1" a="1"/>
  <c r="G283" i="1" s="1"/>
  <c r="P282" i="1"/>
  <c r="Q282" i="1" s="1"/>
  <c r="L282" i="1"/>
  <c r="G282" i="1" a="1"/>
  <c r="G282" i="1" s="1"/>
  <c r="P281" i="1"/>
  <c r="Q281" i="1" s="1"/>
  <c r="L281" i="1"/>
  <c r="G281" i="1" a="1"/>
  <c r="G281" i="1" s="1"/>
  <c r="H281" i="1" s="1"/>
  <c r="I281" i="1" s="1" a="1"/>
  <c r="I281" i="1" s="1"/>
  <c r="G280" i="1" a="1"/>
  <c r="G280" i="1" s="1"/>
  <c r="E270" i="1" a="1"/>
  <c r="E270" i="1" s="1"/>
  <c r="E267" i="1" a="1"/>
  <c r="E267" i="1" s="1"/>
  <c r="E264" i="1" a="1"/>
  <c r="E264" i="1" s="1"/>
  <c r="E265" i="1" s="1"/>
  <c r="E250" i="1" a="1"/>
  <c r="E250" i="1" s="1"/>
  <c r="E249" i="1" a="1"/>
  <c r="E249" i="1" s="1"/>
  <c r="E241" i="1" a="1"/>
  <c r="E241" i="1" s="1"/>
  <c r="G232" i="1" a="1"/>
  <c r="G232" i="1" s="1"/>
  <c r="H232" i="1" s="1"/>
  <c r="G231" i="1" a="1"/>
  <c r="G231" i="1" s="1"/>
  <c r="H231" i="1" s="1"/>
  <c r="G230" i="1" a="1"/>
  <c r="G230" i="1" s="1"/>
  <c r="H230" i="1" s="1"/>
  <c r="G229" i="1" a="1"/>
  <c r="G229" i="1" s="1"/>
  <c r="H229" i="1" s="1"/>
  <c r="G228" i="1" a="1"/>
  <c r="G228" i="1" s="1"/>
  <c r="H228" i="1" s="1"/>
  <c r="G227" i="1" a="1"/>
  <c r="G227" i="1" s="1"/>
  <c r="H227" i="1" s="1"/>
  <c r="G226" i="1" a="1"/>
  <c r="G226" i="1" s="1"/>
  <c r="G225" i="1" a="1"/>
  <c r="G225" i="1" s="1"/>
  <c r="G224" i="1" a="1"/>
  <c r="G224" i="1" s="1"/>
  <c r="G223" i="1" a="1"/>
  <c r="G223" i="1" s="1"/>
  <c r="G222" i="1" a="1"/>
  <c r="G222" i="1" s="1"/>
  <c r="H222" i="1" s="1"/>
  <c r="G221" i="1" a="1"/>
  <c r="G221" i="1" s="1"/>
  <c r="G220" i="1" a="1"/>
  <c r="G220" i="1" s="1"/>
  <c r="H220" i="1" s="1"/>
  <c r="G219" i="1" a="1"/>
  <c r="G219" i="1" s="1"/>
  <c r="H219" i="1" s="1"/>
  <c r="G218" i="1" a="1"/>
  <c r="G218" i="1" s="1"/>
  <c r="H218" i="1" s="1"/>
  <c r="G217" i="1" a="1"/>
  <c r="G217" i="1" s="1"/>
  <c r="H217" i="1" s="1"/>
  <c r="G216" i="1" a="1"/>
  <c r="G216" i="1" s="1"/>
  <c r="H216" i="1" s="1"/>
  <c r="G215" i="1" a="1"/>
  <c r="G215" i="1" s="1"/>
  <c r="H215" i="1" s="1"/>
  <c r="G214" i="1" a="1"/>
  <c r="G214" i="1" s="1"/>
  <c r="H214" i="1" s="1"/>
  <c r="G213" i="1" a="1"/>
  <c r="G213" i="1" s="1"/>
  <c r="H213" i="1" s="1"/>
  <c r="G212" i="1" a="1"/>
  <c r="G212" i="1" s="1"/>
  <c r="H212" i="1" s="1"/>
  <c r="G211" i="1" a="1"/>
  <c r="G211" i="1" s="1"/>
  <c r="H211" i="1" s="1"/>
  <c r="G210" i="1" a="1"/>
  <c r="G210" i="1" s="1"/>
  <c r="H210" i="1" s="1"/>
  <c r="G209" i="1" a="1"/>
  <c r="G209" i="1" s="1"/>
  <c r="H209" i="1" s="1"/>
  <c r="I209" i="1" s="1" a="1"/>
  <c r="I209" i="1" s="1"/>
  <c r="G208" i="1" a="1"/>
  <c r="G208" i="1" s="1"/>
  <c r="H208" i="1" s="1"/>
  <c r="G207" i="1" a="1"/>
  <c r="G207" i="1" s="1"/>
  <c r="H207" i="1" s="1"/>
  <c r="G206" i="1" a="1"/>
  <c r="G206" i="1" s="1"/>
  <c r="H206" i="1" s="1"/>
  <c r="G205" i="1" a="1"/>
  <c r="G205" i="1" s="1"/>
  <c r="H205" i="1" s="1"/>
  <c r="G204" i="1" a="1"/>
  <c r="G204" i="1" s="1"/>
  <c r="H204" i="1" s="1"/>
  <c r="G203" i="1" a="1"/>
  <c r="G203" i="1" s="1"/>
  <c r="H203" i="1" s="1"/>
  <c r="I203" i="1" s="1" a="1"/>
  <c r="I203" i="1" s="1"/>
  <c r="G202" i="1" a="1"/>
  <c r="G202" i="1" s="1"/>
  <c r="H202" i="1" s="1"/>
  <c r="G201" i="1" a="1"/>
  <c r="G201" i="1" s="1"/>
  <c r="H201" i="1" s="1"/>
  <c r="G200" i="1" a="1"/>
  <c r="G200" i="1" s="1"/>
  <c r="H200" i="1" s="1"/>
  <c r="I200" i="1" s="1" a="1"/>
  <c r="I200" i="1" s="1"/>
  <c r="G199" i="1" a="1"/>
  <c r="G199" i="1" s="1"/>
  <c r="H199" i="1" s="1"/>
  <c r="G198" i="1" a="1"/>
  <c r="G198" i="1" s="1"/>
  <c r="H198" i="1" s="1"/>
  <c r="G197" i="1" a="1"/>
  <c r="G197" i="1" s="1"/>
  <c r="H197" i="1" s="1"/>
  <c r="G196" i="1" a="1"/>
  <c r="G196" i="1" s="1"/>
  <c r="H196" i="1" s="1"/>
  <c r="G195" i="1" a="1"/>
  <c r="G195" i="1" s="1"/>
  <c r="H195" i="1" s="1"/>
  <c r="G194" i="1" a="1"/>
  <c r="G194" i="1" s="1"/>
  <c r="H194" i="1" s="1"/>
  <c r="G193" i="1" a="1"/>
  <c r="G193" i="1" s="1"/>
  <c r="H193" i="1" s="1"/>
  <c r="G192" i="1" a="1"/>
  <c r="G192" i="1" s="1"/>
  <c r="H192" i="1" s="1"/>
  <c r="I192" i="1" s="1" a="1"/>
  <c r="I192" i="1" s="1"/>
  <c r="G191" i="1" a="1"/>
  <c r="G191" i="1" s="1"/>
  <c r="H191" i="1" s="1"/>
  <c r="G190" i="1" a="1"/>
  <c r="G190" i="1" s="1"/>
  <c r="H190" i="1" s="1"/>
  <c r="I190" i="1" s="1" a="1"/>
  <c r="I190" i="1" s="1"/>
  <c r="G189" i="1" a="1"/>
  <c r="G189" i="1" s="1"/>
  <c r="H189" i="1" s="1"/>
  <c r="G188" i="1" a="1"/>
  <c r="G188" i="1" s="1"/>
  <c r="H188" i="1" s="1"/>
  <c r="G187" i="1" a="1"/>
  <c r="G187" i="1" s="1"/>
  <c r="H187" i="1" s="1"/>
  <c r="G186" i="1" a="1"/>
  <c r="G186" i="1" s="1"/>
  <c r="H186" i="1" s="1"/>
  <c r="G185" i="1" a="1"/>
  <c r="G185" i="1" s="1"/>
  <c r="H185" i="1" s="1"/>
  <c r="I185" i="1" s="1" a="1"/>
  <c r="I185" i="1" s="1"/>
  <c r="G184" i="1" a="1"/>
  <c r="G184" i="1" s="1"/>
  <c r="H184" i="1" s="1"/>
  <c r="G183" i="1" a="1"/>
  <c r="G183" i="1" s="1"/>
  <c r="H183" i="1" s="1"/>
  <c r="G182" i="1" a="1"/>
  <c r="G182" i="1" s="1"/>
  <c r="H182" i="1" s="1"/>
  <c r="G181" i="1" a="1"/>
  <c r="G181" i="1" s="1"/>
  <c r="H181" i="1" s="1"/>
  <c r="G180" i="1" a="1"/>
  <c r="G180" i="1" s="1"/>
  <c r="H180" i="1" s="1"/>
  <c r="I180" i="1" s="1" a="1"/>
  <c r="I180" i="1" s="1"/>
  <c r="G179" i="1" a="1"/>
  <c r="G179" i="1" s="1"/>
  <c r="H179" i="1" s="1"/>
  <c r="I179" i="1" s="1" a="1"/>
  <c r="I179" i="1" s="1"/>
  <c r="G178" i="1" a="1"/>
  <c r="G178" i="1" s="1"/>
  <c r="H178" i="1" s="1"/>
  <c r="I178" i="1" s="1" a="1"/>
  <c r="I178" i="1" s="1"/>
  <c r="G177" i="1" a="1"/>
  <c r="G177" i="1" s="1"/>
  <c r="H177" i="1" s="1"/>
  <c r="I177" i="1" s="1" a="1"/>
  <c r="I177" i="1" s="1"/>
  <c r="G176" i="1" a="1"/>
  <c r="G176" i="1" s="1"/>
  <c r="H176" i="1" s="1"/>
  <c r="G175" i="1" a="1"/>
  <c r="G175" i="1" s="1"/>
  <c r="H175" i="1" s="1"/>
  <c r="G174" i="1" a="1"/>
  <c r="G174" i="1" s="1"/>
  <c r="H174" i="1" s="1"/>
  <c r="G173" i="1" a="1"/>
  <c r="G173" i="1" s="1"/>
  <c r="H173" i="1" s="1"/>
  <c r="I173" i="1" s="1" a="1"/>
  <c r="I173" i="1" s="1"/>
  <c r="G172" i="1" a="1"/>
  <c r="G172" i="1" s="1"/>
  <c r="H172" i="1" s="1"/>
  <c r="I172" i="1" s="1" a="1"/>
  <c r="I172" i="1" s="1"/>
  <c r="G169" i="1"/>
  <c r="K230" i="1" s="1" a="1"/>
  <c r="K230" i="1" s="1"/>
  <c r="Y58" i="1"/>
  <c r="Z46" i="1"/>
  <c r="Y39" i="1"/>
  <c r="S39" i="1"/>
  <c r="Q39" i="1"/>
  <c r="O39" i="1"/>
  <c r="M39" i="1"/>
  <c r="K39" i="1"/>
  <c r="S36" i="1"/>
  <c r="Q36" i="1"/>
  <c r="O36" i="1"/>
  <c r="M36" i="1"/>
  <c r="K36" i="1"/>
  <c r="S35" i="1"/>
  <c r="Q35" i="1"/>
  <c r="O35" i="1"/>
  <c r="M35" i="1"/>
  <c r="K35" i="1"/>
  <c r="S34" i="1"/>
  <c r="Q34" i="1"/>
  <c r="O34" i="1"/>
  <c r="M34" i="1"/>
  <c r="K34" i="1"/>
  <c r="S33" i="1"/>
  <c r="Q33" i="1"/>
  <c r="O33" i="1"/>
  <c r="M33" i="1"/>
  <c r="K33" i="1"/>
  <c r="S32" i="1"/>
  <c r="Q32" i="1"/>
  <c r="O32" i="1"/>
  <c r="M32" i="1"/>
  <c r="K32" i="1"/>
  <c r="Z31" i="1"/>
  <c r="S31" i="1"/>
  <c r="Q31" i="1"/>
  <c r="O31" i="1"/>
  <c r="M31" i="1"/>
  <c r="K31" i="1"/>
  <c r="S30" i="1"/>
  <c r="Q30" i="1"/>
  <c r="O30" i="1"/>
  <c r="M30" i="1"/>
  <c r="K30" i="1"/>
  <c r="S29" i="1"/>
  <c r="Q29" i="1"/>
  <c r="O29" i="1"/>
  <c r="M29" i="1"/>
  <c r="K29" i="1"/>
  <c r="S28" i="1"/>
  <c r="Q28" i="1"/>
  <c r="O28" i="1"/>
  <c r="M28" i="1"/>
  <c r="K28" i="1"/>
  <c r="S27" i="1"/>
  <c r="Q27" i="1"/>
  <c r="O27" i="1"/>
  <c r="M27" i="1"/>
  <c r="K27" i="1"/>
  <c r="S26" i="1"/>
  <c r="Q26" i="1"/>
  <c r="O26" i="1"/>
  <c r="M26" i="1"/>
  <c r="K26" i="1"/>
  <c r="S25" i="1"/>
  <c r="Q25" i="1"/>
  <c r="O25" i="1"/>
  <c r="M25" i="1"/>
  <c r="K25" i="1"/>
  <c r="K24" i="1"/>
  <c r="K23" i="1"/>
  <c r="K22" i="1"/>
  <c r="K21" i="1"/>
  <c r="K20" i="1"/>
  <c r="K19" i="1"/>
  <c r="S18" i="1"/>
  <c r="Q18" i="1"/>
  <c r="O18" i="1"/>
  <c r="M18" i="1"/>
  <c r="K18" i="1"/>
  <c r="Y17" i="1"/>
  <c r="S17" i="1"/>
  <c r="Q17" i="1"/>
  <c r="O17" i="1"/>
  <c r="M17" i="1"/>
  <c r="K17" i="1"/>
  <c r="Z12" i="1"/>
  <c r="S4" i="1"/>
  <c r="O4" i="1"/>
  <c r="S3" i="1"/>
  <c r="Q3" i="1"/>
  <c r="O3" i="1"/>
  <c r="P3" i="1" s="1"/>
  <c r="I210" i="1" l="1" a="1"/>
  <c r="I210" i="1" s="1"/>
  <c r="I220" i="1" a="1"/>
  <c r="I220" i="1" s="1"/>
  <c r="J220" i="1" s="1"/>
  <c r="P4" i="1"/>
  <c r="Q4" i="1" s="1"/>
  <c r="I197" i="1" a="1"/>
  <c r="I197" i="1" s="1"/>
  <c r="J197" i="1" s="1"/>
  <c r="I206" i="1" a="1"/>
  <c r="I206" i="1" s="1"/>
  <c r="I198" i="1" a="1"/>
  <c r="I198" i="1" s="1"/>
  <c r="J198" i="1" s="1"/>
  <c r="I207" i="1" a="1"/>
  <c r="I207" i="1" s="1"/>
  <c r="J207" i="1" s="1"/>
  <c r="I227" i="1" a="1"/>
  <c r="I227" i="1" s="1"/>
  <c r="J227" i="1" s="1"/>
  <c r="I189" i="1" a="1"/>
  <c r="I189" i="1" s="1"/>
  <c r="J189" i="1" s="1"/>
  <c r="I208" i="1" a="1"/>
  <c r="I208" i="1" s="1"/>
  <c r="J208" i="1" s="1"/>
  <c r="I228" i="1" a="1"/>
  <c r="I228" i="1" s="1"/>
  <c r="J228" i="1" s="1"/>
  <c r="I191" i="1" a="1"/>
  <c r="I191" i="1" s="1"/>
  <c r="J191" i="1" s="1"/>
  <c r="I174" i="1" a="1"/>
  <c r="I174" i="1" s="1"/>
  <c r="I175" i="1" a="1"/>
  <c r="I175" i="1" s="1"/>
  <c r="J175" i="1" s="1"/>
  <c r="I183" i="1" a="1"/>
  <c r="I183" i="1" s="1"/>
  <c r="J183" i="1" s="1"/>
  <c r="I202" i="1" a="1"/>
  <c r="I202" i="1" s="1"/>
  <c r="J202" i="1" s="1"/>
  <c r="I231" i="1" a="1"/>
  <c r="I231" i="1" s="1"/>
  <c r="J231" i="1" s="1"/>
  <c r="I182" i="1" a="1"/>
  <c r="I182" i="1" s="1"/>
  <c r="J182" i="1" s="1"/>
  <c r="K175" i="1" a="1"/>
  <c r="K175" i="1" s="1"/>
  <c r="K183" i="1" a="1"/>
  <c r="K183" i="1" s="1"/>
  <c r="I213" i="1" a="1"/>
  <c r="I213" i="1" s="1"/>
  <c r="J213" i="1" s="1"/>
  <c r="I232" i="1" a="1"/>
  <c r="I232" i="1" s="1"/>
  <c r="J232" i="1" s="1"/>
  <c r="I176" i="1" a="1"/>
  <c r="I176" i="1" s="1"/>
  <c r="J176" i="1" s="1"/>
  <c r="I184" i="1" a="1"/>
  <c r="I184" i="1" s="1"/>
  <c r="J184" i="1" s="1"/>
  <c r="I214" i="1" a="1"/>
  <c r="I214" i="1" s="1"/>
  <c r="J214" i="1" s="1"/>
  <c r="I194" i="1" a="1"/>
  <c r="I194" i="1" s="1"/>
  <c r="J194" i="1" s="1"/>
  <c r="I204" i="1" a="1"/>
  <c r="I204" i="1" s="1"/>
  <c r="J204" i="1" s="1"/>
  <c r="I215" i="1" a="1"/>
  <c r="I215" i="1" s="1"/>
  <c r="J215" i="1" s="1"/>
  <c r="I186" i="1" a="1"/>
  <c r="I186" i="1" s="1"/>
  <c r="J186" i="1" s="1"/>
  <c r="I195" i="1" a="1"/>
  <c r="I195" i="1" s="1"/>
  <c r="J195" i="1" s="1"/>
  <c r="I216" i="1" a="1"/>
  <c r="I216" i="1" s="1"/>
  <c r="J216" i="1" s="1"/>
  <c r="K224" i="1" a="1"/>
  <c r="K224" i="1" s="1"/>
  <c r="I196" i="1" a="1"/>
  <c r="I196" i="1" s="1"/>
  <c r="K205" i="1" a="1"/>
  <c r="K205" i="1" s="1"/>
  <c r="J180" i="1"/>
  <c r="J200" i="1"/>
  <c r="H284" i="1"/>
  <c r="I284" i="1" s="1" a="1"/>
  <c r="I284" i="1" s="1"/>
  <c r="F283" i="1"/>
  <c r="J173" i="1"/>
  <c r="J210" i="1"/>
  <c r="J192" i="1"/>
  <c r="J203" i="1"/>
  <c r="J185" i="1"/>
  <c r="J177" i="1"/>
  <c r="J179" i="1"/>
  <c r="J206" i="1"/>
  <c r="I226" i="1" a="1"/>
  <c r="I226" i="1" s="1"/>
  <c r="H226" i="1"/>
  <c r="F282" i="1"/>
  <c r="H283" i="1"/>
  <c r="I283" i="1" s="1" a="1"/>
  <c r="I283" i="1" s="1"/>
  <c r="J172" i="1"/>
  <c r="J209" i="1"/>
  <c r="F279" i="1"/>
  <c r="H280" i="1"/>
  <c r="I280" i="1" s="1" a="1"/>
  <c r="I280" i="1" s="1"/>
  <c r="J190" i="1"/>
  <c r="I221" i="1" a="1"/>
  <c r="I221" i="1" s="1"/>
  <c r="H221" i="1"/>
  <c r="J178" i="1"/>
  <c r="J196" i="1"/>
  <c r="I225" i="1" a="1"/>
  <c r="I225" i="1" s="1"/>
  <c r="H225" i="1"/>
  <c r="K217" i="1" a="1"/>
  <c r="K217" i="1" s="1"/>
  <c r="K231" i="1" a="1"/>
  <c r="K231" i="1" s="1"/>
  <c r="K219" i="1" a="1"/>
  <c r="K219" i="1" s="1"/>
  <c r="K213" i="1" a="1"/>
  <c r="K213" i="1" s="1"/>
  <c r="K201" i="1" a="1"/>
  <c r="K201" i="1" s="1"/>
  <c r="K189" i="1" a="1"/>
  <c r="K189" i="1" s="1"/>
  <c r="K225" i="1" a="1"/>
  <c r="K225" i="1" s="1"/>
  <c r="K207" i="1" a="1"/>
  <c r="K207" i="1" s="1"/>
  <c r="K195" i="1" a="1"/>
  <c r="K195" i="1" s="1"/>
  <c r="K220" i="1" a="1"/>
  <c r="K220" i="1" s="1"/>
  <c r="K232" i="1" a="1"/>
  <c r="K232" i="1" s="1"/>
  <c r="L232" i="1" s="1"/>
  <c r="M232" i="1" s="1"/>
  <c r="K226" i="1" a="1"/>
  <c r="K226" i="1" s="1"/>
  <c r="K214" i="1" a="1"/>
  <c r="K214" i="1" s="1"/>
  <c r="K227" i="1" a="1"/>
  <c r="K227" i="1" s="1"/>
  <c r="K221" i="1" a="1"/>
  <c r="K221" i="1" s="1"/>
  <c r="K215" i="1" a="1"/>
  <c r="K215" i="1" s="1"/>
  <c r="K209" i="1" a="1"/>
  <c r="K209" i="1" s="1"/>
  <c r="L209" i="1" s="1"/>
  <c r="M209" i="1" s="1"/>
  <c r="K203" i="1" a="1"/>
  <c r="K203" i="1" s="1"/>
  <c r="L203" i="1" s="1"/>
  <c r="M203" i="1" s="1"/>
  <c r="K197" i="1" a="1"/>
  <c r="K197" i="1" s="1"/>
  <c r="K173" i="1" a="1"/>
  <c r="K173" i="1" s="1"/>
  <c r="L173" i="1" s="1"/>
  <c r="M173" i="1" s="1"/>
  <c r="I188" i="1" a="1"/>
  <c r="I188" i="1" s="1"/>
  <c r="K193" i="1" a="1"/>
  <c r="K193" i="1" s="1"/>
  <c r="I201" i="1" a="1"/>
  <c r="I201" i="1" s="1"/>
  <c r="I211" i="1" a="1"/>
  <c r="I211" i="1" s="1"/>
  <c r="K178" i="1" a="1"/>
  <c r="K178" i="1" s="1"/>
  <c r="L178" i="1" s="1"/>
  <c r="M178" i="1" s="1"/>
  <c r="K186" i="1" a="1"/>
  <c r="K186" i="1" s="1"/>
  <c r="K188" i="1" a="1"/>
  <c r="K188" i="1" s="1"/>
  <c r="K199" i="1" a="1"/>
  <c r="K199" i="1" s="1"/>
  <c r="I222" i="1" a="1"/>
  <c r="I222" i="1" s="1"/>
  <c r="I224" i="1" a="1"/>
  <c r="I224" i="1" s="1"/>
  <c r="H224" i="1"/>
  <c r="K228" i="1" a="1"/>
  <c r="K228" i="1" s="1"/>
  <c r="K211" i="1" a="1"/>
  <c r="K211" i="1" s="1"/>
  <c r="I218" i="1" a="1"/>
  <c r="I218" i="1" s="1"/>
  <c r="K222" i="1" a="1"/>
  <c r="K222" i="1" s="1"/>
  <c r="I229" i="1" a="1"/>
  <c r="I229" i="1" s="1"/>
  <c r="H285" i="1"/>
  <c r="I285" i="1" s="1" a="1"/>
  <c r="I285" i="1" s="1"/>
  <c r="F284" i="1"/>
  <c r="K172" i="1" a="1"/>
  <c r="K172" i="1" s="1"/>
  <c r="J166" i="1" s="1"/>
  <c r="K180" i="1" a="1"/>
  <c r="K180" i="1" s="1"/>
  <c r="L180" i="1" s="1"/>
  <c r="M180" i="1" s="1"/>
  <c r="K218" i="1" a="1"/>
  <c r="K218" i="1" s="1"/>
  <c r="I187" i="1" a="1"/>
  <c r="I187" i="1" s="1"/>
  <c r="K190" i="1" a="1"/>
  <c r="K190" i="1" s="1"/>
  <c r="L190" i="1" s="1"/>
  <c r="M190" i="1" s="1"/>
  <c r="K177" i="1" a="1"/>
  <c r="K177" i="1" s="1"/>
  <c r="L177" i="1" s="1"/>
  <c r="M177" i="1" s="1"/>
  <c r="K182" i="1" a="1"/>
  <c r="K182" i="1" s="1"/>
  <c r="K185" i="1" a="1"/>
  <c r="K185" i="1" s="1"/>
  <c r="L185" i="1" s="1"/>
  <c r="M185" i="1" s="1"/>
  <c r="K192" i="1" a="1"/>
  <c r="K192" i="1" s="1"/>
  <c r="L192" i="1" s="1"/>
  <c r="M192" i="1" s="1"/>
  <c r="K194" i="1" a="1"/>
  <c r="K194" i="1" s="1"/>
  <c r="I223" i="1" a="1"/>
  <c r="I223" i="1" s="1"/>
  <c r="H223" i="1"/>
  <c r="J292" i="1"/>
  <c r="K174" i="1" a="1"/>
  <c r="K174" i="1" s="1"/>
  <c r="K187" i="1" a="1"/>
  <c r="K187" i="1" s="1"/>
  <c r="K196" i="1" a="1"/>
  <c r="K196" i="1" s="1"/>
  <c r="K200" i="1" a="1"/>
  <c r="K200" i="1" s="1"/>
  <c r="L200" i="1" s="1"/>
  <c r="M200" i="1" s="1"/>
  <c r="I212" i="1" a="1"/>
  <c r="I212" i="1" s="1"/>
  <c r="K216" i="1" a="1"/>
  <c r="K216" i="1" s="1"/>
  <c r="K229" i="1" a="1"/>
  <c r="K229" i="1" s="1"/>
  <c r="K198" i="1" a="1"/>
  <c r="K198" i="1" s="1"/>
  <c r="K202" i="1" a="1"/>
  <c r="K202" i="1" s="1"/>
  <c r="K206" i="1" a="1"/>
  <c r="K206" i="1" s="1"/>
  <c r="K212" i="1" a="1"/>
  <c r="K212" i="1" s="1"/>
  <c r="I181" i="1" a="1"/>
  <c r="I181" i="1" s="1"/>
  <c r="K176" i="1" a="1"/>
  <c r="K176" i="1" s="1"/>
  <c r="K179" i="1" a="1"/>
  <c r="K179" i="1" s="1"/>
  <c r="L179" i="1" s="1"/>
  <c r="M179" i="1" s="1"/>
  <c r="I193" i="1" a="1"/>
  <c r="I193" i="1" s="1"/>
  <c r="K204" i="1" a="1"/>
  <c r="K204" i="1" s="1"/>
  <c r="K208" i="1" a="1"/>
  <c r="K208" i="1" s="1"/>
  <c r="I217" i="1" a="1"/>
  <c r="I217" i="1" s="1"/>
  <c r="K223" i="1" a="1"/>
  <c r="K223" i="1" s="1"/>
  <c r="K184" i="1" a="1"/>
  <c r="K184" i="1" s="1"/>
  <c r="I199" i="1" a="1"/>
  <c r="I199" i="1" s="1"/>
  <c r="K210" i="1" a="1"/>
  <c r="K210" i="1" s="1"/>
  <c r="L210" i="1" s="1"/>
  <c r="M210" i="1" s="1"/>
  <c r="I219" i="1" a="1"/>
  <c r="I219" i="1" s="1"/>
  <c r="H282" i="1"/>
  <c r="I282" i="1" s="1" a="1"/>
  <c r="I282" i="1" s="1"/>
  <c r="F281" i="1"/>
  <c r="K181" i="1" a="1"/>
  <c r="K181" i="1" s="1"/>
  <c r="K191" i="1" a="1"/>
  <c r="K191" i="1" s="1"/>
  <c r="I205" i="1" a="1"/>
  <c r="I205" i="1" s="1"/>
  <c r="I230" i="1" a="1"/>
  <c r="I230" i="1" s="1"/>
  <c r="F280" i="1"/>
  <c r="L220" i="1" l="1"/>
  <c r="M220" i="1" s="1"/>
  <c r="L197" i="1"/>
  <c r="M197" i="1" s="1"/>
  <c r="L176" i="1"/>
  <c r="M176" i="1" s="1"/>
  <c r="L215" i="1"/>
  <c r="M215" i="1" s="1"/>
  <c r="L227" i="1"/>
  <c r="M227" i="1" s="1"/>
  <c r="L186" i="1"/>
  <c r="M186" i="1" s="1"/>
  <c r="L231" i="1"/>
  <c r="M231" i="1" s="1"/>
  <c r="L189" i="1"/>
  <c r="M189" i="1" s="1"/>
  <c r="L206" i="1"/>
  <c r="M206" i="1" s="1"/>
  <c r="L202" i="1"/>
  <c r="M202" i="1" s="1"/>
  <c r="L198" i="1"/>
  <c r="M198" i="1" s="1"/>
  <c r="L207" i="1"/>
  <c r="M207" i="1" s="1"/>
  <c r="L174" i="1"/>
  <c r="M174" i="1" s="1"/>
  <c r="L194" i="1"/>
  <c r="M194" i="1" s="1"/>
  <c r="L175" i="1"/>
  <c r="M175" i="1" s="1"/>
  <c r="L172" i="1"/>
  <c r="M172" i="1" s="1"/>
  <c r="L182" i="1"/>
  <c r="M182" i="1" s="1"/>
  <c r="L196" i="1"/>
  <c r="M196" i="1" s="1"/>
  <c r="L208" i="1"/>
  <c r="M208" i="1" s="1"/>
  <c r="L228" i="1"/>
  <c r="M228" i="1" s="1"/>
  <c r="L183" i="1"/>
  <c r="M183" i="1" s="1"/>
  <c r="L204" i="1"/>
  <c r="M204" i="1" s="1"/>
  <c r="L214" i="1"/>
  <c r="M214" i="1" s="1"/>
  <c r="L191" i="1"/>
  <c r="M191" i="1" s="1"/>
  <c r="J174" i="1"/>
  <c r="L216" i="1"/>
  <c r="M216" i="1" s="1"/>
  <c r="L195" i="1"/>
  <c r="M195" i="1" s="1"/>
  <c r="L213" i="1"/>
  <c r="M213" i="1" s="1"/>
  <c r="L184" i="1"/>
  <c r="M184" i="1" s="1"/>
  <c r="J219" i="1"/>
  <c r="L219" i="1"/>
  <c r="M219" i="1" s="1"/>
  <c r="L223" i="1"/>
  <c r="M223" i="1" s="1"/>
  <c r="J223" i="1"/>
  <c r="L229" i="1"/>
  <c r="M229" i="1" s="1"/>
  <c r="J229" i="1"/>
  <c r="J201" i="1"/>
  <c r="L201" i="1"/>
  <c r="M201" i="1" s="1"/>
  <c r="J225" i="1"/>
  <c r="L225" i="1"/>
  <c r="M225" i="1" s="1"/>
  <c r="L226" i="1"/>
  <c r="M226" i="1" s="1"/>
  <c r="J226" i="1"/>
  <c r="J218" i="1"/>
  <c r="L218" i="1"/>
  <c r="M218" i="1" s="1"/>
  <c r="J217" i="1"/>
  <c r="L217" i="1"/>
  <c r="M217" i="1" s="1"/>
  <c r="J188" i="1"/>
  <c r="L188" i="1"/>
  <c r="M188" i="1" s="1"/>
  <c r="J230" i="1"/>
  <c r="L230" i="1"/>
  <c r="M230" i="1" s="1"/>
  <c r="J212" i="1"/>
  <c r="L212" i="1"/>
  <c r="M212" i="1" s="1"/>
  <c r="L187" i="1"/>
  <c r="M187" i="1" s="1"/>
  <c r="J187" i="1"/>
  <c r="J224" i="1"/>
  <c r="L224" i="1"/>
  <c r="M224" i="1" s="1"/>
  <c r="L222" i="1"/>
  <c r="M222" i="1" s="1"/>
  <c r="J222" i="1"/>
  <c r="J165" i="1"/>
  <c r="L199" i="1"/>
  <c r="M199" i="1" s="1"/>
  <c r="J199" i="1"/>
  <c r="J211" i="1"/>
  <c r="L211" i="1"/>
  <c r="M211" i="1" s="1"/>
  <c r="L221" i="1"/>
  <c r="M221" i="1" s="1"/>
  <c r="J221" i="1"/>
  <c r="L205" i="1"/>
  <c r="M205" i="1" s="1"/>
  <c r="J205" i="1"/>
  <c r="J193" i="1"/>
  <c r="L193" i="1"/>
  <c r="M193" i="1" s="1"/>
  <c r="G291" i="1"/>
  <c r="F291" i="1"/>
  <c r="E291" i="1"/>
  <c r="J181" i="1"/>
  <c r="L181" i="1"/>
  <c r="M181" i="1" s="1"/>
</calcChain>
</file>

<file path=xl/sharedStrings.xml><?xml version="1.0" encoding="utf-8"?>
<sst xmlns="http://schemas.openxmlformats.org/spreadsheetml/2006/main" count="1181" uniqueCount="273">
  <si>
    <t>CHIP</t>
  </si>
  <si>
    <t>Children's Health Insurance Program</t>
  </si>
  <si>
    <t>State programs providing health insurance to children. Based on state programs but match with federal dollars.</t>
  </si>
  <si>
    <t>INDEX(CHIP_Factors,MATCH(1,(CHIP_Factors[State]=InputStateName)*(CHIP_Factors[Group]=DF372)*(CHIP_Factors[Factor]="Annual Per Child Premium"),0),MATCH(InputYear,VALUE(CHIP_Factors[#Headers]),0))</t>
  </si>
  <si>
    <t>LookupTable: CHIP_Factors</t>
  </si>
  <si>
    <t>State</t>
  </si>
  <si>
    <t>CHIP Name</t>
  </si>
  <si>
    <t>Family Size</t>
  </si>
  <si>
    <t>Group</t>
  </si>
  <si>
    <t>Group Name</t>
  </si>
  <si>
    <t>Factor</t>
  </si>
  <si>
    <t>Condition</t>
  </si>
  <si>
    <t>Comment</t>
  </si>
  <si>
    <t>2018</t>
  </si>
  <si>
    <t>Note 2018</t>
  </si>
  <si>
    <t>2019</t>
  </si>
  <si>
    <t>Note 2019</t>
  </si>
  <si>
    <t>2020</t>
  </si>
  <si>
    <t>Note 2020</t>
  </si>
  <si>
    <t>2021</t>
  </si>
  <si>
    <t>Note 2021</t>
  </si>
  <si>
    <t>2022</t>
  </si>
  <si>
    <t>Note 2022</t>
  </si>
  <si>
    <t>Alabama</t>
  </si>
  <si>
    <t>All Kids</t>
  </si>
  <si>
    <t>Group 1</t>
  </si>
  <si>
    <t>All Kids Low Fee</t>
  </si>
  <si>
    <t>Annual MAGI Limit</t>
  </si>
  <si>
    <t>Eff 2/1/2020</t>
  </si>
  <si>
    <t>Group 2</t>
  </si>
  <si>
    <t>All Kids Fee</t>
  </si>
  <si>
    <t>Annual Family Premium</t>
  </si>
  <si>
    <t>Low Fee Group</t>
  </si>
  <si>
    <t>Annual Per Child Premium</t>
  </si>
  <si>
    <t>Fee Group</t>
  </si>
  <si>
    <t>Family Premium</t>
  </si>
  <si>
    <t>Maximum Family Annual Premium</t>
  </si>
  <si>
    <t>Arkansas</t>
  </si>
  <si>
    <t>ARKids First</t>
  </si>
  <si>
    <t>ARKids First A</t>
  </si>
  <si>
    <t>ARKids First B</t>
  </si>
  <si>
    <t>Florida</t>
  </si>
  <si>
    <t>KidCare</t>
  </si>
  <si>
    <t>Multiplied monthly fee by 12</t>
  </si>
  <si>
    <t>Georgia</t>
  </si>
  <si>
    <t>PeachCare</t>
  </si>
  <si>
    <t>Subtracted 5% from published range</t>
  </si>
  <si>
    <t>Group 3</t>
  </si>
  <si>
    <t>Group 4</t>
  </si>
  <si>
    <t>Group 5</t>
  </si>
  <si>
    <t>Group 6</t>
  </si>
  <si>
    <t>Multiplied monthly cap by 12</t>
  </si>
  <si>
    <t>Louisiana</t>
  </si>
  <si>
    <t>LaCHIP</t>
  </si>
  <si>
    <t>LaCHIP Affordable Plan</t>
  </si>
  <si>
    <t>Mississippi</t>
  </si>
  <si>
    <t>Missouri</t>
  </si>
  <si>
    <t>$1,699.00 to $2,096.00</t>
  </si>
  <si>
    <t>$2,096.01 to $2,549.00</t>
  </si>
  <si>
    <t>$2,549.01 to $3398.00</t>
  </si>
  <si>
    <t>$2,289.00 to $2,823.00</t>
  </si>
  <si>
    <t>$2,823.01 to $3,434.00</t>
  </si>
  <si>
    <t>$3,434.01 to $4,578.00</t>
  </si>
  <si>
    <t>$2,879.00 to $3,551.00</t>
  </si>
  <si>
    <t>$3,551.01 to $4,319.00</t>
  </si>
  <si>
    <t>$4,319.01 to $5,758.00</t>
  </si>
  <si>
    <t>$3,469.00 to $4279.00</t>
  </si>
  <si>
    <t>$4,279.01 to $5,204.00</t>
  </si>
  <si>
    <t>$5,204.01 to $6,938.00</t>
  </si>
  <si>
    <t>$4,059.00 to $5,006.00</t>
  </si>
  <si>
    <t>$5,006.01 to $6,089.00</t>
  </si>
  <si>
    <t>$6,089.01 to $8,118.00</t>
  </si>
  <si>
    <t>$4,649.00 to $5,734.00</t>
  </si>
  <si>
    <t>$5,734.01 to $6,974.00</t>
  </si>
  <si>
    <t>$6,974.01 to $9,298.00</t>
  </si>
  <si>
    <t>$5,239.00 to $6,462.00</t>
  </si>
  <si>
    <t>$6,462.01 to $7,859.00</t>
  </si>
  <si>
    <t>$7,859.01 to $10,478.00</t>
  </si>
  <si>
    <t>$5,829.00 to $7,189.00</t>
  </si>
  <si>
    <t>$7,189.01 to $8,744.00</t>
  </si>
  <si>
    <t>$8,744.01 to $11,658.00</t>
  </si>
  <si>
    <t>$6,419.00 to $7,917.00</t>
  </si>
  <si>
    <t>$7,917.01 to $9,629.00</t>
  </si>
  <si>
    <t>$9,629.01 to $12,838.00</t>
  </si>
  <si>
    <t>$7,009.00 to $8,645.00</t>
  </si>
  <si>
    <t>$8,645.01 to $10,514.00</t>
  </si>
  <si>
    <t>$10,514.01 to $14,018.00</t>
  </si>
  <si>
    <t>North Carolina</t>
  </si>
  <si>
    <t>Health Choices</t>
  </si>
  <si>
    <t>South Carolina</t>
  </si>
  <si>
    <t>Tennessee</t>
  </si>
  <si>
    <t>CoverKids</t>
  </si>
  <si>
    <t>Texas</t>
  </si>
  <si>
    <t>Utah</t>
  </si>
  <si>
    <t>Plan B</t>
  </si>
  <si>
    <t>Plan C</t>
  </si>
  <si>
    <t>West Virginia</t>
  </si>
  <si>
    <t>Gold</t>
  </si>
  <si>
    <t>Blue</t>
  </si>
  <si>
    <t>Premium</t>
  </si>
  <si>
    <t>Note</t>
  </si>
  <si>
    <t>Federal law imposes a 5% cap on income on all out-of-pocket costs. Applies to all states.</t>
  </si>
  <si>
    <t>Calculate Annual MAGI Limit</t>
  </si>
  <si>
    <t>Year=</t>
  </si>
  <si>
    <t>Household Size =</t>
  </si>
  <si>
    <t>State Classification =</t>
  </si>
  <si>
    <t>FPIG +5% Disregard</t>
  </si>
  <si>
    <t>Income Limit</t>
  </si>
  <si>
    <t>100% FPIG</t>
  </si>
  <si>
    <t>Year</t>
  </si>
  <si>
    <t>Category</t>
  </si>
  <si>
    <t>FPIG</t>
  </si>
  <si>
    <t>Medicaid</t>
  </si>
  <si>
    <t>LaMoms</t>
  </si>
  <si>
    <t>Pregnant</t>
  </si>
  <si>
    <t>Health Choice</t>
  </si>
  <si>
    <t>SCHIP</t>
  </si>
  <si>
    <t>Formulae</t>
  </si>
  <si>
    <t>Formula 1: Find rates or fees</t>
  </si>
  <si>
    <t>formula=</t>
  </si>
  <si>
    <t>INDEX(CHIP_Factors,MATCH(1,(CHIP_Factors[State]=$E$78)*(CHIP_Factors[Group]=$E$79)*(CHIP_Factors[Factor]=$E$80),0),MATCH($E$81,VALUE(CHIP_Factors[#Headers]),0))</t>
  </si>
  <si>
    <t>test formula=</t>
  </si>
  <si>
    <t xml:space="preserve">input: state </t>
  </si>
  <si>
    <t>input:   Group</t>
  </si>
  <si>
    <t>Annual Family Premium or Fee</t>
  </si>
  <si>
    <t>Input: Factor</t>
  </si>
  <si>
    <t>input: year</t>
  </si>
  <si>
    <t>test result =</t>
  </si>
  <si>
    <t>Formula 2: Verify "Annual Family Premium or Fee" or "Maxiimum Annual Premium"</t>
  </si>
  <si>
    <t>Family Fees</t>
  </si>
  <si>
    <t>Maximums</t>
  </si>
  <si>
    <t>Input: Factor1</t>
  </si>
  <si>
    <t>Input: Factor2</t>
  </si>
  <si>
    <t>test factor 1 result =</t>
  </si>
  <si>
    <t>LookupTable: CHIP_RuleException</t>
  </si>
  <si>
    <t>Exception</t>
  </si>
  <si>
    <t>Description</t>
  </si>
  <si>
    <t>Premium Exemption</t>
  </si>
  <si>
    <t>Age Must Be Less Than</t>
  </si>
  <si>
    <t>No Family Fee if Child is less than 6</t>
  </si>
  <si>
    <t>Other</t>
  </si>
  <si>
    <t>Formula</t>
  </si>
  <si>
    <t>Formula1</t>
  </si>
  <si>
    <t>INDEX(CHIP_RuleException,MATCH(1,(CHIP_RuleException[State]=$E$92)*(CHIP_RuleException[Exception]=$E$93)*(CHIP_RuleException[Condition]=$E$94),0),MATCH($E$95,VALUE(CHIP_RuleException[#Headers]),0))</t>
  </si>
  <si>
    <t>Test for True</t>
  </si>
  <si>
    <t>input: State</t>
  </si>
  <si>
    <t>input: Exception</t>
  </si>
  <si>
    <t>input: Condition</t>
  </si>
  <si>
    <t>test result=</t>
  </si>
  <si>
    <t>Formula2</t>
  </si>
  <si>
    <t>Test If statement:</t>
  </si>
  <si>
    <t>Formula3</t>
  </si>
  <si>
    <t>INDEX(CHIP_RuleException,MATCH(1,(CHIP_RuleException[State]=$E$92)*(CHIP_RuleException[Exception]=$E$93)*(CHIP_RuleException[Condition]=$E$94),0),MATCH("factor",CHIP_RuleException[#Headers]))</t>
  </si>
  <si>
    <t>Formula 4</t>
  </si>
  <si>
    <t>Combination Formula of above 3</t>
  </si>
  <si>
    <t>IF(INDEX(CHIP_RuleException,MATCH(1,(CHIP_RuleException[State]=$E$92)*(CHIP_RuleException[Exception]=$E$93)*(CHIP_RuleException[Condition]=$E$94),0),MATCH($E$95,VALUE(CHIP_RuleException[#Headers]),0)),INDEX(CHIP_RuleException,MATCH(1,(CHIP_RuleException[State]=$E$92)*(CHIP_RuleException[Exception]=$E$93)*(CHIP_RuleException[Condition]=$E$94),0),MATCH("factor",CHIP_RuleException[#Headers])),"error")</t>
  </si>
  <si>
    <t>Note: Set IFNA when no exception exists.</t>
  </si>
  <si>
    <t>Formula 5</t>
  </si>
  <si>
    <t>Test Lookup Group</t>
  </si>
  <si>
    <t>Input HH #</t>
  </si>
  <si>
    <t>Test Table: TestCHIP_GroupLookup</t>
  </si>
  <si>
    <t>Test if with left</t>
  </si>
  <si>
    <t>GroupLookup</t>
  </si>
  <si>
    <t>GroupLookup3</t>
  </si>
  <si>
    <t>FPIG +5%</t>
  </si>
  <si>
    <t>Exceeds MAGI Limit</t>
  </si>
  <si>
    <t>Test countif operators</t>
  </si>
  <si>
    <t>IF(left("Group 1",5)="Group","TRUE")</t>
  </si>
  <si>
    <t>&lt;=</t>
  </si>
  <si>
    <t>yes</t>
  </si>
  <si>
    <t>GroupLookup2</t>
  </si>
  <si>
    <t>Input Income</t>
  </si>
  <si>
    <t>formula</t>
  </si>
  <si>
    <t>COUNTIF($J$111:$J$116,"group*")</t>
  </si>
  <si>
    <t>note</t>
  </si>
  <si>
    <t>change "yes" to modify count</t>
  </si>
  <si>
    <t>"*" is a wildcard</t>
  </si>
  <si>
    <t>Sources</t>
  </si>
  <si>
    <t>National</t>
  </si>
  <si>
    <t>Insure kids Nows</t>
  </si>
  <si>
    <t>CMS website</t>
  </si>
  <si>
    <t>Links to state programs</t>
  </si>
  <si>
    <t>https://www.insurekidsnow.gov/coverage/index.html</t>
  </si>
  <si>
    <t>{Note: This federal site was helpful in finding state CHIP programs.}</t>
  </si>
  <si>
    <t>Department of Public Health</t>
  </si>
  <si>
    <t>http://www.alabamapublichealth.gov/</t>
  </si>
  <si>
    <t> 1-800-252-1818 </t>
  </si>
  <si>
    <t>Premiums and Copays</t>
  </si>
  <si>
    <t>http://www.alabamapublichealth.gov/allkids/premiums-and-copays.html</t>
  </si>
  <si>
    <t>Income Limits</t>
  </si>
  <si>
    <t>Effective 2/1/2020</t>
  </si>
  <si>
    <t>https://www.alabamapublichealth.gov/allkids/assets/allkids2020income.pdf</t>
  </si>
  <si>
    <t>Benefits Booklet</t>
  </si>
  <si>
    <t>https://www.alabamapublichealth.gov/allkids/assets/akbenefitsfeb2020.pdf</t>
  </si>
  <si>
    <t>Florida Healthy Kids Corporation</t>
  </si>
  <si>
    <t>Administers the Florida Healthy Kids program for children ages 5 through the end of age 18. The Corporation also determines eligibility for the non-Medicaid parts of the program, collects monthly premiums, and manages the customer service call center.</t>
  </si>
  <si>
    <t>includes montgly premiums</t>
  </si>
  <si>
    <t>2019  General Guidelines</t>
  </si>
  <si>
    <t>https://www.healthykids.org/kidcare/eligibility/Florida_KidCare_Income_Guidelines.pdf</t>
  </si>
  <si>
    <t>Department of Community Health</t>
  </si>
  <si>
    <t>https://dch.georgia.gov/</t>
  </si>
  <si>
    <t>2 Peachtree Street, NW,  ATLANTA, GA 30303</t>
  </si>
  <si>
    <t>(404) 656-4507</t>
  </si>
  <si>
    <t>Commissioner Frank W. Berry</t>
  </si>
  <si>
    <t>Public Notice on Premium Charges</t>
  </si>
  <si>
    <t>Effective a4/1/2015</t>
  </si>
  <si>
    <t>No update found on public notices</t>
  </si>
  <si>
    <t>https://dch.georgia.gov/sites/dch.georgia.gov/files/PeachCare%20for%20Kids%20Premium%20Changes%20Public%20Notice.pdf</t>
  </si>
  <si>
    <t xml:space="preserve">Public Notices: </t>
  </si>
  <si>
    <t>Required to post changes</t>
  </si>
  <si>
    <t>https://dch.georgia.gov/meetings-notices/public-notices</t>
  </si>
  <si>
    <t>Website on Peachcase</t>
  </si>
  <si>
    <t>https://dch.georgia.gov/peachcare-kids</t>
  </si>
  <si>
    <t>Note: Rates consistent with webpage</t>
  </si>
  <si>
    <t>Department of Health</t>
  </si>
  <si>
    <t>Interim Secretary, Stephen Russo</t>
  </si>
  <si>
    <t>Mailing Address: Louisiana Department of Health | P. O. Box 629 | Baton Rouge, LA 70821-0629</t>
  </si>
  <si>
    <t>Physical Address: 628 N. 4th Street | Baton Rouge, LA 70802 | PHONE: 225-342-9500 | FAX: 225-342-5568</t>
  </si>
  <si>
    <t>Website</t>
  </si>
  <si>
    <t xml:space="preserve">http://ldh.la.gov/index.cfm/page/222 </t>
  </si>
  <si>
    <t>LaCHIP Affordable</t>
  </si>
  <si>
    <t>http://ldh.la.gov/index.cfm/page/224</t>
  </si>
  <si>
    <t>FAQs</t>
  </si>
  <si>
    <t>http://ldh.la.gov/index.cfm/faq/category/19</t>
  </si>
  <si>
    <t>Monthly Income Limites for Medicaid Programs</t>
  </si>
  <si>
    <t>http://www.ldh.la.gov/index.cfm/page/1371</t>
  </si>
  <si>
    <t>Division of Medicaid, Drew Snyder, Executive Director</t>
  </si>
  <si>
    <t>550 High Street, Suite 1000, Jackson, Mississippi 39201 Toll-free: 800-421-2408 Phone: 601-359-6050</t>
  </si>
  <si>
    <t>CHIP Contacts: Mississippi Division of Medicaid: Phone: 601-359-3789</t>
  </si>
  <si>
    <t>CHIP State Plan</t>
  </si>
  <si>
    <t>https://medicaid.ms.gov/childrens-health-insurance-program-chip-state-plan</t>
  </si>
  <si>
    <t>CHIP website</t>
  </si>
  <si>
    <t>https://medicaid.ms.gov/programs/childrens-health-insurance-program-chip</t>
  </si>
  <si>
    <t>https://medicaid.ms.gov/medicaid-coverage/who-qualifies-for-coverage/income-limits-for-medicaid-and-chip-programs</t>
  </si>
  <si>
    <t>Provided by UnitedHealthcare Insurance</t>
  </si>
  <si>
    <t>{NOTE: Mississippi CHIP does not have a fee or premium share. I called on Mr 5 2020 (800-421-2408) and verified that this is the case.}</t>
  </si>
  <si>
    <t>Department of Health and Human Services, Division on Health Benefits</t>
  </si>
  <si>
    <t>2501 Mail Service Center, Raleigh, NC 27699-2501  Phone: 888-245-0179, M-F, 8 to 5</t>
  </si>
  <si>
    <t>https://medicaid.ncdhhs.gov/medicaid/get-started/learn-if-you-are-eligible-medicaid-or-health-choice/health-choice-income-and</t>
  </si>
  <si>
    <t>Technically, the $50 is an enrollment fee for each 12-month continuous enrollment period. https://medicaid.ncdhhs.gov/medicaid/get-started/learn-if-you-are-eligible-medicaid-or-health-choice/health-choice-income-and</t>
  </si>
  <si>
    <t>In addition to the enrollment fee, Health Choice also has copayments as follows: Group 1: $10 non-emergency room  use, $1 generic drug, or band name if no generic is available, or $3 for brand name.  Continue…</t>
  </si>
  <si>
    <t>…continued: for Group 2: $25 non-emergency emergency room use, $5 per physician visit, $1, for generic druge or band name if no generic is available, or $10 for brand name.</t>
  </si>
  <si>
    <t>Department of TennCare. Gabe Roberts, Commissioner, 310 Great Circle Rd., Nashville, TN 37243</t>
  </si>
  <si>
    <t>TennCare</t>
  </si>
  <si>
    <t>Division of TennCare: CoverKids</t>
  </si>
  <si>
    <t>310 Great Circle Road, Nashville, TN 37243</t>
  </si>
  <si>
    <t>For eligiblity questions: 855-259-0701.</t>
  </si>
  <si>
    <t>https://www.tn.gov/coverkids/coverkids/state-plan.html</t>
  </si>
  <si>
    <t>website</t>
  </si>
  <si>
    <t>https://www.tn.gov/coverkids</t>
  </si>
  <si>
    <t xml:space="preserve">TennCare Programs </t>
  </si>
  <si>
    <t>Income Eligibility Guide (2019)</t>
  </si>
  <si>
    <t>https://www.tn.gov/content/dam/tn/tenncare/documents/eligibilityrefguide.pdf</t>
  </si>
  <si>
    <t>Cover Kides</t>
  </si>
  <si>
    <t>Eligibility</t>
  </si>
  <si>
    <t>https://www.tn.gov/content/tn/coverkids/coverkids/eligibility.html</t>
  </si>
  <si>
    <t>Co-pays</t>
  </si>
  <si>
    <t xml:space="preserve">Three levels of Copays. Does not list premiums or fees. </t>
  </si>
  <si>
    <t>https://www.tn.gov/content/dam/tn/coverkids/documents/CoverKidsCopay.pdf</t>
  </si>
  <si>
    <t>There are no premiums or costs other than co-payments. (see above line). Federal law states that out-of-pocket expenses cannot exceed 5%.  See FAQs "What is the cost associate with CoverKids" https://www.tn.gov/coverkids/coverkids/frquently-asked-questions.html</t>
  </si>
  <si>
    <t>Department of Health and  Human Services</t>
  </si>
  <si>
    <t>Texas Works Handbook</t>
  </si>
  <si>
    <t>D-1800 [CHIP] Cost Sharing</t>
  </si>
  <si>
    <t>https://hhs.texas.gov/laws-regulations/handbooks/twh/part-d-childrens-health-insurance-program-chip/section-1800-cost-sharing</t>
  </si>
  <si>
    <t>D-1820 Enrollment Fees</t>
  </si>
  <si>
    <t>$0 with net nincome at or below 151%; $35 for houshold over 151% but less than 186%; and $50 up to 201%. It covers the coninuous enrollment period for the household (not per child)</t>
  </si>
  <si>
    <t>D-1830 Coopayment Requirements</t>
  </si>
  <si>
    <t>D-110 General Policy</t>
  </si>
  <si>
    <t>"Children who qualify and enroll in CHIP receive up to 12 months of continuous coverage and are required to renew eligibility every 12 months. Families with net income above 151 percent of the FPIL are required to pay an enrollment fee. "</t>
  </si>
  <si>
    <t>Note 2023</t>
  </si>
  <si>
    <t>Note 2024</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</si>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</sst>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3">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
      <sz val="11"/>
      <color rgb="FF00B050"/>
      <name val="Calibri"/>
      <family val="2"/>
      <scheme val="minor"/>
    </font>
    <font>
      <b/>
      <sz val="11"/>
      <color rgb="FF00B050"/>
      <name val="Calibri"/>
      <family val="2"/>
      <scheme val="minor"/>
    </font>
    <font>
      <sz val="11"/>
      <color rgb="FF444444"/>
      <name val="Arial"/>
      <family val="2"/>
    </font>
    <font>
      <sz val="9.1999999999999993"/>
      <color rgb="FF333333"/>
      <name val="Arial"/>
      <family val="2"/>
    </font>
    <font>
      <sz val="7.45"/>
      <name val="Arial"/>
      <family val="2"/>
    </font>
    <font>
      <b/>
      <sz val="10"/>
      <color rgb="FF131E29"/>
      <name val="&amp;quot"/>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45">
    <xf numFmtId="0" fontId="0" fillId="0" borderId="0" xfId="0"/>
    <xf numFmtId="0" fontId="3" fillId="0" borderId="0" xfId="0" applyFont="1"/>
    <xf numFmtId="6" fontId="0" fillId="0" borderId="0" xfId="0" applyNumberFormat="1"/>
    <xf numFmtId="9" fontId="0" fillId="0" borderId="0" xfId="0" applyNumberFormat="1"/>
    <xf numFmtId="0" fontId="5" fillId="0" borderId="0" xfId="0" applyFont="1"/>
    <xf numFmtId="0" fontId="0" fillId="2" borderId="1" xfId="0" applyFill="1" applyBorder="1"/>
    <xf numFmtId="0" fontId="0" fillId="0" borderId="0" xfId="0" applyAlignment="1">
      <alignment horizontal="center"/>
    </xf>
    <xf numFmtId="9" fontId="0" fillId="0" borderId="0" xfId="0" applyNumberFormat="1" applyAlignment="1">
      <alignment horizontal="center"/>
    </xf>
    <xf numFmtId="14" fontId="0" fillId="0" borderId="0" xfId="0" applyNumberFormat="1"/>
    <xf numFmtId="0" fontId="0" fillId="0" borderId="1" xfId="0" applyBorder="1"/>
    <xf numFmtId="4" fontId="0" fillId="0" borderId="0" xfId="0" applyNumberFormat="1" applyAlignment="1">
      <alignment horizontal="center"/>
    </xf>
    <xf numFmtId="1" fontId="0" fillId="0" borderId="0" xfId="0" applyNumberFormat="1" applyAlignment="1">
      <alignment horizontal="center"/>
    </xf>
    <xf numFmtId="2" fontId="0" fillId="0" borderId="0" xfId="0" applyNumberFormat="1"/>
    <xf numFmtId="1" fontId="0" fillId="0" borderId="0" xfId="0" applyNumberFormat="1" applyAlignment="1">
      <alignment horizontal="right"/>
    </xf>
    <xf numFmtId="1" fontId="0" fillId="0" borderId="0" xfId="0" applyNumberFormat="1"/>
    <xf numFmtId="2" fontId="0" fillId="0" borderId="0" xfId="0" applyNumberFormat="1" applyAlignment="1">
      <alignment horizontal="center"/>
    </xf>
    <xf numFmtId="0" fontId="6" fillId="0" borderId="0" xfId="0" applyFont="1" applyAlignment="1">
      <alignment horizontal="right"/>
    </xf>
    <xf numFmtId="0" fontId="7" fillId="0" borderId="0" xfId="0" applyFont="1" applyAlignment="1">
      <alignment horizontal="right"/>
    </xf>
    <xf numFmtId="0" fontId="7" fillId="0" borderId="0" xfId="0" applyFont="1" applyAlignment="1">
      <alignment horizontal="center"/>
    </xf>
    <xf numFmtId="9" fontId="0" fillId="0" borderId="0" xfId="1" applyFont="1" applyFill="1" applyBorder="1" applyAlignment="1">
      <alignment horizontal="center"/>
    </xf>
    <xf numFmtId="9" fontId="0" fillId="0" borderId="0" xfId="1" applyFont="1" applyAlignment="1">
      <alignment horizontal="center"/>
    </xf>
    <xf numFmtId="6" fontId="0" fillId="0" borderId="1" xfId="0" applyNumberFormat="1" applyBorder="1"/>
    <xf numFmtId="8" fontId="0" fillId="0" borderId="0" xfId="0" applyNumberFormat="1"/>
    <xf numFmtId="10" fontId="0" fillId="0" borderId="0" xfId="1" applyNumberFormat="1" applyFont="1"/>
    <xf numFmtId="10" fontId="0" fillId="0" borderId="0" xfId="0" applyNumberFormat="1"/>
    <xf numFmtId="0" fontId="0" fillId="0" borderId="3" xfId="0" applyBorder="1"/>
    <xf numFmtId="6" fontId="8" fillId="0" borderId="0" xfId="0" applyNumberFormat="1" applyFont="1"/>
    <xf numFmtId="0" fontId="0" fillId="0" borderId="0" xfId="0" applyAlignment="1">
      <alignment horizontal="right"/>
    </xf>
    <xf numFmtId="0" fontId="2" fillId="0" borderId="0" xfId="0" applyFont="1" applyAlignment="1">
      <alignment horizontal="right"/>
    </xf>
    <xf numFmtId="0" fontId="2" fillId="0" borderId="0" xfId="0" applyFont="1" applyAlignment="1">
      <alignment horizontal="center"/>
    </xf>
    <xf numFmtId="0" fontId="0" fillId="2" borderId="3" xfId="0" applyFill="1" applyBorder="1"/>
    <xf numFmtId="0" fontId="2" fillId="0" borderId="0" xfId="0" applyFont="1"/>
    <xf numFmtId="0" fontId="0" fillId="0" borderId="0" xfId="0" applyAlignment="1">
      <alignment horizontal="left"/>
    </xf>
    <xf numFmtId="0" fontId="5" fillId="0" borderId="0" xfId="0" applyFont="1" applyAlignment="1">
      <alignment horizontal="left"/>
    </xf>
    <xf numFmtId="0" fontId="7" fillId="0" borderId="0" xfId="0" applyFont="1" applyAlignment="1">
      <alignment horizontal="left"/>
    </xf>
    <xf numFmtId="6" fontId="0" fillId="0" borderId="1" xfId="0" applyNumberFormat="1" applyBorder="1" applyAlignment="1">
      <alignment horizontal="center"/>
    </xf>
    <xf numFmtId="0" fontId="0" fillId="0" borderId="0" xfId="0" quotePrefix="1"/>
    <xf numFmtId="6" fontId="0" fillId="0" borderId="0" xfId="0" applyNumberFormat="1" applyAlignment="1">
      <alignment horizontal="center"/>
    </xf>
    <xf numFmtId="0" fontId="4" fillId="0" borderId="0" xfId="2"/>
    <xf numFmtId="0" fontId="9" fillId="0" borderId="0" xfId="0" applyFont="1"/>
    <xf numFmtId="0" fontId="10" fillId="0" borderId="0" xfId="0" applyFont="1"/>
    <xf numFmtId="0" fontId="11" fillId="0" borderId="0" xfId="0" applyFont="1"/>
    <xf numFmtId="0" fontId="7" fillId="0" borderId="0" xfId="0" applyFont="1" applyAlignment="1">
      <alignment horizontal="center" wrapText="1"/>
    </xf>
    <xf numFmtId="0" fontId="7" fillId="0" borderId="2" xfId="0" applyFont="1" applyBorder="1" applyAlignment="1">
      <alignment horizontal="center" wrapText="1"/>
    </xf>
    <xf numFmtId="14" fontId="0" fillId="0" borderId="0" xfId="0" applyNumberFormat="1" applyAlignment="1">
      <alignment horizontal="center"/>
    </xf>
  </cellXfs>
  <cellStyles count="3">
    <cellStyle name="Hyperlink" xfId="2" builtinId="8"/>
    <cellStyle name="Normal" xfId="0" builtinId="0"/>
    <cellStyle name="Percent" xfId="1" builtinId="5"/>
  </cellStyles>
  <dxfs count="16">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0" formatCode="&quot;$&quot;#,##0_);[Red]\(&quot;$&quot;#,##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B050"/>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rgb="FF00B050"/>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rgb="FF00B050"/>
        <name val="Calibri"/>
        <family val="2"/>
        <scheme val="minor"/>
      </font>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Development\Cliff%20Model%20Working%20Group-v12.8w1.xlsm" TargetMode="External"/><Relationship Id="rId1" Type="http://schemas.openxmlformats.org/officeDocument/2006/relationships/externalLinkPath" Target="/Users/Owner/Documents/Just%20Saying%20That/Consulting/GCO/Cliff%20Development/Cliff%20Model%20Working%20Group-v12.8w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HIX"/>
      <sheetName val="SSI"/>
      <sheetName val="sSSI"/>
      <sheetName val="SNAP"/>
      <sheetName val="WIC"/>
      <sheetName val="NSLP"/>
      <sheetName val="Mcaid"/>
      <sheetName val="CHIP"/>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row r="6">
          <cell r="C6" t="str">
            <v>Missouri</v>
          </cell>
        </row>
        <row r="7">
          <cell r="C7" t="str">
            <v>Statewide Average</v>
          </cell>
        </row>
        <row r="11">
          <cell r="C11" t="str">
            <v>Yes</v>
          </cell>
          <cell r="D11">
            <v>28</v>
          </cell>
          <cell r="H11" t="str">
            <v>No</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row r="41">
          <cell r="D41" t="b">
            <v>1</v>
          </cell>
        </row>
        <row r="42">
          <cell r="D42" t="b">
            <v>1</v>
          </cell>
        </row>
        <row r="43">
          <cell r="D43" t="b">
            <v>1</v>
          </cell>
        </row>
        <row r="44">
          <cell r="D44" t="b">
            <v>1</v>
          </cell>
        </row>
      </sheetData>
      <sheetData sheetId="10">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5">
          <cell r="N5">
            <v>0</v>
          </cell>
          <cell r="O5">
            <v>0.85941504528810353</v>
          </cell>
          <cell r="P5">
            <v>1.7188300905762071</v>
          </cell>
          <cell r="Q5">
            <v>2.5782451358643104</v>
          </cell>
          <cell r="R5">
            <v>3.4376601811524141</v>
          </cell>
          <cell r="S5">
            <v>4.2970752264405174</v>
          </cell>
          <cell r="T5">
            <v>5.1564902717286207</v>
          </cell>
          <cell r="U5">
            <v>6.015905317016724</v>
          </cell>
          <cell r="V5">
            <v>6.8753203623048282</v>
          </cell>
          <cell r="W5">
            <v>7.7347354075929315</v>
          </cell>
          <cell r="X5">
            <v>8.5941504528810349</v>
          </cell>
          <cell r="Y5">
            <v>9.453565498169139</v>
          </cell>
          <cell r="Z5">
            <v>10.312980543457241</v>
          </cell>
          <cell r="AA5">
            <v>11.172395588745344</v>
          </cell>
          <cell r="AB5">
            <v>12.031810634033448</v>
          </cell>
          <cell r="AC5">
            <v>12.891225679321552</v>
          </cell>
          <cell r="AD5">
            <v>13.750640724609656</v>
          </cell>
          <cell r="AE5">
            <v>14.610055769897759</v>
          </cell>
          <cell r="AF5">
            <v>15.469470815185863</v>
          </cell>
          <cell r="AG5">
            <v>16.328885860473967</v>
          </cell>
          <cell r="AH5">
            <v>17.18830090576207</v>
          </cell>
          <cell r="AI5">
            <v>18.047715951050172</v>
          </cell>
          <cell r="AJ5">
            <v>18.907130996338278</v>
          </cell>
          <cell r="AK5">
            <v>19.766546041626377</v>
          </cell>
          <cell r="AL5">
            <v>20.625961086914483</v>
          </cell>
          <cell r="AM5">
            <v>21.485376132202585</v>
          </cell>
          <cell r="AN5">
            <v>22.344791177490688</v>
          </cell>
          <cell r="AO5">
            <v>23.204206222778794</v>
          </cell>
          <cell r="AP5">
            <v>24.063621268066896</v>
          </cell>
          <cell r="AQ5">
            <v>24.923036313355002</v>
          </cell>
          <cell r="AR5">
            <v>25.782451358643105</v>
          </cell>
          <cell r="AS5">
            <v>26.641866403931207</v>
          </cell>
          <cell r="AT5">
            <v>27.501281449219313</v>
          </cell>
          <cell r="AU5">
            <v>28.360696494507415</v>
          </cell>
          <cell r="AV5">
            <v>29.220111539795518</v>
          </cell>
          <cell r="AW5">
            <v>30.079526585083624</v>
          </cell>
          <cell r="AX5">
            <v>30.938941630371726</v>
          </cell>
          <cell r="AY5">
            <v>31.798356675659829</v>
          </cell>
          <cell r="AZ5">
            <v>32.657771720947935</v>
          </cell>
          <cell r="BA5">
            <v>33.517186766236037</v>
          </cell>
          <cell r="BB5">
            <v>34.376601811524139</v>
          </cell>
          <cell r="BC5">
            <v>35.236016856812242</v>
          </cell>
          <cell r="BD5">
            <v>36.095431902100344</v>
          </cell>
          <cell r="BE5">
            <v>36.954846947388454</v>
          </cell>
          <cell r="BF5">
            <v>37.814261992676556</v>
          </cell>
          <cell r="BG5">
            <v>38.673677037964659</v>
          </cell>
          <cell r="BH5">
            <v>39.533092083252754</v>
          </cell>
          <cell r="BI5">
            <v>40</v>
          </cell>
          <cell r="BJ5">
            <v>40</v>
          </cell>
          <cell r="BK5">
            <v>40</v>
          </cell>
          <cell r="BL5">
            <v>40</v>
          </cell>
          <cell r="BM5">
            <v>40</v>
          </cell>
          <cell r="BN5">
            <v>40</v>
          </cell>
          <cell r="BO5">
            <v>40</v>
          </cell>
          <cell r="BP5">
            <v>40</v>
          </cell>
          <cell r="BQ5">
            <v>40</v>
          </cell>
          <cell r="BR5">
            <v>40</v>
          </cell>
          <cell r="BS5">
            <v>40</v>
          </cell>
          <cell r="BT5">
            <v>40</v>
          </cell>
          <cell r="BU5">
            <v>40</v>
          </cell>
          <cell r="BV5">
            <v>40</v>
          </cell>
          <cell r="BW5">
            <v>40</v>
          </cell>
          <cell r="BX5">
            <v>40</v>
          </cell>
          <cell r="BY5">
            <v>40</v>
          </cell>
          <cell r="BZ5">
            <v>40</v>
          </cell>
          <cell r="CA5">
            <v>40</v>
          </cell>
          <cell r="CB5">
            <v>40</v>
          </cell>
          <cell r="CC5">
            <v>40</v>
          </cell>
          <cell r="CD5">
            <v>40</v>
          </cell>
          <cell r="CE5">
            <v>40</v>
          </cell>
          <cell r="CF5">
            <v>40</v>
          </cell>
          <cell r="CG5">
            <v>40</v>
          </cell>
          <cell r="CH5">
            <v>40</v>
          </cell>
          <cell r="CI5">
            <v>40</v>
          </cell>
          <cell r="CJ5">
            <v>40</v>
          </cell>
          <cell r="CK5">
            <v>40</v>
          </cell>
          <cell r="CL5">
            <v>40</v>
          </cell>
          <cell r="CM5">
            <v>40</v>
          </cell>
          <cell r="CN5">
            <v>40</v>
          </cell>
          <cell r="CO5">
            <v>40</v>
          </cell>
          <cell r="CP5">
            <v>40</v>
          </cell>
          <cell r="CQ5">
            <v>40</v>
          </cell>
          <cell r="CR5">
            <v>40</v>
          </cell>
          <cell r="CS5">
            <v>40</v>
          </cell>
          <cell r="CT5">
            <v>40</v>
          </cell>
          <cell r="CU5">
            <v>40</v>
          </cell>
          <cell r="CV5">
            <v>40</v>
          </cell>
          <cell r="CW5">
            <v>40</v>
          </cell>
          <cell r="CX5">
            <v>40</v>
          </cell>
          <cell r="CY5">
            <v>40</v>
          </cell>
          <cell r="CZ5">
            <v>40</v>
          </cell>
          <cell r="DA5">
            <v>40</v>
          </cell>
          <cell r="DB5">
            <v>40</v>
          </cell>
          <cell r="DC5">
            <v>40</v>
          </cell>
          <cell r="DD5">
            <v>40</v>
          </cell>
          <cell r="DE5">
            <v>40</v>
          </cell>
          <cell r="DF5">
            <v>40</v>
          </cell>
          <cell r="DG5">
            <v>40</v>
          </cell>
          <cell r="DH5">
            <v>40</v>
          </cell>
          <cell r="DI5">
            <v>40</v>
          </cell>
          <cell r="DJ5">
            <v>40</v>
          </cell>
          <cell r="DK5">
            <v>40</v>
          </cell>
          <cell r="DL5">
            <v>40</v>
          </cell>
          <cell r="DM5">
            <v>40</v>
          </cell>
          <cell r="DN5">
            <v>40</v>
          </cell>
          <cell r="DO5">
            <v>40</v>
          </cell>
          <cell r="DP5">
            <v>40</v>
          </cell>
          <cell r="DQ5">
            <v>40</v>
          </cell>
          <cell r="DR5">
            <v>40</v>
          </cell>
          <cell r="DS5">
            <v>40</v>
          </cell>
          <cell r="DT5">
            <v>40</v>
          </cell>
          <cell r="DU5">
            <v>40</v>
          </cell>
          <cell r="DV5">
            <v>40</v>
          </cell>
          <cell r="DW5">
            <v>40</v>
          </cell>
          <cell r="DX5">
            <v>40</v>
          </cell>
          <cell r="DY5">
            <v>40</v>
          </cell>
          <cell r="DZ5">
            <v>40</v>
          </cell>
          <cell r="EA5">
            <v>40</v>
          </cell>
          <cell r="EB5">
            <v>40</v>
          </cell>
          <cell r="EC5">
            <v>40</v>
          </cell>
          <cell r="ED5">
            <v>40</v>
          </cell>
          <cell r="EE5">
            <v>40</v>
          </cell>
          <cell r="EF5">
            <v>40</v>
          </cell>
          <cell r="EG5">
            <v>40</v>
          </cell>
          <cell r="EH5">
            <v>40</v>
          </cell>
          <cell r="EI5">
            <v>40</v>
          </cell>
          <cell r="EJ5">
            <v>40</v>
          </cell>
          <cell r="EK5">
            <v>40</v>
          </cell>
          <cell r="EL5">
            <v>40</v>
          </cell>
          <cell r="EM5">
            <v>40</v>
          </cell>
          <cell r="EN5">
            <v>40</v>
          </cell>
          <cell r="EO5">
            <v>40</v>
          </cell>
          <cell r="EP5">
            <v>40</v>
          </cell>
          <cell r="EQ5">
            <v>40</v>
          </cell>
          <cell r="ER5">
            <v>40</v>
          </cell>
          <cell r="ES5">
            <v>40</v>
          </cell>
          <cell r="ET5">
            <v>40</v>
          </cell>
          <cell r="EU5">
            <v>40</v>
          </cell>
          <cell r="EV5">
            <v>40</v>
          </cell>
          <cell r="EW5">
            <v>40</v>
          </cell>
          <cell r="EX5">
            <v>40</v>
          </cell>
          <cell r="EY5">
            <v>40</v>
          </cell>
          <cell r="EZ5">
            <v>40</v>
          </cell>
          <cell r="FA5">
            <v>40</v>
          </cell>
          <cell r="FB5">
            <v>40</v>
          </cell>
          <cell r="FC5">
            <v>40</v>
          </cell>
          <cell r="FD5">
            <v>40</v>
          </cell>
          <cell r="FE5">
            <v>40</v>
          </cell>
          <cell r="FF5">
            <v>40</v>
          </cell>
          <cell r="FG5">
            <v>40</v>
          </cell>
          <cell r="FH5">
            <v>40</v>
          </cell>
          <cell r="FI5">
            <v>40</v>
          </cell>
          <cell r="FJ5">
            <v>40</v>
          </cell>
          <cell r="FK5">
            <v>40</v>
          </cell>
          <cell r="FL5">
            <v>40</v>
          </cell>
          <cell r="FM5">
            <v>40</v>
          </cell>
          <cell r="FN5">
            <v>40</v>
          </cell>
          <cell r="FO5">
            <v>40</v>
          </cell>
          <cell r="FP5">
            <v>40</v>
          </cell>
          <cell r="FQ5">
            <v>40</v>
          </cell>
          <cell r="FR5">
            <v>40</v>
          </cell>
          <cell r="FS5">
            <v>40</v>
          </cell>
          <cell r="FT5">
            <v>40</v>
          </cell>
          <cell r="FU5">
            <v>40</v>
          </cell>
          <cell r="FV5">
            <v>40</v>
          </cell>
          <cell r="FW5">
            <v>40</v>
          </cell>
          <cell r="FX5">
            <v>40</v>
          </cell>
          <cell r="FY5">
            <v>40</v>
          </cell>
          <cell r="FZ5">
            <v>40</v>
          </cell>
          <cell r="GA5">
            <v>40</v>
          </cell>
          <cell r="GB5">
            <v>40</v>
          </cell>
          <cell r="GC5">
            <v>40</v>
          </cell>
          <cell r="GD5">
            <v>40</v>
          </cell>
          <cell r="GE5">
            <v>40</v>
          </cell>
          <cell r="GF5">
            <v>40</v>
          </cell>
          <cell r="GG5">
            <v>40</v>
          </cell>
          <cell r="GH5">
            <v>40</v>
          </cell>
          <cell r="GI5">
            <v>40</v>
          </cell>
          <cell r="GJ5">
            <v>40</v>
          </cell>
          <cell r="GK5">
            <v>40</v>
          </cell>
          <cell r="GL5">
            <v>40</v>
          </cell>
          <cell r="GM5">
            <v>40</v>
          </cell>
          <cell r="GN5">
            <v>40</v>
          </cell>
          <cell r="GO5">
            <v>40</v>
          </cell>
          <cell r="GP5">
            <v>40</v>
          </cell>
          <cell r="GQ5">
            <v>40</v>
          </cell>
          <cell r="GR5">
            <v>40</v>
          </cell>
          <cell r="GS5">
            <v>40</v>
          </cell>
          <cell r="GT5">
            <v>40</v>
          </cell>
          <cell r="GU5">
            <v>40</v>
          </cell>
          <cell r="GV5">
            <v>40</v>
          </cell>
          <cell r="GW5">
            <v>40</v>
          </cell>
          <cell r="GX5">
            <v>40</v>
          </cell>
          <cell r="GY5">
            <v>40</v>
          </cell>
          <cell r="GZ5">
            <v>40</v>
          </cell>
          <cell r="HA5">
            <v>40</v>
          </cell>
          <cell r="HB5">
            <v>40</v>
          </cell>
          <cell r="HC5">
            <v>40</v>
          </cell>
          <cell r="HD5">
            <v>40</v>
          </cell>
          <cell r="HE5">
            <v>40</v>
          </cell>
          <cell r="HF5">
            <v>40</v>
          </cell>
        </row>
        <row r="6">
          <cell r="N6">
            <v>0</v>
          </cell>
          <cell r="O6">
            <v>41.666666666666664</v>
          </cell>
          <cell r="P6">
            <v>83.333333333333329</v>
          </cell>
          <cell r="Q6">
            <v>125</v>
          </cell>
          <cell r="R6">
            <v>166.66666666666666</v>
          </cell>
          <cell r="S6">
            <v>208.33333333333331</v>
          </cell>
          <cell r="T6">
            <v>249.99999999999997</v>
          </cell>
          <cell r="U6">
            <v>291.66666666666663</v>
          </cell>
          <cell r="V6">
            <v>333.33333333333331</v>
          </cell>
          <cell r="W6">
            <v>375</v>
          </cell>
          <cell r="X6">
            <v>416.66666666666669</v>
          </cell>
          <cell r="Y6">
            <v>458.33333333333337</v>
          </cell>
          <cell r="Z6">
            <v>500.00000000000006</v>
          </cell>
          <cell r="AA6">
            <v>541.66666666666674</v>
          </cell>
          <cell r="AB6">
            <v>583.33333333333337</v>
          </cell>
          <cell r="AC6">
            <v>625</v>
          </cell>
          <cell r="AD6">
            <v>666.66666666666663</v>
          </cell>
          <cell r="AE6">
            <v>708.33333333333326</v>
          </cell>
          <cell r="AF6">
            <v>749.99999999999989</v>
          </cell>
          <cell r="AG6">
            <v>791.66666666666652</v>
          </cell>
          <cell r="AH6">
            <v>833.33333333333314</v>
          </cell>
          <cell r="AI6">
            <v>874.99999999999977</v>
          </cell>
          <cell r="AJ6">
            <v>916.6666666666664</v>
          </cell>
          <cell r="AK6">
            <v>958.33333333333303</v>
          </cell>
          <cell r="AL6">
            <v>999.99999999999966</v>
          </cell>
          <cell r="AM6">
            <v>1041.6666666666663</v>
          </cell>
          <cell r="AN6">
            <v>1083.333333333333</v>
          </cell>
          <cell r="AO6">
            <v>1124.9999999999998</v>
          </cell>
          <cell r="AP6">
            <v>1166.6666666666665</v>
          </cell>
          <cell r="AQ6">
            <v>1208.3333333333333</v>
          </cell>
          <cell r="AR6">
            <v>1250</v>
          </cell>
          <cell r="AS6">
            <v>1291.6666666666667</v>
          </cell>
          <cell r="AT6">
            <v>1333.3333333333335</v>
          </cell>
          <cell r="AU6">
            <v>1375.0000000000002</v>
          </cell>
          <cell r="AV6">
            <v>1416.666666666667</v>
          </cell>
          <cell r="AW6">
            <v>1458.3333333333337</v>
          </cell>
          <cell r="AX6">
            <v>1500.0000000000005</v>
          </cell>
          <cell r="AY6">
            <v>1541.6666666666672</v>
          </cell>
          <cell r="AZ6">
            <v>1583.3333333333339</v>
          </cell>
          <cell r="BA6">
            <v>1625.0000000000007</v>
          </cell>
          <cell r="BB6">
            <v>1666.6666666666674</v>
          </cell>
          <cell r="BC6">
            <v>1708.3333333333342</v>
          </cell>
          <cell r="BD6">
            <v>1750.0000000000009</v>
          </cell>
          <cell r="BE6">
            <v>1791.6666666666677</v>
          </cell>
          <cell r="BF6">
            <v>1833.3333333333344</v>
          </cell>
          <cell r="BG6">
            <v>1875.0000000000011</v>
          </cell>
          <cell r="BH6">
            <v>1916.6666666666679</v>
          </cell>
          <cell r="BI6">
            <v>1958.3333333333346</v>
          </cell>
          <cell r="BJ6">
            <v>2000.0000000000014</v>
          </cell>
          <cell r="BK6">
            <v>2041.6666666666681</v>
          </cell>
          <cell r="BL6">
            <v>2083.3333333333348</v>
          </cell>
          <cell r="BM6">
            <v>2125.0000000000014</v>
          </cell>
          <cell r="BN6">
            <v>2166.6666666666679</v>
          </cell>
          <cell r="BO6">
            <v>2208.3333333333344</v>
          </cell>
          <cell r="BP6">
            <v>2250.0000000000009</v>
          </cell>
          <cell r="BQ6">
            <v>2291.6666666666674</v>
          </cell>
          <cell r="BR6">
            <v>2333.3333333333339</v>
          </cell>
          <cell r="BS6">
            <v>2375.0000000000005</v>
          </cell>
          <cell r="BT6">
            <v>2416.666666666667</v>
          </cell>
          <cell r="BU6">
            <v>2458.3333333333335</v>
          </cell>
          <cell r="BV6">
            <v>2500</v>
          </cell>
          <cell r="BW6">
            <v>2541.6666666666665</v>
          </cell>
          <cell r="BX6">
            <v>2583.333333333333</v>
          </cell>
          <cell r="BY6">
            <v>2624.9999999999995</v>
          </cell>
          <cell r="BZ6">
            <v>2666.6666666666661</v>
          </cell>
          <cell r="CA6">
            <v>2708.3333333333326</v>
          </cell>
          <cell r="CB6">
            <v>2749.9999999999991</v>
          </cell>
          <cell r="CC6">
            <v>2791.6666666666656</v>
          </cell>
          <cell r="CD6">
            <v>2833.3333333333321</v>
          </cell>
          <cell r="CE6">
            <v>2874.9999999999986</v>
          </cell>
          <cell r="CF6">
            <v>2916.6666666666652</v>
          </cell>
          <cell r="CG6">
            <v>2958.3333333333317</v>
          </cell>
          <cell r="CH6">
            <v>2999.9999999999982</v>
          </cell>
          <cell r="CI6">
            <v>3041.6666666666647</v>
          </cell>
          <cell r="CJ6">
            <v>3083.3333333333312</v>
          </cell>
          <cell r="CK6">
            <v>3124.9999999999977</v>
          </cell>
          <cell r="CL6">
            <v>3166.6666666666642</v>
          </cell>
          <cell r="CM6">
            <v>3208.3333333333308</v>
          </cell>
          <cell r="CN6">
            <v>3249.9999999999973</v>
          </cell>
          <cell r="CO6">
            <v>3291.6666666666638</v>
          </cell>
          <cell r="CP6">
            <v>3333.3333333333303</v>
          </cell>
          <cell r="CQ6">
            <v>3374.9999999999968</v>
          </cell>
          <cell r="CR6">
            <v>3416.6666666666633</v>
          </cell>
          <cell r="CS6">
            <v>3458.3333333333298</v>
          </cell>
          <cell r="CT6">
            <v>3499.9999999999964</v>
          </cell>
          <cell r="CU6">
            <v>3541.6666666666629</v>
          </cell>
          <cell r="CV6">
            <v>3583.3333333333294</v>
          </cell>
          <cell r="CW6">
            <v>3624.9999999999959</v>
          </cell>
          <cell r="CX6">
            <v>3666.6666666666624</v>
          </cell>
          <cell r="CY6">
            <v>3708.3333333333289</v>
          </cell>
          <cell r="CZ6">
            <v>3749.9999999999955</v>
          </cell>
          <cell r="DA6">
            <v>3791.666666666662</v>
          </cell>
          <cell r="DB6">
            <v>3833.3333333333285</v>
          </cell>
          <cell r="DC6">
            <v>3874.999999999995</v>
          </cell>
          <cell r="DD6">
            <v>3916.6666666666615</v>
          </cell>
          <cell r="DE6">
            <v>3958.333333333328</v>
          </cell>
          <cell r="DF6">
            <v>3999.9999999999945</v>
          </cell>
          <cell r="DG6">
            <v>4041.6666666666611</v>
          </cell>
          <cell r="DH6">
            <v>4083.3333333333276</v>
          </cell>
          <cell r="DI6">
            <v>4124.9999999999945</v>
          </cell>
          <cell r="DJ6">
            <v>4166.6666666666615</v>
          </cell>
          <cell r="DK6">
            <v>4208.3333333333285</v>
          </cell>
          <cell r="DL6">
            <v>4249.9999999999955</v>
          </cell>
          <cell r="DM6">
            <v>4291.6666666666624</v>
          </cell>
          <cell r="DN6">
            <v>4333.3333333333294</v>
          </cell>
          <cell r="DO6">
            <v>4374.9999999999964</v>
          </cell>
          <cell r="DP6">
            <v>4416.6666666666633</v>
          </cell>
          <cell r="DQ6">
            <v>4458.3333333333303</v>
          </cell>
          <cell r="DR6">
            <v>4499.9999999999973</v>
          </cell>
          <cell r="DS6">
            <v>4541.6666666666642</v>
          </cell>
          <cell r="DT6">
            <v>4583.3333333333312</v>
          </cell>
          <cell r="DU6">
            <v>4624.9999999999982</v>
          </cell>
          <cell r="DV6">
            <v>4666.6666666666652</v>
          </cell>
          <cell r="DW6">
            <v>4708.3333333333321</v>
          </cell>
          <cell r="DX6">
            <v>4749.9999999999991</v>
          </cell>
          <cell r="DY6">
            <v>4791.6666666666661</v>
          </cell>
          <cell r="DZ6">
            <v>4833.333333333333</v>
          </cell>
          <cell r="EA6">
            <v>4875</v>
          </cell>
          <cell r="EB6">
            <v>4916.666666666667</v>
          </cell>
          <cell r="EC6">
            <v>4958.3333333333339</v>
          </cell>
          <cell r="ED6">
            <v>5000.0000000000009</v>
          </cell>
          <cell r="EE6">
            <v>5041.6666666666679</v>
          </cell>
          <cell r="EF6">
            <v>5083.3333333333348</v>
          </cell>
          <cell r="EG6">
            <v>5125.0000000000018</v>
          </cell>
          <cell r="EH6">
            <v>5166.6666666666688</v>
          </cell>
          <cell r="EI6">
            <v>5208.3333333333358</v>
          </cell>
          <cell r="EJ6">
            <v>5250.0000000000027</v>
          </cell>
          <cell r="EK6">
            <v>5291.6666666666697</v>
          </cell>
          <cell r="EL6">
            <v>5333.3333333333367</v>
          </cell>
          <cell r="EM6">
            <v>5375.0000000000036</v>
          </cell>
          <cell r="EN6">
            <v>5416.6666666666706</v>
          </cell>
          <cell r="EO6">
            <v>5458.3333333333376</v>
          </cell>
          <cell r="EP6">
            <v>5500.0000000000045</v>
          </cell>
          <cell r="EQ6">
            <v>5541.6666666666715</v>
          </cell>
          <cell r="ER6">
            <v>5583.3333333333385</v>
          </cell>
          <cell r="ES6">
            <v>5625.0000000000055</v>
          </cell>
          <cell r="ET6">
            <v>5666.6666666666724</v>
          </cell>
          <cell r="EU6">
            <v>5708.3333333333394</v>
          </cell>
          <cell r="EV6">
            <v>5750.0000000000064</v>
          </cell>
          <cell r="EW6">
            <v>5791.6666666666733</v>
          </cell>
          <cell r="EX6">
            <v>5833.3333333333403</v>
          </cell>
          <cell r="EY6">
            <v>5875.0000000000073</v>
          </cell>
          <cell r="EZ6">
            <v>5916.6666666666742</v>
          </cell>
          <cell r="FA6">
            <v>5958.3333333333412</v>
          </cell>
          <cell r="FB6">
            <v>6000.0000000000082</v>
          </cell>
          <cell r="FC6">
            <v>6041.6666666666752</v>
          </cell>
          <cell r="FD6">
            <v>6083.3333333333421</v>
          </cell>
          <cell r="FE6">
            <v>6125.0000000000091</v>
          </cell>
          <cell r="FF6">
            <v>6166.6666666666761</v>
          </cell>
          <cell r="FG6">
            <v>6208.333333333343</v>
          </cell>
          <cell r="FH6">
            <v>6250.00000000001</v>
          </cell>
          <cell r="FI6">
            <v>6291.666666666677</v>
          </cell>
          <cell r="FJ6">
            <v>6333.3333333333439</v>
          </cell>
          <cell r="FK6">
            <v>6375.0000000000109</v>
          </cell>
          <cell r="FL6">
            <v>6416.6666666666779</v>
          </cell>
          <cell r="FM6">
            <v>6458.3333333333449</v>
          </cell>
          <cell r="FN6">
            <v>6500.0000000000118</v>
          </cell>
          <cell r="FO6">
            <v>6541.6666666666788</v>
          </cell>
          <cell r="FP6">
            <v>6583.3333333333458</v>
          </cell>
          <cell r="FQ6">
            <v>6625.0000000000127</v>
          </cell>
          <cell r="FR6">
            <v>6666.6666666666797</v>
          </cell>
          <cell r="FS6">
            <v>6708.3333333333467</v>
          </cell>
          <cell r="FT6">
            <v>6750.0000000000136</v>
          </cell>
          <cell r="FU6">
            <v>6791.6666666666806</v>
          </cell>
          <cell r="FV6">
            <v>6833.3333333333476</v>
          </cell>
          <cell r="FW6">
            <v>6875.0000000000146</v>
          </cell>
          <cell r="FX6">
            <v>6916.6666666666815</v>
          </cell>
          <cell r="FY6">
            <v>6958.3333333333485</v>
          </cell>
          <cell r="FZ6">
            <v>7000.0000000000155</v>
          </cell>
          <cell r="GA6">
            <v>7041.6666666666824</v>
          </cell>
          <cell r="GB6">
            <v>7083.3333333333494</v>
          </cell>
          <cell r="GC6">
            <v>7125.0000000000164</v>
          </cell>
          <cell r="GD6">
            <v>7166.6666666666833</v>
          </cell>
          <cell r="GE6">
            <v>7208.3333333333503</v>
          </cell>
          <cell r="GF6">
            <v>7250.0000000000173</v>
          </cell>
          <cell r="GG6">
            <v>7291.6666666666843</v>
          </cell>
          <cell r="GH6">
            <v>7333.3333333333512</v>
          </cell>
          <cell r="GI6">
            <v>7375.0000000000182</v>
          </cell>
          <cell r="GJ6">
            <v>7416.6666666666852</v>
          </cell>
          <cell r="GK6">
            <v>7458.3333333333521</v>
          </cell>
          <cell r="GL6">
            <v>7500.0000000000191</v>
          </cell>
          <cell r="GM6">
            <v>7541.6666666666861</v>
          </cell>
          <cell r="GN6">
            <v>7583.333333333353</v>
          </cell>
          <cell r="GO6">
            <v>7625.00000000002</v>
          </cell>
          <cell r="GP6">
            <v>7666.666666666687</v>
          </cell>
          <cell r="GQ6">
            <v>7708.3333333333539</v>
          </cell>
          <cell r="GR6">
            <v>7750.0000000000209</v>
          </cell>
          <cell r="GS6">
            <v>7791.6666666666879</v>
          </cell>
          <cell r="GT6">
            <v>7833.3333333333549</v>
          </cell>
          <cell r="GU6">
            <v>7875.0000000000218</v>
          </cell>
          <cell r="GV6">
            <v>7916.6666666666888</v>
          </cell>
          <cell r="GW6">
            <v>7958.3333333333558</v>
          </cell>
          <cell r="GX6">
            <v>8000.0000000000227</v>
          </cell>
          <cell r="GY6">
            <v>8041.6666666666897</v>
          </cell>
          <cell r="GZ6">
            <v>8083.3333333333567</v>
          </cell>
          <cell r="HA6">
            <v>8125.0000000000236</v>
          </cell>
          <cell r="HB6">
            <v>8166.6666666666906</v>
          </cell>
          <cell r="HC6">
            <v>8208.3333333333576</v>
          </cell>
          <cell r="HD6">
            <v>8250.0000000000236</v>
          </cell>
          <cell r="HE6">
            <v>8291.6666666666897</v>
          </cell>
          <cell r="HF6">
            <v>8333.3333333333558</v>
          </cell>
        </row>
        <row r="7">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0</v>
          </cell>
          <cell r="EX7">
            <v>0</v>
          </cell>
          <cell r="EY7">
            <v>0</v>
          </cell>
          <cell r="EZ7">
            <v>0</v>
          </cell>
          <cell r="FA7">
            <v>0</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0</v>
          </cell>
          <cell r="HD7">
            <v>0</v>
          </cell>
          <cell r="HE7">
            <v>0</v>
          </cell>
          <cell r="HF7">
            <v>0</v>
          </cell>
        </row>
        <row r="10">
          <cell r="N10">
            <v>0</v>
          </cell>
          <cell r="O10">
            <v>11.15</v>
          </cell>
          <cell r="P10">
            <v>11.15</v>
          </cell>
          <cell r="Q10">
            <v>11.15</v>
          </cell>
          <cell r="R10">
            <v>11.15</v>
          </cell>
          <cell r="S10">
            <v>11.15</v>
          </cell>
          <cell r="T10">
            <v>11.15</v>
          </cell>
          <cell r="U10">
            <v>11.15</v>
          </cell>
          <cell r="V10">
            <v>11.15</v>
          </cell>
          <cell r="W10">
            <v>11.15</v>
          </cell>
          <cell r="X10">
            <v>11.15</v>
          </cell>
          <cell r="Y10">
            <v>11.15</v>
          </cell>
          <cell r="Z10">
            <v>11.15</v>
          </cell>
          <cell r="AA10">
            <v>11.15</v>
          </cell>
          <cell r="AB10">
            <v>11.15</v>
          </cell>
          <cell r="AC10">
            <v>11.15</v>
          </cell>
          <cell r="AD10">
            <v>11.15</v>
          </cell>
          <cell r="AE10">
            <v>11.15</v>
          </cell>
          <cell r="AF10">
            <v>11.15</v>
          </cell>
          <cell r="AG10">
            <v>11.15</v>
          </cell>
          <cell r="AH10">
            <v>11.15</v>
          </cell>
          <cell r="AI10">
            <v>11.15</v>
          </cell>
          <cell r="AJ10">
            <v>11.15</v>
          </cell>
          <cell r="AK10">
            <v>11.15</v>
          </cell>
          <cell r="AL10">
            <v>11.15</v>
          </cell>
          <cell r="AM10">
            <v>11.15</v>
          </cell>
          <cell r="AN10">
            <v>11.15</v>
          </cell>
          <cell r="AO10">
            <v>11.15</v>
          </cell>
          <cell r="AP10">
            <v>11.15</v>
          </cell>
          <cell r="AQ10">
            <v>11.15</v>
          </cell>
          <cell r="AR10">
            <v>11.15</v>
          </cell>
          <cell r="AS10">
            <v>11.15</v>
          </cell>
          <cell r="AT10">
            <v>11.15</v>
          </cell>
          <cell r="AU10">
            <v>11.15</v>
          </cell>
          <cell r="AV10">
            <v>11.15</v>
          </cell>
          <cell r="AW10">
            <v>11.15</v>
          </cell>
          <cell r="AX10">
            <v>11.15</v>
          </cell>
          <cell r="AY10">
            <v>11.15</v>
          </cell>
          <cell r="AZ10">
            <v>11.15</v>
          </cell>
          <cell r="BA10">
            <v>11.15</v>
          </cell>
          <cell r="BB10">
            <v>11.15</v>
          </cell>
          <cell r="BC10">
            <v>11.15</v>
          </cell>
          <cell r="BD10">
            <v>11.15</v>
          </cell>
          <cell r="BE10">
            <v>11.15</v>
          </cell>
          <cell r="BF10">
            <v>11.15</v>
          </cell>
          <cell r="BG10">
            <v>11.15</v>
          </cell>
          <cell r="BH10">
            <v>11.15</v>
          </cell>
          <cell r="BI10">
            <v>11.15</v>
          </cell>
          <cell r="BJ10">
            <v>11.498973305954825</v>
          </cell>
          <cell r="BK10">
            <v>11.738535249828884</v>
          </cell>
          <cell r="BL10">
            <v>11.978097193702943</v>
          </cell>
          <cell r="BM10">
            <v>12.217659137577002</v>
          </cell>
          <cell r="BN10">
            <v>12.45722108145106</v>
          </cell>
          <cell r="BO10">
            <v>12.69678302532512</v>
          </cell>
          <cell r="BP10">
            <v>12.936344969199178</v>
          </cell>
          <cell r="BQ10">
            <v>13.175906913073238</v>
          </cell>
          <cell r="BR10">
            <v>13.415468856947296</v>
          </cell>
          <cell r="BS10">
            <v>13.655030800821354</v>
          </cell>
          <cell r="BT10">
            <v>13.894592744695414</v>
          </cell>
          <cell r="BU10">
            <v>14.134154688569472</v>
          </cell>
          <cell r="BV10">
            <v>14.373716632443532</v>
          </cell>
          <cell r="BW10">
            <v>14.61327857631759</v>
          </cell>
          <cell r="BX10">
            <v>14.852840520191648</v>
          </cell>
          <cell r="BY10">
            <v>15.092402464065708</v>
          </cell>
          <cell r="BZ10">
            <v>15.331964407939767</v>
          </cell>
          <cell r="CA10">
            <v>15.571526351813825</v>
          </cell>
          <cell r="CB10">
            <v>15.811088295687885</v>
          </cell>
          <cell r="CC10">
            <v>16.050650239561943</v>
          </cell>
          <cell r="CD10">
            <v>16.290212183436001</v>
          </cell>
          <cell r="CE10">
            <v>16.529774127310063</v>
          </cell>
          <cell r="CF10">
            <v>16.769336071184121</v>
          </cell>
          <cell r="CG10">
            <v>17.008898015058179</v>
          </cell>
          <cell r="CH10">
            <v>17.248459958932237</v>
          </cell>
          <cell r="CI10">
            <v>17.488021902806295</v>
          </cell>
          <cell r="CJ10">
            <v>17.727583846680353</v>
          </cell>
          <cell r="CK10">
            <v>17.967145790554415</v>
          </cell>
          <cell r="CL10">
            <v>18.206707734428473</v>
          </cell>
          <cell r="CM10">
            <v>18.446269678302532</v>
          </cell>
          <cell r="CN10">
            <v>18.68583162217659</v>
          </cell>
          <cell r="CO10">
            <v>18.925393566050648</v>
          </cell>
          <cell r="CP10">
            <v>19.16495550992471</v>
          </cell>
          <cell r="CQ10">
            <v>19.404517453798768</v>
          </cell>
          <cell r="CR10">
            <v>19.644079397672826</v>
          </cell>
          <cell r="CS10">
            <v>19.883641341546884</v>
          </cell>
          <cell r="CT10">
            <v>20.123203285420942</v>
          </cell>
          <cell r="CU10">
            <v>20.362765229295004</v>
          </cell>
          <cell r="CV10">
            <v>20.602327173169062</v>
          </cell>
          <cell r="CW10">
            <v>20.84188911704312</v>
          </cell>
          <cell r="CX10">
            <v>21.081451060917178</v>
          </cell>
          <cell r="CY10">
            <v>21.321013004791237</v>
          </cell>
          <cell r="CZ10">
            <v>21.560574948665298</v>
          </cell>
          <cell r="DA10">
            <v>21.800136892539356</v>
          </cell>
          <cell r="DB10">
            <v>22.039698836413415</v>
          </cell>
          <cell r="DC10">
            <v>22.279260780287473</v>
          </cell>
          <cell r="DD10">
            <v>22.518822724161531</v>
          </cell>
          <cell r="DE10">
            <v>22.758384668035593</v>
          </cell>
          <cell r="DF10">
            <v>22.997946611909651</v>
          </cell>
          <cell r="DG10">
            <v>23.237508555783709</v>
          </cell>
          <cell r="DH10">
            <v>23.477070499657767</v>
          </cell>
          <cell r="DI10">
            <v>23.716632443531825</v>
          </cell>
          <cell r="DJ10">
            <v>23.956194387405887</v>
          </cell>
          <cell r="DK10">
            <v>24.195756331279945</v>
          </cell>
          <cell r="DL10">
            <v>24.435318275154003</v>
          </cell>
          <cell r="DM10">
            <v>24.674880219028061</v>
          </cell>
          <cell r="DN10">
            <v>24.91444216290212</v>
          </cell>
          <cell r="DO10">
            <v>25.154004106776181</v>
          </cell>
          <cell r="DP10">
            <v>25.393566050650239</v>
          </cell>
          <cell r="DQ10">
            <v>25.633127994524298</v>
          </cell>
          <cell r="DR10">
            <v>25.872689938398356</v>
          </cell>
          <cell r="DS10">
            <v>26.112251882272414</v>
          </cell>
          <cell r="DT10">
            <v>26.351813826146476</v>
          </cell>
          <cell r="DU10">
            <v>26.591375770020534</v>
          </cell>
          <cell r="DV10">
            <v>26.830937713894592</v>
          </cell>
          <cell r="DW10">
            <v>27.07049965776865</v>
          </cell>
          <cell r="DX10">
            <v>27.310061601642708</v>
          </cell>
          <cell r="DY10">
            <v>27.54962354551677</v>
          </cell>
          <cell r="DZ10">
            <v>27.789185489390828</v>
          </cell>
          <cell r="EA10">
            <v>28.028747433264886</v>
          </cell>
          <cell r="EB10">
            <v>28.268309377138944</v>
          </cell>
          <cell r="EC10">
            <v>28.507871321013003</v>
          </cell>
          <cell r="ED10">
            <v>28.747433264887064</v>
          </cell>
          <cell r="EE10">
            <v>28.986995208761122</v>
          </cell>
          <cell r="EF10">
            <v>29.226557152635181</v>
          </cell>
          <cell r="EG10">
            <v>29.466119096509239</v>
          </cell>
          <cell r="EH10">
            <v>29.705681040383297</v>
          </cell>
          <cell r="EI10">
            <v>29.945242984257355</v>
          </cell>
          <cell r="EJ10">
            <v>30.184804928131417</v>
          </cell>
          <cell r="EK10">
            <v>30.424366872005475</v>
          </cell>
          <cell r="EL10">
            <v>30.663928815879533</v>
          </cell>
          <cell r="EM10">
            <v>30.903490759753591</v>
          </cell>
          <cell r="EN10">
            <v>31.143052703627649</v>
          </cell>
          <cell r="EO10">
            <v>31.382614647501711</v>
          </cell>
          <cell r="EP10">
            <v>31.622176591375769</v>
          </cell>
          <cell r="EQ10">
            <v>31.861738535249827</v>
          </cell>
          <cell r="ER10">
            <v>32.101300479123886</v>
          </cell>
          <cell r="ES10">
            <v>32.340862422997944</v>
          </cell>
          <cell r="ET10">
            <v>32.580424366872002</v>
          </cell>
          <cell r="EU10">
            <v>32.81998631074606</v>
          </cell>
          <cell r="EV10">
            <v>33.059548254620125</v>
          </cell>
          <cell r="EW10">
            <v>33.299110198494184</v>
          </cell>
          <cell r="EX10">
            <v>33.538672142368242</v>
          </cell>
          <cell r="EY10">
            <v>33.7782340862423</v>
          </cell>
          <cell r="EZ10">
            <v>34.017796030116358</v>
          </cell>
          <cell r="FA10">
            <v>34.257357973990416</v>
          </cell>
          <cell r="FB10">
            <v>34.496919917864474</v>
          </cell>
          <cell r="FC10">
            <v>34.736481861738532</v>
          </cell>
          <cell r="FD10">
            <v>34.976043805612591</v>
          </cell>
          <cell r="FE10">
            <v>35.215605749486649</v>
          </cell>
          <cell r="FF10">
            <v>35.455167693360707</v>
          </cell>
          <cell r="FG10">
            <v>35.694729637234772</v>
          </cell>
          <cell r="FH10">
            <v>35.93429158110883</v>
          </cell>
          <cell r="FI10">
            <v>36.173853524982889</v>
          </cell>
          <cell r="FJ10">
            <v>36.413415468856947</v>
          </cell>
          <cell r="FK10">
            <v>36.652977412731005</v>
          </cell>
          <cell r="FL10">
            <v>36.892539356605063</v>
          </cell>
          <cell r="FM10">
            <v>37.132101300479121</v>
          </cell>
          <cell r="FN10">
            <v>37.371663244353179</v>
          </cell>
          <cell r="FO10">
            <v>37.611225188227237</v>
          </cell>
          <cell r="FP10">
            <v>37.850787132101296</v>
          </cell>
          <cell r="FQ10">
            <v>38.090349075975361</v>
          </cell>
          <cell r="FR10">
            <v>38.329911019849419</v>
          </cell>
          <cell r="FS10">
            <v>38.569472963723477</v>
          </cell>
          <cell r="FT10">
            <v>38.809034907597535</v>
          </cell>
          <cell r="FU10">
            <v>39.048596851471594</v>
          </cell>
          <cell r="FV10">
            <v>39.288158795345652</v>
          </cell>
          <cell r="FW10">
            <v>39.52772073921971</v>
          </cell>
          <cell r="FX10">
            <v>39.767282683093768</v>
          </cell>
          <cell r="FY10">
            <v>40.006844626967826</v>
          </cell>
          <cell r="FZ10">
            <v>40.246406570841884</v>
          </cell>
          <cell r="GA10">
            <v>40.48596851471595</v>
          </cell>
          <cell r="GB10">
            <v>40.725530458590008</v>
          </cell>
          <cell r="GC10">
            <v>40.965092402464066</v>
          </cell>
          <cell r="GD10">
            <v>41.204654346338124</v>
          </cell>
          <cell r="GE10">
            <v>41.444216290212182</v>
          </cell>
          <cell r="GF10">
            <v>41.68377823408624</v>
          </cell>
          <cell r="GG10">
            <v>41.923340177960299</v>
          </cell>
          <cell r="GH10">
            <v>42.162902121834357</v>
          </cell>
          <cell r="GI10">
            <v>42.402464065708415</v>
          </cell>
          <cell r="GJ10">
            <v>42.642026009582473</v>
          </cell>
          <cell r="GK10">
            <v>42.881587953456538</v>
          </cell>
          <cell r="GL10">
            <v>43.121149897330596</v>
          </cell>
          <cell r="GM10">
            <v>43.360711841204655</v>
          </cell>
          <cell r="GN10">
            <v>43.600273785078713</v>
          </cell>
          <cell r="GO10">
            <v>43.839835728952771</v>
          </cell>
          <cell r="GP10">
            <v>44.079397672826829</v>
          </cell>
          <cell r="GQ10">
            <v>44.318959616700887</v>
          </cell>
          <cell r="GR10">
            <v>44.558521560574945</v>
          </cell>
          <cell r="GS10">
            <v>44.798083504449004</v>
          </cell>
          <cell r="GT10">
            <v>45.037645448323062</v>
          </cell>
          <cell r="GU10">
            <v>45.277207392197127</v>
          </cell>
          <cell r="GV10">
            <v>45.516769336071185</v>
          </cell>
          <cell r="GW10">
            <v>45.756331279945243</v>
          </cell>
          <cell r="GX10">
            <v>45.995893223819301</v>
          </cell>
          <cell r="GY10">
            <v>46.23545516769336</v>
          </cell>
          <cell r="GZ10">
            <v>46.475017111567418</v>
          </cell>
          <cell r="HA10">
            <v>46.714579055441476</v>
          </cell>
          <cell r="HB10">
            <v>46.954140999315534</v>
          </cell>
          <cell r="HC10">
            <v>47.193702943189592</v>
          </cell>
          <cell r="HD10">
            <v>47.43326488706365</v>
          </cell>
          <cell r="HE10">
            <v>47.672826830937709</v>
          </cell>
          <cell r="HF10">
            <v>47.912388774811774</v>
          </cell>
        </row>
        <row r="45">
          <cell r="N45">
            <v>0</v>
          </cell>
          <cell r="O45">
            <v>41.666666666666664</v>
          </cell>
          <cell r="P45">
            <v>83.333333333333329</v>
          </cell>
          <cell r="Q45">
            <v>125</v>
          </cell>
          <cell r="R45">
            <v>166.66666666666666</v>
          </cell>
          <cell r="S45">
            <v>208.33333333333331</v>
          </cell>
          <cell r="T45">
            <v>249.99999999999997</v>
          </cell>
          <cell r="U45">
            <v>291.66666666666663</v>
          </cell>
          <cell r="V45">
            <v>333.33333333333331</v>
          </cell>
          <cell r="W45">
            <v>375</v>
          </cell>
          <cell r="X45">
            <v>416.66666666666669</v>
          </cell>
          <cell r="Y45">
            <v>458.33333333333337</v>
          </cell>
          <cell r="Z45">
            <v>500.00000000000006</v>
          </cell>
          <cell r="AA45">
            <v>541.66666666666674</v>
          </cell>
          <cell r="AB45">
            <v>583.33333333333337</v>
          </cell>
          <cell r="AC45">
            <v>625</v>
          </cell>
          <cell r="AD45">
            <v>666.66666666666663</v>
          </cell>
          <cell r="AE45">
            <v>708.33333333333326</v>
          </cell>
          <cell r="AF45">
            <v>749.99999999999989</v>
          </cell>
          <cell r="AG45">
            <v>791.66666666666652</v>
          </cell>
          <cell r="AH45">
            <v>833.33333333333314</v>
          </cell>
          <cell r="AI45">
            <v>874.99999999999977</v>
          </cell>
          <cell r="AJ45">
            <v>916.6666666666664</v>
          </cell>
          <cell r="AK45">
            <v>958.33333333333303</v>
          </cell>
          <cell r="AL45">
            <v>999.99999999999966</v>
          </cell>
          <cell r="AM45">
            <v>1041.6666666666663</v>
          </cell>
          <cell r="AN45">
            <v>1083.333333333333</v>
          </cell>
          <cell r="AO45">
            <v>1124.9999999999998</v>
          </cell>
          <cell r="AP45">
            <v>1166.6666666666665</v>
          </cell>
          <cell r="AQ45">
            <v>1208.3333333333333</v>
          </cell>
          <cell r="AR45">
            <v>1250</v>
          </cell>
          <cell r="AS45">
            <v>1291.6666666666667</v>
          </cell>
          <cell r="AT45">
            <v>1333.3333333333335</v>
          </cell>
          <cell r="AU45">
            <v>1375.0000000000002</v>
          </cell>
          <cell r="AV45">
            <v>1416.666666666667</v>
          </cell>
          <cell r="AW45">
            <v>1458.3333333333337</v>
          </cell>
          <cell r="AX45">
            <v>1500.0000000000005</v>
          </cell>
          <cell r="AY45">
            <v>1541.6666666666672</v>
          </cell>
          <cell r="AZ45">
            <v>1583.3333333333339</v>
          </cell>
          <cell r="BA45">
            <v>1625.0000000000007</v>
          </cell>
          <cell r="BB45">
            <v>1666.6666666666674</v>
          </cell>
          <cell r="BC45">
            <v>1708.3333333333342</v>
          </cell>
          <cell r="BD45">
            <v>1750.0000000000009</v>
          </cell>
          <cell r="BE45">
            <v>1791.6666666666677</v>
          </cell>
          <cell r="BF45">
            <v>1833.3333333333344</v>
          </cell>
          <cell r="BG45">
            <v>1875.0000000000011</v>
          </cell>
          <cell r="BH45">
            <v>1916.6666666666679</v>
          </cell>
          <cell r="BI45">
            <v>1958.3333333333346</v>
          </cell>
          <cell r="BJ45">
            <v>2000.0000000000014</v>
          </cell>
          <cell r="BK45">
            <v>2041.6666666666681</v>
          </cell>
          <cell r="BL45">
            <v>2083.3333333333348</v>
          </cell>
          <cell r="BM45">
            <v>2125.0000000000014</v>
          </cell>
          <cell r="BN45">
            <v>2166.6666666666679</v>
          </cell>
          <cell r="BO45">
            <v>2208.3333333333344</v>
          </cell>
          <cell r="BP45">
            <v>2250.0000000000009</v>
          </cell>
          <cell r="BQ45">
            <v>2291.6666666666674</v>
          </cell>
          <cell r="BR45">
            <v>2333.3333333333339</v>
          </cell>
          <cell r="BS45">
            <v>2375.0000000000005</v>
          </cell>
          <cell r="BT45">
            <v>2416.666666666667</v>
          </cell>
          <cell r="BU45">
            <v>2458.3333333333335</v>
          </cell>
          <cell r="BV45">
            <v>2500</v>
          </cell>
          <cell r="BW45">
            <v>2541.6666666666665</v>
          </cell>
          <cell r="BX45">
            <v>2583.333333333333</v>
          </cell>
          <cell r="BY45">
            <v>2624.9999999999995</v>
          </cell>
          <cell r="BZ45">
            <v>2666.6666666666661</v>
          </cell>
          <cell r="CA45">
            <v>2708.3333333333326</v>
          </cell>
          <cell r="CB45">
            <v>2749.9999999999991</v>
          </cell>
          <cell r="CC45">
            <v>2791.6666666666656</v>
          </cell>
          <cell r="CD45">
            <v>2833.3333333333321</v>
          </cell>
          <cell r="CE45">
            <v>2874.9999999999986</v>
          </cell>
          <cell r="CF45">
            <v>2916.6666666666652</v>
          </cell>
          <cell r="CG45">
            <v>2958.3333333333317</v>
          </cell>
          <cell r="CH45">
            <v>2999.9999999999982</v>
          </cell>
          <cell r="CI45">
            <v>3041.6666666666647</v>
          </cell>
          <cell r="CJ45">
            <v>3083.3333333333312</v>
          </cell>
          <cell r="CK45">
            <v>3124.9999999999977</v>
          </cell>
          <cell r="CL45">
            <v>3166.6666666666642</v>
          </cell>
          <cell r="CM45">
            <v>3208.3333333333308</v>
          </cell>
          <cell r="CN45">
            <v>3249.9999999999973</v>
          </cell>
          <cell r="CO45">
            <v>3291.6666666666638</v>
          </cell>
          <cell r="CP45">
            <v>3333.3333333333303</v>
          </cell>
          <cell r="CQ45">
            <v>3374.9999999999968</v>
          </cell>
          <cell r="CR45">
            <v>3416.6666666666633</v>
          </cell>
          <cell r="CS45">
            <v>3458.3333333333298</v>
          </cell>
          <cell r="CT45">
            <v>3499.9999999999964</v>
          </cell>
          <cell r="CU45">
            <v>3541.6666666666629</v>
          </cell>
          <cell r="CV45">
            <v>3583.3333333333294</v>
          </cell>
          <cell r="CW45">
            <v>3624.9999999999959</v>
          </cell>
          <cell r="CX45">
            <v>3666.6666666666624</v>
          </cell>
          <cell r="CY45">
            <v>3708.3333333333289</v>
          </cell>
          <cell r="CZ45">
            <v>3749.9999999999955</v>
          </cell>
          <cell r="DA45">
            <v>3791.666666666662</v>
          </cell>
          <cell r="DB45">
            <v>3833.3333333333285</v>
          </cell>
          <cell r="DC45">
            <v>3874.999999999995</v>
          </cell>
          <cell r="DD45">
            <v>3916.6666666666615</v>
          </cell>
          <cell r="DE45">
            <v>3958.333333333328</v>
          </cell>
          <cell r="DF45">
            <v>3999.9999999999945</v>
          </cell>
          <cell r="DG45">
            <v>4041.6666666666611</v>
          </cell>
          <cell r="DH45">
            <v>4083.3333333333276</v>
          </cell>
          <cell r="DI45">
            <v>4124.9999999999945</v>
          </cell>
          <cell r="DJ45">
            <v>4166.6666666666615</v>
          </cell>
          <cell r="DK45">
            <v>4208.3333333333285</v>
          </cell>
          <cell r="DL45">
            <v>4249.9999999999955</v>
          </cell>
          <cell r="DM45">
            <v>4291.6666666666624</v>
          </cell>
          <cell r="DN45">
            <v>4333.3333333333294</v>
          </cell>
          <cell r="DO45">
            <v>4374.9999999999964</v>
          </cell>
          <cell r="DP45">
            <v>4416.6666666666633</v>
          </cell>
          <cell r="DQ45">
            <v>4458.3333333333303</v>
          </cell>
          <cell r="DR45">
            <v>4499.9999999999973</v>
          </cell>
          <cell r="DS45">
            <v>4541.6666666666642</v>
          </cell>
          <cell r="DT45">
            <v>4583.3333333333312</v>
          </cell>
          <cell r="DU45">
            <v>4624.9999999999982</v>
          </cell>
          <cell r="DV45">
            <v>4666.6666666666652</v>
          </cell>
          <cell r="DW45">
            <v>4708.3333333333321</v>
          </cell>
          <cell r="DX45">
            <v>4749.9999999999991</v>
          </cell>
          <cell r="DY45">
            <v>4791.6666666666661</v>
          </cell>
          <cell r="DZ45">
            <v>4833.333333333333</v>
          </cell>
          <cell r="EA45">
            <v>4875</v>
          </cell>
          <cell r="EB45">
            <v>4916.666666666667</v>
          </cell>
          <cell r="EC45">
            <v>4958.3333333333339</v>
          </cell>
          <cell r="ED45">
            <v>5000.0000000000009</v>
          </cell>
          <cell r="EE45">
            <v>5041.6666666666679</v>
          </cell>
          <cell r="EF45">
            <v>5083.3333333333348</v>
          </cell>
          <cell r="EG45">
            <v>5125.0000000000018</v>
          </cell>
          <cell r="EH45">
            <v>5166.6666666666688</v>
          </cell>
          <cell r="EI45">
            <v>5208.3333333333358</v>
          </cell>
          <cell r="EJ45">
            <v>5250.0000000000027</v>
          </cell>
          <cell r="EK45">
            <v>5291.6666666666697</v>
          </cell>
          <cell r="EL45">
            <v>5333.3333333333367</v>
          </cell>
          <cell r="EM45">
            <v>5375.0000000000036</v>
          </cell>
          <cell r="EN45">
            <v>5416.6666666666706</v>
          </cell>
          <cell r="EO45">
            <v>5458.3333333333376</v>
          </cell>
          <cell r="EP45">
            <v>5500.0000000000045</v>
          </cell>
          <cell r="EQ45">
            <v>5541.6666666666715</v>
          </cell>
          <cell r="ER45">
            <v>5583.3333333333385</v>
          </cell>
          <cell r="ES45">
            <v>5625.0000000000055</v>
          </cell>
          <cell r="ET45">
            <v>5666.6666666666724</v>
          </cell>
          <cell r="EU45">
            <v>5708.3333333333394</v>
          </cell>
          <cell r="EV45">
            <v>5750.0000000000064</v>
          </cell>
          <cell r="EW45">
            <v>5791.6666666666733</v>
          </cell>
          <cell r="EX45">
            <v>5833.3333333333403</v>
          </cell>
          <cell r="EY45">
            <v>5875.0000000000073</v>
          </cell>
          <cell r="EZ45">
            <v>5916.6666666666742</v>
          </cell>
          <cell r="FA45">
            <v>5958.3333333333412</v>
          </cell>
          <cell r="FB45">
            <v>6000.0000000000082</v>
          </cell>
          <cell r="FC45">
            <v>6041.6666666666752</v>
          </cell>
          <cell r="FD45">
            <v>6083.3333333333421</v>
          </cell>
          <cell r="FE45">
            <v>6125.0000000000091</v>
          </cell>
          <cell r="FF45">
            <v>6166.6666666666761</v>
          </cell>
          <cell r="FG45">
            <v>6208.333333333343</v>
          </cell>
          <cell r="FH45">
            <v>6250.00000000001</v>
          </cell>
          <cell r="FI45">
            <v>6291.666666666677</v>
          </cell>
          <cell r="FJ45">
            <v>6333.3333333333439</v>
          </cell>
          <cell r="FK45">
            <v>6375.0000000000109</v>
          </cell>
          <cell r="FL45">
            <v>6416.6666666666779</v>
          </cell>
          <cell r="FM45">
            <v>6458.3333333333449</v>
          </cell>
          <cell r="FN45">
            <v>6500.0000000000118</v>
          </cell>
          <cell r="FO45">
            <v>6541.6666666666788</v>
          </cell>
          <cell r="FP45">
            <v>6583.3333333333458</v>
          </cell>
          <cell r="FQ45">
            <v>6625.0000000000127</v>
          </cell>
          <cell r="FR45">
            <v>6666.6666666666797</v>
          </cell>
          <cell r="FS45">
            <v>6708.3333333333467</v>
          </cell>
          <cell r="FT45">
            <v>6750.0000000000136</v>
          </cell>
          <cell r="FU45">
            <v>6791.6666666666806</v>
          </cell>
          <cell r="FV45">
            <v>6833.3333333333476</v>
          </cell>
          <cell r="FW45">
            <v>6875.0000000000146</v>
          </cell>
          <cell r="FX45">
            <v>6916.6666666666815</v>
          </cell>
          <cell r="FY45">
            <v>6958.3333333333485</v>
          </cell>
          <cell r="FZ45">
            <v>7000.0000000000155</v>
          </cell>
          <cell r="GA45">
            <v>7041.6666666666824</v>
          </cell>
          <cell r="GB45">
            <v>7083.3333333333494</v>
          </cell>
          <cell r="GC45">
            <v>7125.0000000000164</v>
          </cell>
          <cell r="GD45">
            <v>7166.6666666666833</v>
          </cell>
          <cell r="GE45">
            <v>7208.3333333333503</v>
          </cell>
          <cell r="GF45">
            <v>7250.0000000000173</v>
          </cell>
          <cell r="GG45">
            <v>7291.6666666666843</v>
          </cell>
          <cell r="GH45">
            <v>7333.3333333333512</v>
          </cell>
          <cell r="GI45">
            <v>7375.0000000000182</v>
          </cell>
          <cell r="GJ45">
            <v>7416.6666666666852</v>
          </cell>
          <cell r="GK45">
            <v>7458.3333333333521</v>
          </cell>
          <cell r="GL45">
            <v>7500.0000000000191</v>
          </cell>
          <cell r="GM45">
            <v>7541.6666666666861</v>
          </cell>
          <cell r="GN45">
            <v>7583.333333333353</v>
          </cell>
          <cell r="GO45">
            <v>7625.00000000002</v>
          </cell>
          <cell r="GP45">
            <v>7666.666666666687</v>
          </cell>
          <cell r="GQ45">
            <v>7708.3333333333539</v>
          </cell>
          <cell r="GR45">
            <v>7750.0000000000209</v>
          </cell>
          <cell r="GS45">
            <v>7791.6666666666879</v>
          </cell>
          <cell r="GT45">
            <v>7833.3333333333549</v>
          </cell>
          <cell r="GU45">
            <v>7875.0000000000218</v>
          </cell>
          <cell r="GV45">
            <v>7916.6666666666888</v>
          </cell>
          <cell r="GW45">
            <v>7958.3333333333558</v>
          </cell>
          <cell r="GX45">
            <v>8000.0000000000227</v>
          </cell>
          <cell r="GY45">
            <v>8041.6666666666897</v>
          </cell>
          <cell r="GZ45">
            <v>8083.3333333333567</v>
          </cell>
          <cell r="HA45">
            <v>8125.0000000000236</v>
          </cell>
          <cell r="HB45">
            <v>8166.6666666666906</v>
          </cell>
          <cell r="HC45">
            <v>8208.3333333333576</v>
          </cell>
          <cell r="HD45">
            <v>8250.0000000000236</v>
          </cell>
          <cell r="HE45">
            <v>8291.6666666666897</v>
          </cell>
          <cell r="HF45">
            <v>8333.3333333333558</v>
          </cell>
        </row>
        <row r="46">
          <cell r="N46">
            <v>0</v>
          </cell>
          <cell r="O46">
            <v>500</v>
          </cell>
          <cell r="P46">
            <v>1000</v>
          </cell>
          <cell r="Q46">
            <v>1500</v>
          </cell>
          <cell r="R46">
            <v>2000</v>
          </cell>
          <cell r="S46">
            <v>2500</v>
          </cell>
          <cell r="T46">
            <v>3000</v>
          </cell>
          <cell r="U46">
            <v>3500</v>
          </cell>
          <cell r="V46">
            <v>4000</v>
          </cell>
          <cell r="W46">
            <v>4500</v>
          </cell>
          <cell r="X46">
            <v>5000</v>
          </cell>
          <cell r="Y46">
            <v>5500</v>
          </cell>
          <cell r="Z46">
            <v>6000</v>
          </cell>
          <cell r="AA46">
            <v>6500</v>
          </cell>
          <cell r="AB46">
            <v>7000</v>
          </cell>
          <cell r="AC46">
            <v>7500</v>
          </cell>
          <cell r="AD46">
            <v>8000</v>
          </cell>
          <cell r="AE46">
            <v>8500</v>
          </cell>
          <cell r="AF46">
            <v>9000</v>
          </cell>
          <cell r="AG46">
            <v>9500</v>
          </cell>
          <cell r="AH46">
            <v>10000</v>
          </cell>
          <cell r="AI46">
            <v>10500</v>
          </cell>
          <cell r="AJ46">
            <v>11000</v>
          </cell>
          <cell r="AK46">
            <v>11500</v>
          </cell>
          <cell r="AL46">
            <v>12000</v>
          </cell>
          <cell r="AM46">
            <v>12500</v>
          </cell>
          <cell r="AN46">
            <v>13000</v>
          </cell>
          <cell r="AO46">
            <v>13500</v>
          </cell>
          <cell r="AP46">
            <v>14000</v>
          </cell>
          <cell r="AQ46">
            <v>14500</v>
          </cell>
          <cell r="AR46">
            <v>15000</v>
          </cell>
          <cell r="AS46">
            <v>15500</v>
          </cell>
          <cell r="AT46">
            <v>16000</v>
          </cell>
          <cell r="AU46">
            <v>16500</v>
          </cell>
          <cell r="AV46">
            <v>17000</v>
          </cell>
          <cell r="AW46">
            <v>17500</v>
          </cell>
          <cell r="AX46">
            <v>18000</v>
          </cell>
          <cell r="AY46">
            <v>18500</v>
          </cell>
          <cell r="AZ46">
            <v>19000</v>
          </cell>
          <cell r="BA46">
            <v>19500</v>
          </cell>
          <cell r="BB46">
            <v>20000</v>
          </cell>
          <cell r="BC46">
            <v>20500</v>
          </cell>
          <cell r="BD46">
            <v>21000</v>
          </cell>
          <cell r="BE46">
            <v>21500</v>
          </cell>
          <cell r="BF46">
            <v>22000</v>
          </cell>
          <cell r="BG46">
            <v>22500</v>
          </cell>
          <cell r="BH46">
            <v>23000</v>
          </cell>
          <cell r="BI46">
            <v>23500</v>
          </cell>
          <cell r="BJ46">
            <v>24000</v>
          </cell>
          <cell r="BK46">
            <v>24500</v>
          </cell>
          <cell r="BL46">
            <v>25000</v>
          </cell>
          <cell r="BM46">
            <v>25500</v>
          </cell>
          <cell r="BN46">
            <v>26000</v>
          </cell>
          <cell r="BO46">
            <v>26500</v>
          </cell>
          <cell r="BP46">
            <v>27000</v>
          </cell>
          <cell r="BQ46">
            <v>27500</v>
          </cell>
          <cell r="BR46">
            <v>28000</v>
          </cell>
          <cell r="BS46">
            <v>28500</v>
          </cell>
          <cell r="BT46">
            <v>29000</v>
          </cell>
          <cell r="BU46">
            <v>29500</v>
          </cell>
          <cell r="BV46">
            <v>30000</v>
          </cell>
          <cell r="BW46">
            <v>30500</v>
          </cell>
          <cell r="BX46">
            <v>31000</v>
          </cell>
          <cell r="BY46">
            <v>31500</v>
          </cell>
          <cell r="BZ46">
            <v>32000</v>
          </cell>
          <cell r="CA46">
            <v>32500</v>
          </cell>
          <cell r="CB46">
            <v>33000</v>
          </cell>
          <cell r="CC46">
            <v>33500</v>
          </cell>
          <cell r="CD46">
            <v>34000</v>
          </cell>
          <cell r="CE46">
            <v>34500</v>
          </cell>
          <cell r="CF46">
            <v>35000</v>
          </cell>
          <cell r="CG46">
            <v>35500</v>
          </cell>
          <cell r="CH46">
            <v>36000</v>
          </cell>
          <cell r="CI46">
            <v>36500</v>
          </cell>
          <cell r="CJ46">
            <v>37000</v>
          </cell>
          <cell r="CK46">
            <v>37500</v>
          </cell>
          <cell r="CL46">
            <v>38000</v>
          </cell>
          <cell r="CM46">
            <v>38500</v>
          </cell>
          <cell r="CN46">
            <v>39000</v>
          </cell>
          <cell r="CO46">
            <v>39500</v>
          </cell>
          <cell r="CP46">
            <v>40000</v>
          </cell>
          <cell r="CQ46">
            <v>40500</v>
          </cell>
          <cell r="CR46">
            <v>41000</v>
          </cell>
          <cell r="CS46">
            <v>41500</v>
          </cell>
          <cell r="CT46">
            <v>42000</v>
          </cell>
          <cell r="CU46">
            <v>42500</v>
          </cell>
          <cell r="CV46">
            <v>43000</v>
          </cell>
          <cell r="CW46">
            <v>43500</v>
          </cell>
          <cell r="CX46">
            <v>44000</v>
          </cell>
          <cell r="CY46">
            <v>44500</v>
          </cell>
          <cell r="CZ46">
            <v>45000</v>
          </cell>
          <cell r="DA46">
            <v>45500</v>
          </cell>
          <cell r="DB46">
            <v>46000</v>
          </cell>
          <cell r="DC46">
            <v>46500</v>
          </cell>
          <cell r="DD46">
            <v>47000</v>
          </cell>
          <cell r="DE46">
            <v>47500</v>
          </cell>
          <cell r="DF46">
            <v>48000</v>
          </cell>
          <cell r="DG46">
            <v>48500</v>
          </cell>
          <cell r="DH46">
            <v>49000</v>
          </cell>
          <cell r="DI46">
            <v>49500</v>
          </cell>
          <cell r="DJ46">
            <v>50000</v>
          </cell>
          <cell r="DK46">
            <v>50500</v>
          </cell>
          <cell r="DL46">
            <v>51000</v>
          </cell>
          <cell r="DM46">
            <v>51500</v>
          </cell>
          <cell r="DN46">
            <v>52000</v>
          </cell>
          <cell r="DO46">
            <v>52500</v>
          </cell>
          <cell r="DP46">
            <v>53000</v>
          </cell>
          <cell r="DQ46">
            <v>53500</v>
          </cell>
          <cell r="DR46">
            <v>54000</v>
          </cell>
          <cell r="DS46">
            <v>54500</v>
          </cell>
          <cell r="DT46">
            <v>55000</v>
          </cell>
          <cell r="DU46">
            <v>55500</v>
          </cell>
          <cell r="DV46">
            <v>56000</v>
          </cell>
          <cell r="DW46">
            <v>56500</v>
          </cell>
          <cell r="DX46">
            <v>57000</v>
          </cell>
          <cell r="DY46">
            <v>57500</v>
          </cell>
          <cell r="DZ46">
            <v>58000</v>
          </cell>
          <cell r="EA46">
            <v>58500</v>
          </cell>
          <cell r="EB46">
            <v>59000</v>
          </cell>
          <cell r="EC46">
            <v>59500</v>
          </cell>
          <cell r="ED46">
            <v>60000</v>
          </cell>
          <cell r="EE46">
            <v>60500</v>
          </cell>
          <cell r="EF46">
            <v>61000</v>
          </cell>
          <cell r="EG46">
            <v>61500</v>
          </cell>
          <cell r="EH46">
            <v>62000</v>
          </cell>
          <cell r="EI46">
            <v>62500</v>
          </cell>
          <cell r="EJ46">
            <v>63000</v>
          </cell>
          <cell r="EK46">
            <v>63500</v>
          </cell>
          <cell r="EL46">
            <v>64000</v>
          </cell>
          <cell r="EM46">
            <v>64500</v>
          </cell>
          <cell r="EN46">
            <v>65000</v>
          </cell>
          <cell r="EO46">
            <v>65500</v>
          </cell>
          <cell r="EP46">
            <v>66000</v>
          </cell>
          <cell r="EQ46">
            <v>66500</v>
          </cell>
          <cell r="ER46">
            <v>67000</v>
          </cell>
          <cell r="ES46">
            <v>67500</v>
          </cell>
          <cell r="ET46">
            <v>68000</v>
          </cell>
          <cell r="EU46">
            <v>68500</v>
          </cell>
          <cell r="EV46">
            <v>69000</v>
          </cell>
          <cell r="EW46">
            <v>69500</v>
          </cell>
          <cell r="EX46">
            <v>70000</v>
          </cell>
          <cell r="EY46">
            <v>70500</v>
          </cell>
          <cell r="EZ46">
            <v>71000</v>
          </cell>
          <cell r="FA46">
            <v>71500</v>
          </cell>
          <cell r="FB46">
            <v>72000</v>
          </cell>
          <cell r="FC46">
            <v>72500</v>
          </cell>
          <cell r="FD46">
            <v>73000</v>
          </cell>
          <cell r="FE46">
            <v>73500</v>
          </cell>
          <cell r="FF46">
            <v>74000</v>
          </cell>
          <cell r="FG46">
            <v>74500</v>
          </cell>
          <cell r="FH46">
            <v>75000</v>
          </cell>
          <cell r="FI46">
            <v>75500</v>
          </cell>
          <cell r="FJ46">
            <v>76000</v>
          </cell>
          <cell r="FK46">
            <v>76500</v>
          </cell>
          <cell r="FL46">
            <v>77000</v>
          </cell>
          <cell r="FM46">
            <v>77500</v>
          </cell>
          <cell r="FN46">
            <v>78000</v>
          </cell>
          <cell r="FO46">
            <v>78500</v>
          </cell>
          <cell r="FP46">
            <v>79000</v>
          </cell>
          <cell r="FQ46">
            <v>79500</v>
          </cell>
          <cell r="FR46">
            <v>80000</v>
          </cell>
          <cell r="FS46">
            <v>80500</v>
          </cell>
          <cell r="FT46">
            <v>81000</v>
          </cell>
          <cell r="FU46">
            <v>81500</v>
          </cell>
          <cell r="FV46">
            <v>82000</v>
          </cell>
          <cell r="FW46">
            <v>82500</v>
          </cell>
          <cell r="FX46">
            <v>83000</v>
          </cell>
          <cell r="FY46">
            <v>83500</v>
          </cell>
          <cell r="FZ46">
            <v>84000</v>
          </cell>
          <cell r="GA46">
            <v>84500</v>
          </cell>
          <cell r="GB46">
            <v>85000</v>
          </cell>
          <cell r="GC46">
            <v>85500</v>
          </cell>
          <cell r="GD46">
            <v>86000</v>
          </cell>
          <cell r="GE46">
            <v>86500</v>
          </cell>
          <cell r="GF46">
            <v>87000</v>
          </cell>
          <cell r="GG46">
            <v>87500</v>
          </cell>
          <cell r="GH46">
            <v>88000</v>
          </cell>
          <cell r="GI46">
            <v>88500</v>
          </cell>
          <cell r="GJ46">
            <v>89000</v>
          </cell>
          <cell r="GK46">
            <v>89500</v>
          </cell>
          <cell r="GL46">
            <v>90000</v>
          </cell>
          <cell r="GM46">
            <v>90500</v>
          </cell>
          <cell r="GN46">
            <v>91000</v>
          </cell>
          <cell r="GO46">
            <v>91500</v>
          </cell>
          <cell r="GP46">
            <v>92000</v>
          </cell>
          <cell r="GQ46">
            <v>92500</v>
          </cell>
          <cell r="GR46">
            <v>93000</v>
          </cell>
          <cell r="GS46">
            <v>93500</v>
          </cell>
          <cell r="GT46">
            <v>94000</v>
          </cell>
          <cell r="GU46">
            <v>94500</v>
          </cell>
          <cell r="GV46">
            <v>95000</v>
          </cell>
          <cell r="GW46">
            <v>95500</v>
          </cell>
          <cell r="GX46">
            <v>96000</v>
          </cell>
          <cell r="GY46">
            <v>96500</v>
          </cell>
          <cell r="GZ46">
            <v>97000</v>
          </cell>
          <cell r="HA46">
            <v>97500</v>
          </cell>
          <cell r="HB46">
            <v>98000</v>
          </cell>
          <cell r="HC46">
            <v>98500</v>
          </cell>
          <cell r="HD46">
            <v>99000</v>
          </cell>
          <cell r="HE46">
            <v>99500</v>
          </cell>
          <cell r="HF46">
            <v>100000</v>
          </cell>
        </row>
        <row r="47">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row>
        <row r="49">
          <cell r="N49">
            <v>0</v>
          </cell>
          <cell r="O49">
            <v>41.666666666666664</v>
          </cell>
          <cell r="P49">
            <v>83.333333333333329</v>
          </cell>
          <cell r="Q49">
            <v>125</v>
          </cell>
          <cell r="R49">
            <v>166.66666666666666</v>
          </cell>
          <cell r="S49">
            <v>208.33333333333331</v>
          </cell>
          <cell r="T49">
            <v>249.99999999999997</v>
          </cell>
          <cell r="U49">
            <v>291.66666666666663</v>
          </cell>
          <cell r="V49">
            <v>333.33333333333331</v>
          </cell>
          <cell r="W49">
            <v>375</v>
          </cell>
          <cell r="X49">
            <v>416.66666666666669</v>
          </cell>
          <cell r="Y49">
            <v>458.33333333333337</v>
          </cell>
          <cell r="Z49">
            <v>500.00000000000006</v>
          </cell>
          <cell r="AA49">
            <v>541.66666666666674</v>
          </cell>
          <cell r="AB49">
            <v>583.33333333333337</v>
          </cell>
          <cell r="AC49">
            <v>625</v>
          </cell>
          <cell r="AD49">
            <v>666.66666666666663</v>
          </cell>
          <cell r="AE49">
            <v>708.33333333333326</v>
          </cell>
          <cell r="AF49">
            <v>749.99999999999989</v>
          </cell>
          <cell r="AG49">
            <v>791.66666666666652</v>
          </cell>
          <cell r="AH49">
            <v>833.33333333333314</v>
          </cell>
          <cell r="AI49">
            <v>874.99999999999977</v>
          </cell>
          <cell r="AJ49">
            <v>916.6666666666664</v>
          </cell>
          <cell r="AK49">
            <v>958.33333333333303</v>
          </cell>
          <cell r="AL49">
            <v>999.99999999999966</v>
          </cell>
          <cell r="AM49">
            <v>1041.6666666666663</v>
          </cell>
          <cell r="AN49">
            <v>1083.333333333333</v>
          </cell>
          <cell r="AO49">
            <v>1124.9999999999998</v>
          </cell>
          <cell r="AP49">
            <v>1166.6666666666665</v>
          </cell>
          <cell r="AQ49">
            <v>1208.3333333333333</v>
          </cell>
          <cell r="AR49">
            <v>1250</v>
          </cell>
          <cell r="AS49">
            <v>1291.6666666666667</v>
          </cell>
          <cell r="AT49">
            <v>1333.3333333333335</v>
          </cell>
          <cell r="AU49">
            <v>1375.0000000000002</v>
          </cell>
          <cell r="AV49">
            <v>1416.666666666667</v>
          </cell>
          <cell r="AW49">
            <v>1458.3333333333337</v>
          </cell>
          <cell r="AX49">
            <v>1500.0000000000005</v>
          </cell>
          <cell r="AY49">
            <v>1541.6666666666672</v>
          </cell>
          <cell r="AZ49">
            <v>1583.3333333333339</v>
          </cell>
          <cell r="BA49">
            <v>1625.0000000000007</v>
          </cell>
          <cell r="BB49">
            <v>1666.6666666666674</v>
          </cell>
          <cell r="BC49">
            <v>1708.3333333333342</v>
          </cell>
          <cell r="BD49">
            <v>1750.0000000000009</v>
          </cell>
          <cell r="BE49">
            <v>1791.6666666666677</v>
          </cell>
          <cell r="BF49">
            <v>1833.3333333333344</v>
          </cell>
          <cell r="BG49">
            <v>1875.0000000000011</v>
          </cell>
          <cell r="BH49">
            <v>1916.6666666666679</v>
          </cell>
          <cell r="BI49">
            <v>1958.3333333333346</v>
          </cell>
          <cell r="BJ49">
            <v>2000.0000000000014</v>
          </cell>
          <cell r="BK49">
            <v>2041.6666666666681</v>
          </cell>
          <cell r="BL49">
            <v>2083.3333333333348</v>
          </cell>
          <cell r="BM49">
            <v>2125.0000000000014</v>
          </cell>
          <cell r="BN49">
            <v>2166.6666666666679</v>
          </cell>
          <cell r="BO49">
            <v>2208.3333333333344</v>
          </cell>
          <cell r="BP49">
            <v>2250.0000000000009</v>
          </cell>
          <cell r="BQ49">
            <v>2291.6666666666674</v>
          </cell>
          <cell r="BR49">
            <v>2333.3333333333339</v>
          </cell>
          <cell r="BS49">
            <v>2375.0000000000005</v>
          </cell>
          <cell r="BT49">
            <v>2416.666666666667</v>
          </cell>
          <cell r="BU49">
            <v>2458.3333333333335</v>
          </cell>
          <cell r="BV49">
            <v>2500</v>
          </cell>
          <cell r="BW49">
            <v>2541.6666666666665</v>
          </cell>
          <cell r="BX49">
            <v>2583.333333333333</v>
          </cell>
          <cell r="BY49">
            <v>2624.9999999999995</v>
          </cell>
          <cell r="BZ49">
            <v>2666.6666666666661</v>
          </cell>
          <cell r="CA49">
            <v>2708.3333333333326</v>
          </cell>
          <cell r="CB49">
            <v>2749.9999999999991</v>
          </cell>
          <cell r="CC49">
            <v>2791.6666666666656</v>
          </cell>
          <cell r="CD49">
            <v>2833.3333333333321</v>
          </cell>
          <cell r="CE49">
            <v>2874.9999999999986</v>
          </cell>
          <cell r="CF49">
            <v>2916.6666666666652</v>
          </cell>
          <cell r="CG49">
            <v>2958.3333333333317</v>
          </cell>
          <cell r="CH49">
            <v>2999.9999999999982</v>
          </cell>
          <cell r="CI49">
            <v>3041.6666666666647</v>
          </cell>
          <cell r="CJ49">
            <v>3083.3333333333312</v>
          </cell>
          <cell r="CK49">
            <v>3124.9999999999977</v>
          </cell>
          <cell r="CL49">
            <v>3166.6666666666642</v>
          </cell>
          <cell r="CM49">
            <v>3208.3333333333308</v>
          </cell>
          <cell r="CN49">
            <v>3249.9999999999973</v>
          </cell>
          <cell r="CO49">
            <v>3291.6666666666638</v>
          </cell>
          <cell r="CP49">
            <v>3333.3333333333303</v>
          </cell>
          <cell r="CQ49">
            <v>3374.9999999999968</v>
          </cell>
          <cell r="CR49">
            <v>3416.6666666666633</v>
          </cell>
          <cell r="CS49">
            <v>3458.3333333333298</v>
          </cell>
          <cell r="CT49">
            <v>3499.9999999999964</v>
          </cell>
          <cell r="CU49">
            <v>3541.6666666666629</v>
          </cell>
          <cell r="CV49">
            <v>3583.3333333333294</v>
          </cell>
          <cell r="CW49">
            <v>3624.9999999999959</v>
          </cell>
          <cell r="CX49">
            <v>3666.6666666666624</v>
          </cell>
          <cell r="CY49">
            <v>3708.3333333333289</v>
          </cell>
          <cell r="CZ49">
            <v>3749.9999999999955</v>
          </cell>
          <cell r="DA49">
            <v>3791.666666666662</v>
          </cell>
          <cell r="DB49">
            <v>3833.3333333333285</v>
          </cell>
          <cell r="DC49">
            <v>3874.999999999995</v>
          </cell>
          <cell r="DD49">
            <v>3916.6666666666615</v>
          </cell>
          <cell r="DE49">
            <v>3958.333333333328</v>
          </cell>
          <cell r="DF49">
            <v>3999.9999999999945</v>
          </cell>
          <cell r="DG49">
            <v>4041.6666666666611</v>
          </cell>
          <cell r="DH49">
            <v>4083.3333333333276</v>
          </cell>
          <cell r="DI49">
            <v>4124.9999999999945</v>
          </cell>
          <cell r="DJ49">
            <v>4166.6666666666615</v>
          </cell>
          <cell r="DK49">
            <v>4208.3333333333285</v>
          </cell>
          <cell r="DL49">
            <v>4249.9999999999955</v>
          </cell>
          <cell r="DM49">
            <v>4291.6666666666624</v>
          </cell>
          <cell r="DN49">
            <v>4333.3333333333294</v>
          </cell>
          <cell r="DO49">
            <v>4374.9999999999964</v>
          </cell>
          <cell r="DP49">
            <v>4416.6666666666633</v>
          </cell>
          <cell r="DQ49">
            <v>4458.3333333333303</v>
          </cell>
          <cell r="DR49">
            <v>4499.9999999999973</v>
          </cell>
          <cell r="DS49">
            <v>4541.6666666666642</v>
          </cell>
          <cell r="DT49">
            <v>4583.3333333333312</v>
          </cell>
          <cell r="DU49">
            <v>4624.9999999999982</v>
          </cell>
          <cell r="DV49">
            <v>4666.6666666666652</v>
          </cell>
          <cell r="DW49">
            <v>4708.3333333333321</v>
          </cell>
          <cell r="DX49">
            <v>4749.9999999999991</v>
          </cell>
          <cell r="DY49">
            <v>4791.6666666666661</v>
          </cell>
          <cell r="DZ49">
            <v>4833.333333333333</v>
          </cell>
          <cell r="EA49">
            <v>4875</v>
          </cell>
          <cell r="EB49">
            <v>4916.666666666667</v>
          </cell>
          <cell r="EC49">
            <v>4958.3333333333339</v>
          </cell>
          <cell r="ED49">
            <v>5000.0000000000009</v>
          </cell>
          <cell r="EE49">
            <v>5041.6666666666679</v>
          </cell>
          <cell r="EF49">
            <v>5083.3333333333348</v>
          </cell>
          <cell r="EG49">
            <v>5125.0000000000018</v>
          </cell>
          <cell r="EH49">
            <v>5166.6666666666688</v>
          </cell>
          <cell r="EI49">
            <v>5208.3333333333358</v>
          </cell>
          <cell r="EJ49">
            <v>5250.0000000000027</v>
          </cell>
          <cell r="EK49">
            <v>5291.6666666666697</v>
          </cell>
          <cell r="EL49">
            <v>5333.3333333333367</v>
          </cell>
          <cell r="EM49">
            <v>5375.0000000000036</v>
          </cell>
          <cell r="EN49">
            <v>5416.6666666666706</v>
          </cell>
          <cell r="EO49">
            <v>5458.3333333333376</v>
          </cell>
          <cell r="EP49">
            <v>5500.0000000000045</v>
          </cell>
          <cell r="EQ49">
            <v>5541.6666666666715</v>
          </cell>
          <cell r="ER49">
            <v>5583.3333333333385</v>
          </cell>
          <cell r="ES49">
            <v>5625.0000000000055</v>
          </cell>
          <cell r="ET49">
            <v>5666.6666666666724</v>
          </cell>
          <cell r="EU49">
            <v>5708.3333333333394</v>
          </cell>
          <cell r="EV49">
            <v>5750.0000000000064</v>
          </cell>
          <cell r="EW49">
            <v>5791.6666666666733</v>
          </cell>
          <cell r="EX49">
            <v>5833.3333333333403</v>
          </cell>
          <cell r="EY49">
            <v>5875.0000000000073</v>
          </cell>
          <cell r="EZ49">
            <v>5916.6666666666742</v>
          </cell>
          <cell r="FA49">
            <v>5958.3333333333412</v>
          </cell>
          <cell r="FB49">
            <v>6000.0000000000082</v>
          </cell>
          <cell r="FC49">
            <v>6041.6666666666752</v>
          </cell>
          <cell r="FD49">
            <v>6083.3333333333421</v>
          </cell>
          <cell r="FE49">
            <v>6125.0000000000091</v>
          </cell>
          <cell r="FF49">
            <v>6166.6666666666761</v>
          </cell>
          <cell r="FG49">
            <v>6208.333333333343</v>
          </cell>
          <cell r="FH49">
            <v>6250.00000000001</v>
          </cell>
          <cell r="FI49">
            <v>6291.666666666677</v>
          </cell>
          <cell r="FJ49">
            <v>6333.3333333333439</v>
          </cell>
          <cell r="FK49">
            <v>6375.0000000000109</v>
          </cell>
          <cell r="FL49">
            <v>6416.6666666666779</v>
          </cell>
          <cell r="FM49">
            <v>6458.3333333333449</v>
          </cell>
          <cell r="FN49">
            <v>6500.0000000000118</v>
          </cell>
          <cell r="FO49">
            <v>6541.6666666666788</v>
          </cell>
          <cell r="FP49">
            <v>6583.3333333333458</v>
          </cell>
          <cell r="FQ49">
            <v>6625.0000000000127</v>
          </cell>
          <cell r="FR49">
            <v>6666.6666666666797</v>
          </cell>
          <cell r="FS49">
            <v>6708.3333333333467</v>
          </cell>
          <cell r="FT49">
            <v>6750.0000000000136</v>
          </cell>
          <cell r="FU49">
            <v>6791.6666666666806</v>
          </cell>
          <cell r="FV49">
            <v>6833.3333333333476</v>
          </cell>
          <cell r="FW49">
            <v>6875.0000000000146</v>
          </cell>
          <cell r="FX49">
            <v>6916.6666666666815</v>
          </cell>
          <cell r="FY49">
            <v>6958.3333333333485</v>
          </cell>
          <cell r="FZ49">
            <v>7000.0000000000155</v>
          </cell>
          <cell r="GA49">
            <v>7041.6666666666824</v>
          </cell>
          <cell r="GB49">
            <v>7083.3333333333494</v>
          </cell>
          <cell r="GC49">
            <v>7125.0000000000164</v>
          </cell>
          <cell r="GD49">
            <v>7166.6666666666833</v>
          </cell>
          <cell r="GE49">
            <v>7208.3333333333503</v>
          </cell>
          <cell r="GF49">
            <v>7250.0000000000173</v>
          </cell>
          <cell r="GG49">
            <v>7291.6666666666843</v>
          </cell>
          <cell r="GH49">
            <v>7333.3333333333512</v>
          </cell>
          <cell r="GI49">
            <v>7375.0000000000182</v>
          </cell>
          <cell r="GJ49">
            <v>7416.6666666666852</v>
          </cell>
          <cell r="GK49">
            <v>7458.3333333333521</v>
          </cell>
          <cell r="GL49">
            <v>7500.0000000000191</v>
          </cell>
          <cell r="GM49">
            <v>7541.6666666666861</v>
          </cell>
          <cell r="GN49">
            <v>7583.333333333353</v>
          </cell>
          <cell r="GO49">
            <v>7625.00000000002</v>
          </cell>
          <cell r="GP49">
            <v>7666.666666666687</v>
          </cell>
          <cell r="GQ49">
            <v>7708.3333333333539</v>
          </cell>
          <cell r="GR49">
            <v>7750.0000000000209</v>
          </cell>
          <cell r="GS49">
            <v>7791.6666666666879</v>
          </cell>
          <cell r="GT49">
            <v>7833.3333333333549</v>
          </cell>
          <cell r="GU49">
            <v>7875.0000000000218</v>
          </cell>
          <cell r="GV49">
            <v>7916.6666666666888</v>
          </cell>
          <cell r="GW49">
            <v>7958.3333333333558</v>
          </cell>
          <cell r="GX49">
            <v>8000.0000000000227</v>
          </cell>
          <cell r="GY49">
            <v>8041.6666666666897</v>
          </cell>
          <cell r="GZ49">
            <v>8083.3333333333567</v>
          </cell>
          <cell r="HA49">
            <v>8125.0000000000236</v>
          </cell>
          <cell r="HB49">
            <v>8166.6666666666906</v>
          </cell>
          <cell r="HC49">
            <v>8208.3333333333576</v>
          </cell>
          <cell r="HD49">
            <v>8250.0000000000236</v>
          </cell>
          <cell r="HE49">
            <v>8291.6666666666897</v>
          </cell>
          <cell r="HF49">
            <v>8333.3333333333558</v>
          </cell>
        </row>
        <row r="50">
          <cell r="N50">
            <v>0</v>
          </cell>
          <cell r="O50">
            <v>500</v>
          </cell>
          <cell r="P50">
            <v>1000</v>
          </cell>
          <cell r="Q50">
            <v>1500</v>
          </cell>
          <cell r="R50">
            <v>2000</v>
          </cell>
          <cell r="S50">
            <v>2500</v>
          </cell>
          <cell r="T50">
            <v>3000</v>
          </cell>
          <cell r="U50">
            <v>3500</v>
          </cell>
          <cell r="V50">
            <v>4000</v>
          </cell>
          <cell r="W50">
            <v>4500</v>
          </cell>
          <cell r="X50">
            <v>5000</v>
          </cell>
          <cell r="Y50">
            <v>5500</v>
          </cell>
          <cell r="Z50">
            <v>6000</v>
          </cell>
          <cell r="AA50">
            <v>6500</v>
          </cell>
          <cell r="AB50">
            <v>7000</v>
          </cell>
          <cell r="AC50">
            <v>7500</v>
          </cell>
          <cell r="AD50">
            <v>8000</v>
          </cell>
          <cell r="AE50">
            <v>8500</v>
          </cell>
          <cell r="AF50">
            <v>9000</v>
          </cell>
          <cell r="AG50">
            <v>9500</v>
          </cell>
          <cell r="AH50">
            <v>10000</v>
          </cell>
          <cell r="AI50">
            <v>10500</v>
          </cell>
          <cell r="AJ50">
            <v>11000</v>
          </cell>
          <cell r="AK50">
            <v>11500</v>
          </cell>
          <cell r="AL50">
            <v>12000</v>
          </cell>
          <cell r="AM50">
            <v>12500</v>
          </cell>
          <cell r="AN50">
            <v>13000</v>
          </cell>
          <cell r="AO50">
            <v>13500</v>
          </cell>
          <cell r="AP50">
            <v>14000</v>
          </cell>
          <cell r="AQ50">
            <v>14500</v>
          </cell>
          <cell r="AR50">
            <v>15000</v>
          </cell>
          <cell r="AS50">
            <v>15500</v>
          </cell>
          <cell r="AT50">
            <v>16000</v>
          </cell>
          <cell r="AU50">
            <v>16500</v>
          </cell>
          <cell r="AV50">
            <v>17000</v>
          </cell>
          <cell r="AW50">
            <v>17500</v>
          </cell>
          <cell r="AX50">
            <v>18000</v>
          </cell>
          <cell r="AY50">
            <v>18500</v>
          </cell>
          <cell r="AZ50">
            <v>19000</v>
          </cell>
          <cell r="BA50">
            <v>19500</v>
          </cell>
          <cell r="BB50">
            <v>20000</v>
          </cell>
          <cell r="BC50">
            <v>20500</v>
          </cell>
          <cell r="BD50">
            <v>21000</v>
          </cell>
          <cell r="BE50">
            <v>21500</v>
          </cell>
          <cell r="BF50">
            <v>22000</v>
          </cell>
          <cell r="BG50">
            <v>22500</v>
          </cell>
          <cell r="BH50">
            <v>23000</v>
          </cell>
          <cell r="BI50">
            <v>23500</v>
          </cell>
          <cell r="BJ50">
            <v>24000</v>
          </cell>
          <cell r="BK50">
            <v>24500</v>
          </cell>
          <cell r="BL50">
            <v>25000</v>
          </cell>
          <cell r="BM50">
            <v>25500</v>
          </cell>
          <cell r="BN50">
            <v>26000</v>
          </cell>
          <cell r="BO50">
            <v>26500</v>
          </cell>
          <cell r="BP50">
            <v>27000</v>
          </cell>
          <cell r="BQ50">
            <v>27500</v>
          </cell>
          <cell r="BR50">
            <v>28000</v>
          </cell>
          <cell r="BS50">
            <v>28500</v>
          </cell>
          <cell r="BT50">
            <v>29000</v>
          </cell>
          <cell r="BU50">
            <v>29500</v>
          </cell>
          <cell r="BV50">
            <v>30000</v>
          </cell>
          <cell r="BW50">
            <v>30500</v>
          </cell>
          <cell r="BX50">
            <v>31000</v>
          </cell>
          <cell r="BY50">
            <v>31500</v>
          </cell>
          <cell r="BZ50">
            <v>32000</v>
          </cell>
          <cell r="CA50">
            <v>32500</v>
          </cell>
          <cell r="CB50">
            <v>33000</v>
          </cell>
          <cell r="CC50">
            <v>33500</v>
          </cell>
          <cell r="CD50">
            <v>34000</v>
          </cell>
          <cell r="CE50">
            <v>34500</v>
          </cell>
          <cell r="CF50">
            <v>35000</v>
          </cell>
          <cell r="CG50">
            <v>35500</v>
          </cell>
          <cell r="CH50">
            <v>36000</v>
          </cell>
          <cell r="CI50">
            <v>36500</v>
          </cell>
          <cell r="CJ50">
            <v>37000</v>
          </cell>
          <cell r="CK50">
            <v>37500</v>
          </cell>
          <cell r="CL50">
            <v>38000</v>
          </cell>
          <cell r="CM50">
            <v>38500</v>
          </cell>
          <cell r="CN50">
            <v>39000</v>
          </cell>
          <cell r="CO50">
            <v>39500</v>
          </cell>
          <cell r="CP50">
            <v>40000</v>
          </cell>
          <cell r="CQ50">
            <v>40500</v>
          </cell>
          <cell r="CR50">
            <v>41000</v>
          </cell>
          <cell r="CS50">
            <v>41500</v>
          </cell>
          <cell r="CT50">
            <v>42000</v>
          </cell>
          <cell r="CU50">
            <v>42500</v>
          </cell>
          <cell r="CV50">
            <v>43000</v>
          </cell>
          <cell r="CW50">
            <v>43500</v>
          </cell>
          <cell r="CX50">
            <v>44000</v>
          </cell>
          <cell r="CY50">
            <v>44500</v>
          </cell>
          <cell r="CZ50">
            <v>45000</v>
          </cell>
          <cell r="DA50">
            <v>45500</v>
          </cell>
          <cell r="DB50">
            <v>46000</v>
          </cell>
          <cell r="DC50">
            <v>46500</v>
          </cell>
          <cell r="DD50">
            <v>47000</v>
          </cell>
          <cell r="DE50">
            <v>47500</v>
          </cell>
          <cell r="DF50">
            <v>48000</v>
          </cell>
          <cell r="DG50">
            <v>48500</v>
          </cell>
          <cell r="DH50">
            <v>49000</v>
          </cell>
          <cell r="DI50">
            <v>49500</v>
          </cell>
          <cell r="DJ50">
            <v>50000</v>
          </cell>
          <cell r="DK50">
            <v>50500</v>
          </cell>
          <cell r="DL50">
            <v>51000</v>
          </cell>
          <cell r="DM50">
            <v>51500</v>
          </cell>
          <cell r="DN50">
            <v>52000</v>
          </cell>
          <cell r="DO50">
            <v>52500</v>
          </cell>
          <cell r="DP50">
            <v>53000</v>
          </cell>
          <cell r="DQ50">
            <v>53500</v>
          </cell>
          <cell r="DR50">
            <v>54000</v>
          </cell>
          <cell r="DS50">
            <v>54500</v>
          </cell>
          <cell r="DT50">
            <v>55000</v>
          </cell>
          <cell r="DU50">
            <v>55500</v>
          </cell>
          <cell r="DV50">
            <v>56000</v>
          </cell>
          <cell r="DW50">
            <v>56500</v>
          </cell>
          <cell r="DX50">
            <v>57000</v>
          </cell>
          <cell r="DY50">
            <v>57500</v>
          </cell>
          <cell r="DZ50">
            <v>58000</v>
          </cell>
          <cell r="EA50">
            <v>58500</v>
          </cell>
          <cell r="EB50">
            <v>59000</v>
          </cell>
          <cell r="EC50">
            <v>59500</v>
          </cell>
          <cell r="ED50">
            <v>60000</v>
          </cell>
          <cell r="EE50">
            <v>60500</v>
          </cell>
          <cell r="EF50">
            <v>61000</v>
          </cell>
          <cell r="EG50">
            <v>61500</v>
          </cell>
          <cell r="EH50">
            <v>62000</v>
          </cell>
          <cell r="EI50">
            <v>62500</v>
          </cell>
          <cell r="EJ50">
            <v>63000</v>
          </cell>
          <cell r="EK50">
            <v>63500</v>
          </cell>
          <cell r="EL50">
            <v>64000</v>
          </cell>
          <cell r="EM50">
            <v>64500</v>
          </cell>
          <cell r="EN50">
            <v>65000</v>
          </cell>
          <cell r="EO50">
            <v>65500</v>
          </cell>
          <cell r="EP50">
            <v>66000</v>
          </cell>
          <cell r="EQ50">
            <v>66500</v>
          </cell>
          <cell r="ER50">
            <v>67000</v>
          </cell>
          <cell r="ES50">
            <v>67500</v>
          </cell>
          <cell r="ET50">
            <v>68000</v>
          </cell>
          <cell r="EU50">
            <v>68500</v>
          </cell>
          <cell r="EV50">
            <v>69000</v>
          </cell>
          <cell r="EW50">
            <v>69500</v>
          </cell>
          <cell r="EX50">
            <v>70000</v>
          </cell>
          <cell r="EY50">
            <v>70500</v>
          </cell>
          <cell r="EZ50">
            <v>71000</v>
          </cell>
          <cell r="FA50">
            <v>71500</v>
          </cell>
          <cell r="FB50">
            <v>72000</v>
          </cell>
          <cell r="FC50">
            <v>72500</v>
          </cell>
          <cell r="FD50">
            <v>73000</v>
          </cell>
          <cell r="FE50">
            <v>73500</v>
          </cell>
          <cell r="FF50">
            <v>74000</v>
          </cell>
          <cell r="FG50">
            <v>74500</v>
          </cell>
          <cell r="FH50">
            <v>75000</v>
          </cell>
          <cell r="FI50">
            <v>75500</v>
          </cell>
          <cell r="FJ50">
            <v>76000</v>
          </cell>
          <cell r="FK50">
            <v>76500</v>
          </cell>
          <cell r="FL50">
            <v>77000</v>
          </cell>
          <cell r="FM50">
            <v>77500</v>
          </cell>
          <cell r="FN50">
            <v>78000</v>
          </cell>
          <cell r="FO50">
            <v>78500</v>
          </cell>
          <cell r="FP50">
            <v>79000</v>
          </cell>
          <cell r="FQ50">
            <v>79500</v>
          </cell>
          <cell r="FR50">
            <v>80000</v>
          </cell>
          <cell r="FS50">
            <v>80500</v>
          </cell>
          <cell r="FT50">
            <v>81000</v>
          </cell>
          <cell r="FU50">
            <v>81500</v>
          </cell>
          <cell r="FV50">
            <v>82000</v>
          </cell>
          <cell r="FW50">
            <v>82500</v>
          </cell>
          <cell r="FX50">
            <v>83000</v>
          </cell>
          <cell r="FY50">
            <v>83500</v>
          </cell>
          <cell r="FZ50">
            <v>84000</v>
          </cell>
          <cell r="GA50">
            <v>84500</v>
          </cell>
          <cell r="GB50">
            <v>85000</v>
          </cell>
          <cell r="GC50">
            <v>85500</v>
          </cell>
          <cell r="GD50">
            <v>86000</v>
          </cell>
          <cell r="GE50">
            <v>86500</v>
          </cell>
          <cell r="GF50">
            <v>87000</v>
          </cell>
          <cell r="GG50">
            <v>87500</v>
          </cell>
          <cell r="GH50">
            <v>88000</v>
          </cell>
          <cell r="GI50">
            <v>88500</v>
          </cell>
          <cell r="GJ50">
            <v>89000</v>
          </cell>
          <cell r="GK50">
            <v>89500</v>
          </cell>
          <cell r="GL50">
            <v>90000</v>
          </cell>
          <cell r="GM50">
            <v>90500</v>
          </cell>
          <cell r="GN50">
            <v>91000</v>
          </cell>
          <cell r="GO50">
            <v>91500</v>
          </cell>
          <cell r="GP50">
            <v>92000</v>
          </cell>
          <cell r="GQ50">
            <v>92500</v>
          </cell>
          <cell r="GR50">
            <v>93000</v>
          </cell>
          <cell r="GS50">
            <v>93500</v>
          </cell>
          <cell r="GT50">
            <v>94000</v>
          </cell>
          <cell r="GU50">
            <v>94500</v>
          </cell>
          <cell r="GV50">
            <v>95000</v>
          </cell>
          <cell r="GW50">
            <v>95500</v>
          </cell>
          <cell r="GX50">
            <v>96000</v>
          </cell>
          <cell r="GY50">
            <v>96500</v>
          </cell>
          <cell r="GZ50">
            <v>97000</v>
          </cell>
          <cell r="HA50">
            <v>97500</v>
          </cell>
          <cell r="HB50">
            <v>98000</v>
          </cell>
          <cell r="HC50">
            <v>98500</v>
          </cell>
          <cell r="HD50">
            <v>99000</v>
          </cell>
          <cell r="HE50">
            <v>99500</v>
          </cell>
          <cell r="HF50">
            <v>100000</v>
          </cell>
        </row>
        <row r="54">
          <cell r="N54">
            <v>0</v>
          </cell>
          <cell r="O54">
            <v>38</v>
          </cell>
          <cell r="P54">
            <v>77</v>
          </cell>
          <cell r="Q54">
            <v>115</v>
          </cell>
          <cell r="R54">
            <v>153</v>
          </cell>
          <cell r="S54">
            <v>191</v>
          </cell>
          <cell r="T54">
            <v>230</v>
          </cell>
          <cell r="U54">
            <v>268</v>
          </cell>
          <cell r="V54">
            <v>306</v>
          </cell>
          <cell r="W54">
            <v>344</v>
          </cell>
          <cell r="X54">
            <v>383</v>
          </cell>
          <cell r="Y54">
            <v>421</v>
          </cell>
          <cell r="Z54">
            <v>459</v>
          </cell>
          <cell r="AA54">
            <v>497</v>
          </cell>
          <cell r="AB54">
            <v>536</v>
          </cell>
          <cell r="AC54">
            <v>574</v>
          </cell>
          <cell r="AD54">
            <v>612</v>
          </cell>
          <cell r="AE54">
            <v>650</v>
          </cell>
          <cell r="AF54">
            <v>689</v>
          </cell>
          <cell r="AG54">
            <v>727</v>
          </cell>
          <cell r="AH54">
            <v>765</v>
          </cell>
          <cell r="AI54">
            <v>803</v>
          </cell>
          <cell r="AJ54">
            <v>842</v>
          </cell>
          <cell r="AK54">
            <v>880</v>
          </cell>
          <cell r="AL54">
            <v>918</v>
          </cell>
          <cell r="AM54">
            <v>956</v>
          </cell>
          <cell r="AN54">
            <v>995</v>
          </cell>
          <cell r="AO54">
            <v>1033</v>
          </cell>
          <cell r="AP54">
            <v>1071</v>
          </cell>
          <cell r="AQ54">
            <v>1109</v>
          </cell>
          <cell r="AR54">
            <v>1148</v>
          </cell>
          <cell r="AS54">
            <v>1186</v>
          </cell>
          <cell r="AT54">
            <v>1224</v>
          </cell>
          <cell r="AU54">
            <v>1262</v>
          </cell>
          <cell r="AV54">
            <v>1301</v>
          </cell>
          <cell r="AW54">
            <v>1339</v>
          </cell>
          <cell r="AX54">
            <v>1377</v>
          </cell>
          <cell r="AY54">
            <v>1415</v>
          </cell>
          <cell r="AZ54">
            <v>1454</v>
          </cell>
          <cell r="BA54">
            <v>1492</v>
          </cell>
          <cell r="BB54">
            <v>1530</v>
          </cell>
          <cell r="BC54">
            <v>1568</v>
          </cell>
          <cell r="BD54">
            <v>1607</v>
          </cell>
          <cell r="BE54">
            <v>1645</v>
          </cell>
          <cell r="BF54">
            <v>1683</v>
          </cell>
          <cell r="BG54">
            <v>1721</v>
          </cell>
          <cell r="BH54">
            <v>1760</v>
          </cell>
          <cell r="BI54">
            <v>1798</v>
          </cell>
          <cell r="BJ54">
            <v>1836</v>
          </cell>
          <cell r="BK54">
            <v>1874</v>
          </cell>
          <cell r="BL54">
            <v>1913</v>
          </cell>
          <cell r="BM54">
            <v>1951</v>
          </cell>
          <cell r="BN54">
            <v>1989</v>
          </cell>
          <cell r="BO54">
            <v>2027</v>
          </cell>
          <cell r="BP54">
            <v>2066</v>
          </cell>
          <cell r="BQ54">
            <v>2104</v>
          </cell>
          <cell r="BR54">
            <v>2142</v>
          </cell>
          <cell r="BS54">
            <v>2180</v>
          </cell>
          <cell r="BT54">
            <v>2219</v>
          </cell>
          <cell r="BU54">
            <v>2257</v>
          </cell>
          <cell r="BV54">
            <v>2295</v>
          </cell>
          <cell r="BW54">
            <v>2333</v>
          </cell>
          <cell r="BX54">
            <v>2372</v>
          </cell>
          <cell r="BY54">
            <v>2410</v>
          </cell>
          <cell r="BZ54">
            <v>2448</v>
          </cell>
          <cell r="CA54">
            <v>2486</v>
          </cell>
          <cell r="CB54">
            <v>2525</v>
          </cell>
          <cell r="CC54">
            <v>2563</v>
          </cell>
          <cell r="CD54">
            <v>2601</v>
          </cell>
          <cell r="CE54">
            <v>2639</v>
          </cell>
          <cell r="CF54">
            <v>2678</v>
          </cell>
          <cell r="CG54">
            <v>2716</v>
          </cell>
          <cell r="CH54">
            <v>2754</v>
          </cell>
          <cell r="CI54">
            <v>2792</v>
          </cell>
          <cell r="CJ54">
            <v>2831</v>
          </cell>
          <cell r="CK54">
            <v>2869</v>
          </cell>
          <cell r="CL54">
            <v>2907</v>
          </cell>
          <cell r="CM54">
            <v>2945</v>
          </cell>
          <cell r="CN54">
            <v>2984</v>
          </cell>
          <cell r="CO54">
            <v>3022</v>
          </cell>
          <cell r="CP54">
            <v>3060</v>
          </cell>
          <cell r="CQ54">
            <v>3098</v>
          </cell>
          <cell r="CR54">
            <v>3137</v>
          </cell>
          <cell r="CS54">
            <v>3175</v>
          </cell>
          <cell r="CT54">
            <v>3213</v>
          </cell>
          <cell r="CU54">
            <v>3251</v>
          </cell>
          <cell r="CV54">
            <v>3290</v>
          </cell>
          <cell r="CW54">
            <v>3328</v>
          </cell>
          <cell r="CX54">
            <v>3366</v>
          </cell>
          <cell r="CY54">
            <v>3404</v>
          </cell>
          <cell r="CZ54">
            <v>3443</v>
          </cell>
          <cell r="DA54">
            <v>3481</v>
          </cell>
          <cell r="DB54">
            <v>3519</v>
          </cell>
          <cell r="DC54">
            <v>3557</v>
          </cell>
          <cell r="DD54">
            <v>3596</v>
          </cell>
          <cell r="DE54">
            <v>3634</v>
          </cell>
          <cell r="DF54">
            <v>3672</v>
          </cell>
          <cell r="DG54">
            <v>3710</v>
          </cell>
          <cell r="DH54">
            <v>3749</v>
          </cell>
          <cell r="DI54">
            <v>3787</v>
          </cell>
          <cell r="DJ54">
            <v>3825</v>
          </cell>
          <cell r="DK54">
            <v>3863</v>
          </cell>
          <cell r="DL54">
            <v>3902</v>
          </cell>
          <cell r="DM54">
            <v>3940</v>
          </cell>
          <cell r="DN54">
            <v>3978</v>
          </cell>
          <cell r="DO54">
            <v>4016</v>
          </cell>
          <cell r="DP54">
            <v>4055</v>
          </cell>
          <cell r="DQ54">
            <v>4093</v>
          </cell>
          <cell r="DR54">
            <v>4131</v>
          </cell>
          <cell r="DS54">
            <v>4169</v>
          </cell>
          <cell r="DT54">
            <v>4208</v>
          </cell>
          <cell r="DU54">
            <v>4246</v>
          </cell>
          <cell r="DV54">
            <v>4284</v>
          </cell>
          <cell r="DW54">
            <v>4322</v>
          </cell>
          <cell r="DX54">
            <v>4361</v>
          </cell>
          <cell r="DY54">
            <v>4399</v>
          </cell>
          <cell r="DZ54">
            <v>4437</v>
          </cell>
          <cell r="EA54">
            <v>4475</v>
          </cell>
          <cell r="EB54">
            <v>4514</v>
          </cell>
          <cell r="EC54">
            <v>4552</v>
          </cell>
          <cell r="ED54">
            <v>4590</v>
          </cell>
          <cell r="EE54">
            <v>4628</v>
          </cell>
          <cell r="EF54">
            <v>4667</v>
          </cell>
          <cell r="EG54">
            <v>4705</v>
          </cell>
          <cell r="EH54">
            <v>4743</v>
          </cell>
          <cell r="EI54">
            <v>4781</v>
          </cell>
          <cell r="EJ54">
            <v>4820</v>
          </cell>
          <cell r="EK54">
            <v>4858</v>
          </cell>
          <cell r="EL54">
            <v>4896</v>
          </cell>
          <cell r="EM54">
            <v>4934</v>
          </cell>
          <cell r="EN54">
            <v>4973</v>
          </cell>
          <cell r="EO54">
            <v>5011</v>
          </cell>
          <cell r="EP54">
            <v>5049</v>
          </cell>
          <cell r="EQ54">
            <v>5087</v>
          </cell>
          <cell r="ER54">
            <v>5126</v>
          </cell>
          <cell r="ES54">
            <v>5164</v>
          </cell>
          <cell r="ET54">
            <v>5202</v>
          </cell>
          <cell r="EU54">
            <v>5240</v>
          </cell>
          <cell r="EV54">
            <v>5279</v>
          </cell>
          <cell r="EW54">
            <v>5317</v>
          </cell>
          <cell r="EX54">
            <v>5355</v>
          </cell>
          <cell r="EY54">
            <v>5393</v>
          </cell>
          <cell r="EZ54">
            <v>5432</v>
          </cell>
          <cell r="FA54">
            <v>5470</v>
          </cell>
          <cell r="FB54">
            <v>5508</v>
          </cell>
          <cell r="FC54">
            <v>5546</v>
          </cell>
          <cell r="FD54">
            <v>5585</v>
          </cell>
          <cell r="FE54">
            <v>5623</v>
          </cell>
          <cell r="FF54">
            <v>5661</v>
          </cell>
          <cell r="FG54">
            <v>5699</v>
          </cell>
          <cell r="FH54">
            <v>5738</v>
          </cell>
          <cell r="FI54">
            <v>5776</v>
          </cell>
          <cell r="FJ54">
            <v>5814</v>
          </cell>
          <cell r="FK54">
            <v>5852</v>
          </cell>
          <cell r="FL54">
            <v>5891</v>
          </cell>
          <cell r="FM54">
            <v>5929</v>
          </cell>
          <cell r="FN54">
            <v>5967</v>
          </cell>
          <cell r="FO54">
            <v>6005</v>
          </cell>
          <cell r="FP54">
            <v>6044</v>
          </cell>
          <cell r="FQ54">
            <v>6082</v>
          </cell>
          <cell r="FR54">
            <v>6120</v>
          </cell>
          <cell r="FS54">
            <v>6158</v>
          </cell>
          <cell r="FT54">
            <v>6197</v>
          </cell>
          <cell r="FU54">
            <v>6235</v>
          </cell>
          <cell r="FV54">
            <v>6273</v>
          </cell>
          <cell r="FW54">
            <v>6311</v>
          </cell>
          <cell r="FX54">
            <v>6350</v>
          </cell>
          <cell r="FY54">
            <v>6388</v>
          </cell>
          <cell r="FZ54">
            <v>6426</v>
          </cell>
          <cell r="GA54">
            <v>6464</v>
          </cell>
          <cell r="GB54">
            <v>6503</v>
          </cell>
          <cell r="GC54">
            <v>6541</v>
          </cell>
          <cell r="GD54">
            <v>6579</v>
          </cell>
          <cell r="GE54">
            <v>6617</v>
          </cell>
          <cell r="GF54">
            <v>6656</v>
          </cell>
          <cell r="GG54">
            <v>6694</v>
          </cell>
          <cell r="GH54">
            <v>6732</v>
          </cell>
          <cell r="GI54">
            <v>6770</v>
          </cell>
          <cell r="GJ54">
            <v>6809</v>
          </cell>
          <cell r="GK54">
            <v>6847</v>
          </cell>
          <cell r="GL54">
            <v>6885</v>
          </cell>
          <cell r="GM54">
            <v>6923</v>
          </cell>
          <cell r="GN54">
            <v>6962</v>
          </cell>
          <cell r="GO54">
            <v>7000</v>
          </cell>
          <cell r="GP54">
            <v>7038</v>
          </cell>
          <cell r="GQ54">
            <v>7076</v>
          </cell>
          <cell r="GR54">
            <v>7115</v>
          </cell>
          <cell r="GS54">
            <v>7153</v>
          </cell>
          <cell r="GT54">
            <v>7191</v>
          </cell>
          <cell r="GU54">
            <v>7229</v>
          </cell>
          <cell r="GV54">
            <v>7268</v>
          </cell>
          <cell r="GW54">
            <v>7306</v>
          </cell>
          <cell r="GX54">
            <v>7344</v>
          </cell>
          <cell r="GY54">
            <v>7382</v>
          </cell>
          <cell r="GZ54">
            <v>7421</v>
          </cell>
          <cell r="HA54">
            <v>7459</v>
          </cell>
          <cell r="HB54">
            <v>7497</v>
          </cell>
          <cell r="HC54">
            <v>7535</v>
          </cell>
          <cell r="HD54">
            <v>7574</v>
          </cell>
          <cell r="HE54">
            <v>7612</v>
          </cell>
          <cell r="HF54">
            <v>7650</v>
          </cell>
        </row>
        <row r="66">
          <cell r="N66">
            <v>0</v>
          </cell>
          <cell r="O66">
            <v>500</v>
          </cell>
          <cell r="P66">
            <v>1000</v>
          </cell>
          <cell r="Q66">
            <v>1500</v>
          </cell>
          <cell r="R66">
            <v>2000</v>
          </cell>
          <cell r="S66">
            <v>2500</v>
          </cell>
          <cell r="T66">
            <v>3000</v>
          </cell>
          <cell r="U66">
            <v>3500</v>
          </cell>
          <cell r="V66">
            <v>4000</v>
          </cell>
          <cell r="W66">
            <v>4500</v>
          </cell>
          <cell r="X66">
            <v>5000</v>
          </cell>
          <cell r="Y66">
            <v>5500</v>
          </cell>
          <cell r="Z66">
            <v>6000</v>
          </cell>
          <cell r="AA66">
            <v>6500</v>
          </cell>
          <cell r="AB66">
            <v>7000</v>
          </cell>
          <cell r="AC66">
            <v>7500</v>
          </cell>
          <cell r="AD66">
            <v>8000</v>
          </cell>
          <cell r="AE66">
            <v>8500</v>
          </cell>
          <cell r="AF66">
            <v>9000</v>
          </cell>
          <cell r="AG66">
            <v>9500</v>
          </cell>
          <cell r="AH66">
            <v>10000</v>
          </cell>
          <cell r="AI66">
            <v>10500</v>
          </cell>
          <cell r="AJ66">
            <v>11000</v>
          </cell>
          <cell r="AK66">
            <v>11500</v>
          </cell>
          <cell r="AL66">
            <v>12000</v>
          </cell>
          <cell r="AM66">
            <v>12500</v>
          </cell>
          <cell r="AN66">
            <v>13000</v>
          </cell>
          <cell r="AO66">
            <v>13500</v>
          </cell>
          <cell r="AP66">
            <v>14000</v>
          </cell>
          <cell r="AQ66">
            <v>14500</v>
          </cell>
          <cell r="AR66">
            <v>15000</v>
          </cell>
          <cell r="AS66">
            <v>15500</v>
          </cell>
          <cell r="AT66">
            <v>16000</v>
          </cell>
          <cell r="AU66">
            <v>16500</v>
          </cell>
          <cell r="AV66">
            <v>17000</v>
          </cell>
          <cell r="AW66">
            <v>17500</v>
          </cell>
          <cell r="AX66">
            <v>18000</v>
          </cell>
          <cell r="AY66">
            <v>18500</v>
          </cell>
          <cell r="AZ66">
            <v>19000</v>
          </cell>
          <cell r="BA66">
            <v>19500</v>
          </cell>
          <cell r="BB66">
            <v>20000</v>
          </cell>
          <cell r="BC66">
            <v>20500</v>
          </cell>
          <cell r="BD66">
            <v>21000</v>
          </cell>
          <cell r="BE66">
            <v>21500</v>
          </cell>
          <cell r="BF66">
            <v>22000</v>
          </cell>
          <cell r="BG66">
            <v>22500</v>
          </cell>
          <cell r="BH66">
            <v>23000</v>
          </cell>
          <cell r="BI66">
            <v>23500</v>
          </cell>
          <cell r="BJ66">
            <v>24000</v>
          </cell>
          <cell r="BK66">
            <v>24500</v>
          </cell>
          <cell r="BL66">
            <v>25000</v>
          </cell>
          <cell r="BM66">
            <v>25500</v>
          </cell>
          <cell r="BN66">
            <v>26000</v>
          </cell>
          <cell r="BO66">
            <v>26500</v>
          </cell>
          <cell r="BP66">
            <v>27000</v>
          </cell>
          <cell r="BQ66">
            <v>27500</v>
          </cell>
          <cell r="BR66">
            <v>28000</v>
          </cell>
          <cell r="BS66">
            <v>28500</v>
          </cell>
          <cell r="BT66">
            <v>29000</v>
          </cell>
          <cell r="BU66">
            <v>29500</v>
          </cell>
          <cell r="BV66">
            <v>30000</v>
          </cell>
          <cell r="BW66">
            <v>30500</v>
          </cell>
          <cell r="BX66">
            <v>31000</v>
          </cell>
          <cell r="BY66">
            <v>31500</v>
          </cell>
          <cell r="BZ66">
            <v>32000</v>
          </cell>
          <cell r="CA66">
            <v>32500</v>
          </cell>
          <cell r="CB66">
            <v>33000</v>
          </cell>
          <cell r="CC66">
            <v>33500</v>
          </cell>
          <cell r="CD66">
            <v>34000</v>
          </cell>
          <cell r="CE66">
            <v>34500</v>
          </cell>
          <cell r="CF66">
            <v>35000</v>
          </cell>
          <cell r="CG66">
            <v>35500</v>
          </cell>
          <cell r="CH66">
            <v>36000</v>
          </cell>
          <cell r="CI66">
            <v>36500</v>
          </cell>
          <cell r="CJ66">
            <v>37000</v>
          </cell>
          <cell r="CK66">
            <v>37500</v>
          </cell>
          <cell r="CL66">
            <v>38000</v>
          </cell>
          <cell r="CM66">
            <v>38500</v>
          </cell>
          <cell r="CN66">
            <v>39000</v>
          </cell>
          <cell r="CO66">
            <v>39500</v>
          </cell>
          <cell r="CP66">
            <v>40000</v>
          </cell>
          <cell r="CQ66">
            <v>40500</v>
          </cell>
          <cell r="CR66">
            <v>41000</v>
          </cell>
          <cell r="CS66">
            <v>41500</v>
          </cell>
          <cell r="CT66">
            <v>42000</v>
          </cell>
          <cell r="CU66">
            <v>42500</v>
          </cell>
          <cell r="CV66">
            <v>43000</v>
          </cell>
          <cell r="CW66">
            <v>43500</v>
          </cell>
          <cell r="CX66">
            <v>44000</v>
          </cell>
          <cell r="CY66">
            <v>44500</v>
          </cell>
          <cell r="CZ66">
            <v>45000</v>
          </cell>
          <cell r="DA66">
            <v>45500</v>
          </cell>
          <cell r="DB66">
            <v>46000</v>
          </cell>
          <cell r="DC66">
            <v>46500</v>
          </cell>
          <cell r="DD66">
            <v>47000</v>
          </cell>
          <cell r="DE66">
            <v>47500</v>
          </cell>
          <cell r="DF66">
            <v>48000</v>
          </cell>
          <cell r="DG66">
            <v>48500</v>
          </cell>
          <cell r="DH66">
            <v>49000</v>
          </cell>
          <cell r="DI66">
            <v>49500</v>
          </cell>
          <cell r="DJ66">
            <v>50000</v>
          </cell>
          <cell r="DK66">
            <v>50500</v>
          </cell>
          <cell r="DL66">
            <v>51000</v>
          </cell>
          <cell r="DM66">
            <v>51500</v>
          </cell>
          <cell r="DN66">
            <v>52000</v>
          </cell>
          <cell r="DO66">
            <v>52500</v>
          </cell>
          <cell r="DP66">
            <v>53000</v>
          </cell>
          <cell r="DQ66">
            <v>53500</v>
          </cell>
          <cell r="DR66">
            <v>54000</v>
          </cell>
          <cell r="DS66">
            <v>54500</v>
          </cell>
          <cell r="DT66">
            <v>55000</v>
          </cell>
          <cell r="DU66">
            <v>55500</v>
          </cell>
          <cell r="DV66">
            <v>56000</v>
          </cell>
          <cell r="DW66">
            <v>56500</v>
          </cell>
          <cell r="DX66">
            <v>57000</v>
          </cell>
          <cell r="DY66">
            <v>57500</v>
          </cell>
          <cell r="DZ66">
            <v>58000</v>
          </cell>
          <cell r="EA66">
            <v>58500</v>
          </cell>
          <cell r="EB66">
            <v>59000</v>
          </cell>
          <cell r="EC66">
            <v>59500</v>
          </cell>
          <cell r="ED66">
            <v>60000</v>
          </cell>
          <cell r="EE66">
            <v>60500</v>
          </cell>
          <cell r="EF66">
            <v>61000</v>
          </cell>
          <cell r="EG66">
            <v>61500</v>
          </cell>
          <cell r="EH66">
            <v>62000</v>
          </cell>
          <cell r="EI66">
            <v>62500</v>
          </cell>
          <cell r="EJ66">
            <v>63000</v>
          </cell>
          <cell r="EK66">
            <v>63500</v>
          </cell>
          <cell r="EL66">
            <v>64000</v>
          </cell>
          <cell r="EM66">
            <v>64500</v>
          </cell>
          <cell r="EN66">
            <v>65000</v>
          </cell>
          <cell r="EO66">
            <v>65500</v>
          </cell>
          <cell r="EP66">
            <v>66000</v>
          </cell>
          <cell r="EQ66">
            <v>66500</v>
          </cell>
          <cell r="ER66">
            <v>67000</v>
          </cell>
          <cell r="ES66">
            <v>67500</v>
          </cell>
          <cell r="ET66">
            <v>68000</v>
          </cell>
          <cell r="EU66">
            <v>68500</v>
          </cell>
          <cell r="EV66">
            <v>69000</v>
          </cell>
          <cell r="EW66">
            <v>69500</v>
          </cell>
          <cell r="EX66">
            <v>70000</v>
          </cell>
          <cell r="EY66">
            <v>70500</v>
          </cell>
          <cell r="EZ66">
            <v>71000</v>
          </cell>
          <cell r="FA66">
            <v>71500</v>
          </cell>
          <cell r="FB66">
            <v>72000</v>
          </cell>
          <cell r="FC66">
            <v>72500</v>
          </cell>
          <cell r="FD66">
            <v>73000</v>
          </cell>
          <cell r="FE66">
            <v>73500</v>
          </cell>
          <cell r="FF66">
            <v>74000</v>
          </cell>
          <cell r="FG66">
            <v>74500</v>
          </cell>
          <cell r="FH66">
            <v>75000</v>
          </cell>
          <cell r="FI66">
            <v>75500</v>
          </cell>
          <cell r="FJ66">
            <v>76000</v>
          </cell>
          <cell r="FK66">
            <v>76500</v>
          </cell>
          <cell r="FL66">
            <v>77000</v>
          </cell>
          <cell r="FM66">
            <v>77500</v>
          </cell>
          <cell r="FN66">
            <v>78000</v>
          </cell>
          <cell r="FO66">
            <v>78500</v>
          </cell>
          <cell r="FP66">
            <v>79000</v>
          </cell>
          <cell r="FQ66">
            <v>79500</v>
          </cell>
          <cell r="FR66">
            <v>80000</v>
          </cell>
          <cell r="FS66">
            <v>80500</v>
          </cell>
          <cell r="FT66">
            <v>81000</v>
          </cell>
          <cell r="FU66">
            <v>81500</v>
          </cell>
          <cell r="FV66">
            <v>82000</v>
          </cell>
          <cell r="FW66">
            <v>82500</v>
          </cell>
          <cell r="FX66">
            <v>83000</v>
          </cell>
          <cell r="FY66">
            <v>83500</v>
          </cell>
          <cell r="FZ66">
            <v>84000</v>
          </cell>
          <cell r="GA66">
            <v>84500</v>
          </cell>
          <cell r="GB66">
            <v>85000</v>
          </cell>
          <cell r="GC66">
            <v>85500</v>
          </cell>
          <cell r="GD66">
            <v>86000</v>
          </cell>
          <cell r="GE66">
            <v>86500</v>
          </cell>
          <cell r="GF66">
            <v>87000</v>
          </cell>
          <cell r="GG66">
            <v>87500</v>
          </cell>
          <cell r="GH66">
            <v>88000</v>
          </cell>
          <cell r="GI66">
            <v>88500</v>
          </cell>
          <cell r="GJ66">
            <v>89000</v>
          </cell>
          <cell r="GK66">
            <v>89500</v>
          </cell>
          <cell r="GL66">
            <v>90000</v>
          </cell>
          <cell r="GM66">
            <v>90500</v>
          </cell>
          <cell r="GN66">
            <v>91000</v>
          </cell>
          <cell r="GO66">
            <v>91500</v>
          </cell>
          <cell r="GP66">
            <v>92000</v>
          </cell>
          <cell r="GQ66">
            <v>92500</v>
          </cell>
          <cell r="GR66">
            <v>93000</v>
          </cell>
          <cell r="GS66">
            <v>93500</v>
          </cell>
          <cell r="GT66">
            <v>94000</v>
          </cell>
          <cell r="GU66">
            <v>94500</v>
          </cell>
          <cell r="GV66">
            <v>95000</v>
          </cell>
          <cell r="GW66">
            <v>95500</v>
          </cell>
          <cell r="GX66">
            <v>96000</v>
          </cell>
          <cell r="GY66">
            <v>96500</v>
          </cell>
          <cell r="GZ66">
            <v>97000</v>
          </cell>
          <cell r="HA66">
            <v>97500</v>
          </cell>
          <cell r="HB66">
            <v>98000</v>
          </cell>
          <cell r="HC66">
            <v>98500</v>
          </cell>
          <cell r="HD66">
            <v>99000</v>
          </cell>
          <cell r="HE66">
            <v>99500</v>
          </cell>
          <cell r="HF66">
            <v>100000</v>
          </cell>
        </row>
        <row r="102">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6.8</v>
          </cell>
          <cell r="BB102">
            <v>40.799999999999997</v>
          </cell>
          <cell r="BC102">
            <v>74.8</v>
          </cell>
          <cell r="BD102">
            <v>108.8</v>
          </cell>
          <cell r="BE102">
            <v>144.9</v>
          </cell>
          <cell r="BF102">
            <v>179.4</v>
          </cell>
          <cell r="BG102">
            <v>213.9</v>
          </cell>
          <cell r="BH102">
            <v>248.4</v>
          </cell>
          <cell r="BI102">
            <v>287</v>
          </cell>
          <cell r="BJ102">
            <v>322</v>
          </cell>
          <cell r="BK102">
            <v>357</v>
          </cell>
          <cell r="BL102">
            <v>392</v>
          </cell>
          <cell r="BM102">
            <v>433.1</v>
          </cell>
          <cell r="BN102">
            <v>468.6</v>
          </cell>
          <cell r="BO102">
            <v>504.1</v>
          </cell>
          <cell r="BP102">
            <v>539.6</v>
          </cell>
          <cell r="BQ102">
            <v>583.20000000000005</v>
          </cell>
          <cell r="BR102">
            <v>619.20000000000005</v>
          </cell>
          <cell r="BS102">
            <v>655.20000000000005</v>
          </cell>
          <cell r="BT102">
            <v>691.2</v>
          </cell>
          <cell r="BU102">
            <v>737.3</v>
          </cell>
          <cell r="BV102">
            <v>773.8</v>
          </cell>
          <cell r="BW102">
            <v>810.3</v>
          </cell>
          <cell r="BX102">
            <v>846.8</v>
          </cell>
          <cell r="BY102">
            <v>895.4</v>
          </cell>
          <cell r="BZ102">
            <v>932.4</v>
          </cell>
          <cell r="CA102">
            <v>969.4</v>
          </cell>
          <cell r="CB102">
            <v>1006.4</v>
          </cell>
          <cell r="CC102">
            <v>1057.5</v>
          </cell>
          <cell r="CD102">
            <v>1095</v>
          </cell>
          <cell r="CE102">
            <v>1139.25</v>
          </cell>
          <cell r="CF102">
            <v>1184.25</v>
          </cell>
          <cell r="CG102">
            <v>1245.6399999999985</v>
          </cell>
          <cell r="CH102">
            <v>1291.2399999999984</v>
          </cell>
          <cell r="CI102">
            <v>1336.8399999999983</v>
          </cell>
          <cell r="CJ102">
            <v>1382.4399999999982</v>
          </cell>
          <cell r="CK102">
            <v>1446.8299999999981</v>
          </cell>
          <cell r="CL102">
            <v>1493.0299999999979</v>
          </cell>
          <cell r="CM102">
            <v>1539.229999999998</v>
          </cell>
          <cell r="CN102">
            <v>1585.429999999998</v>
          </cell>
          <cell r="CO102">
            <v>1652.8199999999979</v>
          </cell>
          <cell r="CP102">
            <v>1699.6199999999978</v>
          </cell>
          <cell r="CQ102">
            <v>1746.4199999999978</v>
          </cell>
          <cell r="CR102">
            <v>1793.2199999999978</v>
          </cell>
          <cell r="CS102">
            <v>1863.6099999999976</v>
          </cell>
          <cell r="CT102">
            <v>1911.0099999999975</v>
          </cell>
          <cell r="CU102">
            <v>1958.4099999999976</v>
          </cell>
          <cell r="CV102">
            <v>2005.8099999999974</v>
          </cell>
          <cell r="CW102">
            <v>2079.1999999999975</v>
          </cell>
          <cell r="CX102">
            <v>2127.1999999999971</v>
          </cell>
          <cell r="CY102">
            <v>2175.1999999999971</v>
          </cell>
          <cell r="CZ102">
            <v>2223.1999999999971</v>
          </cell>
          <cell r="DA102">
            <v>2271.1999999999971</v>
          </cell>
          <cell r="DB102">
            <v>2319.1999999999971</v>
          </cell>
          <cell r="DC102">
            <v>2367.1999999999971</v>
          </cell>
          <cell r="DD102">
            <v>2415.1999999999971</v>
          </cell>
          <cell r="DE102">
            <v>2463.1999999999971</v>
          </cell>
          <cell r="DF102">
            <v>2511.1999999999971</v>
          </cell>
          <cell r="DG102">
            <v>2559.1999999999966</v>
          </cell>
          <cell r="DH102">
            <v>2607.1999999999966</v>
          </cell>
          <cell r="DI102">
            <v>2655.1999999999966</v>
          </cell>
          <cell r="DJ102">
            <v>2703.1999999999966</v>
          </cell>
          <cell r="DK102">
            <v>2751.1999999999966</v>
          </cell>
          <cell r="DL102">
            <v>2799.1999999999966</v>
          </cell>
          <cell r="DM102">
            <v>2847.1999999999962</v>
          </cell>
          <cell r="DN102">
            <v>2895.1999999999962</v>
          </cell>
          <cell r="DO102">
            <v>2943.1999999999962</v>
          </cell>
          <cell r="DP102">
            <v>2991.1999999999962</v>
          </cell>
          <cell r="DQ102">
            <v>3039.1999999999962</v>
          </cell>
          <cell r="DR102">
            <v>3087.1999999999962</v>
          </cell>
          <cell r="DS102">
            <v>3135.1999999999962</v>
          </cell>
          <cell r="DT102">
            <v>3183.1999999999962</v>
          </cell>
          <cell r="DU102">
            <v>3231.1999999999962</v>
          </cell>
          <cell r="DV102">
            <v>3279.1999999999957</v>
          </cell>
          <cell r="DW102">
            <v>3327.1999999999957</v>
          </cell>
          <cell r="DX102">
            <v>3375.1999999999957</v>
          </cell>
          <cell r="DY102">
            <v>3423.1999999999957</v>
          </cell>
          <cell r="DZ102">
            <v>3471.1999999999957</v>
          </cell>
          <cell r="EA102">
            <v>3519.1999999999957</v>
          </cell>
          <cell r="EB102">
            <v>3567.1999999999953</v>
          </cell>
          <cell r="EC102">
            <v>3615.1999999999953</v>
          </cell>
          <cell r="ED102">
            <v>3663.1999999999953</v>
          </cell>
          <cell r="EE102">
            <v>3711.1999999999953</v>
          </cell>
          <cell r="EF102">
            <v>3759.1999999999953</v>
          </cell>
          <cell r="EG102">
            <v>3807.1999999999953</v>
          </cell>
          <cell r="EH102">
            <v>3855.1999999999953</v>
          </cell>
          <cell r="EI102">
            <v>3903.1999999999953</v>
          </cell>
          <cell r="EJ102">
            <v>3951.1999999999953</v>
          </cell>
          <cell r="EK102">
            <v>3999.1999999999948</v>
          </cell>
          <cell r="EL102">
            <v>4047.1999999999948</v>
          </cell>
          <cell r="EM102">
            <v>4095.1999999999948</v>
          </cell>
          <cell r="EN102">
            <v>4143.1999999999953</v>
          </cell>
          <cell r="EO102">
            <v>4191.1999999999953</v>
          </cell>
          <cell r="EP102">
            <v>4239.1999999999944</v>
          </cell>
          <cell r="EQ102">
            <v>4287.1999999999944</v>
          </cell>
          <cell r="ER102">
            <v>4335.1999999999944</v>
          </cell>
          <cell r="ES102">
            <v>4383.1999999999944</v>
          </cell>
          <cell r="ET102">
            <v>4431.1999999999944</v>
          </cell>
          <cell r="EU102">
            <v>4479.1999999999944</v>
          </cell>
          <cell r="EV102">
            <v>4527.1999999999944</v>
          </cell>
          <cell r="EW102">
            <v>4575.1999999999944</v>
          </cell>
          <cell r="EX102">
            <v>4623.1999999999944</v>
          </cell>
          <cell r="EY102">
            <v>4671.1999999999944</v>
          </cell>
          <cell r="EZ102">
            <v>4719.1999999999944</v>
          </cell>
          <cell r="FA102">
            <v>4767.1999999999935</v>
          </cell>
          <cell r="FB102">
            <v>4815.1999999999935</v>
          </cell>
          <cell r="FC102">
            <v>4863.1999999999935</v>
          </cell>
          <cell r="FD102">
            <v>4911.1999999999935</v>
          </cell>
          <cell r="FE102">
            <v>4959.1999999999935</v>
          </cell>
          <cell r="FF102">
            <v>5007.1999999999935</v>
          </cell>
          <cell r="FG102">
            <v>5055.1999999999935</v>
          </cell>
          <cell r="FH102">
            <v>5103.1999999999935</v>
          </cell>
          <cell r="FI102">
            <v>5167.1999999999935</v>
          </cell>
          <cell r="FJ102">
            <v>5255.1999999999935</v>
          </cell>
          <cell r="FK102">
            <v>5343.1999999999935</v>
          </cell>
          <cell r="FL102">
            <v>5431.1999999999935</v>
          </cell>
          <cell r="FM102">
            <v>5519.1999999999935</v>
          </cell>
          <cell r="FN102">
            <v>5607.1999999999935</v>
          </cell>
          <cell r="FO102">
            <v>5695.1999999999925</v>
          </cell>
          <cell r="FP102">
            <v>5783.1999999999925</v>
          </cell>
          <cell r="FQ102">
            <v>5871.1999999999925</v>
          </cell>
          <cell r="FR102">
            <v>5959.1999999999925</v>
          </cell>
          <cell r="FS102">
            <v>6047.1999999999925</v>
          </cell>
          <cell r="FT102">
            <v>6135.1999999999925</v>
          </cell>
          <cell r="FU102">
            <v>6223.1999999999916</v>
          </cell>
          <cell r="FV102">
            <v>6311.1999999999916</v>
          </cell>
          <cell r="FW102">
            <v>6399.1999999999916</v>
          </cell>
          <cell r="FX102">
            <v>6487.1999999999916</v>
          </cell>
          <cell r="FY102">
            <v>6575.1999999999916</v>
          </cell>
          <cell r="FZ102">
            <v>6663.1999999999916</v>
          </cell>
          <cell r="GA102">
            <v>6751.1999999999916</v>
          </cell>
          <cell r="GB102">
            <v>6839.1999999999916</v>
          </cell>
          <cell r="GC102">
            <v>6927.1999999999916</v>
          </cell>
          <cell r="GD102">
            <v>7015.1999999999916</v>
          </cell>
          <cell r="GE102">
            <v>7103.1999999999907</v>
          </cell>
          <cell r="GF102">
            <v>7191.1999999999907</v>
          </cell>
          <cell r="GG102">
            <v>7279.1999999999907</v>
          </cell>
          <cell r="GH102">
            <v>7367.1999999999907</v>
          </cell>
          <cell r="GI102">
            <v>7455.1999999999907</v>
          </cell>
          <cell r="GJ102">
            <v>7543.1999999999907</v>
          </cell>
          <cell r="GK102">
            <v>7631.1999999999898</v>
          </cell>
          <cell r="GL102">
            <v>7719.1999999999898</v>
          </cell>
          <cell r="GM102">
            <v>7807.1999999999898</v>
          </cell>
          <cell r="GN102">
            <v>7895.1999999999898</v>
          </cell>
          <cell r="GO102">
            <v>7983.1999999999898</v>
          </cell>
          <cell r="GP102">
            <v>8071.1999999999898</v>
          </cell>
          <cell r="GQ102">
            <v>8159.1999999999898</v>
          </cell>
          <cell r="GR102">
            <v>8247.1999999999898</v>
          </cell>
          <cell r="GS102">
            <v>8335.1999999999898</v>
          </cell>
          <cell r="GT102">
            <v>8423.1999999999898</v>
          </cell>
          <cell r="GU102">
            <v>8511.1999999999898</v>
          </cell>
          <cell r="GV102">
            <v>8599.1999999999898</v>
          </cell>
          <cell r="GW102">
            <v>8687.1999999999898</v>
          </cell>
          <cell r="GX102">
            <v>8775.1999999999898</v>
          </cell>
          <cell r="GY102">
            <v>8863.1999999999898</v>
          </cell>
          <cell r="GZ102">
            <v>8951.1999999999898</v>
          </cell>
          <cell r="HA102">
            <v>9039.199999999988</v>
          </cell>
          <cell r="HB102">
            <v>9127.199999999988</v>
          </cell>
          <cell r="HC102">
            <v>9215.199999999988</v>
          </cell>
          <cell r="HD102">
            <v>9303.199999999988</v>
          </cell>
          <cell r="HE102">
            <v>9391.199999999988</v>
          </cell>
          <cell r="HF102">
            <v>9479.199999999988</v>
          </cell>
        </row>
        <row r="108">
          <cell r="N108">
            <v>3000</v>
          </cell>
          <cell r="O108">
            <v>3000</v>
          </cell>
          <cell r="P108">
            <v>3000</v>
          </cell>
          <cell r="Q108">
            <v>3000</v>
          </cell>
          <cell r="R108">
            <v>3000</v>
          </cell>
          <cell r="S108">
            <v>3000</v>
          </cell>
          <cell r="T108">
            <v>3000</v>
          </cell>
          <cell r="U108">
            <v>3000</v>
          </cell>
          <cell r="V108">
            <v>3000</v>
          </cell>
          <cell r="W108">
            <v>3000</v>
          </cell>
          <cell r="X108">
            <v>3000</v>
          </cell>
          <cell r="Y108">
            <v>3000</v>
          </cell>
          <cell r="Z108">
            <v>3000</v>
          </cell>
          <cell r="AA108">
            <v>3000</v>
          </cell>
          <cell r="AB108">
            <v>3000</v>
          </cell>
          <cell r="AC108">
            <v>3000</v>
          </cell>
          <cell r="AD108">
            <v>3000</v>
          </cell>
          <cell r="AE108">
            <v>3000</v>
          </cell>
          <cell r="AF108">
            <v>3000</v>
          </cell>
          <cell r="AG108">
            <v>3000</v>
          </cell>
          <cell r="AH108">
            <v>3000</v>
          </cell>
          <cell r="AI108">
            <v>3000</v>
          </cell>
          <cell r="AJ108">
            <v>3000</v>
          </cell>
          <cell r="AK108">
            <v>3000</v>
          </cell>
          <cell r="AL108">
            <v>3000</v>
          </cell>
          <cell r="AM108">
            <v>3000</v>
          </cell>
          <cell r="AN108">
            <v>3000</v>
          </cell>
          <cell r="AO108">
            <v>3000</v>
          </cell>
          <cell r="AP108">
            <v>3000</v>
          </cell>
          <cell r="AQ108">
            <v>3000</v>
          </cell>
          <cell r="AR108">
            <v>3000</v>
          </cell>
          <cell r="AS108">
            <v>3000</v>
          </cell>
          <cell r="AT108">
            <v>3000</v>
          </cell>
          <cell r="AU108">
            <v>3000</v>
          </cell>
          <cell r="AV108">
            <v>3000</v>
          </cell>
          <cell r="AW108">
            <v>3000</v>
          </cell>
          <cell r="AX108">
            <v>3000</v>
          </cell>
          <cell r="AY108">
            <v>3000</v>
          </cell>
          <cell r="AZ108">
            <v>3000</v>
          </cell>
          <cell r="BA108">
            <v>3000</v>
          </cell>
          <cell r="BB108">
            <v>3000</v>
          </cell>
          <cell r="BC108">
            <v>3000</v>
          </cell>
          <cell r="BD108">
            <v>3000</v>
          </cell>
          <cell r="BE108">
            <v>3000</v>
          </cell>
          <cell r="BF108">
            <v>3000</v>
          </cell>
          <cell r="BG108">
            <v>3000</v>
          </cell>
          <cell r="BH108">
            <v>3000</v>
          </cell>
          <cell r="BI108">
            <v>3000</v>
          </cell>
          <cell r="BJ108">
            <v>3000</v>
          </cell>
          <cell r="BK108">
            <v>3000</v>
          </cell>
          <cell r="BL108">
            <v>3000</v>
          </cell>
          <cell r="BM108">
            <v>3000</v>
          </cell>
          <cell r="BN108">
            <v>3000</v>
          </cell>
          <cell r="BO108">
            <v>3000</v>
          </cell>
          <cell r="BP108">
            <v>3000</v>
          </cell>
          <cell r="BQ108">
            <v>3000</v>
          </cell>
          <cell r="BR108">
            <v>3000</v>
          </cell>
          <cell r="BS108">
            <v>3000</v>
          </cell>
          <cell r="BT108">
            <v>3000</v>
          </cell>
          <cell r="BU108">
            <v>3000</v>
          </cell>
          <cell r="BV108">
            <v>3000</v>
          </cell>
          <cell r="BW108">
            <v>3000</v>
          </cell>
          <cell r="BX108">
            <v>3000</v>
          </cell>
          <cell r="BY108">
            <v>3000</v>
          </cell>
          <cell r="BZ108">
            <v>3000</v>
          </cell>
          <cell r="CA108">
            <v>3000</v>
          </cell>
          <cell r="CB108">
            <v>3000</v>
          </cell>
          <cell r="CC108">
            <v>3000</v>
          </cell>
          <cell r="CD108">
            <v>3000</v>
          </cell>
          <cell r="CE108">
            <v>3000</v>
          </cell>
          <cell r="CF108">
            <v>3000</v>
          </cell>
          <cell r="CG108">
            <v>3000</v>
          </cell>
          <cell r="CH108">
            <v>3000</v>
          </cell>
          <cell r="CI108">
            <v>3000</v>
          </cell>
          <cell r="CJ108">
            <v>3000</v>
          </cell>
          <cell r="CK108">
            <v>3000</v>
          </cell>
          <cell r="CL108">
            <v>3000</v>
          </cell>
          <cell r="CM108">
            <v>3000</v>
          </cell>
          <cell r="CN108">
            <v>3000</v>
          </cell>
          <cell r="CO108">
            <v>3000</v>
          </cell>
          <cell r="CP108">
            <v>3000</v>
          </cell>
          <cell r="CQ108">
            <v>3000</v>
          </cell>
          <cell r="CR108">
            <v>3000</v>
          </cell>
          <cell r="CS108">
            <v>3000</v>
          </cell>
          <cell r="CT108">
            <v>3000</v>
          </cell>
          <cell r="CU108">
            <v>3000</v>
          </cell>
          <cell r="CV108">
            <v>3000</v>
          </cell>
          <cell r="CW108">
            <v>3000</v>
          </cell>
          <cell r="CX108">
            <v>3000</v>
          </cell>
          <cell r="CY108">
            <v>3000</v>
          </cell>
          <cell r="CZ108">
            <v>3000</v>
          </cell>
          <cell r="DA108">
            <v>3000</v>
          </cell>
          <cell r="DB108">
            <v>3000</v>
          </cell>
          <cell r="DC108">
            <v>3000</v>
          </cell>
          <cell r="DD108">
            <v>3000</v>
          </cell>
          <cell r="DE108">
            <v>3000</v>
          </cell>
          <cell r="DF108">
            <v>3000</v>
          </cell>
          <cell r="DG108">
            <v>3000</v>
          </cell>
          <cell r="DH108">
            <v>3000</v>
          </cell>
          <cell r="DI108">
            <v>3000</v>
          </cell>
          <cell r="DJ108">
            <v>3000</v>
          </cell>
          <cell r="DK108">
            <v>3000</v>
          </cell>
          <cell r="DL108">
            <v>3000</v>
          </cell>
          <cell r="DM108">
            <v>3000</v>
          </cell>
          <cell r="DN108">
            <v>3000</v>
          </cell>
          <cell r="DO108">
            <v>3000</v>
          </cell>
          <cell r="DP108">
            <v>3000</v>
          </cell>
          <cell r="DQ108">
            <v>3000</v>
          </cell>
          <cell r="DR108">
            <v>3000</v>
          </cell>
          <cell r="DS108">
            <v>3000</v>
          </cell>
          <cell r="DT108">
            <v>3000</v>
          </cell>
          <cell r="DU108">
            <v>3000</v>
          </cell>
          <cell r="DV108">
            <v>3000</v>
          </cell>
          <cell r="DW108">
            <v>3000</v>
          </cell>
          <cell r="DX108">
            <v>3000</v>
          </cell>
          <cell r="DY108">
            <v>3000</v>
          </cell>
          <cell r="DZ108">
            <v>3000</v>
          </cell>
          <cell r="EA108">
            <v>3000</v>
          </cell>
          <cell r="EB108">
            <v>3000</v>
          </cell>
          <cell r="EC108">
            <v>3000</v>
          </cell>
          <cell r="ED108">
            <v>3000</v>
          </cell>
          <cell r="EE108">
            <v>3000</v>
          </cell>
          <cell r="EF108">
            <v>3000</v>
          </cell>
          <cell r="EG108">
            <v>3000</v>
          </cell>
          <cell r="EH108">
            <v>3000</v>
          </cell>
          <cell r="EI108">
            <v>3000</v>
          </cell>
          <cell r="EJ108">
            <v>3000</v>
          </cell>
          <cell r="EK108">
            <v>3000</v>
          </cell>
          <cell r="EL108">
            <v>3000</v>
          </cell>
          <cell r="EM108">
            <v>3000</v>
          </cell>
          <cell r="EN108">
            <v>3000</v>
          </cell>
          <cell r="EO108">
            <v>3000</v>
          </cell>
          <cell r="EP108">
            <v>3000</v>
          </cell>
          <cell r="EQ108">
            <v>3000</v>
          </cell>
          <cell r="ER108">
            <v>3000</v>
          </cell>
          <cell r="ES108">
            <v>3000</v>
          </cell>
          <cell r="ET108">
            <v>3000</v>
          </cell>
          <cell r="EU108">
            <v>3000</v>
          </cell>
          <cell r="EV108">
            <v>3000</v>
          </cell>
          <cell r="EW108">
            <v>3000</v>
          </cell>
          <cell r="EX108">
            <v>3000</v>
          </cell>
          <cell r="EY108">
            <v>3000</v>
          </cell>
          <cell r="EZ108">
            <v>3000</v>
          </cell>
          <cell r="FA108">
            <v>3000</v>
          </cell>
          <cell r="FB108">
            <v>3000</v>
          </cell>
          <cell r="FC108">
            <v>3000</v>
          </cell>
          <cell r="FD108">
            <v>3000</v>
          </cell>
          <cell r="FE108">
            <v>3000</v>
          </cell>
          <cell r="FF108">
            <v>3000</v>
          </cell>
          <cell r="FG108">
            <v>3000</v>
          </cell>
          <cell r="FH108">
            <v>3000</v>
          </cell>
          <cell r="FI108">
            <v>3000</v>
          </cell>
          <cell r="FJ108">
            <v>3000</v>
          </cell>
          <cell r="FK108">
            <v>3000</v>
          </cell>
          <cell r="FL108">
            <v>3000</v>
          </cell>
          <cell r="FM108">
            <v>3000</v>
          </cell>
          <cell r="FN108">
            <v>3000</v>
          </cell>
          <cell r="FO108">
            <v>3000</v>
          </cell>
          <cell r="FP108">
            <v>3000</v>
          </cell>
          <cell r="FQ108">
            <v>3000</v>
          </cell>
          <cell r="FR108">
            <v>3000</v>
          </cell>
          <cell r="FS108">
            <v>3000</v>
          </cell>
          <cell r="FT108">
            <v>3000</v>
          </cell>
          <cell r="FU108">
            <v>3000</v>
          </cell>
          <cell r="FV108">
            <v>3000</v>
          </cell>
          <cell r="FW108">
            <v>3000</v>
          </cell>
          <cell r="FX108">
            <v>3000</v>
          </cell>
          <cell r="FY108">
            <v>3000</v>
          </cell>
          <cell r="FZ108">
            <v>3000</v>
          </cell>
          <cell r="GA108">
            <v>3000</v>
          </cell>
          <cell r="GB108">
            <v>3000</v>
          </cell>
          <cell r="GC108">
            <v>3000</v>
          </cell>
          <cell r="GD108">
            <v>3000</v>
          </cell>
          <cell r="GE108">
            <v>3000</v>
          </cell>
          <cell r="GF108">
            <v>3000</v>
          </cell>
          <cell r="GG108">
            <v>3000</v>
          </cell>
          <cell r="GH108">
            <v>3000</v>
          </cell>
          <cell r="GI108">
            <v>3000</v>
          </cell>
          <cell r="GJ108">
            <v>3000</v>
          </cell>
          <cell r="GK108">
            <v>3000</v>
          </cell>
          <cell r="GL108">
            <v>3000</v>
          </cell>
          <cell r="GM108">
            <v>3000</v>
          </cell>
          <cell r="GN108">
            <v>3000</v>
          </cell>
          <cell r="GO108">
            <v>3000</v>
          </cell>
          <cell r="GP108">
            <v>3000</v>
          </cell>
          <cell r="GQ108">
            <v>3000</v>
          </cell>
          <cell r="GR108">
            <v>3000</v>
          </cell>
          <cell r="GS108">
            <v>3000</v>
          </cell>
          <cell r="GT108">
            <v>3000</v>
          </cell>
          <cell r="GU108">
            <v>3000</v>
          </cell>
          <cell r="GV108">
            <v>3000</v>
          </cell>
          <cell r="GW108">
            <v>3000</v>
          </cell>
          <cell r="GX108">
            <v>3000</v>
          </cell>
          <cell r="GY108">
            <v>3000</v>
          </cell>
          <cell r="GZ108">
            <v>3000</v>
          </cell>
          <cell r="HA108">
            <v>3000</v>
          </cell>
          <cell r="HB108">
            <v>3000</v>
          </cell>
          <cell r="HC108">
            <v>3000</v>
          </cell>
          <cell r="HD108">
            <v>3000</v>
          </cell>
          <cell r="HE108">
            <v>3000</v>
          </cell>
          <cell r="HF108">
            <v>3000</v>
          </cell>
        </row>
        <row r="122">
          <cell r="N122">
            <v>0</v>
          </cell>
          <cell r="O122">
            <v>210</v>
          </cell>
          <cell r="P122">
            <v>410</v>
          </cell>
          <cell r="Q122">
            <v>610</v>
          </cell>
          <cell r="R122">
            <v>810</v>
          </cell>
          <cell r="S122">
            <v>1010</v>
          </cell>
          <cell r="T122">
            <v>1210</v>
          </cell>
          <cell r="U122">
            <v>1410</v>
          </cell>
          <cell r="V122">
            <v>1610</v>
          </cell>
          <cell r="W122">
            <v>1810</v>
          </cell>
          <cell r="X122">
            <v>2010</v>
          </cell>
          <cell r="Y122">
            <v>2210</v>
          </cell>
          <cell r="Z122">
            <v>2410</v>
          </cell>
          <cell r="AA122">
            <v>2610</v>
          </cell>
          <cell r="AB122">
            <v>2810</v>
          </cell>
          <cell r="AC122">
            <v>3010</v>
          </cell>
          <cell r="AD122">
            <v>3210</v>
          </cell>
          <cell r="AE122">
            <v>3410</v>
          </cell>
          <cell r="AF122">
            <v>3610</v>
          </cell>
          <cell r="AG122">
            <v>3810</v>
          </cell>
          <cell r="AH122">
            <v>4010</v>
          </cell>
          <cell r="AI122">
            <v>4210</v>
          </cell>
          <cell r="AJ122">
            <v>4410</v>
          </cell>
          <cell r="AK122">
            <v>4610</v>
          </cell>
          <cell r="AL122">
            <v>4810</v>
          </cell>
          <cell r="AM122">
            <v>5010</v>
          </cell>
          <cell r="AN122">
            <v>5210</v>
          </cell>
          <cell r="AO122">
            <v>5410</v>
          </cell>
          <cell r="AP122">
            <v>5610</v>
          </cell>
          <cell r="AQ122">
            <v>5810</v>
          </cell>
          <cell r="AR122">
            <v>6010</v>
          </cell>
          <cell r="AS122">
            <v>6164</v>
          </cell>
          <cell r="AT122">
            <v>6164</v>
          </cell>
          <cell r="AU122">
            <v>6164</v>
          </cell>
          <cell r="AV122">
            <v>6164</v>
          </cell>
          <cell r="AW122">
            <v>6164</v>
          </cell>
          <cell r="AX122">
            <v>6164</v>
          </cell>
          <cell r="AY122">
            <v>6164</v>
          </cell>
          <cell r="AZ122">
            <v>6164</v>
          </cell>
          <cell r="BA122">
            <v>6164</v>
          </cell>
          <cell r="BB122">
            <v>6164</v>
          </cell>
          <cell r="BC122">
            <v>6081</v>
          </cell>
          <cell r="BD122">
            <v>5976</v>
          </cell>
          <cell r="BE122">
            <v>5870</v>
          </cell>
          <cell r="BF122">
            <v>5765</v>
          </cell>
          <cell r="BG122">
            <v>5660</v>
          </cell>
          <cell r="BH122">
            <v>5554</v>
          </cell>
          <cell r="BI122">
            <v>5449</v>
          </cell>
          <cell r="BJ122">
            <v>5344</v>
          </cell>
          <cell r="BK122">
            <v>5238</v>
          </cell>
          <cell r="BL122">
            <v>5133</v>
          </cell>
          <cell r="BM122">
            <v>5028</v>
          </cell>
          <cell r="BN122">
            <v>4923</v>
          </cell>
          <cell r="BO122">
            <v>4817</v>
          </cell>
          <cell r="BP122">
            <v>4712</v>
          </cell>
          <cell r="BQ122">
            <v>4607</v>
          </cell>
          <cell r="BR122">
            <v>4501</v>
          </cell>
          <cell r="BS122">
            <v>4396</v>
          </cell>
          <cell r="BT122">
            <v>4291</v>
          </cell>
          <cell r="BU122">
            <v>4185</v>
          </cell>
          <cell r="BV122">
            <v>4080</v>
          </cell>
          <cell r="BW122">
            <v>3975</v>
          </cell>
          <cell r="BX122">
            <v>3870</v>
          </cell>
          <cell r="BY122">
            <v>3764</v>
          </cell>
          <cell r="BZ122">
            <v>3659</v>
          </cell>
          <cell r="CA122">
            <v>3554</v>
          </cell>
          <cell r="CB122">
            <v>3448</v>
          </cell>
          <cell r="CC122">
            <v>3343</v>
          </cell>
          <cell r="CD122">
            <v>3238</v>
          </cell>
          <cell r="CE122">
            <v>3132</v>
          </cell>
          <cell r="CF122">
            <v>3027</v>
          </cell>
          <cell r="CG122">
            <v>2922</v>
          </cell>
          <cell r="CH122">
            <v>2817</v>
          </cell>
          <cell r="CI122">
            <v>2711</v>
          </cell>
          <cell r="CJ122">
            <v>2606</v>
          </cell>
          <cell r="CK122">
            <v>2501</v>
          </cell>
          <cell r="CL122">
            <v>2395</v>
          </cell>
          <cell r="CM122">
            <v>2290</v>
          </cell>
          <cell r="CN122">
            <v>2185</v>
          </cell>
          <cell r="CO122">
            <v>2079</v>
          </cell>
          <cell r="CP122">
            <v>1974</v>
          </cell>
          <cell r="CQ122">
            <v>1869</v>
          </cell>
          <cell r="CR122">
            <v>1764</v>
          </cell>
          <cell r="CS122">
            <v>1658</v>
          </cell>
          <cell r="CT122">
            <v>1553</v>
          </cell>
          <cell r="CU122">
            <v>1448</v>
          </cell>
          <cell r="CV122">
            <v>1342</v>
          </cell>
          <cell r="CW122">
            <v>1237</v>
          </cell>
          <cell r="CX122">
            <v>1132</v>
          </cell>
          <cell r="CY122">
            <v>1026</v>
          </cell>
          <cell r="CZ122">
            <v>921</v>
          </cell>
          <cell r="DA122">
            <v>816</v>
          </cell>
          <cell r="DB122">
            <v>711</v>
          </cell>
          <cell r="DC122">
            <v>605</v>
          </cell>
          <cell r="DD122">
            <v>500</v>
          </cell>
          <cell r="DE122">
            <v>395</v>
          </cell>
          <cell r="DF122">
            <v>289</v>
          </cell>
          <cell r="DG122">
            <v>184</v>
          </cell>
          <cell r="DH122">
            <v>79</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cell r="EG122">
            <v>0</v>
          </cell>
          <cell r="EH122">
            <v>0</v>
          </cell>
          <cell r="EI122">
            <v>0</v>
          </cell>
          <cell r="EJ122">
            <v>0</v>
          </cell>
          <cell r="EK122">
            <v>0</v>
          </cell>
          <cell r="EL122">
            <v>0</v>
          </cell>
          <cell r="EM122">
            <v>0</v>
          </cell>
          <cell r="EN122">
            <v>0</v>
          </cell>
          <cell r="EO122">
            <v>0</v>
          </cell>
          <cell r="EP122">
            <v>0</v>
          </cell>
          <cell r="EQ122">
            <v>0</v>
          </cell>
          <cell r="ER122">
            <v>0</v>
          </cell>
          <cell r="ES122">
            <v>0</v>
          </cell>
          <cell r="ET122">
            <v>0</v>
          </cell>
          <cell r="EU122">
            <v>0</v>
          </cell>
          <cell r="EV122">
            <v>0</v>
          </cell>
          <cell r="EW122">
            <v>0</v>
          </cell>
          <cell r="EX122">
            <v>0</v>
          </cell>
          <cell r="EY122">
            <v>0</v>
          </cell>
          <cell r="EZ122">
            <v>0</v>
          </cell>
          <cell r="FA122">
            <v>0</v>
          </cell>
          <cell r="FB122">
            <v>0</v>
          </cell>
          <cell r="FC122">
            <v>0</v>
          </cell>
          <cell r="FD122">
            <v>0</v>
          </cell>
          <cell r="FE122">
            <v>0</v>
          </cell>
          <cell r="FF122">
            <v>0</v>
          </cell>
          <cell r="FG122">
            <v>0</v>
          </cell>
          <cell r="FH122">
            <v>0</v>
          </cell>
          <cell r="FI122">
            <v>0</v>
          </cell>
          <cell r="FJ122">
            <v>0</v>
          </cell>
          <cell r="FK122">
            <v>0</v>
          </cell>
          <cell r="FL122">
            <v>0</v>
          </cell>
          <cell r="FM122">
            <v>0</v>
          </cell>
          <cell r="FN122">
            <v>0</v>
          </cell>
          <cell r="FO122">
            <v>0</v>
          </cell>
          <cell r="FP122">
            <v>0</v>
          </cell>
          <cell r="FQ122">
            <v>0</v>
          </cell>
          <cell r="FR122">
            <v>0</v>
          </cell>
          <cell r="FS122">
            <v>0</v>
          </cell>
          <cell r="FT122">
            <v>0</v>
          </cell>
          <cell r="FU122">
            <v>0</v>
          </cell>
          <cell r="FV122">
            <v>0</v>
          </cell>
          <cell r="FW122">
            <v>0</v>
          </cell>
          <cell r="FX122">
            <v>0</v>
          </cell>
          <cell r="FY122">
            <v>0</v>
          </cell>
          <cell r="FZ122">
            <v>0</v>
          </cell>
          <cell r="GA122">
            <v>0</v>
          </cell>
          <cell r="GB122">
            <v>0</v>
          </cell>
          <cell r="GC122">
            <v>0</v>
          </cell>
          <cell r="GD122">
            <v>0</v>
          </cell>
          <cell r="GE122">
            <v>0</v>
          </cell>
          <cell r="GF122">
            <v>0</v>
          </cell>
          <cell r="GG122">
            <v>0</v>
          </cell>
          <cell r="GH122">
            <v>0</v>
          </cell>
          <cell r="GI122">
            <v>0</v>
          </cell>
          <cell r="GJ122">
            <v>0</v>
          </cell>
          <cell r="GK122">
            <v>0</v>
          </cell>
          <cell r="GL122">
            <v>0</v>
          </cell>
          <cell r="GM122">
            <v>0</v>
          </cell>
          <cell r="GN122">
            <v>0</v>
          </cell>
          <cell r="GO122">
            <v>0</v>
          </cell>
          <cell r="GP122">
            <v>0</v>
          </cell>
          <cell r="GQ122">
            <v>0</v>
          </cell>
          <cell r="GR122">
            <v>0</v>
          </cell>
          <cell r="GS122">
            <v>0</v>
          </cell>
          <cell r="GT122">
            <v>0</v>
          </cell>
          <cell r="GU122">
            <v>0</v>
          </cell>
          <cell r="GV122">
            <v>0</v>
          </cell>
          <cell r="GW122">
            <v>0</v>
          </cell>
          <cell r="GX122">
            <v>0</v>
          </cell>
          <cell r="GY122">
            <v>0</v>
          </cell>
          <cell r="GZ122">
            <v>0</v>
          </cell>
          <cell r="HA122">
            <v>0</v>
          </cell>
          <cell r="HB122">
            <v>0</v>
          </cell>
          <cell r="HC122">
            <v>0</v>
          </cell>
          <cell r="HD122">
            <v>0</v>
          </cell>
          <cell r="HE122">
            <v>0</v>
          </cell>
          <cell r="HF122">
            <v>0</v>
          </cell>
        </row>
        <row r="140">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cell r="EC140">
            <v>0</v>
          </cell>
          <cell r="ED140">
            <v>0</v>
          </cell>
          <cell r="EE140">
            <v>0</v>
          </cell>
          <cell r="EF140">
            <v>0</v>
          </cell>
          <cell r="EG140">
            <v>0</v>
          </cell>
          <cell r="EH140">
            <v>0</v>
          </cell>
          <cell r="EI140">
            <v>0</v>
          </cell>
          <cell r="EJ140">
            <v>0</v>
          </cell>
          <cell r="EK140">
            <v>0</v>
          </cell>
          <cell r="EL140">
            <v>0</v>
          </cell>
          <cell r="EM140">
            <v>0</v>
          </cell>
          <cell r="EN140">
            <v>0</v>
          </cell>
          <cell r="EO140">
            <v>0</v>
          </cell>
          <cell r="EP140">
            <v>0</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0</v>
          </cell>
          <cell r="FE140">
            <v>0</v>
          </cell>
          <cell r="FF140">
            <v>0</v>
          </cell>
          <cell r="FG140">
            <v>0</v>
          </cell>
          <cell r="FH140">
            <v>0</v>
          </cell>
          <cell r="FI140">
            <v>0</v>
          </cell>
          <cell r="FJ140">
            <v>0</v>
          </cell>
          <cell r="FK140">
            <v>0</v>
          </cell>
          <cell r="FL140">
            <v>0</v>
          </cell>
          <cell r="FM140">
            <v>0</v>
          </cell>
          <cell r="FN140">
            <v>0</v>
          </cell>
          <cell r="FO140">
            <v>0</v>
          </cell>
          <cell r="FP140">
            <v>0</v>
          </cell>
          <cell r="FQ140">
            <v>0</v>
          </cell>
          <cell r="FR140">
            <v>0</v>
          </cell>
          <cell r="FS140">
            <v>0</v>
          </cell>
          <cell r="FT140">
            <v>0</v>
          </cell>
          <cell r="FU140">
            <v>0</v>
          </cell>
          <cell r="FV140">
            <v>0</v>
          </cell>
          <cell r="FW140">
            <v>0</v>
          </cell>
          <cell r="FX140">
            <v>0</v>
          </cell>
          <cell r="FY140">
            <v>0</v>
          </cell>
          <cell r="FZ140">
            <v>0</v>
          </cell>
          <cell r="GA140">
            <v>0</v>
          </cell>
          <cell r="GB140">
            <v>0</v>
          </cell>
          <cell r="GC140">
            <v>0</v>
          </cell>
          <cell r="GD140">
            <v>0</v>
          </cell>
          <cell r="GE140">
            <v>0</v>
          </cell>
          <cell r="GF140">
            <v>0</v>
          </cell>
          <cell r="GG140">
            <v>0</v>
          </cell>
          <cell r="GH140">
            <v>0</v>
          </cell>
          <cell r="GI140">
            <v>0</v>
          </cell>
          <cell r="GJ140">
            <v>0</v>
          </cell>
          <cell r="GK140">
            <v>0</v>
          </cell>
          <cell r="GL140">
            <v>0</v>
          </cell>
          <cell r="GM140">
            <v>0</v>
          </cell>
          <cell r="GN140">
            <v>0</v>
          </cell>
          <cell r="GO140">
            <v>0</v>
          </cell>
          <cell r="GP140">
            <v>0</v>
          </cell>
          <cell r="GQ140">
            <v>0</v>
          </cell>
          <cell r="GR140">
            <v>0</v>
          </cell>
          <cell r="GS140">
            <v>0</v>
          </cell>
          <cell r="GT140">
            <v>0</v>
          </cell>
          <cell r="GU140">
            <v>0</v>
          </cell>
          <cell r="GV140">
            <v>0</v>
          </cell>
          <cell r="GW140">
            <v>0</v>
          </cell>
          <cell r="GX140">
            <v>0</v>
          </cell>
          <cell r="GY140">
            <v>0</v>
          </cell>
          <cell r="GZ140">
            <v>0</v>
          </cell>
          <cell r="HA140">
            <v>0</v>
          </cell>
          <cell r="HB140">
            <v>0</v>
          </cell>
          <cell r="HC140">
            <v>0</v>
          </cell>
          <cell r="HD140">
            <v>0</v>
          </cell>
          <cell r="HE140">
            <v>0</v>
          </cell>
          <cell r="HF140">
            <v>0</v>
          </cell>
        </row>
        <row r="206">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7</v>
          </cell>
          <cell r="BC206">
            <v>14</v>
          </cell>
          <cell r="BD206">
            <v>26</v>
          </cell>
          <cell r="BE206">
            <v>36</v>
          </cell>
          <cell r="BF206">
            <v>46</v>
          </cell>
          <cell r="BG206">
            <v>59</v>
          </cell>
          <cell r="BH206">
            <v>72</v>
          </cell>
          <cell r="BI206">
            <v>86</v>
          </cell>
          <cell r="BJ206">
            <v>101</v>
          </cell>
          <cell r="BK206">
            <v>118</v>
          </cell>
          <cell r="BL206">
            <v>135</v>
          </cell>
          <cell r="BM206">
            <v>155</v>
          </cell>
          <cell r="BN206">
            <v>175</v>
          </cell>
          <cell r="BO206">
            <v>196</v>
          </cell>
          <cell r="BP206">
            <v>218</v>
          </cell>
          <cell r="BQ206">
            <v>240</v>
          </cell>
          <cell r="BR206">
            <v>265</v>
          </cell>
          <cell r="BS206">
            <v>289</v>
          </cell>
          <cell r="BT206">
            <v>315</v>
          </cell>
          <cell r="BU206">
            <v>341</v>
          </cell>
          <cell r="BV206">
            <v>367</v>
          </cell>
          <cell r="BW206">
            <v>393</v>
          </cell>
          <cell r="BX206">
            <v>419</v>
          </cell>
          <cell r="BY206">
            <v>445</v>
          </cell>
          <cell r="BZ206">
            <v>471</v>
          </cell>
          <cell r="CA206">
            <v>497</v>
          </cell>
          <cell r="CB206">
            <v>523</v>
          </cell>
          <cell r="CC206">
            <v>549</v>
          </cell>
          <cell r="CD206">
            <v>575</v>
          </cell>
          <cell r="CE206">
            <v>601</v>
          </cell>
          <cell r="CF206">
            <v>627</v>
          </cell>
          <cell r="CG206">
            <v>652</v>
          </cell>
          <cell r="CH206">
            <v>678</v>
          </cell>
          <cell r="CI206">
            <v>704</v>
          </cell>
          <cell r="CJ206">
            <v>730</v>
          </cell>
          <cell r="CK206">
            <v>756</v>
          </cell>
          <cell r="CL206">
            <v>782</v>
          </cell>
          <cell r="CM206">
            <v>808</v>
          </cell>
          <cell r="CN206">
            <v>833</v>
          </cell>
          <cell r="CO206">
            <v>859</v>
          </cell>
          <cell r="CP206">
            <v>885</v>
          </cell>
          <cell r="CQ206">
            <v>911</v>
          </cell>
          <cell r="CR206">
            <v>937</v>
          </cell>
          <cell r="CS206">
            <v>962</v>
          </cell>
          <cell r="CT206">
            <v>988</v>
          </cell>
          <cell r="CU206">
            <v>1014</v>
          </cell>
          <cell r="CV206">
            <v>1040</v>
          </cell>
          <cell r="CW206">
            <v>1065</v>
          </cell>
          <cell r="CX206">
            <v>1091</v>
          </cell>
          <cell r="CY206">
            <v>1117</v>
          </cell>
          <cell r="CZ206">
            <v>1143</v>
          </cell>
          <cell r="DA206">
            <v>1169</v>
          </cell>
          <cell r="DB206">
            <v>1195</v>
          </cell>
          <cell r="DC206">
            <v>1221</v>
          </cell>
          <cell r="DD206">
            <v>1246</v>
          </cell>
          <cell r="DE206">
            <v>1272</v>
          </cell>
          <cell r="DF206">
            <v>1298</v>
          </cell>
          <cell r="DG206">
            <v>1324</v>
          </cell>
          <cell r="DH206">
            <v>1350</v>
          </cell>
          <cell r="DI206">
            <v>1376</v>
          </cell>
          <cell r="DJ206">
            <v>1402</v>
          </cell>
          <cell r="DK206">
            <v>1442</v>
          </cell>
          <cell r="DL206">
            <v>1468</v>
          </cell>
          <cell r="DM206">
            <v>1494</v>
          </cell>
          <cell r="DN206">
            <v>1520</v>
          </cell>
          <cell r="DO206">
            <v>1547</v>
          </cell>
          <cell r="DP206">
            <v>1573</v>
          </cell>
          <cell r="DQ206">
            <v>1599</v>
          </cell>
          <cell r="DR206">
            <v>1625</v>
          </cell>
          <cell r="DS206">
            <v>1651</v>
          </cell>
          <cell r="DT206">
            <v>1677</v>
          </cell>
          <cell r="DU206">
            <v>1703</v>
          </cell>
          <cell r="DV206">
            <v>1729</v>
          </cell>
          <cell r="DW206">
            <v>1756</v>
          </cell>
          <cell r="DX206">
            <v>1782</v>
          </cell>
          <cell r="DY206">
            <v>1808</v>
          </cell>
          <cell r="DZ206">
            <v>1834</v>
          </cell>
          <cell r="EA206">
            <v>1860</v>
          </cell>
          <cell r="EB206">
            <v>1886</v>
          </cell>
          <cell r="EC206">
            <v>1912</v>
          </cell>
          <cell r="ED206">
            <v>1938</v>
          </cell>
          <cell r="EE206">
            <v>1964</v>
          </cell>
          <cell r="EF206">
            <v>1991</v>
          </cell>
          <cell r="EG206">
            <v>2017</v>
          </cell>
          <cell r="EH206">
            <v>2043</v>
          </cell>
          <cell r="EI206">
            <v>2069</v>
          </cell>
          <cell r="EJ206">
            <v>2095</v>
          </cell>
          <cell r="EK206">
            <v>2121</v>
          </cell>
          <cell r="EL206">
            <v>2147</v>
          </cell>
          <cell r="EM206">
            <v>2173</v>
          </cell>
          <cell r="EN206">
            <v>2200</v>
          </cell>
          <cell r="EO206">
            <v>2226</v>
          </cell>
          <cell r="EP206">
            <v>2252</v>
          </cell>
          <cell r="EQ206">
            <v>2278</v>
          </cell>
          <cell r="ER206">
            <v>2304</v>
          </cell>
          <cell r="ES206">
            <v>2330</v>
          </cell>
          <cell r="ET206">
            <v>2356</v>
          </cell>
          <cell r="EU206">
            <v>2382</v>
          </cell>
          <cell r="EV206">
            <v>2409</v>
          </cell>
          <cell r="EW206">
            <v>2435</v>
          </cell>
          <cell r="EX206">
            <v>2461</v>
          </cell>
          <cell r="EY206">
            <v>2487</v>
          </cell>
          <cell r="EZ206">
            <v>2513</v>
          </cell>
          <cell r="FA206">
            <v>2539</v>
          </cell>
          <cell r="FB206">
            <v>2565</v>
          </cell>
          <cell r="FC206">
            <v>2591</v>
          </cell>
          <cell r="FD206">
            <v>2617</v>
          </cell>
          <cell r="FE206">
            <v>2644</v>
          </cell>
          <cell r="FF206">
            <v>2670</v>
          </cell>
          <cell r="FG206">
            <v>2696</v>
          </cell>
          <cell r="FH206">
            <v>2722</v>
          </cell>
          <cell r="FI206">
            <v>2748</v>
          </cell>
          <cell r="FJ206">
            <v>2774</v>
          </cell>
          <cell r="FK206">
            <v>2800</v>
          </cell>
          <cell r="FL206">
            <v>2825</v>
          </cell>
          <cell r="FM206">
            <v>2851</v>
          </cell>
          <cell r="FN206">
            <v>2877</v>
          </cell>
          <cell r="FO206">
            <v>2903</v>
          </cell>
          <cell r="FP206">
            <v>2929</v>
          </cell>
          <cell r="FQ206">
            <v>2954</v>
          </cell>
          <cell r="FR206">
            <v>2980</v>
          </cell>
          <cell r="FS206">
            <v>3006</v>
          </cell>
          <cell r="FT206">
            <v>3032</v>
          </cell>
          <cell r="FU206">
            <v>3058</v>
          </cell>
          <cell r="FV206">
            <v>3083</v>
          </cell>
          <cell r="FW206">
            <v>3109</v>
          </cell>
          <cell r="FX206">
            <v>3135</v>
          </cell>
          <cell r="FY206">
            <v>3161</v>
          </cell>
          <cell r="FZ206">
            <v>3187</v>
          </cell>
          <cell r="GA206">
            <v>3212</v>
          </cell>
          <cell r="GB206">
            <v>3238</v>
          </cell>
          <cell r="GC206">
            <v>3264</v>
          </cell>
          <cell r="GD206">
            <v>3290</v>
          </cell>
          <cell r="GE206">
            <v>3316</v>
          </cell>
          <cell r="GF206">
            <v>3341</v>
          </cell>
          <cell r="GG206">
            <v>3367</v>
          </cell>
          <cell r="GH206">
            <v>3393</v>
          </cell>
          <cell r="GI206">
            <v>3419</v>
          </cell>
          <cell r="GJ206">
            <v>3445</v>
          </cell>
          <cell r="GK206">
            <v>3470</v>
          </cell>
          <cell r="GL206">
            <v>3496</v>
          </cell>
          <cell r="GM206">
            <v>3522</v>
          </cell>
          <cell r="GN206">
            <v>3548</v>
          </cell>
          <cell r="GO206">
            <v>3574</v>
          </cell>
          <cell r="GP206">
            <v>3599</v>
          </cell>
          <cell r="GQ206">
            <v>3625</v>
          </cell>
          <cell r="GR206">
            <v>3651</v>
          </cell>
          <cell r="GS206">
            <v>3677</v>
          </cell>
          <cell r="GT206">
            <v>3703</v>
          </cell>
          <cell r="GU206">
            <v>3728</v>
          </cell>
          <cell r="GV206">
            <v>3754</v>
          </cell>
          <cell r="GW206">
            <v>3780</v>
          </cell>
          <cell r="GX206">
            <v>3806</v>
          </cell>
          <cell r="GY206">
            <v>3832</v>
          </cell>
          <cell r="GZ206">
            <v>3857</v>
          </cell>
          <cell r="HA206">
            <v>3883</v>
          </cell>
          <cell r="HB206">
            <v>3909</v>
          </cell>
          <cell r="HC206">
            <v>3935</v>
          </cell>
          <cell r="HD206">
            <v>3961</v>
          </cell>
          <cell r="HE206">
            <v>3986</v>
          </cell>
          <cell r="HF206">
            <v>4012</v>
          </cell>
        </row>
        <row r="221">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cell r="FJ221">
            <v>0</v>
          </cell>
          <cell r="FK221">
            <v>0</v>
          </cell>
          <cell r="FL221">
            <v>0</v>
          </cell>
          <cell r="FM221">
            <v>0</v>
          </cell>
          <cell r="FN221">
            <v>0</v>
          </cell>
          <cell r="FO221">
            <v>0</v>
          </cell>
          <cell r="FP221">
            <v>0</v>
          </cell>
          <cell r="FQ221">
            <v>0</v>
          </cell>
          <cell r="FR221">
            <v>0</v>
          </cell>
          <cell r="FS221">
            <v>0</v>
          </cell>
          <cell r="FT221">
            <v>0</v>
          </cell>
          <cell r="FU221">
            <v>0</v>
          </cell>
          <cell r="FV221">
            <v>0</v>
          </cell>
          <cell r="FW221">
            <v>0</v>
          </cell>
          <cell r="FX221">
            <v>0</v>
          </cell>
          <cell r="FY221">
            <v>0</v>
          </cell>
          <cell r="FZ221">
            <v>0</v>
          </cell>
          <cell r="GA221">
            <v>0</v>
          </cell>
          <cell r="GB221">
            <v>0</v>
          </cell>
          <cell r="GC221">
            <v>0</v>
          </cell>
          <cell r="GD221">
            <v>0</v>
          </cell>
          <cell r="GE221">
            <v>0</v>
          </cell>
          <cell r="GF221">
            <v>0</v>
          </cell>
          <cell r="GG221">
            <v>0</v>
          </cell>
          <cell r="GH221">
            <v>0</v>
          </cell>
          <cell r="GI221">
            <v>0</v>
          </cell>
          <cell r="GJ221">
            <v>0</v>
          </cell>
          <cell r="GK221">
            <v>0</v>
          </cell>
          <cell r="GL221">
            <v>0</v>
          </cell>
          <cell r="GM221">
            <v>0</v>
          </cell>
          <cell r="GN221">
            <v>0</v>
          </cell>
          <cell r="GO221">
            <v>0</v>
          </cell>
          <cell r="GP221">
            <v>0</v>
          </cell>
          <cell r="GQ221">
            <v>0</v>
          </cell>
          <cell r="GR221">
            <v>0</v>
          </cell>
          <cell r="GS221">
            <v>0</v>
          </cell>
          <cell r="GT221">
            <v>0</v>
          </cell>
          <cell r="GU221">
            <v>0</v>
          </cell>
          <cell r="GV221">
            <v>0</v>
          </cell>
          <cell r="GW221">
            <v>0</v>
          </cell>
          <cell r="GX221">
            <v>0</v>
          </cell>
          <cell r="GY221">
            <v>0</v>
          </cell>
          <cell r="GZ221">
            <v>0</v>
          </cell>
          <cell r="HA221">
            <v>0</v>
          </cell>
          <cell r="HB221">
            <v>0</v>
          </cell>
          <cell r="HC221">
            <v>0</v>
          </cell>
          <cell r="HD221">
            <v>0</v>
          </cell>
          <cell r="HE221">
            <v>0</v>
          </cell>
          <cell r="HF221">
            <v>0</v>
          </cell>
        </row>
        <row r="267">
          <cell r="N267">
            <v>3504</v>
          </cell>
          <cell r="O267">
            <v>3504</v>
          </cell>
          <cell r="P267">
            <v>3504</v>
          </cell>
          <cell r="Q267">
            <v>3491</v>
          </cell>
          <cell r="R267">
            <v>3380</v>
          </cell>
          <cell r="S267">
            <v>3269</v>
          </cell>
          <cell r="T267">
            <v>3158</v>
          </cell>
          <cell r="U267">
            <v>3046</v>
          </cell>
          <cell r="V267">
            <v>2935</v>
          </cell>
          <cell r="W267">
            <v>2824</v>
          </cell>
          <cell r="X267">
            <v>2713</v>
          </cell>
          <cell r="Y267">
            <v>2602</v>
          </cell>
          <cell r="Z267">
            <v>2491</v>
          </cell>
          <cell r="AA267">
            <v>2380</v>
          </cell>
          <cell r="AB267">
            <v>2269</v>
          </cell>
          <cell r="AC267">
            <v>2158</v>
          </cell>
          <cell r="AD267">
            <v>2047</v>
          </cell>
          <cell r="AE267">
            <v>1936</v>
          </cell>
          <cell r="AF267">
            <v>1825</v>
          </cell>
          <cell r="AG267">
            <v>1714</v>
          </cell>
          <cell r="AH267">
            <v>1603</v>
          </cell>
          <cell r="AI267">
            <v>1492</v>
          </cell>
          <cell r="AJ267">
            <v>1381</v>
          </cell>
          <cell r="AK267">
            <v>1270</v>
          </cell>
          <cell r="AL267">
            <v>1159</v>
          </cell>
          <cell r="AM267">
            <v>1047</v>
          </cell>
          <cell r="AN267">
            <v>936</v>
          </cell>
          <cell r="AO267">
            <v>825</v>
          </cell>
          <cell r="AP267">
            <v>714</v>
          </cell>
          <cell r="AQ267">
            <v>603</v>
          </cell>
          <cell r="AR267">
            <v>492</v>
          </cell>
          <cell r="AS267">
            <v>381</v>
          </cell>
          <cell r="AT267">
            <v>270</v>
          </cell>
          <cell r="AU267">
            <v>159</v>
          </cell>
          <cell r="AV267">
            <v>48</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0</v>
          </cell>
          <cell r="FS267">
            <v>0</v>
          </cell>
          <cell r="FT267">
            <v>0</v>
          </cell>
          <cell r="FU267">
            <v>0</v>
          </cell>
          <cell r="FV267">
            <v>0</v>
          </cell>
          <cell r="FW267">
            <v>0</v>
          </cell>
          <cell r="FX267">
            <v>0</v>
          </cell>
          <cell r="FY267">
            <v>0</v>
          </cell>
          <cell r="FZ267">
            <v>0</v>
          </cell>
          <cell r="GA267">
            <v>0</v>
          </cell>
          <cell r="GB267">
            <v>0</v>
          </cell>
          <cell r="GC267">
            <v>0</v>
          </cell>
          <cell r="GD267">
            <v>0</v>
          </cell>
          <cell r="GE267">
            <v>0</v>
          </cell>
          <cell r="GF267">
            <v>0</v>
          </cell>
          <cell r="GG267">
            <v>0</v>
          </cell>
          <cell r="GH267">
            <v>0</v>
          </cell>
          <cell r="GI267">
            <v>0</v>
          </cell>
          <cell r="GJ267">
            <v>0</v>
          </cell>
          <cell r="GK267">
            <v>0</v>
          </cell>
          <cell r="GL267">
            <v>0</v>
          </cell>
          <cell r="GM267">
            <v>0</v>
          </cell>
          <cell r="GN267">
            <v>0</v>
          </cell>
          <cell r="GO267">
            <v>0</v>
          </cell>
          <cell r="GP267">
            <v>0</v>
          </cell>
          <cell r="GQ267">
            <v>0</v>
          </cell>
          <cell r="GR267">
            <v>0</v>
          </cell>
          <cell r="GS267">
            <v>0</v>
          </cell>
          <cell r="GT267">
            <v>0</v>
          </cell>
          <cell r="GU267">
            <v>0</v>
          </cell>
          <cell r="GV267">
            <v>0</v>
          </cell>
          <cell r="GW267">
            <v>0</v>
          </cell>
          <cell r="GX267">
            <v>0</v>
          </cell>
          <cell r="GY267">
            <v>0</v>
          </cell>
          <cell r="GZ267">
            <v>0</v>
          </cell>
          <cell r="HA267">
            <v>0</v>
          </cell>
          <cell r="HB267">
            <v>0</v>
          </cell>
          <cell r="HC267">
            <v>0</v>
          </cell>
          <cell r="HD267">
            <v>0</v>
          </cell>
          <cell r="HE267">
            <v>0</v>
          </cell>
          <cell r="HF267">
            <v>0</v>
          </cell>
        </row>
        <row r="280">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cell r="FD280">
            <v>0</v>
          </cell>
          <cell r="FE280">
            <v>0</v>
          </cell>
          <cell r="FF280">
            <v>0</v>
          </cell>
          <cell r="FG280">
            <v>0</v>
          </cell>
          <cell r="FH280">
            <v>0</v>
          </cell>
          <cell r="FI280">
            <v>0</v>
          </cell>
          <cell r="FJ280">
            <v>0</v>
          </cell>
          <cell r="FK280">
            <v>0</v>
          </cell>
          <cell r="FL280">
            <v>0</v>
          </cell>
          <cell r="FM280">
            <v>0</v>
          </cell>
          <cell r="FN280">
            <v>0</v>
          </cell>
          <cell r="FO280">
            <v>0</v>
          </cell>
          <cell r="FP280">
            <v>0</v>
          </cell>
          <cell r="FQ280">
            <v>0</v>
          </cell>
          <cell r="FR280">
            <v>0</v>
          </cell>
          <cell r="FS280">
            <v>0</v>
          </cell>
          <cell r="FT280">
            <v>0</v>
          </cell>
          <cell r="FU280">
            <v>0</v>
          </cell>
          <cell r="FV280">
            <v>0</v>
          </cell>
          <cell r="FW280">
            <v>0</v>
          </cell>
          <cell r="FX280">
            <v>0</v>
          </cell>
          <cell r="FY280">
            <v>0</v>
          </cell>
          <cell r="FZ280">
            <v>0</v>
          </cell>
          <cell r="GA280">
            <v>0</v>
          </cell>
          <cell r="GB280">
            <v>0</v>
          </cell>
          <cell r="GC280">
            <v>0</v>
          </cell>
          <cell r="GD280">
            <v>0</v>
          </cell>
          <cell r="GE280">
            <v>0</v>
          </cell>
          <cell r="GF280">
            <v>0</v>
          </cell>
          <cell r="GG280">
            <v>0</v>
          </cell>
          <cell r="GH280">
            <v>0</v>
          </cell>
          <cell r="GI280">
            <v>0</v>
          </cell>
          <cell r="GJ280">
            <v>0</v>
          </cell>
          <cell r="GK280">
            <v>0</v>
          </cell>
          <cell r="GL280">
            <v>0</v>
          </cell>
          <cell r="GM280">
            <v>0</v>
          </cell>
          <cell r="GN280">
            <v>0</v>
          </cell>
          <cell r="GO280">
            <v>0</v>
          </cell>
          <cell r="GP280">
            <v>0</v>
          </cell>
          <cell r="GQ280">
            <v>0</v>
          </cell>
          <cell r="GR280">
            <v>0</v>
          </cell>
          <cell r="GS280">
            <v>0</v>
          </cell>
          <cell r="GT280">
            <v>0</v>
          </cell>
          <cell r="GU280">
            <v>0</v>
          </cell>
          <cell r="GV280">
            <v>0</v>
          </cell>
          <cell r="GW280">
            <v>0</v>
          </cell>
          <cell r="GX280">
            <v>0</v>
          </cell>
          <cell r="GY280">
            <v>0</v>
          </cell>
          <cell r="GZ280">
            <v>0</v>
          </cell>
          <cell r="HA280">
            <v>0</v>
          </cell>
          <cell r="HB280">
            <v>0</v>
          </cell>
          <cell r="HC280">
            <v>0</v>
          </cell>
          <cell r="HD280">
            <v>0</v>
          </cell>
          <cell r="HE280">
            <v>0</v>
          </cell>
          <cell r="HF280">
            <v>0</v>
          </cell>
        </row>
        <row r="313">
          <cell r="N313">
            <v>7504</v>
          </cell>
          <cell r="O313">
            <v>7369</v>
          </cell>
          <cell r="P313">
            <v>7242</v>
          </cell>
          <cell r="Q313">
            <v>7127</v>
          </cell>
          <cell r="R313">
            <v>7040</v>
          </cell>
          <cell r="S313">
            <v>6953</v>
          </cell>
          <cell r="T313">
            <v>6866</v>
          </cell>
          <cell r="U313">
            <v>6780</v>
          </cell>
          <cell r="V313">
            <v>6693</v>
          </cell>
          <cell r="W313">
            <v>6607</v>
          </cell>
          <cell r="X313">
            <v>6520</v>
          </cell>
          <cell r="Y313">
            <v>6472</v>
          </cell>
          <cell r="Z313">
            <v>6385</v>
          </cell>
          <cell r="AA313">
            <v>6298</v>
          </cell>
          <cell r="AB313">
            <v>6212</v>
          </cell>
          <cell r="AC313">
            <v>6125</v>
          </cell>
          <cell r="AD313">
            <v>6054</v>
          </cell>
          <cell r="AE313">
            <v>5967</v>
          </cell>
          <cell r="AF313">
            <v>5904</v>
          </cell>
          <cell r="AG313">
            <v>5817</v>
          </cell>
          <cell r="AH313">
            <v>5754</v>
          </cell>
          <cell r="AI313">
            <v>5667</v>
          </cell>
          <cell r="AJ313">
            <v>5580</v>
          </cell>
          <cell r="AK313">
            <v>5494</v>
          </cell>
          <cell r="AL313">
            <v>5509</v>
          </cell>
          <cell r="AM313">
            <v>5423</v>
          </cell>
          <cell r="AN313">
            <v>5336</v>
          </cell>
          <cell r="AO313">
            <v>5249</v>
          </cell>
          <cell r="AP313">
            <v>5264</v>
          </cell>
          <cell r="AQ313">
            <v>5177</v>
          </cell>
          <cell r="AR313">
            <v>5255</v>
          </cell>
          <cell r="AS313">
            <v>5168</v>
          </cell>
          <cell r="AT313">
            <v>5238</v>
          </cell>
          <cell r="AU313">
            <v>5151</v>
          </cell>
          <cell r="AV313">
            <v>5065</v>
          </cell>
          <cell r="AW313">
            <v>4959</v>
          </cell>
          <cell r="AX313">
            <v>4996</v>
          </cell>
          <cell r="AY313">
            <v>4876</v>
          </cell>
          <cell r="AZ313">
            <v>4756</v>
          </cell>
          <cell r="BA313">
            <v>4636</v>
          </cell>
          <cell r="BB313">
            <v>4516</v>
          </cell>
          <cell r="BC313">
            <v>4396</v>
          </cell>
          <cell r="BD313">
            <v>4276</v>
          </cell>
          <cell r="BE313">
            <v>4156</v>
          </cell>
          <cell r="BF313">
            <v>4036</v>
          </cell>
          <cell r="BG313">
            <v>3916</v>
          </cell>
          <cell r="BH313">
            <v>3796</v>
          </cell>
          <cell r="BI313">
            <v>3676</v>
          </cell>
          <cell r="BJ313">
            <v>3556</v>
          </cell>
          <cell r="BK313">
            <v>3436</v>
          </cell>
          <cell r="BL313">
            <v>3316</v>
          </cell>
          <cell r="BM313">
            <v>3196</v>
          </cell>
          <cell r="BN313">
            <v>3076</v>
          </cell>
          <cell r="BO313">
            <v>2956</v>
          </cell>
          <cell r="BP313">
            <v>2836</v>
          </cell>
          <cell r="BQ313">
            <v>2716</v>
          </cell>
          <cell r="BR313">
            <v>2596</v>
          </cell>
          <cell r="BS313">
            <v>2476</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v>0</v>
          </cell>
          <cell r="FU313">
            <v>0</v>
          </cell>
          <cell r="FV313">
            <v>0</v>
          </cell>
          <cell r="FW313">
            <v>0</v>
          </cell>
          <cell r="FX313">
            <v>0</v>
          </cell>
          <cell r="FY313">
            <v>0</v>
          </cell>
          <cell r="FZ313">
            <v>0</v>
          </cell>
          <cell r="GA313">
            <v>0</v>
          </cell>
          <cell r="GB313">
            <v>0</v>
          </cell>
          <cell r="GC313">
            <v>0</v>
          </cell>
          <cell r="GD313">
            <v>0</v>
          </cell>
          <cell r="GE313">
            <v>0</v>
          </cell>
          <cell r="GF313">
            <v>0</v>
          </cell>
          <cell r="GG313">
            <v>0</v>
          </cell>
          <cell r="GH313">
            <v>0</v>
          </cell>
          <cell r="GI313">
            <v>0</v>
          </cell>
          <cell r="GJ313">
            <v>0</v>
          </cell>
          <cell r="GK313">
            <v>0</v>
          </cell>
          <cell r="GL313">
            <v>0</v>
          </cell>
          <cell r="GM313">
            <v>0</v>
          </cell>
          <cell r="GN313">
            <v>0</v>
          </cell>
          <cell r="GO313">
            <v>0</v>
          </cell>
          <cell r="GP313">
            <v>0</v>
          </cell>
          <cell r="GQ313">
            <v>0</v>
          </cell>
          <cell r="GR313">
            <v>0</v>
          </cell>
          <cell r="GS313">
            <v>0</v>
          </cell>
          <cell r="GT313">
            <v>0</v>
          </cell>
          <cell r="GU313">
            <v>0</v>
          </cell>
          <cell r="GV313">
            <v>0</v>
          </cell>
          <cell r="GW313">
            <v>0</v>
          </cell>
          <cell r="GX313">
            <v>0</v>
          </cell>
          <cell r="GY313">
            <v>0</v>
          </cell>
          <cell r="GZ313">
            <v>0</v>
          </cell>
          <cell r="HA313">
            <v>0</v>
          </cell>
          <cell r="HB313">
            <v>0</v>
          </cell>
          <cell r="HC313">
            <v>0</v>
          </cell>
          <cell r="HD313">
            <v>0</v>
          </cell>
          <cell r="HE313">
            <v>0</v>
          </cell>
          <cell r="HF313">
            <v>0</v>
          </cell>
        </row>
        <row r="335">
          <cell r="N335">
            <v>460</v>
          </cell>
          <cell r="O335">
            <v>460</v>
          </cell>
          <cell r="P335">
            <v>460</v>
          </cell>
          <cell r="Q335">
            <v>460</v>
          </cell>
          <cell r="R335">
            <v>460</v>
          </cell>
          <cell r="S335">
            <v>460</v>
          </cell>
          <cell r="T335">
            <v>460</v>
          </cell>
          <cell r="U335">
            <v>460</v>
          </cell>
          <cell r="V335">
            <v>460</v>
          </cell>
          <cell r="W335">
            <v>460</v>
          </cell>
          <cell r="X335">
            <v>460</v>
          </cell>
          <cell r="Y335">
            <v>460</v>
          </cell>
          <cell r="Z335">
            <v>460</v>
          </cell>
          <cell r="AA335">
            <v>460</v>
          </cell>
          <cell r="AB335">
            <v>460</v>
          </cell>
          <cell r="AC335">
            <v>460</v>
          </cell>
          <cell r="AD335">
            <v>460</v>
          </cell>
          <cell r="AE335">
            <v>460</v>
          </cell>
          <cell r="AF335">
            <v>460</v>
          </cell>
          <cell r="AG335">
            <v>460</v>
          </cell>
          <cell r="AH335">
            <v>460</v>
          </cell>
          <cell r="AI335">
            <v>460</v>
          </cell>
          <cell r="AJ335">
            <v>460</v>
          </cell>
          <cell r="AK335">
            <v>460</v>
          </cell>
          <cell r="AL335">
            <v>460</v>
          </cell>
          <cell r="AM335">
            <v>460</v>
          </cell>
          <cell r="AN335">
            <v>460</v>
          </cell>
          <cell r="AO335">
            <v>460</v>
          </cell>
          <cell r="AP335">
            <v>460</v>
          </cell>
          <cell r="AQ335">
            <v>460</v>
          </cell>
          <cell r="AR335">
            <v>460</v>
          </cell>
          <cell r="AS335">
            <v>460</v>
          </cell>
          <cell r="AT335">
            <v>460</v>
          </cell>
          <cell r="AU335">
            <v>460</v>
          </cell>
          <cell r="AV335">
            <v>460</v>
          </cell>
          <cell r="AW335">
            <v>460</v>
          </cell>
          <cell r="AX335">
            <v>460</v>
          </cell>
          <cell r="AY335">
            <v>460</v>
          </cell>
          <cell r="AZ335">
            <v>460</v>
          </cell>
          <cell r="BA335">
            <v>460</v>
          </cell>
          <cell r="BB335">
            <v>460</v>
          </cell>
          <cell r="BC335">
            <v>460</v>
          </cell>
          <cell r="BD335">
            <v>460</v>
          </cell>
          <cell r="BE335">
            <v>460</v>
          </cell>
          <cell r="BF335">
            <v>460</v>
          </cell>
          <cell r="BG335">
            <v>460</v>
          </cell>
          <cell r="BH335">
            <v>460</v>
          </cell>
          <cell r="BI335">
            <v>460</v>
          </cell>
          <cell r="BJ335">
            <v>460</v>
          </cell>
          <cell r="BK335">
            <v>460</v>
          </cell>
          <cell r="BL335">
            <v>460</v>
          </cell>
          <cell r="BM335">
            <v>460</v>
          </cell>
          <cell r="BN335">
            <v>460</v>
          </cell>
          <cell r="BO335">
            <v>460</v>
          </cell>
          <cell r="BP335">
            <v>460</v>
          </cell>
          <cell r="BQ335">
            <v>460</v>
          </cell>
          <cell r="BR335">
            <v>460</v>
          </cell>
          <cell r="BS335">
            <v>460</v>
          </cell>
          <cell r="BT335">
            <v>460</v>
          </cell>
          <cell r="BU335">
            <v>460</v>
          </cell>
          <cell r="BV335">
            <v>460</v>
          </cell>
          <cell r="BW335">
            <v>460</v>
          </cell>
          <cell r="BX335">
            <v>460</v>
          </cell>
          <cell r="BY335">
            <v>460</v>
          </cell>
          <cell r="BZ335">
            <v>460</v>
          </cell>
          <cell r="CA335">
            <v>460</v>
          </cell>
          <cell r="CB335">
            <v>460</v>
          </cell>
          <cell r="CC335">
            <v>460</v>
          </cell>
          <cell r="CD335">
            <v>460</v>
          </cell>
          <cell r="CE335">
            <v>460</v>
          </cell>
          <cell r="CF335">
            <v>460</v>
          </cell>
          <cell r="CG335">
            <v>460</v>
          </cell>
          <cell r="CH335">
            <v>460</v>
          </cell>
          <cell r="CI335">
            <v>460</v>
          </cell>
          <cell r="CJ335">
            <v>460</v>
          </cell>
          <cell r="CK335">
            <v>460</v>
          </cell>
          <cell r="CL335">
            <v>460</v>
          </cell>
          <cell r="CM335">
            <v>460</v>
          </cell>
          <cell r="CN335">
            <v>460</v>
          </cell>
          <cell r="CO335">
            <v>460</v>
          </cell>
          <cell r="CP335">
            <v>460</v>
          </cell>
          <cell r="CQ335">
            <v>460</v>
          </cell>
          <cell r="CR335">
            <v>460</v>
          </cell>
          <cell r="CS335">
            <v>460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FI335">
            <v>0</v>
          </cell>
          <cell r="FJ335">
            <v>0</v>
          </cell>
          <cell r="FK335">
            <v>0</v>
          </cell>
          <cell r="FL335">
            <v>0</v>
          </cell>
          <cell r="FM335">
            <v>0</v>
          </cell>
          <cell r="FN335">
            <v>0</v>
          </cell>
          <cell r="FO335">
            <v>0</v>
          </cell>
          <cell r="FP335">
            <v>0</v>
          </cell>
          <cell r="FQ335">
            <v>0</v>
          </cell>
          <cell r="FR335">
            <v>0</v>
          </cell>
          <cell r="FS335">
            <v>0</v>
          </cell>
          <cell r="FT335">
            <v>0</v>
          </cell>
          <cell r="FU335">
            <v>0</v>
          </cell>
          <cell r="FV335">
            <v>0</v>
          </cell>
          <cell r="FW335">
            <v>0</v>
          </cell>
          <cell r="FX335">
            <v>0</v>
          </cell>
          <cell r="FY335">
            <v>0</v>
          </cell>
          <cell r="FZ335">
            <v>0</v>
          </cell>
          <cell r="GA335">
            <v>0</v>
          </cell>
          <cell r="GB335">
            <v>0</v>
          </cell>
          <cell r="GC335">
            <v>0</v>
          </cell>
          <cell r="GD335">
            <v>0</v>
          </cell>
          <cell r="GE335">
            <v>0</v>
          </cell>
          <cell r="GF335">
            <v>0</v>
          </cell>
          <cell r="GG335">
            <v>0</v>
          </cell>
          <cell r="GH335">
            <v>0</v>
          </cell>
          <cell r="GI335">
            <v>0</v>
          </cell>
          <cell r="GJ335">
            <v>0</v>
          </cell>
          <cell r="GK335">
            <v>0</v>
          </cell>
          <cell r="GL335">
            <v>0</v>
          </cell>
          <cell r="GM335">
            <v>0</v>
          </cell>
          <cell r="GN335">
            <v>0</v>
          </cell>
          <cell r="GO335">
            <v>0</v>
          </cell>
          <cell r="GP335">
            <v>0</v>
          </cell>
          <cell r="GQ335">
            <v>0</v>
          </cell>
          <cell r="GR335">
            <v>0</v>
          </cell>
          <cell r="GS335">
            <v>0</v>
          </cell>
          <cell r="GT335">
            <v>0</v>
          </cell>
          <cell r="GU335">
            <v>0</v>
          </cell>
          <cell r="GV335">
            <v>0</v>
          </cell>
          <cell r="GW335">
            <v>0</v>
          </cell>
          <cell r="GX335">
            <v>0</v>
          </cell>
          <cell r="GY335">
            <v>0</v>
          </cell>
          <cell r="GZ335">
            <v>0</v>
          </cell>
          <cell r="HA335">
            <v>0</v>
          </cell>
          <cell r="HB335">
            <v>0</v>
          </cell>
          <cell r="HC335">
            <v>0</v>
          </cell>
          <cell r="HD335">
            <v>0</v>
          </cell>
          <cell r="HE335">
            <v>0</v>
          </cell>
          <cell r="HF335">
            <v>0</v>
          </cell>
        </row>
        <row r="346">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cell r="EG346">
            <v>0</v>
          </cell>
          <cell r="EH346">
            <v>0</v>
          </cell>
          <cell r="EI346">
            <v>0</v>
          </cell>
          <cell r="EJ346">
            <v>0</v>
          </cell>
          <cell r="EK346">
            <v>0</v>
          </cell>
          <cell r="EL346">
            <v>0</v>
          </cell>
          <cell r="EM346">
            <v>0</v>
          </cell>
          <cell r="EN346">
            <v>0</v>
          </cell>
          <cell r="EO346">
            <v>0</v>
          </cell>
          <cell r="EP346">
            <v>0</v>
          </cell>
          <cell r="EQ346">
            <v>0</v>
          </cell>
          <cell r="ER346">
            <v>0</v>
          </cell>
          <cell r="ES346">
            <v>0</v>
          </cell>
          <cell r="ET346">
            <v>0</v>
          </cell>
          <cell r="EU346">
            <v>0</v>
          </cell>
          <cell r="EV346">
            <v>0</v>
          </cell>
          <cell r="EW346">
            <v>0</v>
          </cell>
          <cell r="EX346">
            <v>0</v>
          </cell>
          <cell r="EY346">
            <v>0</v>
          </cell>
          <cell r="EZ346">
            <v>0</v>
          </cell>
          <cell r="FA346">
            <v>0</v>
          </cell>
          <cell r="FB346">
            <v>0</v>
          </cell>
          <cell r="FC346">
            <v>0</v>
          </cell>
          <cell r="FD346">
            <v>0</v>
          </cell>
          <cell r="FE346">
            <v>0</v>
          </cell>
          <cell r="FF346">
            <v>0</v>
          </cell>
          <cell r="FG346">
            <v>0</v>
          </cell>
          <cell r="FH346">
            <v>0</v>
          </cell>
          <cell r="FI346">
            <v>0</v>
          </cell>
          <cell r="FJ346">
            <v>0</v>
          </cell>
          <cell r="FK346">
            <v>0</v>
          </cell>
          <cell r="FL346">
            <v>0</v>
          </cell>
          <cell r="FM346">
            <v>0</v>
          </cell>
          <cell r="FN346">
            <v>0</v>
          </cell>
          <cell r="FO346">
            <v>0</v>
          </cell>
          <cell r="FP346">
            <v>0</v>
          </cell>
          <cell r="FQ346">
            <v>0</v>
          </cell>
          <cell r="FR346">
            <v>0</v>
          </cell>
          <cell r="FS346">
            <v>0</v>
          </cell>
          <cell r="FT346">
            <v>0</v>
          </cell>
          <cell r="FU346">
            <v>0</v>
          </cell>
          <cell r="FV346">
            <v>0</v>
          </cell>
          <cell r="FW346">
            <v>0</v>
          </cell>
          <cell r="FX346">
            <v>0</v>
          </cell>
          <cell r="FY346">
            <v>0</v>
          </cell>
          <cell r="FZ346">
            <v>0</v>
          </cell>
          <cell r="GA346">
            <v>0</v>
          </cell>
          <cell r="GB346">
            <v>0</v>
          </cell>
          <cell r="GC346">
            <v>0</v>
          </cell>
          <cell r="GD346">
            <v>0</v>
          </cell>
          <cell r="GE346">
            <v>0</v>
          </cell>
          <cell r="GF346">
            <v>0</v>
          </cell>
          <cell r="GG346">
            <v>0</v>
          </cell>
          <cell r="GH346">
            <v>0</v>
          </cell>
          <cell r="GI346">
            <v>0</v>
          </cell>
          <cell r="GJ346">
            <v>0</v>
          </cell>
          <cell r="GK346">
            <v>0</v>
          </cell>
          <cell r="GL346">
            <v>0</v>
          </cell>
          <cell r="GM346">
            <v>0</v>
          </cell>
          <cell r="GN346">
            <v>0</v>
          </cell>
          <cell r="GO346">
            <v>0</v>
          </cell>
          <cell r="GP346">
            <v>0</v>
          </cell>
          <cell r="GQ346">
            <v>0</v>
          </cell>
          <cell r="GR346">
            <v>0</v>
          </cell>
          <cell r="GS346">
            <v>0</v>
          </cell>
          <cell r="GT346">
            <v>0</v>
          </cell>
          <cell r="GU346">
            <v>0</v>
          </cell>
          <cell r="GV346">
            <v>0</v>
          </cell>
          <cell r="GW346">
            <v>0</v>
          </cell>
          <cell r="GX346">
            <v>0</v>
          </cell>
          <cell r="GY346">
            <v>0</v>
          </cell>
          <cell r="GZ346">
            <v>0</v>
          </cell>
          <cell r="HA346">
            <v>0</v>
          </cell>
          <cell r="HB346">
            <v>0</v>
          </cell>
          <cell r="HC346">
            <v>0</v>
          </cell>
          <cell r="HD346">
            <v>0</v>
          </cell>
          <cell r="HE346">
            <v>0</v>
          </cell>
          <cell r="HF346">
            <v>0</v>
          </cell>
        </row>
        <row r="375">
          <cell r="N375">
            <v>17884</v>
          </cell>
          <cell r="O375">
            <v>17884</v>
          </cell>
          <cell r="P375">
            <v>17884</v>
          </cell>
          <cell r="Q375">
            <v>17884</v>
          </cell>
          <cell r="R375">
            <v>17884</v>
          </cell>
          <cell r="S375">
            <v>17884</v>
          </cell>
          <cell r="T375">
            <v>17884</v>
          </cell>
          <cell r="U375">
            <v>17884</v>
          </cell>
          <cell r="V375">
            <v>17884</v>
          </cell>
          <cell r="W375">
            <v>17884</v>
          </cell>
          <cell r="X375">
            <v>17884</v>
          </cell>
          <cell r="Y375">
            <v>17884</v>
          </cell>
          <cell r="Z375">
            <v>17884</v>
          </cell>
          <cell r="AA375">
            <v>17884</v>
          </cell>
          <cell r="AB375">
            <v>17884</v>
          </cell>
          <cell r="AC375">
            <v>17884</v>
          </cell>
          <cell r="AD375">
            <v>17884</v>
          </cell>
          <cell r="AE375">
            <v>17884</v>
          </cell>
          <cell r="AF375">
            <v>17884</v>
          </cell>
          <cell r="AG375">
            <v>17884</v>
          </cell>
          <cell r="AH375">
            <v>17884</v>
          </cell>
          <cell r="AI375">
            <v>17884</v>
          </cell>
          <cell r="AJ375">
            <v>17884</v>
          </cell>
          <cell r="AK375">
            <v>17884</v>
          </cell>
          <cell r="AL375">
            <v>17884</v>
          </cell>
          <cell r="AM375">
            <v>17884</v>
          </cell>
          <cell r="AN375">
            <v>17884</v>
          </cell>
          <cell r="AO375">
            <v>17884</v>
          </cell>
          <cell r="AP375">
            <v>17884</v>
          </cell>
          <cell r="AQ375">
            <v>17884</v>
          </cell>
          <cell r="AR375">
            <v>17884</v>
          </cell>
          <cell r="AS375">
            <v>17884</v>
          </cell>
          <cell r="AT375">
            <v>17884</v>
          </cell>
          <cell r="AU375">
            <v>17884</v>
          </cell>
          <cell r="AV375">
            <v>17884</v>
          </cell>
          <cell r="AW375">
            <v>17884</v>
          </cell>
          <cell r="AX375">
            <v>17884</v>
          </cell>
          <cell r="AY375">
            <v>17884</v>
          </cell>
          <cell r="AZ375">
            <v>17884</v>
          </cell>
          <cell r="BA375">
            <v>17884</v>
          </cell>
          <cell r="BB375">
            <v>17884</v>
          </cell>
          <cell r="BC375">
            <v>17884</v>
          </cell>
          <cell r="BD375">
            <v>17884</v>
          </cell>
          <cell r="BE375">
            <v>17884</v>
          </cell>
          <cell r="BF375">
            <v>17884</v>
          </cell>
          <cell r="BG375">
            <v>17884</v>
          </cell>
          <cell r="BH375">
            <v>17884</v>
          </cell>
          <cell r="BI375">
            <v>17884</v>
          </cell>
          <cell r="BJ375">
            <v>17884</v>
          </cell>
          <cell r="BK375">
            <v>17884</v>
          </cell>
          <cell r="BL375">
            <v>17884</v>
          </cell>
          <cell r="BM375">
            <v>17884</v>
          </cell>
          <cell r="BN375">
            <v>17884</v>
          </cell>
          <cell r="BO375">
            <v>17884</v>
          </cell>
          <cell r="BP375">
            <v>17884</v>
          </cell>
          <cell r="BQ375">
            <v>17884</v>
          </cell>
          <cell r="BR375">
            <v>17884</v>
          </cell>
          <cell r="BS375">
            <v>17884</v>
          </cell>
          <cell r="BT375">
            <v>17884</v>
          </cell>
          <cell r="BU375">
            <v>17884</v>
          </cell>
          <cell r="BV375">
            <v>17884</v>
          </cell>
          <cell r="BW375">
            <v>17884</v>
          </cell>
          <cell r="BX375">
            <v>17884</v>
          </cell>
          <cell r="BY375">
            <v>17884</v>
          </cell>
          <cell r="BZ375">
            <v>10390</v>
          </cell>
          <cell r="CA375">
            <v>10390</v>
          </cell>
          <cell r="CB375">
            <v>10390</v>
          </cell>
          <cell r="CC375">
            <v>10390</v>
          </cell>
          <cell r="CD375">
            <v>10390</v>
          </cell>
          <cell r="CE375">
            <v>10390</v>
          </cell>
          <cell r="CF375">
            <v>10390</v>
          </cell>
          <cell r="CG375">
            <v>10390</v>
          </cell>
          <cell r="CH375">
            <v>0</v>
          </cell>
          <cell r="CI375">
            <v>0</v>
          </cell>
          <cell r="CJ375">
            <v>0</v>
          </cell>
          <cell r="CK375">
            <v>0</v>
          </cell>
          <cell r="CL375">
            <v>0</v>
          </cell>
          <cell r="CM375">
            <v>0</v>
          </cell>
          <cell r="CN375">
            <v>0</v>
          </cell>
          <cell r="CO375">
            <v>0</v>
          </cell>
          <cell r="CP375">
            <v>0</v>
          </cell>
          <cell r="CQ375">
            <v>0</v>
          </cell>
          <cell r="CR375">
            <v>0</v>
          </cell>
          <cell r="CS375">
            <v>0</v>
          </cell>
          <cell r="CT375">
            <v>0</v>
          </cell>
          <cell r="CU375">
            <v>0</v>
          </cell>
          <cell r="CV375">
            <v>0</v>
          </cell>
          <cell r="CW375">
            <v>0</v>
          </cell>
          <cell r="CX375">
            <v>0</v>
          </cell>
          <cell r="CY375">
            <v>0</v>
          </cell>
          <cell r="CZ375">
            <v>0</v>
          </cell>
          <cell r="DA375">
            <v>0</v>
          </cell>
          <cell r="DB375">
            <v>0</v>
          </cell>
          <cell r="DC375">
            <v>0</v>
          </cell>
          <cell r="DD375">
            <v>0</v>
          </cell>
          <cell r="DE375">
            <v>0</v>
          </cell>
          <cell r="DF375">
            <v>0</v>
          </cell>
          <cell r="DG375">
            <v>0</v>
          </cell>
          <cell r="DH375">
            <v>0</v>
          </cell>
          <cell r="DI375">
            <v>0</v>
          </cell>
          <cell r="DJ375">
            <v>0</v>
          </cell>
          <cell r="DK375">
            <v>0</v>
          </cell>
          <cell r="DL375">
            <v>0</v>
          </cell>
          <cell r="DM375">
            <v>0</v>
          </cell>
          <cell r="DN375">
            <v>0</v>
          </cell>
          <cell r="DO375">
            <v>0</v>
          </cell>
          <cell r="DP375">
            <v>0</v>
          </cell>
          <cell r="DQ375">
            <v>0</v>
          </cell>
          <cell r="DR375">
            <v>0</v>
          </cell>
          <cell r="DS375">
            <v>0</v>
          </cell>
          <cell r="DT375">
            <v>0</v>
          </cell>
          <cell r="DU375">
            <v>0</v>
          </cell>
          <cell r="DV375">
            <v>0</v>
          </cell>
          <cell r="DW375">
            <v>0</v>
          </cell>
          <cell r="DX375">
            <v>0</v>
          </cell>
          <cell r="DY375">
            <v>0</v>
          </cell>
          <cell r="DZ375">
            <v>0</v>
          </cell>
          <cell r="EA375">
            <v>0</v>
          </cell>
          <cell r="EB375">
            <v>0</v>
          </cell>
          <cell r="EC375">
            <v>0</v>
          </cell>
          <cell r="ED375">
            <v>0</v>
          </cell>
          <cell r="EE375">
            <v>0</v>
          </cell>
          <cell r="EF375">
            <v>0</v>
          </cell>
          <cell r="EG375">
            <v>0</v>
          </cell>
          <cell r="EH375">
            <v>0</v>
          </cell>
          <cell r="EI375">
            <v>0</v>
          </cell>
          <cell r="EJ375">
            <v>0</v>
          </cell>
          <cell r="EK375">
            <v>0</v>
          </cell>
          <cell r="EL375">
            <v>0</v>
          </cell>
          <cell r="EM375">
            <v>0</v>
          </cell>
          <cell r="EN375">
            <v>0</v>
          </cell>
          <cell r="EO375">
            <v>0</v>
          </cell>
          <cell r="EP375">
            <v>0</v>
          </cell>
          <cell r="EQ375">
            <v>0</v>
          </cell>
          <cell r="ER375">
            <v>0</v>
          </cell>
          <cell r="ES375">
            <v>0</v>
          </cell>
          <cell r="ET375">
            <v>0</v>
          </cell>
          <cell r="EU375">
            <v>0</v>
          </cell>
          <cell r="EV375">
            <v>0</v>
          </cell>
          <cell r="EW375">
            <v>0</v>
          </cell>
          <cell r="EX375">
            <v>0</v>
          </cell>
          <cell r="EY375">
            <v>0</v>
          </cell>
          <cell r="EZ375">
            <v>0</v>
          </cell>
          <cell r="FA375">
            <v>0</v>
          </cell>
          <cell r="FB375">
            <v>0</v>
          </cell>
          <cell r="FC375">
            <v>0</v>
          </cell>
          <cell r="FD375">
            <v>0</v>
          </cell>
          <cell r="FE375">
            <v>0</v>
          </cell>
          <cell r="FF375">
            <v>0</v>
          </cell>
          <cell r="FG375">
            <v>0</v>
          </cell>
          <cell r="FH375">
            <v>0</v>
          </cell>
          <cell r="FI375">
            <v>0</v>
          </cell>
          <cell r="FJ375">
            <v>0</v>
          </cell>
          <cell r="FK375">
            <v>0</v>
          </cell>
          <cell r="FL375">
            <v>0</v>
          </cell>
          <cell r="FM375">
            <v>0</v>
          </cell>
          <cell r="FN375">
            <v>0</v>
          </cell>
          <cell r="FO375">
            <v>0</v>
          </cell>
          <cell r="FP375">
            <v>0</v>
          </cell>
          <cell r="FQ375">
            <v>0</v>
          </cell>
          <cell r="FR375">
            <v>0</v>
          </cell>
          <cell r="FS375">
            <v>0</v>
          </cell>
          <cell r="FT375">
            <v>0</v>
          </cell>
          <cell r="FU375">
            <v>0</v>
          </cell>
          <cell r="FV375">
            <v>0</v>
          </cell>
          <cell r="FW375">
            <v>0</v>
          </cell>
          <cell r="FX375">
            <v>0</v>
          </cell>
          <cell r="FY375">
            <v>0</v>
          </cell>
          <cell r="FZ375">
            <v>0</v>
          </cell>
          <cell r="GA375">
            <v>0</v>
          </cell>
          <cell r="GB375">
            <v>0</v>
          </cell>
          <cell r="GC375">
            <v>0</v>
          </cell>
          <cell r="GD375">
            <v>0</v>
          </cell>
          <cell r="GE375">
            <v>0</v>
          </cell>
          <cell r="GF375">
            <v>0</v>
          </cell>
          <cell r="GG375">
            <v>0</v>
          </cell>
          <cell r="GH375">
            <v>0</v>
          </cell>
          <cell r="GI375">
            <v>0</v>
          </cell>
          <cell r="GJ375">
            <v>0</v>
          </cell>
          <cell r="GK375">
            <v>0</v>
          </cell>
          <cell r="GL375">
            <v>0</v>
          </cell>
          <cell r="GM375">
            <v>0</v>
          </cell>
          <cell r="GN375">
            <v>0</v>
          </cell>
          <cell r="GO375">
            <v>0</v>
          </cell>
          <cell r="GP375">
            <v>0</v>
          </cell>
          <cell r="GQ375">
            <v>0</v>
          </cell>
          <cell r="GR375">
            <v>0</v>
          </cell>
          <cell r="GS375">
            <v>0</v>
          </cell>
          <cell r="GT375">
            <v>0</v>
          </cell>
          <cell r="GU375">
            <v>0</v>
          </cell>
          <cell r="GV375">
            <v>0</v>
          </cell>
          <cell r="GW375">
            <v>0</v>
          </cell>
          <cell r="GX375">
            <v>0</v>
          </cell>
          <cell r="GY375">
            <v>0</v>
          </cell>
          <cell r="GZ375">
            <v>0</v>
          </cell>
          <cell r="HA375">
            <v>0</v>
          </cell>
          <cell r="HB375">
            <v>0</v>
          </cell>
          <cell r="HC375">
            <v>0</v>
          </cell>
          <cell r="HD375">
            <v>0</v>
          </cell>
          <cell r="HE375">
            <v>0</v>
          </cell>
          <cell r="HF375">
            <v>0</v>
          </cell>
        </row>
        <row r="384">
          <cell r="D384" t="str">
            <v>Group 1</v>
          </cell>
          <cell r="G384">
            <v>-1</v>
          </cell>
        </row>
        <row r="385">
          <cell r="C385" t="str">
            <v>Group 1</v>
          </cell>
          <cell r="D385" t="str">
            <v>Group 2</v>
          </cell>
          <cell r="E385">
            <v>1.5</v>
          </cell>
          <cell r="F385">
            <v>1.55</v>
          </cell>
          <cell r="G385">
            <v>35696.5</v>
          </cell>
        </row>
        <row r="386">
          <cell r="C386" t="str">
            <v>Group 2</v>
          </cell>
          <cell r="D386" t="str">
            <v>Group 3</v>
          </cell>
          <cell r="E386">
            <v>1.85</v>
          </cell>
          <cell r="F386">
            <v>1.9000000000000001</v>
          </cell>
          <cell r="G386">
            <v>43757</v>
          </cell>
        </row>
        <row r="387">
          <cell r="C387" t="str">
            <v>Group 3</v>
          </cell>
          <cell r="D387" t="str">
            <v>ineligible</v>
          </cell>
          <cell r="E387">
            <v>2.25</v>
          </cell>
          <cell r="F387">
            <v>2.2999999999999998</v>
          </cell>
          <cell r="G387">
            <v>52968.999999999993</v>
          </cell>
        </row>
        <row r="388">
          <cell r="C388" t="str">
            <v>Group 4</v>
          </cell>
          <cell r="D388" t="str">
            <v>ineligible</v>
          </cell>
          <cell r="E388" t="e">
            <v>#N/A</v>
          </cell>
          <cell r="F388" t="e">
            <v>#N/A</v>
          </cell>
          <cell r="G388" t="e">
            <v>#N/A</v>
          </cell>
        </row>
        <row r="389">
          <cell r="C389" t="str">
            <v>Group 5</v>
          </cell>
          <cell r="D389" t="str">
            <v>ineligible</v>
          </cell>
          <cell r="E389" t="e">
            <v>#N/A</v>
          </cell>
          <cell r="F389" t="e">
            <v>#N/A</v>
          </cell>
          <cell r="G389" t="e">
            <v>#N/A</v>
          </cell>
        </row>
        <row r="390">
          <cell r="C390" t="str">
            <v>Group 6</v>
          </cell>
          <cell r="D390" t="str">
            <v>ineligible</v>
          </cell>
          <cell r="E390" t="e">
            <v>#N/A</v>
          </cell>
          <cell r="F390" t="e">
            <v>#N/A</v>
          </cell>
          <cell r="G390" t="e">
            <v>#N/A</v>
          </cell>
        </row>
        <row r="391">
          <cell r="E391" t="e">
            <v>#N/A</v>
          </cell>
          <cell r="F391" t="e">
            <v>#N/A</v>
          </cell>
          <cell r="G391" t="e">
            <v>#N/A</v>
          </cell>
        </row>
        <row r="419">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9814</v>
          </cell>
          <cell r="CI419">
            <v>9814</v>
          </cell>
          <cell r="CJ419">
            <v>9814</v>
          </cell>
          <cell r="CK419">
            <v>9814</v>
          </cell>
          <cell r="CL419">
            <v>9814</v>
          </cell>
          <cell r="CM419">
            <v>9814</v>
          </cell>
          <cell r="CN419">
            <v>9814</v>
          </cell>
          <cell r="CO419">
            <v>9814</v>
          </cell>
          <cell r="CP419">
            <v>9814</v>
          </cell>
          <cell r="CQ419">
            <v>9814</v>
          </cell>
          <cell r="CR419">
            <v>9814</v>
          </cell>
          <cell r="CS419">
            <v>9814</v>
          </cell>
          <cell r="CT419">
            <v>9814</v>
          </cell>
          <cell r="CU419">
            <v>9814</v>
          </cell>
          <cell r="CV419">
            <v>9814</v>
          </cell>
          <cell r="CW419">
            <v>9814</v>
          </cell>
          <cell r="CX419">
            <v>8986</v>
          </cell>
          <cell r="CY419">
            <v>8986</v>
          </cell>
          <cell r="CZ419">
            <v>8986</v>
          </cell>
          <cell r="DA419">
            <v>8986</v>
          </cell>
          <cell r="DB419">
            <v>8986</v>
          </cell>
          <cell r="DC419">
            <v>8986</v>
          </cell>
          <cell r="DD419">
            <v>8986</v>
          </cell>
          <cell r="DE419">
            <v>8986</v>
          </cell>
          <cell r="DF419">
            <v>8986</v>
          </cell>
          <cell r="DG419">
            <v>8986</v>
          </cell>
          <cell r="DH419">
            <v>8986</v>
          </cell>
          <cell r="DI419">
            <v>8986</v>
          </cell>
          <cell r="DJ419">
            <v>8986</v>
          </cell>
          <cell r="DK419">
            <v>8986</v>
          </cell>
          <cell r="DL419">
            <v>8986</v>
          </cell>
          <cell r="DM419">
            <v>8986</v>
          </cell>
          <cell r="DN419">
            <v>8986</v>
          </cell>
          <cell r="DO419">
            <v>8986</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cell r="EI419">
            <v>0</v>
          </cell>
          <cell r="EJ419">
            <v>0</v>
          </cell>
          <cell r="EK419">
            <v>0</v>
          </cell>
          <cell r="EL419">
            <v>0</v>
          </cell>
          <cell r="EM419">
            <v>0</v>
          </cell>
          <cell r="EN419">
            <v>0</v>
          </cell>
          <cell r="EO419">
            <v>0</v>
          </cell>
          <cell r="EP419">
            <v>0</v>
          </cell>
          <cell r="EQ419">
            <v>0</v>
          </cell>
          <cell r="ER419">
            <v>0</v>
          </cell>
          <cell r="ES419">
            <v>0</v>
          </cell>
          <cell r="ET419">
            <v>0</v>
          </cell>
          <cell r="EU419">
            <v>0</v>
          </cell>
          <cell r="EV419">
            <v>0</v>
          </cell>
          <cell r="EW419">
            <v>0</v>
          </cell>
          <cell r="EX419">
            <v>0</v>
          </cell>
          <cell r="EY419">
            <v>0</v>
          </cell>
          <cell r="EZ419">
            <v>0</v>
          </cell>
          <cell r="FA419">
            <v>0</v>
          </cell>
          <cell r="FB419">
            <v>0</v>
          </cell>
          <cell r="FC419">
            <v>0</v>
          </cell>
          <cell r="FD419">
            <v>0</v>
          </cell>
          <cell r="FE419">
            <v>0</v>
          </cell>
          <cell r="FF419">
            <v>0</v>
          </cell>
          <cell r="FG419">
            <v>0</v>
          </cell>
          <cell r="FH419">
            <v>0</v>
          </cell>
          <cell r="FI419">
            <v>0</v>
          </cell>
          <cell r="FJ419">
            <v>0</v>
          </cell>
          <cell r="FK419">
            <v>0</v>
          </cell>
          <cell r="FL419">
            <v>0</v>
          </cell>
          <cell r="FM419">
            <v>0</v>
          </cell>
          <cell r="FN419">
            <v>0</v>
          </cell>
          <cell r="FO419">
            <v>0</v>
          </cell>
          <cell r="FP419">
            <v>0</v>
          </cell>
          <cell r="FQ419">
            <v>0</v>
          </cell>
          <cell r="FR419">
            <v>0</v>
          </cell>
          <cell r="FS419">
            <v>0</v>
          </cell>
          <cell r="FT419">
            <v>0</v>
          </cell>
          <cell r="FU419">
            <v>0</v>
          </cell>
          <cell r="FV419">
            <v>0</v>
          </cell>
          <cell r="FW419">
            <v>0</v>
          </cell>
          <cell r="FX419">
            <v>0</v>
          </cell>
          <cell r="FY419">
            <v>0</v>
          </cell>
          <cell r="FZ419">
            <v>0</v>
          </cell>
          <cell r="GA419">
            <v>0</v>
          </cell>
          <cell r="GB419">
            <v>0</v>
          </cell>
          <cell r="GC419">
            <v>0</v>
          </cell>
          <cell r="GD419">
            <v>0</v>
          </cell>
          <cell r="GE419">
            <v>0</v>
          </cell>
          <cell r="GF419">
            <v>0</v>
          </cell>
          <cell r="GG419">
            <v>0</v>
          </cell>
          <cell r="GH419">
            <v>0</v>
          </cell>
          <cell r="GI419">
            <v>0</v>
          </cell>
          <cell r="GJ419">
            <v>0</v>
          </cell>
          <cell r="GK419">
            <v>0</v>
          </cell>
          <cell r="GL419">
            <v>0</v>
          </cell>
          <cell r="GM419">
            <v>0</v>
          </cell>
          <cell r="GN419">
            <v>0</v>
          </cell>
          <cell r="GO419">
            <v>0</v>
          </cell>
          <cell r="GP419">
            <v>0</v>
          </cell>
          <cell r="GQ419">
            <v>0</v>
          </cell>
          <cell r="GR419">
            <v>0</v>
          </cell>
          <cell r="GS419">
            <v>0</v>
          </cell>
          <cell r="GT419">
            <v>0</v>
          </cell>
          <cell r="GU419">
            <v>0</v>
          </cell>
          <cell r="GV419">
            <v>0</v>
          </cell>
          <cell r="GW419">
            <v>0</v>
          </cell>
          <cell r="GX419">
            <v>0</v>
          </cell>
          <cell r="GY419">
            <v>0</v>
          </cell>
          <cell r="GZ419">
            <v>0</v>
          </cell>
          <cell r="HA419">
            <v>0</v>
          </cell>
          <cell r="HB419">
            <v>0</v>
          </cell>
          <cell r="HC419">
            <v>0</v>
          </cell>
          <cell r="HD419">
            <v>0</v>
          </cell>
          <cell r="HE419">
            <v>0</v>
          </cell>
          <cell r="HF419">
            <v>0</v>
          </cell>
        </row>
        <row r="462">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4627</v>
          </cell>
          <cell r="CA462">
            <v>4627</v>
          </cell>
          <cell r="CB462">
            <v>4627</v>
          </cell>
          <cell r="CC462">
            <v>4587</v>
          </cell>
          <cell r="CD462">
            <v>4559</v>
          </cell>
          <cell r="CE462">
            <v>4530</v>
          </cell>
          <cell r="CF462">
            <v>4501</v>
          </cell>
          <cell r="CG462">
            <v>4457</v>
          </cell>
          <cell r="CH462">
            <v>4425</v>
          </cell>
          <cell r="CI462">
            <v>4393</v>
          </cell>
          <cell r="CJ462">
            <v>4361</v>
          </cell>
          <cell r="CK462">
            <v>4312</v>
          </cell>
          <cell r="CL462">
            <v>4277</v>
          </cell>
          <cell r="CM462">
            <v>4242</v>
          </cell>
          <cell r="CN462">
            <v>4190</v>
          </cell>
          <cell r="CO462">
            <v>4153</v>
          </cell>
          <cell r="CP462">
            <v>4115</v>
          </cell>
          <cell r="CQ462">
            <v>4076</v>
          </cell>
          <cell r="CR462">
            <v>4020</v>
          </cell>
          <cell r="CS462">
            <v>3980</v>
          </cell>
          <cell r="CT462">
            <v>3938</v>
          </cell>
          <cell r="CU462">
            <v>3879</v>
          </cell>
          <cell r="CV462">
            <v>3836</v>
          </cell>
          <cell r="CW462">
            <v>3792</v>
          </cell>
          <cell r="CX462">
            <v>3747</v>
          </cell>
          <cell r="CY462">
            <v>3684</v>
          </cell>
          <cell r="CZ462">
            <v>3637</v>
          </cell>
          <cell r="DA462">
            <v>3590</v>
          </cell>
          <cell r="DB462">
            <v>3541</v>
          </cell>
          <cell r="DC462">
            <v>3474</v>
          </cell>
          <cell r="DD462">
            <v>3424</v>
          </cell>
          <cell r="DE462">
            <v>3373</v>
          </cell>
          <cell r="DF462">
            <v>3302</v>
          </cell>
          <cell r="DG462">
            <v>3250</v>
          </cell>
          <cell r="DH462">
            <v>3196</v>
          </cell>
          <cell r="DI462">
            <v>3142</v>
          </cell>
          <cell r="DJ462">
            <v>3067</v>
          </cell>
          <cell r="DK462">
            <v>3011</v>
          </cell>
          <cell r="DL462">
            <v>2954</v>
          </cell>
          <cell r="DM462">
            <v>2876</v>
          </cell>
          <cell r="DN462">
            <v>2817</v>
          </cell>
          <cell r="DO462">
            <v>2758</v>
          </cell>
          <cell r="DP462">
            <v>9211</v>
          </cell>
          <cell r="DQ462">
            <v>9128</v>
          </cell>
          <cell r="DR462">
            <v>9066</v>
          </cell>
          <cell r="DS462">
            <v>9004</v>
          </cell>
          <cell r="DT462">
            <v>8940</v>
          </cell>
          <cell r="DU462">
            <v>8853</v>
          </cell>
          <cell r="DV462">
            <v>8788</v>
          </cell>
          <cell r="DW462">
            <v>8722</v>
          </cell>
          <cell r="DX462">
            <v>8632</v>
          </cell>
          <cell r="DY462">
            <v>8564</v>
          </cell>
          <cell r="DZ462">
            <v>8495</v>
          </cell>
          <cell r="EA462">
            <v>8426</v>
          </cell>
          <cell r="EB462">
            <v>8332</v>
          </cell>
          <cell r="EC462">
            <v>8260</v>
          </cell>
          <cell r="ED462">
            <v>8188</v>
          </cell>
          <cell r="EE462">
            <v>8091</v>
          </cell>
          <cell r="EF462">
            <v>8017</v>
          </cell>
          <cell r="EG462">
            <v>7942</v>
          </cell>
          <cell r="EH462">
            <v>7866</v>
          </cell>
          <cell r="EI462">
            <v>7765</v>
          </cell>
          <cell r="EJ462">
            <v>7688</v>
          </cell>
          <cell r="EK462">
            <v>7609</v>
          </cell>
          <cell r="EL462">
            <v>7530</v>
          </cell>
          <cell r="EM462">
            <v>7425</v>
          </cell>
          <cell r="EN462">
            <v>7344</v>
          </cell>
          <cell r="EO462">
            <v>7262</v>
          </cell>
          <cell r="EP462">
            <v>7160</v>
          </cell>
          <cell r="EQ462">
            <v>7097</v>
          </cell>
          <cell r="ER462">
            <v>7033</v>
          </cell>
          <cell r="ES462">
            <v>6968</v>
          </cell>
          <cell r="ET462">
            <v>6890</v>
          </cell>
          <cell r="EU462">
            <v>6824</v>
          </cell>
          <cell r="EV462">
            <v>6758</v>
          </cell>
          <cell r="EW462">
            <v>6692</v>
          </cell>
          <cell r="EX462">
            <v>6604</v>
          </cell>
          <cell r="EY462">
            <v>6536</v>
          </cell>
          <cell r="EZ462">
            <v>6468</v>
          </cell>
          <cell r="FA462">
            <v>6385</v>
          </cell>
          <cell r="FB462">
            <v>6316</v>
          </cell>
          <cell r="FC462">
            <v>6246</v>
          </cell>
          <cell r="FD462">
            <v>6176</v>
          </cell>
          <cell r="FE462">
            <v>6083</v>
          </cell>
          <cell r="FF462">
            <v>6012</v>
          </cell>
          <cell r="FG462">
            <v>5940</v>
          </cell>
          <cell r="FH462">
            <v>5852</v>
          </cell>
          <cell r="FI462">
            <v>5779</v>
          </cell>
          <cell r="FJ462">
            <v>5706</v>
          </cell>
          <cell r="FK462">
            <v>5632</v>
          </cell>
          <cell r="FL462">
            <v>5534</v>
          </cell>
          <cell r="FM462">
            <v>5459</v>
          </cell>
          <cell r="FN462">
            <v>5384</v>
          </cell>
          <cell r="FO462">
            <v>5307</v>
          </cell>
          <cell r="FP462">
            <v>5215</v>
          </cell>
          <cell r="FQ462">
            <v>5138</v>
          </cell>
          <cell r="FR462">
            <v>5060</v>
          </cell>
          <cell r="FS462">
            <v>4958</v>
          </cell>
          <cell r="FT462">
            <v>4879</v>
          </cell>
          <cell r="FU462">
            <v>4799</v>
          </cell>
          <cell r="FV462">
            <v>4719</v>
          </cell>
          <cell r="FW462">
            <v>4622</v>
          </cell>
          <cell r="FX462">
            <v>4541</v>
          </cell>
          <cell r="FY462">
            <v>4460</v>
          </cell>
          <cell r="FZ462">
            <v>4353</v>
          </cell>
          <cell r="GA462">
            <v>4270</v>
          </cell>
          <cell r="GB462">
            <v>4187</v>
          </cell>
          <cell r="GC462">
            <v>4103</v>
          </cell>
          <cell r="GD462">
            <v>4002</v>
          </cell>
          <cell r="GE462">
            <v>3917</v>
          </cell>
          <cell r="GF462">
            <v>3832</v>
          </cell>
          <cell r="GG462">
            <v>3746</v>
          </cell>
          <cell r="GH462">
            <v>3660</v>
          </cell>
          <cell r="GI462">
            <v>3617</v>
          </cell>
          <cell r="GJ462">
            <v>3575</v>
          </cell>
          <cell r="GK462">
            <v>3532</v>
          </cell>
          <cell r="GL462">
            <v>3490</v>
          </cell>
          <cell r="GM462">
            <v>3447</v>
          </cell>
          <cell r="GN462">
            <v>3405</v>
          </cell>
          <cell r="GO462">
            <v>3362</v>
          </cell>
          <cell r="GP462">
            <v>3320</v>
          </cell>
          <cell r="GQ462">
            <v>3277</v>
          </cell>
          <cell r="GR462">
            <v>3235</v>
          </cell>
          <cell r="GS462">
            <v>3192</v>
          </cell>
          <cell r="GT462">
            <v>3150</v>
          </cell>
          <cell r="GU462">
            <v>3107</v>
          </cell>
          <cell r="GV462">
            <v>3065</v>
          </cell>
          <cell r="GW462">
            <v>3022</v>
          </cell>
          <cell r="GX462">
            <v>2980</v>
          </cell>
          <cell r="GY462">
            <v>2937</v>
          </cell>
          <cell r="GZ462">
            <v>2895</v>
          </cell>
          <cell r="HA462">
            <v>2852</v>
          </cell>
          <cell r="HB462">
            <v>2810</v>
          </cell>
          <cell r="HC462">
            <v>2767</v>
          </cell>
          <cell r="HD462">
            <v>2725</v>
          </cell>
          <cell r="HE462">
            <v>2682</v>
          </cell>
          <cell r="HF462">
            <v>2640</v>
          </cell>
        </row>
        <row r="588">
          <cell r="N588">
            <v>0</v>
          </cell>
          <cell r="O588">
            <v>0</v>
          </cell>
          <cell r="P588">
            <v>0</v>
          </cell>
          <cell r="Q588">
            <v>8860</v>
          </cell>
          <cell r="R588">
            <v>8860</v>
          </cell>
          <cell r="S588">
            <v>8860</v>
          </cell>
          <cell r="T588">
            <v>8860</v>
          </cell>
          <cell r="U588">
            <v>8860</v>
          </cell>
          <cell r="V588">
            <v>8860</v>
          </cell>
          <cell r="W588">
            <v>8860</v>
          </cell>
          <cell r="X588">
            <v>8860</v>
          </cell>
          <cell r="Y588">
            <v>8732</v>
          </cell>
          <cell r="Z588">
            <v>8732</v>
          </cell>
          <cell r="AA588">
            <v>8732</v>
          </cell>
          <cell r="AB588">
            <v>8732</v>
          </cell>
          <cell r="AC588">
            <v>8732</v>
          </cell>
          <cell r="AD588">
            <v>8680</v>
          </cell>
          <cell r="AE588">
            <v>8680</v>
          </cell>
          <cell r="AF588">
            <v>11556</v>
          </cell>
          <cell r="AG588">
            <v>11556</v>
          </cell>
          <cell r="AH588">
            <v>11478</v>
          </cell>
          <cell r="AI588">
            <v>11478</v>
          </cell>
          <cell r="AJ588">
            <v>11478</v>
          </cell>
          <cell r="AK588">
            <v>11478</v>
          </cell>
          <cell r="AL588">
            <v>11138</v>
          </cell>
          <cell r="AM588">
            <v>11138</v>
          </cell>
          <cell r="AN588">
            <v>11138</v>
          </cell>
          <cell r="AO588">
            <v>11138</v>
          </cell>
          <cell r="AP588">
            <v>10800</v>
          </cell>
          <cell r="AQ588">
            <v>10800</v>
          </cell>
          <cell r="AR588">
            <v>13206</v>
          </cell>
          <cell r="AS588">
            <v>13206</v>
          </cell>
          <cell r="AT588">
            <v>12684</v>
          </cell>
          <cell r="AU588">
            <v>12684</v>
          </cell>
          <cell r="AV588">
            <v>12684</v>
          </cell>
          <cell r="AW588">
            <v>12684</v>
          </cell>
          <cell r="AX588">
            <v>12162</v>
          </cell>
          <cell r="AY588">
            <v>12162</v>
          </cell>
          <cell r="AZ588">
            <v>12162</v>
          </cell>
          <cell r="BA588">
            <v>12162</v>
          </cell>
          <cell r="BB588">
            <v>12162</v>
          </cell>
          <cell r="BC588">
            <v>12162</v>
          </cell>
          <cell r="BD588">
            <v>12162</v>
          </cell>
          <cell r="BE588">
            <v>12162</v>
          </cell>
          <cell r="BF588">
            <v>12162</v>
          </cell>
          <cell r="BG588">
            <v>12162</v>
          </cell>
          <cell r="BH588">
            <v>12162</v>
          </cell>
          <cell r="BI588">
            <v>12162</v>
          </cell>
          <cell r="BJ588">
            <v>12162</v>
          </cell>
          <cell r="BK588">
            <v>12162</v>
          </cell>
          <cell r="BL588">
            <v>12162</v>
          </cell>
          <cell r="BM588">
            <v>12162</v>
          </cell>
          <cell r="BN588">
            <v>12162</v>
          </cell>
          <cell r="BO588">
            <v>12162</v>
          </cell>
          <cell r="BP588">
            <v>12162</v>
          </cell>
          <cell r="BQ588">
            <v>12162</v>
          </cell>
          <cell r="BR588">
            <v>12162</v>
          </cell>
          <cell r="BS588">
            <v>12162</v>
          </cell>
          <cell r="BT588">
            <v>12162</v>
          </cell>
          <cell r="BU588">
            <v>12162</v>
          </cell>
          <cell r="BV588">
            <v>12162</v>
          </cell>
          <cell r="BW588">
            <v>12162</v>
          </cell>
          <cell r="BX588">
            <v>12162</v>
          </cell>
          <cell r="BY588">
            <v>12162</v>
          </cell>
          <cell r="BZ588">
            <v>12162</v>
          </cell>
          <cell r="CA588">
            <v>12162</v>
          </cell>
          <cell r="CB588">
            <v>12162</v>
          </cell>
          <cell r="CC588">
            <v>12162</v>
          </cell>
          <cell r="CD588">
            <v>12162</v>
          </cell>
          <cell r="CE588">
            <v>12162</v>
          </cell>
          <cell r="CF588">
            <v>9208</v>
          </cell>
          <cell r="CG588">
            <v>9208</v>
          </cell>
          <cell r="CH588">
            <v>9208</v>
          </cell>
          <cell r="CI588">
            <v>9208</v>
          </cell>
          <cell r="CJ588">
            <v>9208</v>
          </cell>
          <cell r="CK588">
            <v>9208</v>
          </cell>
          <cell r="CL588">
            <v>9208</v>
          </cell>
          <cell r="CM588">
            <v>9208</v>
          </cell>
          <cell r="CN588">
            <v>9208</v>
          </cell>
          <cell r="CO588">
            <v>9208</v>
          </cell>
          <cell r="CP588">
            <v>9208</v>
          </cell>
          <cell r="CQ588">
            <v>9208</v>
          </cell>
          <cell r="CR588">
            <v>9208</v>
          </cell>
          <cell r="CS588">
            <v>9208</v>
          </cell>
          <cell r="CT588">
            <v>9208</v>
          </cell>
          <cell r="CU588">
            <v>9208</v>
          </cell>
          <cell r="CV588">
            <v>6254</v>
          </cell>
          <cell r="CW588">
            <v>6254</v>
          </cell>
          <cell r="CX588">
            <v>6254</v>
          </cell>
          <cell r="CY588">
            <v>6254</v>
          </cell>
          <cell r="CZ588">
            <v>6254</v>
          </cell>
          <cell r="DA588">
            <v>6254</v>
          </cell>
          <cell r="DB588">
            <v>6254</v>
          </cell>
          <cell r="DC588">
            <v>6254</v>
          </cell>
          <cell r="DD588">
            <v>6254</v>
          </cell>
          <cell r="DE588">
            <v>6254</v>
          </cell>
          <cell r="DF588">
            <v>6254</v>
          </cell>
          <cell r="DG588">
            <v>6254</v>
          </cell>
          <cell r="DH588">
            <v>6254</v>
          </cell>
          <cell r="DI588">
            <v>6254</v>
          </cell>
          <cell r="DJ588">
            <v>4777</v>
          </cell>
          <cell r="DK588">
            <v>4777</v>
          </cell>
          <cell r="DL588">
            <v>4777</v>
          </cell>
          <cell r="DM588">
            <v>4777</v>
          </cell>
          <cell r="DN588">
            <v>4777</v>
          </cell>
          <cell r="DO588">
            <v>4777</v>
          </cell>
          <cell r="DP588">
            <v>4777</v>
          </cell>
          <cell r="DQ588">
            <v>4777</v>
          </cell>
          <cell r="DR588">
            <v>4777</v>
          </cell>
          <cell r="DS588">
            <v>4777</v>
          </cell>
          <cell r="DT588">
            <v>4777</v>
          </cell>
          <cell r="DU588">
            <v>4777</v>
          </cell>
          <cell r="DV588">
            <v>4777</v>
          </cell>
          <cell r="DW588">
            <v>4777</v>
          </cell>
          <cell r="DX588">
            <v>4777</v>
          </cell>
          <cell r="DY588">
            <v>4777</v>
          </cell>
          <cell r="DZ588">
            <v>4777</v>
          </cell>
          <cell r="EA588">
            <v>4777</v>
          </cell>
          <cell r="EB588">
            <v>4777</v>
          </cell>
          <cell r="EC588">
            <v>4777</v>
          </cell>
          <cell r="ED588">
            <v>4777</v>
          </cell>
          <cell r="EE588">
            <v>4777</v>
          </cell>
          <cell r="EF588">
            <v>4777</v>
          </cell>
          <cell r="EG588">
            <v>4777</v>
          </cell>
          <cell r="EH588">
            <v>4777</v>
          </cell>
          <cell r="EI588">
            <v>4777</v>
          </cell>
          <cell r="EJ588">
            <v>4777</v>
          </cell>
          <cell r="EK588">
            <v>0</v>
          </cell>
          <cell r="EL588">
            <v>0</v>
          </cell>
          <cell r="EM588">
            <v>0</v>
          </cell>
          <cell r="EN588">
            <v>0</v>
          </cell>
          <cell r="EO588">
            <v>0</v>
          </cell>
          <cell r="EP588">
            <v>0</v>
          </cell>
          <cell r="EQ588">
            <v>0</v>
          </cell>
          <cell r="ER588">
            <v>0</v>
          </cell>
          <cell r="ES588">
            <v>0</v>
          </cell>
          <cell r="ET588">
            <v>0</v>
          </cell>
          <cell r="EU588">
            <v>0</v>
          </cell>
          <cell r="EV588">
            <v>0</v>
          </cell>
          <cell r="EW588">
            <v>0</v>
          </cell>
          <cell r="EX588">
            <v>0</v>
          </cell>
          <cell r="EY588">
            <v>0</v>
          </cell>
          <cell r="EZ588">
            <v>0</v>
          </cell>
          <cell r="FA588">
            <v>0</v>
          </cell>
          <cell r="FB588">
            <v>0</v>
          </cell>
          <cell r="FC588">
            <v>0</v>
          </cell>
          <cell r="FD588">
            <v>0</v>
          </cell>
          <cell r="FE588">
            <v>0</v>
          </cell>
          <cell r="FF588">
            <v>0</v>
          </cell>
          <cell r="FG588">
            <v>0</v>
          </cell>
          <cell r="FH588">
            <v>0</v>
          </cell>
          <cell r="FI588">
            <v>0</v>
          </cell>
          <cell r="FJ588">
            <v>0</v>
          </cell>
          <cell r="FK588">
            <v>0</v>
          </cell>
          <cell r="FL588">
            <v>0</v>
          </cell>
          <cell r="FM588">
            <v>0</v>
          </cell>
          <cell r="FN588">
            <v>0</v>
          </cell>
          <cell r="FO588">
            <v>0</v>
          </cell>
          <cell r="FP588">
            <v>0</v>
          </cell>
          <cell r="FQ588">
            <v>0</v>
          </cell>
          <cell r="FR588">
            <v>0</v>
          </cell>
          <cell r="FS588">
            <v>0</v>
          </cell>
          <cell r="FT588">
            <v>0</v>
          </cell>
          <cell r="FU588">
            <v>0</v>
          </cell>
          <cell r="FV588">
            <v>0</v>
          </cell>
          <cell r="FW588">
            <v>0</v>
          </cell>
          <cell r="FX588">
            <v>0</v>
          </cell>
          <cell r="FY588">
            <v>0</v>
          </cell>
          <cell r="FZ588">
            <v>0</v>
          </cell>
          <cell r="GA588">
            <v>0</v>
          </cell>
          <cell r="GB588">
            <v>0</v>
          </cell>
          <cell r="GC588">
            <v>0</v>
          </cell>
          <cell r="GD588">
            <v>0</v>
          </cell>
          <cell r="GE588">
            <v>0</v>
          </cell>
          <cell r="GF588">
            <v>0</v>
          </cell>
          <cell r="GG588">
            <v>0</v>
          </cell>
          <cell r="GH588">
            <v>0</v>
          </cell>
          <cell r="GI588">
            <v>0</v>
          </cell>
          <cell r="GJ588">
            <v>0</v>
          </cell>
          <cell r="GK588">
            <v>0</v>
          </cell>
          <cell r="GL588">
            <v>0</v>
          </cell>
          <cell r="GM588">
            <v>0</v>
          </cell>
          <cell r="GN588">
            <v>0</v>
          </cell>
          <cell r="GO588">
            <v>0</v>
          </cell>
          <cell r="GP588">
            <v>0</v>
          </cell>
          <cell r="GQ588">
            <v>0</v>
          </cell>
          <cell r="GR588">
            <v>0</v>
          </cell>
          <cell r="GS588">
            <v>0</v>
          </cell>
          <cell r="GT588">
            <v>0</v>
          </cell>
          <cell r="GU588">
            <v>0</v>
          </cell>
          <cell r="GV588">
            <v>0</v>
          </cell>
          <cell r="GW588">
            <v>0</v>
          </cell>
          <cell r="GX588">
            <v>0</v>
          </cell>
          <cell r="GY588">
            <v>0</v>
          </cell>
          <cell r="GZ588">
            <v>0</v>
          </cell>
          <cell r="HA588">
            <v>0</v>
          </cell>
          <cell r="HB588">
            <v>0</v>
          </cell>
          <cell r="HC588">
            <v>0</v>
          </cell>
          <cell r="HD588">
            <v>0</v>
          </cell>
          <cell r="HE588">
            <v>0</v>
          </cell>
          <cell r="HF588">
            <v>0</v>
          </cell>
        </row>
        <row r="685">
          <cell r="N685">
            <v>9689</v>
          </cell>
          <cell r="O685">
            <v>9539</v>
          </cell>
          <cell r="P685">
            <v>9389</v>
          </cell>
          <cell r="Q685">
            <v>9243</v>
          </cell>
          <cell r="R685">
            <v>9127</v>
          </cell>
          <cell r="S685">
            <v>9010</v>
          </cell>
          <cell r="T685">
            <v>8893</v>
          </cell>
          <cell r="U685">
            <v>8777</v>
          </cell>
          <cell r="V685">
            <v>8660</v>
          </cell>
          <cell r="W685">
            <v>8543</v>
          </cell>
          <cell r="X685">
            <v>8427</v>
          </cell>
          <cell r="Y685">
            <v>8348</v>
          </cell>
          <cell r="Z685">
            <v>8232</v>
          </cell>
          <cell r="AA685">
            <v>8115</v>
          </cell>
          <cell r="AB685">
            <v>7998</v>
          </cell>
          <cell r="AC685">
            <v>7882</v>
          </cell>
          <cell r="AD685">
            <v>7781</v>
          </cell>
          <cell r="AE685">
            <v>7664</v>
          </cell>
          <cell r="AF685">
            <v>7571</v>
          </cell>
          <cell r="AG685">
            <v>7454</v>
          </cell>
          <cell r="AH685">
            <v>7361</v>
          </cell>
          <cell r="AI685">
            <v>7244</v>
          </cell>
          <cell r="AJ685">
            <v>7127</v>
          </cell>
          <cell r="AK685">
            <v>7010</v>
          </cell>
          <cell r="AL685">
            <v>6996</v>
          </cell>
          <cell r="AM685">
            <v>6879</v>
          </cell>
          <cell r="AN685">
            <v>6763</v>
          </cell>
          <cell r="AO685">
            <v>6646</v>
          </cell>
          <cell r="AP685">
            <v>6631</v>
          </cell>
          <cell r="AQ685">
            <v>6514</v>
          </cell>
          <cell r="AR685">
            <v>6562</v>
          </cell>
          <cell r="AS685">
            <v>6445</v>
          </cell>
          <cell r="AT685">
            <v>6485</v>
          </cell>
          <cell r="AU685">
            <v>6368</v>
          </cell>
          <cell r="AV685">
            <v>6251</v>
          </cell>
          <cell r="AW685">
            <v>6116</v>
          </cell>
          <cell r="AX685">
            <v>6122</v>
          </cell>
          <cell r="AY685">
            <v>5972</v>
          </cell>
          <cell r="AZ685">
            <v>5822</v>
          </cell>
          <cell r="BA685">
            <v>5672</v>
          </cell>
          <cell r="BB685">
            <v>5522</v>
          </cell>
          <cell r="BC685">
            <v>5372</v>
          </cell>
          <cell r="BD685">
            <v>5222</v>
          </cell>
          <cell r="BE685">
            <v>5072</v>
          </cell>
          <cell r="BF685">
            <v>4922</v>
          </cell>
          <cell r="BG685">
            <v>4772</v>
          </cell>
          <cell r="BH685">
            <v>4622</v>
          </cell>
          <cell r="BI685">
            <v>4472</v>
          </cell>
          <cell r="BJ685">
            <v>4322</v>
          </cell>
          <cell r="BK685">
            <v>4172</v>
          </cell>
          <cell r="BL685">
            <v>4022</v>
          </cell>
          <cell r="BM685">
            <v>3872</v>
          </cell>
          <cell r="BN685">
            <v>3722</v>
          </cell>
          <cell r="BO685">
            <v>3572</v>
          </cell>
          <cell r="BP685">
            <v>3422</v>
          </cell>
          <cell r="BQ685">
            <v>3272</v>
          </cell>
          <cell r="BR685">
            <v>3122</v>
          </cell>
          <cell r="BS685">
            <v>2972</v>
          </cell>
          <cell r="BT685">
            <v>2822</v>
          </cell>
          <cell r="BU685">
            <v>2672</v>
          </cell>
          <cell r="BV685">
            <v>2522</v>
          </cell>
          <cell r="BW685">
            <v>2372</v>
          </cell>
          <cell r="BX685">
            <v>2222</v>
          </cell>
          <cell r="BY685">
            <v>2072</v>
          </cell>
          <cell r="BZ685">
            <v>1922</v>
          </cell>
          <cell r="CA685">
            <v>1772</v>
          </cell>
          <cell r="CB685">
            <v>1622</v>
          </cell>
          <cell r="CC685">
            <v>1472</v>
          </cell>
          <cell r="CD685">
            <v>1322</v>
          </cell>
          <cell r="CE685">
            <v>1172</v>
          </cell>
          <cell r="CF685">
            <v>1022</v>
          </cell>
          <cell r="CG685">
            <v>872</v>
          </cell>
          <cell r="CH685">
            <v>722</v>
          </cell>
          <cell r="CI685">
            <v>572</v>
          </cell>
          <cell r="CJ685">
            <v>422</v>
          </cell>
          <cell r="CK685">
            <v>272</v>
          </cell>
          <cell r="CL685">
            <v>0</v>
          </cell>
          <cell r="CM685">
            <v>0</v>
          </cell>
          <cell r="CN685">
            <v>0</v>
          </cell>
          <cell r="CO685">
            <v>0</v>
          </cell>
          <cell r="CP685">
            <v>0</v>
          </cell>
          <cell r="CQ685">
            <v>0</v>
          </cell>
          <cell r="CR685">
            <v>0</v>
          </cell>
          <cell r="CS685">
            <v>0</v>
          </cell>
          <cell r="CT685">
            <v>0</v>
          </cell>
          <cell r="CU685">
            <v>0</v>
          </cell>
          <cell r="CV685">
            <v>0</v>
          </cell>
          <cell r="CW685">
            <v>0</v>
          </cell>
          <cell r="CX685">
            <v>0</v>
          </cell>
          <cell r="CY685">
            <v>0</v>
          </cell>
          <cell r="CZ685">
            <v>0</v>
          </cell>
          <cell r="DA685">
            <v>0</v>
          </cell>
          <cell r="DB685">
            <v>0</v>
          </cell>
          <cell r="DC685">
            <v>0</v>
          </cell>
          <cell r="DD685">
            <v>0</v>
          </cell>
          <cell r="DE685">
            <v>0</v>
          </cell>
          <cell r="DF685">
            <v>0</v>
          </cell>
          <cell r="DG685">
            <v>0</v>
          </cell>
          <cell r="DH685">
            <v>0</v>
          </cell>
          <cell r="DI685">
            <v>0</v>
          </cell>
          <cell r="DJ685">
            <v>0</v>
          </cell>
          <cell r="DK685">
            <v>0</v>
          </cell>
          <cell r="DL685">
            <v>0</v>
          </cell>
          <cell r="DM685">
            <v>0</v>
          </cell>
          <cell r="DN685">
            <v>0</v>
          </cell>
          <cell r="DO685">
            <v>0</v>
          </cell>
          <cell r="DP685">
            <v>0</v>
          </cell>
          <cell r="DQ685">
            <v>0</v>
          </cell>
          <cell r="DR685">
            <v>0</v>
          </cell>
          <cell r="DS685">
            <v>0</v>
          </cell>
          <cell r="DT685">
            <v>0</v>
          </cell>
          <cell r="DU685">
            <v>0</v>
          </cell>
          <cell r="DV685">
            <v>0</v>
          </cell>
          <cell r="DW685">
            <v>0</v>
          </cell>
          <cell r="DX685">
            <v>0</v>
          </cell>
          <cell r="DY685">
            <v>0</v>
          </cell>
          <cell r="DZ685">
            <v>0</v>
          </cell>
          <cell r="EA685">
            <v>0</v>
          </cell>
          <cell r="EB685">
            <v>0</v>
          </cell>
          <cell r="EC685">
            <v>0</v>
          </cell>
          <cell r="ED685">
            <v>0</v>
          </cell>
          <cell r="EE685">
            <v>0</v>
          </cell>
          <cell r="EF685">
            <v>0</v>
          </cell>
          <cell r="EG685">
            <v>0</v>
          </cell>
          <cell r="EH685">
            <v>0</v>
          </cell>
          <cell r="EI685">
            <v>0</v>
          </cell>
          <cell r="EJ685">
            <v>0</v>
          </cell>
          <cell r="EK685">
            <v>0</v>
          </cell>
          <cell r="EL685">
            <v>0</v>
          </cell>
          <cell r="EM685">
            <v>0</v>
          </cell>
          <cell r="EN685">
            <v>0</v>
          </cell>
          <cell r="EO685">
            <v>0</v>
          </cell>
          <cell r="EP685">
            <v>0</v>
          </cell>
          <cell r="EQ685">
            <v>0</v>
          </cell>
          <cell r="ER685">
            <v>0</v>
          </cell>
          <cell r="ES685">
            <v>0</v>
          </cell>
          <cell r="ET685">
            <v>0</v>
          </cell>
          <cell r="EU685">
            <v>0</v>
          </cell>
          <cell r="EV685">
            <v>0</v>
          </cell>
          <cell r="EW685">
            <v>0</v>
          </cell>
          <cell r="EX685">
            <v>0</v>
          </cell>
          <cell r="EY685">
            <v>0</v>
          </cell>
          <cell r="EZ685">
            <v>0</v>
          </cell>
          <cell r="FA685">
            <v>0</v>
          </cell>
          <cell r="FB685">
            <v>0</v>
          </cell>
          <cell r="FC685">
            <v>0</v>
          </cell>
          <cell r="FD685">
            <v>0</v>
          </cell>
          <cell r="FE685">
            <v>0</v>
          </cell>
          <cell r="FF685">
            <v>0</v>
          </cell>
          <cell r="FG685">
            <v>0</v>
          </cell>
          <cell r="FH685">
            <v>0</v>
          </cell>
          <cell r="FI685">
            <v>0</v>
          </cell>
          <cell r="FJ685">
            <v>0</v>
          </cell>
          <cell r="FK685">
            <v>0</v>
          </cell>
          <cell r="FL685">
            <v>0</v>
          </cell>
          <cell r="FM685">
            <v>0</v>
          </cell>
          <cell r="FN685">
            <v>0</v>
          </cell>
          <cell r="FO685">
            <v>0</v>
          </cell>
          <cell r="FP685">
            <v>0</v>
          </cell>
          <cell r="FQ685">
            <v>0</v>
          </cell>
          <cell r="FR685">
            <v>0</v>
          </cell>
          <cell r="FS685">
            <v>0</v>
          </cell>
          <cell r="FT685">
            <v>0</v>
          </cell>
          <cell r="FU685">
            <v>0</v>
          </cell>
          <cell r="FV685">
            <v>0</v>
          </cell>
          <cell r="FW685">
            <v>0</v>
          </cell>
          <cell r="FX685">
            <v>0</v>
          </cell>
          <cell r="FY685">
            <v>0</v>
          </cell>
          <cell r="FZ685">
            <v>0</v>
          </cell>
          <cell r="GA685">
            <v>0</v>
          </cell>
          <cell r="GB685">
            <v>0</v>
          </cell>
          <cell r="GC685">
            <v>0</v>
          </cell>
          <cell r="GD685">
            <v>0</v>
          </cell>
          <cell r="GE685">
            <v>0</v>
          </cell>
          <cell r="GF685">
            <v>0</v>
          </cell>
          <cell r="GG685">
            <v>0</v>
          </cell>
          <cell r="GH685">
            <v>0</v>
          </cell>
          <cell r="GI685">
            <v>0</v>
          </cell>
          <cell r="GJ685">
            <v>0</v>
          </cell>
          <cell r="GK685">
            <v>0</v>
          </cell>
          <cell r="GL685">
            <v>0</v>
          </cell>
          <cell r="GM685">
            <v>0</v>
          </cell>
          <cell r="GN685">
            <v>0</v>
          </cell>
          <cell r="GO685">
            <v>0</v>
          </cell>
          <cell r="GP685">
            <v>0</v>
          </cell>
          <cell r="GQ685">
            <v>0</v>
          </cell>
          <cell r="GR685">
            <v>0</v>
          </cell>
          <cell r="GS685">
            <v>0</v>
          </cell>
          <cell r="GT685">
            <v>0</v>
          </cell>
          <cell r="GU685">
            <v>0</v>
          </cell>
          <cell r="GV685">
            <v>0</v>
          </cell>
          <cell r="GW685">
            <v>0</v>
          </cell>
          <cell r="GX685">
            <v>0</v>
          </cell>
          <cell r="GY685">
            <v>0</v>
          </cell>
          <cell r="GZ685">
            <v>0</v>
          </cell>
          <cell r="HA685">
            <v>0</v>
          </cell>
          <cell r="HB685">
            <v>0</v>
          </cell>
          <cell r="HC685">
            <v>0</v>
          </cell>
          <cell r="HD685">
            <v>0</v>
          </cell>
          <cell r="HE685">
            <v>0</v>
          </cell>
          <cell r="HF685">
            <v>0</v>
          </cell>
        </row>
        <row r="688">
          <cell r="N688">
            <v>9689</v>
          </cell>
          <cell r="O688">
            <v>9539</v>
          </cell>
          <cell r="P688">
            <v>9389</v>
          </cell>
          <cell r="Q688">
            <v>9243</v>
          </cell>
          <cell r="R688">
            <v>9127</v>
          </cell>
          <cell r="S688">
            <v>9010</v>
          </cell>
          <cell r="T688">
            <v>8893</v>
          </cell>
          <cell r="U688">
            <v>8777</v>
          </cell>
          <cell r="V688">
            <v>8660</v>
          </cell>
          <cell r="W688">
            <v>8543</v>
          </cell>
          <cell r="X688">
            <v>8427</v>
          </cell>
          <cell r="Y688">
            <v>8348</v>
          </cell>
          <cell r="Z688">
            <v>8232</v>
          </cell>
          <cell r="AA688">
            <v>8115</v>
          </cell>
          <cell r="AB688">
            <v>7998</v>
          </cell>
          <cell r="AC688">
            <v>7882</v>
          </cell>
          <cell r="AD688">
            <v>7781</v>
          </cell>
          <cell r="AE688">
            <v>7664</v>
          </cell>
          <cell r="AF688">
            <v>7571</v>
          </cell>
          <cell r="AG688">
            <v>7454</v>
          </cell>
          <cell r="AH688">
            <v>7361</v>
          </cell>
          <cell r="AI688">
            <v>7244</v>
          </cell>
          <cell r="AJ688">
            <v>7127</v>
          </cell>
          <cell r="AK688">
            <v>7010</v>
          </cell>
          <cell r="AL688">
            <v>6996</v>
          </cell>
          <cell r="AM688">
            <v>6879</v>
          </cell>
          <cell r="AN688">
            <v>6763</v>
          </cell>
          <cell r="AO688">
            <v>6646</v>
          </cell>
          <cell r="AP688">
            <v>6631</v>
          </cell>
          <cell r="AQ688">
            <v>6514</v>
          </cell>
          <cell r="AR688">
            <v>6562</v>
          </cell>
          <cell r="AS688">
            <v>6445</v>
          </cell>
          <cell r="AT688">
            <v>6485</v>
          </cell>
          <cell r="AU688">
            <v>6368</v>
          </cell>
          <cell r="AV688">
            <v>6251</v>
          </cell>
          <cell r="AW688">
            <v>6116</v>
          </cell>
          <cell r="AX688">
            <v>6122</v>
          </cell>
          <cell r="AY688">
            <v>5972</v>
          </cell>
          <cell r="AZ688">
            <v>5822</v>
          </cell>
          <cell r="BA688">
            <v>5672</v>
          </cell>
          <cell r="BB688">
            <v>5522</v>
          </cell>
          <cell r="BC688">
            <v>5372</v>
          </cell>
          <cell r="BD688">
            <v>5222</v>
          </cell>
          <cell r="BE688">
            <v>5072</v>
          </cell>
          <cell r="BF688">
            <v>4922</v>
          </cell>
          <cell r="BG688">
            <v>4772</v>
          </cell>
          <cell r="BH688">
            <v>4622</v>
          </cell>
          <cell r="BI688">
            <v>4472</v>
          </cell>
          <cell r="BJ688">
            <v>4322</v>
          </cell>
          <cell r="BK688">
            <v>4172</v>
          </cell>
          <cell r="BL688">
            <v>4022</v>
          </cell>
          <cell r="BM688">
            <v>3872</v>
          </cell>
          <cell r="BN688">
            <v>3722</v>
          </cell>
          <cell r="BO688">
            <v>3572</v>
          </cell>
          <cell r="BP688">
            <v>3422</v>
          </cell>
          <cell r="BQ688">
            <v>3272</v>
          </cell>
          <cell r="BR688">
            <v>3122</v>
          </cell>
          <cell r="BS688">
            <v>2972</v>
          </cell>
          <cell r="BT688">
            <v>2822</v>
          </cell>
          <cell r="BU688">
            <v>2672</v>
          </cell>
          <cell r="BV688">
            <v>2522</v>
          </cell>
          <cell r="BW688">
            <v>2372</v>
          </cell>
          <cell r="BX688">
            <v>2222</v>
          </cell>
          <cell r="BY688">
            <v>2072</v>
          </cell>
          <cell r="BZ688">
            <v>1922</v>
          </cell>
          <cell r="CA688">
            <v>1772</v>
          </cell>
          <cell r="CB688">
            <v>1622</v>
          </cell>
          <cell r="CC688">
            <v>1472</v>
          </cell>
          <cell r="CD688">
            <v>1322</v>
          </cell>
          <cell r="CE688">
            <v>1172</v>
          </cell>
          <cell r="CF688">
            <v>1022</v>
          </cell>
          <cell r="CG688">
            <v>872</v>
          </cell>
          <cell r="CH688">
            <v>722</v>
          </cell>
          <cell r="CI688">
            <v>572</v>
          </cell>
          <cell r="CJ688">
            <v>422</v>
          </cell>
          <cell r="CK688">
            <v>272</v>
          </cell>
          <cell r="CL688">
            <v>122</v>
          </cell>
          <cell r="CM688">
            <v>0</v>
          </cell>
          <cell r="CN688">
            <v>0</v>
          </cell>
          <cell r="CO688">
            <v>0</v>
          </cell>
          <cell r="CP688">
            <v>0</v>
          </cell>
          <cell r="CQ688">
            <v>0</v>
          </cell>
          <cell r="CR688">
            <v>0</v>
          </cell>
          <cell r="CS688">
            <v>0</v>
          </cell>
          <cell r="CT688">
            <v>0</v>
          </cell>
          <cell r="CU688">
            <v>0</v>
          </cell>
          <cell r="CV688">
            <v>0</v>
          </cell>
          <cell r="CW688">
            <v>0</v>
          </cell>
          <cell r="CX688">
            <v>0</v>
          </cell>
          <cell r="CY688">
            <v>0</v>
          </cell>
          <cell r="CZ688">
            <v>0</v>
          </cell>
          <cell r="DA688">
            <v>0</v>
          </cell>
          <cell r="DB688">
            <v>0</v>
          </cell>
          <cell r="DC688">
            <v>0</v>
          </cell>
          <cell r="DD688">
            <v>0</v>
          </cell>
          <cell r="DE688">
            <v>0</v>
          </cell>
          <cell r="DF688">
            <v>0</v>
          </cell>
          <cell r="DG688">
            <v>0</v>
          </cell>
          <cell r="DH688">
            <v>0</v>
          </cell>
          <cell r="DI688">
            <v>0</v>
          </cell>
          <cell r="DJ688">
            <v>0</v>
          </cell>
          <cell r="DK688">
            <v>0</v>
          </cell>
          <cell r="DL688">
            <v>0</v>
          </cell>
          <cell r="DM688">
            <v>0</v>
          </cell>
          <cell r="DN688">
            <v>0</v>
          </cell>
          <cell r="DO688">
            <v>0</v>
          </cell>
          <cell r="DP688">
            <v>0</v>
          </cell>
          <cell r="DQ688">
            <v>0</v>
          </cell>
          <cell r="DR688">
            <v>0</v>
          </cell>
          <cell r="DS688">
            <v>0</v>
          </cell>
          <cell r="DT688">
            <v>0</v>
          </cell>
          <cell r="DU688">
            <v>0</v>
          </cell>
          <cell r="DV688">
            <v>0</v>
          </cell>
          <cell r="DW688">
            <v>0</v>
          </cell>
          <cell r="DX688">
            <v>0</v>
          </cell>
          <cell r="DY688">
            <v>0</v>
          </cell>
          <cell r="DZ688">
            <v>0</v>
          </cell>
          <cell r="EA688">
            <v>0</v>
          </cell>
          <cell r="EB688">
            <v>0</v>
          </cell>
          <cell r="EC688">
            <v>0</v>
          </cell>
          <cell r="ED688">
            <v>0</v>
          </cell>
          <cell r="EE688">
            <v>0</v>
          </cell>
          <cell r="EF688">
            <v>0</v>
          </cell>
          <cell r="EG688">
            <v>0</v>
          </cell>
          <cell r="EH688">
            <v>0</v>
          </cell>
          <cell r="EI688">
            <v>0</v>
          </cell>
          <cell r="EJ688">
            <v>0</v>
          </cell>
          <cell r="EK688">
            <v>0</v>
          </cell>
          <cell r="EL688">
            <v>0</v>
          </cell>
          <cell r="EM688">
            <v>0</v>
          </cell>
          <cell r="EN688">
            <v>0</v>
          </cell>
          <cell r="EO688">
            <v>0</v>
          </cell>
          <cell r="EP688">
            <v>0</v>
          </cell>
          <cell r="EQ688">
            <v>0</v>
          </cell>
          <cell r="ER688">
            <v>0</v>
          </cell>
          <cell r="ES688">
            <v>0</v>
          </cell>
          <cell r="ET688">
            <v>0</v>
          </cell>
          <cell r="EU688">
            <v>0</v>
          </cell>
          <cell r="EV688">
            <v>0</v>
          </cell>
          <cell r="EW688">
            <v>0</v>
          </cell>
          <cell r="EX688">
            <v>0</v>
          </cell>
          <cell r="EY688">
            <v>0</v>
          </cell>
          <cell r="EZ688">
            <v>0</v>
          </cell>
          <cell r="FA688">
            <v>0</v>
          </cell>
          <cell r="FB688">
            <v>0</v>
          </cell>
          <cell r="FC688">
            <v>0</v>
          </cell>
          <cell r="FD688">
            <v>0</v>
          </cell>
          <cell r="FE688">
            <v>0</v>
          </cell>
          <cell r="FF688">
            <v>0</v>
          </cell>
          <cell r="FG688">
            <v>0</v>
          </cell>
          <cell r="FH688">
            <v>0</v>
          </cell>
          <cell r="FI688">
            <v>0</v>
          </cell>
          <cell r="FJ688">
            <v>0</v>
          </cell>
          <cell r="FK688">
            <v>0</v>
          </cell>
          <cell r="FL688">
            <v>0</v>
          </cell>
          <cell r="FM688">
            <v>0</v>
          </cell>
          <cell r="FN688">
            <v>0</v>
          </cell>
          <cell r="FO688">
            <v>0</v>
          </cell>
          <cell r="FP688">
            <v>0</v>
          </cell>
          <cell r="FQ688">
            <v>0</v>
          </cell>
          <cell r="FR688">
            <v>0</v>
          </cell>
          <cell r="FS688">
            <v>0</v>
          </cell>
          <cell r="FT688">
            <v>0</v>
          </cell>
          <cell r="FU688">
            <v>0</v>
          </cell>
          <cell r="FV688">
            <v>0</v>
          </cell>
          <cell r="FW688">
            <v>0</v>
          </cell>
          <cell r="FX688">
            <v>0</v>
          </cell>
          <cell r="FY688">
            <v>0</v>
          </cell>
          <cell r="FZ688">
            <v>0</v>
          </cell>
          <cell r="GA688">
            <v>0</v>
          </cell>
          <cell r="GB688">
            <v>0</v>
          </cell>
          <cell r="GC688">
            <v>0</v>
          </cell>
          <cell r="GD688">
            <v>0</v>
          </cell>
          <cell r="GE688">
            <v>0</v>
          </cell>
          <cell r="GF688">
            <v>0</v>
          </cell>
          <cell r="GG688">
            <v>0</v>
          </cell>
          <cell r="GH688">
            <v>0</v>
          </cell>
          <cell r="GI688">
            <v>0</v>
          </cell>
          <cell r="GJ688">
            <v>0</v>
          </cell>
          <cell r="GK688">
            <v>0</v>
          </cell>
          <cell r="GL688">
            <v>0</v>
          </cell>
          <cell r="GM688">
            <v>0</v>
          </cell>
          <cell r="GN688">
            <v>0</v>
          </cell>
          <cell r="GO688">
            <v>0</v>
          </cell>
          <cell r="GP688">
            <v>0</v>
          </cell>
          <cell r="GQ688">
            <v>0</v>
          </cell>
          <cell r="GR688">
            <v>0</v>
          </cell>
          <cell r="GS688">
            <v>0</v>
          </cell>
          <cell r="GT688">
            <v>0</v>
          </cell>
          <cell r="GU688">
            <v>0</v>
          </cell>
          <cell r="GV688">
            <v>0</v>
          </cell>
          <cell r="GW688">
            <v>0</v>
          </cell>
          <cell r="GX688">
            <v>0</v>
          </cell>
          <cell r="GY688">
            <v>0</v>
          </cell>
          <cell r="GZ688">
            <v>0</v>
          </cell>
          <cell r="HA688">
            <v>0</v>
          </cell>
          <cell r="HB688">
            <v>0</v>
          </cell>
          <cell r="HC688">
            <v>0</v>
          </cell>
          <cell r="HD688">
            <v>0</v>
          </cell>
          <cell r="HE688">
            <v>0</v>
          </cell>
          <cell r="HF688">
            <v>0</v>
          </cell>
        </row>
        <row r="690">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v>122</v>
          </cell>
          <cell r="CM690">
            <v>0</v>
          </cell>
          <cell r="CN690">
            <v>0</v>
          </cell>
          <cell r="CO690">
            <v>0</v>
          </cell>
          <cell r="CP690">
            <v>0</v>
          </cell>
          <cell r="CQ690">
            <v>0</v>
          </cell>
          <cell r="CR690">
            <v>0</v>
          </cell>
          <cell r="CS690">
            <v>0</v>
          </cell>
          <cell r="CT690">
            <v>0</v>
          </cell>
          <cell r="CU690">
            <v>0</v>
          </cell>
          <cell r="CV690">
            <v>0</v>
          </cell>
          <cell r="CW690">
            <v>0</v>
          </cell>
          <cell r="CX690">
            <v>0</v>
          </cell>
          <cell r="CY690">
            <v>0</v>
          </cell>
          <cell r="CZ690">
            <v>0</v>
          </cell>
          <cell r="DA690">
            <v>0</v>
          </cell>
          <cell r="DB690">
            <v>0</v>
          </cell>
          <cell r="DC690">
            <v>0</v>
          </cell>
          <cell r="DD690">
            <v>0</v>
          </cell>
          <cell r="DE690">
            <v>0</v>
          </cell>
          <cell r="DF690">
            <v>0</v>
          </cell>
          <cell r="DG690">
            <v>0</v>
          </cell>
          <cell r="DH690">
            <v>0</v>
          </cell>
          <cell r="DI690">
            <v>0</v>
          </cell>
          <cell r="DJ690">
            <v>0</v>
          </cell>
          <cell r="DK690">
            <v>0</v>
          </cell>
          <cell r="DL690">
            <v>0</v>
          </cell>
          <cell r="DM690">
            <v>0</v>
          </cell>
          <cell r="DN690">
            <v>0</v>
          </cell>
          <cell r="DO690">
            <v>0</v>
          </cell>
          <cell r="DP690">
            <v>0</v>
          </cell>
          <cell r="DQ690">
            <v>0</v>
          </cell>
          <cell r="DR690">
            <v>0</v>
          </cell>
          <cell r="DS690">
            <v>0</v>
          </cell>
          <cell r="DT690">
            <v>0</v>
          </cell>
          <cell r="DU690">
            <v>0</v>
          </cell>
          <cell r="DV690">
            <v>0</v>
          </cell>
          <cell r="DW690">
            <v>0</v>
          </cell>
          <cell r="DX690">
            <v>0</v>
          </cell>
          <cell r="DY690">
            <v>0</v>
          </cell>
          <cell r="DZ690">
            <v>0</v>
          </cell>
          <cell r="EA690">
            <v>0</v>
          </cell>
          <cell r="EB690">
            <v>0</v>
          </cell>
          <cell r="EC690">
            <v>0</v>
          </cell>
          <cell r="ED690">
            <v>0</v>
          </cell>
          <cell r="EE690">
            <v>0</v>
          </cell>
          <cell r="EF690">
            <v>0</v>
          </cell>
          <cell r="EG690">
            <v>0</v>
          </cell>
          <cell r="EH690">
            <v>0</v>
          </cell>
          <cell r="EI690">
            <v>0</v>
          </cell>
          <cell r="EJ690">
            <v>0</v>
          </cell>
          <cell r="EK690">
            <v>0</v>
          </cell>
          <cell r="EL690">
            <v>0</v>
          </cell>
          <cell r="EM690">
            <v>0</v>
          </cell>
          <cell r="EN690">
            <v>0</v>
          </cell>
          <cell r="EO690">
            <v>0</v>
          </cell>
          <cell r="EP690">
            <v>0</v>
          </cell>
          <cell r="EQ690">
            <v>0</v>
          </cell>
          <cell r="ER690">
            <v>0</v>
          </cell>
          <cell r="ES690">
            <v>0</v>
          </cell>
          <cell r="ET690">
            <v>0</v>
          </cell>
          <cell r="EU690">
            <v>0</v>
          </cell>
          <cell r="EV690">
            <v>0</v>
          </cell>
          <cell r="EW690">
            <v>0</v>
          </cell>
          <cell r="EX690">
            <v>0</v>
          </cell>
          <cell r="EY690">
            <v>0</v>
          </cell>
          <cell r="EZ690">
            <v>0</v>
          </cell>
          <cell r="FA690">
            <v>0</v>
          </cell>
          <cell r="FB690">
            <v>0</v>
          </cell>
          <cell r="FC690">
            <v>0</v>
          </cell>
          <cell r="FD690">
            <v>0</v>
          </cell>
          <cell r="FE690">
            <v>0</v>
          </cell>
          <cell r="FF690">
            <v>0</v>
          </cell>
          <cell r="FG690">
            <v>0</v>
          </cell>
          <cell r="FH690">
            <v>0</v>
          </cell>
          <cell r="FI690">
            <v>0</v>
          </cell>
          <cell r="FJ690">
            <v>0</v>
          </cell>
          <cell r="FK690">
            <v>0</v>
          </cell>
          <cell r="FL690">
            <v>0</v>
          </cell>
          <cell r="FM690">
            <v>0</v>
          </cell>
          <cell r="FN690">
            <v>0</v>
          </cell>
          <cell r="FO690">
            <v>0</v>
          </cell>
          <cell r="FP690">
            <v>0</v>
          </cell>
          <cell r="FQ690">
            <v>0</v>
          </cell>
          <cell r="FR690">
            <v>0</v>
          </cell>
          <cell r="FS690">
            <v>0</v>
          </cell>
          <cell r="FT690">
            <v>0</v>
          </cell>
          <cell r="FU690">
            <v>0</v>
          </cell>
          <cell r="FV690">
            <v>0</v>
          </cell>
          <cell r="FW690">
            <v>0</v>
          </cell>
          <cell r="FX690">
            <v>0</v>
          </cell>
          <cell r="FY690">
            <v>0</v>
          </cell>
          <cell r="FZ690">
            <v>0</v>
          </cell>
          <cell r="GA690">
            <v>0</v>
          </cell>
          <cell r="GB690">
            <v>0</v>
          </cell>
          <cell r="GC690">
            <v>0</v>
          </cell>
          <cell r="GD690">
            <v>0</v>
          </cell>
          <cell r="GE690">
            <v>0</v>
          </cell>
          <cell r="GF690">
            <v>0</v>
          </cell>
          <cell r="GG690">
            <v>0</v>
          </cell>
          <cell r="GH690">
            <v>0</v>
          </cell>
          <cell r="GI690">
            <v>0</v>
          </cell>
          <cell r="GJ690">
            <v>0</v>
          </cell>
          <cell r="GK690">
            <v>0</v>
          </cell>
          <cell r="GL690">
            <v>0</v>
          </cell>
          <cell r="GM690">
            <v>0</v>
          </cell>
          <cell r="GN690">
            <v>0</v>
          </cell>
          <cell r="GO690">
            <v>0</v>
          </cell>
          <cell r="GP690">
            <v>0</v>
          </cell>
          <cell r="GQ690">
            <v>0</v>
          </cell>
          <cell r="GR690">
            <v>0</v>
          </cell>
          <cell r="GS690">
            <v>0</v>
          </cell>
          <cell r="GT690">
            <v>0</v>
          </cell>
          <cell r="GU690">
            <v>0</v>
          </cell>
          <cell r="GV690">
            <v>0</v>
          </cell>
          <cell r="GW690">
            <v>0</v>
          </cell>
          <cell r="GX690">
            <v>0</v>
          </cell>
          <cell r="GY690">
            <v>0</v>
          </cell>
          <cell r="GZ690">
            <v>0</v>
          </cell>
          <cell r="HA690">
            <v>0</v>
          </cell>
          <cell r="HB690">
            <v>0</v>
          </cell>
          <cell r="HC690">
            <v>0</v>
          </cell>
          <cell r="HD690">
            <v>0</v>
          </cell>
          <cell r="HE690">
            <v>0</v>
          </cell>
          <cell r="HF690">
            <v>0</v>
          </cell>
        </row>
        <row r="711">
          <cell r="N711">
            <v>495</v>
          </cell>
          <cell r="O711">
            <v>495</v>
          </cell>
          <cell r="P711">
            <v>495</v>
          </cell>
          <cell r="Q711">
            <v>495</v>
          </cell>
          <cell r="R711">
            <v>495</v>
          </cell>
          <cell r="S711">
            <v>495</v>
          </cell>
          <cell r="T711">
            <v>495</v>
          </cell>
          <cell r="U711">
            <v>495</v>
          </cell>
          <cell r="V711">
            <v>495</v>
          </cell>
          <cell r="W711">
            <v>495</v>
          </cell>
          <cell r="X711">
            <v>495</v>
          </cell>
          <cell r="Y711">
            <v>495</v>
          </cell>
          <cell r="Z711">
            <v>495</v>
          </cell>
          <cell r="AA711">
            <v>495</v>
          </cell>
          <cell r="AB711">
            <v>495</v>
          </cell>
          <cell r="AC711">
            <v>495</v>
          </cell>
          <cell r="AD711">
            <v>495</v>
          </cell>
          <cell r="AE711">
            <v>495</v>
          </cell>
          <cell r="AF711">
            <v>495</v>
          </cell>
          <cell r="AG711">
            <v>495</v>
          </cell>
          <cell r="AH711">
            <v>495</v>
          </cell>
          <cell r="AI711">
            <v>495</v>
          </cell>
          <cell r="AJ711">
            <v>495</v>
          </cell>
          <cell r="AK711">
            <v>495</v>
          </cell>
          <cell r="AL711">
            <v>495</v>
          </cell>
          <cell r="AM711">
            <v>495</v>
          </cell>
          <cell r="AN711">
            <v>495</v>
          </cell>
          <cell r="AO711">
            <v>495</v>
          </cell>
          <cell r="AP711">
            <v>495</v>
          </cell>
          <cell r="AQ711">
            <v>495</v>
          </cell>
          <cell r="AR711">
            <v>495</v>
          </cell>
          <cell r="AS711">
            <v>495</v>
          </cell>
          <cell r="AT711">
            <v>495</v>
          </cell>
          <cell r="AU711">
            <v>495</v>
          </cell>
          <cell r="AV711">
            <v>495</v>
          </cell>
          <cell r="AW711">
            <v>495</v>
          </cell>
          <cell r="AX711">
            <v>495</v>
          </cell>
          <cell r="AY711">
            <v>495</v>
          </cell>
          <cell r="AZ711">
            <v>495</v>
          </cell>
          <cell r="BA711">
            <v>495</v>
          </cell>
          <cell r="BB711">
            <v>495</v>
          </cell>
          <cell r="BC711">
            <v>495</v>
          </cell>
          <cell r="BD711">
            <v>495</v>
          </cell>
          <cell r="BE711">
            <v>495</v>
          </cell>
          <cell r="BF711">
            <v>495</v>
          </cell>
          <cell r="BG711">
            <v>495</v>
          </cell>
          <cell r="BH711">
            <v>495</v>
          </cell>
          <cell r="BI711">
            <v>495</v>
          </cell>
          <cell r="BJ711">
            <v>495</v>
          </cell>
          <cell r="BK711">
            <v>495</v>
          </cell>
          <cell r="BL711">
            <v>495</v>
          </cell>
          <cell r="BM711">
            <v>495</v>
          </cell>
          <cell r="BN711">
            <v>495</v>
          </cell>
          <cell r="BO711">
            <v>495</v>
          </cell>
          <cell r="BP711">
            <v>495</v>
          </cell>
          <cell r="BQ711">
            <v>495</v>
          </cell>
          <cell r="BR711">
            <v>495</v>
          </cell>
          <cell r="BS711">
            <v>495</v>
          </cell>
          <cell r="BT711">
            <v>495</v>
          </cell>
          <cell r="BU711">
            <v>495</v>
          </cell>
          <cell r="BV711">
            <v>495</v>
          </cell>
          <cell r="BW711">
            <v>495</v>
          </cell>
          <cell r="BX711">
            <v>495</v>
          </cell>
          <cell r="BY711">
            <v>495</v>
          </cell>
          <cell r="BZ711">
            <v>495</v>
          </cell>
          <cell r="CA711">
            <v>495</v>
          </cell>
          <cell r="CB711">
            <v>495</v>
          </cell>
          <cell r="CC711">
            <v>495</v>
          </cell>
          <cell r="CD711">
            <v>495</v>
          </cell>
          <cell r="CE711">
            <v>495</v>
          </cell>
          <cell r="CF711">
            <v>495</v>
          </cell>
          <cell r="CG711">
            <v>495</v>
          </cell>
          <cell r="CH711">
            <v>495</v>
          </cell>
          <cell r="CI711">
            <v>495</v>
          </cell>
          <cell r="CJ711">
            <v>495</v>
          </cell>
          <cell r="CK711">
            <v>495</v>
          </cell>
          <cell r="CL711">
            <v>495</v>
          </cell>
          <cell r="CM711">
            <v>495</v>
          </cell>
          <cell r="CN711">
            <v>495</v>
          </cell>
          <cell r="CO711">
            <v>495</v>
          </cell>
          <cell r="CP711">
            <v>495</v>
          </cell>
          <cell r="CQ711">
            <v>495</v>
          </cell>
          <cell r="CR711">
            <v>495</v>
          </cell>
          <cell r="CS711">
            <v>495</v>
          </cell>
          <cell r="CT711">
            <v>495</v>
          </cell>
          <cell r="CU711">
            <v>495</v>
          </cell>
          <cell r="CV711">
            <v>495</v>
          </cell>
          <cell r="CW711">
            <v>495</v>
          </cell>
          <cell r="CX711">
            <v>495</v>
          </cell>
          <cell r="CY711">
            <v>495</v>
          </cell>
          <cell r="CZ711">
            <v>0</v>
          </cell>
          <cell r="DA711">
            <v>0</v>
          </cell>
          <cell r="DB711">
            <v>0</v>
          </cell>
          <cell r="DC711">
            <v>0</v>
          </cell>
          <cell r="DD711">
            <v>0</v>
          </cell>
          <cell r="DE711">
            <v>0</v>
          </cell>
          <cell r="DF711">
            <v>0</v>
          </cell>
          <cell r="DG711">
            <v>0</v>
          </cell>
          <cell r="DH711">
            <v>0</v>
          </cell>
          <cell r="DI711">
            <v>0</v>
          </cell>
          <cell r="DJ711">
            <v>0</v>
          </cell>
          <cell r="DK711">
            <v>0</v>
          </cell>
          <cell r="DL711">
            <v>0</v>
          </cell>
          <cell r="DM711">
            <v>0</v>
          </cell>
          <cell r="DN711">
            <v>0</v>
          </cell>
          <cell r="DO711">
            <v>0</v>
          </cell>
          <cell r="DP711">
            <v>0</v>
          </cell>
          <cell r="DQ711">
            <v>0</v>
          </cell>
          <cell r="DR711">
            <v>0</v>
          </cell>
          <cell r="DS711">
            <v>0</v>
          </cell>
          <cell r="DT711">
            <v>0</v>
          </cell>
          <cell r="DU711">
            <v>0</v>
          </cell>
          <cell r="DV711">
            <v>0</v>
          </cell>
          <cell r="DW711">
            <v>0</v>
          </cell>
          <cell r="DX711">
            <v>0</v>
          </cell>
          <cell r="DY711">
            <v>0</v>
          </cell>
          <cell r="DZ711">
            <v>0</v>
          </cell>
          <cell r="EA711">
            <v>0</v>
          </cell>
          <cell r="EB711">
            <v>0</v>
          </cell>
          <cell r="EC711">
            <v>0</v>
          </cell>
          <cell r="ED711">
            <v>0</v>
          </cell>
          <cell r="EE711">
            <v>0</v>
          </cell>
          <cell r="EF711">
            <v>0</v>
          </cell>
          <cell r="EG711">
            <v>0</v>
          </cell>
          <cell r="EH711">
            <v>0</v>
          </cell>
          <cell r="EI711">
            <v>0</v>
          </cell>
          <cell r="EJ711">
            <v>0</v>
          </cell>
          <cell r="EK711">
            <v>0</v>
          </cell>
          <cell r="EL711">
            <v>0</v>
          </cell>
          <cell r="EM711">
            <v>0</v>
          </cell>
          <cell r="EN711">
            <v>0</v>
          </cell>
          <cell r="EO711">
            <v>0</v>
          </cell>
          <cell r="EP711">
            <v>0</v>
          </cell>
          <cell r="EQ711">
            <v>0</v>
          </cell>
          <cell r="ER711">
            <v>0</v>
          </cell>
          <cell r="ES711">
            <v>0</v>
          </cell>
          <cell r="ET711">
            <v>0</v>
          </cell>
          <cell r="EU711">
            <v>0</v>
          </cell>
          <cell r="EV711">
            <v>0</v>
          </cell>
          <cell r="EW711">
            <v>0</v>
          </cell>
          <cell r="EX711">
            <v>0</v>
          </cell>
          <cell r="EY711">
            <v>0</v>
          </cell>
          <cell r="EZ711">
            <v>0</v>
          </cell>
          <cell r="FA711">
            <v>0</v>
          </cell>
          <cell r="FB711">
            <v>0</v>
          </cell>
          <cell r="FC711">
            <v>0</v>
          </cell>
          <cell r="FD711">
            <v>0</v>
          </cell>
          <cell r="FE711">
            <v>0</v>
          </cell>
          <cell r="FF711">
            <v>0</v>
          </cell>
          <cell r="FG711">
            <v>0</v>
          </cell>
          <cell r="FH711">
            <v>0</v>
          </cell>
          <cell r="FI711">
            <v>0</v>
          </cell>
          <cell r="FJ711">
            <v>0</v>
          </cell>
          <cell r="FK711">
            <v>0</v>
          </cell>
          <cell r="FL711">
            <v>0</v>
          </cell>
          <cell r="FM711">
            <v>0</v>
          </cell>
          <cell r="FN711">
            <v>0</v>
          </cell>
          <cell r="FO711">
            <v>0</v>
          </cell>
          <cell r="FP711">
            <v>0</v>
          </cell>
          <cell r="FQ711">
            <v>0</v>
          </cell>
          <cell r="FR711">
            <v>0</v>
          </cell>
          <cell r="FS711">
            <v>0</v>
          </cell>
          <cell r="FT711">
            <v>0</v>
          </cell>
          <cell r="FU711">
            <v>0</v>
          </cell>
          <cell r="FV711">
            <v>0</v>
          </cell>
          <cell r="FW711">
            <v>0</v>
          </cell>
          <cell r="FX711">
            <v>0</v>
          </cell>
          <cell r="FY711">
            <v>0</v>
          </cell>
          <cell r="FZ711">
            <v>0</v>
          </cell>
          <cell r="GA711">
            <v>0</v>
          </cell>
          <cell r="GB711">
            <v>0</v>
          </cell>
          <cell r="GC711">
            <v>0</v>
          </cell>
          <cell r="GD711">
            <v>0</v>
          </cell>
          <cell r="GE711">
            <v>0</v>
          </cell>
          <cell r="GF711">
            <v>0</v>
          </cell>
          <cell r="GG711">
            <v>0</v>
          </cell>
          <cell r="GH711">
            <v>0</v>
          </cell>
          <cell r="GI711">
            <v>0</v>
          </cell>
          <cell r="GJ711">
            <v>0</v>
          </cell>
          <cell r="GK711">
            <v>0</v>
          </cell>
          <cell r="GL711">
            <v>0</v>
          </cell>
          <cell r="GM711">
            <v>0</v>
          </cell>
          <cell r="GN711">
            <v>0</v>
          </cell>
          <cell r="GO711">
            <v>0</v>
          </cell>
          <cell r="GP711">
            <v>0</v>
          </cell>
          <cell r="GQ711">
            <v>0</v>
          </cell>
          <cell r="GR711">
            <v>0</v>
          </cell>
          <cell r="GS711">
            <v>0</v>
          </cell>
          <cell r="GT711">
            <v>0</v>
          </cell>
          <cell r="GU711">
            <v>0</v>
          </cell>
          <cell r="GV711">
            <v>0</v>
          </cell>
          <cell r="GW711">
            <v>0</v>
          </cell>
          <cell r="GX711">
            <v>0</v>
          </cell>
          <cell r="GY711">
            <v>0</v>
          </cell>
          <cell r="GZ711">
            <v>0</v>
          </cell>
          <cell r="HA711">
            <v>0</v>
          </cell>
          <cell r="HB711">
            <v>0</v>
          </cell>
          <cell r="HC711">
            <v>0</v>
          </cell>
          <cell r="HD711">
            <v>0</v>
          </cell>
          <cell r="HE711">
            <v>0</v>
          </cell>
          <cell r="HF711">
            <v>0</v>
          </cell>
        </row>
      </sheetData>
      <sheetData sheetId="11">
        <row r="19">
          <cell r="P19">
            <v>13590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0">
          <cell r="D10" t="str">
            <v>Yes</v>
          </cell>
          <cell r="F10">
            <v>16</v>
          </cell>
          <cell r="H10">
            <v>0</v>
          </cell>
        </row>
        <row r="11">
          <cell r="D11" t="str">
            <v>No</v>
          </cell>
          <cell r="F11">
            <v>17</v>
          </cell>
          <cell r="H11">
            <v>1</v>
          </cell>
        </row>
        <row r="12">
          <cell r="F12">
            <v>18</v>
          </cell>
          <cell r="H12">
            <v>2</v>
          </cell>
        </row>
        <row r="13">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row>
        <row r="31">
          <cell r="F31">
            <v>37</v>
          </cell>
        </row>
        <row r="32">
          <cell r="F32">
            <v>38</v>
          </cell>
        </row>
        <row r="33">
          <cell r="F33">
            <v>39</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DB0423-2314-46E3-B615-D074001383A0}" name="CHIP_Factors" displayName="CHIP_Factors" ref="C6:X159" totalsRowShown="0">
  <autoFilter ref="C6:X159" xr:uid="{B88C1A3D-A5E0-4388-9D80-9546E21E7593}"/>
  <tableColumns count="22">
    <tableColumn id="1" xr3:uid="{EFB7C975-B9DA-4F59-ADAC-B314B6B7DF97}" name="State"/>
    <tableColumn id="2" xr3:uid="{C435474A-E3B2-4B89-936F-A94F206C7278}" name="CHIP Name"/>
    <tableColumn id="18" xr3:uid="{1885C23E-C83A-47B8-B15C-5BA88F835181}" name="Family Size"/>
    <tableColumn id="3" xr3:uid="{5754CDAA-F770-464B-A644-633A3E4CE2FA}" name="Group"/>
    <tableColumn id="4" xr3:uid="{E89E37B5-33B3-4089-9716-FA13B3BDBCF9}" name="Group Name"/>
    <tableColumn id="5" xr3:uid="{45B08BB0-5617-4DA6-BEDB-746AC240016C}" name="Factor"/>
    <tableColumn id="6" xr3:uid="{0C660FAF-58DD-464E-A2FD-B24CD05F4696}" name="Condition"/>
    <tableColumn id="7" xr3:uid="{25D67F86-9CCA-403C-9A99-C782F00CF5F1}" name="Comment"/>
    <tableColumn id="8" xr3:uid="{694AAD2E-717A-4F28-91F1-931B7F93F2B5}" name="2018" dataDxfId="15"/>
    <tableColumn id="9" xr3:uid="{97FC3099-CD3C-406A-8B21-298941B0294B}" name="Note 2018"/>
    <tableColumn id="10" xr3:uid="{02D52290-2091-4194-8684-CAA8FF671A5A}" name="2019" dataDxfId="14"/>
    <tableColumn id="11" xr3:uid="{B687C791-DCD0-40F9-A003-7375EA5D5E08}" name="Note 2019"/>
    <tableColumn id="12" xr3:uid="{7044995B-4F7E-4DF1-B6B1-6450ECBCF810}" name="2020" dataDxfId="13"/>
    <tableColumn id="13" xr3:uid="{FE9ECC39-8551-4F8D-8058-EDBBD7AAC0B9}" name="Note 2020"/>
    <tableColumn id="14" xr3:uid="{C88077C8-3DB2-4618-A2C4-A2ED72926D8A}" name="2021" dataDxfId="12"/>
    <tableColumn id="15" xr3:uid="{CEE852BE-0288-4D25-A134-05DE87941293}" name="Note 2021"/>
    <tableColumn id="16" xr3:uid="{1EC2764C-450F-4DC2-BB5C-18FBC0D36A51}" name="2022" dataDxfId="11"/>
    <tableColumn id="22" xr3:uid="{E4CA1682-A297-41F8-A170-FA3C5E3C5FE1}" name="Note 2022" dataDxfId="0"/>
    <tableColumn id="17" xr3:uid="{15A14A99-6E51-43D4-858D-E3A9622367BB}" name="2023" dataDxfId="2"/>
    <tableColumn id="19" xr3:uid="{252B484C-E111-4EE9-8009-9F0B178334DD}" name="Note 2023"/>
    <tableColumn id="20" xr3:uid="{53FB1FED-2C52-4230-A1D5-F516B9A20AC4}" name="2024" dataDxfId="1"/>
    <tableColumn id="21" xr3:uid="{5BCB2BF2-96A4-4C13-9934-C9422400F593}" name="Note 20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ECF588-B205-48DB-8446-02E088204643}" name="CHIP_RuleException" displayName="CHIP_RuleException" ref="C253:L255" totalsRowShown="0" headerRowDxfId="10">
  <autoFilter ref="C253:L255" xr:uid="{419E0551-AF55-4B17-9C50-4F4C250E8C3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6D8ACA-7993-4B61-9CED-4D9CA2229D0E}" name="State"/>
    <tableColumn id="2" xr3:uid="{E06C9A3B-7B4D-421C-BAFE-8038BCCE40AE}" name="Exception"/>
    <tableColumn id="3" xr3:uid="{E2A574BE-12FD-4312-B785-73D959538A69}" name="Condition"/>
    <tableColumn id="4" xr3:uid="{1C092560-208F-40F7-A72A-AE7B479C4A5B}" name="Factor" dataDxfId="9"/>
    <tableColumn id="5" xr3:uid="{43C7574B-56CF-4E95-8F32-2541DE52EF2C}" name="Description"/>
    <tableColumn id="6" xr3:uid="{30BA6D24-C28F-461D-BCB2-D4AFFB1DC45E}" name="2018"/>
    <tableColumn id="7" xr3:uid="{6F6F487E-BC58-4057-8000-EAE0E022348C}" name="2019"/>
    <tableColumn id="8" xr3:uid="{89F5859A-0848-4447-BA12-ED5A0DC4768C}" name="2020"/>
    <tableColumn id="9" xr3:uid="{12D13CB7-5F04-47A4-9328-689E4B20E1E5}" name="2021"/>
    <tableColumn id="10" xr3:uid="{67B44EC6-4BC2-404F-BFFF-CB8AB5AD3D89}" name="20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19224E-14C2-4FD8-938E-4139DD07AAEE}" name="TestCHIP_GroupLookup" displayName="TestCHIP_GroupLookup" ref="D278:I286" totalsRowShown="0">
  <autoFilter ref="D278:I286" xr:uid="{1136F8DE-1B72-477F-8A88-E2BB1D0A3D4C}">
    <filterColumn colId="0" hiddenButton="1"/>
    <filterColumn colId="1" hiddenButton="1"/>
    <filterColumn colId="2" hiddenButton="1"/>
    <filterColumn colId="3" hiddenButton="1"/>
    <filterColumn colId="4" hiddenButton="1"/>
    <filterColumn colId="5" hiddenButton="1"/>
  </autoFilter>
  <tableColumns count="6">
    <tableColumn id="4" xr3:uid="{2D879381-8EA7-4AF1-B7C1-DB3E68DE5054}" name="Group" dataDxfId="8"/>
    <tableColumn id="5" xr3:uid="{77FCFD80-6127-4002-8E2D-2240ACD744C8}" name="GroupLookup" dataDxfId="7"/>
    <tableColumn id="6" xr3:uid="{F3C999F1-78F1-4BAB-9D8A-68454093CD6E}" name="GroupLookup3" dataDxfId="6"/>
    <tableColumn id="1" xr3:uid="{9250A749-A00B-4795-B7A9-D5F1DEEE6F6D}" name="FPIG" dataDxfId="5" dataCellStyle="Percent">
      <calculatedColumnFormula array="1">_xlfn.IFNA(INDEX(CHIP_Factors[],MATCH(1,(CHIP_Factors[State]=$E$274)*(CHIP_Factors[Group]=D279)*(CHIP_Factors[Factor]="Annual MAGI Limit"),0),MATCH($E$275,VALUE(CHIP_Factors[#Headers]),0)),"ineligible")</calculatedColumnFormula>
    </tableColumn>
    <tableColumn id="2" xr3:uid="{F9BB3165-3F2C-4EB2-8651-BADC1956B2DA}" name="FPIG +5%" dataDxfId="4" dataCellStyle="Percent">
      <calculatedColumnFormula>G279+5%</calculatedColumnFormula>
    </tableColumn>
    <tableColumn id="3" xr3:uid="{1191E6DA-B90C-4E35-A397-A1D9B981BC18}" name="Exceeds MAGI Limit" dataDxfId="3">
      <calculatedColumnFormula array="1">H279*INDEX([1]!FPIG[#Data],MATCH(1,([1]!FPIG[State]="48 States")*([1]!FPIG[Persons in Family/Household]=$E$276),0),MATCH($E$275,VALUE([1]!FPIG[#Headers]),0))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ldh.la.gov/index.cfm/page/224" TargetMode="External"/><Relationship Id="rId13" Type="http://schemas.openxmlformats.org/officeDocument/2006/relationships/hyperlink" Target="https://medicaid.ncdhhs.gov/medicaid/get-started/learn-if-you-are-eligible-medicaid-or-health-choice/health-choice-income-and" TargetMode="External"/><Relationship Id="rId18" Type="http://schemas.openxmlformats.org/officeDocument/2006/relationships/hyperlink" Target="https://www.tn.gov/content/dam/tn/coverkids/documents/CoverKidsCopay.pdf" TargetMode="External"/><Relationship Id="rId3" Type="http://schemas.openxmlformats.org/officeDocument/2006/relationships/hyperlink" Target="https://www.insurekidsnow.gov/coverage/index.html" TargetMode="External"/><Relationship Id="rId21" Type="http://schemas.openxmlformats.org/officeDocument/2006/relationships/table" Target="../tables/table1.xml"/><Relationship Id="rId7" Type="http://schemas.openxmlformats.org/officeDocument/2006/relationships/hyperlink" Target="http://ldh.la.gov/index.cfm/page/222" TargetMode="External"/><Relationship Id="rId12" Type="http://schemas.openxmlformats.org/officeDocument/2006/relationships/hyperlink" Target="https://medicaid.ms.gov/medicaid-coverage/who-qualifies-for-coverage/income-limits-for-medicaid-and-chip-programs" TargetMode="External"/><Relationship Id="rId17" Type="http://schemas.openxmlformats.org/officeDocument/2006/relationships/hyperlink" Target="https://www.tn.gov/content/tn/coverkids/coverkids/eligibility.html" TargetMode="External"/><Relationship Id="rId2" Type="http://schemas.openxmlformats.org/officeDocument/2006/relationships/hyperlink" Target="tel:+1-404-656-4507" TargetMode="External"/><Relationship Id="rId16" Type="http://schemas.openxmlformats.org/officeDocument/2006/relationships/hyperlink" Target="https://www.tn.gov/content/dam/tn/tenncare/documents/eligibilityrefguide.pdf" TargetMode="External"/><Relationship Id="rId20" Type="http://schemas.openxmlformats.org/officeDocument/2006/relationships/printerSettings" Target="../printerSettings/printerSettings1.bin"/><Relationship Id="rId1" Type="http://schemas.openxmlformats.org/officeDocument/2006/relationships/hyperlink" Target="http://www.alabamapublichealth.gov/allkids/premiums-and-copays.html" TargetMode="External"/><Relationship Id="rId6" Type="http://schemas.openxmlformats.org/officeDocument/2006/relationships/hyperlink" Target="https://dch.georgia.gov/sites/dch.georgia.gov/files/PeachCare%20for%20Kids%20Premium%20Changes%20Public%20Notice.pdf" TargetMode="External"/><Relationship Id="rId11" Type="http://schemas.openxmlformats.org/officeDocument/2006/relationships/hyperlink" Target="https://medicaid.ms.gov/programs/childrens-health-insurance-program-chip" TargetMode="External"/><Relationship Id="rId5" Type="http://schemas.openxmlformats.org/officeDocument/2006/relationships/hyperlink" Target="https://dch.georgia.gov/peachcare-kids" TargetMode="External"/><Relationship Id="rId15" Type="http://schemas.openxmlformats.org/officeDocument/2006/relationships/hyperlink" Target="https://www.tn.gov/coverkids" TargetMode="External"/><Relationship Id="rId23" Type="http://schemas.openxmlformats.org/officeDocument/2006/relationships/table" Target="../tables/table3.xml"/><Relationship Id="rId10" Type="http://schemas.openxmlformats.org/officeDocument/2006/relationships/hyperlink" Target="https://medicaid.ms.gov/childrens-health-insurance-program-chip-state-plan" TargetMode="External"/><Relationship Id="rId19" Type="http://schemas.openxmlformats.org/officeDocument/2006/relationships/hyperlink" Target="https://hhs.texas.gov/laws-regulations/handbooks/twh/part-d-childrens-health-insurance-program-chip/section-1800-cost-sharing" TargetMode="External"/><Relationship Id="rId4" Type="http://schemas.openxmlformats.org/officeDocument/2006/relationships/hyperlink" Target="https://www.healthykids.org/kidcare/eligibility/Florida_KidCare_Income_Guidelines.pdf" TargetMode="External"/><Relationship Id="rId9" Type="http://schemas.openxmlformats.org/officeDocument/2006/relationships/hyperlink" Target="http://www.ldh.la.gov/index.cfm/page/1371" TargetMode="External"/><Relationship Id="rId14" Type="http://schemas.openxmlformats.org/officeDocument/2006/relationships/hyperlink" Target="https://www.tn.gov/coverkids/coverkids/state-plan.html" TargetMode="External"/><Relationship Id="rId22"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8C93-3003-422E-B596-B71295415164}">
  <sheetPr codeName="Sheet26"/>
  <dimension ref="A1:AA343"/>
  <sheetViews>
    <sheetView tabSelected="1" workbookViewId="0">
      <selection activeCell="X6" sqref="X6"/>
    </sheetView>
  </sheetViews>
  <sheetFormatPr defaultRowHeight="14.5"/>
  <cols>
    <col min="3" max="3" width="14.36328125" customWidth="1"/>
    <col min="4" max="4" width="16.90625" customWidth="1"/>
    <col min="5" max="5" width="20.6328125" customWidth="1"/>
    <col min="6" max="6" width="24.90625" customWidth="1"/>
    <col min="7" max="7" width="30.36328125" bestFit="1" customWidth="1"/>
    <col min="8" max="8" width="18" bestFit="1" customWidth="1"/>
    <col min="9" max="9" width="11.90625" customWidth="1"/>
    <col min="10" max="10" width="9.6328125" customWidth="1"/>
    <col min="11" max="11" width="12" customWidth="1"/>
    <col min="13" max="13" width="12" customWidth="1"/>
    <col min="15" max="15" width="12" customWidth="1"/>
    <col min="17" max="17" width="9.54296875" bestFit="1" customWidth="1"/>
    <col min="18" max="18" width="10.453125" customWidth="1"/>
    <col min="19" max="19" width="11" customWidth="1"/>
    <col min="20" max="20" width="9.90625" bestFit="1" customWidth="1"/>
  </cols>
  <sheetData>
    <row r="1" spans="1:27">
      <c r="A1" s="1" t="s">
        <v>0</v>
      </c>
      <c r="B1" s="1" t="s">
        <v>1</v>
      </c>
    </row>
    <row r="3" spans="1:27">
      <c r="B3" t="s">
        <v>2</v>
      </c>
      <c r="O3" s="2">
        <f>[1]FPIG!P19</f>
        <v>13590</v>
      </c>
      <c r="P3" s="3">
        <f>S3/O3</f>
        <v>1.9811302428256072</v>
      </c>
      <c r="Q3" s="2">
        <f>(28675-(28675*0.05))/12</f>
        <v>2270.1041666666665</v>
      </c>
      <c r="S3">
        <f>2243.63*12</f>
        <v>26923.56</v>
      </c>
    </row>
    <row r="4" spans="1:27">
      <c r="D4" t="s">
        <v>3</v>
      </c>
      <c r="O4" s="2">
        <f>[1]FPIG!P19</f>
        <v>13590</v>
      </c>
      <c r="P4" s="3">
        <f>S4/O4</f>
        <v>1.3332715231788079</v>
      </c>
      <c r="Q4" s="2">
        <f>P4*(Q55+0.05)</f>
        <v>5930.4583986754969</v>
      </c>
      <c r="S4">
        <f>1509.93*12</f>
        <v>18119.16</v>
      </c>
    </row>
    <row r="5" spans="1:27">
      <c r="B5" s="4" t="s">
        <v>4</v>
      </c>
    </row>
    <row r="6" spans="1:27">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271</v>
      </c>
      <c r="V6" t="s">
        <v>269</v>
      </c>
      <c r="W6" t="s">
        <v>272</v>
      </c>
      <c r="X6" t="s">
        <v>270</v>
      </c>
      <c r="AA6" s="5"/>
    </row>
    <row r="7" spans="1:27">
      <c r="C7" t="s">
        <v>23</v>
      </c>
      <c r="D7" t="s">
        <v>24</v>
      </c>
      <c r="E7" s="6"/>
      <c r="F7" t="s">
        <v>25</v>
      </c>
      <c r="G7" t="s">
        <v>26</v>
      </c>
      <c r="H7" t="s">
        <v>27</v>
      </c>
      <c r="K7" s="7">
        <v>1.41</v>
      </c>
      <c r="L7" s="6"/>
      <c r="M7" s="7">
        <v>1.41</v>
      </c>
      <c r="N7" s="6"/>
      <c r="O7" s="7">
        <v>1.41</v>
      </c>
      <c r="P7" t="s">
        <v>28</v>
      </c>
      <c r="Q7" s="7">
        <v>1.41</v>
      </c>
      <c r="R7" s="8">
        <v>44105</v>
      </c>
      <c r="S7" s="7">
        <v>1.41</v>
      </c>
      <c r="T7" s="7"/>
      <c r="U7" s="7">
        <v>1.51</v>
      </c>
      <c r="V7" s="44"/>
      <c r="W7" s="7">
        <v>1.51</v>
      </c>
      <c r="X7" s="8"/>
      <c r="AA7" s="5" t="s">
        <v>27</v>
      </c>
    </row>
    <row r="8" spans="1:27">
      <c r="C8" t="s">
        <v>23</v>
      </c>
      <c r="D8" t="s">
        <v>24</v>
      </c>
      <c r="E8" s="6"/>
      <c r="F8" t="s">
        <v>29</v>
      </c>
      <c r="G8" t="s">
        <v>30</v>
      </c>
      <c r="H8" t="s">
        <v>27</v>
      </c>
      <c r="K8" s="7">
        <v>3.12</v>
      </c>
      <c r="L8" s="6"/>
      <c r="M8" s="7">
        <v>3.12</v>
      </c>
      <c r="N8" s="6"/>
      <c r="O8" s="7">
        <v>3.12</v>
      </c>
      <c r="P8" t="s">
        <v>28</v>
      </c>
      <c r="Q8" s="7">
        <v>3.12</v>
      </c>
      <c r="R8" s="8">
        <v>44105</v>
      </c>
      <c r="S8" s="7">
        <v>3.12</v>
      </c>
      <c r="T8" s="7"/>
      <c r="U8" s="7">
        <v>3.12</v>
      </c>
      <c r="V8" s="8"/>
      <c r="W8" s="7">
        <v>3.12</v>
      </c>
      <c r="X8" s="8"/>
      <c r="AA8" s="9" t="s">
        <v>31</v>
      </c>
    </row>
    <row r="9" spans="1:27">
      <c r="C9" t="s">
        <v>23</v>
      </c>
      <c r="D9" t="s">
        <v>24</v>
      </c>
      <c r="E9" s="6"/>
      <c r="F9" t="s">
        <v>25</v>
      </c>
      <c r="G9" t="s">
        <v>32</v>
      </c>
      <c r="H9" t="s">
        <v>33</v>
      </c>
      <c r="K9" s="10">
        <v>52</v>
      </c>
      <c r="L9" s="6"/>
      <c r="M9" s="10">
        <v>52</v>
      </c>
      <c r="N9" s="6"/>
      <c r="O9" s="10">
        <v>52</v>
      </c>
      <c r="Q9" s="10">
        <v>52</v>
      </c>
      <c r="S9" s="10">
        <v>52</v>
      </c>
      <c r="T9" s="10"/>
      <c r="U9" s="10">
        <v>52</v>
      </c>
      <c r="W9" s="10">
        <v>52</v>
      </c>
      <c r="AA9" s="5" t="s">
        <v>33</v>
      </c>
    </row>
    <row r="10" spans="1:27">
      <c r="C10" t="s">
        <v>23</v>
      </c>
      <c r="D10" t="s">
        <v>24</v>
      </c>
      <c r="E10" s="6"/>
      <c r="F10" t="s">
        <v>29</v>
      </c>
      <c r="G10" t="s">
        <v>34</v>
      </c>
      <c r="H10" t="s">
        <v>33</v>
      </c>
      <c r="K10" s="10">
        <v>104</v>
      </c>
      <c r="L10" s="6"/>
      <c r="M10" s="10">
        <v>104</v>
      </c>
      <c r="N10" s="6"/>
      <c r="O10" s="10">
        <v>104</v>
      </c>
      <c r="Q10" s="10">
        <v>104</v>
      </c>
      <c r="S10" s="10">
        <v>104</v>
      </c>
      <c r="T10" s="10"/>
      <c r="U10" s="10">
        <v>104</v>
      </c>
      <c r="W10" s="10">
        <v>104</v>
      </c>
      <c r="AA10" s="9" t="s">
        <v>35</v>
      </c>
    </row>
    <row r="11" spans="1:27">
      <c r="C11" t="s">
        <v>23</v>
      </c>
      <c r="D11" t="s">
        <v>24</v>
      </c>
      <c r="E11" s="6"/>
      <c r="F11" t="s">
        <v>25</v>
      </c>
      <c r="G11" t="s">
        <v>32</v>
      </c>
      <c r="H11" t="s">
        <v>36</v>
      </c>
      <c r="K11" s="10">
        <v>156</v>
      </c>
      <c r="L11" s="6"/>
      <c r="M11" s="10">
        <v>156</v>
      </c>
      <c r="N11" s="6"/>
      <c r="O11" s="10">
        <v>156</v>
      </c>
      <c r="Q11" s="10">
        <v>156</v>
      </c>
      <c r="S11" s="10">
        <v>156</v>
      </c>
      <c r="T11" s="10"/>
      <c r="U11" s="10">
        <v>156</v>
      </c>
      <c r="W11" s="10">
        <v>156</v>
      </c>
      <c r="AA11" s="5" t="s">
        <v>36</v>
      </c>
    </row>
    <row r="12" spans="1:27">
      <c r="C12" t="s">
        <v>23</v>
      </c>
      <c r="D12" t="s">
        <v>24</v>
      </c>
      <c r="E12" s="6"/>
      <c r="F12" t="s">
        <v>29</v>
      </c>
      <c r="G12" t="s">
        <v>34</v>
      </c>
      <c r="H12" t="s">
        <v>36</v>
      </c>
      <c r="K12" s="10">
        <v>312</v>
      </c>
      <c r="L12" s="6"/>
      <c r="M12" s="10">
        <v>312</v>
      </c>
      <c r="N12" s="6"/>
      <c r="O12" s="10">
        <v>312</v>
      </c>
      <c r="Q12" s="10">
        <v>312</v>
      </c>
      <c r="S12" s="10">
        <v>312</v>
      </c>
      <c r="T12" s="10"/>
      <c r="U12" s="10">
        <v>312</v>
      </c>
      <c r="W12" s="10">
        <v>312</v>
      </c>
      <c r="Z12" t="str">
        <f>C11</f>
        <v>Alabama</v>
      </c>
    </row>
    <row r="13" spans="1:27">
      <c r="C13" t="s">
        <v>37</v>
      </c>
      <c r="D13" t="s">
        <v>38</v>
      </c>
      <c r="E13" s="6"/>
      <c r="F13" t="s">
        <v>25</v>
      </c>
      <c r="G13" t="s">
        <v>39</v>
      </c>
      <c r="H13" t="s">
        <v>27</v>
      </c>
      <c r="K13" s="7">
        <v>1.42</v>
      </c>
      <c r="L13" s="6"/>
      <c r="M13" s="7">
        <v>1.42</v>
      </c>
      <c r="N13" s="6"/>
      <c r="O13" s="7">
        <v>1.42</v>
      </c>
      <c r="Q13" s="7">
        <v>1.42</v>
      </c>
      <c r="S13" s="7">
        <v>1.42</v>
      </c>
      <c r="T13" s="7"/>
      <c r="U13" s="7">
        <v>1.37</v>
      </c>
      <c r="W13" s="7">
        <v>1.37</v>
      </c>
    </row>
    <row r="14" spans="1:27">
      <c r="C14" t="s">
        <v>37</v>
      </c>
      <c r="D14" t="s">
        <v>38</v>
      </c>
      <c r="E14" s="6"/>
      <c r="F14" t="s">
        <v>29</v>
      </c>
      <c r="G14" t="s">
        <v>40</v>
      </c>
      <c r="H14" t="s">
        <v>27</v>
      </c>
      <c r="K14" s="7">
        <v>2.11</v>
      </c>
      <c r="L14" s="6"/>
      <c r="M14" s="7">
        <v>2.11</v>
      </c>
      <c r="N14" s="6"/>
      <c r="O14" s="7">
        <v>2.11</v>
      </c>
      <c r="Q14" s="7">
        <v>2.11</v>
      </c>
      <c r="S14" s="7">
        <v>2.11</v>
      </c>
      <c r="T14" s="7"/>
      <c r="U14" s="7">
        <v>2.06</v>
      </c>
      <c r="W14" s="7">
        <v>2.06</v>
      </c>
    </row>
    <row r="15" spans="1:27">
      <c r="C15" t="s">
        <v>41</v>
      </c>
      <c r="D15" t="s">
        <v>42</v>
      </c>
      <c r="E15" s="6"/>
      <c r="F15" t="s">
        <v>25</v>
      </c>
      <c r="H15" t="s">
        <v>27</v>
      </c>
      <c r="K15" s="7">
        <v>1.53</v>
      </c>
      <c r="M15" s="7">
        <v>1.53</v>
      </c>
      <c r="O15" s="7">
        <v>1.53</v>
      </c>
      <c r="Q15" s="7">
        <v>1.53</v>
      </c>
      <c r="S15" s="7">
        <v>1.53</v>
      </c>
      <c r="T15" s="7"/>
      <c r="U15" s="7">
        <v>1.53</v>
      </c>
      <c r="W15" s="7">
        <v>1.53</v>
      </c>
    </row>
    <row r="16" spans="1:27">
      <c r="C16" t="s">
        <v>41</v>
      </c>
      <c r="D16" t="s">
        <v>42</v>
      </c>
      <c r="E16" s="6"/>
      <c r="F16" t="s">
        <v>29</v>
      </c>
      <c r="H16" t="s">
        <v>27</v>
      </c>
      <c r="K16" s="7">
        <v>1.95</v>
      </c>
      <c r="M16" s="7">
        <v>1.95</v>
      </c>
      <c r="O16" s="7">
        <v>1.95</v>
      </c>
      <c r="Q16" s="7">
        <v>1.95</v>
      </c>
      <c r="S16" s="7">
        <v>1.95</v>
      </c>
      <c r="T16" s="7"/>
      <c r="U16" s="7">
        <v>1.95</v>
      </c>
      <c r="W16" s="7">
        <v>1.95</v>
      </c>
    </row>
    <row r="17" spans="3:26">
      <c r="C17" t="s">
        <v>41</v>
      </c>
      <c r="D17" t="s">
        <v>42</v>
      </c>
      <c r="E17" s="6"/>
      <c r="F17" t="s">
        <v>25</v>
      </c>
      <c r="H17" t="s">
        <v>33</v>
      </c>
      <c r="J17" t="s">
        <v>43</v>
      </c>
      <c r="K17" s="10">
        <f>15*12</f>
        <v>180</v>
      </c>
      <c r="M17" s="10">
        <f>15*12</f>
        <v>180</v>
      </c>
      <c r="O17" s="10">
        <f>15*12</f>
        <v>180</v>
      </c>
      <c r="Q17" s="10">
        <f>15*12</f>
        <v>180</v>
      </c>
      <c r="S17" s="10">
        <f>15*12</f>
        <v>180</v>
      </c>
      <c r="T17" s="10"/>
      <c r="U17" s="10">
        <f>15*12</f>
        <v>180</v>
      </c>
      <c r="W17" s="10">
        <f>15*12</f>
        <v>180</v>
      </c>
      <c r="Y17" t="str">
        <f>C15</f>
        <v>Florida</v>
      </c>
    </row>
    <row r="18" spans="3:26">
      <c r="C18" t="s">
        <v>41</v>
      </c>
      <c r="D18" t="s">
        <v>42</v>
      </c>
      <c r="E18" s="6"/>
      <c r="F18" t="s">
        <v>29</v>
      </c>
      <c r="H18" t="s">
        <v>33</v>
      </c>
      <c r="J18" t="s">
        <v>43</v>
      </c>
      <c r="K18" s="10">
        <f>20*12</f>
        <v>240</v>
      </c>
      <c r="M18" s="10">
        <f>20*12</f>
        <v>240</v>
      </c>
      <c r="O18" s="10">
        <f>20*12</f>
        <v>240</v>
      </c>
      <c r="Q18" s="10">
        <f>20*12</f>
        <v>240</v>
      </c>
      <c r="S18" s="10">
        <f>20*12</f>
        <v>240</v>
      </c>
      <c r="T18" s="10"/>
      <c r="U18" s="10">
        <f>20*12</f>
        <v>240</v>
      </c>
      <c r="W18" s="10">
        <f>20*12</f>
        <v>240</v>
      </c>
    </row>
    <row r="19" spans="3:26">
      <c r="C19" t="s">
        <v>44</v>
      </c>
      <c r="D19" t="s">
        <v>45</v>
      </c>
      <c r="E19" s="6"/>
      <c r="F19" t="s">
        <v>25</v>
      </c>
      <c r="H19" t="s">
        <v>27</v>
      </c>
      <c r="J19" t="s">
        <v>46</v>
      </c>
      <c r="K19" s="7">
        <f>158%-5%</f>
        <v>1.53</v>
      </c>
      <c r="M19" s="7">
        <v>1.58</v>
      </c>
      <c r="O19" s="7">
        <v>1.58</v>
      </c>
      <c r="Q19" s="7">
        <v>1.58</v>
      </c>
      <c r="S19" s="7">
        <v>1.58</v>
      </c>
      <c r="T19" s="7"/>
      <c r="U19" s="7">
        <v>1.58</v>
      </c>
      <c r="W19" s="7">
        <v>1.58</v>
      </c>
    </row>
    <row r="20" spans="3:26">
      <c r="C20" t="s">
        <v>44</v>
      </c>
      <c r="D20" t="s">
        <v>45</v>
      </c>
      <c r="E20" s="6"/>
      <c r="F20" t="s">
        <v>29</v>
      </c>
      <c r="H20" t="s">
        <v>27</v>
      </c>
      <c r="J20" t="s">
        <v>46</v>
      </c>
      <c r="K20" s="7">
        <f>170%-5%</f>
        <v>1.65</v>
      </c>
      <c r="M20" s="7">
        <v>1.7</v>
      </c>
      <c r="O20" s="7">
        <v>1.7</v>
      </c>
      <c r="Q20" s="7">
        <v>1.7</v>
      </c>
      <c r="S20" s="7">
        <v>1.7</v>
      </c>
      <c r="T20" s="7"/>
      <c r="U20" s="7">
        <v>1.7</v>
      </c>
      <c r="W20" s="7">
        <v>1.7</v>
      </c>
    </row>
    <row r="21" spans="3:26">
      <c r="C21" t="s">
        <v>44</v>
      </c>
      <c r="D21" t="s">
        <v>45</v>
      </c>
      <c r="E21" s="6"/>
      <c r="F21" t="s">
        <v>47</v>
      </c>
      <c r="H21" t="s">
        <v>27</v>
      </c>
      <c r="J21" t="s">
        <v>46</v>
      </c>
      <c r="K21" s="7">
        <f>190%-5%</f>
        <v>1.8499999999999999</v>
      </c>
      <c r="M21" s="7">
        <v>1.9</v>
      </c>
      <c r="O21" s="7">
        <v>1.9</v>
      </c>
      <c r="Q21" s="7">
        <v>1.9</v>
      </c>
      <c r="S21" s="7">
        <v>1.9</v>
      </c>
      <c r="T21" s="7"/>
      <c r="U21" s="7">
        <v>1.9</v>
      </c>
      <c r="W21" s="7">
        <v>1.9</v>
      </c>
    </row>
    <row r="22" spans="3:26">
      <c r="C22" t="s">
        <v>44</v>
      </c>
      <c r="D22" t="s">
        <v>45</v>
      </c>
      <c r="E22" s="6"/>
      <c r="F22" t="s">
        <v>48</v>
      </c>
      <c r="H22" t="s">
        <v>27</v>
      </c>
      <c r="J22" t="s">
        <v>46</v>
      </c>
      <c r="K22" s="7">
        <f>210%-5%</f>
        <v>2.0500000000000003</v>
      </c>
      <c r="M22" s="7">
        <v>2.1</v>
      </c>
      <c r="O22" s="7">
        <v>2.1</v>
      </c>
      <c r="Q22" s="7">
        <v>2.1</v>
      </c>
      <c r="S22" s="7">
        <v>2.1</v>
      </c>
      <c r="T22" s="7"/>
      <c r="U22" s="7">
        <v>2.1</v>
      </c>
      <c r="W22" s="7">
        <v>2.1</v>
      </c>
    </row>
    <row r="23" spans="3:26">
      <c r="C23" t="s">
        <v>44</v>
      </c>
      <c r="D23" t="s">
        <v>45</v>
      </c>
      <c r="E23" s="6"/>
      <c r="F23" t="s">
        <v>49</v>
      </c>
      <c r="H23" t="s">
        <v>27</v>
      </c>
      <c r="J23" t="s">
        <v>46</v>
      </c>
      <c r="K23" s="7">
        <f>231%-5%</f>
        <v>2.2600000000000002</v>
      </c>
      <c r="M23" s="7">
        <v>2.31</v>
      </c>
      <c r="O23" s="7">
        <v>2.31</v>
      </c>
      <c r="Q23" s="7">
        <v>2.31</v>
      </c>
      <c r="S23" s="7">
        <v>2.31</v>
      </c>
      <c r="T23" s="7"/>
      <c r="U23" s="7">
        <v>2.31</v>
      </c>
      <c r="W23" s="7">
        <v>2.31</v>
      </c>
    </row>
    <row r="24" spans="3:26">
      <c r="C24" t="s">
        <v>44</v>
      </c>
      <c r="D24" t="s">
        <v>45</v>
      </c>
      <c r="E24" s="6"/>
      <c r="F24" t="s">
        <v>50</v>
      </c>
      <c r="H24" t="s">
        <v>27</v>
      </c>
      <c r="J24" t="s">
        <v>46</v>
      </c>
      <c r="K24" s="7">
        <f>247%-5%</f>
        <v>2.4200000000000004</v>
      </c>
      <c r="M24" s="7">
        <v>2.4700000000000002</v>
      </c>
      <c r="O24" s="7">
        <v>2.4700000000000002</v>
      </c>
      <c r="Q24" s="7">
        <v>2.4700000000000002</v>
      </c>
      <c r="S24" s="7">
        <v>2.4700000000000002</v>
      </c>
      <c r="T24" s="7"/>
      <c r="U24" s="7">
        <v>2.4700000000000002</v>
      </c>
      <c r="W24" s="7">
        <v>2.4700000000000002</v>
      </c>
    </row>
    <row r="25" spans="3:26">
      <c r="C25" t="s">
        <v>44</v>
      </c>
      <c r="D25" t="s">
        <v>45</v>
      </c>
      <c r="E25" s="6"/>
      <c r="F25" t="s">
        <v>25</v>
      </c>
      <c r="H25" t="s">
        <v>33</v>
      </c>
      <c r="J25" t="s">
        <v>43</v>
      </c>
      <c r="K25" s="10">
        <f>11*12</f>
        <v>132</v>
      </c>
      <c r="M25" s="10">
        <f>11*12</f>
        <v>132</v>
      </c>
      <c r="O25" s="10">
        <f>11*12</f>
        <v>132</v>
      </c>
      <c r="Q25" s="10">
        <f>11*12</f>
        <v>132</v>
      </c>
      <c r="S25" s="10">
        <f>11*12</f>
        <v>132</v>
      </c>
      <c r="T25" s="10"/>
      <c r="U25" s="10">
        <f>11*12</f>
        <v>132</v>
      </c>
      <c r="W25" s="10">
        <f>11*12</f>
        <v>132</v>
      </c>
    </row>
    <row r="26" spans="3:26">
      <c r="C26" t="s">
        <v>44</v>
      </c>
      <c r="D26" t="s">
        <v>45</v>
      </c>
      <c r="E26" s="6"/>
      <c r="F26" t="s">
        <v>29</v>
      </c>
      <c r="H26" t="s">
        <v>33</v>
      </c>
      <c r="J26" t="s">
        <v>43</v>
      </c>
      <c r="K26" s="10">
        <f>22*12</f>
        <v>264</v>
      </c>
      <c r="M26" s="10">
        <f>22*12</f>
        <v>264</v>
      </c>
      <c r="O26" s="10">
        <f>22*12</f>
        <v>264</v>
      </c>
      <c r="Q26" s="10">
        <f>22*12</f>
        <v>264</v>
      </c>
      <c r="S26" s="10">
        <f>22*12</f>
        <v>264</v>
      </c>
      <c r="T26" s="10"/>
      <c r="U26" s="10">
        <f>22*12</f>
        <v>264</v>
      </c>
      <c r="W26" s="10">
        <f>22*12</f>
        <v>264</v>
      </c>
    </row>
    <row r="27" spans="3:26">
      <c r="C27" t="s">
        <v>44</v>
      </c>
      <c r="D27" t="s">
        <v>45</v>
      </c>
      <c r="E27" s="6"/>
      <c r="F27" t="s">
        <v>47</v>
      </c>
      <c r="H27" t="s">
        <v>33</v>
      </c>
      <c r="J27" t="s">
        <v>43</v>
      </c>
      <c r="K27" s="10">
        <f>24*12</f>
        <v>288</v>
      </c>
      <c r="M27" s="10">
        <f>24*12</f>
        <v>288</v>
      </c>
      <c r="O27" s="10">
        <f>24*12</f>
        <v>288</v>
      </c>
      <c r="Q27" s="10">
        <f>24*12</f>
        <v>288</v>
      </c>
      <c r="S27" s="10">
        <f>24*12</f>
        <v>288</v>
      </c>
      <c r="T27" s="10"/>
      <c r="U27" s="10">
        <f>24*12</f>
        <v>288</v>
      </c>
      <c r="W27" s="10">
        <f>24*12</f>
        <v>288</v>
      </c>
    </row>
    <row r="28" spans="3:26">
      <c r="C28" t="s">
        <v>44</v>
      </c>
      <c r="D28" t="s">
        <v>45</v>
      </c>
      <c r="E28" s="6"/>
      <c r="F28" t="s">
        <v>48</v>
      </c>
      <c r="H28" t="s">
        <v>33</v>
      </c>
      <c r="J28" t="s">
        <v>43</v>
      </c>
      <c r="K28" s="10">
        <f>29*12</f>
        <v>348</v>
      </c>
      <c r="M28" s="10">
        <f>29*12</f>
        <v>348</v>
      </c>
      <c r="O28" s="10">
        <f>29*12</f>
        <v>348</v>
      </c>
      <c r="Q28" s="10">
        <f>29*12</f>
        <v>348</v>
      </c>
      <c r="S28" s="10">
        <f>29*12</f>
        <v>348</v>
      </c>
      <c r="T28" s="10"/>
      <c r="U28" s="10">
        <f>29*12</f>
        <v>348</v>
      </c>
      <c r="W28" s="10">
        <f>29*12</f>
        <v>348</v>
      </c>
    </row>
    <row r="29" spans="3:26">
      <c r="C29" t="s">
        <v>44</v>
      </c>
      <c r="D29" t="s">
        <v>45</v>
      </c>
      <c r="E29" s="6"/>
      <c r="F29" t="s">
        <v>49</v>
      </c>
      <c r="H29" t="s">
        <v>33</v>
      </c>
      <c r="J29" t="s">
        <v>43</v>
      </c>
      <c r="K29" s="10">
        <f>32*12</f>
        <v>384</v>
      </c>
      <c r="M29" s="10">
        <f>32*12</f>
        <v>384</v>
      </c>
      <c r="O29" s="10">
        <f>32*12</f>
        <v>384</v>
      </c>
      <c r="Q29" s="10">
        <f>32*12</f>
        <v>384</v>
      </c>
      <c r="S29" s="10">
        <f>32*12</f>
        <v>384</v>
      </c>
      <c r="T29" s="10"/>
      <c r="U29" s="10">
        <f>32*12</f>
        <v>384</v>
      </c>
      <c r="W29" s="10">
        <f>32*12</f>
        <v>384</v>
      </c>
    </row>
    <row r="30" spans="3:26">
      <c r="C30" t="s">
        <v>44</v>
      </c>
      <c r="D30" t="s">
        <v>45</v>
      </c>
      <c r="E30" s="6"/>
      <c r="F30" t="s">
        <v>50</v>
      </c>
      <c r="H30" t="s">
        <v>33</v>
      </c>
      <c r="J30" t="s">
        <v>43</v>
      </c>
      <c r="K30" s="10">
        <f>36*12</f>
        <v>432</v>
      </c>
      <c r="M30" s="10">
        <f>36*12</f>
        <v>432</v>
      </c>
      <c r="O30" s="10">
        <f>36*12</f>
        <v>432</v>
      </c>
      <c r="Q30" s="10">
        <f>36*12</f>
        <v>432</v>
      </c>
      <c r="S30" s="10">
        <f>36*12</f>
        <v>432</v>
      </c>
      <c r="T30" s="10"/>
      <c r="U30" s="10">
        <f>36*12</f>
        <v>432</v>
      </c>
      <c r="W30" s="10">
        <f>36*12</f>
        <v>432</v>
      </c>
    </row>
    <row r="31" spans="3:26">
      <c r="C31" t="s">
        <v>44</v>
      </c>
      <c r="D31" t="s">
        <v>45</v>
      </c>
      <c r="E31" s="6"/>
      <c r="F31" t="s">
        <v>25</v>
      </c>
      <c r="H31" t="s">
        <v>36</v>
      </c>
      <c r="J31" t="s">
        <v>51</v>
      </c>
      <c r="K31" s="10">
        <f>16*12</f>
        <v>192</v>
      </c>
      <c r="M31" s="10">
        <f>16*12</f>
        <v>192</v>
      </c>
      <c r="O31" s="10">
        <f>16*12</f>
        <v>192</v>
      </c>
      <c r="Q31" s="10">
        <f>16*12</f>
        <v>192</v>
      </c>
      <c r="S31" s="10">
        <f>16*12</f>
        <v>192</v>
      </c>
      <c r="T31" s="10"/>
      <c r="U31" s="10">
        <f>16*12</f>
        <v>192</v>
      </c>
      <c r="W31" s="10">
        <f>16*12</f>
        <v>192</v>
      </c>
      <c r="Z31" t="str">
        <f>C30</f>
        <v>Georgia</v>
      </c>
    </row>
    <row r="32" spans="3:26">
      <c r="C32" t="s">
        <v>44</v>
      </c>
      <c r="D32" t="s">
        <v>45</v>
      </c>
      <c r="E32" s="6"/>
      <c r="F32" t="s">
        <v>29</v>
      </c>
      <c r="H32" t="s">
        <v>36</v>
      </c>
      <c r="J32" t="s">
        <v>51</v>
      </c>
      <c r="K32" s="10">
        <f>44*12</f>
        <v>528</v>
      </c>
      <c r="M32" s="10">
        <f>44*12</f>
        <v>528</v>
      </c>
      <c r="O32" s="10">
        <f>44*12</f>
        <v>528</v>
      </c>
      <c r="Q32" s="10">
        <f>44*12</f>
        <v>528</v>
      </c>
      <c r="S32" s="10">
        <f>44*12</f>
        <v>528</v>
      </c>
      <c r="T32" s="10"/>
      <c r="U32" s="10">
        <f>44*12</f>
        <v>528</v>
      </c>
      <c r="W32" s="10">
        <f>44*12</f>
        <v>528</v>
      </c>
    </row>
    <row r="33" spans="3:26">
      <c r="C33" t="s">
        <v>44</v>
      </c>
      <c r="D33" t="s">
        <v>45</v>
      </c>
      <c r="E33" s="6"/>
      <c r="F33" t="s">
        <v>47</v>
      </c>
      <c r="H33" t="s">
        <v>36</v>
      </c>
      <c r="J33" t="s">
        <v>51</v>
      </c>
      <c r="K33" s="10">
        <f>49*12</f>
        <v>588</v>
      </c>
      <c r="M33" s="10">
        <f>49*12</f>
        <v>588</v>
      </c>
      <c r="O33" s="10">
        <f>49*12</f>
        <v>588</v>
      </c>
      <c r="Q33" s="10">
        <f>49*12</f>
        <v>588</v>
      </c>
      <c r="S33" s="10">
        <f>49*12</f>
        <v>588</v>
      </c>
      <c r="T33" s="10"/>
      <c r="U33" s="10">
        <f>49*12</f>
        <v>588</v>
      </c>
      <c r="W33" s="10">
        <f>49*12</f>
        <v>588</v>
      </c>
    </row>
    <row r="34" spans="3:26">
      <c r="C34" t="s">
        <v>44</v>
      </c>
      <c r="D34" t="s">
        <v>45</v>
      </c>
      <c r="E34" s="6"/>
      <c r="F34" t="s">
        <v>48</v>
      </c>
      <c r="H34" t="s">
        <v>36</v>
      </c>
      <c r="J34" t="s">
        <v>51</v>
      </c>
      <c r="K34" s="10">
        <f>58*12</f>
        <v>696</v>
      </c>
      <c r="M34" s="10">
        <f>58*12</f>
        <v>696</v>
      </c>
      <c r="O34" s="10">
        <f>58*12</f>
        <v>696</v>
      </c>
      <c r="Q34" s="10">
        <f>58*12</f>
        <v>696</v>
      </c>
      <c r="S34" s="10">
        <f>58*12</f>
        <v>696</v>
      </c>
      <c r="T34" s="10"/>
      <c r="U34" s="10">
        <f>58*12</f>
        <v>696</v>
      </c>
      <c r="W34" s="10">
        <f>58*12</f>
        <v>696</v>
      </c>
    </row>
    <row r="35" spans="3:26">
      <c r="C35" t="s">
        <v>44</v>
      </c>
      <c r="D35" t="s">
        <v>45</v>
      </c>
      <c r="E35" s="6"/>
      <c r="F35" t="s">
        <v>49</v>
      </c>
      <c r="H35" t="s">
        <v>36</v>
      </c>
      <c r="J35" t="s">
        <v>51</v>
      </c>
      <c r="K35" s="10">
        <f>64*12</f>
        <v>768</v>
      </c>
      <c r="M35" s="10">
        <f>64*12</f>
        <v>768</v>
      </c>
      <c r="O35" s="10">
        <f>64*12</f>
        <v>768</v>
      </c>
      <c r="Q35" s="10">
        <f>64*12</f>
        <v>768</v>
      </c>
      <c r="S35" s="10">
        <f>64*12</f>
        <v>768</v>
      </c>
      <c r="T35" s="10"/>
      <c r="U35" s="10">
        <f>64*12</f>
        <v>768</v>
      </c>
      <c r="W35" s="10">
        <f>64*12</f>
        <v>768</v>
      </c>
    </row>
    <row r="36" spans="3:26">
      <c r="C36" t="s">
        <v>44</v>
      </c>
      <c r="D36" t="s">
        <v>45</v>
      </c>
      <c r="E36" s="6"/>
      <c r="F36" t="s">
        <v>50</v>
      </c>
      <c r="H36" t="s">
        <v>36</v>
      </c>
      <c r="J36" t="s">
        <v>51</v>
      </c>
      <c r="K36" s="10">
        <f>72*12</f>
        <v>864</v>
      </c>
      <c r="M36" s="10">
        <f>72*12</f>
        <v>864</v>
      </c>
      <c r="O36" s="10">
        <f>72*12</f>
        <v>864</v>
      </c>
      <c r="Q36" s="10">
        <f>72*12</f>
        <v>864</v>
      </c>
      <c r="S36" s="10">
        <f>72*12</f>
        <v>864</v>
      </c>
      <c r="T36" s="10"/>
      <c r="U36" s="10">
        <f>72*12</f>
        <v>864</v>
      </c>
      <c r="W36" s="10">
        <f>72*12</f>
        <v>864</v>
      </c>
    </row>
    <row r="37" spans="3:26">
      <c r="C37" t="s">
        <v>52</v>
      </c>
      <c r="D37" t="s">
        <v>53</v>
      </c>
      <c r="E37" s="6"/>
      <c r="F37" t="s">
        <v>25</v>
      </c>
      <c r="H37" t="s">
        <v>27</v>
      </c>
      <c r="J37" t="s">
        <v>46</v>
      </c>
      <c r="K37" s="7">
        <v>2.12</v>
      </c>
      <c r="M37" s="7">
        <v>2.12</v>
      </c>
      <c r="O37" s="7">
        <v>2.12</v>
      </c>
      <c r="Q37" s="7">
        <v>2.12</v>
      </c>
      <c r="S37" s="7">
        <v>2.12</v>
      </c>
      <c r="T37" s="7"/>
      <c r="U37" s="7">
        <v>2.12</v>
      </c>
      <c r="W37" s="7">
        <v>2.12</v>
      </c>
    </row>
    <row r="38" spans="3:26">
      <c r="C38" t="s">
        <v>52</v>
      </c>
      <c r="D38" t="s">
        <v>53</v>
      </c>
      <c r="E38" s="6"/>
      <c r="F38" t="s">
        <v>29</v>
      </c>
      <c r="H38" t="s">
        <v>27</v>
      </c>
      <c r="J38" t="s">
        <v>46</v>
      </c>
      <c r="K38" s="7">
        <v>2.0499999999999998</v>
      </c>
      <c r="M38" s="7">
        <v>2.0499999999999998</v>
      </c>
      <c r="O38" s="7">
        <v>2.5</v>
      </c>
      <c r="Q38" s="7">
        <v>2.5</v>
      </c>
      <c r="S38" s="7">
        <v>2.5</v>
      </c>
      <c r="T38" s="7"/>
      <c r="U38" s="7">
        <v>2.5</v>
      </c>
      <c r="W38" s="7">
        <v>2.5</v>
      </c>
    </row>
    <row r="39" spans="3:26">
      <c r="C39" t="s">
        <v>52</v>
      </c>
      <c r="D39" t="s">
        <v>53</v>
      </c>
      <c r="E39" s="6"/>
      <c r="F39" t="s">
        <v>29</v>
      </c>
      <c r="G39" t="s">
        <v>54</v>
      </c>
      <c r="H39" t="s">
        <v>33</v>
      </c>
      <c r="J39" t="s">
        <v>51</v>
      </c>
      <c r="K39" s="10">
        <f>50*12</f>
        <v>600</v>
      </c>
      <c r="M39" s="10">
        <f>50*12</f>
        <v>600</v>
      </c>
      <c r="O39" s="10">
        <f>50*12</f>
        <v>600</v>
      </c>
      <c r="Q39" s="10">
        <f>50*12</f>
        <v>600</v>
      </c>
      <c r="S39" s="10">
        <f>50*12</f>
        <v>600</v>
      </c>
      <c r="T39" s="10"/>
      <c r="U39" s="10">
        <f>50*12</f>
        <v>600</v>
      </c>
      <c r="W39" s="10">
        <f>50*12</f>
        <v>600</v>
      </c>
      <c r="Y39" t="str">
        <f>C37</f>
        <v>Louisiana</v>
      </c>
    </row>
    <row r="40" spans="3:26">
      <c r="C40" t="s">
        <v>55</v>
      </c>
      <c r="D40" t="s">
        <v>0</v>
      </c>
      <c r="E40" s="6"/>
      <c r="F40" t="s">
        <v>25</v>
      </c>
      <c r="H40" t="s">
        <v>27</v>
      </c>
      <c r="J40" t="s">
        <v>46</v>
      </c>
      <c r="K40" s="7">
        <v>2.09</v>
      </c>
      <c r="M40" s="7">
        <v>2.09</v>
      </c>
      <c r="O40" s="7">
        <v>2.09</v>
      </c>
      <c r="Q40" s="7">
        <v>2.09</v>
      </c>
      <c r="S40" s="7">
        <v>2.09</v>
      </c>
      <c r="T40" s="7"/>
      <c r="U40" s="7">
        <v>2.09</v>
      </c>
      <c r="W40" s="7">
        <v>2.09</v>
      </c>
    </row>
    <row r="41" spans="3:26">
      <c r="C41" t="s">
        <v>56</v>
      </c>
      <c r="D41" t="s">
        <v>0</v>
      </c>
      <c r="E41" s="6">
        <v>1</v>
      </c>
      <c r="F41" t="s">
        <v>25</v>
      </c>
      <c r="G41" s="7">
        <v>1.5</v>
      </c>
      <c r="H41" t="s">
        <v>27</v>
      </c>
      <c r="K41" s="11">
        <v>1872</v>
      </c>
      <c r="M41" s="11">
        <v>1926</v>
      </c>
      <c r="O41" s="11">
        <v>1968</v>
      </c>
      <c r="Q41" s="11">
        <v>1986</v>
      </c>
      <c r="S41" s="11">
        <v>2096</v>
      </c>
      <c r="T41" s="11"/>
      <c r="U41" s="11">
        <v>2139</v>
      </c>
      <c r="W41" s="11">
        <v>2322</v>
      </c>
    </row>
    <row r="42" spans="3:26">
      <c r="C42" t="s">
        <v>56</v>
      </c>
      <c r="D42" t="s">
        <v>0</v>
      </c>
      <c r="E42" s="6">
        <v>1</v>
      </c>
      <c r="F42" t="s">
        <v>29</v>
      </c>
      <c r="G42" s="7">
        <v>1.85</v>
      </c>
      <c r="H42" t="s">
        <v>27</v>
      </c>
      <c r="K42" s="11">
        <v>2277</v>
      </c>
      <c r="M42" s="11">
        <v>2342</v>
      </c>
      <c r="O42" s="11">
        <v>2393</v>
      </c>
      <c r="Q42" s="11">
        <v>2415</v>
      </c>
      <c r="S42" s="11">
        <v>2549</v>
      </c>
      <c r="T42" s="11"/>
      <c r="U42" s="11">
        <v>2601</v>
      </c>
      <c r="W42" s="11">
        <v>2824</v>
      </c>
    </row>
    <row r="43" spans="3:26">
      <c r="C43" t="s">
        <v>56</v>
      </c>
      <c r="D43" t="s">
        <v>0</v>
      </c>
      <c r="E43" s="6">
        <v>1</v>
      </c>
      <c r="F43" t="s">
        <v>47</v>
      </c>
      <c r="G43" s="7">
        <v>2.25</v>
      </c>
      <c r="H43" t="s">
        <v>27</v>
      </c>
      <c r="K43" s="11">
        <v>2058</v>
      </c>
      <c r="M43" s="11">
        <v>2114</v>
      </c>
      <c r="O43" s="11">
        <v>2155</v>
      </c>
      <c r="Q43" s="11">
        <v>2178</v>
      </c>
      <c r="S43" s="11">
        <v>2289</v>
      </c>
      <c r="T43" s="11"/>
      <c r="U43" s="11">
        <v>2336</v>
      </c>
      <c r="W43" s="11">
        <v>3765</v>
      </c>
    </row>
    <row r="44" spans="3:26">
      <c r="C44" t="s">
        <v>56</v>
      </c>
      <c r="D44" t="s">
        <v>0</v>
      </c>
      <c r="E44" s="6">
        <v>2</v>
      </c>
      <c r="F44" t="s">
        <v>25</v>
      </c>
      <c r="G44" s="7">
        <v>1.5</v>
      </c>
      <c r="H44" t="s">
        <v>27</v>
      </c>
      <c r="K44" s="11">
        <v>2538</v>
      </c>
      <c r="M44" s="11">
        <v>2607</v>
      </c>
      <c r="O44" s="11">
        <v>2658</v>
      </c>
      <c r="Q44" s="11">
        <v>2686</v>
      </c>
      <c r="S44" s="11">
        <v>2823</v>
      </c>
      <c r="T44" s="11"/>
      <c r="U44" s="11">
        <v>2891</v>
      </c>
      <c r="W44" s="11">
        <v>3152</v>
      </c>
    </row>
    <row r="45" spans="3:26">
      <c r="C45" t="s">
        <v>56</v>
      </c>
      <c r="D45" t="s">
        <v>0</v>
      </c>
      <c r="E45" s="6">
        <v>2</v>
      </c>
      <c r="F45" t="s">
        <v>29</v>
      </c>
      <c r="G45" s="7">
        <v>1.85</v>
      </c>
      <c r="H45" t="s">
        <v>27</v>
      </c>
      <c r="K45" s="11">
        <v>3087</v>
      </c>
      <c r="M45" s="11">
        <v>3171</v>
      </c>
      <c r="O45" s="11">
        <v>3233</v>
      </c>
      <c r="Q45" s="11">
        <v>3267</v>
      </c>
      <c r="S45" s="11">
        <v>3434</v>
      </c>
      <c r="T45" s="11"/>
      <c r="U45" s="11">
        <v>3517</v>
      </c>
      <c r="W45" s="11">
        <v>3833</v>
      </c>
    </row>
    <row r="46" spans="3:26">
      <c r="C46" t="s">
        <v>56</v>
      </c>
      <c r="D46" t="s">
        <v>0</v>
      </c>
      <c r="E46" s="6">
        <v>2</v>
      </c>
      <c r="F46" t="s">
        <v>47</v>
      </c>
      <c r="G46" s="7">
        <v>2.25</v>
      </c>
      <c r="H46" t="s">
        <v>27</v>
      </c>
      <c r="K46" s="11">
        <v>2598</v>
      </c>
      <c r="M46" s="11">
        <v>2667</v>
      </c>
      <c r="O46" s="11">
        <v>2715</v>
      </c>
      <c r="Q46" s="11">
        <v>2745</v>
      </c>
      <c r="S46" s="11">
        <v>2879</v>
      </c>
      <c r="T46" s="11"/>
      <c r="U46" s="11">
        <v>2949</v>
      </c>
      <c r="W46" s="11">
        <v>5110</v>
      </c>
      <c r="Z46" t="str">
        <f>C44</f>
        <v>Missouri</v>
      </c>
    </row>
    <row r="47" spans="3:26">
      <c r="C47" t="s">
        <v>56</v>
      </c>
      <c r="D47" t="s">
        <v>0</v>
      </c>
      <c r="E47" s="6">
        <v>3</v>
      </c>
      <c r="F47" t="s">
        <v>25</v>
      </c>
      <c r="G47" s="7">
        <v>1.5</v>
      </c>
      <c r="H47" t="s">
        <v>27</v>
      </c>
      <c r="K47" s="11">
        <v>3204</v>
      </c>
      <c r="M47" s="11">
        <v>3289</v>
      </c>
      <c r="O47" s="11">
        <v>3349</v>
      </c>
      <c r="Q47" s="11">
        <v>3386</v>
      </c>
      <c r="S47" s="11">
        <v>3551</v>
      </c>
      <c r="T47" s="11"/>
      <c r="U47" s="11">
        <v>3646</v>
      </c>
      <c r="W47" s="11">
        <v>3981</v>
      </c>
    </row>
    <row r="48" spans="3:26">
      <c r="C48" t="s">
        <v>56</v>
      </c>
      <c r="D48" t="s">
        <v>0</v>
      </c>
      <c r="E48" s="6">
        <v>3</v>
      </c>
      <c r="F48" t="s">
        <v>29</v>
      </c>
      <c r="G48" s="7">
        <v>1.85</v>
      </c>
      <c r="H48" t="s">
        <v>27</v>
      </c>
      <c r="K48" s="11">
        <v>3897</v>
      </c>
      <c r="M48" s="11">
        <v>4000</v>
      </c>
      <c r="O48" s="11">
        <v>4073</v>
      </c>
      <c r="Q48" s="11">
        <v>4118</v>
      </c>
      <c r="S48" s="11">
        <v>4319</v>
      </c>
      <c r="T48" s="11"/>
      <c r="U48" s="11">
        <v>4434</v>
      </c>
      <c r="W48" s="11">
        <v>4842</v>
      </c>
    </row>
    <row r="49" spans="3:25">
      <c r="C49" t="s">
        <v>56</v>
      </c>
      <c r="D49" t="s">
        <v>0</v>
      </c>
      <c r="E49" s="6">
        <v>3</v>
      </c>
      <c r="F49" t="s">
        <v>47</v>
      </c>
      <c r="G49" s="7">
        <v>2.25</v>
      </c>
      <c r="H49" t="s">
        <v>27</v>
      </c>
      <c r="K49" s="11">
        <v>3138</v>
      </c>
      <c r="M49" s="11">
        <v>3219</v>
      </c>
      <c r="O49" s="11">
        <v>3275</v>
      </c>
      <c r="Q49" s="11">
        <v>3313</v>
      </c>
      <c r="S49" s="11">
        <v>3469</v>
      </c>
      <c r="T49" s="11"/>
      <c r="U49" s="11">
        <v>3561</v>
      </c>
      <c r="W49" s="11">
        <v>6455</v>
      </c>
    </row>
    <row r="50" spans="3:25">
      <c r="C50" t="s">
        <v>56</v>
      </c>
      <c r="D50" t="s">
        <v>0</v>
      </c>
      <c r="E50" s="6">
        <v>4</v>
      </c>
      <c r="F50" t="s">
        <v>25</v>
      </c>
      <c r="G50" s="7">
        <v>1.5</v>
      </c>
      <c r="H50" t="s">
        <v>27</v>
      </c>
      <c r="K50" s="11">
        <v>3870</v>
      </c>
      <c r="M50" s="11">
        <v>3970</v>
      </c>
      <c r="O50" s="11">
        <v>4040</v>
      </c>
      <c r="Q50" s="11">
        <v>4086</v>
      </c>
      <c r="S50" s="11">
        <v>4279</v>
      </c>
      <c r="T50" s="11"/>
      <c r="U50" s="11">
        <v>4399</v>
      </c>
      <c r="W50" s="11">
        <v>4810</v>
      </c>
    </row>
    <row r="51" spans="3:25">
      <c r="C51" t="s">
        <v>56</v>
      </c>
      <c r="D51" t="s">
        <v>0</v>
      </c>
      <c r="E51" s="6">
        <v>4</v>
      </c>
      <c r="F51" t="s">
        <v>29</v>
      </c>
      <c r="G51" s="7">
        <v>1.85</v>
      </c>
      <c r="H51" t="s">
        <v>27</v>
      </c>
      <c r="K51" s="11">
        <v>4707</v>
      </c>
      <c r="M51" s="11">
        <v>4829</v>
      </c>
      <c r="O51" s="11">
        <v>4913</v>
      </c>
      <c r="Q51" s="11">
        <v>4969</v>
      </c>
      <c r="S51" s="11">
        <v>5204</v>
      </c>
      <c r="T51" s="11"/>
      <c r="U51" s="11">
        <v>5350</v>
      </c>
      <c r="W51" s="11">
        <v>5850</v>
      </c>
    </row>
    <row r="52" spans="3:25">
      <c r="C52" t="s">
        <v>56</v>
      </c>
      <c r="D52" t="s">
        <v>0</v>
      </c>
      <c r="E52" s="6">
        <v>4</v>
      </c>
      <c r="F52" t="s">
        <v>47</v>
      </c>
      <c r="G52" s="7">
        <v>2.25</v>
      </c>
      <c r="H52" t="s">
        <v>27</v>
      </c>
      <c r="K52" s="11">
        <v>3678</v>
      </c>
      <c r="M52" s="11">
        <v>3772</v>
      </c>
      <c r="O52" s="11">
        <v>3835</v>
      </c>
      <c r="Q52" s="11">
        <v>3880</v>
      </c>
      <c r="S52" s="11">
        <v>4059</v>
      </c>
      <c r="T52" s="11"/>
      <c r="U52" s="11">
        <v>4173</v>
      </c>
      <c r="W52" s="11">
        <v>7800</v>
      </c>
    </row>
    <row r="53" spans="3:25">
      <c r="C53" t="s">
        <v>56</v>
      </c>
      <c r="D53" t="s">
        <v>0</v>
      </c>
      <c r="E53" s="6">
        <v>5</v>
      </c>
      <c r="F53" t="s">
        <v>25</v>
      </c>
      <c r="G53" s="7">
        <v>1.5</v>
      </c>
      <c r="H53" t="s">
        <v>27</v>
      </c>
      <c r="K53" s="11">
        <v>4536</v>
      </c>
      <c r="M53" s="11">
        <v>4652</v>
      </c>
      <c r="O53" s="11">
        <v>4730</v>
      </c>
      <c r="Q53" s="11">
        <v>4786</v>
      </c>
      <c r="S53" s="11">
        <v>5006</v>
      </c>
      <c r="T53" s="11"/>
      <c r="U53" s="11">
        <v>5152</v>
      </c>
      <c r="W53" s="11">
        <v>5640</v>
      </c>
    </row>
    <row r="54" spans="3:25">
      <c r="C54" t="s">
        <v>56</v>
      </c>
      <c r="D54" t="s">
        <v>0</v>
      </c>
      <c r="E54" s="6">
        <v>5</v>
      </c>
      <c r="F54" t="s">
        <v>29</v>
      </c>
      <c r="G54" s="7">
        <v>1.85</v>
      </c>
      <c r="H54" t="s">
        <v>27</v>
      </c>
      <c r="K54" s="11">
        <v>5517</v>
      </c>
      <c r="M54" s="11">
        <v>5657</v>
      </c>
      <c r="O54" s="11">
        <v>5753</v>
      </c>
      <c r="Q54" s="11">
        <v>5820</v>
      </c>
      <c r="S54" s="11">
        <v>6089</v>
      </c>
      <c r="T54" s="11"/>
      <c r="U54" s="11">
        <v>6267</v>
      </c>
      <c r="W54" s="11">
        <v>6859</v>
      </c>
    </row>
    <row r="55" spans="3:25">
      <c r="C55" t="s">
        <v>56</v>
      </c>
      <c r="D55" t="s">
        <v>0</v>
      </c>
      <c r="E55" s="6">
        <v>5</v>
      </c>
      <c r="F55" t="s">
        <v>47</v>
      </c>
      <c r="G55" s="7">
        <v>2.25</v>
      </c>
      <c r="H55" t="s">
        <v>27</v>
      </c>
      <c r="K55" s="11">
        <v>4218</v>
      </c>
      <c r="M55" s="11">
        <v>4324</v>
      </c>
      <c r="O55" s="11">
        <v>4395</v>
      </c>
      <c r="Q55" s="11">
        <v>4448</v>
      </c>
      <c r="S55" s="11">
        <v>4649</v>
      </c>
      <c r="T55" s="11"/>
      <c r="U55" s="11">
        <v>4785</v>
      </c>
      <c r="W55" s="11">
        <v>9145</v>
      </c>
    </row>
    <row r="56" spans="3:25">
      <c r="C56" t="s">
        <v>56</v>
      </c>
      <c r="D56" t="s">
        <v>0</v>
      </c>
      <c r="E56" s="6">
        <v>6</v>
      </c>
      <c r="F56" t="s">
        <v>25</v>
      </c>
      <c r="G56" s="7">
        <v>1.5</v>
      </c>
      <c r="H56" t="s">
        <v>27</v>
      </c>
      <c r="K56" s="11">
        <v>5202</v>
      </c>
      <c r="M56" s="11">
        <v>5333</v>
      </c>
      <c r="O56" s="11">
        <v>5421</v>
      </c>
      <c r="Q56" s="11">
        <v>5486</v>
      </c>
      <c r="S56" s="11">
        <v>5734</v>
      </c>
      <c r="T56" s="11"/>
      <c r="U56" s="11">
        <v>5907</v>
      </c>
      <c r="W56" s="11">
        <v>6469</v>
      </c>
    </row>
    <row r="57" spans="3:25">
      <c r="C57" t="s">
        <v>56</v>
      </c>
      <c r="D57" t="s">
        <v>0</v>
      </c>
      <c r="E57" s="6">
        <v>6</v>
      </c>
      <c r="F57" t="s">
        <v>29</v>
      </c>
      <c r="G57" s="7">
        <v>1.85</v>
      </c>
      <c r="H57" t="s">
        <v>27</v>
      </c>
      <c r="K57" s="11">
        <v>6327</v>
      </c>
      <c r="M57" s="11">
        <v>6486</v>
      </c>
      <c r="O57" s="11">
        <v>6593</v>
      </c>
      <c r="Q57" s="11">
        <v>6672</v>
      </c>
      <c r="S57" s="11">
        <v>6974</v>
      </c>
      <c r="T57" s="11"/>
      <c r="U57" s="11">
        <v>7184</v>
      </c>
      <c r="W57" s="11">
        <v>7868</v>
      </c>
    </row>
    <row r="58" spans="3:25">
      <c r="C58" t="s">
        <v>56</v>
      </c>
      <c r="D58" t="s">
        <v>0</v>
      </c>
      <c r="E58" s="6">
        <v>6</v>
      </c>
      <c r="F58" t="s">
        <v>47</v>
      </c>
      <c r="G58" s="7">
        <v>2.25</v>
      </c>
      <c r="H58" t="s">
        <v>27</v>
      </c>
      <c r="K58" s="11">
        <v>4758</v>
      </c>
      <c r="M58" s="11">
        <v>4877</v>
      </c>
      <c r="O58" s="11">
        <v>4955</v>
      </c>
      <c r="Q58" s="11">
        <v>5015</v>
      </c>
      <c r="S58" s="11">
        <v>5239</v>
      </c>
      <c r="T58" s="11"/>
      <c r="U58" s="11">
        <v>5397</v>
      </c>
      <c r="W58" s="11">
        <v>10490</v>
      </c>
      <c r="Y58" t="str">
        <f>C55</f>
        <v>Missouri</v>
      </c>
    </row>
    <row r="59" spans="3:25">
      <c r="C59" t="s">
        <v>56</v>
      </c>
      <c r="D59" t="s">
        <v>0</v>
      </c>
      <c r="E59" s="6">
        <v>7</v>
      </c>
      <c r="F59" t="s">
        <v>25</v>
      </c>
      <c r="G59" s="7">
        <v>1.5</v>
      </c>
      <c r="H59" t="s">
        <v>27</v>
      </c>
      <c r="K59" s="11">
        <v>5868</v>
      </c>
      <c r="M59" s="11">
        <v>6015</v>
      </c>
      <c r="O59" s="11">
        <v>6112</v>
      </c>
      <c r="Q59" s="11">
        <v>6186</v>
      </c>
      <c r="S59" s="11">
        <v>6462</v>
      </c>
      <c r="T59" s="11"/>
      <c r="U59" s="11">
        <v>6660</v>
      </c>
      <c r="W59" s="11">
        <v>7299</v>
      </c>
    </row>
    <row r="60" spans="3:25">
      <c r="C60" t="s">
        <v>56</v>
      </c>
      <c r="D60" t="s">
        <v>0</v>
      </c>
      <c r="E60" s="6">
        <v>7</v>
      </c>
      <c r="F60" t="s">
        <v>29</v>
      </c>
      <c r="G60" s="7">
        <v>1.85</v>
      </c>
      <c r="H60" t="s">
        <v>27</v>
      </c>
      <c r="K60" s="11">
        <v>7137</v>
      </c>
      <c r="M60" s="11">
        <v>7315</v>
      </c>
      <c r="O60" s="11">
        <v>7433</v>
      </c>
      <c r="Q60" s="11">
        <v>7523</v>
      </c>
      <c r="S60" s="11">
        <v>7859</v>
      </c>
      <c r="T60" s="11"/>
      <c r="U60" s="11">
        <v>8100</v>
      </c>
      <c r="W60" s="11">
        <v>8877</v>
      </c>
    </row>
    <row r="61" spans="3:25">
      <c r="C61" t="s">
        <v>56</v>
      </c>
      <c r="D61" t="s">
        <v>0</v>
      </c>
      <c r="E61" s="6">
        <v>7</v>
      </c>
      <c r="F61" t="s">
        <v>47</v>
      </c>
      <c r="G61" s="7">
        <v>2.25</v>
      </c>
      <c r="H61" t="s">
        <v>27</v>
      </c>
      <c r="K61" s="11">
        <v>5298</v>
      </c>
      <c r="M61" s="11">
        <v>5429</v>
      </c>
      <c r="O61" s="11">
        <v>5515</v>
      </c>
      <c r="Q61" s="11">
        <v>5583</v>
      </c>
      <c r="S61" s="11">
        <v>5829</v>
      </c>
      <c r="T61" s="11"/>
      <c r="U61" s="11">
        <v>6008</v>
      </c>
      <c r="W61" s="11">
        <v>11835</v>
      </c>
    </row>
    <row r="62" spans="3:25">
      <c r="C62" t="s">
        <v>56</v>
      </c>
      <c r="D62" t="s">
        <v>0</v>
      </c>
      <c r="E62" s="6">
        <v>8</v>
      </c>
      <c r="F62" t="s">
        <v>25</v>
      </c>
      <c r="G62" s="7">
        <v>1.5</v>
      </c>
      <c r="H62" t="s">
        <v>27</v>
      </c>
      <c r="K62" s="11">
        <v>6534</v>
      </c>
      <c r="M62" s="11">
        <v>6696</v>
      </c>
      <c r="O62" s="11">
        <v>6802</v>
      </c>
      <c r="Q62" s="11">
        <v>6886</v>
      </c>
      <c r="S62" s="11">
        <v>7189</v>
      </c>
      <c r="T62" s="11"/>
      <c r="U62" s="11">
        <v>7413</v>
      </c>
      <c r="W62" s="11">
        <v>8128</v>
      </c>
    </row>
    <row r="63" spans="3:25">
      <c r="C63" t="s">
        <v>56</v>
      </c>
      <c r="D63" t="s">
        <v>0</v>
      </c>
      <c r="E63" s="6">
        <v>8</v>
      </c>
      <c r="F63" t="s">
        <v>29</v>
      </c>
      <c r="G63" s="7">
        <v>1.85</v>
      </c>
      <c r="H63" t="s">
        <v>27</v>
      </c>
      <c r="K63" s="11">
        <v>7947</v>
      </c>
      <c r="M63" s="11">
        <v>8144</v>
      </c>
      <c r="O63" s="11">
        <v>8273</v>
      </c>
      <c r="Q63" s="11">
        <v>8374</v>
      </c>
      <c r="S63" s="11">
        <v>8744</v>
      </c>
      <c r="T63" s="11"/>
      <c r="U63" s="11">
        <v>9017</v>
      </c>
      <c r="W63" s="11">
        <v>9885</v>
      </c>
    </row>
    <row r="64" spans="3:25">
      <c r="C64" t="s">
        <v>56</v>
      </c>
      <c r="D64" t="s">
        <v>0</v>
      </c>
      <c r="E64" s="6">
        <v>8</v>
      </c>
      <c r="F64" t="s">
        <v>47</v>
      </c>
      <c r="G64" s="7">
        <v>2.25</v>
      </c>
      <c r="H64" t="s">
        <v>27</v>
      </c>
      <c r="K64" s="11">
        <v>5838</v>
      </c>
      <c r="M64" s="11">
        <v>5982</v>
      </c>
      <c r="O64" s="11">
        <v>6075</v>
      </c>
      <c r="Q64" s="11">
        <v>6150</v>
      </c>
      <c r="S64" s="11">
        <v>6419</v>
      </c>
      <c r="T64" s="11"/>
      <c r="U64" s="11">
        <v>6619</v>
      </c>
      <c r="W64" s="11">
        <v>13180</v>
      </c>
    </row>
    <row r="65" spans="3:23">
      <c r="C65" t="s">
        <v>56</v>
      </c>
      <c r="D65" t="s">
        <v>0</v>
      </c>
      <c r="E65" s="6">
        <v>9</v>
      </c>
      <c r="F65" t="s">
        <v>25</v>
      </c>
      <c r="G65" s="7">
        <v>1.5</v>
      </c>
      <c r="H65" t="s">
        <v>27</v>
      </c>
      <c r="K65" s="11">
        <v>7200</v>
      </c>
      <c r="M65" s="11">
        <v>7377</v>
      </c>
      <c r="O65" s="11">
        <v>7493</v>
      </c>
      <c r="Q65" s="11">
        <v>7585</v>
      </c>
      <c r="S65" s="11">
        <v>7917</v>
      </c>
      <c r="T65" s="11"/>
      <c r="U65" s="11">
        <v>8151</v>
      </c>
      <c r="W65" s="11">
        <v>8958</v>
      </c>
    </row>
    <row r="66" spans="3:23">
      <c r="C66" t="s">
        <v>56</v>
      </c>
      <c r="D66" t="s">
        <v>0</v>
      </c>
      <c r="E66" s="6">
        <v>9</v>
      </c>
      <c r="F66" t="s">
        <v>29</v>
      </c>
      <c r="G66" s="7">
        <v>1.85</v>
      </c>
      <c r="H66" t="s">
        <v>27</v>
      </c>
      <c r="K66" s="11">
        <v>8757</v>
      </c>
      <c r="M66" s="11">
        <v>8972</v>
      </c>
      <c r="O66" s="11">
        <v>9113</v>
      </c>
      <c r="Q66" s="11">
        <v>9225</v>
      </c>
      <c r="S66" s="11">
        <v>9629</v>
      </c>
      <c r="T66" s="11"/>
      <c r="U66" s="11">
        <v>9913</v>
      </c>
      <c r="W66" s="11">
        <v>10894</v>
      </c>
    </row>
    <row r="67" spans="3:23">
      <c r="C67" t="s">
        <v>56</v>
      </c>
      <c r="D67" t="s">
        <v>0</v>
      </c>
      <c r="E67" s="6">
        <v>9</v>
      </c>
      <c r="F67" t="s">
        <v>47</v>
      </c>
      <c r="G67" s="7">
        <v>2.25</v>
      </c>
      <c r="H67" t="s">
        <v>27</v>
      </c>
      <c r="K67" s="11">
        <v>6378</v>
      </c>
      <c r="M67" s="11">
        <v>6534</v>
      </c>
      <c r="O67" s="11">
        <v>6635</v>
      </c>
      <c r="Q67" s="11">
        <v>6718</v>
      </c>
      <c r="S67" s="11">
        <v>7009</v>
      </c>
      <c r="T67" s="11"/>
      <c r="U67" s="11">
        <v>7216</v>
      </c>
      <c r="W67" s="11">
        <v>14525</v>
      </c>
    </row>
    <row r="68" spans="3:23">
      <c r="C68" t="s">
        <v>56</v>
      </c>
      <c r="D68" t="s">
        <v>0</v>
      </c>
      <c r="E68" s="6">
        <v>10</v>
      </c>
      <c r="F68" t="s">
        <v>25</v>
      </c>
      <c r="G68" s="7">
        <v>1.5</v>
      </c>
      <c r="H68" t="s">
        <v>27</v>
      </c>
      <c r="K68" s="11">
        <v>7866</v>
      </c>
      <c r="M68" s="11">
        <v>8059</v>
      </c>
      <c r="O68" s="11">
        <v>8184</v>
      </c>
      <c r="Q68" s="11">
        <v>8285</v>
      </c>
      <c r="S68" s="11">
        <v>8645</v>
      </c>
      <c r="T68" s="11"/>
      <c r="U68" s="11">
        <v>8888</v>
      </c>
      <c r="W68" s="11">
        <v>9787</v>
      </c>
    </row>
    <row r="69" spans="3:23">
      <c r="C69" t="s">
        <v>56</v>
      </c>
      <c r="D69" t="s">
        <v>0</v>
      </c>
      <c r="E69" s="6">
        <v>10</v>
      </c>
      <c r="F69" t="s">
        <v>29</v>
      </c>
      <c r="G69" s="7">
        <v>1.85</v>
      </c>
      <c r="H69" t="s">
        <v>27</v>
      </c>
      <c r="K69" s="11">
        <v>9567</v>
      </c>
      <c r="M69" s="11">
        <v>9801</v>
      </c>
      <c r="O69" s="11">
        <v>9953</v>
      </c>
      <c r="Q69" s="11">
        <v>10077</v>
      </c>
      <c r="S69" s="11">
        <v>10514</v>
      </c>
      <c r="T69" s="11"/>
      <c r="U69" s="11">
        <v>10809</v>
      </c>
      <c r="W69" s="11">
        <v>11903</v>
      </c>
    </row>
    <row r="70" spans="3:23">
      <c r="C70" t="s">
        <v>56</v>
      </c>
      <c r="D70" t="s">
        <v>0</v>
      </c>
      <c r="E70" s="6">
        <v>10</v>
      </c>
      <c r="F70" t="s">
        <v>47</v>
      </c>
      <c r="G70" s="7">
        <v>2.25</v>
      </c>
      <c r="H70" t="s">
        <v>27</v>
      </c>
      <c r="K70" s="11">
        <v>12756</v>
      </c>
      <c r="M70" s="11">
        <v>13068</v>
      </c>
      <c r="O70" s="11">
        <v>13271</v>
      </c>
      <c r="Q70" s="11">
        <v>13436</v>
      </c>
      <c r="S70" s="11">
        <v>14018</v>
      </c>
      <c r="T70" s="11"/>
      <c r="U70" s="11">
        <v>14411</v>
      </c>
      <c r="W70" s="11">
        <v>15870</v>
      </c>
    </row>
    <row r="71" spans="3:23">
      <c r="C71" t="s">
        <v>56</v>
      </c>
      <c r="D71" t="s">
        <v>0</v>
      </c>
      <c r="E71" s="6">
        <v>1</v>
      </c>
      <c r="F71" t="s">
        <v>25</v>
      </c>
      <c r="G71" s="7">
        <v>1.5</v>
      </c>
      <c r="H71" t="s">
        <v>33</v>
      </c>
      <c r="J71" t="s">
        <v>57</v>
      </c>
      <c r="K71" s="11">
        <v>180</v>
      </c>
      <c r="L71" s="12"/>
      <c r="M71" s="11">
        <v>180</v>
      </c>
      <c r="N71" s="12"/>
      <c r="O71" s="11">
        <v>180</v>
      </c>
      <c r="P71" s="12"/>
      <c r="Q71" s="11">
        <v>180</v>
      </c>
      <c r="R71" s="12"/>
      <c r="S71" s="11">
        <v>180</v>
      </c>
      <c r="T71" s="11"/>
      <c r="U71" s="11">
        <v>180</v>
      </c>
      <c r="W71" s="11">
        <v>180</v>
      </c>
    </row>
    <row r="72" spans="3:23">
      <c r="C72" t="s">
        <v>56</v>
      </c>
      <c r="D72" t="s">
        <v>0</v>
      </c>
      <c r="E72" s="6">
        <v>1</v>
      </c>
      <c r="F72" t="s">
        <v>29</v>
      </c>
      <c r="G72" s="7">
        <v>1.85</v>
      </c>
      <c r="H72" t="s">
        <v>33</v>
      </c>
      <c r="J72" t="s">
        <v>58</v>
      </c>
      <c r="K72" s="11">
        <v>576</v>
      </c>
      <c r="L72" s="12"/>
      <c r="M72" s="11">
        <v>576</v>
      </c>
      <c r="N72" s="12"/>
      <c r="O72" s="11">
        <v>576</v>
      </c>
      <c r="P72" s="12"/>
      <c r="Q72" s="11">
        <v>576</v>
      </c>
      <c r="R72" s="12"/>
      <c r="S72" s="11">
        <v>576</v>
      </c>
      <c r="T72" s="11"/>
      <c r="U72" s="11">
        <v>576</v>
      </c>
      <c r="W72" s="11">
        <v>576</v>
      </c>
    </row>
    <row r="73" spans="3:23">
      <c r="C73" t="s">
        <v>56</v>
      </c>
      <c r="D73" t="s">
        <v>0</v>
      </c>
      <c r="E73" s="6">
        <v>1</v>
      </c>
      <c r="F73" t="s">
        <v>47</v>
      </c>
      <c r="G73" s="7">
        <v>2.25</v>
      </c>
      <c r="H73" t="s">
        <v>33</v>
      </c>
      <c r="J73" t="s">
        <v>59</v>
      </c>
      <c r="K73" s="11">
        <v>1404</v>
      </c>
      <c r="L73" s="12"/>
      <c r="M73" s="11">
        <v>1404</v>
      </c>
      <c r="N73" s="12"/>
      <c r="O73" s="11">
        <v>1404</v>
      </c>
      <c r="P73" s="12"/>
      <c r="Q73" s="11">
        <v>1404</v>
      </c>
      <c r="R73" s="12"/>
      <c r="S73" s="11">
        <v>1404</v>
      </c>
      <c r="T73" s="11"/>
      <c r="U73" s="11">
        <v>1404</v>
      </c>
      <c r="W73" s="11">
        <v>1404</v>
      </c>
    </row>
    <row r="74" spans="3:23">
      <c r="C74" t="s">
        <v>56</v>
      </c>
      <c r="D74" t="s">
        <v>0</v>
      </c>
      <c r="E74" s="6">
        <v>2</v>
      </c>
      <c r="F74" t="s">
        <v>25</v>
      </c>
      <c r="G74" s="7">
        <v>1.5</v>
      </c>
      <c r="H74" t="s">
        <v>33</v>
      </c>
      <c r="J74" t="s">
        <v>60</v>
      </c>
      <c r="K74" s="11">
        <v>240</v>
      </c>
      <c r="L74" s="12"/>
      <c r="M74" s="11">
        <v>240</v>
      </c>
      <c r="N74" s="12"/>
      <c r="O74" s="11">
        <v>240</v>
      </c>
      <c r="P74" s="12"/>
      <c r="Q74" s="11">
        <v>240</v>
      </c>
      <c r="R74" s="12"/>
      <c r="S74" s="11">
        <v>240</v>
      </c>
      <c r="T74" s="11"/>
      <c r="U74" s="11">
        <v>240</v>
      </c>
      <c r="W74" s="11">
        <v>240</v>
      </c>
    </row>
    <row r="75" spans="3:23">
      <c r="C75" t="s">
        <v>56</v>
      </c>
      <c r="D75" t="s">
        <v>0</v>
      </c>
      <c r="E75" s="6">
        <v>2</v>
      </c>
      <c r="F75" t="s">
        <v>29</v>
      </c>
      <c r="G75" s="7">
        <v>1.85</v>
      </c>
      <c r="H75" t="s">
        <v>33</v>
      </c>
      <c r="J75" t="s">
        <v>61</v>
      </c>
      <c r="K75" s="11">
        <v>780</v>
      </c>
      <c r="L75" s="12"/>
      <c r="M75" s="11">
        <v>780</v>
      </c>
      <c r="N75" s="12"/>
      <c r="O75" s="11">
        <v>780</v>
      </c>
      <c r="P75" s="12"/>
      <c r="Q75" s="11">
        <v>780</v>
      </c>
      <c r="R75" s="12"/>
      <c r="S75" s="11">
        <v>780</v>
      </c>
      <c r="T75" s="11"/>
      <c r="U75" s="11">
        <v>780</v>
      </c>
      <c r="W75" s="11">
        <v>780</v>
      </c>
    </row>
    <row r="76" spans="3:23">
      <c r="C76" t="s">
        <v>56</v>
      </c>
      <c r="D76" t="s">
        <v>0</v>
      </c>
      <c r="E76" s="6">
        <v>2</v>
      </c>
      <c r="F76" t="s">
        <v>47</v>
      </c>
      <c r="G76" s="7">
        <v>2.25</v>
      </c>
      <c r="H76" t="s">
        <v>33</v>
      </c>
      <c r="J76" t="s">
        <v>62</v>
      </c>
      <c r="K76" s="11">
        <v>1908</v>
      </c>
      <c r="L76" s="12"/>
      <c r="M76" s="11">
        <v>1908</v>
      </c>
      <c r="N76" s="12"/>
      <c r="O76" s="11">
        <v>1908</v>
      </c>
      <c r="P76" s="12"/>
      <c r="Q76" s="11">
        <v>1908</v>
      </c>
      <c r="R76" s="12"/>
      <c r="S76" s="11">
        <v>1908</v>
      </c>
      <c r="T76" s="11"/>
      <c r="U76" s="11">
        <v>1908</v>
      </c>
      <c r="W76" s="11">
        <v>1908</v>
      </c>
    </row>
    <row r="77" spans="3:23">
      <c r="C77" t="s">
        <v>56</v>
      </c>
      <c r="D77" t="s">
        <v>0</v>
      </c>
      <c r="E77" s="6">
        <v>3</v>
      </c>
      <c r="F77" t="s">
        <v>25</v>
      </c>
      <c r="G77" s="7">
        <v>1.5</v>
      </c>
      <c r="H77" t="s">
        <v>33</v>
      </c>
      <c r="J77" t="s">
        <v>63</v>
      </c>
      <c r="K77" s="11">
        <v>300</v>
      </c>
      <c r="L77" s="12"/>
      <c r="M77" s="11">
        <v>300</v>
      </c>
      <c r="N77" s="12"/>
      <c r="O77" s="11">
        <v>300</v>
      </c>
      <c r="P77" s="12"/>
      <c r="Q77" s="11">
        <v>300</v>
      </c>
      <c r="R77" s="12"/>
      <c r="S77" s="11">
        <v>300</v>
      </c>
      <c r="T77" s="11"/>
      <c r="U77" s="11">
        <v>300</v>
      </c>
      <c r="W77" s="11">
        <v>300</v>
      </c>
    </row>
    <row r="78" spans="3:23">
      <c r="C78" t="s">
        <v>56</v>
      </c>
      <c r="D78" t="s">
        <v>0</v>
      </c>
      <c r="E78" s="6">
        <v>3</v>
      </c>
      <c r="F78" t="s">
        <v>29</v>
      </c>
      <c r="G78" s="7">
        <v>1.85</v>
      </c>
      <c r="H78" t="s">
        <v>33</v>
      </c>
      <c r="J78" t="s">
        <v>64</v>
      </c>
      <c r="K78" s="11">
        <v>984</v>
      </c>
      <c r="L78" s="12"/>
      <c r="M78" s="11">
        <v>984</v>
      </c>
      <c r="N78" s="12"/>
      <c r="O78" s="11">
        <v>984</v>
      </c>
      <c r="P78" s="12"/>
      <c r="Q78" s="11">
        <v>984</v>
      </c>
      <c r="R78" s="12"/>
      <c r="S78" s="11">
        <v>984</v>
      </c>
      <c r="T78" s="11"/>
      <c r="U78" s="11">
        <v>984</v>
      </c>
      <c r="W78" s="11">
        <v>984</v>
      </c>
    </row>
    <row r="79" spans="3:23">
      <c r="C79" t="s">
        <v>56</v>
      </c>
      <c r="D79" t="s">
        <v>0</v>
      </c>
      <c r="E79" s="6">
        <v>3</v>
      </c>
      <c r="F79" t="s">
        <v>47</v>
      </c>
      <c r="G79" s="7">
        <v>2.25</v>
      </c>
      <c r="H79" t="s">
        <v>33</v>
      </c>
      <c r="J79" t="s">
        <v>65</v>
      </c>
      <c r="K79" s="11">
        <v>2400</v>
      </c>
      <c r="L79" s="12"/>
      <c r="M79" s="11">
        <v>2400</v>
      </c>
      <c r="N79" s="12"/>
      <c r="O79" s="11">
        <v>2400</v>
      </c>
      <c r="P79" s="12"/>
      <c r="Q79" s="11">
        <v>2400</v>
      </c>
      <c r="R79" s="12"/>
      <c r="S79" s="11">
        <v>2400</v>
      </c>
      <c r="T79" s="11"/>
      <c r="U79" s="11">
        <v>2400</v>
      </c>
      <c r="W79" s="11">
        <v>2400</v>
      </c>
    </row>
    <row r="80" spans="3:23">
      <c r="C80" t="s">
        <v>56</v>
      </c>
      <c r="D80" t="s">
        <v>0</v>
      </c>
      <c r="E80" s="6">
        <v>4</v>
      </c>
      <c r="F80" t="s">
        <v>25</v>
      </c>
      <c r="G80" s="7">
        <v>1.5</v>
      </c>
      <c r="H80" t="s">
        <v>33</v>
      </c>
      <c r="J80" t="s">
        <v>66</v>
      </c>
      <c r="K80" s="11">
        <v>360</v>
      </c>
      <c r="L80" s="12"/>
      <c r="M80" s="11">
        <v>360</v>
      </c>
      <c r="N80" s="12"/>
      <c r="O80" s="11">
        <v>360</v>
      </c>
      <c r="P80" s="12"/>
      <c r="Q80" s="11">
        <v>360</v>
      </c>
      <c r="R80" s="12"/>
      <c r="S80" s="11">
        <v>360</v>
      </c>
      <c r="T80" s="11"/>
      <c r="U80" s="11">
        <v>360</v>
      </c>
      <c r="W80" s="11">
        <v>360</v>
      </c>
    </row>
    <row r="81" spans="3:23">
      <c r="C81" t="s">
        <v>56</v>
      </c>
      <c r="D81" t="s">
        <v>0</v>
      </c>
      <c r="E81" s="6">
        <v>4</v>
      </c>
      <c r="F81" t="s">
        <v>29</v>
      </c>
      <c r="G81" s="7">
        <v>1.85</v>
      </c>
      <c r="H81" t="s">
        <v>33</v>
      </c>
      <c r="J81" t="s">
        <v>67</v>
      </c>
      <c r="K81" s="11">
        <v>1188</v>
      </c>
      <c r="L81" s="12"/>
      <c r="M81" s="11">
        <v>1188</v>
      </c>
      <c r="N81" s="12"/>
      <c r="O81" s="11">
        <v>1188</v>
      </c>
      <c r="P81" s="12"/>
      <c r="Q81" s="11">
        <v>1188</v>
      </c>
      <c r="R81" s="12"/>
      <c r="S81" s="11">
        <v>1188</v>
      </c>
      <c r="T81" s="11"/>
      <c r="U81" s="11">
        <v>1188</v>
      </c>
      <c r="W81" s="11">
        <v>1188</v>
      </c>
    </row>
    <row r="82" spans="3:23">
      <c r="C82" t="s">
        <v>56</v>
      </c>
      <c r="D82" t="s">
        <v>0</v>
      </c>
      <c r="E82" s="6">
        <v>4</v>
      </c>
      <c r="F82" t="s">
        <v>47</v>
      </c>
      <c r="G82" s="7">
        <v>2.25</v>
      </c>
      <c r="H82" t="s">
        <v>33</v>
      </c>
      <c r="J82" t="s">
        <v>68</v>
      </c>
      <c r="K82" s="11">
        <v>2892</v>
      </c>
      <c r="L82" s="12"/>
      <c r="M82" s="11">
        <v>2892</v>
      </c>
      <c r="N82" s="12"/>
      <c r="O82" s="11">
        <v>2892</v>
      </c>
      <c r="P82" s="12"/>
      <c r="Q82" s="11">
        <v>2892</v>
      </c>
      <c r="R82" s="12"/>
      <c r="S82" s="11">
        <v>2892</v>
      </c>
      <c r="T82" s="11"/>
      <c r="U82" s="11">
        <v>2892</v>
      </c>
      <c r="W82" s="11">
        <v>2892</v>
      </c>
    </row>
    <row r="83" spans="3:23">
      <c r="C83" t="s">
        <v>56</v>
      </c>
      <c r="D83" t="s">
        <v>0</v>
      </c>
      <c r="E83" s="6">
        <v>5</v>
      </c>
      <c r="F83" t="s">
        <v>25</v>
      </c>
      <c r="G83" s="7">
        <v>1.5</v>
      </c>
      <c r="H83" t="s">
        <v>33</v>
      </c>
      <c r="J83" t="s">
        <v>69</v>
      </c>
      <c r="K83" s="11">
        <v>420</v>
      </c>
      <c r="L83" s="12"/>
      <c r="M83" s="11">
        <v>420</v>
      </c>
      <c r="N83" s="12"/>
      <c r="O83" s="11">
        <v>420</v>
      </c>
      <c r="P83" s="12"/>
      <c r="Q83" s="11">
        <v>420</v>
      </c>
      <c r="R83" s="12"/>
      <c r="S83" s="11">
        <v>420</v>
      </c>
      <c r="T83" s="11"/>
      <c r="U83" s="11">
        <v>420</v>
      </c>
      <c r="W83" s="11">
        <v>420</v>
      </c>
    </row>
    <row r="84" spans="3:23">
      <c r="C84" t="s">
        <v>56</v>
      </c>
      <c r="D84" t="s">
        <v>0</v>
      </c>
      <c r="E84" s="6">
        <v>5</v>
      </c>
      <c r="F84" t="s">
        <v>29</v>
      </c>
      <c r="G84" s="7">
        <v>1.85</v>
      </c>
      <c r="H84" t="s">
        <v>33</v>
      </c>
      <c r="J84" t="s">
        <v>70</v>
      </c>
      <c r="K84" s="11">
        <v>1380</v>
      </c>
      <c r="L84" s="12"/>
      <c r="M84" s="11">
        <v>1380</v>
      </c>
      <c r="N84" s="12"/>
      <c r="O84" s="11">
        <v>1380</v>
      </c>
      <c r="P84" s="12"/>
      <c r="Q84" s="11">
        <v>1380</v>
      </c>
      <c r="R84" s="12"/>
      <c r="S84" s="11">
        <v>1380</v>
      </c>
      <c r="T84" s="11"/>
      <c r="U84" s="11">
        <v>1380</v>
      </c>
      <c r="W84" s="11">
        <v>1380</v>
      </c>
    </row>
    <row r="85" spans="3:23">
      <c r="C85" t="s">
        <v>56</v>
      </c>
      <c r="D85" t="s">
        <v>0</v>
      </c>
      <c r="E85" s="6">
        <v>5</v>
      </c>
      <c r="F85" t="s">
        <v>47</v>
      </c>
      <c r="G85" s="7">
        <v>2.25</v>
      </c>
      <c r="H85" t="s">
        <v>33</v>
      </c>
      <c r="J85" t="s">
        <v>71</v>
      </c>
      <c r="K85" s="11">
        <v>3396</v>
      </c>
      <c r="L85" s="12"/>
      <c r="M85" s="11">
        <v>3396</v>
      </c>
      <c r="N85" s="12"/>
      <c r="O85" s="11">
        <v>3396</v>
      </c>
      <c r="P85" s="12"/>
      <c r="Q85" s="11">
        <v>3396</v>
      </c>
      <c r="R85" s="12"/>
      <c r="S85" s="11">
        <v>3396</v>
      </c>
      <c r="T85" s="11"/>
      <c r="U85" s="11">
        <v>3396</v>
      </c>
      <c r="W85" s="11">
        <v>3396</v>
      </c>
    </row>
    <row r="86" spans="3:23">
      <c r="C86" t="s">
        <v>56</v>
      </c>
      <c r="D86" t="s">
        <v>0</v>
      </c>
      <c r="E86" s="6">
        <v>6</v>
      </c>
      <c r="F86" t="s">
        <v>25</v>
      </c>
      <c r="G86" s="7">
        <v>1.5</v>
      </c>
      <c r="H86" t="s">
        <v>33</v>
      </c>
      <c r="J86" t="s">
        <v>72</v>
      </c>
      <c r="K86" s="11">
        <v>480</v>
      </c>
      <c r="L86" s="12"/>
      <c r="M86" s="11">
        <v>480</v>
      </c>
      <c r="N86" s="12"/>
      <c r="O86" s="11">
        <v>480</v>
      </c>
      <c r="P86" s="12"/>
      <c r="Q86" s="11">
        <v>480</v>
      </c>
      <c r="R86" s="12"/>
      <c r="S86" s="11">
        <v>480</v>
      </c>
      <c r="T86" s="11"/>
      <c r="U86" s="11">
        <v>480</v>
      </c>
      <c r="W86" s="11">
        <v>480</v>
      </c>
    </row>
    <row r="87" spans="3:23">
      <c r="C87" t="s">
        <v>56</v>
      </c>
      <c r="D87" t="s">
        <v>0</v>
      </c>
      <c r="E87" s="6">
        <v>6</v>
      </c>
      <c r="F87" t="s">
        <v>29</v>
      </c>
      <c r="G87" s="7">
        <v>1.85</v>
      </c>
      <c r="H87" t="s">
        <v>33</v>
      </c>
      <c r="J87" t="s">
        <v>73</v>
      </c>
      <c r="K87" s="11">
        <v>1584</v>
      </c>
      <c r="L87" s="12"/>
      <c r="M87" s="11">
        <v>1584</v>
      </c>
      <c r="N87" s="12"/>
      <c r="O87" s="11">
        <v>1584</v>
      </c>
      <c r="P87" s="12"/>
      <c r="Q87" s="11">
        <v>1584</v>
      </c>
      <c r="R87" s="12"/>
      <c r="S87" s="11">
        <v>1584</v>
      </c>
      <c r="T87" s="11"/>
      <c r="U87" s="11">
        <v>1584</v>
      </c>
      <c r="W87" s="11">
        <v>1584</v>
      </c>
    </row>
    <row r="88" spans="3:23">
      <c r="C88" t="s">
        <v>56</v>
      </c>
      <c r="D88" t="s">
        <v>0</v>
      </c>
      <c r="E88" s="6">
        <v>6</v>
      </c>
      <c r="F88" t="s">
        <v>47</v>
      </c>
      <c r="G88" s="7">
        <v>2.25</v>
      </c>
      <c r="H88" t="s">
        <v>33</v>
      </c>
      <c r="J88" t="s">
        <v>74</v>
      </c>
      <c r="K88" s="11">
        <v>3888</v>
      </c>
      <c r="L88" s="12"/>
      <c r="M88" s="11">
        <v>3888</v>
      </c>
      <c r="N88" s="12"/>
      <c r="O88" s="11">
        <v>3888</v>
      </c>
      <c r="P88" s="12"/>
      <c r="Q88" s="11">
        <v>3888</v>
      </c>
      <c r="R88" s="12"/>
      <c r="S88" s="11">
        <v>3888</v>
      </c>
      <c r="T88" s="11"/>
      <c r="U88" s="11">
        <v>3888</v>
      </c>
      <c r="W88" s="11">
        <v>3888</v>
      </c>
    </row>
    <row r="89" spans="3:23">
      <c r="C89" t="s">
        <v>56</v>
      </c>
      <c r="D89" t="s">
        <v>0</v>
      </c>
      <c r="E89" s="6">
        <v>7</v>
      </c>
      <c r="F89" t="s">
        <v>25</v>
      </c>
      <c r="G89" s="7">
        <v>1.5</v>
      </c>
      <c r="H89" t="s">
        <v>33</v>
      </c>
      <c r="J89" t="s">
        <v>75</v>
      </c>
      <c r="K89" s="11">
        <v>552</v>
      </c>
      <c r="L89" s="12"/>
      <c r="M89" s="11">
        <v>552</v>
      </c>
      <c r="N89" s="12"/>
      <c r="O89" s="11">
        <v>552</v>
      </c>
      <c r="P89" s="12"/>
      <c r="Q89" s="11">
        <v>552</v>
      </c>
      <c r="R89" s="12"/>
      <c r="S89" s="11">
        <v>552</v>
      </c>
      <c r="T89" s="11"/>
      <c r="U89" s="11">
        <v>552</v>
      </c>
      <c r="W89" s="11">
        <v>552</v>
      </c>
    </row>
    <row r="90" spans="3:23">
      <c r="C90" t="s">
        <v>56</v>
      </c>
      <c r="D90" t="s">
        <v>0</v>
      </c>
      <c r="E90" s="6">
        <v>7</v>
      </c>
      <c r="F90" t="s">
        <v>29</v>
      </c>
      <c r="G90" s="7">
        <v>1.85</v>
      </c>
      <c r="H90" t="s">
        <v>33</v>
      </c>
      <c r="J90" t="s">
        <v>76</v>
      </c>
      <c r="K90" s="11">
        <v>1800</v>
      </c>
      <c r="L90" s="12"/>
      <c r="M90" s="11">
        <v>1800</v>
      </c>
      <c r="N90" s="12"/>
      <c r="O90" s="11">
        <v>1800</v>
      </c>
      <c r="P90" s="12"/>
      <c r="Q90" s="11">
        <v>1800</v>
      </c>
      <c r="R90" s="12"/>
      <c r="S90" s="11">
        <v>1800</v>
      </c>
      <c r="T90" s="11"/>
      <c r="U90" s="11">
        <v>1800</v>
      </c>
      <c r="W90" s="11">
        <v>1800</v>
      </c>
    </row>
    <row r="91" spans="3:23">
      <c r="C91" t="s">
        <v>56</v>
      </c>
      <c r="D91" t="s">
        <v>0</v>
      </c>
      <c r="E91" s="6">
        <v>7</v>
      </c>
      <c r="F91" t="s">
        <v>47</v>
      </c>
      <c r="G91" s="7">
        <v>2.25</v>
      </c>
      <c r="H91" t="s">
        <v>33</v>
      </c>
      <c r="J91" t="s">
        <v>77</v>
      </c>
      <c r="K91" s="11">
        <v>4392</v>
      </c>
      <c r="L91" s="12"/>
      <c r="M91" s="11">
        <v>4392</v>
      </c>
      <c r="N91" s="12"/>
      <c r="O91" s="11">
        <v>4392</v>
      </c>
      <c r="P91" s="12"/>
      <c r="Q91" s="11">
        <v>4392</v>
      </c>
      <c r="R91" s="12"/>
      <c r="S91" s="11">
        <v>4392</v>
      </c>
      <c r="T91" s="11"/>
      <c r="U91" s="11">
        <v>4392</v>
      </c>
      <c r="W91" s="11">
        <v>4392</v>
      </c>
    </row>
    <row r="92" spans="3:23">
      <c r="C92" t="s">
        <v>56</v>
      </c>
      <c r="D92" t="s">
        <v>0</v>
      </c>
      <c r="E92" s="6">
        <v>8</v>
      </c>
      <c r="F92" t="s">
        <v>25</v>
      </c>
      <c r="G92" s="7">
        <v>1.5</v>
      </c>
      <c r="H92" t="s">
        <v>33</v>
      </c>
      <c r="J92" t="s">
        <v>78</v>
      </c>
      <c r="K92" s="11">
        <v>612</v>
      </c>
      <c r="L92" s="12"/>
      <c r="M92" s="11">
        <v>612</v>
      </c>
      <c r="N92" s="12"/>
      <c r="O92" s="11">
        <v>612</v>
      </c>
      <c r="P92" s="12"/>
      <c r="Q92" s="11">
        <v>612</v>
      </c>
      <c r="R92" s="12"/>
      <c r="S92" s="11">
        <v>612</v>
      </c>
      <c r="T92" s="11"/>
      <c r="U92" s="11">
        <v>612</v>
      </c>
      <c r="W92" s="11">
        <v>612</v>
      </c>
    </row>
    <row r="93" spans="3:23">
      <c r="C93" t="s">
        <v>56</v>
      </c>
      <c r="D93" t="s">
        <v>0</v>
      </c>
      <c r="E93" s="6">
        <v>8</v>
      </c>
      <c r="F93" t="s">
        <v>29</v>
      </c>
      <c r="G93" s="7">
        <v>1.85</v>
      </c>
      <c r="H93" t="s">
        <v>33</v>
      </c>
      <c r="J93" t="s">
        <v>79</v>
      </c>
      <c r="K93" s="11">
        <v>2004</v>
      </c>
      <c r="L93" s="12"/>
      <c r="M93" s="11">
        <v>2004</v>
      </c>
      <c r="N93" s="12"/>
      <c r="O93" s="11">
        <v>2004</v>
      </c>
      <c r="P93" s="12"/>
      <c r="Q93" s="11">
        <v>2004</v>
      </c>
      <c r="R93" s="12"/>
      <c r="S93" s="11">
        <v>2004</v>
      </c>
      <c r="T93" s="11"/>
      <c r="U93" s="11">
        <v>2004</v>
      </c>
      <c r="W93" s="11">
        <v>2004</v>
      </c>
    </row>
    <row r="94" spans="3:23">
      <c r="C94" t="s">
        <v>56</v>
      </c>
      <c r="D94" t="s">
        <v>0</v>
      </c>
      <c r="E94" s="6">
        <v>8</v>
      </c>
      <c r="F94" t="s">
        <v>47</v>
      </c>
      <c r="G94" s="7">
        <v>2.25</v>
      </c>
      <c r="H94" t="s">
        <v>33</v>
      </c>
      <c r="J94" t="s">
        <v>80</v>
      </c>
      <c r="K94" s="11">
        <v>4884</v>
      </c>
      <c r="L94" s="12"/>
      <c r="M94" s="11">
        <v>4884</v>
      </c>
      <c r="N94" s="12"/>
      <c r="O94" s="11">
        <v>4884</v>
      </c>
      <c r="P94" s="12"/>
      <c r="Q94" s="11">
        <v>4884</v>
      </c>
      <c r="R94" s="12"/>
      <c r="S94" s="11">
        <v>4884</v>
      </c>
      <c r="T94" s="11"/>
      <c r="U94" s="11">
        <v>4884</v>
      </c>
      <c r="W94" s="11">
        <v>4884</v>
      </c>
    </row>
    <row r="95" spans="3:23">
      <c r="C95" t="s">
        <v>56</v>
      </c>
      <c r="D95" t="s">
        <v>0</v>
      </c>
      <c r="E95" s="6">
        <v>9</v>
      </c>
      <c r="F95" t="s">
        <v>25</v>
      </c>
      <c r="G95" s="7">
        <v>1.5</v>
      </c>
      <c r="H95" t="s">
        <v>33</v>
      </c>
      <c r="J95" t="s">
        <v>81</v>
      </c>
      <c r="K95" s="11">
        <v>672</v>
      </c>
      <c r="L95" s="12"/>
      <c r="M95" s="11">
        <v>672</v>
      </c>
      <c r="N95" s="12"/>
      <c r="O95" s="11">
        <v>672</v>
      </c>
      <c r="P95" s="12"/>
      <c r="Q95" s="11">
        <v>672</v>
      </c>
      <c r="R95" s="12"/>
      <c r="S95" s="11">
        <v>672</v>
      </c>
      <c r="T95" s="11"/>
      <c r="U95" s="11">
        <v>672</v>
      </c>
      <c r="W95" s="11">
        <v>672</v>
      </c>
    </row>
    <row r="96" spans="3:23">
      <c r="C96" t="s">
        <v>56</v>
      </c>
      <c r="D96" t="s">
        <v>0</v>
      </c>
      <c r="E96" s="6">
        <v>9</v>
      </c>
      <c r="F96" t="s">
        <v>29</v>
      </c>
      <c r="G96" s="7">
        <v>1.85</v>
      </c>
      <c r="H96" t="s">
        <v>33</v>
      </c>
      <c r="J96" t="s">
        <v>82</v>
      </c>
      <c r="K96" s="11">
        <v>2208</v>
      </c>
      <c r="L96" s="12"/>
      <c r="M96" s="11">
        <v>2208</v>
      </c>
      <c r="N96" s="12"/>
      <c r="O96" s="11">
        <v>2208</v>
      </c>
      <c r="P96" s="12"/>
      <c r="Q96" s="11">
        <v>2208</v>
      </c>
      <c r="R96" s="12"/>
      <c r="S96" s="11">
        <v>2208</v>
      </c>
      <c r="T96" s="11"/>
      <c r="U96" s="11">
        <v>2208</v>
      </c>
      <c r="W96" s="11">
        <v>2208</v>
      </c>
    </row>
    <row r="97" spans="3:23">
      <c r="C97" t="s">
        <v>56</v>
      </c>
      <c r="D97" t="s">
        <v>0</v>
      </c>
      <c r="E97" s="6">
        <v>9</v>
      </c>
      <c r="F97" t="s">
        <v>47</v>
      </c>
      <c r="G97" s="7">
        <v>2.25</v>
      </c>
      <c r="H97" t="s">
        <v>33</v>
      </c>
      <c r="J97" t="s">
        <v>83</v>
      </c>
      <c r="K97" s="11">
        <v>5388</v>
      </c>
      <c r="L97" s="12"/>
      <c r="M97" s="11">
        <v>5388</v>
      </c>
      <c r="N97" s="12"/>
      <c r="O97" s="11">
        <v>5388</v>
      </c>
      <c r="P97" s="12"/>
      <c r="Q97" s="11">
        <v>5388</v>
      </c>
      <c r="R97" s="12"/>
      <c r="S97" s="11">
        <v>5388</v>
      </c>
      <c r="T97" s="11"/>
      <c r="U97" s="11">
        <v>5388</v>
      </c>
      <c r="W97" s="11">
        <v>5388</v>
      </c>
    </row>
    <row r="98" spans="3:23">
      <c r="C98" t="s">
        <v>56</v>
      </c>
      <c r="D98" t="s">
        <v>0</v>
      </c>
      <c r="E98" s="6">
        <v>10</v>
      </c>
      <c r="F98" t="s">
        <v>25</v>
      </c>
      <c r="G98" s="7">
        <v>1.5</v>
      </c>
      <c r="H98" t="s">
        <v>33</v>
      </c>
      <c r="J98" t="s">
        <v>84</v>
      </c>
      <c r="K98" s="11">
        <v>732</v>
      </c>
      <c r="L98" s="12"/>
      <c r="M98" s="11">
        <v>732</v>
      </c>
      <c r="N98" s="12"/>
      <c r="O98" s="11">
        <v>732</v>
      </c>
      <c r="P98" s="12"/>
      <c r="Q98" s="11">
        <v>732</v>
      </c>
      <c r="R98" s="12"/>
      <c r="S98" s="11">
        <v>732</v>
      </c>
      <c r="T98" s="11"/>
      <c r="U98" s="11">
        <v>732</v>
      </c>
      <c r="W98" s="11">
        <v>732</v>
      </c>
    </row>
    <row r="99" spans="3:23">
      <c r="C99" t="s">
        <v>56</v>
      </c>
      <c r="D99" t="s">
        <v>0</v>
      </c>
      <c r="E99" s="6">
        <v>10</v>
      </c>
      <c r="F99" t="s">
        <v>29</v>
      </c>
      <c r="G99" s="7">
        <v>1.85</v>
      </c>
      <c r="H99" t="s">
        <v>33</v>
      </c>
      <c r="J99" t="s">
        <v>85</v>
      </c>
      <c r="K99" s="11">
        <v>2400</v>
      </c>
      <c r="L99" s="12"/>
      <c r="M99" s="11">
        <v>2400</v>
      </c>
      <c r="N99" s="12"/>
      <c r="O99" s="11">
        <v>2400</v>
      </c>
      <c r="P99" s="12"/>
      <c r="Q99" s="11">
        <v>2400</v>
      </c>
      <c r="R99" s="12"/>
      <c r="S99" s="11">
        <v>2400</v>
      </c>
      <c r="T99" s="11"/>
      <c r="U99" s="11">
        <v>2400</v>
      </c>
      <c r="W99" s="11">
        <v>2400</v>
      </c>
    </row>
    <row r="100" spans="3:23">
      <c r="C100" t="s">
        <v>56</v>
      </c>
      <c r="D100" t="s">
        <v>0</v>
      </c>
      <c r="E100" s="6">
        <v>10</v>
      </c>
      <c r="F100" t="s">
        <v>47</v>
      </c>
      <c r="G100" s="7">
        <v>2.25</v>
      </c>
      <c r="H100" t="s">
        <v>33</v>
      </c>
      <c r="J100" t="s">
        <v>86</v>
      </c>
      <c r="K100" s="11">
        <v>5880</v>
      </c>
      <c r="L100" s="12"/>
      <c r="M100" s="11">
        <v>5880</v>
      </c>
      <c r="N100" s="12"/>
      <c r="O100" s="11">
        <v>5880</v>
      </c>
      <c r="P100" s="12"/>
      <c r="Q100" s="11">
        <v>5880</v>
      </c>
      <c r="R100" s="12"/>
      <c r="S100" s="11">
        <v>5880</v>
      </c>
      <c r="T100" s="11"/>
      <c r="U100" s="11">
        <v>5880</v>
      </c>
      <c r="W100" s="11">
        <v>5880</v>
      </c>
    </row>
    <row r="101" spans="3:23">
      <c r="C101" t="s">
        <v>56</v>
      </c>
      <c r="D101" t="s">
        <v>0</v>
      </c>
      <c r="E101" s="6">
        <v>1</v>
      </c>
      <c r="F101" t="s">
        <v>25</v>
      </c>
      <c r="G101" s="7">
        <v>1.5</v>
      </c>
      <c r="H101" t="s">
        <v>36</v>
      </c>
      <c r="K101" s="11">
        <v>180</v>
      </c>
      <c r="L101" s="13"/>
      <c r="M101" s="11">
        <v>180</v>
      </c>
      <c r="N101" s="13"/>
      <c r="O101" s="11">
        <v>180</v>
      </c>
      <c r="P101" s="13"/>
      <c r="Q101" s="11">
        <v>180</v>
      </c>
      <c r="R101" s="14"/>
      <c r="S101" s="11">
        <v>180</v>
      </c>
      <c r="T101" s="11"/>
      <c r="U101" s="11">
        <v>180</v>
      </c>
      <c r="W101" s="11">
        <v>180</v>
      </c>
    </row>
    <row r="102" spans="3:23">
      <c r="C102" t="s">
        <v>56</v>
      </c>
      <c r="D102" t="s">
        <v>0</v>
      </c>
      <c r="E102" s="6">
        <v>1</v>
      </c>
      <c r="F102" t="s">
        <v>29</v>
      </c>
      <c r="G102" s="7">
        <v>1.85</v>
      </c>
      <c r="H102" t="s">
        <v>36</v>
      </c>
      <c r="K102" s="11">
        <v>576</v>
      </c>
      <c r="M102" s="11">
        <v>576</v>
      </c>
      <c r="O102" s="11">
        <v>576</v>
      </c>
      <c r="Q102" s="11">
        <v>576</v>
      </c>
      <c r="S102" s="11">
        <v>576</v>
      </c>
      <c r="T102" s="11"/>
      <c r="U102" s="11">
        <v>576</v>
      </c>
      <c r="W102" s="11">
        <v>576</v>
      </c>
    </row>
    <row r="103" spans="3:23">
      <c r="C103" t="s">
        <v>56</v>
      </c>
      <c r="D103" t="s">
        <v>0</v>
      </c>
      <c r="E103" s="6">
        <v>1</v>
      </c>
      <c r="F103" t="s">
        <v>47</v>
      </c>
      <c r="G103" s="7">
        <v>2.25</v>
      </c>
      <c r="H103" t="s">
        <v>36</v>
      </c>
      <c r="K103" s="11">
        <v>1404</v>
      </c>
      <c r="M103" s="11">
        <v>1404</v>
      </c>
      <c r="O103" s="11">
        <v>1404</v>
      </c>
      <c r="Q103" s="11">
        <v>1404</v>
      </c>
      <c r="S103" s="11">
        <v>1404</v>
      </c>
      <c r="T103" s="11"/>
      <c r="U103" s="11">
        <v>1404</v>
      </c>
      <c r="W103" s="11">
        <v>1404</v>
      </c>
    </row>
    <row r="104" spans="3:23">
      <c r="C104" t="s">
        <v>56</v>
      </c>
      <c r="D104" t="s">
        <v>0</v>
      </c>
      <c r="E104" s="6">
        <v>2</v>
      </c>
      <c r="F104" t="s">
        <v>25</v>
      </c>
      <c r="G104" s="7">
        <v>1.5</v>
      </c>
      <c r="H104" t="s">
        <v>36</v>
      </c>
      <c r="K104" s="11">
        <v>240</v>
      </c>
      <c r="M104" s="11">
        <v>240</v>
      </c>
      <c r="O104" s="11">
        <v>240</v>
      </c>
      <c r="Q104" s="11">
        <v>240</v>
      </c>
      <c r="S104" s="11">
        <v>240</v>
      </c>
      <c r="T104" s="11"/>
      <c r="U104" s="11">
        <v>240</v>
      </c>
      <c r="W104" s="11">
        <v>240</v>
      </c>
    </row>
    <row r="105" spans="3:23">
      <c r="C105" t="s">
        <v>56</v>
      </c>
      <c r="D105" t="s">
        <v>0</v>
      </c>
      <c r="E105" s="6">
        <v>2</v>
      </c>
      <c r="F105" t="s">
        <v>29</v>
      </c>
      <c r="G105" s="7">
        <v>1.85</v>
      </c>
      <c r="H105" t="s">
        <v>36</v>
      </c>
      <c r="K105" s="11">
        <v>780</v>
      </c>
      <c r="M105" s="11">
        <v>780</v>
      </c>
      <c r="O105" s="11">
        <v>780</v>
      </c>
      <c r="Q105" s="11">
        <v>780</v>
      </c>
      <c r="S105" s="11">
        <v>780</v>
      </c>
      <c r="T105" s="11"/>
      <c r="U105" s="11">
        <v>780</v>
      </c>
      <c r="W105" s="11">
        <v>780</v>
      </c>
    </row>
    <row r="106" spans="3:23">
      <c r="C106" t="s">
        <v>56</v>
      </c>
      <c r="D106" t="s">
        <v>0</v>
      </c>
      <c r="E106" s="6">
        <v>2</v>
      </c>
      <c r="F106" t="s">
        <v>47</v>
      </c>
      <c r="G106" s="7">
        <v>2.25</v>
      </c>
      <c r="H106" t="s">
        <v>36</v>
      </c>
      <c r="K106" s="11">
        <v>1908</v>
      </c>
      <c r="M106" s="11">
        <v>1908</v>
      </c>
      <c r="O106" s="11">
        <v>1908</v>
      </c>
      <c r="Q106" s="11">
        <v>1908</v>
      </c>
      <c r="S106" s="11">
        <v>1908</v>
      </c>
      <c r="T106" s="11"/>
      <c r="U106" s="11">
        <v>1908</v>
      </c>
      <c r="W106" s="11">
        <v>1908</v>
      </c>
    </row>
    <row r="107" spans="3:23">
      <c r="C107" t="s">
        <v>56</v>
      </c>
      <c r="D107" t="s">
        <v>0</v>
      </c>
      <c r="E107" s="6">
        <v>3</v>
      </c>
      <c r="F107" t="s">
        <v>25</v>
      </c>
      <c r="G107" s="7">
        <v>1.5</v>
      </c>
      <c r="H107" t="s">
        <v>36</v>
      </c>
      <c r="K107" s="11">
        <v>300</v>
      </c>
      <c r="M107" s="11">
        <v>300</v>
      </c>
      <c r="O107" s="11">
        <v>300</v>
      </c>
      <c r="Q107" s="11">
        <v>300</v>
      </c>
      <c r="S107" s="11">
        <v>300</v>
      </c>
      <c r="T107" s="11"/>
      <c r="U107" s="11">
        <v>300</v>
      </c>
      <c r="W107" s="11">
        <v>300</v>
      </c>
    </row>
    <row r="108" spans="3:23">
      <c r="C108" t="s">
        <v>56</v>
      </c>
      <c r="D108" t="s">
        <v>0</v>
      </c>
      <c r="E108" s="6">
        <v>3</v>
      </c>
      <c r="F108" t="s">
        <v>29</v>
      </c>
      <c r="G108" s="7">
        <v>1.85</v>
      </c>
      <c r="H108" t="s">
        <v>36</v>
      </c>
      <c r="K108" s="11">
        <v>984</v>
      </c>
      <c r="M108" s="11">
        <v>984</v>
      </c>
      <c r="O108" s="11">
        <v>984</v>
      </c>
      <c r="Q108" s="11">
        <v>984</v>
      </c>
      <c r="S108" s="11">
        <v>984</v>
      </c>
      <c r="T108" s="11"/>
      <c r="U108" s="11">
        <v>984</v>
      </c>
      <c r="W108" s="11">
        <v>984</v>
      </c>
    </row>
    <row r="109" spans="3:23">
      <c r="C109" t="s">
        <v>56</v>
      </c>
      <c r="D109" t="s">
        <v>0</v>
      </c>
      <c r="E109" s="6">
        <v>3</v>
      </c>
      <c r="F109" t="s">
        <v>47</v>
      </c>
      <c r="G109" s="7">
        <v>2.25</v>
      </c>
      <c r="H109" t="s">
        <v>36</v>
      </c>
      <c r="K109" s="11">
        <v>2400</v>
      </c>
      <c r="M109" s="11">
        <v>2400</v>
      </c>
      <c r="O109" s="11">
        <v>2400</v>
      </c>
      <c r="Q109" s="11">
        <v>2400</v>
      </c>
      <c r="S109" s="11">
        <v>2400</v>
      </c>
      <c r="T109" s="11"/>
      <c r="U109" s="11">
        <v>2400</v>
      </c>
      <c r="W109" s="11">
        <v>2400</v>
      </c>
    </row>
    <row r="110" spans="3:23">
      <c r="C110" t="s">
        <v>56</v>
      </c>
      <c r="D110" t="s">
        <v>0</v>
      </c>
      <c r="E110" s="6">
        <v>4</v>
      </c>
      <c r="F110" t="s">
        <v>25</v>
      </c>
      <c r="G110" s="7">
        <v>1.5</v>
      </c>
      <c r="H110" t="s">
        <v>36</v>
      </c>
      <c r="K110" s="11">
        <v>360</v>
      </c>
      <c r="M110" s="11">
        <v>360</v>
      </c>
      <c r="O110" s="11">
        <v>360</v>
      </c>
      <c r="Q110" s="11">
        <v>360</v>
      </c>
      <c r="S110" s="11">
        <v>360</v>
      </c>
      <c r="T110" s="11"/>
      <c r="U110" s="11">
        <v>360</v>
      </c>
      <c r="W110" s="11">
        <v>360</v>
      </c>
    </row>
    <row r="111" spans="3:23">
      <c r="C111" t="s">
        <v>56</v>
      </c>
      <c r="D111" t="s">
        <v>0</v>
      </c>
      <c r="E111" s="6">
        <v>4</v>
      </c>
      <c r="F111" t="s">
        <v>29</v>
      </c>
      <c r="G111" s="7">
        <v>1.85</v>
      </c>
      <c r="H111" t="s">
        <v>36</v>
      </c>
      <c r="K111" s="11">
        <v>1188</v>
      </c>
      <c r="M111" s="11">
        <v>1188</v>
      </c>
      <c r="O111" s="11">
        <v>1188</v>
      </c>
      <c r="Q111" s="11">
        <v>1188</v>
      </c>
      <c r="S111" s="11">
        <v>1188</v>
      </c>
      <c r="T111" s="11"/>
      <c r="U111" s="11">
        <v>1188</v>
      </c>
      <c r="W111" s="11">
        <v>1188</v>
      </c>
    </row>
    <row r="112" spans="3:23">
      <c r="C112" t="s">
        <v>56</v>
      </c>
      <c r="D112" t="s">
        <v>0</v>
      </c>
      <c r="E112" s="6">
        <v>4</v>
      </c>
      <c r="F112" t="s">
        <v>47</v>
      </c>
      <c r="G112" s="7">
        <v>2.25</v>
      </c>
      <c r="H112" t="s">
        <v>36</v>
      </c>
      <c r="K112" s="11">
        <v>2892</v>
      </c>
      <c r="M112" s="11">
        <v>2892</v>
      </c>
      <c r="O112" s="11">
        <v>2892</v>
      </c>
      <c r="Q112" s="11">
        <v>2892</v>
      </c>
      <c r="S112" s="11">
        <v>2892</v>
      </c>
      <c r="T112" s="11"/>
      <c r="U112" s="11">
        <v>2892</v>
      </c>
      <c r="W112" s="11">
        <v>2892</v>
      </c>
    </row>
    <row r="113" spans="3:23">
      <c r="C113" t="s">
        <v>56</v>
      </c>
      <c r="D113" t="s">
        <v>0</v>
      </c>
      <c r="E113" s="6">
        <v>5</v>
      </c>
      <c r="F113" t="s">
        <v>25</v>
      </c>
      <c r="G113" s="7">
        <v>1.5</v>
      </c>
      <c r="H113" t="s">
        <v>36</v>
      </c>
      <c r="K113" s="11">
        <v>420</v>
      </c>
      <c r="M113" s="11">
        <v>420</v>
      </c>
      <c r="O113" s="11">
        <v>420</v>
      </c>
      <c r="Q113" s="11">
        <v>420</v>
      </c>
      <c r="S113" s="11">
        <v>420</v>
      </c>
      <c r="T113" s="11"/>
      <c r="U113" s="11">
        <v>420</v>
      </c>
      <c r="W113" s="11">
        <v>420</v>
      </c>
    </row>
    <row r="114" spans="3:23">
      <c r="C114" t="s">
        <v>56</v>
      </c>
      <c r="D114" t="s">
        <v>0</v>
      </c>
      <c r="E114" s="6">
        <v>5</v>
      </c>
      <c r="F114" t="s">
        <v>29</v>
      </c>
      <c r="G114" s="7">
        <v>1.85</v>
      </c>
      <c r="H114" t="s">
        <v>36</v>
      </c>
      <c r="K114" s="11">
        <v>1380</v>
      </c>
      <c r="M114" s="11">
        <v>1380</v>
      </c>
      <c r="O114" s="11">
        <v>1380</v>
      </c>
      <c r="Q114" s="11">
        <v>1380</v>
      </c>
      <c r="S114" s="11">
        <v>1380</v>
      </c>
      <c r="T114" s="11"/>
      <c r="U114" s="11">
        <v>1380</v>
      </c>
      <c r="W114" s="11">
        <v>1380</v>
      </c>
    </row>
    <row r="115" spans="3:23">
      <c r="C115" t="s">
        <v>56</v>
      </c>
      <c r="D115" t="s">
        <v>0</v>
      </c>
      <c r="E115" s="6">
        <v>5</v>
      </c>
      <c r="F115" t="s">
        <v>47</v>
      </c>
      <c r="G115" s="7">
        <v>2.25</v>
      </c>
      <c r="H115" t="s">
        <v>36</v>
      </c>
      <c r="K115" s="11">
        <v>3396</v>
      </c>
      <c r="M115" s="11">
        <v>3396</v>
      </c>
      <c r="O115" s="11">
        <v>3396</v>
      </c>
      <c r="Q115" s="11">
        <v>3396</v>
      </c>
      <c r="S115" s="11">
        <v>3396</v>
      </c>
      <c r="T115" s="11"/>
      <c r="U115" s="11">
        <v>3396</v>
      </c>
      <c r="W115" s="11">
        <v>3396</v>
      </c>
    </row>
    <row r="116" spans="3:23">
      <c r="C116" t="s">
        <v>56</v>
      </c>
      <c r="D116" t="s">
        <v>0</v>
      </c>
      <c r="E116" s="6">
        <v>6</v>
      </c>
      <c r="F116" t="s">
        <v>25</v>
      </c>
      <c r="G116" s="7">
        <v>1.5</v>
      </c>
      <c r="H116" t="s">
        <v>36</v>
      </c>
      <c r="K116" s="11">
        <v>480</v>
      </c>
      <c r="M116" s="11">
        <v>480</v>
      </c>
      <c r="O116" s="11">
        <v>480</v>
      </c>
      <c r="Q116" s="11">
        <v>480</v>
      </c>
      <c r="S116" s="11">
        <v>480</v>
      </c>
      <c r="T116" s="11"/>
      <c r="U116" s="11">
        <v>480</v>
      </c>
      <c r="W116" s="11">
        <v>480</v>
      </c>
    </row>
    <row r="117" spans="3:23">
      <c r="C117" t="s">
        <v>56</v>
      </c>
      <c r="D117" t="s">
        <v>0</v>
      </c>
      <c r="E117" s="6">
        <v>6</v>
      </c>
      <c r="F117" t="s">
        <v>29</v>
      </c>
      <c r="G117" s="7">
        <v>1.85</v>
      </c>
      <c r="H117" t="s">
        <v>36</v>
      </c>
      <c r="K117" s="11">
        <v>1584</v>
      </c>
      <c r="M117" s="11">
        <v>1584</v>
      </c>
      <c r="O117" s="11">
        <v>1584</v>
      </c>
      <c r="Q117" s="11">
        <v>1584</v>
      </c>
      <c r="S117" s="11">
        <v>1584</v>
      </c>
      <c r="T117" s="11"/>
      <c r="U117" s="11">
        <v>1584</v>
      </c>
      <c r="W117" s="11">
        <v>1584</v>
      </c>
    </row>
    <row r="118" spans="3:23">
      <c r="C118" t="s">
        <v>56</v>
      </c>
      <c r="D118" t="s">
        <v>0</v>
      </c>
      <c r="E118" s="6">
        <v>6</v>
      </c>
      <c r="F118" t="s">
        <v>47</v>
      </c>
      <c r="G118" s="7">
        <v>2.25</v>
      </c>
      <c r="H118" t="s">
        <v>36</v>
      </c>
      <c r="K118" s="11">
        <v>3888</v>
      </c>
      <c r="M118" s="11">
        <v>3888</v>
      </c>
      <c r="O118" s="11">
        <v>3888</v>
      </c>
      <c r="Q118" s="11">
        <v>3888</v>
      </c>
      <c r="S118" s="11">
        <v>3888</v>
      </c>
      <c r="T118" s="11"/>
      <c r="U118" s="11">
        <v>3888</v>
      </c>
      <c r="W118" s="11">
        <v>3888</v>
      </c>
    </row>
    <row r="119" spans="3:23">
      <c r="C119" t="s">
        <v>56</v>
      </c>
      <c r="D119" t="s">
        <v>0</v>
      </c>
      <c r="E119" s="6">
        <v>7</v>
      </c>
      <c r="F119" t="s">
        <v>25</v>
      </c>
      <c r="G119" s="7">
        <v>1.5</v>
      </c>
      <c r="H119" t="s">
        <v>36</v>
      </c>
      <c r="K119" s="11">
        <v>552</v>
      </c>
      <c r="M119" s="11">
        <v>552</v>
      </c>
      <c r="O119" s="11">
        <v>552</v>
      </c>
      <c r="Q119" s="11">
        <v>552</v>
      </c>
      <c r="S119" s="11">
        <v>552</v>
      </c>
      <c r="T119" s="11"/>
      <c r="U119" s="11">
        <v>552</v>
      </c>
      <c r="W119" s="11">
        <v>552</v>
      </c>
    </row>
    <row r="120" spans="3:23">
      <c r="C120" t="s">
        <v>56</v>
      </c>
      <c r="D120" t="s">
        <v>0</v>
      </c>
      <c r="E120" s="6">
        <v>7</v>
      </c>
      <c r="F120" t="s">
        <v>29</v>
      </c>
      <c r="G120" s="7">
        <v>1.85</v>
      </c>
      <c r="H120" t="s">
        <v>36</v>
      </c>
      <c r="K120" s="11">
        <v>1800</v>
      </c>
      <c r="M120" s="11">
        <v>1800</v>
      </c>
      <c r="O120" s="11">
        <v>1800</v>
      </c>
      <c r="Q120" s="11">
        <v>1800</v>
      </c>
      <c r="S120" s="11">
        <v>1800</v>
      </c>
      <c r="T120" s="11"/>
      <c r="U120" s="11">
        <v>1800</v>
      </c>
      <c r="W120" s="11">
        <v>1800</v>
      </c>
    </row>
    <row r="121" spans="3:23">
      <c r="C121" t="s">
        <v>56</v>
      </c>
      <c r="D121" t="s">
        <v>0</v>
      </c>
      <c r="E121" s="6">
        <v>7</v>
      </c>
      <c r="F121" t="s">
        <v>47</v>
      </c>
      <c r="G121" s="7">
        <v>2.25</v>
      </c>
      <c r="H121" t="s">
        <v>36</v>
      </c>
      <c r="K121" s="11">
        <v>4392</v>
      </c>
      <c r="M121" s="11">
        <v>4392</v>
      </c>
      <c r="O121" s="11">
        <v>4392</v>
      </c>
      <c r="Q121" s="11">
        <v>4392</v>
      </c>
      <c r="S121" s="11">
        <v>4392</v>
      </c>
      <c r="T121" s="11"/>
      <c r="U121" s="11">
        <v>4392</v>
      </c>
      <c r="W121" s="11">
        <v>4392</v>
      </c>
    </row>
    <row r="122" spans="3:23">
      <c r="C122" t="s">
        <v>56</v>
      </c>
      <c r="D122" t="s">
        <v>0</v>
      </c>
      <c r="E122" s="6">
        <v>8</v>
      </c>
      <c r="F122" t="s">
        <v>25</v>
      </c>
      <c r="G122" s="7">
        <v>1.5</v>
      </c>
      <c r="H122" t="s">
        <v>36</v>
      </c>
      <c r="K122" s="11">
        <v>612</v>
      </c>
      <c r="M122" s="11">
        <v>612</v>
      </c>
      <c r="O122" s="11">
        <v>612</v>
      </c>
      <c r="Q122" s="11">
        <v>612</v>
      </c>
      <c r="S122" s="11">
        <v>612</v>
      </c>
      <c r="T122" s="11"/>
      <c r="U122" s="11">
        <v>612</v>
      </c>
      <c r="W122" s="11">
        <v>612</v>
      </c>
    </row>
    <row r="123" spans="3:23">
      <c r="C123" t="s">
        <v>56</v>
      </c>
      <c r="D123" t="s">
        <v>0</v>
      </c>
      <c r="E123" s="6">
        <v>8</v>
      </c>
      <c r="F123" t="s">
        <v>29</v>
      </c>
      <c r="G123" s="7">
        <v>1.85</v>
      </c>
      <c r="H123" t="s">
        <v>36</v>
      </c>
      <c r="K123" s="11">
        <v>2004</v>
      </c>
      <c r="M123" s="11">
        <v>2004</v>
      </c>
      <c r="O123" s="11">
        <v>2004</v>
      </c>
      <c r="Q123" s="11">
        <v>2004</v>
      </c>
      <c r="S123" s="11">
        <v>2004</v>
      </c>
      <c r="T123" s="11"/>
      <c r="U123" s="11">
        <v>2004</v>
      </c>
      <c r="W123" s="11">
        <v>2004</v>
      </c>
    </row>
    <row r="124" spans="3:23">
      <c r="C124" t="s">
        <v>56</v>
      </c>
      <c r="D124" t="s">
        <v>0</v>
      </c>
      <c r="E124" s="6">
        <v>8</v>
      </c>
      <c r="F124" t="s">
        <v>47</v>
      </c>
      <c r="G124" s="7">
        <v>2.25</v>
      </c>
      <c r="H124" t="s">
        <v>36</v>
      </c>
      <c r="K124" s="11">
        <v>4884</v>
      </c>
      <c r="M124" s="11">
        <v>4884</v>
      </c>
      <c r="O124" s="11">
        <v>4884</v>
      </c>
      <c r="Q124" s="11">
        <v>4884</v>
      </c>
      <c r="S124" s="11">
        <v>4884</v>
      </c>
      <c r="T124" s="11"/>
      <c r="U124" s="11">
        <v>4884</v>
      </c>
      <c r="W124" s="11">
        <v>4884</v>
      </c>
    </row>
    <row r="125" spans="3:23">
      <c r="C125" t="s">
        <v>56</v>
      </c>
      <c r="D125" t="s">
        <v>0</v>
      </c>
      <c r="E125" s="6">
        <v>9</v>
      </c>
      <c r="F125" t="s">
        <v>25</v>
      </c>
      <c r="G125" s="7">
        <v>1.5</v>
      </c>
      <c r="H125" t="s">
        <v>36</v>
      </c>
      <c r="K125" s="11">
        <v>672</v>
      </c>
      <c r="M125" s="11">
        <v>672</v>
      </c>
      <c r="O125" s="11">
        <v>672</v>
      </c>
      <c r="Q125" s="11">
        <v>672</v>
      </c>
      <c r="S125" s="11">
        <v>672</v>
      </c>
      <c r="T125" s="11"/>
      <c r="U125" s="11">
        <v>672</v>
      </c>
      <c r="W125" s="11">
        <v>672</v>
      </c>
    </row>
    <row r="126" spans="3:23">
      <c r="C126" t="s">
        <v>56</v>
      </c>
      <c r="D126" t="s">
        <v>0</v>
      </c>
      <c r="E126" s="6">
        <v>9</v>
      </c>
      <c r="F126" t="s">
        <v>29</v>
      </c>
      <c r="G126" s="7">
        <v>1.85</v>
      </c>
      <c r="H126" t="s">
        <v>36</v>
      </c>
      <c r="K126" s="11">
        <v>2208</v>
      </c>
      <c r="M126" s="11">
        <v>2208</v>
      </c>
      <c r="O126" s="11">
        <v>2208</v>
      </c>
      <c r="Q126" s="11">
        <v>2208</v>
      </c>
      <c r="S126" s="11">
        <v>2208</v>
      </c>
      <c r="T126" s="11"/>
      <c r="U126" s="11">
        <v>2208</v>
      </c>
      <c r="W126" s="11">
        <v>2208</v>
      </c>
    </row>
    <row r="127" spans="3:23">
      <c r="C127" t="s">
        <v>56</v>
      </c>
      <c r="D127" t="s">
        <v>0</v>
      </c>
      <c r="E127" s="6">
        <v>9</v>
      </c>
      <c r="F127" t="s">
        <v>47</v>
      </c>
      <c r="G127" s="7">
        <v>2.25</v>
      </c>
      <c r="H127" t="s">
        <v>36</v>
      </c>
      <c r="K127" s="11">
        <v>5388</v>
      </c>
      <c r="M127" s="11">
        <v>5388</v>
      </c>
      <c r="O127" s="11">
        <v>5388</v>
      </c>
      <c r="Q127" s="11">
        <v>5388</v>
      </c>
      <c r="S127" s="11">
        <v>5388</v>
      </c>
      <c r="T127" s="11"/>
      <c r="U127" s="11">
        <v>5388</v>
      </c>
      <c r="W127" s="11">
        <v>5388</v>
      </c>
    </row>
    <row r="128" spans="3:23">
      <c r="C128" t="s">
        <v>56</v>
      </c>
      <c r="D128" t="s">
        <v>0</v>
      </c>
      <c r="E128" s="6">
        <v>10</v>
      </c>
      <c r="F128" t="s">
        <v>25</v>
      </c>
      <c r="G128" s="7">
        <v>1.5</v>
      </c>
      <c r="H128" t="s">
        <v>36</v>
      </c>
      <c r="K128" s="11">
        <v>732</v>
      </c>
      <c r="M128" s="11">
        <v>732</v>
      </c>
      <c r="O128" s="11">
        <v>732</v>
      </c>
      <c r="Q128" s="11">
        <v>732</v>
      </c>
      <c r="S128" s="11">
        <v>732</v>
      </c>
      <c r="T128" s="11"/>
      <c r="U128" s="11">
        <v>732</v>
      </c>
      <c r="W128" s="11">
        <v>732</v>
      </c>
    </row>
    <row r="129" spans="3:23">
      <c r="C129" t="s">
        <v>56</v>
      </c>
      <c r="D129" t="s">
        <v>0</v>
      </c>
      <c r="E129" s="6">
        <v>10</v>
      </c>
      <c r="F129" t="s">
        <v>29</v>
      </c>
      <c r="G129" s="7">
        <v>1.85</v>
      </c>
      <c r="H129" t="s">
        <v>36</v>
      </c>
      <c r="K129" s="11">
        <v>2400</v>
      </c>
      <c r="M129" s="11">
        <v>2400</v>
      </c>
      <c r="O129" s="11">
        <v>2400</v>
      </c>
      <c r="Q129" s="11">
        <v>2400</v>
      </c>
      <c r="S129" s="11">
        <v>2400</v>
      </c>
      <c r="T129" s="11"/>
      <c r="U129" s="11">
        <v>2400</v>
      </c>
      <c r="W129" s="11">
        <v>2400</v>
      </c>
    </row>
    <row r="130" spans="3:23">
      <c r="C130" t="s">
        <v>56</v>
      </c>
      <c r="D130" t="s">
        <v>0</v>
      </c>
      <c r="E130" s="6">
        <v>10</v>
      </c>
      <c r="F130" t="s">
        <v>47</v>
      </c>
      <c r="G130" s="7">
        <v>2.25</v>
      </c>
      <c r="H130" t="s">
        <v>36</v>
      </c>
      <c r="K130" s="11">
        <v>5880</v>
      </c>
      <c r="M130" s="11">
        <v>5880</v>
      </c>
      <c r="O130" s="11">
        <v>5880</v>
      </c>
      <c r="Q130" s="11">
        <v>5880</v>
      </c>
      <c r="S130" s="11">
        <v>5880</v>
      </c>
      <c r="T130" s="11"/>
      <c r="U130" s="11">
        <v>5880</v>
      </c>
      <c r="W130" s="11">
        <v>5880</v>
      </c>
    </row>
    <row r="131" spans="3:23">
      <c r="C131" t="s">
        <v>87</v>
      </c>
      <c r="D131" t="s">
        <v>88</v>
      </c>
      <c r="E131" s="6"/>
      <c r="F131" t="s">
        <v>25</v>
      </c>
      <c r="H131" t="s">
        <v>27</v>
      </c>
      <c r="J131" t="s">
        <v>46</v>
      </c>
      <c r="K131" s="7">
        <v>1.55</v>
      </c>
      <c r="M131" s="7">
        <v>1.55</v>
      </c>
      <c r="O131" s="7">
        <v>1.55</v>
      </c>
      <c r="Q131" s="7">
        <v>1.28</v>
      </c>
      <c r="S131" s="7">
        <v>1.28</v>
      </c>
      <c r="T131" s="7"/>
      <c r="U131" s="7">
        <v>1.28</v>
      </c>
      <c r="V131" s="6"/>
      <c r="W131" s="7">
        <v>1.28</v>
      </c>
    </row>
    <row r="132" spans="3:23">
      <c r="C132" t="s">
        <v>87</v>
      </c>
      <c r="D132" t="s">
        <v>88</v>
      </c>
      <c r="E132" s="6"/>
      <c r="F132" t="s">
        <v>29</v>
      </c>
      <c r="H132" t="s">
        <v>27</v>
      </c>
      <c r="J132" t="s">
        <v>46</v>
      </c>
      <c r="K132" s="7">
        <v>2.06</v>
      </c>
      <c r="M132" s="7">
        <v>2.06</v>
      </c>
      <c r="O132" s="7">
        <v>2.06</v>
      </c>
      <c r="Q132" s="7">
        <v>2.06</v>
      </c>
      <c r="S132" s="7">
        <v>2.06</v>
      </c>
      <c r="T132" s="7"/>
      <c r="U132" s="7">
        <v>2.06</v>
      </c>
      <c r="V132" s="6"/>
      <c r="W132" s="7">
        <v>2.06</v>
      </c>
    </row>
    <row r="133" spans="3:23">
      <c r="C133" t="s">
        <v>87</v>
      </c>
      <c r="D133" t="s">
        <v>88</v>
      </c>
      <c r="E133" s="6"/>
      <c r="F133" t="s">
        <v>25</v>
      </c>
      <c r="H133" t="s">
        <v>33</v>
      </c>
      <c r="K133" s="10">
        <v>0</v>
      </c>
      <c r="M133" s="10">
        <v>0</v>
      </c>
      <c r="O133" s="10">
        <v>0</v>
      </c>
      <c r="Q133" s="10">
        <v>0</v>
      </c>
      <c r="S133" s="10">
        <v>0</v>
      </c>
      <c r="T133" s="10"/>
      <c r="U133" s="10">
        <v>0</v>
      </c>
      <c r="V133" s="6"/>
      <c r="W133" s="10">
        <v>0</v>
      </c>
    </row>
    <row r="134" spans="3:23">
      <c r="C134" t="s">
        <v>87</v>
      </c>
      <c r="D134" t="s">
        <v>88</v>
      </c>
      <c r="E134" s="6"/>
      <c r="F134" t="s">
        <v>29</v>
      </c>
      <c r="H134" t="s">
        <v>33</v>
      </c>
      <c r="K134" s="10">
        <v>50</v>
      </c>
      <c r="M134" s="10">
        <v>50</v>
      </c>
      <c r="O134" s="10">
        <v>50</v>
      </c>
      <c r="Q134" s="10">
        <v>50</v>
      </c>
      <c r="S134" s="10">
        <v>50</v>
      </c>
      <c r="T134" s="10"/>
      <c r="U134" s="10">
        <v>50</v>
      </c>
      <c r="V134" s="6"/>
      <c r="W134" s="10">
        <v>50</v>
      </c>
    </row>
    <row r="135" spans="3:23">
      <c r="C135" t="s">
        <v>87</v>
      </c>
      <c r="D135" t="s">
        <v>88</v>
      </c>
      <c r="E135" s="6"/>
      <c r="F135" t="s">
        <v>25</v>
      </c>
      <c r="H135" t="s">
        <v>36</v>
      </c>
      <c r="K135" s="10">
        <v>0</v>
      </c>
      <c r="M135" s="10">
        <v>0</v>
      </c>
      <c r="O135" s="10">
        <v>0</v>
      </c>
      <c r="Q135" s="10">
        <v>0</v>
      </c>
      <c r="S135" s="10">
        <v>0</v>
      </c>
      <c r="T135" s="10"/>
      <c r="U135" s="10">
        <v>0</v>
      </c>
      <c r="V135" s="6"/>
      <c r="W135" s="10">
        <v>0</v>
      </c>
    </row>
    <row r="136" spans="3:23">
      <c r="C136" t="s">
        <v>87</v>
      </c>
      <c r="D136" t="s">
        <v>88</v>
      </c>
      <c r="E136" s="6"/>
      <c r="F136" t="s">
        <v>29</v>
      </c>
      <c r="H136" t="s">
        <v>36</v>
      </c>
      <c r="K136" s="10">
        <v>100</v>
      </c>
      <c r="M136" s="10">
        <v>100</v>
      </c>
      <c r="O136" s="10">
        <v>100</v>
      </c>
      <c r="Q136" s="10">
        <v>100</v>
      </c>
      <c r="S136" s="10">
        <v>100</v>
      </c>
      <c r="T136" s="10"/>
      <c r="U136" s="10">
        <v>100</v>
      </c>
      <c r="V136" s="6"/>
      <c r="W136" s="10">
        <v>100</v>
      </c>
    </row>
    <row r="137" spans="3:23">
      <c r="C137" t="s">
        <v>89</v>
      </c>
      <c r="D137" t="s">
        <v>0</v>
      </c>
      <c r="E137" s="6"/>
      <c r="F137" t="s">
        <v>25</v>
      </c>
      <c r="H137" t="s">
        <v>27</v>
      </c>
      <c r="K137" s="7">
        <v>2.08</v>
      </c>
      <c r="M137" s="7">
        <v>2.08</v>
      </c>
      <c r="O137" s="7">
        <v>2.08</v>
      </c>
      <c r="Q137" s="7">
        <v>2.08</v>
      </c>
      <c r="S137" s="7">
        <v>2.08</v>
      </c>
      <c r="T137" s="7"/>
      <c r="U137" s="7">
        <v>2.0299999999999998</v>
      </c>
      <c r="V137" s="6"/>
      <c r="W137" s="7">
        <v>2.0299999999999998</v>
      </c>
    </row>
    <row r="138" spans="3:23">
      <c r="C138" t="s">
        <v>89</v>
      </c>
      <c r="D138" t="s">
        <v>0</v>
      </c>
      <c r="E138" s="6"/>
      <c r="F138" t="s">
        <v>29</v>
      </c>
      <c r="H138" t="s">
        <v>27</v>
      </c>
      <c r="K138" s="7">
        <v>2.08</v>
      </c>
      <c r="M138" s="7">
        <v>2.08</v>
      </c>
      <c r="O138" s="7">
        <v>2.08</v>
      </c>
      <c r="Q138" s="7">
        <v>2.08</v>
      </c>
      <c r="S138" s="7">
        <v>2.08</v>
      </c>
      <c r="T138" s="7"/>
      <c r="U138" s="7">
        <v>2.0299999999999998</v>
      </c>
      <c r="V138" s="6"/>
      <c r="W138" s="7">
        <v>2.0299999999999998</v>
      </c>
    </row>
    <row r="139" spans="3:23">
      <c r="C139" t="s">
        <v>89</v>
      </c>
      <c r="D139" t="s">
        <v>0</v>
      </c>
      <c r="E139" s="6"/>
      <c r="F139" t="s">
        <v>47</v>
      </c>
      <c r="H139" t="s">
        <v>27</v>
      </c>
      <c r="K139" s="7">
        <v>2.08</v>
      </c>
      <c r="M139" s="7">
        <v>2.08</v>
      </c>
      <c r="O139" s="7">
        <v>2.08</v>
      </c>
      <c r="Q139" s="7">
        <v>2.08</v>
      </c>
      <c r="S139" s="7">
        <v>2.08</v>
      </c>
      <c r="T139" s="7"/>
      <c r="U139" s="7">
        <v>2.0299999999999998</v>
      </c>
      <c r="V139" s="6"/>
      <c r="W139" s="7">
        <v>2.0299999999999998</v>
      </c>
    </row>
    <row r="140" spans="3:23">
      <c r="C140" t="s">
        <v>89</v>
      </c>
      <c r="D140" t="s">
        <v>0</v>
      </c>
      <c r="E140" s="6"/>
      <c r="F140" t="s">
        <v>48</v>
      </c>
      <c r="H140" t="s">
        <v>27</v>
      </c>
      <c r="K140" s="7">
        <v>2.08</v>
      </c>
      <c r="M140" s="7">
        <v>2.08</v>
      </c>
      <c r="O140" s="7">
        <v>2.08</v>
      </c>
      <c r="Q140" s="7">
        <v>2.08</v>
      </c>
      <c r="S140" s="7">
        <v>2.08</v>
      </c>
      <c r="T140" s="7"/>
      <c r="U140" s="7">
        <v>2.0299999999999998</v>
      </c>
      <c r="V140" s="6"/>
      <c r="W140" s="7">
        <v>2.0299999999999998</v>
      </c>
    </row>
    <row r="141" spans="3:23">
      <c r="C141" t="s">
        <v>89</v>
      </c>
      <c r="D141" t="s">
        <v>0</v>
      </c>
      <c r="E141" s="6"/>
      <c r="F141" t="s">
        <v>49</v>
      </c>
      <c r="H141" t="s">
        <v>27</v>
      </c>
      <c r="K141" s="7">
        <v>2.08</v>
      </c>
      <c r="M141" s="7">
        <v>2.08</v>
      </c>
      <c r="O141" s="7">
        <v>2.08</v>
      </c>
      <c r="Q141" s="7">
        <v>2.08</v>
      </c>
      <c r="S141" s="7">
        <v>2.08</v>
      </c>
      <c r="T141" s="7"/>
      <c r="U141" s="7">
        <v>2.0299999999999998</v>
      </c>
      <c r="V141" s="6"/>
      <c r="W141" s="7">
        <v>2.0299999999999998</v>
      </c>
    </row>
    <row r="142" spans="3:23">
      <c r="C142" t="s">
        <v>89</v>
      </c>
      <c r="D142" t="s">
        <v>0</v>
      </c>
      <c r="E142" s="6"/>
      <c r="F142" t="s">
        <v>50</v>
      </c>
      <c r="H142" t="s">
        <v>27</v>
      </c>
      <c r="K142" s="7">
        <v>2.08</v>
      </c>
      <c r="M142" s="7">
        <v>2.08</v>
      </c>
      <c r="O142" s="7">
        <v>2.08</v>
      </c>
      <c r="Q142" s="7">
        <v>2.08</v>
      </c>
      <c r="S142" s="7">
        <v>2.08</v>
      </c>
      <c r="T142" s="7"/>
      <c r="U142" s="7">
        <v>2.0299999999999998</v>
      </c>
      <c r="V142" s="6"/>
      <c r="W142" s="7">
        <v>2.0299999999999998</v>
      </c>
    </row>
    <row r="143" spans="3:23">
      <c r="C143" t="s">
        <v>90</v>
      </c>
      <c r="D143" t="s">
        <v>91</v>
      </c>
      <c r="E143" s="6"/>
      <c r="F143" t="s">
        <v>25</v>
      </c>
      <c r="H143" t="s">
        <v>27</v>
      </c>
      <c r="K143" s="7">
        <v>2.4500000000000002</v>
      </c>
      <c r="M143" s="7">
        <v>2.4500000000000002</v>
      </c>
      <c r="O143" s="7">
        <v>2.4500000000000002</v>
      </c>
      <c r="Q143" s="7">
        <v>2.4500000000000002</v>
      </c>
      <c r="S143" s="7">
        <v>2.4500000000000002</v>
      </c>
      <c r="T143" s="7"/>
      <c r="U143" s="7">
        <v>2.4500000000000002</v>
      </c>
      <c r="W143" s="7">
        <v>2.4500000000000002</v>
      </c>
    </row>
    <row r="144" spans="3:23">
      <c r="C144" t="s">
        <v>92</v>
      </c>
      <c r="D144" t="s">
        <v>0</v>
      </c>
      <c r="E144" s="6"/>
      <c r="F144" t="s">
        <v>25</v>
      </c>
      <c r="H144" t="s">
        <v>27</v>
      </c>
      <c r="J144" t="s">
        <v>46</v>
      </c>
      <c r="K144" s="7">
        <v>1.46</v>
      </c>
      <c r="M144" s="7">
        <v>1.46</v>
      </c>
      <c r="O144" s="7">
        <v>1.46</v>
      </c>
      <c r="Q144" s="7">
        <v>1.46</v>
      </c>
      <c r="S144" s="7">
        <v>1.46</v>
      </c>
      <c r="T144" s="7"/>
      <c r="U144" s="7">
        <v>1.46</v>
      </c>
      <c r="W144" s="7">
        <v>1.46</v>
      </c>
    </row>
    <row r="145" spans="3:23">
      <c r="C145" t="s">
        <v>92</v>
      </c>
      <c r="D145" t="s">
        <v>0</v>
      </c>
      <c r="E145" s="6"/>
      <c r="F145" t="s">
        <v>29</v>
      </c>
      <c r="H145" t="s">
        <v>27</v>
      </c>
      <c r="J145" t="s">
        <v>46</v>
      </c>
      <c r="K145" s="7">
        <v>1.81</v>
      </c>
      <c r="M145" s="7">
        <v>1.81</v>
      </c>
      <c r="O145" s="7">
        <v>1.81</v>
      </c>
      <c r="Q145" s="7">
        <v>1.81</v>
      </c>
      <c r="S145" s="7">
        <v>1.81</v>
      </c>
      <c r="T145" s="7"/>
      <c r="U145" s="7">
        <v>1.81</v>
      </c>
      <c r="W145" s="7">
        <v>1.81</v>
      </c>
    </row>
    <row r="146" spans="3:23">
      <c r="C146" t="s">
        <v>92</v>
      </c>
      <c r="D146" t="s">
        <v>0</v>
      </c>
      <c r="E146" s="6"/>
      <c r="F146" t="s">
        <v>47</v>
      </c>
      <c r="H146" t="s">
        <v>27</v>
      </c>
      <c r="J146" t="s">
        <v>46</v>
      </c>
      <c r="K146" s="7">
        <v>1.96</v>
      </c>
      <c r="M146" s="7">
        <v>1.96</v>
      </c>
      <c r="O146" s="7">
        <v>1.96</v>
      </c>
      <c r="Q146" s="7">
        <v>1.96</v>
      </c>
      <c r="S146" s="7">
        <v>1.96</v>
      </c>
      <c r="T146" s="7"/>
      <c r="U146" s="7">
        <v>1.96</v>
      </c>
      <c r="W146" s="7">
        <v>1.96</v>
      </c>
    </row>
    <row r="147" spans="3:23">
      <c r="C147" t="s">
        <v>92</v>
      </c>
      <c r="D147" t="s">
        <v>0</v>
      </c>
      <c r="E147" s="6"/>
      <c r="F147" t="s">
        <v>25</v>
      </c>
      <c r="H147" t="s">
        <v>33</v>
      </c>
      <c r="K147" s="10">
        <v>0</v>
      </c>
      <c r="M147" s="10">
        <v>0</v>
      </c>
      <c r="O147" s="10">
        <v>0</v>
      </c>
      <c r="Q147" s="10">
        <v>0</v>
      </c>
      <c r="S147" s="10">
        <v>0</v>
      </c>
      <c r="T147" s="10"/>
      <c r="U147" s="10">
        <v>0</v>
      </c>
      <c r="W147" s="10">
        <v>0</v>
      </c>
    </row>
    <row r="148" spans="3:23">
      <c r="C148" t="s">
        <v>92</v>
      </c>
      <c r="D148" t="s">
        <v>0</v>
      </c>
      <c r="E148" s="6"/>
      <c r="F148" t="s">
        <v>29</v>
      </c>
      <c r="H148" t="s">
        <v>33</v>
      </c>
      <c r="K148" s="10">
        <v>35</v>
      </c>
      <c r="M148" s="10">
        <v>35</v>
      </c>
      <c r="O148" s="10">
        <v>35</v>
      </c>
      <c r="Q148" s="10">
        <v>35</v>
      </c>
      <c r="S148" s="10">
        <v>35</v>
      </c>
      <c r="T148" s="10"/>
      <c r="U148" s="10">
        <v>35</v>
      </c>
      <c r="W148" s="10">
        <v>35</v>
      </c>
    </row>
    <row r="149" spans="3:23">
      <c r="C149" t="s">
        <v>92</v>
      </c>
      <c r="D149" t="s">
        <v>0</v>
      </c>
      <c r="E149" s="6"/>
      <c r="F149" t="s">
        <v>47</v>
      </c>
      <c r="H149" t="s">
        <v>33</v>
      </c>
      <c r="K149" s="10">
        <v>50</v>
      </c>
      <c r="M149" s="10">
        <v>50</v>
      </c>
      <c r="O149" s="10">
        <v>50</v>
      </c>
      <c r="Q149" s="10">
        <v>50</v>
      </c>
      <c r="S149" s="10">
        <v>50</v>
      </c>
      <c r="T149" s="10"/>
      <c r="U149" s="10">
        <v>50</v>
      </c>
      <c r="W149" s="10">
        <v>50</v>
      </c>
    </row>
    <row r="150" spans="3:23">
      <c r="C150" t="s">
        <v>93</v>
      </c>
      <c r="D150" t="s">
        <v>0</v>
      </c>
      <c r="E150" s="6"/>
      <c r="F150" t="s">
        <v>25</v>
      </c>
      <c r="G150" t="s">
        <v>94</v>
      </c>
      <c r="H150" t="s">
        <v>27</v>
      </c>
      <c r="K150" s="7">
        <v>1.5</v>
      </c>
      <c r="M150" s="7">
        <v>1.5</v>
      </c>
      <c r="O150" s="7">
        <v>1.5</v>
      </c>
      <c r="Q150" s="7">
        <v>1.5</v>
      </c>
      <c r="S150" s="7">
        <v>1.5</v>
      </c>
      <c r="T150" s="7"/>
      <c r="U150" s="7">
        <v>1.45</v>
      </c>
      <c r="W150" s="7">
        <v>1.45</v>
      </c>
    </row>
    <row r="151" spans="3:23">
      <c r="C151" t="s">
        <v>93</v>
      </c>
      <c r="D151" t="s">
        <v>0</v>
      </c>
      <c r="E151" s="6"/>
      <c r="F151" t="s">
        <v>29</v>
      </c>
      <c r="G151" t="s">
        <v>95</v>
      </c>
      <c r="H151" t="s">
        <v>27</v>
      </c>
      <c r="K151" s="7">
        <v>2</v>
      </c>
      <c r="M151" s="7">
        <v>2</v>
      </c>
      <c r="O151" s="7">
        <v>2</v>
      </c>
      <c r="Q151" s="7">
        <v>2</v>
      </c>
      <c r="S151" s="7">
        <v>2</v>
      </c>
      <c r="T151" s="7"/>
      <c r="U151" s="7">
        <v>1.95</v>
      </c>
      <c r="W151" s="7">
        <v>1.95</v>
      </c>
    </row>
    <row r="152" spans="3:23">
      <c r="C152" t="s">
        <v>93</v>
      </c>
      <c r="D152" t="s">
        <v>0</v>
      </c>
      <c r="E152" s="6"/>
      <c r="F152" t="s">
        <v>25</v>
      </c>
      <c r="G152" t="s">
        <v>94</v>
      </c>
      <c r="H152" t="s">
        <v>33</v>
      </c>
      <c r="K152" s="15">
        <v>300</v>
      </c>
      <c r="M152" s="15">
        <v>300</v>
      </c>
      <c r="O152" s="15">
        <v>300</v>
      </c>
      <c r="Q152" s="15">
        <v>300</v>
      </c>
      <c r="S152" s="15">
        <v>300</v>
      </c>
      <c r="T152" s="15"/>
      <c r="U152" s="15">
        <v>120</v>
      </c>
      <c r="V152" s="6"/>
      <c r="W152" s="15">
        <v>120</v>
      </c>
    </row>
    <row r="153" spans="3:23">
      <c r="C153" t="s">
        <v>93</v>
      </c>
      <c r="D153" t="s">
        <v>0</v>
      </c>
      <c r="E153" s="6"/>
      <c r="F153" t="s">
        <v>29</v>
      </c>
      <c r="G153" t="s">
        <v>95</v>
      </c>
      <c r="H153" t="s">
        <v>33</v>
      </c>
      <c r="K153" s="15">
        <v>300</v>
      </c>
      <c r="M153" s="15">
        <v>300</v>
      </c>
      <c r="O153" s="15">
        <v>300</v>
      </c>
      <c r="Q153" s="15">
        <v>300</v>
      </c>
      <c r="S153" s="15">
        <v>300</v>
      </c>
      <c r="T153" s="15"/>
      <c r="U153" s="15">
        <v>300</v>
      </c>
      <c r="W153" s="15">
        <v>300</v>
      </c>
    </row>
    <row r="154" spans="3:23">
      <c r="C154" t="s">
        <v>96</v>
      </c>
      <c r="D154" t="s">
        <v>0</v>
      </c>
      <c r="E154" s="6"/>
      <c r="F154" t="s">
        <v>25</v>
      </c>
      <c r="G154" t="s">
        <v>97</v>
      </c>
      <c r="H154" t="s">
        <v>27</v>
      </c>
      <c r="K154" s="7">
        <v>1.5</v>
      </c>
      <c r="M154" s="7">
        <v>1.5</v>
      </c>
      <c r="O154" s="7">
        <v>1.5</v>
      </c>
      <c r="Q154" s="7">
        <v>1.5</v>
      </c>
      <c r="S154" s="7">
        <v>1.5</v>
      </c>
      <c r="T154" s="7"/>
      <c r="U154" s="7">
        <v>1.45</v>
      </c>
      <c r="W154" s="7">
        <v>1.45</v>
      </c>
    </row>
    <row r="155" spans="3:23">
      <c r="C155" t="s">
        <v>96</v>
      </c>
      <c r="D155" t="s">
        <v>0</v>
      </c>
      <c r="E155" s="6"/>
      <c r="F155" t="s">
        <v>29</v>
      </c>
      <c r="G155" t="s">
        <v>98</v>
      </c>
      <c r="H155" t="s">
        <v>27</v>
      </c>
      <c r="K155" s="7">
        <v>2.11</v>
      </c>
      <c r="M155" s="7">
        <v>2.11</v>
      </c>
      <c r="O155" s="7">
        <v>2.11</v>
      </c>
      <c r="Q155" s="7">
        <v>2.11</v>
      </c>
      <c r="S155" s="7">
        <v>2.11</v>
      </c>
      <c r="T155" s="7"/>
      <c r="U155" s="7">
        <v>2.06</v>
      </c>
      <c r="W155" s="7">
        <v>2.06</v>
      </c>
    </row>
    <row r="156" spans="3:23">
      <c r="C156" t="s">
        <v>96</v>
      </c>
      <c r="D156" t="s">
        <v>0</v>
      </c>
      <c r="E156" s="6"/>
      <c r="F156" t="s">
        <v>47</v>
      </c>
      <c r="G156" t="s">
        <v>99</v>
      </c>
      <c r="H156" t="s">
        <v>27</v>
      </c>
      <c r="K156" s="7">
        <v>3</v>
      </c>
      <c r="M156" s="7">
        <v>3</v>
      </c>
      <c r="O156" s="7">
        <v>3</v>
      </c>
      <c r="Q156" s="7">
        <v>3</v>
      </c>
      <c r="S156" s="7">
        <v>3</v>
      </c>
      <c r="T156" s="7"/>
      <c r="U156" s="7">
        <v>2.95</v>
      </c>
      <c r="W156" s="7">
        <v>2.95</v>
      </c>
    </row>
    <row r="157" spans="3:23">
      <c r="C157" t="s">
        <v>96</v>
      </c>
      <c r="D157" t="s">
        <v>0</v>
      </c>
      <c r="E157" s="6"/>
      <c r="F157" t="s">
        <v>25</v>
      </c>
      <c r="G157" t="s">
        <v>97</v>
      </c>
      <c r="H157" t="s">
        <v>33</v>
      </c>
      <c r="K157" s="15">
        <v>450</v>
      </c>
      <c r="M157" s="15">
        <v>450</v>
      </c>
      <c r="O157" s="15">
        <v>450</v>
      </c>
      <c r="Q157" s="15">
        <v>450</v>
      </c>
      <c r="S157" s="15">
        <v>450</v>
      </c>
      <c r="T157" s="15"/>
      <c r="U157" s="15">
        <v>450</v>
      </c>
      <c r="W157" s="15">
        <v>450</v>
      </c>
    </row>
    <row r="158" spans="3:23">
      <c r="C158" t="s">
        <v>96</v>
      </c>
      <c r="D158" t="s">
        <v>0</v>
      </c>
      <c r="E158" s="6"/>
      <c r="F158" t="s">
        <v>29</v>
      </c>
      <c r="G158" t="s">
        <v>98</v>
      </c>
      <c r="H158" t="s">
        <v>33</v>
      </c>
      <c r="K158" s="15">
        <v>450</v>
      </c>
      <c r="M158" s="15">
        <v>450</v>
      </c>
      <c r="O158" s="15">
        <v>450</v>
      </c>
      <c r="Q158" s="15">
        <v>450</v>
      </c>
      <c r="S158" s="15">
        <v>450</v>
      </c>
      <c r="T158" s="15"/>
      <c r="U158" s="15">
        <v>450</v>
      </c>
      <c r="W158" s="15">
        <v>450</v>
      </c>
    </row>
    <row r="159" spans="3:23">
      <c r="C159" t="s">
        <v>96</v>
      </c>
      <c r="D159" t="s">
        <v>0</v>
      </c>
      <c r="E159" s="6"/>
      <c r="F159" t="s">
        <v>47</v>
      </c>
      <c r="G159" t="s">
        <v>99</v>
      </c>
      <c r="H159" t="s">
        <v>33</v>
      </c>
      <c r="K159" s="15">
        <v>852</v>
      </c>
      <c r="M159" s="15">
        <v>852</v>
      </c>
      <c r="O159" s="15">
        <v>852</v>
      </c>
      <c r="Q159" s="15">
        <v>852</v>
      </c>
      <c r="S159" s="15">
        <v>852</v>
      </c>
      <c r="T159" s="15"/>
      <c r="U159" s="15">
        <v>852</v>
      </c>
      <c r="W159" s="15">
        <v>852</v>
      </c>
    </row>
    <row r="160" spans="3:23">
      <c r="K160" s="10"/>
      <c r="M160" s="10"/>
      <c r="O160" s="10"/>
      <c r="Q160" s="10"/>
      <c r="S160" s="10"/>
    </row>
    <row r="161" spans="2:19">
      <c r="K161" s="10"/>
      <c r="M161" s="10"/>
      <c r="O161" s="10"/>
      <c r="Q161" s="10"/>
      <c r="S161" s="10"/>
    </row>
    <row r="162" spans="2:19">
      <c r="B162" s="4" t="s">
        <v>100</v>
      </c>
      <c r="J162" s="10"/>
      <c r="L162" s="10"/>
      <c r="N162" s="10"/>
    </row>
    <row r="163" spans="2:19">
      <c r="J163" s="10"/>
      <c r="L163" s="10"/>
      <c r="N163" s="10"/>
    </row>
    <row r="164" spans="2:19">
      <c r="C164" t="s">
        <v>101</v>
      </c>
      <c r="J164" s="10"/>
      <c r="L164" s="10"/>
      <c r="N164" s="10"/>
    </row>
    <row r="165" spans="2:19">
      <c r="B165" s="4" t="s">
        <v>102</v>
      </c>
      <c r="J165" s="3" t="e">
        <f>I199/K199</f>
        <v>#REF!</v>
      </c>
      <c r="K165">
        <v>33888</v>
      </c>
      <c r="L165">
        <v>2824</v>
      </c>
    </row>
    <row r="166" spans="2:19">
      <c r="J166" s="2" t="e">
        <f>K172*G173</f>
        <v>#REF!</v>
      </c>
      <c r="K166">
        <v>68856</v>
      </c>
      <c r="L166">
        <v>5738</v>
      </c>
    </row>
    <row r="167" spans="2:19">
      <c r="F167" s="16" t="s">
        <v>103</v>
      </c>
    </row>
    <row r="168" spans="2:19">
      <c r="F168" s="16" t="s">
        <v>104</v>
      </c>
      <c r="G168" s="6">
        <v>3</v>
      </c>
    </row>
    <row r="169" spans="2:19">
      <c r="F169" s="16" t="s">
        <v>105</v>
      </c>
      <c r="G169" s="6" t="str">
        <f>IF(InputStateName="Alaska","Alaska",IF(InputStateName="Hawaii","Hawaii","48 States"))</f>
        <v>48 States</v>
      </c>
    </row>
    <row r="170" spans="2:19">
      <c r="H170" s="42" t="s">
        <v>106</v>
      </c>
      <c r="I170" s="42" t="s">
        <v>107</v>
      </c>
      <c r="K170" s="42" t="s">
        <v>108</v>
      </c>
      <c r="L170" s="42" t="s">
        <v>106</v>
      </c>
    </row>
    <row r="171" spans="2:19">
      <c r="E171" t="s">
        <v>109</v>
      </c>
      <c r="F171" s="17" t="s">
        <v>110</v>
      </c>
      <c r="G171" s="18" t="s">
        <v>111</v>
      </c>
      <c r="H171" s="42"/>
      <c r="I171" s="43"/>
      <c r="K171" s="42"/>
      <c r="L171" s="42"/>
      <c r="M171" s="18" t="s">
        <v>111</v>
      </c>
    </row>
    <row r="172" spans="2:19">
      <c r="C172" t="s">
        <v>23</v>
      </c>
      <c r="D172" t="s">
        <v>112</v>
      </c>
      <c r="E172">
        <v>2020</v>
      </c>
      <c r="F172" s="16">
        <v>0</v>
      </c>
      <c r="G172" s="19" t="e">
        <f t="array" ref="G172">INDEX([1]!MedicaidIncomeEligibility[#Data],MATCH(1,([1]!MedicaidIncomeEligibility[State]=C172)*([1]!MedicaidIncomeEligibility[Category]=F172),0),MATCH(InputYear,VALUE([1]!MedicaidIncomeEligibility[#Headers]),0))</f>
        <v>#REF!</v>
      </c>
      <c r="H172" s="20" t="e">
        <f>G172+5%</f>
        <v>#REF!</v>
      </c>
      <c r="I172" s="21" t="e">
        <f t="array" ref="I172">H172*INDEX([1]!FPIG[#Data],MATCH(1,([1]!FPIG[State]=$G$169)*([1]!FPIG[Persons in Family/Household]=$G$168),0),MATCH(E172,VALUE([1]!FPIG[#Headers]),0))</f>
        <v>#REF!</v>
      </c>
      <c r="J172" s="22" t="e">
        <f>ROUND(I172/12,0)</f>
        <v>#REF!</v>
      </c>
      <c r="K172" s="21" t="e">
        <f t="array" ref="K172">INDEX([1]!FPIG[#Data],MATCH(1,([1]!FPIG[State]=$G$169)*([1]!FPIG[Persons in Family/Household]=$G$168),0),MATCH(E172,VALUE([1]!FPIG[#Headers]),0))</f>
        <v>#REF!</v>
      </c>
      <c r="L172" s="23" t="e">
        <f t="shared" ref="L172:L186" si="0">I172/K172</f>
        <v>#REF!</v>
      </c>
      <c r="M172" s="24" t="e">
        <f>L172-5%</f>
        <v>#REF!</v>
      </c>
    </row>
    <row r="173" spans="2:19">
      <c r="C173" t="s">
        <v>23</v>
      </c>
      <c r="D173" t="s">
        <v>25</v>
      </c>
      <c r="E173">
        <v>2020</v>
      </c>
      <c r="F173" s="16">
        <v>1</v>
      </c>
      <c r="G173" s="19" t="e">
        <f t="array" ref="G173">INDEX([1]!MedicaidIncomeEligibility[#Data],MATCH(1,([1]!MedicaidIncomeEligibility[State]=C173)*([1]!MedicaidIncomeEligibility[Category]=F173),0),MATCH(InputYear,VALUE([1]!MedicaidIncomeEligibility[#Headers]),0))</f>
        <v>#REF!</v>
      </c>
      <c r="H173" s="20" t="e">
        <f t="shared" ref="H173:H177" si="1">G173+5%</f>
        <v>#REF!</v>
      </c>
      <c r="I173" s="21" t="e">
        <f t="array" ref="I173">H173*INDEX([1]!FPIG[#Data],MATCH(1,([1]!FPIG[State]=$G$169)*([1]!FPIG[Persons in Family/Household]=$G$168),0),MATCH(E173,VALUE([1]!FPIG[#Headers]),0))</f>
        <v>#REF!</v>
      </c>
      <c r="J173" s="22" t="e">
        <f t="shared" ref="J173:J177" si="2">ROUND(I173/12,0)</f>
        <v>#REF!</v>
      </c>
      <c r="K173" s="21" t="e">
        <f t="array" ref="K173">INDEX([1]!FPIG[#Data],MATCH(1,([1]!FPIG[State]=$G$169)*([1]!FPIG[Persons in Family/Household]=$G$168),0),MATCH(E173,VALUE([1]!FPIG[#Headers]),0))</f>
        <v>#REF!</v>
      </c>
      <c r="L173" s="23" t="e">
        <f t="shared" si="0"/>
        <v>#REF!</v>
      </c>
      <c r="M173" s="24" t="e">
        <f t="shared" ref="M173:M186" si="3">ROUND(L173-5%,2)</f>
        <v>#REF!</v>
      </c>
    </row>
    <row r="174" spans="2:19">
      <c r="C174" t="s">
        <v>23</v>
      </c>
      <c r="D174" t="s">
        <v>29</v>
      </c>
      <c r="E174">
        <v>2020</v>
      </c>
      <c r="F174" s="16" t="s">
        <v>0</v>
      </c>
      <c r="G174" s="19" t="e">
        <f t="array" ref="G174">INDEX([1]!MedicaidIncomeEligibility[#Data],MATCH(1,([1]!MedicaidIncomeEligibility[State]=C174)*([1]!MedicaidIncomeEligibility[Category]=F174),0),MATCH(InputYear,VALUE([1]!MedicaidIncomeEligibility[#Headers]),0))</f>
        <v>#REF!</v>
      </c>
      <c r="H174" s="20" t="e">
        <f t="shared" si="1"/>
        <v>#REF!</v>
      </c>
      <c r="I174" s="21" t="e">
        <f t="array" ref="I174">H174*INDEX([1]!FPIG[#Data],MATCH(1,([1]!FPIG[State]=$G$169)*([1]!FPIG[Persons in Family/Household]=$G$168),0),MATCH(E174,VALUE([1]!FPIG[#Headers]),0))</f>
        <v>#REF!</v>
      </c>
      <c r="J174" s="22" t="e">
        <f t="shared" si="2"/>
        <v>#REF!</v>
      </c>
      <c r="K174" s="21" t="e">
        <f t="array" ref="K174">INDEX([1]!FPIG[#Data],MATCH(1,([1]!FPIG[State]=$G$169)*([1]!FPIG[Persons in Family/Household]=$G$168),0),MATCH(E174,VALUE([1]!FPIG[#Headers]),0))</f>
        <v>#REF!</v>
      </c>
      <c r="L174" s="23" t="e">
        <f t="shared" si="0"/>
        <v>#REF!</v>
      </c>
      <c r="M174" s="24" t="e">
        <f t="shared" si="3"/>
        <v>#REF!</v>
      </c>
    </row>
    <row r="175" spans="2:19">
      <c r="C175" t="s">
        <v>23</v>
      </c>
      <c r="D175" t="s">
        <v>112</v>
      </c>
      <c r="E175">
        <v>2021</v>
      </c>
      <c r="F175" s="16">
        <v>0</v>
      </c>
      <c r="G175" s="19" t="e">
        <f t="array" ref="G175">INDEX([1]!MedicaidIncomeEligibility[#Data],MATCH(1,([1]!MedicaidIncomeEligibility[State]=C175)*([1]!MedicaidIncomeEligibility[Category]=F175),0),MATCH(InputYear,VALUE([1]!MedicaidIncomeEligibility[#Headers]),0))</f>
        <v>#REF!</v>
      </c>
      <c r="H175" s="20" t="e">
        <f t="shared" si="1"/>
        <v>#REF!</v>
      </c>
      <c r="I175" s="21" t="e">
        <f t="array" ref="I175">H175*INDEX([1]!FPIG[#Data],MATCH(1,([1]!FPIG[State]=$G$169)*([1]!FPIG[Persons in Family/Household]=$G$168),0),MATCH(E175,VALUE([1]!FPIG[#Headers]),0))</f>
        <v>#REF!</v>
      </c>
      <c r="J175" s="22" t="e">
        <f t="shared" si="2"/>
        <v>#REF!</v>
      </c>
      <c r="K175" s="21" t="e">
        <f t="array" ref="K175">INDEX([1]!FPIG[#Data],MATCH(1,([1]!FPIG[State]=$G$169)*([1]!FPIG[Persons in Family/Household]=$G$168),0),MATCH(E175,VALUE([1]!FPIG[#Headers]),0))</f>
        <v>#REF!</v>
      </c>
      <c r="L175" s="23" t="e">
        <f t="shared" si="0"/>
        <v>#REF!</v>
      </c>
      <c r="M175" s="24" t="e">
        <f t="shared" si="3"/>
        <v>#REF!</v>
      </c>
    </row>
    <row r="176" spans="2:19">
      <c r="C176" t="s">
        <v>23</v>
      </c>
      <c r="D176" t="s">
        <v>25</v>
      </c>
      <c r="E176">
        <v>2021</v>
      </c>
      <c r="F176" s="16">
        <v>1</v>
      </c>
      <c r="G176" s="19" t="e">
        <f t="array" ref="G176">INDEX([1]!MedicaidIncomeEligibility[#Data],MATCH(1,([1]!MedicaidIncomeEligibility[State]=C176)*([1]!MedicaidIncomeEligibility[Category]=F176),0),MATCH(InputYear,VALUE([1]!MedicaidIncomeEligibility[#Headers]),0))</f>
        <v>#REF!</v>
      </c>
      <c r="H176" s="20" t="e">
        <f t="shared" si="1"/>
        <v>#REF!</v>
      </c>
      <c r="I176" s="21" t="e">
        <f t="array" ref="I176">H176*INDEX([1]!FPIG[#Data],MATCH(1,([1]!FPIG[State]=$G$169)*([1]!FPIG[Persons in Family/Household]=$G$168),0),MATCH(E176,VALUE([1]!FPIG[#Headers]),0))</f>
        <v>#REF!</v>
      </c>
      <c r="J176" s="22" t="e">
        <f t="shared" si="2"/>
        <v>#REF!</v>
      </c>
      <c r="K176" s="21" t="e">
        <f t="array" ref="K176">INDEX([1]!FPIG[#Data],MATCH(1,([1]!FPIG[State]=$G$169)*([1]!FPIG[Persons in Family/Household]=$G$168),0),MATCH(E176,VALUE([1]!FPIG[#Headers]),0))</f>
        <v>#REF!</v>
      </c>
      <c r="L176" s="23" t="e">
        <f t="shared" si="0"/>
        <v>#REF!</v>
      </c>
      <c r="M176" s="24" t="e">
        <f t="shared" si="3"/>
        <v>#REF!</v>
      </c>
    </row>
    <row r="177" spans="3:13">
      <c r="C177" t="s">
        <v>23</v>
      </c>
      <c r="D177" t="s">
        <v>29</v>
      </c>
      <c r="E177">
        <v>2021</v>
      </c>
      <c r="F177" s="16" t="s">
        <v>0</v>
      </c>
      <c r="G177" s="19" t="e">
        <f t="array" ref="G177">INDEX([1]!MedicaidIncomeEligibility[#Data],MATCH(1,([1]!MedicaidIncomeEligibility[State]=C177)*([1]!MedicaidIncomeEligibility[Category]=F177),0),MATCH(InputYear,VALUE([1]!MedicaidIncomeEligibility[#Headers]),0))</f>
        <v>#REF!</v>
      </c>
      <c r="H177" s="20" t="e">
        <f t="shared" si="1"/>
        <v>#REF!</v>
      </c>
      <c r="I177" s="21" t="e">
        <f t="array" ref="I177">H177*INDEX([1]!FPIG[#Data],MATCH(1,([1]!FPIG[State]=$G$169)*([1]!FPIG[Persons in Family/Household]=$G$168),0),MATCH(E177,VALUE([1]!FPIG[#Headers]),0))</f>
        <v>#REF!</v>
      </c>
      <c r="J177" s="22" t="e">
        <f t="shared" si="2"/>
        <v>#REF!</v>
      </c>
      <c r="K177" s="21" t="e">
        <f t="array" ref="K177">INDEX([1]!FPIG[#Data],MATCH(1,([1]!FPIG[State]=$G$169)*([1]!FPIG[Persons in Family/Household]=$G$168),0),MATCH(E177,VALUE([1]!FPIG[#Headers]),0))</f>
        <v>#REF!</v>
      </c>
      <c r="L177" s="23" t="e">
        <f t="shared" si="0"/>
        <v>#REF!</v>
      </c>
      <c r="M177" s="24" t="e">
        <f t="shared" si="3"/>
        <v>#REF!</v>
      </c>
    </row>
    <row r="178" spans="3:13">
      <c r="C178" t="s">
        <v>23</v>
      </c>
      <c r="D178" t="s">
        <v>112</v>
      </c>
      <c r="E178">
        <v>2022</v>
      </c>
      <c r="F178" s="16">
        <v>0</v>
      </c>
      <c r="G178" s="19" t="e">
        <f t="array" ref="G178">INDEX([1]!MedicaidIncomeEligibility[#Data],MATCH(1,([1]!MedicaidIncomeEligibility[State]=C178)*([1]!MedicaidIncomeEligibility[Category]=F178),0),MATCH(InputYear,VALUE([1]!MedicaidIncomeEligibility[#Headers]),0))</f>
        <v>#REF!</v>
      </c>
      <c r="H178" s="20" t="e">
        <f>G178+5%</f>
        <v>#REF!</v>
      </c>
      <c r="I178" s="21" t="e">
        <f t="array" ref="I178">H178*INDEX([1]!FPIG[#Data],MATCH(1,([1]!FPIG[State]=$G$169)*([1]!FPIG[Persons in Family/Household]=$G$168),0),MATCH(E178,VALUE([1]!FPIG[#Headers]),0))</f>
        <v>#REF!</v>
      </c>
      <c r="J178" s="22" t="e">
        <f>ROUND(I178/12,0)</f>
        <v>#REF!</v>
      </c>
      <c r="K178" s="21" t="e">
        <f t="array" ref="K178">INDEX([1]!FPIG[#Data],MATCH(1,([1]!FPIG[State]=$G$169)*([1]!FPIG[Persons in Family/Household]=$G$168),0),MATCH(E178,VALUE([1]!FPIG[#Headers]),0))</f>
        <v>#REF!</v>
      </c>
      <c r="L178" s="23" t="e">
        <f t="shared" si="0"/>
        <v>#REF!</v>
      </c>
      <c r="M178" s="24" t="e">
        <f t="shared" si="3"/>
        <v>#REF!</v>
      </c>
    </row>
    <row r="179" spans="3:13">
      <c r="C179" t="s">
        <v>23</v>
      </c>
      <c r="D179" t="s">
        <v>25</v>
      </c>
      <c r="E179">
        <v>2022</v>
      </c>
      <c r="F179" s="16">
        <v>1</v>
      </c>
      <c r="G179" s="19" t="e">
        <f t="array" ref="G179">INDEX([1]!MedicaidIncomeEligibility[#Data],MATCH(1,([1]!MedicaidIncomeEligibility[State]=C179)*([1]!MedicaidIncomeEligibility[Category]=F179),0),MATCH(InputYear,VALUE([1]!MedicaidIncomeEligibility[#Headers]),0))</f>
        <v>#REF!</v>
      </c>
      <c r="H179" s="20" t="e">
        <f t="shared" ref="H179:H195" si="4">G179+5%</f>
        <v>#REF!</v>
      </c>
      <c r="I179" s="21" t="e">
        <f t="array" ref="I179">H179*INDEX([1]!FPIG[#Data],MATCH(1,([1]!FPIG[State]=$G$169)*([1]!FPIG[Persons in Family/Household]=$G$168),0),MATCH(E179,VALUE([1]!FPIG[#Headers]),0))</f>
        <v>#REF!</v>
      </c>
      <c r="J179" s="22" t="e">
        <f t="shared" ref="J179:J195" si="5">ROUND(I179/12,0)</f>
        <v>#REF!</v>
      </c>
      <c r="K179" s="21" t="e">
        <f t="array" ref="K179">INDEX([1]!FPIG[#Data],MATCH(1,([1]!FPIG[State]=$G$169)*([1]!FPIG[Persons in Family/Household]=$G$168),0),MATCH(E179,VALUE([1]!FPIG[#Headers]),0))</f>
        <v>#REF!</v>
      </c>
      <c r="L179" s="23" t="e">
        <f t="shared" si="0"/>
        <v>#REF!</v>
      </c>
      <c r="M179" s="24" t="e">
        <f t="shared" si="3"/>
        <v>#REF!</v>
      </c>
    </row>
    <row r="180" spans="3:13">
      <c r="C180" t="s">
        <v>23</v>
      </c>
      <c r="D180" t="s">
        <v>29</v>
      </c>
      <c r="E180">
        <v>2022</v>
      </c>
      <c r="F180" s="16" t="s">
        <v>0</v>
      </c>
      <c r="G180" s="19" t="e">
        <f t="array" ref="G180">INDEX([1]!MedicaidIncomeEligibility[#Data],MATCH(1,([1]!MedicaidIncomeEligibility[State]=C180)*([1]!MedicaidIncomeEligibility[Category]=F180),0),MATCH(InputYear,VALUE([1]!MedicaidIncomeEligibility[#Headers]),0))</f>
        <v>#REF!</v>
      </c>
      <c r="H180" s="20" t="e">
        <f t="shared" si="4"/>
        <v>#REF!</v>
      </c>
      <c r="I180" s="21" t="e">
        <f t="array" ref="I180">H180*INDEX([1]!FPIG[#Data],MATCH(1,([1]!FPIG[State]=$G$169)*([1]!FPIG[Persons in Family/Household]=$G$168),0),MATCH(E180,VALUE([1]!FPIG[#Headers]),0))</f>
        <v>#REF!</v>
      </c>
      <c r="J180" s="22" t="e">
        <f t="shared" si="5"/>
        <v>#REF!</v>
      </c>
      <c r="K180" s="21" t="e">
        <f t="array" ref="K180">INDEX([1]!FPIG[#Data],MATCH(1,([1]!FPIG[State]=$G$169)*([1]!FPIG[Persons in Family/Household]=$G$168),0),MATCH(E180,VALUE([1]!FPIG[#Headers]),0))</f>
        <v>#REF!</v>
      </c>
      <c r="L180" s="23" t="e">
        <f t="shared" si="0"/>
        <v>#REF!</v>
      </c>
      <c r="M180" s="24" t="e">
        <f t="shared" si="3"/>
        <v>#REF!</v>
      </c>
    </row>
    <row r="181" spans="3:13">
      <c r="C181" t="s">
        <v>37</v>
      </c>
      <c r="D181" t="s">
        <v>25</v>
      </c>
      <c r="E181">
        <v>2020</v>
      </c>
      <c r="F181" s="16">
        <v>1</v>
      </c>
      <c r="G181" s="19" t="e">
        <f t="array" ref="G181">INDEX([1]!MedicaidIncomeEligibility[#Data],MATCH(1,([1]!MedicaidIncomeEligibility[State]=C181)*([1]!MedicaidIncomeEligibility[Category]=F181),0),MATCH(InputYear,VALUE([1]!MedicaidIncomeEligibility[#Headers]),0))</f>
        <v>#REF!</v>
      </c>
      <c r="H181" s="20" t="e">
        <f t="shared" si="4"/>
        <v>#REF!</v>
      </c>
      <c r="I181" s="21" t="e">
        <f t="array" ref="I181">H181*INDEX([1]!FPIG[#Data],MATCH(1,([1]!FPIG[State]=$G$169)*([1]!FPIG[Persons in Family/Household]=$G$168),0),MATCH(E181,VALUE([1]!FPIG[#Headers]),0))</f>
        <v>#REF!</v>
      </c>
      <c r="J181" s="22" t="e">
        <f t="shared" si="5"/>
        <v>#REF!</v>
      </c>
      <c r="K181" s="21" t="e">
        <f t="array" ref="K181">INDEX([1]!FPIG[#Data],MATCH(1,([1]!FPIG[State]=$G$169)*([1]!FPIG[Persons in Family/Household]=$G$168),0),MATCH(E181,VALUE([1]!FPIG[#Headers]),0))</f>
        <v>#REF!</v>
      </c>
      <c r="L181" s="23" t="e">
        <f t="shared" si="0"/>
        <v>#REF!</v>
      </c>
      <c r="M181" s="24" t="e">
        <f t="shared" si="3"/>
        <v>#REF!</v>
      </c>
    </row>
    <row r="182" spans="3:13">
      <c r="C182" t="s">
        <v>37</v>
      </c>
      <c r="D182" t="s">
        <v>29</v>
      </c>
      <c r="E182">
        <v>2020</v>
      </c>
      <c r="F182" s="16" t="s">
        <v>0</v>
      </c>
      <c r="G182" s="19" t="e">
        <f t="array" ref="G182">INDEX([1]!MedicaidIncomeEligibility[#Data],MATCH(1,([1]!MedicaidIncomeEligibility[State]=C182)*([1]!MedicaidIncomeEligibility[Category]=F182),0),MATCH(InputYear,VALUE([1]!MedicaidIncomeEligibility[#Headers]),0))</f>
        <v>#REF!</v>
      </c>
      <c r="H182" s="20" t="e">
        <f t="shared" si="4"/>
        <v>#REF!</v>
      </c>
      <c r="I182" s="21" t="e">
        <f t="array" ref="I182">H182*INDEX([1]!FPIG[#Data],MATCH(1,([1]!FPIG[State]=$G$169)*([1]!FPIG[Persons in Family/Household]=$G$168),0),MATCH(E182,VALUE([1]!FPIG[#Headers]),0))</f>
        <v>#REF!</v>
      </c>
      <c r="J182" s="22" t="e">
        <f t="shared" si="5"/>
        <v>#REF!</v>
      </c>
      <c r="K182" s="21" t="e">
        <f t="array" ref="K182">INDEX([1]!FPIG[#Data],MATCH(1,([1]!FPIG[State]=$G$169)*([1]!FPIG[Persons in Family/Household]=$G$168),0),MATCH(E182,VALUE([1]!FPIG[#Headers]),0))</f>
        <v>#REF!</v>
      </c>
      <c r="L182" s="23" t="e">
        <f t="shared" si="0"/>
        <v>#REF!</v>
      </c>
      <c r="M182" s="24" t="e">
        <f t="shared" si="3"/>
        <v>#REF!</v>
      </c>
    </row>
    <row r="183" spans="3:13">
      <c r="C183" t="s">
        <v>37</v>
      </c>
      <c r="D183" t="s">
        <v>25</v>
      </c>
      <c r="E183">
        <v>2021</v>
      </c>
      <c r="F183" s="16">
        <v>1</v>
      </c>
      <c r="G183" s="19" t="e">
        <f t="array" ref="G183">INDEX([1]!MedicaidIncomeEligibility[#Data],MATCH(1,([1]!MedicaidIncomeEligibility[State]=C183)*([1]!MedicaidIncomeEligibility[Category]=F183),0),MATCH(InputYear,VALUE([1]!MedicaidIncomeEligibility[#Headers]),0))</f>
        <v>#REF!</v>
      </c>
      <c r="H183" s="20" t="e">
        <f t="shared" si="4"/>
        <v>#REF!</v>
      </c>
      <c r="I183" s="21" t="e">
        <f t="array" ref="I183">H183*INDEX([1]!FPIG[#Data],MATCH(1,([1]!FPIG[State]=$G$169)*([1]!FPIG[Persons in Family/Household]=$G$168),0),MATCH(E183,VALUE([1]!FPIG[#Headers]),0))</f>
        <v>#REF!</v>
      </c>
      <c r="J183" s="22" t="e">
        <f t="shared" si="5"/>
        <v>#REF!</v>
      </c>
      <c r="K183" s="21" t="e">
        <f t="array" ref="K183">INDEX([1]!FPIG[#Data],MATCH(1,([1]!FPIG[State]=$G$169)*([1]!FPIG[Persons in Family/Household]=$G$168),0),MATCH(E183,VALUE([1]!FPIG[#Headers]),0))</f>
        <v>#REF!</v>
      </c>
      <c r="L183" s="23" t="e">
        <f t="shared" si="0"/>
        <v>#REF!</v>
      </c>
      <c r="M183" s="24" t="e">
        <f t="shared" si="3"/>
        <v>#REF!</v>
      </c>
    </row>
    <row r="184" spans="3:13">
      <c r="C184" t="s">
        <v>37</v>
      </c>
      <c r="D184" t="s">
        <v>29</v>
      </c>
      <c r="E184">
        <v>2021</v>
      </c>
      <c r="F184" s="16" t="s">
        <v>0</v>
      </c>
      <c r="G184" s="19" t="e">
        <f t="array" ref="G184">INDEX([1]!MedicaidIncomeEligibility[#Data],MATCH(1,([1]!MedicaidIncomeEligibility[State]=C184)*([1]!MedicaidIncomeEligibility[Category]=F184),0),MATCH(InputYear,VALUE([1]!MedicaidIncomeEligibility[#Headers]),0))</f>
        <v>#REF!</v>
      </c>
      <c r="H184" s="20" t="e">
        <f t="shared" si="4"/>
        <v>#REF!</v>
      </c>
      <c r="I184" s="21" t="e">
        <f t="array" ref="I184">H184*INDEX([1]!FPIG[#Data],MATCH(1,([1]!FPIG[State]=$G$169)*([1]!FPIG[Persons in Family/Household]=$G$168),0),MATCH(E184,VALUE([1]!FPIG[#Headers]),0))</f>
        <v>#REF!</v>
      </c>
      <c r="J184" s="22" t="e">
        <f t="shared" si="5"/>
        <v>#REF!</v>
      </c>
      <c r="K184" s="21" t="e">
        <f t="array" ref="K184">INDEX([1]!FPIG[#Data],MATCH(1,([1]!FPIG[State]=$G$169)*([1]!FPIG[Persons in Family/Household]=$G$168),0),MATCH(E184,VALUE([1]!FPIG[#Headers]),0))</f>
        <v>#REF!</v>
      </c>
      <c r="L184" s="23" t="e">
        <f t="shared" si="0"/>
        <v>#REF!</v>
      </c>
      <c r="M184" s="24" t="e">
        <f t="shared" si="3"/>
        <v>#REF!</v>
      </c>
    </row>
    <row r="185" spans="3:13">
      <c r="C185" t="s">
        <v>37</v>
      </c>
      <c r="D185" t="s">
        <v>25</v>
      </c>
      <c r="E185">
        <v>2022</v>
      </c>
      <c r="F185" s="16">
        <v>1</v>
      </c>
      <c r="G185" s="19" t="e">
        <f t="array" ref="G185">INDEX([1]!MedicaidIncomeEligibility[#Data],MATCH(1,([1]!MedicaidIncomeEligibility[State]=C185)*([1]!MedicaidIncomeEligibility[Category]=F185),0),MATCH(InputYear,VALUE([1]!MedicaidIncomeEligibility[#Headers]),0))</f>
        <v>#REF!</v>
      </c>
      <c r="H185" s="20" t="e">
        <f t="shared" si="4"/>
        <v>#REF!</v>
      </c>
      <c r="I185" s="21" t="e">
        <f t="array" ref="I185">H185*INDEX([1]!FPIG[#Data],MATCH(1,([1]!FPIG[State]=$G$169)*([1]!FPIG[Persons in Family/Household]=$G$168),0),MATCH(E185,VALUE([1]!FPIG[#Headers]),0))</f>
        <v>#REF!</v>
      </c>
      <c r="J185" s="22" t="e">
        <f t="shared" si="5"/>
        <v>#REF!</v>
      </c>
      <c r="K185" s="21" t="e">
        <f t="array" ref="K185">INDEX([1]!FPIG[#Data],MATCH(1,([1]!FPIG[State]=$G$169)*([1]!FPIG[Persons in Family/Household]=$G$168),0),MATCH(E185,VALUE([1]!FPIG[#Headers]),0))</f>
        <v>#REF!</v>
      </c>
      <c r="L185" s="23" t="e">
        <f t="shared" si="0"/>
        <v>#REF!</v>
      </c>
      <c r="M185" s="24" t="e">
        <f t="shared" si="3"/>
        <v>#REF!</v>
      </c>
    </row>
    <row r="186" spans="3:13">
      <c r="C186" t="s">
        <v>37</v>
      </c>
      <c r="D186" t="s">
        <v>29</v>
      </c>
      <c r="E186">
        <v>2022</v>
      </c>
      <c r="F186" s="16" t="s">
        <v>0</v>
      </c>
      <c r="G186" s="19" t="e">
        <f t="array" ref="G186">INDEX([1]!MedicaidIncomeEligibility[#Data],MATCH(1,([1]!MedicaidIncomeEligibility[State]=C186)*([1]!MedicaidIncomeEligibility[Category]=F186),0),MATCH(InputYear,VALUE([1]!MedicaidIncomeEligibility[#Headers]),0))</f>
        <v>#REF!</v>
      </c>
      <c r="H186" s="20" t="e">
        <f t="shared" si="4"/>
        <v>#REF!</v>
      </c>
      <c r="I186" s="21" t="e">
        <f t="array" ref="I186">H186*INDEX([1]!FPIG[#Data],MATCH(1,([1]!FPIG[State]=$G$169)*([1]!FPIG[Persons in Family/Household]=$G$168),0),MATCH(E186,VALUE([1]!FPIG[#Headers]),0))</f>
        <v>#REF!</v>
      </c>
      <c r="J186" s="22" t="e">
        <f t="shared" si="5"/>
        <v>#REF!</v>
      </c>
      <c r="K186" s="21" t="e">
        <f t="array" ref="K186">INDEX([1]!FPIG[#Data],MATCH(1,([1]!FPIG[State]=$G$169)*([1]!FPIG[Persons in Family/Household]=$G$168),0),MATCH(E186,VALUE([1]!FPIG[#Headers]),0))</f>
        <v>#REF!</v>
      </c>
      <c r="L186" s="23" t="e">
        <f t="shared" si="0"/>
        <v>#REF!</v>
      </c>
      <c r="M186" s="24" t="e">
        <f t="shared" si="3"/>
        <v>#REF!</v>
      </c>
    </row>
    <row r="187" spans="3:13">
      <c r="C187" t="s">
        <v>41</v>
      </c>
      <c r="D187" t="s">
        <v>112</v>
      </c>
      <c r="E187">
        <v>2019</v>
      </c>
      <c r="F187" s="16">
        <v>0</v>
      </c>
      <c r="G187" s="19" t="e">
        <f t="array" ref="G187">INDEX([1]!MedicaidIncomeEligibility[#Data],MATCH(1,([1]!MedicaidIncomeEligibility[State]=C187)*([1]!MedicaidIncomeEligibility[Category]=F187),0),MATCH(InputYear,VALUE([1]!MedicaidIncomeEligibility[#Headers]),0))</f>
        <v>#REF!</v>
      </c>
      <c r="H187" s="20" t="e">
        <f t="shared" si="4"/>
        <v>#REF!</v>
      </c>
      <c r="I187" s="21" t="e">
        <f t="array" ref="I187">H187*INDEX([1]!FPIG[#Data],MATCH(1,([1]!FPIG[State]=$G$169)*([1]!FPIG[Persons in Family/Household]=$G$168),0),MATCH(E187,VALUE([1]!FPIG[#Headers]),0))</f>
        <v>#REF!</v>
      </c>
      <c r="J187" s="22" t="e">
        <f t="shared" si="5"/>
        <v>#REF!</v>
      </c>
      <c r="K187" s="21" t="e">
        <f t="array" ref="K187">INDEX([1]!FPIG[#Data],MATCH(1,([1]!FPIG[State]=$G$169)*([1]!FPIG[Persons in Family/Household]=$G$168),0),MATCH(E187,VALUE([1]!FPIG[#Headers]),0))</f>
        <v>#REF!</v>
      </c>
      <c r="L187" s="23" t="e">
        <f>I187/K187</f>
        <v>#REF!</v>
      </c>
      <c r="M187" s="24" t="e">
        <f>ROUND(L187-5%,2)</f>
        <v>#REF!</v>
      </c>
    </row>
    <row r="188" spans="3:13">
      <c r="C188" t="s">
        <v>41</v>
      </c>
      <c r="D188" t="s">
        <v>25</v>
      </c>
      <c r="E188">
        <v>2019</v>
      </c>
      <c r="F188" s="16">
        <v>1</v>
      </c>
      <c r="G188" s="19" t="e">
        <f t="array" ref="G188">INDEX([1]!MedicaidIncomeEligibility[#Data],MATCH(1,([1]!MedicaidIncomeEligibility[State]=C188)*([1]!MedicaidIncomeEligibility[Category]=F188),0),MATCH(InputYear,VALUE([1]!MedicaidIncomeEligibility[#Headers]),0))</f>
        <v>#REF!</v>
      </c>
      <c r="H188" s="20" t="e">
        <f t="shared" si="4"/>
        <v>#REF!</v>
      </c>
      <c r="I188" s="21" t="e">
        <f t="array" ref="I188">H188*INDEX([1]!FPIG[#Data],MATCH(1,([1]!FPIG[State]=$G$169)*([1]!FPIG[Persons in Family/Household]=$G$168),0),MATCH(E188,VALUE([1]!FPIG[#Headers]),0))</f>
        <v>#REF!</v>
      </c>
      <c r="J188" s="22" t="e">
        <f t="shared" si="5"/>
        <v>#REF!</v>
      </c>
      <c r="K188" s="21" t="e">
        <f t="array" ref="K188">INDEX([1]!FPIG[#Data],MATCH(1,([1]!FPIG[State]=$G$169)*([1]!FPIG[Persons in Family/Household]=$G$168),0),MATCH(E188,VALUE([1]!FPIG[#Headers]),0))</f>
        <v>#REF!</v>
      </c>
      <c r="L188" s="23" t="e">
        <f>I188/K188</f>
        <v>#REF!</v>
      </c>
      <c r="M188" s="24" t="e">
        <f>ROUND(L188-5%,2)</f>
        <v>#REF!</v>
      </c>
    </row>
    <row r="189" spans="3:13">
      <c r="C189" t="s">
        <v>41</v>
      </c>
      <c r="D189" t="s">
        <v>29</v>
      </c>
      <c r="E189">
        <v>2019</v>
      </c>
      <c r="F189" s="16" t="s">
        <v>0</v>
      </c>
      <c r="G189" s="19" t="e">
        <f t="array" ref="G189">INDEX([1]!MedicaidIncomeEligibility[#Data],MATCH(1,([1]!MedicaidIncomeEligibility[State]=C189)*([1]!MedicaidIncomeEligibility[Category]=F189),0),MATCH(InputYear,VALUE([1]!MedicaidIncomeEligibility[#Headers]),0))</f>
        <v>#REF!</v>
      </c>
      <c r="H189" s="20" t="e">
        <f t="shared" si="4"/>
        <v>#REF!</v>
      </c>
      <c r="I189" s="21" t="e">
        <f t="array" ref="I189">H189*INDEX([1]!FPIG[#Data],MATCH(1,([1]!FPIG[State]=$G$169)*([1]!FPIG[Persons in Family/Household]=$G$168),0),MATCH(E189,VALUE([1]!FPIG[#Headers]),0))</f>
        <v>#REF!</v>
      </c>
      <c r="J189" s="22" t="e">
        <f t="shared" si="5"/>
        <v>#REF!</v>
      </c>
      <c r="K189" s="21" t="e">
        <f t="array" ref="K189">INDEX([1]!FPIG[#Data],MATCH(1,([1]!FPIG[State]=$G$169)*([1]!FPIG[Persons in Family/Household]=$G$168),0),MATCH(E189,VALUE([1]!FPIG[#Headers]),0))</f>
        <v>#REF!</v>
      </c>
      <c r="L189" s="23" t="e">
        <f>I189/K189</f>
        <v>#REF!</v>
      </c>
      <c r="M189" s="24" t="e">
        <f>ROUND(L189-5%,2)</f>
        <v>#REF!</v>
      </c>
    </row>
    <row r="190" spans="3:13">
      <c r="C190" t="s">
        <v>41</v>
      </c>
      <c r="D190" t="s">
        <v>112</v>
      </c>
      <c r="E190">
        <v>2020</v>
      </c>
      <c r="F190" s="16">
        <v>0</v>
      </c>
      <c r="G190" s="19" t="e">
        <f t="array" ref="G190">INDEX([1]!MedicaidIncomeEligibility[#Data],MATCH(1,([1]!MedicaidIncomeEligibility[State]=C190)*([1]!MedicaidIncomeEligibility[Category]=F190),0),MATCH(InputYear,VALUE([1]!MedicaidIncomeEligibility[#Headers]),0))</f>
        <v>#REF!</v>
      </c>
      <c r="H190" s="20" t="e">
        <f t="shared" si="4"/>
        <v>#REF!</v>
      </c>
      <c r="I190" s="21" t="e">
        <f t="array" ref="I190">H190*INDEX([1]!FPIG[#Data],MATCH(1,([1]!FPIG[State]=$G$169)*([1]!FPIG[Persons in Family/Household]=$G$168),0),MATCH(E190,VALUE([1]!FPIG[#Headers]),0))</f>
        <v>#REF!</v>
      </c>
      <c r="J190" s="22" t="e">
        <f t="shared" si="5"/>
        <v>#REF!</v>
      </c>
      <c r="K190" s="21" t="e">
        <f t="array" ref="K190">INDEX([1]!FPIG[#Data],MATCH(1,([1]!FPIG[State]=$G$169)*([1]!FPIG[Persons in Family/Household]=$G$168),0),MATCH(E190,VALUE([1]!FPIG[#Headers]),0))</f>
        <v>#REF!</v>
      </c>
      <c r="L190" s="23" t="e">
        <f t="shared" ref="L190:L195" si="6">I190/K190</f>
        <v>#REF!</v>
      </c>
      <c r="M190" s="24" t="e">
        <f t="shared" ref="M190:M195" si="7">ROUND(L190-5%,2)</f>
        <v>#REF!</v>
      </c>
    </row>
    <row r="191" spans="3:13">
      <c r="C191" t="s">
        <v>41</v>
      </c>
      <c r="D191" t="s">
        <v>25</v>
      </c>
      <c r="E191">
        <v>2020</v>
      </c>
      <c r="F191" s="16">
        <v>1</v>
      </c>
      <c r="G191" s="19" t="e">
        <f t="array" ref="G191">INDEX([1]!MedicaidIncomeEligibility[#Data],MATCH(1,([1]!MedicaidIncomeEligibility[State]=C191)*([1]!MedicaidIncomeEligibility[Category]=F191),0),MATCH(InputYear,VALUE([1]!MedicaidIncomeEligibility[#Headers]),0))</f>
        <v>#REF!</v>
      </c>
      <c r="H191" s="20" t="e">
        <f t="shared" si="4"/>
        <v>#REF!</v>
      </c>
      <c r="I191" s="21" t="e">
        <f t="array" ref="I191">H191*INDEX([1]!FPIG[#Data],MATCH(1,([1]!FPIG[State]=$G$169)*([1]!FPIG[Persons in Family/Household]=$G$168),0),MATCH(E191,VALUE([1]!FPIG[#Headers]),0))</f>
        <v>#REF!</v>
      </c>
      <c r="J191" s="22" t="e">
        <f t="shared" si="5"/>
        <v>#REF!</v>
      </c>
      <c r="K191" s="21" t="e">
        <f t="array" ref="K191">INDEX([1]!FPIG[#Data],MATCH(1,([1]!FPIG[State]=$G$169)*([1]!FPIG[Persons in Family/Household]=$G$168),0),MATCH(E191,VALUE([1]!FPIG[#Headers]),0))</f>
        <v>#REF!</v>
      </c>
      <c r="L191" s="23" t="e">
        <f t="shared" si="6"/>
        <v>#REF!</v>
      </c>
      <c r="M191" s="24" t="e">
        <f t="shared" si="7"/>
        <v>#REF!</v>
      </c>
    </row>
    <row r="192" spans="3:13">
      <c r="C192" t="s">
        <v>41</v>
      </c>
      <c r="D192" t="s">
        <v>29</v>
      </c>
      <c r="E192">
        <v>2020</v>
      </c>
      <c r="F192" s="16" t="s">
        <v>0</v>
      </c>
      <c r="G192" s="19" t="e">
        <f t="array" ref="G192">INDEX([1]!MedicaidIncomeEligibility[#Data],MATCH(1,([1]!MedicaidIncomeEligibility[State]=C192)*([1]!MedicaidIncomeEligibility[Category]=F192),0),MATCH(InputYear,VALUE([1]!MedicaidIncomeEligibility[#Headers]),0))</f>
        <v>#REF!</v>
      </c>
      <c r="H192" s="20" t="e">
        <f t="shared" si="4"/>
        <v>#REF!</v>
      </c>
      <c r="I192" s="21" t="e">
        <f t="array" ref="I192">H192*INDEX([1]!FPIG[#Data],MATCH(1,([1]!FPIG[State]=$G$169)*([1]!FPIG[Persons in Family/Household]=$G$168),0),MATCH(E192,VALUE([1]!FPIG[#Headers]),0))</f>
        <v>#REF!</v>
      </c>
      <c r="J192" s="22" t="e">
        <f t="shared" si="5"/>
        <v>#REF!</v>
      </c>
      <c r="K192" s="21" t="e">
        <f t="array" ref="K192">INDEX([1]!FPIG[#Data],MATCH(1,([1]!FPIG[State]=$G$169)*([1]!FPIG[Persons in Family/Household]=$G$168),0),MATCH(E192,VALUE([1]!FPIG[#Headers]),0))</f>
        <v>#REF!</v>
      </c>
      <c r="L192" s="23" t="e">
        <f t="shared" si="6"/>
        <v>#REF!</v>
      </c>
      <c r="M192" s="24" t="e">
        <f t="shared" si="7"/>
        <v>#REF!</v>
      </c>
    </row>
    <row r="193" spans="3:17">
      <c r="C193" t="s">
        <v>41</v>
      </c>
      <c r="D193" t="s">
        <v>112</v>
      </c>
      <c r="E193">
        <v>2021</v>
      </c>
      <c r="F193" s="16">
        <v>0</v>
      </c>
      <c r="G193" s="19" t="e">
        <f t="array" ref="G193">INDEX([1]!MedicaidIncomeEligibility[#Data],MATCH(1,([1]!MedicaidIncomeEligibility[State]=C193)*([1]!MedicaidIncomeEligibility[Category]=F193),0),MATCH(InputYear,VALUE([1]!MedicaidIncomeEligibility[#Headers]),0))</f>
        <v>#REF!</v>
      </c>
      <c r="H193" s="20" t="e">
        <f t="shared" si="4"/>
        <v>#REF!</v>
      </c>
      <c r="I193" s="21" t="e">
        <f t="array" ref="I193">H193*INDEX([1]!FPIG[#Data],MATCH(1,([1]!FPIG[State]=$G$169)*([1]!FPIG[Persons in Family/Household]=$G$168),0),MATCH(E193,VALUE([1]!FPIG[#Headers]),0))</f>
        <v>#REF!</v>
      </c>
      <c r="J193" s="22" t="e">
        <f t="shared" si="5"/>
        <v>#REF!</v>
      </c>
      <c r="K193" s="21" t="e">
        <f t="array" ref="K193">INDEX([1]!FPIG[#Data],MATCH(1,([1]!FPIG[State]=$G$169)*([1]!FPIG[Persons in Family/Household]=$G$168),0),MATCH(E193,VALUE([1]!FPIG[#Headers]),0))</f>
        <v>#REF!</v>
      </c>
      <c r="L193" s="23" t="e">
        <f t="shared" si="6"/>
        <v>#REF!</v>
      </c>
      <c r="M193" s="24" t="e">
        <f t="shared" si="7"/>
        <v>#REF!</v>
      </c>
    </row>
    <row r="194" spans="3:17">
      <c r="C194" t="s">
        <v>41</v>
      </c>
      <c r="D194" t="s">
        <v>25</v>
      </c>
      <c r="E194">
        <v>2021</v>
      </c>
      <c r="F194" s="16">
        <v>1</v>
      </c>
      <c r="G194" s="19" t="e">
        <f t="array" ref="G194">INDEX([1]!MedicaidIncomeEligibility[#Data],MATCH(1,([1]!MedicaidIncomeEligibility[State]=C194)*([1]!MedicaidIncomeEligibility[Category]=F194),0),MATCH(InputYear,VALUE([1]!MedicaidIncomeEligibility[#Headers]),0))</f>
        <v>#REF!</v>
      </c>
      <c r="H194" s="20" t="e">
        <f t="shared" si="4"/>
        <v>#REF!</v>
      </c>
      <c r="I194" s="21" t="e">
        <f t="array" ref="I194">H194*INDEX([1]!FPIG[#Data],MATCH(1,([1]!FPIG[State]=$G$169)*([1]!FPIG[Persons in Family/Household]=$G$168),0),MATCH(E194,VALUE([1]!FPIG[#Headers]),0))</f>
        <v>#REF!</v>
      </c>
      <c r="J194" s="22" t="e">
        <f t="shared" si="5"/>
        <v>#REF!</v>
      </c>
      <c r="K194" s="21" t="e">
        <f t="array" ref="K194">INDEX([1]!FPIG[#Data],MATCH(1,([1]!FPIG[State]=$G$169)*([1]!FPIG[Persons in Family/Household]=$G$168),0),MATCH(E194,VALUE([1]!FPIG[#Headers]),0))</f>
        <v>#REF!</v>
      </c>
      <c r="L194" s="23" t="e">
        <f t="shared" si="6"/>
        <v>#REF!</v>
      </c>
      <c r="M194" s="24" t="e">
        <f t="shared" si="7"/>
        <v>#REF!</v>
      </c>
    </row>
    <row r="195" spans="3:17">
      <c r="C195" t="s">
        <v>41</v>
      </c>
      <c r="D195" t="s">
        <v>29</v>
      </c>
      <c r="E195">
        <v>2021</v>
      </c>
      <c r="F195" s="16" t="s">
        <v>0</v>
      </c>
      <c r="G195" s="19" t="e">
        <f t="array" ref="G195">INDEX([1]!MedicaidIncomeEligibility[#Data],MATCH(1,([1]!MedicaidIncomeEligibility[State]=C195)*([1]!MedicaidIncomeEligibility[Category]=F195),0),MATCH(InputYear,VALUE([1]!MedicaidIncomeEligibility[#Headers]),0))</f>
        <v>#REF!</v>
      </c>
      <c r="H195" s="20" t="e">
        <f t="shared" si="4"/>
        <v>#REF!</v>
      </c>
      <c r="I195" s="21" t="e">
        <f t="array" ref="I195">H195*INDEX([1]!FPIG[#Data],MATCH(1,([1]!FPIG[State]=$G$169)*([1]!FPIG[Persons in Family/Household]=$G$168),0),MATCH(E195,VALUE([1]!FPIG[#Headers]),0))</f>
        <v>#REF!</v>
      </c>
      <c r="J195" s="22" t="e">
        <f t="shared" si="5"/>
        <v>#REF!</v>
      </c>
      <c r="K195" s="21" t="e">
        <f t="array" ref="K195">INDEX([1]!FPIG[#Data],MATCH(1,([1]!FPIG[State]=$G$169)*([1]!FPIG[Persons in Family/Household]=$G$168),0),MATCH(E195,VALUE([1]!FPIG[#Headers]),0))</f>
        <v>#REF!</v>
      </c>
      <c r="L195" s="23" t="e">
        <f t="shared" si="6"/>
        <v>#REF!</v>
      </c>
      <c r="M195" s="24" t="e">
        <f t="shared" si="7"/>
        <v>#REF!</v>
      </c>
    </row>
    <row r="196" spans="3:17">
      <c r="C196" t="s">
        <v>41</v>
      </c>
      <c r="D196" t="s">
        <v>112</v>
      </c>
      <c r="E196">
        <v>2022</v>
      </c>
      <c r="F196" s="16">
        <v>0</v>
      </c>
      <c r="G196" s="19" t="e">
        <f t="array" ref="G196">INDEX([1]!MedicaidIncomeEligibility[#Data],MATCH(1,([1]!MedicaidIncomeEligibility[State]=C196)*([1]!MedicaidIncomeEligibility[Category]=F196),0),MATCH(InputYear,VALUE([1]!MedicaidIncomeEligibility[#Headers]),0))</f>
        <v>#REF!</v>
      </c>
      <c r="H196" s="20" t="e">
        <f>G196+5%</f>
        <v>#REF!</v>
      </c>
      <c r="I196" s="21" t="e">
        <f t="array" ref="I196">H196*INDEX([1]!FPIG[#Data],MATCH(1,([1]!FPIG[State]=$G$169)*([1]!FPIG[Persons in Family/Household]=$G$168),0),MATCH(E196,VALUE([1]!FPIG[#Headers]),0))</f>
        <v>#REF!</v>
      </c>
      <c r="J196" s="22" t="e">
        <f>ROUND(I196/12,0)</f>
        <v>#REF!</v>
      </c>
      <c r="K196" s="21" t="e">
        <f t="array" ref="K196">INDEX([1]!FPIG[#Data],MATCH(1,([1]!FPIG[State]=$G$169)*([1]!FPIG[Persons in Family/Household]=$G$168),0),MATCH(E196,VALUE([1]!FPIG[#Headers]),0))</f>
        <v>#REF!</v>
      </c>
      <c r="L196" s="23" t="e">
        <f>I196/K196</f>
        <v>#REF!</v>
      </c>
      <c r="M196" s="24" t="e">
        <f>ROUND(L196-5%,2)</f>
        <v>#REF!</v>
      </c>
    </row>
    <row r="197" spans="3:17">
      <c r="C197" t="s">
        <v>41</v>
      </c>
      <c r="D197" t="s">
        <v>25</v>
      </c>
      <c r="E197">
        <v>2022</v>
      </c>
      <c r="F197" s="16">
        <v>1</v>
      </c>
      <c r="G197" s="19" t="e">
        <f t="array" ref="G197">INDEX([1]!MedicaidIncomeEligibility[#Data],MATCH(1,([1]!MedicaidIncomeEligibility[State]=C197)*([1]!MedicaidIncomeEligibility[Category]=F197),0),MATCH(InputYear,VALUE([1]!MedicaidIncomeEligibility[#Headers]),0))</f>
        <v>#REF!</v>
      </c>
      <c r="H197" s="20" t="e">
        <f>G197+5%</f>
        <v>#REF!</v>
      </c>
      <c r="I197" s="21" t="e">
        <f t="array" ref="I197">H197*INDEX([1]!FPIG[#Data],MATCH(1,([1]!FPIG[State]=$G$169)*([1]!FPIG[Persons in Family/Household]=$G$168),0),MATCH(E197,VALUE([1]!FPIG[#Headers]),0))</f>
        <v>#REF!</v>
      </c>
      <c r="J197" s="22" t="e">
        <f>ROUND(I197/12,0)</f>
        <v>#REF!</v>
      </c>
      <c r="K197" s="21" t="e">
        <f t="array" ref="K197">INDEX([1]!FPIG[#Data],MATCH(1,([1]!FPIG[State]=$G$169)*([1]!FPIG[Persons in Family/Household]=$G$168),0),MATCH(E197,VALUE([1]!FPIG[#Headers]),0))</f>
        <v>#REF!</v>
      </c>
      <c r="L197" s="23" t="e">
        <f>I197/K197</f>
        <v>#REF!</v>
      </c>
      <c r="M197" s="24" t="e">
        <f>ROUND(L197-5%,2)</f>
        <v>#REF!</v>
      </c>
    </row>
    <row r="198" spans="3:17">
      <c r="C198" t="s">
        <v>41</v>
      </c>
      <c r="D198" t="s">
        <v>29</v>
      </c>
      <c r="E198">
        <v>2022</v>
      </c>
      <c r="F198" s="16" t="s">
        <v>0</v>
      </c>
      <c r="G198" s="19" t="e">
        <f t="array" ref="G198">INDEX([1]!MedicaidIncomeEligibility[#Data],MATCH(1,([1]!MedicaidIncomeEligibility[State]=C198)*([1]!MedicaidIncomeEligibility[Category]=F198),0),MATCH(InputYear,VALUE([1]!MedicaidIncomeEligibility[#Headers]),0))</f>
        <v>#REF!</v>
      </c>
      <c r="H198" s="20" t="e">
        <f>G198+5%</f>
        <v>#REF!</v>
      </c>
      <c r="I198" s="21" t="e">
        <f t="array" ref="I198">H198*INDEX([1]!FPIG[#Data],MATCH(1,([1]!FPIG[State]=$G$169)*([1]!FPIG[Persons in Family/Household]=$G$168),0),MATCH(E198,VALUE([1]!FPIG[#Headers]),0))</f>
        <v>#REF!</v>
      </c>
      <c r="J198" s="22" t="e">
        <f>ROUND(I198/12,0)</f>
        <v>#REF!</v>
      </c>
      <c r="K198" s="21" t="e">
        <f t="array" ref="K198">INDEX([1]!FPIG[#Data],MATCH(1,([1]!FPIG[State]=$G$169)*([1]!FPIG[Persons in Family/Household]=$G$168),0),MATCH(E198,VALUE([1]!FPIG[#Headers]),0))</f>
        <v>#REF!</v>
      </c>
      <c r="L198" s="23" t="e">
        <f>I198/K198</f>
        <v>#REF!</v>
      </c>
      <c r="M198" s="24" t="e">
        <f>ROUND(L198-5%,2)</f>
        <v>#REF!</v>
      </c>
    </row>
    <row r="199" spans="3:17">
      <c r="C199" t="s">
        <v>44</v>
      </c>
      <c r="D199" t="s">
        <v>45</v>
      </c>
      <c r="E199">
        <v>2019</v>
      </c>
      <c r="F199" s="16" t="s">
        <v>0</v>
      </c>
      <c r="G199" s="19" t="e">
        <f t="array" ref="G199">INDEX([1]!MedicaidIncomeEligibility[#Data],MATCH(1,([1]!MedicaidIncomeEligibility[State]=C199)*([1]!MedicaidIncomeEligibility[Category]=F199),0),MATCH(InputYear,VALUE([1]!MedicaidIncomeEligibility[#Headers]),0))</f>
        <v>#REF!</v>
      </c>
      <c r="H199" s="20" t="e">
        <f t="shared" ref="H199:H201" si="8">G199+5%</f>
        <v>#REF!</v>
      </c>
      <c r="I199" s="21" t="e">
        <f t="array" ref="I199">H199*INDEX([1]!FPIG[#Data],MATCH(1,([1]!FPIG[State]=$G$169)*([1]!FPIG[Persons in Family/Household]=$G$168),0),MATCH(E199,VALUE([1]!FPIG[#Headers]),0))</f>
        <v>#REF!</v>
      </c>
      <c r="J199" s="22" t="e">
        <f t="shared" ref="J199:J201" si="9">ROUND(I199/12,0)</f>
        <v>#REF!</v>
      </c>
      <c r="K199" s="21" t="e">
        <f t="array" ref="K199">INDEX([1]!FPIG[#Data],MATCH(1,([1]!FPIG[State]=$G$169)*([1]!FPIG[Persons in Family/Household]=$G$168),0),MATCH(E199,VALUE([1]!FPIG[#Headers]),0))</f>
        <v>#REF!</v>
      </c>
      <c r="L199" s="23" t="e">
        <f t="shared" ref="L199:L217" si="10">I199/K199</f>
        <v>#REF!</v>
      </c>
      <c r="M199" s="24" t="e">
        <f t="shared" ref="M199:M217" si="11">ROUND(L199-5%,2)</f>
        <v>#REF!</v>
      </c>
    </row>
    <row r="200" spans="3:17">
      <c r="C200" t="s">
        <v>44</v>
      </c>
      <c r="D200" t="s">
        <v>45</v>
      </c>
      <c r="E200">
        <v>2020</v>
      </c>
      <c r="F200" s="16" t="s">
        <v>0</v>
      </c>
      <c r="G200" s="19" t="e">
        <f t="array" ref="G200">INDEX([1]!MedicaidIncomeEligibility[#Data],MATCH(1,([1]!MedicaidIncomeEligibility[State]=C200)*([1]!MedicaidIncomeEligibility[Category]=F200),0),MATCH(InputYear,VALUE([1]!MedicaidIncomeEligibility[#Headers]),0))</f>
        <v>#REF!</v>
      </c>
      <c r="H200" s="20" t="e">
        <f t="shared" si="8"/>
        <v>#REF!</v>
      </c>
      <c r="I200" s="21" t="e">
        <f t="array" ref="I200">H200*INDEX([1]!FPIG[#Data],MATCH(1,([1]!FPIG[State]=$G$169)*([1]!FPIG[Persons in Family/Household]=$G$168),0),MATCH(E200,VALUE([1]!FPIG[#Headers]),0))</f>
        <v>#REF!</v>
      </c>
      <c r="J200" s="22" t="e">
        <f t="shared" si="9"/>
        <v>#REF!</v>
      </c>
      <c r="K200" s="21" t="e">
        <f t="array" ref="K200">INDEX([1]!FPIG[#Data],MATCH(1,([1]!FPIG[State]=$G$169)*([1]!FPIG[Persons in Family/Household]=$G$168),0),MATCH(E200,VALUE([1]!FPIG[#Headers]),0))</f>
        <v>#REF!</v>
      </c>
      <c r="L200" s="23" t="e">
        <f t="shared" si="10"/>
        <v>#REF!</v>
      </c>
      <c r="M200" s="24" t="e">
        <f t="shared" si="11"/>
        <v>#REF!</v>
      </c>
    </row>
    <row r="201" spans="3:17">
      <c r="C201" t="s">
        <v>44</v>
      </c>
      <c r="D201" t="s">
        <v>45</v>
      </c>
      <c r="E201">
        <v>2021</v>
      </c>
      <c r="F201" s="16" t="s">
        <v>0</v>
      </c>
      <c r="G201" s="19" t="e">
        <f t="array" ref="G201">INDEX([1]!MedicaidIncomeEligibility[#Data],MATCH(1,([1]!MedicaidIncomeEligibility[State]=C201)*([1]!MedicaidIncomeEligibility[Category]=F201),0),MATCH(InputYear,VALUE([1]!MedicaidIncomeEligibility[#Headers]),0))</f>
        <v>#REF!</v>
      </c>
      <c r="H201" s="20" t="e">
        <f t="shared" si="8"/>
        <v>#REF!</v>
      </c>
      <c r="I201" s="21" t="e">
        <f t="array" ref="I201">H201*INDEX([1]!FPIG[#Data],MATCH(1,([1]!FPIG[State]=$G$169)*([1]!FPIG[Persons in Family/Household]=$G$168),0),MATCH(E201,VALUE([1]!FPIG[#Headers]),0))</f>
        <v>#REF!</v>
      </c>
      <c r="J201" s="22" t="e">
        <f t="shared" si="9"/>
        <v>#REF!</v>
      </c>
      <c r="K201" s="21" t="e">
        <f t="array" ref="K201">INDEX([1]!FPIG[#Data],MATCH(1,([1]!FPIG[State]=$G$169)*([1]!FPIG[Persons in Family/Household]=$G$168),0),MATCH(E201,VALUE([1]!FPIG[#Headers]),0))</f>
        <v>#REF!</v>
      </c>
      <c r="L201" s="23" t="e">
        <f t="shared" si="10"/>
        <v>#REF!</v>
      </c>
      <c r="M201" s="24" t="e">
        <f t="shared" si="11"/>
        <v>#REF!</v>
      </c>
    </row>
    <row r="202" spans="3:17">
      <c r="C202" t="s">
        <v>44</v>
      </c>
      <c r="D202" t="s">
        <v>45</v>
      </c>
      <c r="E202">
        <v>2022</v>
      </c>
      <c r="F202" s="16" t="s">
        <v>0</v>
      </c>
      <c r="G202" s="19" t="e">
        <f t="array" ref="G202">INDEX([1]!MedicaidIncomeEligibility[#Data],MATCH(1,([1]!MedicaidIncomeEligibility[State]=C202)*([1]!MedicaidIncomeEligibility[Category]=F202),0),MATCH(InputYear,VALUE([1]!MedicaidIncomeEligibility[#Headers]),0))</f>
        <v>#REF!</v>
      </c>
      <c r="H202" s="20" t="e">
        <f>G202+5%</f>
        <v>#REF!</v>
      </c>
      <c r="I202" s="21" t="e">
        <f t="array" ref="I202">H202*INDEX([1]!FPIG[#Data],MATCH(1,([1]!FPIG[State]=$G$169)*([1]!FPIG[Persons in Family/Household]=$G$168),0),MATCH(E202,VALUE([1]!FPIG[#Headers]),0))</f>
        <v>#REF!</v>
      </c>
      <c r="J202" s="22" t="e">
        <f>ROUND(I202/12,0)</f>
        <v>#REF!</v>
      </c>
      <c r="K202" s="21" t="e">
        <f t="array" ref="K202">INDEX([1]!FPIG[#Data],MATCH(1,([1]!FPIG[State]=$G$169)*([1]!FPIG[Persons in Family/Household]=$G$168),0),MATCH(E202,VALUE([1]!FPIG[#Headers]),0))</f>
        <v>#REF!</v>
      </c>
      <c r="L202" s="23" t="e">
        <f t="shared" si="10"/>
        <v>#REF!</v>
      </c>
      <c r="M202" s="24" t="e">
        <f t="shared" si="11"/>
        <v>#REF!</v>
      </c>
    </row>
    <row r="203" spans="3:17">
      <c r="C203" s="25" t="s">
        <v>52</v>
      </c>
      <c r="D203" t="s">
        <v>53</v>
      </c>
      <c r="E203">
        <v>2020</v>
      </c>
      <c r="F203" s="16" t="s">
        <v>0</v>
      </c>
      <c r="G203" s="19" t="e">
        <f t="array" ref="G203">INDEX([1]!MedicaidIncomeEligibility[#Data],MATCH(1,([1]!MedicaidIncomeEligibility[State]=C203)*([1]!MedicaidIncomeEligibility[Category]=F203),0),MATCH(InputYear,VALUE([1]!MedicaidIncomeEligibility[#Headers]),0))</f>
        <v>#REF!</v>
      </c>
      <c r="H203" s="20" t="e">
        <f t="shared" ref="H203:H205" si="12">G203+5%</f>
        <v>#REF!</v>
      </c>
      <c r="I203" s="21" t="e">
        <f t="array" ref="I203">H203*INDEX([1]!FPIG[#Data],MATCH(1,([1]!FPIG[State]=$G$169)*([1]!FPIG[Persons in Family/Household]=$G$168),0),MATCH(E203,VALUE([1]!FPIG[#Headers]),0))</f>
        <v>#REF!</v>
      </c>
      <c r="J203" s="22" t="e">
        <f t="shared" ref="J203:J205" si="13">ROUND(I203/12,0)</f>
        <v>#REF!</v>
      </c>
      <c r="K203" s="21" t="e">
        <f t="array" ref="K203">INDEX([1]!FPIG[#Data],MATCH(1,([1]!FPIG[State]=$G$169)*([1]!FPIG[Persons in Family/Household]=$G$168),0),MATCH(E203,VALUE([1]!FPIG[#Headers]),0))</f>
        <v>#REF!</v>
      </c>
      <c r="L203" s="23" t="e">
        <f t="shared" si="10"/>
        <v>#REF!</v>
      </c>
      <c r="M203" s="24" t="e">
        <f t="shared" si="11"/>
        <v>#REF!</v>
      </c>
    </row>
    <row r="204" spans="3:17">
      <c r="C204" s="25" t="s">
        <v>52</v>
      </c>
      <c r="D204" t="s">
        <v>113</v>
      </c>
      <c r="E204">
        <v>2020</v>
      </c>
      <c r="F204" s="16" t="s">
        <v>114</v>
      </c>
      <c r="G204" s="19" t="e">
        <f t="array" ref="G204">INDEX([1]!MedicaidIncomeEligibility[#Data],MATCH(1,([1]!MedicaidIncomeEligibility[State]=C204)*([1]!MedicaidIncomeEligibility[Category]=F204),0),MATCH(InputYear,VALUE([1]!MedicaidIncomeEligibility[#Headers]),0))</f>
        <v>#REF!</v>
      </c>
      <c r="H204" s="20" t="e">
        <f t="shared" si="12"/>
        <v>#REF!</v>
      </c>
      <c r="I204" s="21" t="e">
        <f t="array" ref="I204">H204*INDEX([1]!FPIG[#Data],MATCH(1,([1]!FPIG[State]=$G$169)*([1]!FPIG[Persons in Family/Household]=$G$168),0),MATCH(E204,VALUE([1]!FPIG[#Headers]),0))</f>
        <v>#REF!</v>
      </c>
      <c r="J204" s="22" t="e">
        <f t="shared" si="13"/>
        <v>#REF!</v>
      </c>
      <c r="K204" s="21" t="e">
        <f t="array" ref="K204">INDEX([1]!FPIG[#Data],MATCH(1,([1]!FPIG[State]=$G$169)*([1]!FPIG[Persons in Family/Household]=$G$168),0),MATCH(E204,VALUE([1]!FPIG[#Headers]),0))</f>
        <v>#REF!</v>
      </c>
      <c r="L204" s="23" t="e">
        <f t="shared" si="10"/>
        <v>#REF!</v>
      </c>
      <c r="M204" s="24" t="e">
        <f t="shared" si="11"/>
        <v>#REF!</v>
      </c>
    </row>
    <row r="205" spans="3:17">
      <c r="C205" s="25" t="s">
        <v>52</v>
      </c>
      <c r="D205" t="s">
        <v>53</v>
      </c>
      <c r="E205">
        <v>2021</v>
      </c>
      <c r="F205" s="16" t="s">
        <v>0</v>
      </c>
      <c r="G205" s="19" t="e">
        <f t="array" ref="G205">INDEX([1]!MedicaidIncomeEligibility[#Data],MATCH(1,([1]!MedicaidIncomeEligibility[State]=C205)*([1]!MedicaidIncomeEligibility[Category]=F205),0),MATCH(InputYear,VALUE([1]!MedicaidIncomeEligibility[#Headers]),0))</f>
        <v>#REF!</v>
      </c>
      <c r="H205" s="20" t="e">
        <f t="shared" si="12"/>
        <v>#REF!</v>
      </c>
      <c r="I205" s="21" t="e">
        <f t="array" ref="I205">H205*INDEX([1]!FPIG[#Data],MATCH(1,([1]!FPIG[State]=$G$169)*([1]!FPIG[Persons in Family/Household]=$G$168),0),MATCH(E205,VALUE([1]!FPIG[#Headers]),0))</f>
        <v>#REF!</v>
      </c>
      <c r="J205" s="22" t="e">
        <f t="shared" si="13"/>
        <v>#REF!</v>
      </c>
      <c r="K205" s="21" t="e">
        <f t="array" ref="K205">INDEX([1]!FPIG[#Data],MATCH(1,([1]!FPIG[State]=$G$169)*([1]!FPIG[Persons in Family/Household]=$G$168),0),MATCH(E205,VALUE([1]!FPIG[#Headers]),0))</f>
        <v>#REF!</v>
      </c>
      <c r="L205" s="23" t="e">
        <f t="shared" si="10"/>
        <v>#REF!</v>
      </c>
      <c r="M205" s="24" t="e">
        <f t="shared" si="11"/>
        <v>#REF!</v>
      </c>
    </row>
    <row r="206" spans="3:17">
      <c r="C206" s="25" t="s">
        <v>52</v>
      </c>
      <c r="D206" t="s">
        <v>113</v>
      </c>
      <c r="E206">
        <v>2021</v>
      </c>
      <c r="F206" s="16" t="s">
        <v>114</v>
      </c>
      <c r="G206" s="19" t="e">
        <f t="array" ref="G206">INDEX([1]!MedicaidIncomeEligibility[#Data],MATCH(1,([1]!MedicaidIncomeEligibility[State]=C206)*([1]!MedicaidIncomeEligibility[Category]=F206),0),MATCH(InputYear,VALUE([1]!MedicaidIncomeEligibility[#Headers]),0))</f>
        <v>#REF!</v>
      </c>
      <c r="H206" s="20" t="e">
        <f>G206+5%</f>
        <v>#REF!</v>
      </c>
      <c r="I206" s="21" t="e">
        <f t="array" ref="I206">H206*INDEX([1]!FPIG[#Data],MATCH(1,([1]!FPIG[State]=$G$169)*([1]!FPIG[Persons in Family/Household]=$G$168),0),MATCH(E206,VALUE([1]!FPIG[#Headers]),0))</f>
        <v>#REF!</v>
      </c>
      <c r="J206" s="22" t="e">
        <f>ROUND(I206/12,0)</f>
        <v>#REF!</v>
      </c>
      <c r="K206" s="21" t="e">
        <f t="array" ref="K206">INDEX([1]!FPIG[#Data],MATCH(1,([1]!FPIG[State]=$G$169)*([1]!FPIG[Persons in Family/Household]=$G$168),0),MATCH(E206,VALUE([1]!FPIG[#Headers]),0))</f>
        <v>#REF!</v>
      </c>
      <c r="L206" s="23" t="e">
        <f t="shared" si="10"/>
        <v>#REF!</v>
      </c>
      <c r="M206" s="24" t="e">
        <f t="shared" si="11"/>
        <v>#REF!</v>
      </c>
    </row>
    <row r="207" spans="3:17">
      <c r="C207" s="25" t="s">
        <v>52</v>
      </c>
      <c r="D207" t="s">
        <v>53</v>
      </c>
      <c r="E207">
        <v>2022</v>
      </c>
      <c r="F207" s="16" t="s">
        <v>0</v>
      </c>
      <c r="G207" s="19" t="e">
        <f t="array" ref="G207">INDEX([1]!MedicaidIncomeEligibility[#Data],MATCH(1,([1]!MedicaidIncomeEligibility[State]=C207)*([1]!MedicaidIncomeEligibility[Category]=F207),0),MATCH(InputYear,VALUE([1]!MedicaidIncomeEligibility[#Headers]),0))</f>
        <v>#REF!</v>
      </c>
      <c r="H207" s="20" t="e">
        <f>G207+5%</f>
        <v>#REF!</v>
      </c>
      <c r="I207" s="21" t="e">
        <f t="array" ref="I207">H207*INDEX([1]!FPIG[#Data],MATCH(1,([1]!FPIG[State]=$G$169)*([1]!FPIG[Persons in Family/Household]=$G$168),0),MATCH(E207,VALUE([1]!FPIG[#Headers]),0))</f>
        <v>#REF!</v>
      </c>
      <c r="J207" s="22" t="e">
        <f>ROUND(I207/12,0)</f>
        <v>#REF!</v>
      </c>
      <c r="K207" s="21" t="e">
        <f t="array" ref="K207">INDEX([1]!FPIG[#Data],MATCH(1,([1]!FPIG[State]=$G$169)*([1]!FPIG[Persons in Family/Household]=$G$168),0),MATCH(E207,VALUE([1]!FPIG[#Headers]),0))</f>
        <v>#REF!</v>
      </c>
      <c r="L207" s="23" t="e">
        <f t="shared" si="10"/>
        <v>#REF!</v>
      </c>
      <c r="M207" s="24" t="e">
        <f t="shared" si="11"/>
        <v>#REF!</v>
      </c>
      <c r="O207" s="2"/>
      <c r="P207" s="2"/>
      <c r="Q207" s="2"/>
    </row>
    <row r="208" spans="3:17">
      <c r="C208" s="25" t="s">
        <v>52</v>
      </c>
      <c r="D208" t="s">
        <v>113</v>
      </c>
      <c r="E208">
        <v>2022</v>
      </c>
      <c r="F208" s="16" t="s">
        <v>114</v>
      </c>
      <c r="G208" s="19" t="e">
        <f t="array" ref="G208">INDEX([1]!MedicaidIncomeEligibility[#Data],MATCH(1,([1]!MedicaidIncomeEligibility[State]=C208)*([1]!MedicaidIncomeEligibility[Category]=F208),0),MATCH(InputYear,VALUE([1]!MedicaidIncomeEligibility[#Headers]),0))</f>
        <v>#REF!</v>
      </c>
      <c r="H208" s="20" t="e">
        <f>G208+5%</f>
        <v>#REF!</v>
      </c>
      <c r="I208" s="21" t="e">
        <f t="array" ref="I208">H208*INDEX([1]!FPIG[#Data],MATCH(1,([1]!FPIG[State]=$G$169)*([1]!FPIG[Persons in Family/Household]=$G$168),0),MATCH(E208,VALUE([1]!FPIG[#Headers]),0))</f>
        <v>#REF!</v>
      </c>
      <c r="J208" s="22" t="e">
        <f>ROUND(I208/12,0)</f>
        <v>#REF!</v>
      </c>
      <c r="K208" s="21" t="e">
        <f t="array" ref="K208">INDEX([1]!FPIG[#Data],MATCH(1,([1]!FPIG[State]=$G$169)*([1]!FPIG[Persons in Family/Household]=$G$168),0),MATCH(E208,VALUE([1]!FPIG[#Headers]),0))</f>
        <v>#REF!</v>
      </c>
      <c r="L208" s="23" t="e">
        <f t="shared" si="10"/>
        <v>#REF!</v>
      </c>
      <c r="M208" s="24" t="e">
        <f t="shared" si="11"/>
        <v>#REF!</v>
      </c>
      <c r="O208" s="2"/>
    </row>
    <row r="209" spans="3:13">
      <c r="C209" t="s">
        <v>55</v>
      </c>
      <c r="D209" t="s">
        <v>0</v>
      </c>
      <c r="E209">
        <v>2019</v>
      </c>
      <c r="F209" s="16" t="s">
        <v>0</v>
      </c>
      <c r="G209" s="19" t="e">
        <f t="array" ref="G209">INDEX([1]!MedicaidIncomeEligibility[#Data],MATCH(1,([1]!MedicaidIncomeEligibility[State]=C209)*([1]!MedicaidIncomeEligibility[Category]=F209),0),MATCH(InputYear,VALUE([1]!MedicaidIncomeEligibility[#Headers]),0))</f>
        <v>#REF!</v>
      </c>
      <c r="H209" s="20" t="e">
        <f t="shared" ref="H209:H211" si="14">G209+5%</f>
        <v>#REF!</v>
      </c>
      <c r="I209" s="21" t="e">
        <f t="array" ref="I209">H209*INDEX([1]!FPIG[#Data],MATCH(1,([1]!FPIG[State]=$G$169)*([1]!FPIG[Persons in Family/Household]=$G$168),0),MATCH(E209,VALUE([1]!FPIG[#Headers]),0))</f>
        <v>#REF!</v>
      </c>
      <c r="J209" s="22" t="e">
        <f t="shared" ref="J209:J211" si="15">ROUND(I209/12,0)</f>
        <v>#REF!</v>
      </c>
      <c r="K209" s="21" t="e">
        <f t="array" ref="K209">INDEX([1]!FPIG[#Data],MATCH(1,([1]!FPIG[State]=$G$169)*([1]!FPIG[Persons in Family/Household]=$G$168),0),MATCH(E209,VALUE([1]!FPIG[#Headers]),0))</f>
        <v>#REF!</v>
      </c>
      <c r="L209" s="23" t="e">
        <f t="shared" si="10"/>
        <v>#REF!</v>
      </c>
      <c r="M209" s="24" t="e">
        <f t="shared" si="11"/>
        <v>#REF!</v>
      </c>
    </row>
    <row r="210" spans="3:13">
      <c r="C210" t="s">
        <v>55</v>
      </c>
      <c r="D210" t="s">
        <v>0</v>
      </c>
      <c r="E210">
        <v>2020</v>
      </c>
      <c r="F210" s="16" t="s">
        <v>0</v>
      </c>
      <c r="G210" s="19" t="e">
        <f t="array" ref="G210">INDEX([1]!MedicaidIncomeEligibility[#Data],MATCH(1,([1]!MedicaidIncomeEligibility[State]=C210)*([1]!MedicaidIncomeEligibility[Category]=F210),0),MATCH(InputYear,VALUE([1]!MedicaidIncomeEligibility[#Headers]),0))</f>
        <v>#REF!</v>
      </c>
      <c r="H210" s="20" t="e">
        <f t="shared" si="14"/>
        <v>#REF!</v>
      </c>
      <c r="I210" s="21" t="e">
        <f t="array" ref="I210">H210*INDEX([1]!FPIG[#Data],MATCH(1,([1]!FPIG[State]=$G$169)*([1]!FPIG[Persons in Family/Household]=$G$168),0),MATCH(E210,VALUE([1]!FPIG[#Headers]),0))</f>
        <v>#REF!</v>
      </c>
      <c r="J210" s="22" t="e">
        <f t="shared" si="15"/>
        <v>#REF!</v>
      </c>
      <c r="K210" s="21" t="e">
        <f t="array" ref="K210">INDEX([1]!FPIG[#Data],MATCH(1,([1]!FPIG[State]=$G$169)*([1]!FPIG[Persons in Family/Household]=$G$168),0),MATCH(E210,VALUE([1]!FPIG[#Headers]),0))</f>
        <v>#REF!</v>
      </c>
      <c r="L210" s="23" t="e">
        <f t="shared" si="10"/>
        <v>#REF!</v>
      </c>
      <c r="M210" s="24" t="e">
        <f t="shared" si="11"/>
        <v>#REF!</v>
      </c>
    </row>
    <row r="211" spans="3:13">
      <c r="C211" t="s">
        <v>55</v>
      </c>
      <c r="D211" t="s">
        <v>0</v>
      </c>
      <c r="E211">
        <v>2021</v>
      </c>
      <c r="F211" s="16" t="s">
        <v>0</v>
      </c>
      <c r="G211" s="19" t="e">
        <f t="array" ref="G211">INDEX([1]!MedicaidIncomeEligibility[#Data],MATCH(1,([1]!MedicaidIncomeEligibility[State]=C211)*([1]!MedicaidIncomeEligibility[Category]=F211),0),MATCH(InputYear,VALUE([1]!MedicaidIncomeEligibility[#Headers]),0))</f>
        <v>#REF!</v>
      </c>
      <c r="H211" s="20" t="e">
        <f t="shared" si="14"/>
        <v>#REF!</v>
      </c>
      <c r="I211" s="21" t="e">
        <f t="array" ref="I211">H211*INDEX([1]!FPIG[#Data],MATCH(1,([1]!FPIG[State]=$G$169)*([1]!FPIG[Persons in Family/Household]=$G$168),0),MATCH(E211,VALUE([1]!FPIG[#Headers]),0))</f>
        <v>#REF!</v>
      </c>
      <c r="J211" s="22" t="e">
        <f t="shared" si="15"/>
        <v>#REF!</v>
      </c>
      <c r="K211" s="21" t="e">
        <f t="array" ref="K211">INDEX([1]!FPIG[#Data],MATCH(1,([1]!FPIG[State]=$G$169)*([1]!FPIG[Persons in Family/Household]=$G$168),0),MATCH(E211,VALUE([1]!FPIG[#Headers]),0))</f>
        <v>#REF!</v>
      </c>
      <c r="L211" s="23" t="e">
        <f t="shared" si="10"/>
        <v>#REF!</v>
      </c>
      <c r="M211" s="24" t="e">
        <f t="shared" si="11"/>
        <v>#REF!</v>
      </c>
    </row>
    <row r="212" spans="3:13">
      <c r="C212" t="s">
        <v>55</v>
      </c>
      <c r="D212" t="s">
        <v>0</v>
      </c>
      <c r="E212">
        <v>2022</v>
      </c>
      <c r="F212" s="16" t="s">
        <v>0</v>
      </c>
      <c r="G212" s="19" t="e">
        <f t="array" ref="G212">INDEX([1]!MedicaidIncomeEligibility[#Data],MATCH(1,([1]!MedicaidIncomeEligibility[State]=C212)*([1]!MedicaidIncomeEligibility[Category]=F212),0),MATCH(InputYear,VALUE([1]!MedicaidIncomeEligibility[#Headers]),0))</f>
        <v>#REF!</v>
      </c>
      <c r="H212" s="20" t="e">
        <f>G212+5%</f>
        <v>#REF!</v>
      </c>
      <c r="I212" s="21" t="e">
        <f t="array" ref="I212">H212*INDEX([1]!FPIG[#Data],MATCH(1,([1]!FPIG[State]=$G$169)*([1]!FPIG[Persons in Family/Household]=$G$168),0),MATCH(E212,VALUE([1]!FPIG[#Headers]),0))</f>
        <v>#REF!</v>
      </c>
      <c r="J212" s="22" t="e">
        <f>ROUND(I212/12,0)</f>
        <v>#REF!</v>
      </c>
      <c r="K212" s="21" t="e">
        <f t="array" ref="K212">INDEX([1]!FPIG[#Data],MATCH(1,([1]!FPIG[State]=$G$169)*([1]!FPIG[Persons in Family/Household]=$G$168),0),MATCH(E212,VALUE([1]!FPIG[#Headers]),0))</f>
        <v>#REF!</v>
      </c>
      <c r="L212" s="23" t="e">
        <f t="shared" si="10"/>
        <v>#REF!</v>
      </c>
      <c r="M212" s="24" t="e">
        <f t="shared" si="11"/>
        <v>#REF!</v>
      </c>
    </row>
    <row r="213" spans="3:13">
      <c r="C213" t="s">
        <v>87</v>
      </c>
      <c r="D213" t="s">
        <v>115</v>
      </c>
      <c r="E213">
        <v>2019</v>
      </c>
      <c r="F213" s="16">
        <v>0</v>
      </c>
      <c r="G213" s="19" t="e">
        <f t="array" ref="G213">INDEX([1]!MedicaidIncomeEligibility[#Data],MATCH(1,([1]!MedicaidIncomeEligibility[State]=C213)*([1]!MedicaidIncomeEligibility[Category]=F213),0),MATCH(InputYear,VALUE([1]!MedicaidIncomeEligibility[#Headers]),0))</f>
        <v>#REF!</v>
      </c>
      <c r="H213" s="20" t="e">
        <f t="shared" ref="H213:H216" si="16">G213+5%</f>
        <v>#REF!</v>
      </c>
      <c r="I213" s="21" t="e">
        <f t="array" ref="I213">H213*INDEX([1]!FPIG[#Data],MATCH(1,([1]!FPIG[State]=$G$169)*([1]!FPIG[Persons in Family/Household]=$G$168),0),MATCH(E213,VALUE([1]!FPIG[#Headers]),0))</f>
        <v>#REF!</v>
      </c>
      <c r="J213" s="22" t="e">
        <f t="shared" ref="J213:J216" si="17">ROUND(I213/12,0)</f>
        <v>#REF!</v>
      </c>
      <c r="K213" s="21" t="e">
        <f t="array" ref="K213">INDEX([1]!FPIG[#Data],MATCH(1,([1]!FPIG[State]=$G$169)*([1]!FPIG[Persons in Family/Household]=$G$168),0),MATCH(E213,VALUE([1]!FPIG[#Headers]),0))</f>
        <v>#REF!</v>
      </c>
      <c r="L213" s="23" t="e">
        <f t="shared" si="10"/>
        <v>#REF!</v>
      </c>
      <c r="M213" s="24" t="e">
        <f t="shared" si="11"/>
        <v>#REF!</v>
      </c>
    </row>
    <row r="214" spans="3:13">
      <c r="C214" t="s">
        <v>87</v>
      </c>
      <c r="D214" t="s">
        <v>115</v>
      </c>
      <c r="E214">
        <v>2019</v>
      </c>
      <c r="F214" s="16" t="s">
        <v>0</v>
      </c>
      <c r="G214" s="19" t="e">
        <f t="array" ref="G214">INDEX([1]!MedicaidIncomeEligibility[#Data],MATCH(1,([1]!MedicaidIncomeEligibility[State]=C214)*([1]!MedicaidIncomeEligibility[Category]=F214),0),MATCH(InputYear,VALUE([1]!MedicaidIncomeEligibility[#Headers]),0))</f>
        <v>#REF!</v>
      </c>
      <c r="H214" s="20" t="e">
        <f t="shared" si="16"/>
        <v>#REF!</v>
      </c>
      <c r="I214" s="21" t="e">
        <f t="array" ref="I214">H214*INDEX([1]!FPIG[#Data],MATCH(1,([1]!FPIG[State]=$G$169)*([1]!FPIG[Persons in Family/Household]=$G$168),0),MATCH(E214,VALUE([1]!FPIG[#Headers]),0))</f>
        <v>#REF!</v>
      </c>
      <c r="J214" s="22" t="e">
        <f t="shared" si="17"/>
        <v>#REF!</v>
      </c>
      <c r="K214" s="21" t="e">
        <f t="array" ref="K214">INDEX([1]!FPIG[#Data],MATCH(1,([1]!FPIG[State]=$G$169)*([1]!FPIG[Persons in Family/Household]=$G$168),0),MATCH(E214,VALUE([1]!FPIG[#Headers]),0))</f>
        <v>#REF!</v>
      </c>
      <c r="L214" s="23" t="e">
        <f t="shared" si="10"/>
        <v>#REF!</v>
      </c>
      <c r="M214" s="24" t="e">
        <f t="shared" si="11"/>
        <v>#REF!</v>
      </c>
    </row>
    <row r="215" spans="3:13">
      <c r="C215" t="s">
        <v>87</v>
      </c>
      <c r="D215" t="s">
        <v>115</v>
      </c>
      <c r="E215">
        <v>2020</v>
      </c>
      <c r="F215" s="16">
        <v>0</v>
      </c>
      <c r="G215" s="19" t="e">
        <f t="array" ref="G215">INDEX([1]!MedicaidIncomeEligibility[#Data],MATCH(1,([1]!MedicaidIncomeEligibility[State]=C215)*([1]!MedicaidIncomeEligibility[Category]=F215),0),MATCH(InputYear,VALUE([1]!MedicaidIncomeEligibility[#Headers]),0))</f>
        <v>#REF!</v>
      </c>
      <c r="H215" s="20" t="e">
        <f t="shared" si="16"/>
        <v>#REF!</v>
      </c>
      <c r="I215" s="21" t="e">
        <f t="array" ref="I215">H215*INDEX([1]!FPIG[#Data],MATCH(1,([1]!FPIG[State]=$G$169)*([1]!FPIG[Persons in Family/Household]=$G$168),0),MATCH(E215,VALUE([1]!FPIG[#Headers]),0))</f>
        <v>#REF!</v>
      </c>
      <c r="J215" s="22" t="e">
        <f t="shared" si="17"/>
        <v>#REF!</v>
      </c>
      <c r="K215" s="21" t="e">
        <f t="array" ref="K215">INDEX([1]!FPIG[#Data],MATCH(1,([1]!FPIG[State]=$G$169)*([1]!FPIG[Persons in Family/Household]=$G$168),0),MATCH(E215,VALUE([1]!FPIG[#Headers]),0))</f>
        <v>#REF!</v>
      </c>
      <c r="L215" s="23" t="e">
        <f t="shared" si="10"/>
        <v>#REF!</v>
      </c>
      <c r="M215" s="24" t="e">
        <f t="shared" si="11"/>
        <v>#REF!</v>
      </c>
    </row>
    <row r="216" spans="3:13">
      <c r="C216" t="s">
        <v>87</v>
      </c>
      <c r="D216" t="s">
        <v>115</v>
      </c>
      <c r="E216">
        <v>2020</v>
      </c>
      <c r="F216" s="16" t="s">
        <v>0</v>
      </c>
      <c r="G216" s="19" t="e">
        <f t="array" ref="G216">INDEX([1]!MedicaidIncomeEligibility[#Data],MATCH(1,([1]!MedicaidIncomeEligibility[State]=C216)*([1]!MedicaidIncomeEligibility[Category]=F216),0),MATCH(InputYear,VALUE([1]!MedicaidIncomeEligibility[#Headers]),0))</f>
        <v>#REF!</v>
      </c>
      <c r="H216" s="20" t="e">
        <f t="shared" si="16"/>
        <v>#REF!</v>
      </c>
      <c r="I216" s="21" t="e">
        <f t="array" ref="I216">H216*INDEX([1]!FPIG[#Data],MATCH(1,([1]!FPIG[State]=$G$169)*([1]!FPIG[Persons in Family/Household]=$G$168),0),MATCH(E216,VALUE([1]!FPIG[#Headers]),0))</f>
        <v>#REF!</v>
      </c>
      <c r="J216" s="22" t="e">
        <f t="shared" si="17"/>
        <v>#REF!</v>
      </c>
      <c r="K216" s="21" t="e">
        <f t="array" ref="K216">INDEX([1]!FPIG[#Data],MATCH(1,([1]!FPIG[State]=$G$169)*([1]!FPIG[Persons in Family/Household]=$G$168),0),MATCH(E216,VALUE([1]!FPIG[#Headers]),0))</f>
        <v>#REF!</v>
      </c>
      <c r="L216" s="23" t="e">
        <f t="shared" si="10"/>
        <v>#REF!</v>
      </c>
      <c r="M216" s="24" t="e">
        <f t="shared" si="11"/>
        <v>#REF!</v>
      </c>
    </row>
    <row r="217" spans="3:13">
      <c r="C217" t="s">
        <v>87</v>
      </c>
      <c r="D217" t="s">
        <v>115</v>
      </c>
      <c r="E217">
        <v>2021</v>
      </c>
      <c r="F217" s="16">
        <v>0</v>
      </c>
      <c r="G217" s="19" t="e">
        <f t="array" ref="G217">INDEX([1]!MedicaidIncomeEligibility[#Data],MATCH(1,([1]!MedicaidIncomeEligibility[State]=C217)*([1]!MedicaidIncomeEligibility[Category]=F217),0),MATCH(InputYear,VALUE([1]!MedicaidIncomeEligibility[#Headers]),0))</f>
        <v>#REF!</v>
      </c>
      <c r="H217" s="20" t="e">
        <f>G217+5%</f>
        <v>#REF!</v>
      </c>
      <c r="I217" s="21" t="e">
        <f t="array" ref="I217">H217*INDEX([1]!FPIG[#Data],MATCH(1,([1]!FPIG[State]=$G$169)*([1]!FPIG[Persons in Family/Household]=$G$168),0),MATCH(E217,VALUE([1]!FPIG[#Headers]),0))</f>
        <v>#REF!</v>
      </c>
      <c r="J217" s="22" t="e">
        <f>ROUND(I217/12,0)</f>
        <v>#REF!</v>
      </c>
      <c r="K217" s="21" t="e">
        <f t="array" ref="K217">INDEX([1]!FPIG[#Data],MATCH(1,([1]!FPIG[State]=$G$169)*([1]!FPIG[Persons in Family/Household]=$G$168),0),MATCH(E217,VALUE([1]!FPIG[#Headers]),0))</f>
        <v>#REF!</v>
      </c>
      <c r="L217" s="23" t="e">
        <f t="shared" si="10"/>
        <v>#REF!</v>
      </c>
      <c r="M217" s="24" t="e">
        <f t="shared" si="11"/>
        <v>#REF!</v>
      </c>
    </row>
    <row r="218" spans="3:13">
      <c r="C218" t="s">
        <v>87</v>
      </c>
      <c r="D218" t="s">
        <v>115</v>
      </c>
      <c r="E218">
        <v>2021</v>
      </c>
      <c r="F218" s="16" t="s">
        <v>0</v>
      </c>
      <c r="G218" s="19" t="e">
        <f t="array" ref="G218">INDEX([1]!MedicaidIncomeEligibility[#Data],MATCH(1,([1]!MedicaidIncomeEligibility[State]=C218)*([1]!MedicaidIncomeEligibility[Category]=F218),0),MATCH(InputYear,VALUE([1]!MedicaidIncomeEligibility[#Headers]),0))</f>
        <v>#REF!</v>
      </c>
      <c r="H218" s="20" t="e">
        <f>G218+5%</f>
        <v>#REF!</v>
      </c>
      <c r="I218" s="21" t="e">
        <f t="array" ref="I218">H218*INDEX([1]!FPIG[#Data],MATCH(1,([1]!FPIG[State]=$G$169)*([1]!FPIG[Persons in Family/Household]=$G$168),0),MATCH(E218,VALUE([1]!FPIG[#Headers]),0))</f>
        <v>#REF!</v>
      </c>
      <c r="J218" s="22" t="e">
        <f>ROUND(I218/12,0)</f>
        <v>#REF!</v>
      </c>
      <c r="K218" s="21" t="e">
        <f t="array" ref="K218">INDEX([1]!FPIG[#Data],MATCH(1,([1]!FPIG[State]=$G$169)*([1]!FPIG[Persons in Family/Household]=$G$168),0),MATCH(E218,VALUE([1]!FPIG[#Headers]),0))</f>
        <v>#REF!</v>
      </c>
      <c r="L218" s="23" t="e">
        <f>I218/K218</f>
        <v>#REF!</v>
      </c>
      <c r="M218" s="24" t="e">
        <f>ROUND(L218-5%,2)</f>
        <v>#REF!</v>
      </c>
    </row>
    <row r="219" spans="3:13">
      <c r="C219" t="s">
        <v>87</v>
      </c>
      <c r="D219" t="s">
        <v>115</v>
      </c>
      <c r="E219">
        <v>2022</v>
      </c>
      <c r="F219" s="16">
        <v>0</v>
      </c>
      <c r="G219" s="19" t="e">
        <f t="array" ref="G219">INDEX([1]!MedicaidIncomeEligibility[#Data],MATCH(1,([1]!MedicaidIncomeEligibility[State]=C219)*([1]!MedicaidIncomeEligibility[Category]=F219),0),MATCH(InputYear,VALUE([1]!MedicaidIncomeEligibility[#Headers]),0))</f>
        <v>#REF!</v>
      </c>
      <c r="H219" s="20" t="e">
        <f>G219+5%</f>
        <v>#REF!</v>
      </c>
      <c r="I219" s="21" t="e">
        <f t="array" ref="I219">H219*INDEX([1]!FPIG[#Data],MATCH(1,([1]!FPIG[State]=$G$169)*([1]!FPIG[Persons in Family/Household]=$G$168),0),MATCH(E219,VALUE([1]!FPIG[#Headers]),0))</f>
        <v>#REF!</v>
      </c>
      <c r="J219" s="22" t="e">
        <f>ROUND(I219/12,0)</f>
        <v>#REF!</v>
      </c>
      <c r="K219" s="21" t="e">
        <f t="array" ref="K219">INDEX([1]!FPIG[#Data],MATCH(1,([1]!FPIG[State]=$G$169)*([1]!FPIG[Persons in Family/Household]=$G$168),0),MATCH(E219,VALUE([1]!FPIG[#Headers]),0))</f>
        <v>#REF!</v>
      </c>
      <c r="L219" s="23" t="e">
        <f>I219/K219</f>
        <v>#REF!</v>
      </c>
      <c r="M219" s="24" t="e">
        <f>ROUND(L219-5%,2)</f>
        <v>#REF!</v>
      </c>
    </row>
    <row r="220" spans="3:13">
      <c r="C220" t="s">
        <v>87</v>
      </c>
      <c r="D220" t="s">
        <v>115</v>
      </c>
      <c r="E220">
        <v>2022</v>
      </c>
      <c r="F220" s="16" t="s">
        <v>0</v>
      </c>
      <c r="G220" s="19" t="e">
        <f t="array" ref="G220">INDEX([1]!MedicaidIncomeEligibility[#Data],MATCH(1,([1]!MedicaidIncomeEligibility[State]=C220)*([1]!MedicaidIncomeEligibility[Category]=F220),0),MATCH(InputYear,VALUE([1]!MedicaidIncomeEligibility[#Headers]),0))</f>
        <v>#REF!</v>
      </c>
      <c r="H220" s="20" t="e">
        <f>G220+5%</f>
        <v>#REF!</v>
      </c>
      <c r="I220" s="21" t="e">
        <f t="array" ref="I220">H220*INDEX([1]!FPIG[#Data],MATCH(1,([1]!FPIG[State]=$G$169)*([1]!FPIG[Persons in Family/Household]=$G$168),0),MATCH(E220,VALUE([1]!FPIG[#Headers]),0))</f>
        <v>#REF!</v>
      </c>
      <c r="J220" s="22" t="e">
        <f>ROUND(I220/12,0)</f>
        <v>#REF!</v>
      </c>
      <c r="K220" s="21" t="e">
        <f t="array" ref="K220">INDEX([1]!FPIG[#Data],MATCH(1,([1]!FPIG[State]=$G$169)*([1]!FPIG[Persons in Family/Household]=$G$168),0),MATCH(E220,VALUE([1]!FPIG[#Headers]),0))</f>
        <v>#REF!</v>
      </c>
      <c r="L220" s="23" t="e">
        <f>I220/K220</f>
        <v>#REF!</v>
      </c>
      <c r="M220" s="24" t="e">
        <f>ROUND(L220-5%,2)</f>
        <v>#REF!</v>
      </c>
    </row>
    <row r="221" spans="3:13">
      <c r="C221" t="s">
        <v>89</v>
      </c>
      <c r="D221" t="s">
        <v>116</v>
      </c>
      <c r="E221">
        <v>2021</v>
      </c>
      <c r="F221" s="16" t="s">
        <v>0</v>
      </c>
      <c r="G221" s="20" t="e">
        <f t="array" ref="G221">INDEX([1]!MedicaidIncomeEligibility[#Data],MATCH(1,([1]!MedicaidIncomeEligibility[State]=C221)*([1]!MedicaidIncomeEligibility[Category]=F221),0),MATCH(InputYear,VALUE([1]!MedicaidIncomeEligibility[#Headers]),0))</f>
        <v>#REF!</v>
      </c>
      <c r="H221" s="20" t="e">
        <f t="shared" ref="H221" si="18">G221+5%</f>
        <v>#REF!</v>
      </c>
      <c r="I221" s="21" t="e">
        <f t="array" ref="I221">G221*INDEX([1]!FPIG[#Data],MATCH(1,([1]!FPIG[State]=$G$169)*([1]!FPIG[Persons in Family/Household]=$G$168),0),MATCH(E221,VALUE([1]!FPIG[#Headers]),0))</f>
        <v>#REF!</v>
      </c>
      <c r="J221" s="22" t="e">
        <f t="shared" ref="J221" si="19">ROUND(I221/12,0)</f>
        <v>#REF!</v>
      </c>
      <c r="K221" s="21" t="e">
        <f t="array" ref="K221">INDEX([1]!FPIG[#Data],MATCH(1,([1]!FPIG[State]=$G$169)*([1]!FPIG[Persons in Family/Household]=$G$168),0),MATCH(E221,VALUE([1]!FPIG[#Headers]),0))</f>
        <v>#REF!</v>
      </c>
      <c r="L221" s="23" t="e">
        <f t="shared" ref="L221:L232" si="20">I221/K221</f>
        <v>#REF!</v>
      </c>
      <c r="M221" s="24" t="e">
        <f t="shared" ref="M221:M232" si="21">ROUND(L221-5%,2)</f>
        <v>#REF!</v>
      </c>
    </row>
    <row r="222" spans="3:13">
      <c r="C222" t="s">
        <v>89</v>
      </c>
      <c r="D222" t="s">
        <v>116</v>
      </c>
      <c r="E222">
        <v>2022</v>
      </c>
      <c r="F222" s="16" t="s">
        <v>0</v>
      </c>
      <c r="G222" s="20" t="e">
        <f t="array" ref="G222">INDEX([1]!MedicaidIncomeEligibility[#Data],MATCH(1,([1]!MedicaidIncomeEligibility[State]=C222)*([1]!MedicaidIncomeEligibility[Category]=F222),0),MATCH(InputYear,VALUE([1]!MedicaidIncomeEligibility[#Headers]),0))</f>
        <v>#REF!</v>
      </c>
      <c r="H222" s="20" t="e">
        <f>G222+5%</f>
        <v>#REF!</v>
      </c>
      <c r="I222" s="21" t="e">
        <f t="array" ref="I222">G222*INDEX([1]!FPIG[#Data],MATCH(1,([1]!FPIG[State]=$G$169)*([1]!FPIG[Persons in Family/Household]=$G$168),0),MATCH(E222,VALUE([1]!FPIG[#Headers]),0))</f>
        <v>#REF!</v>
      </c>
      <c r="J222" s="22" t="e">
        <f>ROUND(I222/12,0)</f>
        <v>#REF!</v>
      </c>
      <c r="K222" s="21" t="e">
        <f t="array" ref="K222">INDEX([1]!FPIG[#Data],MATCH(1,([1]!FPIG[State]=$G$169)*([1]!FPIG[Persons in Family/Household]=$G$168),0),MATCH(E222,VALUE([1]!FPIG[#Headers]),0))</f>
        <v>#REF!</v>
      </c>
      <c r="L222" s="23" t="e">
        <f t="shared" si="20"/>
        <v>#REF!</v>
      </c>
      <c r="M222" s="24" t="e">
        <f t="shared" si="21"/>
        <v>#REF!</v>
      </c>
    </row>
    <row r="223" spans="3:13">
      <c r="C223" t="s">
        <v>90</v>
      </c>
      <c r="D223" t="s">
        <v>91</v>
      </c>
      <c r="E223">
        <v>2019</v>
      </c>
      <c r="F223" s="16" t="s">
        <v>0</v>
      </c>
      <c r="G223" s="20" t="e">
        <f t="array" ref="G223">INDEX([1]!MedicaidIncomeEligibility[#Data],MATCH(1,([1]!MedicaidIncomeEligibility[State]=C223)*([1]!MedicaidIncomeEligibility[Category]=F223),0),MATCH(InputYear,VALUE([1]!MedicaidIncomeEligibility[#Headers]),0))</f>
        <v>#REF!</v>
      </c>
      <c r="H223" s="20" t="e">
        <f t="shared" ref="H223:H225" si="22">G223+5%</f>
        <v>#REF!</v>
      </c>
      <c r="I223" s="21" t="e">
        <f t="array" ref="I223">G223*INDEX([1]!FPIG[#Data],MATCH(1,([1]!FPIG[State]=$G$169)*([1]!FPIG[Persons in Family/Household]=$G$168),0),MATCH(E223,VALUE([1]!FPIG[#Headers]),0))</f>
        <v>#REF!</v>
      </c>
      <c r="J223" s="22" t="e">
        <f t="shared" ref="J223:J225" si="23">ROUND(I223/12,0)</f>
        <v>#REF!</v>
      </c>
      <c r="K223" s="21" t="e">
        <f t="array" ref="K223">INDEX([1]!FPIG[#Data],MATCH(1,([1]!FPIG[State]=$G$169)*([1]!FPIG[Persons in Family/Household]=$G$168),0),MATCH(E223,VALUE([1]!FPIG[#Headers]),0))</f>
        <v>#REF!</v>
      </c>
      <c r="L223" s="23" t="e">
        <f t="shared" si="20"/>
        <v>#REF!</v>
      </c>
      <c r="M223" s="24" t="e">
        <f t="shared" si="21"/>
        <v>#REF!</v>
      </c>
    </row>
    <row r="224" spans="3:13">
      <c r="C224" t="s">
        <v>90</v>
      </c>
      <c r="D224" t="s">
        <v>91</v>
      </c>
      <c r="E224">
        <v>2020</v>
      </c>
      <c r="F224" s="16" t="s">
        <v>0</v>
      </c>
      <c r="G224" s="20" t="e">
        <f t="array" ref="G224">INDEX([1]!MedicaidIncomeEligibility[#Data],MATCH(1,([1]!MedicaidIncomeEligibility[State]=C224)*([1]!MedicaidIncomeEligibility[Category]=F224),0),MATCH(InputYear,VALUE([1]!MedicaidIncomeEligibility[#Headers]),0))</f>
        <v>#REF!</v>
      </c>
      <c r="H224" s="20" t="e">
        <f t="shared" si="22"/>
        <v>#REF!</v>
      </c>
      <c r="I224" s="21" t="e">
        <f t="array" ref="I224">G224*INDEX([1]!FPIG[#Data],MATCH(1,([1]!FPIG[State]=$G$169)*([1]!FPIG[Persons in Family/Household]=$G$168),0),MATCH(E224,VALUE([1]!FPIG[#Headers]),0))</f>
        <v>#REF!</v>
      </c>
      <c r="J224" s="22" t="e">
        <f t="shared" si="23"/>
        <v>#REF!</v>
      </c>
      <c r="K224" s="21" t="e">
        <f t="array" ref="K224">INDEX([1]!FPIG[#Data],MATCH(1,([1]!FPIG[State]=$G$169)*([1]!FPIG[Persons in Family/Household]=$G$168),0),MATCH(E224,VALUE([1]!FPIG[#Headers]),0))</f>
        <v>#REF!</v>
      </c>
      <c r="L224" s="23" t="e">
        <f t="shared" si="20"/>
        <v>#REF!</v>
      </c>
      <c r="M224" s="24" t="e">
        <f t="shared" si="21"/>
        <v>#REF!</v>
      </c>
    </row>
    <row r="225" spans="2:13">
      <c r="C225" t="s">
        <v>90</v>
      </c>
      <c r="D225" t="s">
        <v>91</v>
      </c>
      <c r="E225">
        <v>2021</v>
      </c>
      <c r="F225" s="16" t="s">
        <v>0</v>
      </c>
      <c r="G225" s="20" t="e">
        <f t="array" ref="G225">INDEX([1]!MedicaidIncomeEligibility[#Data],MATCH(1,([1]!MedicaidIncomeEligibility[State]=C225)*([1]!MedicaidIncomeEligibility[Category]=F225),0),MATCH(InputYear,VALUE([1]!MedicaidIncomeEligibility[#Headers]),0))</f>
        <v>#REF!</v>
      </c>
      <c r="H225" s="20" t="e">
        <f t="shared" si="22"/>
        <v>#REF!</v>
      </c>
      <c r="I225" s="21" t="e">
        <f t="array" ref="I225">G225*INDEX([1]!FPIG[#Data],MATCH(1,([1]!FPIG[State]=$G$169)*([1]!FPIG[Persons in Family/Household]=$G$168),0),MATCH(E225,VALUE([1]!FPIG[#Headers]),0))</f>
        <v>#REF!</v>
      </c>
      <c r="J225" s="22" t="e">
        <f t="shared" si="23"/>
        <v>#REF!</v>
      </c>
      <c r="K225" s="21" t="e">
        <f t="array" ref="K225">INDEX([1]!FPIG[#Data],MATCH(1,([1]!FPIG[State]=$G$169)*([1]!FPIG[Persons in Family/Household]=$G$168),0),MATCH(E225,VALUE([1]!FPIG[#Headers]),0))</f>
        <v>#REF!</v>
      </c>
      <c r="L225" s="23" t="e">
        <f t="shared" si="20"/>
        <v>#REF!</v>
      </c>
      <c r="M225" s="24" t="e">
        <f t="shared" si="21"/>
        <v>#REF!</v>
      </c>
    </row>
    <row r="226" spans="2:13">
      <c r="C226" t="s">
        <v>90</v>
      </c>
      <c r="D226" t="s">
        <v>91</v>
      </c>
      <c r="E226">
        <v>2022</v>
      </c>
      <c r="F226" s="16" t="s">
        <v>0</v>
      </c>
      <c r="G226" s="20" t="e">
        <f t="array" ref="G226">INDEX([1]!MedicaidIncomeEligibility[#Data],MATCH(1,([1]!MedicaidIncomeEligibility[State]=C226)*([1]!MedicaidIncomeEligibility[Category]=F226),0),MATCH(InputYear,VALUE([1]!MedicaidIncomeEligibility[#Headers]),0))</f>
        <v>#REF!</v>
      </c>
      <c r="H226" s="20" t="e">
        <f>G226+5%</f>
        <v>#REF!</v>
      </c>
      <c r="I226" s="21" t="e">
        <f t="array" ref="I226">G226*INDEX([1]!FPIG[#Data],MATCH(1,([1]!FPIG[State]=$G$169)*([1]!FPIG[Persons in Family/Household]=$G$168),0),MATCH(E226,VALUE([1]!FPIG[#Headers]),0))</f>
        <v>#REF!</v>
      </c>
      <c r="J226" s="22" t="e">
        <f>ROUND(I226/12,0)</f>
        <v>#REF!</v>
      </c>
      <c r="K226" s="21" t="e">
        <f t="array" ref="K226">INDEX([1]!FPIG[#Data],MATCH(1,([1]!FPIG[State]=$G$169)*([1]!FPIG[Persons in Family/Household]=$G$168),0),MATCH(E226,VALUE([1]!FPIG[#Headers]),0))</f>
        <v>#REF!</v>
      </c>
      <c r="L226" s="23" t="e">
        <f t="shared" si="20"/>
        <v>#REF!</v>
      </c>
      <c r="M226" s="24" t="e">
        <f t="shared" si="21"/>
        <v>#REF!</v>
      </c>
    </row>
    <row r="227" spans="2:13">
      <c r="C227" t="s">
        <v>92</v>
      </c>
      <c r="D227" t="s">
        <v>112</v>
      </c>
      <c r="E227">
        <v>2020</v>
      </c>
      <c r="F227" s="16">
        <v>0</v>
      </c>
      <c r="G227" s="20" t="e">
        <f t="array" ref="G227">INDEX([1]!MedicaidIncomeEligibility[#Data],MATCH(1,([1]!MedicaidIncomeEligibility[State]=C227)*([1]!MedicaidIncomeEligibility[Category]=F227),0),MATCH(InputYear,VALUE([1]!MedicaidIncomeEligibility[#Headers]),0))</f>
        <v>#REF!</v>
      </c>
      <c r="H227" s="20" t="e">
        <f t="shared" ref="H227:H230" si="24">G227+5%</f>
        <v>#REF!</v>
      </c>
      <c r="I227" s="21" t="e">
        <f t="array" ref="I227">H227*INDEX([1]!FPIG[#Data],MATCH(1,([1]!FPIG[State]=$G$169)*([1]!FPIG[Persons in Family/Household]=$G$168),0),MATCH(E227,VALUE([1]!FPIG[#Headers]),0))</f>
        <v>#REF!</v>
      </c>
      <c r="J227" s="22" t="e">
        <f t="shared" ref="J227:J230" si="25">ROUND(I227/12,0)</f>
        <v>#REF!</v>
      </c>
      <c r="K227" s="21" t="e">
        <f t="array" ref="K227">INDEX([1]!FPIG[#Data],MATCH(1,([1]!FPIG[State]=$G$169)*([1]!FPIG[Persons in Family/Household]=$G$168),0),MATCH(E227,VALUE([1]!FPIG[#Headers]),0))</f>
        <v>#REF!</v>
      </c>
      <c r="L227" s="23" t="e">
        <f t="shared" si="20"/>
        <v>#REF!</v>
      </c>
      <c r="M227" s="24" t="e">
        <f t="shared" si="21"/>
        <v>#REF!</v>
      </c>
    </row>
    <row r="228" spans="2:13">
      <c r="C228" t="s">
        <v>92</v>
      </c>
      <c r="D228" t="s">
        <v>0</v>
      </c>
      <c r="E228">
        <v>2020</v>
      </c>
      <c r="F228" s="16" t="s">
        <v>0</v>
      </c>
      <c r="G228" s="20" t="e">
        <f t="array" ref="G228">INDEX([1]!MedicaidIncomeEligibility[#Data],MATCH(1,([1]!MedicaidIncomeEligibility[State]=C228)*([1]!MedicaidIncomeEligibility[Category]=F228),0),MATCH(InputYear,VALUE([1]!MedicaidIncomeEligibility[#Headers]),0))</f>
        <v>#REF!</v>
      </c>
      <c r="H228" s="20" t="e">
        <f t="shared" si="24"/>
        <v>#REF!</v>
      </c>
      <c r="I228" s="21" t="e">
        <f t="array" ref="I228">H228*INDEX([1]!FPIG[#Data],MATCH(1,([1]!FPIG[State]=$G$169)*([1]!FPIG[Persons in Family/Household]=$G$168),0),MATCH(E228,VALUE([1]!FPIG[#Headers]),0))</f>
        <v>#REF!</v>
      </c>
      <c r="J228" s="22" t="e">
        <f t="shared" si="25"/>
        <v>#REF!</v>
      </c>
      <c r="K228" s="21" t="e">
        <f t="array" ref="K228">INDEX([1]!FPIG[#Data],MATCH(1,([1]!FPIG[State]=$G$169)*([1]!FPIG[Persons in Family/Household]=$G$168),0),MATCH(E228,VALUE([1]!FPIG[#Headers]),0))</f>
        <v>#REF!</v>
      </c>
      <c r="L228" s="23" t="e">
        <f t="shared" si="20"/>
        <v>#REF!</v>
      </c>
      <c r="M228" s="24" t="e">
        <f t="shared" si="21"/>
        <v>#REF!</v>
      </c>
    </row>
    <row r="229" spans="2:13">
      <c r="C229" t="s">
        <v>92</v>
      </c>
      <c r="D229" t="s">
        <v>112</v>
      </c>
      <c r="E229">
        <v>2021</v>
      </c>
      <c r="F229" s="16">
        <v>0</v>
      </c>
      <c r="G229" s="20" t="e">
        <f t="array" ref="G229">INDEX([1]!MedicaidIncomeEligibility[#Data],MATCH(1,([1]!MedicaidIncomeEligibility[State]=C229)*([1]!MedicaidIncomeEligibility[Category]=F229),0),MATCH(InputYear,VALUE([1]!MedicaidIncomeEligibility[#Headers]),0))</f>
        <v>#REF!</v>
      </c>
      <c r="H229" s="20" t="e">
        <f t="shared" si="24"/>
        <v>#REF!</v>
      </c>
      <c r="I229" s="21" t="e">
        <f t="array" ref="I229">H229*INDEX([1]!FPIG[#Data],MATCH(1,([1]!FPIG[State]=$G$169)*([1]!FPIG[Persons in Family/Household]=$G$168),0),MATCH(E229,VALUE([1]!FPIG[#Headers]),0))</f>
        <v>#REF!</v>
      </c>
      <c r="J229" s="22" t="e">
        <f t="shared" si="25"/>
        <v>#REF!</v>
      </c>
      <c r="K229" s="21" t="e">
        <f t="array" ref="K229">INDEX([1]!FPIG[#Data],MATCH(1,([1]!FPIG[State]=$G$169)*([1]!FPIG[Persons in Family/Household]=$G$168),0),MATCH(E229,VALUE([1]!FPIG[#Headers]),0))</f>
        <v>#REF!</v>
      </c>
      <c r="L229" s="23" t="e">
        <f t="shared" si="20"/>
        <v>#REF!</v>
      </c>
      <c r="M229" s="24" t="e">
        <f t="shared" si="21"/>
        <v>#REF!</v>
      </c>
    </row>
    <row r="230" spans="2:13">
      <c r="C230" t="s">
        <v>92</v>
      </c>
      <c r="D230" t="s">
        <v>0</v>
      </c>
      <c r="E230">
        <v>2021</v>
      </c>
      <c r="F230" s="16" t="s">
        <v>0</v>
      </c>
      <c r="G230" s="20" t="e">
        <f t="array" ref="G230">INDEX([1]!MedicaidIncomeEligibility[#Data],MATCH(1,([1]!MedicaidIncomeEligibility[State]=C230)*([1]!MedicaidIncomeEligibility[Category]=F230),0),MATCH(InputYear,VALUE([1]!MedicaidIncomeEligibility[#Headers]),0))</f>
        <v>#REF!</v>
      </c>
      <c r="H230" s="20" t="e">
        <f t="shared" si="24"/>
        <v>#REF!</v>
      </c>
      <c r="I230" s="21" t="e">
        <f t="array" ref="I230">H230*INDEX([1]!FPIG[#Data],MATCH(1,([1]!FPIG[State]=$G$169)*([1]!FPIG[Persons in Family/Household]=$G$168),0),MATCH(E230,VALUE([1]!FPIG[#Headers]),0))</f>
        <v>#REF!</v>
      </c>
      <c r="J230" s="22" t="e">
        <f t="shared" si="25"/>
        <v>#REF!</v>
      </c>
      <c r="K230" s="21" t="e">
        <f t="array" ref="K230">INDEX([1]!FPIG[#Data],MATCH(1,([1]!FPIG[State]=$G$169)*([1]!FPIG[Persons in Family/Household]=$G$168),0),MATCH(E230,VALUE([1]!FPIG[#Headers]),0))</f>
        <v>#REF!</v>
      </c>
      <c r="L230" s="23" t="e">
        <f t="shared" si="20"/>
        <v>#REF!</v>
      </c>
      <c r="M230" s="24" t="e">
        <f t="shared" si="21"/>
        <v>#REF!</v>
      </c>
    </row>
    <row r="231" spans="2:13">
      <c r="C231" t="s">
        <v>92</v>
      </c>
      <c r="D231" t="s">
        <v>112</v>
      </c>
      <c r="E231">
        <v>2022</v>
      </c>
      <c r="F231" s="16">
        <v>0</v>
      </c>
      <c r="G231" s="20" t="e">
        <f t="array" ref="G231">INDEX([1]!MedicaidIncomeEligibility[#Data],MATCH(1,([1]!MedicaidIncomeEligibility[State]=C231)*([1]!MedicaidIncomeEligibility[Category]=F231),0),MATCH(InputYear,VALUE([1]!MedicaidIncomeEligibility[#Headers]),0))</f>
        <v>#REF!</v>
      </c>
      <c r="H231" s="20" t="e">
        <f>G231+5%</f>
        <v>#REF!</v>
      </c>
      <c r="I231" s="21" t="e">
        <f t="array" ref="I231">H231*INDEX([1]!FPIG[#Data],MATCH(1,([1]!FPIG[State]=$G$169)*([1]!FPIG[Persons in Family/Household]=$G$168),0),MATCH(E231,VALUE([1]!FPIG[#Headers]),0))</f>
        <v>#REF!</v>
      </c>
      <c r="J231" s="22" t="e">
        <f>ROUND(I231/12,0)</f>
        <v>#REF!</v>
      </c>
      <c r="K231" s="21" t="e">
        <f t="array" ref="K231">INDEX([1]!FPIG[#Data],MATCH(1,([1]!FPIG[State]=$G$169)*([1]!FPIG[Persons in Family/Household]=$G$168),0),MATCH(E231,VALUE([1]!FPIG[#Headers]),0))</f>
        <v>#REF!</v>
      </c>
      <c r="L231" s="23" t="e">
        <f t="shared" si="20"/>
        <v>#REF!</v>
      </c>
      <c r="M231" s="24" t="e">
        <f t="shared" si="21"/>
        <v>#REF!</v>
      </c>
    </row>
    <row r="232" spans="2:13">
      <c r="C232" t="s">
        <v>92</v>
      </c>
      <c r="D232" t="s">
        <v>0</v>
      </c>
      <c r="E232">
        <v>2022</v>
      </c>
      <c r="F232" s="16" t="s">
        <v>0</v>
      </c>
      <c r="G232" s="20" t="e">
        <f t="array" ref="G232">INDEX([1]!MedicaidIncomeEligibility[#Data],MATCH(1,([1]!MedicaidIncomeEligibility[State]=C232)*([1]!MedicaidIncomeEligibility[Category]=F232),0),MATCH(InputYear,VALUE([1]!MedicaidIncomeEligibility[#Headers]),0))</f>
        <v>#REF!</v>
      </c>
      <c r="H232" s="20" t="e">
        <f>G232+5%</f>
        <v>#REF!</v>
      </c>
      <c r="I232" s="21" t="e">
        <f t="array" ref="I232">H232*INDEX([1]!FPIG[#Data],MATCH(1,([1]!FPIG[State]=$G$169)*([1]!FPIG[Persons in Family/Household]=$G$168),0),MATCH(E232,VALUE([1]!FPIG[#Headers]),0))</f>
        <v>#REF!</v>
      </c>
      <c r="J232" s="22" t="e">
        <f>ROUND(I232/12,0)</f>
        <v>#REF!</v>
      </c>
      <c r="K232" s="21" t="e">
        <f t="array" ref="K232">INDEX([1]!FPIG[#Data],MATCH(1,([1]!FPIG[State]=$G$169)*([1]!FPIG[Persons in Family/Household]=$G$168),0),MATCH(E232,VALUE([1]!FPIG[#Headers]),0))</f>
        <v>#REF!</v>
      </c>
      <c r="L232" s="23" t="e">
        <f t="shared" si="20"/>
        <v>#REF!</v>
      </c>
      <c r="M232" s="24" t="e">
        <f t="shared" si="21"/>
        <v>#REF!</v>
      </c>
    </row>
    <row r="233" spans="2:13">
      <c r="B233" s="4" t="s">
        <v>117</v>
      </c>
      <c r="J233" s="26"/>
    </row>
    <row r="234" spans="2:13">
      <c r="J234" s="26"/>
    </row>
    <row r="235" spans="2:13">
      <c r="C235" t="s">
        <v>118</v>
      </c>
    </row>
    <row r="236" spans="2:13">
      <c r="C236" s="27" t="s">
        <v>119</v>
      </c>
      <c r="D236" t="s">
        <v>120</v>
      </c>
      <c r="J236" s="26"/>
    </row>
    <row r="237" spans="2:13">
      <c r="C237" s="27" t="s">
        <v>121</v>
      </c>
      <c r="D237" s="27" t="s">
        <v>122</v>
      </c>
      <c r="E237" s="6" t="s">
        <v>44</v>
      </c>
      <c r="G237" s="5" t="s">
        <v>27</v>
      </c>
      <c r="H237" s="5" t="s">
        <v>25</v>
      </c>
      <c r="J237" s="26"/>
    </row>
    <row r="238" spans="2:13">
      <c r="D238" s="27" t="s">
        <v>123</v>
      </c>
      <c r="E238" s="6" t="s">
        <v>25</v>
      </c>
      <c r="G238" s="9" t="s">
        <v>124</v>
      </c>
      <c r="H238" s="9" t="s">
        <v>29</v>
      </c>
      <c r="J238" s="26"/>
    </row>
    <row r="239" spans="2:13">
      <c r="D239" s="27" t="s">
        <v>125</v>
      </c>
      <c r="E239" s="6" t="s">
        <v>27</v>
      </c>
      <c r="G239" s="5" t="s">
        <v>33</v>
      </c>
      <c r="H239" s="5" t="s">
        <v>47</v>
      </c>
      <c r="J239" s="26"/>
    </row>
    <row r="240" spans="2:13">
      <c r="D240" s="27" t="s">
        <v>126</v>
      </c>
      <c r="E240" s="6">
        <v>2019</v>
      </c>
      <c r="G240" s="9" t="s">
        <v>36</v>
      </c>
      <c r="H240" s="9" t="s">
        <v>48</v>
      </c>
      <c r="J240" s="26"/>
    </row>
    <row r="241" spans="2:12">
      <c r="D241" s="28" t="s">
        <v>127</v>
      </c>
      <c r="E241" s="29">
        <f t="array" ref="E241">INDEX(CHIP_Factors[],MATCH(1,(CHIP_Factors[State]=$E$237)*(CHIP_Factors[Group]=$E$238)*(CHIP_Factors[Factor]=$E$239),0),MATCH($E$240,VALUE(CHIP_Factors[#Headers]),0))</f>
        <v>1.58</v>
      </c>
      <c r="H241" s="5" t="s">
        <v>49</v>
      </c>
      <c r="J241" s="26"/>
    </row>
    <row r="242" spans="2:12">
      <c r="J242" s="26"/>
    </row>
    <row r="243" spans="2:12">
      <c r="C243" t="s">
        <v>128</v>
      </c>
      <c r="J243" s="26"/>
    </row>
    <row r="244" spans="2:12">
      <c r="C244" s="27" t="s">
        <v>119</v>
      </c>
      <c r="J244" s="26"/>
    </row>
    <row r="245" spans="2:12">
      <c r="C245" s="27" t="s">
        <v>121</v>
      </c>
      <c r="D245" s="27" t="s">
        <v>122</v>
      </c>
      <c r="E245" s="6" t="s">
        <v>92</v>
      </c>
      <c r="H245" s="1" t="s">
        <v>129</v>
      </c>
      <c r="I245" s="1" t="s">
        <v>130</v>
      </c>
      <c r="J245" s="26"/>
    </row>
    <row r="246" spans="2:12">
      <c r="D246" s="27" t="s">
        <v>131</v>
      </c>
      <c r="E246" s="9" t="s">
        <v>124</v>
      </c>
      <c r="H246" t="s">
        <v>41</v>
      </c>
      <c r="I246" t="s">
        <v>23</v>
      </c>
      <c r="J246" s="26"/>
    </row>
    <row r="247" spans="2:12">
      <c r="D247" s="27" t="s">
        <v>132</v>
      </c>
      <c r="E247" s="9" t="s">
        <v>36</v>
      </c>
      <c r="H247" t="s">
        <v>52</v>
      </c>
      <c r="I247" t="s">
        <v>44</v>
      </c>
      <c r="J247" s="26"/>
    </row>
    <row r="248" spans="2:12">
      <c r="D248" s="27" t="s">
        <v>126</v>
      </c>
      <c r="E248">
        <v>2019</v>
      </c>
      <c r="H248" t="s">
        <v>92</v>
      </c>
      <c r="I248" t="s">
        <v>87</v>
      </c>
      <c r="J248" s="26"/>
    </row>
    <row r="249" spans="2:12">
      <c r="D249" s="28" t="s">
        <v>133</v>
      </c>
      <c r="E249" s="29" t="str">
        <f t="array" ref="E249">_xlfn.IFNA(IF(INDEX(CHIP_Factors[],MATCH(1,(CHIP_Factors[State]=$E$245)*(CHIP_Factors[Factor]=E246),0),MATCH($E$248,VALUE(CHIP_Factors[#Headers]),0))&gt;=0,"yes"),"none")</f>
        <v>none</v>
      </c>
      <c r="J249" s="26"/>
    </row>
    <row r="250" spans="2:12">
      <c r="D250" s="28" t="s">
        <v>133</v>
      </c>
      <c r="E250" s="29" t="str">
        <f t="array" ref="E250">_xlfn.IFNA(IF(INDEX(CHIP_Factors[],MATCH(1,(CHIP_Factors[State]=$E$245)*(CHIP_Factors[Factor]=E247),0),MATCH($E$248,VALUE(CHIP_Factors[#Headers]),0))&gt;=0,"yes"),"none")</f>
        <v>none</v>
      </c>
      <c r="J250" s="26"/>
    </row>
    <row r="251" spans="2:12">
      <c r="B251" s="4" t="s">
        <v>134</v>
      </c>
      <c r="J251" s="26"/>
    </row>
    <row r="253" spans="2:12">
      <c r="C253" t="s">
        <v>5</v>
      </c>
      <c r="D253" t="s">
        <v>135</v>
      </c>
      <c r="E253" t="s">
        <v>11</v>
      </c>
      <c r="F253" s="6" t="s">
        <v>10</v>
      </c>
      <c r="G253" t="s">
        <v>136</v>
      </c>
      <c r="H253" s="6" t="s">
        <v>13</v>
      </c>
      <c r="I253" s="6" t="s">
        <v>15</v>
      </c>
      <c r="J253" s="6" t="s">
        <v>17</v>
      </c>
      <c r="K253" s="6" t="s">
        <v>19</v>
      </c>
      <c r="L253" s="6" t="s">
        <v>21</v>
      </c>
    </row>
    <row r="254" spans="2:12">
      <c r="C254" t="s">
        <v>44</v>
      </c>
      <c r="D254" t="s">
        <v>137</v>
      </c>
      <c r="E254" t="s">
        <v>138</v>
      </c>
      <c r="F254" s="6">
        <v>6</v>
      </c>
      <c r="G254" t="s">
        <v>139</v>
      </c>
      <c r="H254" t="b">
        <v>1</v>
      </c>
      <c r="I254" t="b">
        <v>1</v>
      </c>
      <c r="J254" t="b">
        <v>1</v>
      </c>
      <c r="K254" t="b">
        <v>1</v>
      </c>
      <c r="L254" t="b">
        <v>1</v>
      </c>
    </row>
    <row r="255" spans="2:12">
      <c r="C255" t="s">
        <v>140</v>
      </c>
      <c r="F255" s="6"/>
    </row>
    <row r="256" spans="2:12">
      <c r="B256" s="4" t="s">
        <v>141</v>
      </c>
    </row>
    <row r="258" spans="3:5">
      <c r="C258" t="s">
        <v>142</v>
      </c>
      <c r="D258" t="s">
        <v>143</v>
      </c>
    </row>
    <row r="259" spans="3:5">
      <c r="D259" t="s">
        <v>144</v>
      </c>
    </row>
    <row r="260" spans="3:5">
      <c r="D260" s="27" t="s">
        <v>145</v>
      </c>
      <c r="E260" s="30" t="s">
        <v>44</v>
      </c>
    </row>
    <row r="261" spans="3:5">
      <c r="D261" s="27" t="s">
        <v>146</v>
      </c>
      <c r="E261" s="5" t="s">
        <v>137</v>
      </c>
    </row>
    <row r="262" spans="3:5">
      <c r="D262" s="27" t="s">
        <v>147</v>
      </c>
      <c r="E262" s="5" t="s">
        <v>138</v>
      </c>
    </row>
    <row r="263" spans="3:5">
      <c r="D263" s="27" t="s">
        <v>126</v>
      </c>
      <c r="E263" s="6">
        <v>2020</v>
      </c>
    </row>
    <row r="264" spans="3:5">
      <c r="D264" s="28" t="s">
        <v>148</v>
      </c>
      <c r="E264" s="31" t="b">
        <f t="array" ref="E264">INDEX(CHIP_RuleException[],MATCH(1,(CHIP_RuleException[State]=$E$260)*(CHIP_RuleException[Exception]=$E$261)*(CHIP_RuleException[Condition]=$E$262),0),MATCH($E$263,VALUE(CHIP_RuleException[#Headers]),0))</f>
        <v>1</v>
      </c>
    </row>
    <row r="265" spans="3:5">
      <c r="C265" t="s">
        <v>149</v>
      </c>
      <c r="D265" t="s">
        <v>150</v>
      </c>
      <c r="E265" t="str">
        <f>IF(E264,"works","doesn't work")</f>
        <v>works</v>
      </c>
    </row>
    <row r="266" spans="3:5">
      <c r="C266" t="s">
        <v>151</v>
      </c>
      <c r="D266" s="32" t="s">
        <v>152</v>
      </c>
    </row>
    <row r="267" spans="3:5">
      <c r="E267" s="32" t="b">
        <f t="array" ref="E267">INDEX(CHIP_RuleException[],MATCH(1,(CHIP_RuleException[State]=$E$260)*(CHIP_RuleException[Exception]=$E$261)*(CHIP_RuleException[Condition]=$E$262),0),MATCH("factor",CHIP_RuleException[#Headers]))</f>
        <v>1</v>
      </c>
    </row>
    <row r="268" spans="3:5">
      <c r="C268" t="s">
        <v>153</v>
      </c>
      <c r="D268" t="s">
        <v>154</v>
      </c>
    </row>
    <row r="269" spans="3:5">
      <c r="E269" t="s">
        <v>155</v>
      </c>
    </row>
    <row r="270" spans="3:5">
      <c r="D270" s="28" t="s">
        <v>148</v>
      </c>
      <c r="E270" t="b">
        <f t="array" ref="E270">IF(INDEX(CHIP_RuleException[],MATCH(1,(CHIP_RuleException[State]=$E$260)*(CHIP_RuleException[Exception]=$E$261)*(CHIP_RuleException[Condition]=$E$262),0),MATCH($E$263,VALUE(CHIP_RuleException[#Headers]),0)),INDEX(CHIP_RuleException[],MATCH(1,(CHIP_RuleException[State]=$E$260)*(CHIP_RuleException[Exception]=$E$261)*(CHIP_RuleException[Condition]=$E$262),0),MATCH("factor",CHIP_RuleException[#Headers])),"error")</f>
        <v>1</v>
      </c>
    </row>
    <row r="271" spans="3:5">
      <c r="E271" t="s">
        <v>156</v>
      </c>
    </row>
    <row r="273" spans="3:17">
      <c r="C273" t="s">
        <v>157</v>
      </c>
      <c r="D273" t="s">
        <v>158</v>
      </c>
    </row>
    <row r="274" spans="3:17">
      <c r="D274" s="27" t="s">
        <v>122</v>
      </c>
      <c r="E274" s="6" t="s">
        <v>89</v>
      </c>
    </row>
    <row r="275" spans="3:17">
      <c r="D275" s="27" t="s">
        <v>126</v>
      </c>
      <c r="E275" s="6">
        <v>2022</v>
      </c>
    </row>
    <row r="276" spans="3:17">
      <c r="D276" s="27" t="s">
        <v>159</v>
      </c>
      <c r="E276" s="6">
        <v>6</v>
      </c>
    </row>
    <row r="277" spans="3:17">
      <c r="D277" s="33" t="s">
        <v>160</v>
      </c>
      <c r="N277" t="s">
        <v>161</v>
      </c>
    </row>
    <row r="278" spans="3:17">
      <c r="D278" s="17" t="s">
        <v>8</v>
      </c>
      <c r="E278" s="17" t="s">
        <v>162</v>
      </c>
      <c r="F278" s="17" t="s">
        <v>163</v>
      </c>
      <c r="G278" s="18" t="s">
        <v>111</v>
      </c>
      <c r="H278" s="18" t="s">
        <v>164</v>
      </c>
      <c r="I278" s="34" t="s">
        <v>165</v>
      </c>
      <c r="K278" t="s">
        <v>166</v>
      </c>
      <c r="P278" t="s">
        <v>167</v>
      </c>
    </row>
    <row r="279" spans="3:17">
      <c r="D279" s="16"/>
      <c r="E279" s="16"/>
      <c r="F279" s="16" t="str">
        <f>_xlfn.IFNA(IF(G280&gt;=0,D280),"ineligible")</f>
        <v>Group 1</v>
      </c>
      <c r="G279" s="20">
        <v>0</v>
      </c>
      <c r="H279" s="20">
        <v>0</v>
      </c>
      <c r="I279" s="35">
        <v>-1</v>
      </c>
    </row>
    <row r="280" spans="3:17">
      <c r="D280" s="16" t="s">
        <v>25</v>
      </c>
      <c r="E280" s="16"/>
      <c r="F280" s="16" t="str">
        <f t="shared" ref="F280:F285" si="26">_xlfn.IFNA(IF(G281&gt;=0,D281),"ineligible")</f>
        <v>Group 2</v>
      </c>
      <c r="G280" s="20">
        <f t="array" ref="G280">INDEX(CHIP_Factors[],MATCH(1,(CHIP_Factors[State]=$E$274)*(CHIP_Factors[Group]=D280)*(CHIP_Factors[Factor]="Annual MAGI Limit"),0),MATCH($E$275,VALUE(CHIP_Factors[#Headers]),0))</f>
        <v>2.08</v>
      </c>
      <c r="H280" s="20">
        <f t="shared" ref="H280:H285" si="27">G280+5%</f>
        <v>2.13</v>
      </c>
      <c r="I280" s="35" t="e">
        <f t="array" ref="I280">ROUND(H280*INDEX([1]!FPIG[#Data],MATCH(1,([1]!FPIG[State]="48 States")*([1]!FPIG[Persons in Family/Household]=$E$276),0),MATCH($E$275,VALUE([1]!FPIG[#Headers]),0)),0)</f>
        <v>#REF!</v>
      </c>
    </row>
    <row r="281" spans="3:17">
      <c r="D281" s="16" t="s">
        <v>29</v>
      </c>
      <c r="E281" s="16" t="s">
        <v>25</v>
      </c>
      <c r="F281" s="16" t="str">
        <f t="shared" si="26"/>
        <v>Group 3</v>
      </c>
      <c r="G281" s="20">
        <f t="array" ref="G281">INDEX(CHIP_Factors[],MATCH(1,(CHIP_Factors[State]=$E$274)*(CHIP_Factors[Group]=D281)*(CHIP_Factors[Factor]="Annual MAGI Limit"),0),MATCH($E$275,VALUE(CHIP_Factors[#Headers]),0))</f>
        <v>2.08</v>
      </c>
      <c r="H281" s="20">
        <f t="shared" si="27"/>
        <v>2.13</v>
      </c>
      <c r="I281" s="35" t="e">
        <f t="array" ref="I281">ROUND(H281*INDEX([1]!FPIG[#Data],MATCH(1,([1]!FPIG[State]="48 States")*([1]!FPIG[Persons in Family/Household]=$E$276),0),MATCH($E$275,VALUE([1]!FPIG[#Headers]),0)),0)</f>
        <v>#REF!</v>
      </c>
      <c r="J281" s="36" t="s">
        <v>168</v>
      </c>
      <c r="K281" t="s">
        <v>169</v>
      </c>
      <c r="L281" t="str">
        <f>IF(K281="yes",TestCHIP_GroupLookup[[#This Row],[Group]])</f>
        <v>Group 2</v>
      </c>
      <c r="P281" t="str">
        <f>IF(K281="yes",TestCHIP_GroupLookup[[#This Row],[Group]])</f>
        <v>Group 2</v>
      </c>
      <c r="Q281" t="str">
        <f t="shared" ref="Q281:Q286" si="28">IF(LEFT(P281,5)="Group","TRUE")</f>
        <v>TRUE</v>
      </c>
    </row>
    <row r="282" spans="3:17">
      <c r="D282" s="16" t="s">
        <v>47</v>
      </c>
      <c r="E282" s="16" t="s">
        <v>29</v>
      </c>
      <c r="F282" s="16" t="str">
        <f t="shared" si="26"/>
        <v>Group 4</v>
      </c>
      <c r="G282" s="20">
        <f t="array" ref="G282">INDEX(CHIP_Factors[],MATCH(1,(CHIP_Factors[State]=$E$274)*(CHIP_Factors[Group]=D282)*(CHIP_Factors[Factor]="Annual MAGI Limit"),0),MATCH($E$275,VALUE(CHIP_Factors[#Headers]),0))</f>
        <v>2.08</v>
      </c>
      <c r="H282" s="20">
        <f t="shared" si="27"/>
        <v>2.13</v>
      </c>
      <c r="I282" s="35" t="e">
        <f t="array" ref="I282">ROUND(H282*INDEX([1]!FPIG[#Data],MATCH(1,([1]!FPIG[State]="48 States")*([1]!FPIG[Persons in Family/Household]=$E$276),0),MATCH($E$275,VALUE([1]!FPIG[#Headers]),0)),0)</f>
        <v>#REF!</v>
      </c>
      <c r="J282" s="36" t="s">
        <v>168</v>
      </c>
      <c r="K282" t="s">
        <v>169</v>
      </c>
      <c r="L282" t="str">
        <f>IF(K282="yes",TestCHIP_GroupLookup[[#This Row],[Group]])</f>
        <v>Group 3</v>
      </c>
      <c r="P282" t="str">
        <f>IF(K282="yes",TestCHIP_GroupLookup[[#This Row],[Group]])</f>
        <v>Group 3</v>
      </c>
      <c r="Q282" t="str">
        <f t="shared" si="28"/>
        <v>TRUE</v>
      </c>
    </row>
    <row r="283" spans="3:17">
      <c r="D283" s="16" t="s">
        <v>48</v>
      </c>
      <c r="E283" s="16" t="s">
        <v>47</v>
      </c>
      <c r="F283" s="16" t="str">
        <f t="shared" si="26"/>
        <v>Group 5</v>
      </c>
      <c r="G283" s="20">
        <f t="array" ref="G283">INDEX(CHIP_Factors[],MATCH(1,(CHIP_Factors[State]=$E$274)*(CHIP_Factors[Group]=D283)*(CHIP_Factors[Factor]="Annual MAGI Limit"),0),MATCH($E$275,VALUE(CHIP_Factors[#Headers]),0))</f>
        <v>2.08</v>
      </c>
      <c r="H283" s="20">
        <f t="shared" si="27"/>
        <v>2.13</v>
      </c>
      <c r="I283" s="35" t="e">
        <f t="array" ref="I283">ROUND(H283*INDEX([1]!FPIG[#Data],MATCH(1,([1]!FPIG[State]="48 States")*([1]!FPIG[Persons in Family/Household]=$E$276),0),MATCH($E$275,VALUE([1]!FPIG[#Headers]),0)),0)</f>
        <v>#REF!</v>
      </c>
      <c r="J283" s="36" t="s">
        <v>168</v>
      </c>
      <c r="K283" t="s">
        <v>169</v>
      </c>
      <c r="L283" t="str">
        <f>IF(K283="yes",TestCHIP_GroupLookup[[#This Row],[Group]])</f>
        <v>Group 4</v>
      </c>
      <c r="P283" t="str">
        <f>IF(K283="yes",TestCHIP_GroupLookup[[#This Row],[Group]])</f>
        <v>Group 4</v>
      </c>
      <c r="Q283" t="str">
        <f t="shared" si="28"/>
        <v>TRUE</v>
      </c>
    </row>
    <row r="284" spans="3:17">
      <c r="D284" s="16" t="s">
        <v>49</v>
      </c>
      <c r="E284" s="16" t="s">
        <v>48</v>
      </c>
      <c r="F284" s="16" t="str">
        <f t="shared" si="26"/>
        <v>Group 6</v>
      </c>
      <c r="G284" s="20">
        <f t="array" ref="G284">INDEX(CHIP_Factors[],MATCH(1,(CHIP_Factors[State]=$E$274)*(CHIP_Factors[Group]=D284)*(CHIP_Factors[Factor]="Annual MAGI Limit"),0),MATCH($E$275,VALUE(CHIP_Factors[#Headers]),0))</f>
        <v>2.08</v>
      </c>
      <c r="H284" s="20">
        <f t="shared" si="27"/>
        <v>2.13</v>
      </c>
      <c r="I284" s="35" t="e">
        <f t="array" ref="I284">ROUND(H284*INDEX([1]!FPIG[#Data],MATCH(1,([1]!FPIG[State]="48 States")*([1]!FPIG[Persons in Family/Household]=$E$276),0),MATCH($E$275,VALUE([1]!FPIG[#Headers]),0)),0)</f>
        <v>#REF!</v>
      </c>
      <c r="J284" s="36" t="s">
        <v>168</v>
      </c>
      <c r="K284" t="s">
        <v>169</v>
      </c>
      <c r="L284" t="str">
        <f>IF(K284="yes",TestCHIP_GroupLookup[[#This Row],[Group]])</f>
        <v>Group 5</v>
      </c>
      <c r="P284" t="str">
        <f>IF(K284="yes",TestCHIP_GroupLookup[[#This Row],[Group]])</f>
        <v>Group 5</v>
      </c>
      <c r="Q284" t="str">
        <f t="shared" si="28"/>
        <v>TRUE</v>
      </c>
    </row>
    <row r="285" spans="3:17">
      <c r="D285" s="16" t="s">
        <v>50</v>
      </c>
      <c r="E285" s="16" t="s">
        <v>49</v>
      </c>
      <c r="F285" s="16">
        <f t="shared" si="26"/>
        <v>0</v>
      </c>
      <c r="G285" s="20">
        <f t="array" ref="G285">INDEX(CHIP_Factors[],MATCH(1,(CHIP_Factors[State]=$E$274)*(CHIP_Factors[Group]=D285)*(CHIP_Factors[Factor]="Annual MAGI Limit"),0),MATCH($E$275,VALUE(CHIP_Factors[#Headers]),0))</f>
        <v>2.08</v>
      </c>
      <c r="H285" s="20">
        <f t="shared" si="27"/>
        <v>2.13</v>
      </c>
      <c r="I285" s="35" t="e">
        <f t="array" ref="I285">ROUND(H285*INDEX([1]!FPIG[#Data],MATCH(1,([1]!FPIG[State]="48 States")*([1]!FPIG[Persons in Family/Household]=$E$276),0),MATCH($E$275,VALUE([1]!FPIG[#Headers]),0)),0)</f>
        <v>#REF!</v>
      </c>
      <c r="J285" s="36" t="s">
        <v>168</v>
      </c>
      <c r="K285" t="s">
        <v>169</v>
      </c>
      <c r="L285" t="str">
        <f>IF(K285="yes",TestCHIP_GroupLookup[[#This Row],[Group]])</f>
        <v>Group 6</v>
      </c>
      <c r="P285" t="str">
        <f>IF(K285="yes",TestCHIP_GroupLookup[[#This Row],[Group]])</f>
        <v>Group 6</v>
      </c>
      <c r="Q285" t="str">
        <f t="shared" si="28"/>
        <v>TRUE</v>
      </c>
    </row>
    <row r="286" spans="3:17">
      <c r="D286" s="16"/>
      <c r="E286" s="16" t="s">
        <v>50</v>
      </c>
      <c r="F286" s="16"/>
      <c r="G286" s="20"/>
      <c r="H286" s="20"/>
      <c r="I286" s="35"/>
      <c r="J286" s="36" t="s">
        <v>168</v>
      </c>
      <c r="K286" t="s">
        <v>169</v>
      </c>
      <c r="L286">
        <f>IF(K286="yes",TestCHIP_GroupLookup[[#This Row],[Group]])</f>
        <v>0</v>
      </c>
      <c r="P286">
        <f>IF(K286="yes",TestCHIP_GroupLookup[[#This Row],[Group]])</f>
        <v>0</v>
      </c>
      <c r="Q286" t="b">
        <f t="shared" si="28"/>
        <v>0</v>
      </c>
    </row>
    <row r="287" spans="3:17">
      <c r="D287" s="16"/>
      <c r="E287" s="20"/>
      <c r="F287" s="20"/>
      <c r="G287" s="37"/>
      <c r="H287" s="36"/>
    </row>
    <row r="288" spans="3:17">
      <c r="E288" t="s">
        <v>8</v>
      </c>
      <c r="F288" t="s">
        <v>162</v>
      </c>
      <c r="G288" t="s">
        <v>170</v>
      </c>
    </row>
    <row r="289" spans="2:10">
      <c r="D289" s="16" t="s">
        <v>171</v>
      </c>
      <c r="E289" s="37">
        <v>43658</v>
      </c>
      <c r="I289" t="s">
        <v>172</v>
      </c>
      <c r="J289" t="s">
        <v>173</v>
      </c>
    </row>
    <row r="290" spans="2:10">
      <c r="D290" s="16" t="s">
        <v>172</v>
      </c>
      <c r="I290" t="s">
        <v>174</v>
      </c>
      <c r="J290" t="s">
        <v>175</v>
      </c>
    </row>
    <row r="291" spans="2:10">
      <c r="D291" s="28" t="s">
        <v>148</v>
      </c>
      <c r="E291">
        <f>INDEX(TestCHIP_GroupLookup[],MATCH($E$289-0.01,TestCHIP_GroupLookup[Exceeds MAGI Limit],1),1)</f>
        <v>0</v>
      </c>
      <c r="F291">
        <f>INDEX(TestCHIP_GroupLookup[],MATCH($E$289-0.01,TestCHIP_GroupLookup[Exceeds MAGI Limit],1),2)</f>
        <v>0</v>
      </c>
      <c r="G291" t="str">
        <f>INDEX(TestCHIP_GroupLookup[],MATCH($E$289-0.01,TestCHIP_GroupLookup[Exceeds MAGI Limit],1),3)</f>
        <v>Group 1</v>
      </c>
      <c r="I291" t="s">
        <v>174</v>
      </c>
      <c r="J291" t="s">
        <v>176</v>
      </c>
    </row>
    <row r="292" spans="2:10">
      <c r="I292" s="28" t="s">
        <v>148</v>
      </c>
      <c r="J292" s="6">
        <f>COUNTIF($L$281:$L$286,"group*")</f>
        <v>5</v>
      </c>
    </row>
    <row r="293" spans="2:10">
      <c r="B293" s="4" t="s">
        <v>177</v>
      </c>
      <c r="I293" s="28"/>
      <c r="J293" s="6"/>
    </row>
    <row r="295" spans="2:10">
      <c r="C295" t="s">
        <v>178</v>
      </c>
      <c r="D295" t="s">
        <v>179</v>
      </c>
      <c r="E295" t="s">
        <v>180</v>
      </c>
      <c r="F295" t="s">
        <v>181</v>
      </c>
      <c r="G295" s="38" t="s">
        <v>182</v>
      </c>
    </row>
    <row r="296" spans="2:10">
      <c r="D296" t="s">
        <v>183</v>
      </c>
    </row>
    <row r="297" spans="2:10">
      <c r="C297" t="s">
        <v>23</v>
      </c>
      <c r="D297" s="39" t="s">
        <v>184</v>
      </c>
      <c r="F297" t="s">
        <v>185</v>
      </c>
      <c r="H297" s="40" t="s">
        <v>186</v>
      </c>
    </row>
    <row r="298" spans="2:10">
      <c r="C298" t="s">
        <v>23</v>
      </c>
      <c r="D298" t="s">
        <v>187</v>
      </c>
      <c r="G298" s="38" t="s">
        <v>188</v>
      </c>
    </row>
    <row r="299" spans="2:10">
      <c r="C299" t="s">
        <v>23</v>
      </c>
      <c r="D299" t="s">
        <v>189</v>
      </c>
      <c r="F299" t="s">
        <v>190</v>
      </c>
      <c r="G299" s="38" t="s">
        <v>191</v>
      </c>
    </row>
    <row r="300" spans="2:10">
      <c r="C300" t="s">
        <v>23</v>
      </c>
      <c r="D300" t="s">
        <v>192</v>
      </c>
      <c r="F300" t="s">
        <v>190</v>
      </c>
      <c r="G300" s="38" t="s">
        <v>193</v>
      </c>
    </row>
    <row r="301" spans="2:10">
      <c r="C301" t="s">
        <v>41</v>
      </c>
      <c r="D301" t="s">
        <v>194</v>
      </c>
      <c r="F301" t="s">
        <v>195</v>
      </c>
    </row>
    <row r="302" spans="2:10">
      <c r="C302" t="s">
        <v>41</v>
      </c>
      <c r="D302" t="s">
        <v>189</v>
      </c>
      <c r="E302" t="s">
        <v>196</v>
      </c>
      <c r="G302" t="s">
        <v>197</v>
      </c>
      <c r="H302" s="38" t="s">
        <v>198</v>
      </c>
    </row>
    <row r="303" spans="2:10">
      <c r="C303" t="s">
        <v>44</v>
      </c>
      <c r="D303" t="s">
        <v>199</v>
      </c>
      <c r="F303" t="s">
        <v>200</v>
      </c>
      <c r="G303" t="s">
        <v>201</v>
      </c>
      <c r="I303" s="38" t="s">
        <v>202</v>
      </c>
    </row>
    <row r="304" spans="2:10">
      <c r="C304" t="s">
        <v>44</v>
      </c>
      <c r="D304" t="s">
        <v>203</v>
      </c>
    </row>
    <row r="305" spans="3:9">
      <c r="C305" t="s">
        <v>44</v>
      </c>
      <c r="D305" t="s">
        <v>204</v>
      </c>
      <c r="F305" t="s">
        <v>205</v>
      </c>
      <c r="G305" t="s">
        <v>206</v>
      </c>
      <c r="H305" s="38" t="s">
        <v>207</v>
      </c>
    </row>
    <row r="306" spans="3:9">
      <c r="C306" t="s">
        <v>44</v>
      </c>
      <c r="D306" t="s">
        <v>208</v>
      </c>
      <c r="F306" t="s">
        <v>209</v>
      </c>
      <c r="H306" t="s">
        <v>210</v>
      </c>
    </row>
    <row r="307" spans="3:9">
      <c r="C307" t="s">
        <v>44</v>
      </c>
      <c r="D307" t="s">
        <v>211</v>
      </c>
      <c r="F307" s="38" t="s">
        <v>212</v>
      </c>
      <c r="H307" t="s">
        <v>213</v>
      </c>
    </row>
    <row r="308" spans="3:9">
      <c r="C308" t="s">
        <v>52</v>
      </c>
      <c r="D308" t="s">
        <v>214</v>
      </c>
      <c r="F308" t="s">
        <v>215</v>
      </c>
    </row>
    <row r="309" spans="3:9">
      <c r="C309" t="s">
        <v>52</v>
      </c>
      <c r="D309" t="s">
        <v>216</v>
      </c>
    </row>
    <row r="310" spans="3:9">
      <c r="C310" t="s">
        <v>52</v>
      </c>
      <c r="D310" t="s">
        <v>217</v>
      </c>
    </row>
    <row r="311" spans="3:9">
      <c r="C311" t="s">
        <v>52</v>
      </c>
      <c r="D311" t="s">
        <v>53</v>
      </c>
      <c r="E311" t="s">
        <v>218</v>
      </c>
      <c r="F311" s="38" t="s">
        <v>219</v>
      </c>
    </row>
    <row r="312" spans="3:9">
      <c r="C312" t="s">
        <v>52</v>
      </c>
      <c r="D312" t="s">
        <v>220</v>
      </c>
      <c r="E312" t="s">
        <v>218</v>
      </c>
      <c r="F312" s="38" t="s">
        <v>221</v>
      </c>
      <c r="H312" t="s">
        <v>222</v>
      </c>
      <c r="I312" t="s">
        <v>223</v>
      </c>
    </row>
    <row r="313" spans="3:9">
      <c r="C313" t="s">
        <v>52</v>
      </c>
      <c r="D313" t="s">
        <v>224</v>
      </c>
      <c r="G313" s="38" t="s">
        <v>225</v>
      </c>
    </row>
    <row r="314" spans="3:9">
      <c r="C314" t="s">
        <v>55</v>
      </c>
      <c r="D314" t="s">
        <v>226</v>
      </c>
    </row>
    <row r="315" spans="3:9">
      <c r="C315" t="s">
        <v>55</v>
      </c>
      <c r="D315" t="s">
        <v>227</v>
      </c>
    </row>
    <row r="316" spans="3:9">
      <c r="C316" t="s">
        <v>55</v>
      </c>
      <c r="D316" t="s">
        <v>228</v>
      </c>
    </row>
    <row r="317" spans="3:9">
      <c r="C317" t="s">
        <v>55</v>
      </c>
      <c r="D317" t="s">
        <v>229</v>
      </c>
      <c r="E317" s="38" t="s">
        <v>230</v>
      </c>
    </row>
    <row r="318" spans="3:9">
      <c r="C318" t="s">
        <v>55</v>
      </c>
      <c r="D318" t="s">
        <v>231</v>
      </c>
      <c r="E318" s="38" t="s">
        <v>232</v>
      </c>
    </row>
    <row r="319" spans="3:9">
      <c r="C319" t="s">
        <v>55</v>
      </c>
      <c r="D319" t="s">
        <v>189</v>
      </c>
      <c r="E319" s="38" t="s">
        <v>233</v>
      </c>
    </row>
    <row r="320" spans="3:9">
      <c r="C320" t="s">
        <v>55</v>
      </c>
      <c r="D320" t="s">
        <v>0</v>
      </c>
      <c r="E320" t="s">
        <v>234</v>
      </c>
    </row>
    <row r="321" spans="3:9">
      <c r="C321" t="s">
        <v>55</v>
      </c>
      <c r="D321" t="s">
        <v>235</v>
      </c>
    </row>
    <row r="322" spans="3:9">
      <c r="C322" t="s">
        <v>87</v>
      </c>
      <c r="D322" t="s">
        <v>236</v>
      </c>
    </row>
    <row r="323" spans="3:9">
      <c r="C323" t="s">
        <v>87</v>
      </c>
      <c r="D323" t="s">
        <v>237</v>
      </c>
    </row>
    <row r="324" spans="3:9">
      <c r="C324" t="s">
        <v>87</v>
      </c>
      <c r="D324" t="s">
        <v>115</v>
      </c>
      <c r="E324" t="s">
        <v>189</v>
      </c>
      <c r="F324" s="38" t="s">
        <v>238</v>
      </c>
    </row>
    <row r="325" spans="3:9">
      <c r="C325" t="s">
        <v>87</v>
      </c>
      <c r="D325" t="s">
        <v>239</v>
      </c>
    </row>
    <row r="326" spans="3:9">
      <c r="C326" t="s">
        <v>87</v>
      </c>
      <c r="D326" t="s">
        <v>240</v>
      </c>
    </row>
    <row r="327" spans="3:9">
      <c r="C327" t="s">
        <v>87</v>
      </c>
      <c r="D327" t="s">
        <v>241</v>
      </c>
    </row>
    <row r="328" spans="3:9">
      <c r="C328" t="s">
        <v>89</v>
      </c>
    </row>
    <row r="331" spans="3:9">
      <c r="C331" t="s">
        <v>90</v>
      </c>
      <c r="D331" t="s">
        <v>242</v>
      </c>
    </row>
    <row r="332" spans="3:9">
      <c r="C332" t="s">
        <v>90</v>
      </c>
      <c r="D332" t="s">
        <v>243</v>
      </c>
      <c r="E332" t="s">
        <v>244</v>
      </c>
      <c r="G332" t="s">
        <v>245</v>
      </c>
      <c r="I332" s="41" t="s">
        <v>246</v>
      </c>
    </row>
    <row r="333" spans="3:9">
      <c r="C333" t="s">
        <v>90</v>
      </c>
      <c r="D333" t="s">
        <v>229</v>
      </c>
      <c r="F333" s="38" t="s">
        <v>247</v>
      </c>
    </row>
    <row r="334" spans="3:9">
      <c r="C334" t="s">
        <v>90</v>
      </c>
      <c r="D334" t="s">
        <v>91</v>
      </c>
      <c r="E334" t="s">
        <v>248</v>
      </c>
      <c r="F334" s="38" t="s">
        <v>249</v>
      </c>
    </row>
    <row r="335" spans="3:9">
      <c r="C335" t="s">
        <v>90</v>
      </c>
      <c r="D335" t="s">
        <v>250</v>
      </c>
      <c r="F335" t="s">
        <v>251</v>
      </c>
      <c r="H335" s="38" t="s">
        <v>252</v>
      </c>
    </row>
    <row r="336" spans="3:9">
      <c r="C336" t="s">
        <v>90</v>
      </c>
      <c r="D336" t="s">
        <v>253</v>
      </c>
      <c r="E336" t="s">
        <v>254</v>
      </c>
      <c r="F336" s="38" t="s">
        <v>255</v>
      </c>
    </row>
    <row r="337" spans="3:8">
      <c r="C337" t="s">
        <v>90</v>
      </c>
      <c r="D337" t="s">
        <v>91</v>
      </c>
      <c r="E337" t="s">
        <v>256</v>
      </c>
      <c r="F337" t="s">
        <v>257</v>
      </c>
      <c r="H337" s="38" t="s">
        <v>258</v>
      </c>
    </row>
    <row r="338" spans="3:8">
      <c r="C338" t="s">
        <v>90</v>
      </c>
      <c r="D338" t="s">
        <v>91</v>
      </c>
      <c r="E338" t="s">
        <v>259</v>
      </c>
    </row>
    <row r="339" spans="3:8">
      <c r="C339" t="s">
        <v>92</v>
      </c>
      <c r="D339" t="s">
        <v>260</v>
      </c>
    </row>
    <row r="340" spans="3:8">
      <c r="C340" t="s">
        <v>92</v>
      </c>
      <c r="D340" t="s">
        <v>261</v>
      </c>
      <c r="F340" t="s">
        <v>262</v>
      </c>
      <c r="H340" s="38" t="s">
        <v>263</v>
      </c>
    </row>
    <row r="341" spans="3:8">
      <c r="C341" t="s">
        <v>92</v>
      </c>
      <c r="D341" t="s">
        <v>261</v>
      </c>
      <c r="F341" t="s">
        <v>264</v>
      </c>
      <c r="G341" t="s">
        <v>265</v>
      </c>
    </row>
    <row r="342" spans="3:8">
      <c r="C342" t="s">
        <v>92</v>
      </c>
      <c r="D342" t="s">
        <v>261</v>
      </c>
      <c r="F342" t="s">
        <v>266</v>
      </c>
    </row>
    <row r="343" spans="3:8">
      <c r="C343" t="s">
        <v>92</v>
      </c>
      <c r="D343" t="s">
        <v>261</v>
      </c>
      <c r="F343" t="s">
        <v>267</v>
      </c>
      <c r="G343" t="s">
        <v>268</v>
      </c>
    </row>
  </sheetData>
  <mergeCells count="4">
    <mergeCell ref="H170:H171"/>
    <mergeCell ref="I170:I171"/>
    <mergeCell ref="K170:K171"/>
    <mergeCell ref="L170:L171"/>
  </mergeCells>
  <phoneticPr fontId="12" type="noConversion"/>
  <dataValidations count="3">
    <dataValidation type="list" allowBlank="1" showInputMessage="1" showErrorMessage="1" sqref="E239" xr:uid="{FBDEC071-6991-4A98-A0AA-D195C3BE04B4}">
      <formula1>$G$237:$G$240</formula1>
    </dataValidation>
    <dataValidation type="list" allowBlank="1" showInputMessage="1" showErrorMessage="1" sqref="E238" xr:uid="{D2A46CFC-B3D2-40C1-9330-DCAAD3263724}">
      <formula1>$H$237:$H$241</formula1>
    </dataValidation>
    <dataValidation type="list" allowBlank="1" showInputMessage="1" showErrorMessage="1" sqref="E237 E274 E245" xr:uid="{FF06F79B-B12A-4E82-ABA3-A02B3E9167AC}">
      <formula1>State_List</formula1>
    </dataValidation>
  </dataValidations>
  <hyperlinks>
    <hyperlink ref="G298" r:id="rId1" xr:uid="{7DE730DC-3791-4C01-AC36-667EA86FB600}"/>
    <hyperlink ref="I303" r:id="rId2" display="tel:+1-404-656-4507" xr:uid="{5FE8A17C-DC84-46A3-8B92-2E5F3DC53CAD}"/>
    <hyperlink ref="G295" r:id="rId3" xr:uid="{F34DF06E-11B1-4153-8121-CD6FC84BB0D5}"/>
    <hyperlink ref="H302" r:id="rId4" xr:uid="{ADD72D5D-7853-4743-A217-B49BCDB4DCD1}"/>
    <hyperlink ref="F307" r:id="rId5" xr:uid="{2B1EFDB2-03E3-49CE-9A25-0CAF24A6004E}"/>
    <hyperlink ref="H305" r:id="rId6" xr:uid="{671154A6-82A0-4CB8-B68C-9C22C06EDD50}"/>
    <hyperlink ref="F311" r:id="rId7" xr:uid="{43C2E83E-8B26-4717-AA0A-DC17078CC9D4}"/>
    <hyperlink ref="F312" r:id="rId8" xr:uid="{0026CB66-2D9C-475D-9899-7C1B1003A640}"/>
    <hyperlink ref="G313" r:id="rId9" xr:uid="{B88B936E-2E54-42DF-A8A9-E0A9F2B99AC3}"/>
    <hyperlink ref="E317" r:id="rId10" xr:uid="{324662E7-0E90-48D8-97E2-F2E24D7EE009}"/>
    <hyperlink ref="E318" r:id="rId11" xr:uid="{011C7F8A-703F-41B9-A0B9-47A7ABF53B34}"/>
    <hyperlink ref="E319" r:id="rId12" xr:uid="{821EC683-C60E-4282-B190-1B558CAEC9EF}"/>
    <hyperlink ref="F324" r:id="rId13" xr:uid="{B24EA231-0F87-402A-BD4E-2B5E8A6CEBE3}"/>
    <hyperlink ref="F333" r:id="rId14" xr:uid="{19FD4017-7287-4D53-BAEF-70BB7251EC1A}"/>
    <hyperlink ref="F334" r:id="rId15" xr:uid="{A856E483-CBD8-4E35-AE85-BD0BE412ED4F}"/>
    <hyperlink ref="H335" r:id="rId16" xr:uid="{3815C84D-AE4B-418C-9CA0-EF0265722B01}"/>
    <hyperlink ref="F336" r:id="rId17" xr:uid="{AEC91829-0455-4497-B4D3-611750596691}"/>
    <hyperlink ref="H337" r:id="rId18" xr:uid="{9E7D5ED5-6FDC-4451-BC3D-6D20A9E19638}"/>
    <hyperlink ref="H340" r:id="rId19" xr:uid="{D82DBF68-B2A3-4219-B241-BDA76FCD1AB0}"/>
  </hyperlinks>
  <pageMargins left="0.7" right="0.7" top="0.75" bottom="0.75" header="0.3" footer="0.3"/>
  <pageSetup orientation="portrait" r:id="rId20"/>
  <tableParts count="3">
    <tablePart r:id="rId21"/>
    <tablePart r:id="rId22"/>
    <tablePart r:id="rId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Raymond Packer</cp:lastModifiedBy>
  <dcterms:created xsi:type="dcterms:W3CDTF">2023-02-20T13:04:13Z</dcterms:created>
  <dcterms:modified xsi:type="dcterms:W3CDTF">2024-05-10T13:51:07Z</dcterms:modified>
</cp:coreProperties>
</file>