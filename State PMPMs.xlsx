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https://d.docs.live.net/e05eebcf225b5e6d/Documents/3-Program Sources/Medicaid and CHIP/"/>
    </mc:Choice>
  </mc:AlternateContent>
  <xr:revisionPtr revIDLastSave="347" documentId="8_{088CF876-6424-4CF0-8A90-E5E077C6A215}" xr6:coauthVersionLast="45" xr6:coauthVersionMax="45" xr10:uidLastSave="{2172DD7C-A39C-4888-A17F-A7E24ABB33C8}"/>
  <bookViews>
    <workbookView xWindow="-28920" yWindow="30" windowWidth="29040" windowHeight="15840" xr2:uid="{A8F042F6-EE69-4FE5-8FDC-606E646F3339}"/>
  </bookViews>
  <sheets>
    <sheet name="AL-Annual" sheetId="3" r:id="rId1"/>
    <sheet name="GA-Month" sheetId="1" r:id="rId2"/>
    <sheet name="GA-Annual"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85" i="1" l="1"/>
  <c r="M84" i="1"/>
  <c r="J85" i="1"/>
  <c r="J84" i="1"/>
  <c r="G84" i="1"/>
  <c r="G85" i="1"/>
  <c r="M82" i="1"/>
  <c r="M81" i="1"/>
  <c r="M80" i="1"/>
  <c r="J82" i="1"/>
  <c r="J81" i="1"/>
  <c r="J80" i="1"/>
  <c r="G81" i="1"/>
  <c r="G82" i="1"/>
  <c r="G80" i="1"/>
  <c r="AI26" i="2"/>
  <c r="AH26" i="2"/>
  <c r="AG26" i="2"/>
  <c r="AF26" i="2"/>
  <c r="AM19" i="2"/>
  <c r="AL19" i="2"/>
  <c r="AK19" i="2"/>
  <c r="AJ19" i="2"/>
  <c r="AM20" i="2"/>
  <c r="AI27" i="2" s="1"/>
  <c r="AL20" i="2"/>
  <c r="AK20" i="2"/>
  <c r="AJ20" i="2"/>
  <c r="AJ21" i="2"/>
  <c r="AK21" i="2"/>
  <c r="AJ22" i="2"/>
  <c r="AF29" i="2" s="1"/>
  <c r="AK22" i="2"/>
  <c r="AJ23" i="2"/>
  <c r="AK23" i="2"/>
  <c r="AG30" i="2" s="1"/>
  <c r="AJ24" i="2"/>
  <c r="AF31" i="2" s="1"/>
  <c r="AK24" i="2"/>
  <c r="AG31" i="2" s="1"/>
  <c r="AF27" i="2"/>
  <c r="AG27" i="2"/>
  <c r="AH27" i="2"/>
  <c r="AF28" i="2"/>
  <c r="AG28" i="2"/>
  <c r="AH28" i="2"/>
  <c r="AI28" i="2"/>
  <c r="AG29" i="2"/>
  <c r="AH29" i="2"/>
  <c r="AI29" i="2"/>
  <c r="AI30" i="2"/>
  <c r="AH30" i="2"/>
  <c r="AM23" i="2"/>
  <c r="AL23" i="2"/>
  <c r="AF30" i="2"/>
  <c r="AM22" i="2"/>
  <c r="AL22" i="2"/>
  <c r="AM21" i="2"/>
  <c r="AL21" i="2"/>
  <c r="AI31" i="2"/>
  <c r="AH31" i="2"/>
  <c r="AM24" i="2"/>
  <c r="AL24" i="2"/>
  <c r="F77" i="1"/>
  <c r="G77" i="1" s="1"/>
  <c r="F76" i="1"/>
  <c r="G76" i="1" s="1"/>
  <c r="F75" i="1"/>
  <c r="G75" i="1" s="1"/>
  <c r="F74" i="1"/>
  <c r="G74" i="1" s="1"/>
  <c r="F73" i="1"/>
  <c r="G73" i="1" s="1"/>
  <c r="F72" i="1"/>
  <c r="G72" i="1" s="1"/>
  <c r="F71" i="1"/>
  <c r="G71" i="1" s="1"/>
  <c r="F70" i="1"/>
  <c r="G70" i="1" s="1"/>
  <c r="F69" i="1"/>
  <c r="G69" i="1" s="1"/>
  <c r="F68" i="1"/>
  <c r="G68" i="1" s="1"/>
</calcChain>
</file>

<file path=xl/sharedStrings.xml><?xml version="1.0" encoding="utf-8"?>
<sst xmlns="http://schemas.openxmlformats.org/spreadsheetml/2006/main" count="213" uniqueCount="171">
  <si>
    <t>Time Period: Incurred Month</t>
  </si>
  <si>
    <t>Members</t>
  </si>
  <si>
    <t>Net Payment Total</t>
  </si>
  <si>
    <t>Net Pay PMPM</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</si>
  <si>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</si>
  <si>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</si>
  <si>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</si>
  <si>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</si>
  <si>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</si>
  <si>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</si>
  <si>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</si>
  <si>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</si>
  <si>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</si>
  <si>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</si>
  <si>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</si>
  <si>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</si>
  <si>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</si>
  <si>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</si>
  <si>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</si>
  <si>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</si>
  <si>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</si>
  <si>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</si>
  <si>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</si>
  <si>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</si>
  <si>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</si>
  <si>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</si>
  <si>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</si>
  <si>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</si>
  <si>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</si>
  <si>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</si>
  <si>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</si>
  <si>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</si>
  <si>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</si>
  <si>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</si>
  <si>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</si>
  <si>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</si>
  <si>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PeachCare</t>
  </si>
  <si>
    <t>Notes:</t>
  </si>
  <si>
    <t>- Report is based on claims incurred from January 2013 through August 2015, paid through November 2015.</t>
  </si>
  <si>
    <t>- Report is based on PeachCare for Kids members.</t>
  </si>
  <si>
    <t>- Net payment is net pay plus capitation payments.</t>
  </si>
  <si>
    <t>SOURCE: Truven, Advantage Suite</t>
  </si>
  <si>
    <t xml:space="preserve">The data presented in these reports should be used for the purpose of the initial request only.  Data accuracy </t>
  </si>
  <si>
    <t xml:space="preserve">of the report is assured based on the current information in the database and is subject to change based on </t>
  </si>
  <si>
    <t>database and data quality updates.</t>
  </si>
  <si>
    <t>Georgia Data</t>
  </si>
  <si>
    <t>LIM Adults</t>
  </si>
  <si>
    <t>LIM Children</t>
  </si>
  <si>
    <t>- Report is based on LIM Adult members, age 20+.</t>
  </si>
  <si>
    <t>- Report is based on LIM Children members, ages 0 - 19.</t>
  </si>
  <si>
    <t>Data Source: Open Record Request from Department of Community Health</t>
  </si>
  <si>
    <t>Jamila Hudson, Esq.</t>
  </si>
  <si>
    <t>Open Records Officer and Custodian of Records</t>
  </si>
  <si>
    <t>HIPAA Privacy and Security Specialist</t>
  </si>
  <si>
    <t>Office of General Counsel</t>
  </si>
  <si>
    <t>Georgia Department of Community Health</t>
  </si>
  <si>
    <r>
      <t>2 Peachtree Street NW, 40</t>
    </r>
    <r>
      <rPr>
        <vertAlign val="superscript"/>
        <sz val="10"/>
        <color theme="1"/>
        <rFont val="Calibri"/>
        <family val="2"/>
        <scheme val="minor"/>
      </rPr>
      <t>th</t>
    </r>
    <r>
      <rPr>
        <sz val="10"/>
        <color theme="1"/>
        <rFont val="Calibri"/>
        <family val="2"/>
        <scheme val="minor"/>
      </rPr>
      <t xml:space="preserve"> Floor</t>
    </r>
  </si>
  <si>
    <t>Atlanta, Georgia 30303</t>
  </si>
  <si>
    <t>jhudson2@dch.ga.gov</t>
  </si>
  <si>
    <t>Office: 404.463.3518</t>
  </si>
  <si>
    <t>Mobile: 404.520.7574</t>
  </si>
  <si>
    <t>Fax: 770.344.3774</t>
  </si>
  <si>
    <t>Reader Advisory Notice: Email to and from a Georgia state agency is generally public record, except for content that is confidential under specific laws. Security by encryption is applied to all confidential information sent by email from the Georgia Department of Community Health.</t>
  </si>
  <si>
    <t>Sep 2015</t>
  </si>
  <si>
    <t>Oct 2015</t>
  </si>
  <si>
    <t>Nov 2015</t>
  </si>
  <si>
    <t>Dec 2015</t>
  </si>
  <si>
    <t>Jan 2016</t>
  </si>
  <si>
    <t>Feb 2016</t>
  </si>
  <si>
    <t>Mar 2016</t>
  </si>
  <si>
    <t>Apr 2016</t>
  </si>
  <si>
    <t>May 2016</t>
  </si>
  <si>
    <t>Jun 2016</t>
  </si>
  <si>
    <t>Fiscal Year</t>
  </si>
  <si>
    <t>Average Members</t>
  </si>
  <si>
    <r>
      <t>Total Payments</t>
    </r>
    <r>
      <rPr>
        <b/>
        <sz val="5"/>
        <color indexed="9"/>
        <rFont val="Arial"/>
        <family val="1"/>
        <charset val="204"/>
      </rPr>
      <t>2</t>
    </r>
  </si>
  <si>
    <t>Payment Per Member</t>
  </si>
  <si>
    <t>Percent Change in Payment Per Member</t>
  </si>
  <si>
    <t>N/A</t>
  </si>
  <si>
    <t>Source: IBM Watson Health Analytics Advantage Suite, based on incurred dates July 1999 through June 2019, paid</t>
  </si>
  <si>
    <t>Table of Historical Medicaid Members and Payments by Fiscal Year1</t>
  </si>
  <si>
    <t>1 Medicaid includes Medicaid ABD, Medicaid LIM, and Inmates but excludes PeachCare.</t>
  </si>
  <si>
    <t>2 Total Payments include Net Payment and Capitation Amounts and has been adjusted for claims incurred but not yet</t>
  </si>
  <si>
    <t>reported.</t>
  </si>
  <si>
    <t>Annual Report FY 2019 page 6</t>
  </si>
  <si>
    <t>Table of Historical PeachCare For Kids Members and Payments by Fiscal Year</t>
  </si>
  <si>
    <t>Annual Report FY 2019 page 7</t>
  </si>
  <si>
    <t>--</t>
  </si>
  <si>
    <t>Source: IBM Watson Health Analytics Advantage Suite, based on</t>
  </si>
  <si>
    <t>incurred dates July 1999 through June 2019, paid through August 2019.</t>
  </si>
  <si>
    <t>1 Total Payments include Net Payment and Capitation Amounts and has been adjusted for claims incurred but not yet reported.</t>
  </si>
  <si>
    <t>Medicaid-LIM Average Members</t>
  </si>
  <si>
    <t>FY 2019 Table of Members and Expenditures</t>
  </si>
  <si>
    <t>Annual Report FY 2019 page 5</t>
  </si>
  <si>
    <t>PeachCare for Kids Average Members</t>
  </si>
  <si>
    <t>Medicaid1 Average Members</t>
  </si>
  <si>
    <t>Medicaid-ABD Average Members</t>
  </si>
  <si>
    <t>Medicaid1 Net Payments</t>
  </si>
  <si>
    <t>Medicaid-ABD Net Payments</t>
  </si>
  <si>
    <t>Medicaid-LIM Net Payments</t>
  </si>
  <si>
    <t>PeachCare for Kids Net Payments</t>
  </si>
  <si>
    <t>Medicaid1 Capitation Amount</t>
  </si>
  <si>
    <t>Medicaid-ABD Capitation Amount</t>
  </si>
  <si>
    <t>Medicaid-LIM Capitation Amount</t>
  </si>
  <si>
    <t>PeachCare for Kids Capitation Amount</t>
  </si>
  <si>
    <t>Medicaid1 Total Payment</t>
  </si>
  <si>
    <t>Medicaid-ABD Total Payment</t>
  </si>
  <si>
    <t>Medicaid-LIM Total Payment</t>
  </si>
  <si>
    <t>PeachCare for Kids Total Payment</t>
  </si>
  <si>
    <t>Medicaid1 Total Payment PMPM</t>
  </si>
  <si>
    <t>Medicaid-ABD Total Payment PMPM</t>
  </si>
  <si>
    <t>Medicaid-LIM Total Payment PMPM</t>
  </si>
  <si>
    <t>PeachCare for Kids Total Payment PMPM</t>
  </si>
  <si>
    <t>Source: IBM Watson Health Analytics Advantage Suite, based on incurred dates July 2018 through June 2019, paid through August 2019. 1 Medicaid includes Medicaid ABD, Medicaid LIM and Inmates, but excludes PeachCare. Members and Expenditures for Inmate Aid Cat B or LIM secondary aid category were included in the total Medicaid count but excluded from LIM and ABD subtotals.
2 Members Average is the average number of members per month.
3 Unique count of providers used across the ABD, LIM, and Inmate populations in total Medicaid column. Providers represents multiple loc 4 Total Payment includes Net Payment and Capitation Amounts and has been adjusted for claims incurred but not yet reported.</t>
  </si>
  <si>
    <t>ategory. Inmate members without ABD</t>
  </si>
  <si>
    <t>ations for individual providers.</t>
  </si>
  <si>
    <t>https://dch.georgia.gov/document/document/2019annualreportpdf/download</t>
  </si>
  <si>
    <t>Georgia</t>
  </si>
  <si>
    <t>https://dch.georgia.gov/document/document/fy-2018-annual-report/download</t>
  </si>
  <si>
    <t>2019 AR</t>
  </si>
  <si>
    <t>2018 AR</t>
  </si>
  <si>
    <t>https://dch.georgia.gov/document/document/fy-2017-annual-report/download</t>
  </si>
  <si>
    <t>2017 AR</t>
  </si>
  <si>
    <t>https://dch.georgia.gov/document/document/fy-2016-annual-report/download</t>
  </si>
  <si>
    <t>2016 AR</t>
  </si>
  <si>
    <t>2015 AR</t>
  </si>
  <si>
    <t>https://dch.georgia.gov/document/document/fy-2015-annual-report/download</t>
  </si>
  <si>
    <t>https://dch.georgia.gov/document/document/fy-2014-annual-report/download</t>
  </si>
  <si>
    <t>2014 AR</t>
  </si>
  <si>
    <t>SFY 2013-2014</t>
  </si>
  <si>
    <t>SFY 2014-2015</t>
  </si>
  <si>
    <t>SFY 2015-2016</t>
  </si>
  <si>
    <t>FFY 2013-2014</t>
  </si>
  <si>
    <t>FFY 2014-2015</t>
  </si>
  <si>
    <t>Monthly Average Members</t>
  </si>
  <si>
    <t>Annual Cost Per Member</t>
  </si>
  <si>
    <t>Children</t>
  </si>
  <si>
    <t>Aged</t>
  </si>
  <si>
    <t>Any Age</t>
  </si>
  <si>
    <t>Age 0 - 18</t>
  </si>
  <si>
    <t>Age 65 &amp; older</t>
  </si>
  <si>
    <t>Most determined by Social Security Office and Have automatic Medicaid eligibility</t>
  </si>
  <si>
    <t>Children in families below 146% of the FPL</t>
  </si>
  <si>
    <t>Adults who are in poverty. Almost all are also covered by Medicare</t>
  </si>
  <si>
    <t>Other adults, including pregnant women, parent caretakers, and family planning services</t>
  </si>
  <si>
    <t>% expenditures</t>
  </si>
  <si>
    <t>% members</t>
  </si>
  <si>
    <t>Disabled &amp; Blind</t>
  </si>
  <si>
    <t>Per Member Per Year</t>
  </si>
  <si>
    <t>Other Categories</t>
  </si>
  <si>
    <t>Age 19 - 64</t>
  </si>
  <si>
    <t>Medicaid Medical Services Expenditures2</t>
  </si>
  <si>
    <t xml:space="preserve">Medicaid Agency Expenditures1 </t>
  </si>
  <si>
    <t>Average Medicaid Medical Services Expenditures per Monthly Average Eligible3</t>
  </si>
  <si>
    <t>Medicaid Medical Services Expenditures per Capita4</t>
  </si>
  <si>
    <t>Monthly Average Eligibles</t>
  </si>
  <si>
    <t>Monthly Average Adult Eligibles</t>
  </si>
  <si>
    <t>Monthly Average Child Eligibles6</t>
  </si>
  <si>
    <r>
      <t xml:space="preserve">1 </t>
    </r>
    <r>
      <rPr>
        <b/>
        <sz val="7"/>
        <color indexed="62"/>
        <rFont val="Nirmala UI"/>
        <family val="1"/>
        <charset val="204"/>
      </rPr>
      <t>As reported by the Executive Budget Office.</t>
    </r>
  </si>
  <si>
    <r>
      <t xml:space="preserve">2 </t>
    </r>
    <r>
      <rPr>
        <b/>
        <sz val="7"/>
        <color indexed="62"/>
        <rFont val="Nirmala UI"/>
        <family val="1"/>
        <charset val="204"/>
      </rPr>
      <t>Total Medicaid medical services expenditures excludes Agency administrative costs, administrative costs of the school-based services program, payments to hospitals under the Disproportionate Share Hospital (DSH) program and expenses of the Health Information Exchange.</t>
    </r>
  </si>
  <si>
    <r>
      <t xml:space="preserve">3 </t>
    </r>
    <r>
      <rPr>
        <b/>
        <sz val="7"/>
        <color indexed="62"/>
        <rFont val="Nirmala UI"/>
        <family val="1"/>
        <charset val="204"/>
      </rPr>
      <t>Total Medicaid medical services expenditures divided by the number of monthly average eligibles. See footnote 2 for a definition of the expenditures.</t>
    </r>
  </si>
  <si>
    <r>
      <t xml:space="preserve">4 </t>
    </r>
    <r>
      <rPr>
        <b/>
        <sz val="7"/>
        <color indexed="62"/>
        <rFont val="Nirmala UI"/>
        <family val="1"/>
        <charset val="204"/>
      </rPr>
      <t>Medicaid medical services expenditures divided by the total Alabama population. See footnote 2 for a definition of the expenditures.</t>
    </r>
  </si>
  <si>
    <r>
      <t xml:space="preserve">5 </t>
    </r>
    <r>
      <rPr>
        <b/>
        <sz val="7"/>
        <color indexed="62"/>
        <rFont val="Nirmala UI"/>
        <family val="1"/>
        <charset val="204"/>
      </rPr>
      <t>Population figures are extrapolated from the 2010 U.S. Census data by the Center for Business and Economic Research at the University of Alabama.</t>
    </r>
  </si>
  <si>
    <r>
      <t xml:space="preserve">6 </t>
    </r>
    <r>
      <rPr>
        <b/>
        <sz val="7"/>
        <color indexed="62"/>
        <rFont val="Nirmala UI"/>
        <family val="1"/>
        <charset val="204"/>
      </rPr>
      <t>Child/Children defined as those under age 21.</t>
    </r>
  </si>
  <si>
    <r>
      <t xml:space="preserve">7 </t>
    </r>
    <r>
      <rPr>
        <b/>
        <sz val="7"/>
        <color indexed="62"/>
        <rFont val="Nirmala UI"/>
        <family val="1"/>
        <charset val="204"/>
      </rPr>
      <t>The arithmetic average of the unduplicated number of individuals who qualified for full or partial Medicaid coverage in each month of the fiscal year.</t>
    </r>
  </si>
  <si>
    <r>
      <t xml:space="preserve">8             </t>
    </r>
    <r>
      <rPr>
        <b/>
        <sz val="7"/>
        <color indexed="62"/>
        <rFont val="Nirmala UI"/>
        <family val="1"/>
        <charset val="204"/>
      </rPr>
      <t>uplicated count of individuals who qualified for full or partial Medicaid coverage and were enrolled in Medicaid for at least one month of the year.</t>
    </r>
  </si>
  <si>
    <t>Alabama</t>
  </si>
  <si>
    <t>Alabama Medicaid Agency, Annual Reports, pp 8 and 9</t>
  </si>
  <si>
    <t>https://medicaid.alabama.gov/content/2.0_Newsroom/2.3_Publications/2.3.2_Report_Archive.aspx</t>
  </si>
  <si>
    <t>https://medicaid.alabama.gov/documents/2.0_Newsroom/2.3_Publications/2.3.5_Annual_Report_FY18/2.3.5_FY_18_Annual_Report_Bookmarked.pdf</t>
  </si>
  <si>
    <t>Combination Table from Annual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</si>
</sst>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
    <numFmt numFmtId="165" formatCode="&quot;$&quot;#,##0.00"/>
    <numFmt numFmtId="166" formatCode="\$#,##0.00"/>
    <numFmt numFmtId="167" formatCode="&quot;$&quot;#,##0"/>
    <numFmt numFmtId="168" formatCode="0.0%"/>
    <numFmt numFmtId="169" formatCode="0.0\ %"/>
  </numFmts>
  <fonts count="25"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1"/>
      <name val="Calibri"/>
      <family val="2"/>
    </font>
    <font>
      <sz val="11"/>
      <color theme="1"/>
      <name val="Calibri"/>
      <family val="2"/>
    </font>
    <font>
      <sz val="9"/>
      <color theme="1"/>
      <name val="Calibri"/>
      <family val="2"/>
    </font>
    <font>
      <i/>
      <sz val="9"/>
      <name val="Calibri"/>
      <family val="2"/>
      <scheme val="minor"/>
    </font>
    <font>
      <u/>
      <sz val="11"/>
      <color theme="10"/>
      <name val="Calibri"/>
      <family val="2"/>
      <scheme val="minor"/>
    </font>
    <font>
      <b/>
      <sz val="14"/>
      <color theme="1"/>
      <name val="Bradley Hand ITC"/>
      <family val="4"/>
    </font>
    <font>
      <i/>
      <sz val="10"/>
      <color theme="1"/>
      <name val="Calibri"/>
      <family val="2"/>
      <scheme val="minor"/>
    </font>
    <font>
      <sz val="10"/>
      <color theme="1"/>
      <name val="Calibri"/>
      <family val="2"/>
      <scheme val="minor"/>
    </font>
    <font>
      <vertAlign val="superscript"/>
      <sz val="10"/>
      <color theme="1"/>
      <name val="Calibri"/>
      <family val="2"/>
      <scheme val="minor"/>
    </font>
    <font>
      <i/>
      <sz val="9"/>
      <color rgb="FF000000"/>
      <name val="Tahoma"/>
      <family val="2"/>
    </font>
    <font>
      <i/>
      <sz val="9"/>
      <color rgb="FF000000"/>
      <name val="Bradley Hand ITC"/>
      <family val="4"/>
    </font>
    <font>
      <sz val="10"/>
      <name val="Times New Roman"/>
      <family val="1"/>
      <charset val="204"/>
    </font>
    <font>
      <sz val="9"/>
      <color indexed="8"/>
      <name val="Arial"/>
      <family val="2"/>
    </font>
    <font>
      <sz val="9"/>
      <color indexed="63"/>
      <name val="Arial"/>
      <family val="2"/>
    </font>
    <font>
      <b/>
      <sz val="9"/>
      <color indexed="9"/>
      <name val="Arial"/>
      <family val="2"/>
    </font>
    <font>
      <b/>
      <sz val="5"/>
      <color indexed="9"/>
      <name val="Arial"/>
      <family val="1"/>
      <charset val="204"/>
    </font>
    <font>
      <b/>
      <sz val="9"/>
      <color indexed="9"/>
      <name val="Arial"/>
      <family val="1"/>
      <charset val="204"/>
    </font>
    <font>
      <sz val="6"/>
      <color indexed="63"/>
      <name val="Arial"/>
      <family val="2"/>
    </font>
    <font>
      <sz val="6"/>
      <color indexed="63"/>
      <name val="Arial"/>
      <family val="1"/>
      <charset val="204"/>
    </font>
    <font>
      <sz val="11"/>
      <color theme="1"/>
      <name val="Calibri"/>
      <family val="2"/>
      <scheme val="minor"/>
    </font>
    <font>
      <b/>
      <sz val="7"/>
      <color indexed="62"/>
      <name val="Nirmala UI"/>
      <family val="1"/>
      <charset val="204"/>
    </font>
    <font>
      <b/>
      <sz val="4"/>
      <color indexed="62"/>
      <name val="Nirmala UI"/>
      <family val="1"/>
      <charset val="204"/>
    </font>
  </fonts>
  <fills count="9">
    <fill>
      <patternFill patternType="none"/>
    </fill>
    <fill>
      <patternFill patternType="gray125"/>
    </fill>
    <fill>
      <patternFill patternType="solid">
        <fgColor rgb="FFE6F1FA"/>
      </patternFill>
    </fill>
    <fill>
      <patternFill patternType="solid">
        <fgColor rgb="FFE0E0E0"/>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9FCC3C"/>
        <bgColor indexed="64"/>
      </patternFill>
    </fill>
    <fill>
      <patternFill patternType="solid">
        <fgColor rgb="FFEEF5DE"/>
        <bgColor indexed="64"/>
      </patternFill>
    </fill>
  </fills>
  <borders count="12">
    <border>
      <left/>
      <right/>
      <top/>
      <bottom/>
      <diagonal/>
    </border>
    <border>
      <left style="medium">
        <color rgb="FF666666"/>
      </left>
      <right style="medium">
        <color rgb="FF666666"/>
      </right>
      <top style="medium">
        <color rgb="FF666666"/>
      </top>
      <bottom/>
      <diagonal/>
    </border>
    <border>
      <left style="thin">
        <color indexed="64"/>
      </left>
      <right style="thin">
        <color indexed="64"/>
      </right>
      <top style="thin">
        <color indexed="64"/>
      </top>
      <bottom style="thin">
        <color indexed="64"/>
      </bottom>
      <diagonal/>
    </border>
    <border>
      <left/>
      <right/>
      <top/>
      <bottom style="medium">
        <color rgb="FF666666"/>
      </bottom>
      <diagonal/>
    </border>
    <border>
      <left style="medium">
        <color rgb="FF666666"/>
      </left>
      <right style="medium">
        <color rgb="FF666666"/>
      </right>
      <top style="medium">
        <color rgb="FF666666"/>
      </top>
      <bottom style="medium">
        <color rgb="FF666666"/>
      </bottom>
      <diagonal/>
    </border>
    <border>
      <left style="medium">
        <color rgb="FF666666"/>
      </left>
      <right/>
      <top style="medium">
        <color rgb="FF666666"/>
      </top>
      <bottom style="medium">
        <color rgb="FF666666"/>
      </bottom>
      <diagonal/>
    </border>
    <border>
      <left style="thin">
        <color rgb="FF9FCC3C"/>
      </left>
      <right style="thin">
        <color rgb="FF9FCC3C"/>
      </right>
      <top/>
      <bottom style="thin">
        <color rgb="FF9FCC3C"/>
      </bottom>
      <diagonal/>
    </border>
    <border>
      <left style="thin">
        <color rgb="FF9FCC3C"/>
      </left>
      <right style="thin">
        <color rgb="FF9FCC3C"/>
      </right>
      <top style="thin">
        <color rgb="FF9FCC3C"/>
      </top>
      <bottom style="thin">
        <color rgb="FF9FCC3C"/>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top style="thin">
        <color rgb="FF9FCC3C"/>
      </top>
      <bottom/>
      <diagonal/>
    </border>
  </borders>
  <cellStyleXfs count="3">
    <xf numFmtId="0" fontId="0" fillId="0" borderId="0"/>
    <xf numFmtId="0" fontId="7" fillId="0" borderId="0" applyNumberFormat="0" applyFill="0" applyBorder="0" applyAlignment="0" applyProtection="0"/>
    <xf numFmtId="43" fontId="22" fillId="0" borderId="0" applyFont="0" applyFill="0" applyBorder="0" applyAlignment="0" applyProtection="0"/>
  </cellStyleXfs>
  <cellXfs count="78">
    <xf numFmtId="0" fontId="0" fillId="0" borderId="0" xfId="0"/>
    <xf numFmtId="0" fontId="3" fillId="2" borderId="1" xfId="0" applyFont="1" applyFill="1" applyBorder="1" applyAlignment="1">
      <alignment horizontal="center"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0" fillId="2" borderId="2" xfId="0" applyFill="1" applyBorder="1" applyAlignment="1">
      <alignment vertical="top"/>
    </xf>
    <xf numFmtId="0" fontId="5" fillId="0" borderId="0" xfId="0" applyFont="1"/>
    <xf numFmtId="0" fontId="5" fillId="0" borderId="0" xfId="0" quotePrefix="1" applyFont="1"/>
    <xf numFmtId="0" fontId="6" fillId="0" borderId="0" xfId="0" applyFont="1"/>
    <xf numFmtId="0" fontId="2" fillId="0" borderId="0" xfId="0" applyFont="1"/>
    <xf numFmtId="165" fontId="4" fillId="0" borderId="2" xfId="0" applyNumberFormat="1" applyFont="1" applyBorder="1"/>
    <xf numFmtId="164" fontId="0" fillId="0" borderId="2" xfId="0" applyNumberFormat="1" applyBorder="1" applyAlignment="1">
      <alignment horizontal="center" vertical="top"/>
    </xf>
    <xf numFmtId="165" fontId="0" fillId="0" borderId="2" xfId="0" applyNumberFormat="1" applyBorder="1" applyAlignment="1">
      <alignment horizontal="center"/>
    </xf>
    <xf numFmtId="164" fontId="4" fillId="0" borderId="2" xfId="0" applyNumberFormat="1" applyFont="1" applyBorder="1" applyAlignment="1">
      <alignment horizontal="center" vertical="top"/>
    </xf>
    <xf numFmtId="165" fontId="4" fillId="0" borderId="2" xfId="0" applyNumberFormat="1" applyFont="1" applyBorder="1" applyAlignment="1">
      <alignment horizont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7" fillId="0" borderId="0" xfId="1" applyAlignment="1">
      <alignment vertical="center"/>
    </xf>
    <xf numFmtId="0" fontId="12" fillId="0" borderId="0" xfId="0" applyFont="1" applyAlignment="1">
      <alignment vertical="center"/>
    </xf>
    <xf numFmtId="0" fontId="13" fillId="0" borderId="0" xfId="0" applyFont="1" applyAlignment="1">
      <alignment vertical="center"/>
    </xf>
    <xf numFmtId="0" fontId="4" fillId="2" borderId="4" xfId="0" applyFont="1" applyFill="1" applyBorder="1" applyAlignment="1">
      <alignment vertical="top"/>
    </xf>
    <xf numFmtId="164" fontId="4" fillId="0" borderId="4" xfId="0" applyNumberFormat="1" applyFont="1" applyBorder="1" applyAlignment="1">
      <alignment horizontal="right" vertical="top"/>
    </xf>
    <xf numFmtId="166" fontId="4" fillId="0" borderId="4" xfId="0" applyNumberFormat="1" applyFont="1" applyBorder="1" applyAlignment="1">
      <alignment horizontal="right" vertical="top"/>
    </xf>
    <xf numFmtId="164" fontId="4" fillId="0" borderId="5" xfId="0" applyNumberFormat="1" applyFont="1" applyBorder="1" applyAlignment="1">
      <alignment horizontal="right" vertical="top"/>
    </xf>
    <xf numFmtId="166" fontId="0" fillId="0" borderId="0" xfId="0" applyNumberFormat="1" applyAlignment="1">
      <alignment horizontal="center"/>
    </xf>
    <xf numFmtId="0" fontId="14" fillId="0" borderId="0" xfId="0" applyFont="1" applyAlignment="1">
      <alignment vertical="top" wrapText="1"/>
    </xf>
    <xf numFmtId="0" fontId="17" fillId="7" borderId="0" xfId="0" applyFont="1" applyFill="1" applyAlignment="1">
      <alignment horizontal="center" vertical="top" wrapText="1"/>
    </xf>
    <xf numFmtId="0" fontId="17" fillId="7" borderId="0" xfId="0" applyFont="1" applyFill="1" applyAlignment="1">
      <alignment horizontal="left" vertical="top" wrapText="1" indent="1"/>
    </xf>
    <xf numFmtId="0" fontId="19" fillId="7" borderId="0" xfId="0" applyFont="1" applyFill="1" applyAlignment="1">
      <alignment horizontal="center" vertical="top" wrapText="1"/>
    </xf>
    <xf numFmtId="0" fontId="17" fillId="7" borderId="0" xfId="0" applyFont="1" applyFill="1" applyAlignment="1">
      <alignment horizontal="left" vertical="top" wrapText="1"/>
    </xf>
    <xf numFmtId="1" fontId="15" fillId="0" borderId="6" xfId="0" applyNumberFormat="1" applyFont="1" applyBorder="1" applyAlignment="1">
      <alignment horizontal="center" vertical="top" wrapText="1"/>
    </xf>
    <xf numFmtId="3" fontId="15" fillId="0" borderId="6" xfId="0" applyNumberFormat="1" applyFont="1" applyBorder="1" applyAlignment="1">
      <alignment horizontal="right" vertical="top" wrapText="1" indent="2"/>
    </xf>
    <xf numFmtId="167" fontId="15" fillId="0" borderId="6" xfId="0" applyNumberFormat="1" applyFont="1" applyBorder="1" applyAlignment="1">
      <alignment horizontal="center" vertical="top" wrapText="1"/>
    </xf>
    <xf numFmtId="0" fontId="15" fillId="0" borderId="6" xfId="0" applyFont="1" applyBorder="1" applyAlignment="1">
      <alignment horizontal="center" vertical="top" wrapText="1"/>
    </xf>
    <xf numFmtId="1" fontId="15" fillId="8" borderId="7" xfId="0" applyNumberFormat="1" applyFont="1" applyFill="1" applyBorder="1" applyAlignment="1">
      <alignment horizontal="center" vertical="top" wrapText="1"/>
    </xf>
    <xf numFmtId="3" fontId="15" fillId="8" borderId="7" xfId="0" applyNumberFormat="1" applyFont="1" applyFill="1" applyBorder="1" applyAlignment="1">
      <alignment horizontal="right" vertical="top" wrapText="1" indent="2"/>
    </xf>
    <xf numFmtId="167" fontId="15" fillId="8" borderId="7" xfId="0" applyNumberFormat="1" applyFont="1" applyFill="1" applyBorder="1" applyAlignment="1">
      <alignment horizontal="center" vertical="top" wrapText="1"/>
    </xf>
    <xf numFmtId="168" fontId="15" fillId="8" borderId="7" xfId="0" applyNumberFormat="1" applyFont="1" applyFill="1" applyBorder="1" applyAlignment="1">
      <alignment horizontal="center" vertical="top" wrapText="1"/>
    </xf>
    <xf numFmtId="1" fontId="15" fillId="0" borderId="7" xfId="0" applyNumberFormat="1" applyFont="1" applyBorder="1" applyAlignment="1">
      <alignment horizontal="center" vertical="top" wrapText="1"/>
    </xf>
    <xf numFmtId="3" fontId="15" fillId="0" borderId="7" xfId="0" applyNumberFormat="1" applyFont="1" applyBorder="1" applyAlignment="1">
      <alignment horizontal="right" vertical="top" wrapText="1" indent="1"/>
    </xf>
    <xf numFmtId="167" fontId="15" fillId="0" borderId="7" xfId="0" applyNumberFormat="1" applyFont="1" applyBorder="1" applyAlignment="1">
      <alignment horizontal="center" vertical="top" wrapText="1"/>
    </xf>
    <xf numFmtId="168" fontId="15" fillId="0" borderId="7" xfId="0" applyNumberFormat="1" applyFont="1" applyBorder="1" applyAlignment="1">
      <alignment horizontal="center" vertical="top" wrapText="1"/>
    </xf>
    <xf numFmtId="3" fontId="15" fillId="8" borderId="7" xfId="0" applyNumberFormat="1" applyFont="1" applyFill="1" applyBorder="1" applyAlignment="1">
      <alignment horizontal="right" vertical="top" wrapText="1" indent="1"/>
    </xf>
    <xf numFmtId="3" fontId="16" fillId="0" borderId="7" xfId="0" applyNumberFormat="1" applyFont="1" applyBorder="1" applyAlignment="1">
      <alignment horizontal="right" vertical="top" wrapText="1" indent="1"/>
    </xf>
    <xf numFmtId="168" fontId="16" fillId="0" borderId="7" xfId="0" applyNumberFormat="1" applyFont="1" applyBorder="1" applyAlignment="1">
      <alignment horizontal="center" vertical="top" wrapText="1"/>
    </xf>
    <xf numFmtId="167" fontId="16" fillId="0" borderId="7" xfId="0" applyNumberFormat="1" applyFont="1" applyBorder="1" applyAlignment="1">
      <alignment horizontal="center" vertical="top" wrapText="1"/>
    </xf>
    <xf numFmtId="0" fontId="20" fillId="0" borderId="0" xfId="0" applyFont="1" applyAlignment="1">
      <alignment horizontal="left" vertical="top"/>
    </xf>
    <xf numFmtId="169" fontId="16" fillId="0" borderId="7" xfId="0" applyNumberFormat="1" applyFont="1" applyBorder="1" applyAlignment="1">
      <alignment horizontal="center" vertical="top" wrapText="1"/>
    </xf>
    <xf numFmtId="3" fontId="15" fillId="0" borderId="6" xfId="0" applyNumberFormat="1" applyFont="1" applyBorder="1" applyAlignment="1">
      <alignment horizontal="center" vertical="top" wrapText="1"/>
    </xf>
    <xf numFmtId="3" fontId="15" fillId="8" borderId="7" xfId="0" applyNumberFormat="1" applyFont="1" applyFill="1" applyBorder="1" applyAlignment="1">
      <alignment horizontal="center" vertical="top" wrapText="1"/>
    </xf>
    <xf numFmtId="3" fontId="15" fillId="0" borderId="7" xfId="0" applyNumberFormat="1" applyFont="1" applyBorder="1" applyAlignment="1">
      <alignment horizontal="center" vertical="top" wrapText="1"/>
    </xf>
    <xf numFmtId="3" fontId="16" fillId="8" borderId="7" xfId="0" applyNumberFormat="1" applyFont="1" applyFill="1" applyBorder="1" applyAlignment="1">
      <alignment horizontal="center" vertical="top" wrapText="1"/>
    </xf>
    <xf numFmtId="167" fontId="16" fillId="8" borderId="7" xfId="0" applyNumberFormat="1" applyFont="1" applyFill="1" applyBorder="1" applyAlignment="1">
      <alignment horizontal="center" vertical="top" wrapText="1"/>
    </xf>
    <xf numFmtId="168" fontId="16" fillId="8" borderId="7" xfId="0" applyNumberFormat="1" applyFont="1" applyFill="1" applyBorder="1" applyAlignment="1">
      <alignment horizontal="center" vertical="top" wrapText="1"/>
    </xf>
    <xf numFmtId="167" fontId="0" fillId="0" borderId="0" xfId="0" applyNumberFormat="1"/>
    <xf numFmtId="165" fontId="0" fillId="0" borderId="0" xfId="0" applyNumberFormat="1"/>
    <xf numFmtId="0" fontId="17" fillId="7" borderId="8" xfId="0" applyFont="1" applyFill="1" applyBorder="1" applyAlignment="1">
      <alignment horizontal="left" vertical="top" wrapText="1"/>
    </xf>
    <xf numFmtId="0" fontId="17" fillId="7" borderId="9" xfId="0" applyFont="1" applyFill="1" applyBorder="1" applyAlignment="1">
      <alignment horizontal="left" vertical="top" wrapText="1" indent="2"/>
    </xf>
    <xf numFmtId="0" fontId="17" fillId="7" borderId="9" xfId="0" applyFont="1" applyFill="1" applyBorder="1" applyAlignment="1">
      <alignment horizontal="left" vertical="top" wrapText="1" indent="1"/>
    </xf>
    <xf numFmtId="0" fontId="17" fillId="7" borderId="10" xfId="0" applyFont="1" applyFill="1" applyBorder="1" applyAlignment="1">
      <alignment horizontal="left" vertical="top" wrapText="1" indent="2"/>
    </xf>
    <xf numFmtId="0" fontId="14" fillId="0" borderId="0" xfId="0" applyFont="1" applyAlignment="1">
      <alignment horizontal="left"/>
    </xf>
    <xf numFmtId="0" fontId="14" fillId="0" borderId="0" xfId="0" applyFont="1" applyAlignment="1">
      <alignment horizontal="left" vertical="top"/>
    </xf>
    <xf numFmtId="0" fontId="21" fillId="0" borderId="11" xfId="0" applyFont="1" applyBorder="1" applyAlignment="1">
      <alignment horizontal="left" vertical="top"/>
    </xf>
    <xf numFmtId="3" fontId="0" fillId="0" borderId="0" xfId="0" applyNumberFormat="1"/>
    <xf numFmtId="6" fontId="0" fillId="0" borderId="0" xfId="0" applyNumberFormat="1"/>
    <xf numFmtId="165" fontId="1" fillId="0" borderId="0" xfId="0" applyNumberFormat="1" applyFont="1"/>
    <xf numFmtId="0" fontId="0" fillId="6" borderId="3" xfId="0" applyFill="1" applyBorder="1" applyAlignment="1">
      <alignment horizontal="center"/>
    </xf>
    <xf numFmtId="0" fontId="0" fillId="4" borderId="3" xfId="0" applyFill="1" applyBorder="1" applyAlignment="1">
      <alignment horizontal="center"/>
    </xf>
    <xf numFmtId="0" fontId="0" fillId="5" borderId="3" xfId="0" applyFill="1" applyBorder="1" applyAlignment="1">
      <alignment horizontal="center"/>
    </xf>
    <xf numFmtId="37" fontId="0" fillId="0" borderId="0" xfId="2" applyNumberFormat="1" applyFont="1"/>
    <xf numFmtId="0" fontId="0" fillId="0" borderId="0" xfId="0" applyAlignment="1">
      <alignment wrapText="1"/>
    </xf>
    <xf numFmtId="0" fontId="0" fillId="0" borderId="0" xfId="0" applyAlignment="1">
      <alignment horizontal="center" vertical="center" wrapText="1"/>
    </xf>
    <xf numFmtId="9" fontId="0" fillId="0" borderId="0" xfId="0" applyNumberForma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left" vertical="center" wrapText="1"/>
    </xf>
    <xf numFmtId="8" fontId="0" fillId="0" borderId="0" xfId="0" applyNumberFormat="1"/>
    <xf numFmtId="0" fontId="24" fillId="0" borderId="0" xfId="0" applyFont="1" applyAlignment="1">
      <alignment horizontal="left" vertical="top"/>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cid:image004.jpg@01D1F18D.F0BFF610"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7</xdr:col>
      <xdr:colOff>0</xdr:colOff>
      <xdr:row>16</xdr:row>
      <xdr:rowOff>66675</xdr:rowOff>
    </xdr:to>
    <xdr:pic>
      <xdr:nvPicPr>
        <xdr:cNvPr id="2" name="Picture 1" descr="dch_logo_pms299_ALT2012_hires.jpg">
          <a:extLst>
            <a:ext uri="{FF2B5EF4-FFF2-40B4-BE49-F238E27FC236}">
              <a16:creationId xmlns:a16="http://schemas.microsoft.com/office/drawing/2014/main" id="{A33C94B8-40B4-4C7E-9C4F-1279A6F51953}"/>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4457700"/>
          <a:ext cx="1828800"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hudson2@dch.g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27F42-6C66-4B2E-9157-A38B2E88C196}">
  <dimension ref="A1:X28"/>
  <sheetViews>
    <sheetView tabSelected="1" workbookViewId="0">
      <selection activeCell="B5" sqref="B5"/>
    </sheetView>
  </sheetViews>
  <sheetFormatPr defaultRowHeight="15" x14ac:dyDescent="0.25"/>
  <cols>
    <col min="3" max="3" width="13.28515625" bestFit="1" customWidth="1"/>
    <col min="5" max="8" width="12.5703125" customWidth="1"/>
    <col min="11" max="11" width="9.5703125" bestFit="1" customWidth="1"/>
    <col min="17" max="18" width="14.5703125" bestFit="1" customWidth="1"/>
    <col min="19" max="19" width="16.5703125" customWidth="1"/>
    <col min="24" max="24" width="9.85546875" bestFit="1" customWidth="1"/>
  </cols>
  <sheetData>
    <row r="1" spans="1:23" x14ac:dyDescent="0.25">
      <c r="A1" s="8" t="s">
        <v>166</v>
      </c>
    </row>
    <row r="2" spans="1:23" x14ac:dyDescent="0.25">
      <c r="B2" s="8" t="s">
        <v>167</v>
      </c>
    </row>
    <row r="3" spans="1:23" x14ac:dyDescent="0.25">
      <c r="B3" s="8"/>
      <c r="C3" t="s">
        <v>169</v>
      </c>
    </row>
    <row r="4" spans="1:23" x14ac:dyDescent="0.25">
      <c r="B4" s="8"/>
      <c r="C4" t="s">
        <v>168</v>
      </c>
    </row>
    <row r="5" spans="1:23" x14ac:dyDescent="0.25">
      <c r="B5" s="8" t="s">
        <v>170</v>
      </c>
    </row>
    <row r="6" spans="1:23" ht="45" customHeight="1" x14ac:dyDescent="0.25">
      <c r="E6" s="73" t="s">
        <v>147</v>
      </c>
      <c r="F6" s="73"/>
      <c r="G6" s="73"/>
      <c r="H6" s="73" t="s">
        <v>136</v>
      </c>
      <c r="I6" s="73"/>
      <c r="J6" s="73"/>
      <c r="K6" s="73" t="s">
        <v>137</v>
      </c>
      <c r="L6" s="73"/>
      <c r="M6" s="73"/>
      <c r="N6" s="73" t="s">
        <v>149</v>
      </c>
      <c r="O6" s="73"/>
      <c r="P6" s="73"/>
    </row>
    <row r="7" spans="1:23" ht="30" customHeight="1" x14ac:dyDescent="0.25">
      <c r="E7" s="73" t="s">
        <v>138</v>
      </c>
      <c r="F7" s="73"/>
      <c r="G7" s="73"/>
      <c r="H7" s="73" t="s">
        <v>139</v>
      </c>
      <c r="I7" s="73"/>
      <c r="J7" s="73"/>
      <c r="K7" s="73" t="s">
        <v>140</v>
      </c>
      <c r="L7" s="73"/>
      <c r="M7" s="73"/>
      <c r="N7" s="74" t="s">
        <v>150</v>
      </c>
      <c r="O7" s="74"/>
      <c r="P7" s="74"/>
    </row>
    <row r="8" spans="1:23" ht="45" x14ac:dyDescent="0.25">
      <c r="C8" s="71"/>
      <c r="D8" s="71"/>
      <c r="E8" s="71" t="s">
        <v>148</v>
      </c>
      <c r="F8" s="71" t="s">
        <v>145</v>
      </c>
      <c r="G8" s="71" t="s">
        <v>146</v>
      </c>
      <c r="H8" s="71" t="s">
        <v>148</v>
      </c>
      <c r="I8" s="71" t="s">
        <v>145</v>
      </c>
      <c r="J8" s="71" t="s">
        <v>146</v>
      </c>
      <c r="K8" s="71" t="s">
        <v>148</v>
      </c>
      <c r="L8" s="71" t="s">
        <v>145</v>
      </c>
      <c r="M8" s="71" t="s">
        <v>146</v>
      </c>
      <c r="N8" s="71" t="s">
        <v>148</v>
      </c>
      <c r="O8" s="71" t="s">
        <v>145</v>
      </c>
      <c r="P8" s="71" t="s">
        <v>146</v>
      </c>
    </row>
    <row r="9" spans="1:23" ht="90" x14ac:dyDescent="0.25">
      <c r="B9" s="71" t="s">
        <v>73</v>
      </c>
      <c r="C9" s="71" t="s">
        <v>134</v>
      </c>
      <c r="D9" s="71" t="s">
        <v>135</v>
      </c>
      <c r="E9" s="75" t="s">
        <v>141</v>
      </c>
      <c r="F9" s="75"/>
      <c r="G9" s="75"/>
      <c r="H9" s="75" t="s">
        <v>142</v>
      </c>
      <c r="I9" s="75"/>
      <c r="J9" s="75"/>
      <c r="K9" s="75" t="s">
        <v>143</v>
      </c>
      <c r="L9" s="75"/>
      <c r="M9" s="75"/>
      <c r="N9" s="75" t="s">
        <v>144</v>
      </c>
      <c r="O9" s="75"/>
      <c r="P9" s="75"/>
      <c r="Q9" s="70" t="s">
        <v>152</v>
      </c>
      <c r="R9" s="70" t="s">
        <v>151</v>
      </c>
      <c r="S9" s="70" t="s">
        <v>153</v>
      </c>
      <c r="T9" s="70" t="s">
        <v>154</v>
      </c>
      <c r="U9" s="70" t="s">
        <v>155</v>
      </c>
      <c r="V9" s="70" t="s">
        <v>156</v>
      </c>
      <c r="W9" s="70" t="s">
        <v>157</v>
      </c>
    </row>
    <row r="10" spans="1:23" x14ac:dyDescent="0.25">
      <c r="B10">
        <v>2009</v>
      </c>
      <c r="C10" s="69">
        <v>803187</v>
      </c>
      <c r="D10" s="54">
        <v>6027</v>
      </c>
    </row>
    <row r="11" spans="1:23" x14ac:dyDescent="0.25">
      <c r="B11">
        <v>2010</v>
      </c>
      <c r="C11" s="69">
        <v>851199</v>
      </c>
      <c r="D11" s="54">
        <v>6238</v>
      </c>
    </row>
    <row r="12" spans="1:23" x14ac:dyDescent="0.25">
      <c r="B12">
        <v>2011</v>
      </c>
      <c r="C12" s="69">
        <v>912767</v>
      </c>
      <c r="D12" s="54">
        <v>5741</v>
      </c>
    </row>
    <row r="13" spans="1:23" x14ac:dyDescent="0.25">
      <c r="B13">
        <v>2012</v>
      </c>
      <c r="C13" s="69">
        <v>939576</v>
      </c>
      <c r="D13" s="54">
        <v>5989</v>
      </c>
    </row>
    <row r="14" spans="1:23" x14ac:dyDescent="0.25">
      <c r="B14">
        <v>2013</v>
      </c>
      <c r="C14" s="69">
        <v>947594</v>
      </c>
      <c r="D14" s="54">
        <v>5895</v>
      </c>
    </row>
    <row r="15" spans="1:23" x14ac:dyDescent="0.25">
      <c r="B15">
        <v>2014</v>
      </c>
      <c r="C15" s="69">
        <v>1012125</v>
      </c>
      <c r="D15" s="54">
        <v>5714</v>
      </c>
      <c r="Q15" s="64">
        <v>5783130402</v>
      </c>
      <c r="R15" s="64">
        <v>5079977508</v>
      </c>
      <c r="S15" s="64">
        <v>5019</v>
      </c>
      <c r="T15" s="64">
        <v>1048</v>
      </c>
      <c r="U15" s="63">
        <v>1012125</v>
      </c>
      <c r="V15" s="63">
        <v>447230</v>
      </c>
      <c r="W15" s="63">
        <v>564895</v>
      </c>
    </row>
    <row r="16" spans="1:23" x14ac:dyDescent="0.25">
      <c r="B16">
        <v>2015</v>
      </c>
      <c r="C16" s="69">
        <v>1050117</v>
      </c>
      <c r="D16" s="54">
        <v>5783</v>
      </c>
      <c r="Q16" s="64">
        <v>6073280030</v>
      </c>
      <c r="R16" s="64">
        <v>5335816017</v>
      </c>
      <c r="S16" s="64">
        <v>5081</v>
      </c>
      <c r="T16" s="64">
        <v>1098</v>
      </c>
      <c r="U16" s="63">
        <v>1050117</v>
      </c>
      <c r="V16" s="63">
        <v>462743</v>
      </c>
      <c r="W16" s="63">
        <v>587374</v>
      </c>
    </row>
    <row r="17" spans="2:24" x14ac:dyDescent="0.25">
      <c r="B17">
        <v>2016</v>
      </c>
      <c r="C17" s="69">
        <v>1043551</v>
      </c>
      <c r="D17" s="54">
        <v>6066</v>
      </c>
      <c r="E17" s="64">
        <v>10644</v>
      </c>
      <c r="F17" s="72">
        <v>0.45</v>
      </c>
      <c r="G17" s="72">
        <v>0.22</v>
      </c>
      <c r="H17" s="64">
        <v>2556</v>
      </c>
      <c r="I17" s="72">
        <v>0.25</v>
      </c>
      <c r="J17" s="72">
        <v>0.51</v>
      </c>
      <c r="K17" s="64">
        <v>10644</v>
      </c>
      <c r="L17" s="72">
        <v>0.18</v>
      </c>
      <c r="M17" s="72">
        <v>0.09</v>
      </c>
      <c r="N17" s="64">
        <v>3456</v>
      </c>
      <c r="O17" s="72">
        <v>0.12</v>
      </c>
      <c r="P17" s="72">
        <v>0.18</v>
      </c>
      <c r="Q17" s="64">
        <v>6330410558</v>
      </c>
      <c r="R17" s="64">
        <v>5612193123</v>
      </c>
      <c r="S17" s="64">
        <v>5378</v>
      </c>
      <c r="T17" s="64">
        <v>1154</v>
      </c>
      <c r="U17" s="63">
        <v>1043551</v>
      </c>
      <c r="V17" s="63">
        <v>462800</v>
      </c>
      <c r="W17" s="63">
        <v>580751</v>
      </c>
    </row>
    <row r="18" spans="2:24" x14ac:dyDescent="0.25">
      <c r="B18">
        <v>2017</v>
      </c>
      <c r="C18" s="69">
        <v>1021690</v>
      </c>
      <c r="D18" s="54">
        <v>6352</v>
      </c>
      <c r="E18" s="64">
        <v>11203</v>
      </c>
      <c r="F18" s="72">
        <v>0.46</v>
      </c>
      <c r="G18" s="72">
        <v>0.22</v>
      </c>
      <c r="H18" s="64">
        <v>2676</v>
      </c>
      <c r="I18" s="72">
        <v>0.25</v>
      </c>
      <c r="J18" s="72">
        <v>0.52</v>
      </c>
      <c r="K18" s="64">
        <v>10510</v>
      </c>
      <c r="L18" s="72">
        <v>0.17</v>
      </c>
      <c r="M18" s="72">
        <v>0.09</v>
      </c>
      <c r="N18" s="64">
        <v>3675</v>
      </c>
      <c r="O18" s="72">
        <v>0.12</v>
      </c>
      <c r="P18" s="72">
        <v>0.17</v>
      </c>
      <c r="Q18" s="64">
        <v>6489979058</v>
      </c>
      <c r="R18" s="64">
        <v>5730687262</v>
      </c>
      <c r="S18" s="64">
        <v>5609</v>
      </c>
      <c r="T18" s="64">
        <v>1176</v>
      </c>
      <c r="U18" s="63">
        <v>1021690</v>
      </c>
      <c r="V18" s="63">
        <v>454718</v>
      </c>
      <c r="W18" s="63">
        <v>566971</v>
      </c>
    </row>
    <row r="19" spans="2:24" x14ac:dyDescent="0.25">
      <c r="B19">
        <v>2018</v>
      </c>
      <c r="C19" s="69">
        <v>1020972</v>
      </c>
      <c r="D19" s="54">
        <v>6422</v>
      </c>
      <c r="E19" s="64">
        <v>11804</v>
      </c>
      <c r="F19" s="72">
        <v>0.47</v>
      </c>
      <c r="G19" s="72">
        <v>0.22</v>
      </c>
      <c r="H19" s="64">
        <v>2614</v>
      </c>
      <c r="I19" s="72">
        <v>0.25</v>
      </c>
      <c r="J19" s="72">
        <v>0.52</v>
      </c>
      <c r="K19" s="64">
        <v>10457</v>
      </c>
      <c r="L19" s="72">
        <v>0.17</v>
      </c>
      <c r="M19" s="72">
        <v>0.09</v>
      </c>
      <c r="N19" s="64">
        <v>3772</v>
      </c>
      <c r="O19" s="72">
        <v>0.11</v>
      </c>
      <c r="P19" s="72">
        <v>0.17</v>
      </c>
      <c r="Q19" s="64">
        <v>6557068823</v>
      </c>
      <c r="R19" s="64">
        <v>5826543865</v>
      </c>
      <c r="S19" s="64">
        <v>5707</v>
      </c>
      <c r="T19" s="64">
        <v>1192</v>
      </c>
      <c r="U19" s="63">
        <v>1020972</v>
      </c>
      <c r="V19" s="63">
        <v>451695</v>
      </c>
      <c r="W19" s="63">
        <v>569276</v>
      </c>
      <c r="X19" s="76"/>
    </row>
    <row r="21" spans="2:24" x14ac:dyDescent="0.25">
      <c r="C21" s="77" t="s">
        <v>158</v>
      </c>
    </row>
    <row r="22" spans="2:24" x14ac:dyDescent="0.25">
      <c r="C22" s="77" t="s">
        <v>159</v>
      </c>
    </row>
    <row r="23" spans="2:24" x14ac:dyDescent="0.25">
      <c r="C23" s="77" t="s">
        <v>160</v>
      </c>
    </row>
    <row r="24" spans="2:24" x14ac:dyDescent="0.25">
      <c r="C24" s="77" t="s">
        <v>161</v>
      </c>
    </row>
    <row r="25" spans="2:24" x14ac:dyDescent="0.25">
      <c r="C25" s="77" t="s">
        <v>162</v>
      </c>
    </row>
    <row r="26" spans="2:24" x14ac:dyDescent="0.25">
      <c r="C26" s="77" t="s">
        <v>163</v>
      </c>
    </row>
    <row r="27" spans="2:24" x14ac:dyDescent="0.25">
      <c r="C27" s="77" t="s">
        <v>164</v>
      </c>
    </row>
    <row r="28" spans="2:24" x14ac:dyDescent="0.25">
      <c r="C28" s="77" t="s">
        <v>165</v>
      </c>
    </row>
  </sheetData>
  <mergeCells count="12">
    <mergeCell ref="N6:P6"/>
    <mergeCell ref="N7:P7"/>
    <mergeCell ref="E9:G9"/>
    <mergeCell ref="H9:J9"/>
    <mergeCell ref="K9:M9"/>
    <mergeCell ref="N9:P9"/>
    <mergeCell ref="E6:G6"/>
    <mergeCell ref="E7:G7"/>
    <mergeCell ref="H6:J6"/>
    <mergeCell ref="H7:J7"/>
    <mergeCell ref="K6:M6"/>
    <mergeCell ref="K7:M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8958-6C67-4CFF-987E-B378495F4E53}">
  <dimension ref="A1:M85"/>
  <sheetViews>
    <sheetView topLeftCell="A10" workbookViewId="0">
      <selection activeCell="M84" sqref="M84:M85"/>
    </sheetView>
  </sheetViews>
  <sheetFormatPr defaultRowHeight="15" x14ac:dyDescent="0.25"/>
  <cols>
    <col min="3" max="5" width="17.7109375" customWidth="1"/>
    <col min="6" max="6" width="17.7109375" bestFit="1" customWidth="1"/>
    <col min="7" max="7" width="13.85546875" bestFit="1" customWidth="1"/>
    <col min="9" max="9" width="17.7109375" bestFit="1" customWidth="1"/>
    <col min="12" max="12" width="17.7109375" bestFit="1" customWidth="1"/>
    <col min="13" max="13" width="9.140625" bestFit="1" customWidth="1"/>
  </cols>
  <sheetData>
    <row r="1" spans="1:5" x14ac:dyDescent="0.25">
      <c r="A1" s="8" t="s">
        <v>45</v>
      </c>
    </row>
    <row r="3" spans="1:5" x14ac:dyDescent="0.25">
      <c r="B3" t="s">
        <v>50</v>
      </c>
    </row>
    <row r="4" spans="1:5" ht="21" x14ac:dyDescent="0.25">
      <c r="C4" s="14" t="s">
        <v>51</v>
      </c>
      <c r="D4" s="14"/>
      <c r="E4" s="14"/>
    </row>
    <row r="5" spans="1:5" x14ac:dyDescent="0.25">
      <c r="C5" s="15" t="s">
        <v>52</v>
      </c>
      <c r="D5" s="15"/>
      <c r="E5" s="15"/>
    </row>
    <row r="6" spans="1:5" x14ac:dyDescent="0.25">
      <c r="C6" s="15" t="s">
        <v>53</v>
      </c>
      <c r="D6" s="15"/>
      <c r="E6" s="15"/>
    </row>
    <row r="7" spans="1:5" x14ac:dyDescent="0.25">
      <c r="C7" s="15" t="s">
        <v>54</v>
      </c>
      <c r="D7" s="15"/>
      <c r="E7" s="15"/>
    </row>
    <row r="8" spans="1:5" x14ac:dyDescent="0.25">
      <c r="C8" s="16" t="s">
        <v>55</v>
      </c>
      <c r="D8" s="16"/>
      <c r="E8" s="16"/>
    </row>
    <row r="9" spans="1:5" x14ac:dyDescent="0.25">
      <c r="C9" s="16" t="s">
        <v>56</v>
      </c>
      <c r="D9" s="16"/>
      <c r="E9" s="16"/>
    </row>
    <row r="10" spans="1:5" x14ac:dyDescent="0.25">
      <c r="C10" s="16" t="s">
        <v>57</v>
      </c>
      <c r="D10" s="16"/>
      <c r="E10" s="16"/>
    </row>
    <row r="11" spans="1:5" x14ac:dyDescent="0.25">
      <c r="C11" s="17" t="s">
        <v>58</v>
      </c>
      <c r="D11" s="17"/>
      <c r="E11" s="17"/>
    </row>
    <row r="12" spans="1:5" x14ac:dyDescent="0.25">
      <c r="C12" s="16" t="s">
        <v>59</v>
      </c>
      <c r="D12" s="16"/>
      <c r="E12" s="16"/>
    </row>
    <row r="13" spans="1:5" x14ac:dyDescent="0.25">
      <c r="C13" s="16" t="s">
        <v>60</v>
      </c>
      <c r="D13" s="16"/>
      <c r="E13" s="16"/>
    </row>
    <row r="14" spans="1:5" x14ac:dyDescent="0.25">
      <c r="C14" s="16" t="s">
        <v>61</v>
      </c>
      <c r="D14" s="16"/>
      <c r="E14" s="16"/>
    </row>
    <row r="16" spans="1:5" x14ac:dyDescent="0.25">
      <c r="C16" s="18"/>
      <c r="D16" s="18"/>
      <c r="E16" s="18"/>
    </row>
    <row r="17" spans="2:11" x14ac:dyDescent="0.25">
      <c r="C17" s="19" t="s">
        <v>62</v>
      </c>
      <c r="D17" s="19"/>
      <c r="E17" s="19"/>
    </row>
    <row r="20" spans="2:11" x14ac:dyDescent="0.25">
      <c r="B20" s="5" t="s">
        <v>37</v>
      </c>
      <c r="H20" s="5" t="s">
        <v>37</v>
      </c>
      <c r="K20" s="5" t="s">
        <v>37</v>
      </c>
    </row>
    <row r="21" spans="2:11" x14ac:dyDescent="0.25">
      <c r="B21" s="6" t="s">
        <v>38</v>
      </c>
      <c r="H21" s="6" t="s">
        <v>38</v>
      </c>
      <c r="K21" s="6" t="s">
        <v>38</v>
      </c>
    </row>
    <row r="22" spans="2:11" x14ac:dyDescent="0.25">
      <c r="B22" s="6" t="s">
        <v>39</v>
      </c>
      <c r="H22" s="6" t="s">
        <v>48</v>
      </c>
      <c r="K22" s="6" t="s">
        <v>49</v>
      </c>
    </row>
    <row r="23" spans="2:11" x14ac:dyDescent="0.25">
      <c r="B23" s="6" t="s">
        <v>40</v>
      </c>
      <c r="H23" s="6" t="s">
        <v>40</v>
      </c>
      <c r="K23" s="6" t="s">
        <v>40</v>
      </c>
    </row>
    <row r="24" spans="2:11" x14ac:dyDescent="0.25">
      <c r="B24" s="5" t="s">
        <v>41</v>
      </c>
      <c r="H24" s="5" t="s">
        <v>41</v>
      </c>
      <c r="K24" s="5" t="s">
        <v>41</v>
      </c>
    </row>
    <row r="25" spans="2:11" x14ac:dyDescent="0.25">
      <c r="B25" s="5"/>
      <c r="H25" s="5"/>
      <c r="K25" s="5"/>
    </row>
    <row r="26" spans="2:11" x14ac:dyDescent="0.25">
      <c r="B26" s="7" t="s">
        <v>42</v>
      </c>
      <c r="H26" s="7" t="s">
        <v>42</v>
      </c>
      <c r="K26" s="7" t="s">
        <v>42</v>
      </c>
    </row>
    <row r="27" spans="2:11" x14ac:dyDescent="0.25">
      <c r="B27" s="7" t="s">
        <v>43</v>
      </c>
      <c r="H27" s="7" t="s">
        <v>43</v>
      </c>
      <c r="K27" s="7" t="s">
        <v>43</v>
      </c>
    </row>
    <row r="28" spans="2:11" x14ac:dyDescent="0.25">
      <c r="B28" s="7" t="s">
        <v>44</v>
      </c>
      <c r="H28" s="7" t="s">
        <v>44</v>
      </c>
    </row>
    <row r="34" spans="2:13" ht="15.75" thickBot="1" x14ac:dyDescent="0.3">
      <c r="C34" s="66" t="s">
        <v>36</v>
      </c>
      <c r="D34" s="66"/>
      <c r="E34" s="66"/>
      <c r="F34" s="66"/>
      <c r="G34" s="66"/>
      <c r="H34" s="67" t="s">
        <v>46</v>
      </c>
      <c r="I34" s="67"/>
      <c r="J34" s="67"/>
      <c r="K34" s="68" t="s">
        <v>47</v>
      </c>
      <c r="L34" s="68"/>
      <c r="M34" s="68"/>
    </row>
    <row r="35" spans="2:13" ht="60" x14ac:dyDescent="0.25">
      <c r="B35" s="1" t="s">
        <v>0</v>
      </c>
      <c r="C35" s="2" t="s">
        <v>1</v>
      </c>
      <c r="D35" s="2"/>
      <c r="E35" s="2"/>
      <c r="F35" s="2" t="s">
        <v>2</v>
      </c>
      <c r="G35" s="3" t="s">
        <v>3</v>
      </c>
      <c r="H35" s="2" t="s">
        <v>1</v>
      </c>
      <c r="I35" s="2" t="s">
        <v>2</v>
      </c>
      <c r="J35" s="3" t="s">
        <v>3</v>
      </c>
      <c r="K35" s="2" t="s">
        <v>1</v>
      </c>
      <c r="L35" s="2" t="s">
        <v>2</v>
      </c>
      <c r="M35" s="3" t="s">
        <v>3</v>
      </c>
    </row>
    <row r="36" spans="2:13" x14ac:dyDescent="0.25">
      <c r="B36" s="4" t="s">
        <v>4</v>
      </c>
      <c r="C36" s="10">
        <v>218565</v>
      </c>
      <c r="D36" s="10"/>
      <c r="E36" s="10"/>
      <c r="F36" s="11">
        <v>33355442.84</v>
      </c>
      <c r="G36" s="11">
        <v>152.61108979022259</v>
      </c>
      <c r="H36" s="12">
        <v>191085</v>
      </c>
      <c r="I36" s="13">
        <v>100564602.72</v>
      </c>
      <c r="J36" s="13">
        <v>526.28203532459372</v>
      </c>
      <c r="K36" s="12">
        <v>925931</v>
      </c>
      <c r="L36" s="11">
        <v>193550610.11000001</v>
      </c>
      <c r="M36" s="11">
        <v>209.0335134151465</v>
      </c>
    </row>
    <row r="37" spans="2:13" x14ac:dyDescent="0.25">
      <c r="B37" s="4" t="s">
        <v>5</v>
      </c>
      <c r="C37" s="10">
        <v>218639</v>
      </c>
      <c r="D37" s="10"/>
      <c r="E37" s="10"/>
      <c r="F37" s="11">
        <v>33373467.48</v>
      </c>
      <c r="G37" s="11">
        <v>152.64187761561294</v>
      </c>
      <c r="H37" s="12">
        <v>194355</v>
      </c>
      <c r="I37" s="13">
        <v>95087408.450000003</v>
      </c>
      <c r="J37" s="13">
        <v>489.24601090787479</v>
      </c>
      <c r="K37" s="12">
        <v>925538</v>
      </c>
      <c r="L37" s="11">
        <v>188418069.88</v>
      </c>
      <c r="M37" s="11">
        <v>203.57680600904555</v>
      </c>
    </row>
    <row r="38" spans="2:13" x14ac:dyDescent="0.25">
      <c r="B38" s="4" t="s">
        <v>6</v>
      </c>
      <c r="C38" s="10">
        <v>220250</v>
      </c>
      <c r="D38" s="10"/>
      <c r="E38" s="10"/>
      <c r="F38" s="11">
        <v>33998122.649999999</v>
      </c>
      <c r="G38" s="11">
        <v>154.36151032917138</v>
      </c>
      <c r="H38" s="12">
        <v>191479</v>
      </c>
      <c r="I38" s="13">
        <v>98273120.729999989</v>
      </c>
      <c r="J38" s="13">
        <v>513.23184646880327</v>
      </c>
      <c r="K38" s="12">
        <v>925401</v>
      </c>
      <c r="L38" s="11">
        <v>192469432.81</v>
      </c>
      <c r="M38" s="11">
        <v>207.98489823330644</v>
      </c>
    </row>
    <row r="39" spans="2:13" x14ac:dyDescent="0.25">
      <c r="B39" s="4" t="s">
        <v>7</v>
      </c>
      <c r="C39" s="10">
        <v>222223</v>
      </c>
      <c r="D39" s="10"/>
      <c r="E39" s="10"/>
      <c r="F39" s="11">
        <v>34234827.969999999</v>
      </c>
      <c r="G39" s="11">
        <v>154.05618666834667</v>
      </c>
      <c r="H39" s="12">
        <v>191382</v>
      </c>
      <c r="I39" s="13">
        <v>96950995</v>
      </c>
      <c r="J39" s="13">
        <v>506.58366513047201</v>
      </c>
      <c r="K39" s="12">
        <v>921199</v>
      </c>
      <c r="L39" s="11">
        <v>189352540.00999999</v>
      </c>
      <c r="M39" s="11">
        <v>205.55009287895447</v>
      </c>
    </row>
    <row r="40" spans="2:13" x14ac:dyDescent="0.25">
      <c r="B40" s="4" t="s">
        <v>8</v>
      </c>
      <c r="C40" s="10">
        <v>222704</v>
      </c>
      <c r="D40" s="10"/>
      <c r="E40" s="10"/>
      <c r="F40" s="11">
        <v>34046084.07</v>
      </c>
      <c r="G40" s="11">
        <v>152.87594326999067</v>
      </c>
      <c r="H40" s="12">
        <v>194686</v>
      </c>
      <c r="I40" s="13">
        <v>98132076.399999991</v>
      </c>
      <c r="J40" s="13">
        <v>504.05307212639838</v>
      </c>
      <c r="K40" s="12">
        <v>921721</v>
      </c>
      <c r="L40" s="11">
        <v>189413642.79000002</v>
      </c>
      <c r="M40" s="11">
        <v>205.49997536130783</v>
      </c>
    </row>
    <row r="41" spans="2:13" x14ac:dyDescent="0.25">
      <c r="B41" s="4" t="s">
        <v>9</v>
      </c>
      <c r="C41" s="10">
        <v>222462</v>
      </c>
      <c r="D41" s="10"/>
      <c r="E41" s="10"/>
      <c r="F41" s="11">
        <v>33952718.170000002</v>
      </c>
      <c r="G41" s="11">
        <v>152.62255203135817</v>
      </c>
      <c r="H41" s="12">
        <v>194925</v>
      </c>
      <c r="I41" s="13">
        <v>95831086.760000005</v>
      </c>
      <c r="J41" s="13">
        <v>491.63055924073365</v>
      </c>
      <c r="K41" s="12">
        <v>918303</v>
      </c>
      <c r="L41" s="11">
        <v>184876512.00999999</v>
      </c>
      <c r="M41" s="11">
        <v>201.32408585183757</v>
      </c>
    </row>
    <row r="42" spans="2:13" x14ac:dyDescent="0.25">
      <c r="B42" s="4" t="s">
        <v>10</v>
      </c>
      <c r="C42" s="10">
        <v>220832</v>
      </c>
      <c r="D42" s="10"/>
      <c r="E42" s="10"/>
      <c r="F42" s="11">
        <v>35616943.200000003</v>
      </c>
      <c r="G42" s="11">
        <v>161.28524489204463</v>
      </c>
      <c r="H42" s="12">
        <v>195757</v>
      </c>
      <c r="I42" s="13">
        <v>101692323.17</v>
      </c>
      <c r="J42" s="13">
        <v>519.48243572388219</v>
      </c>
      <c r="K42" s="12">
        <v>919423</v>
      </c>
      <c r="L42" s="11">
        <v>190584438.42000002</v>
      </c>
      <c r="M42" s="11">
        <v>207.28700328358113</v>
      </c>
    </row>
    <row r="43" spans="2:13" x14ac:dyDescent="0.25">
      <c r="B43" s="4" t="s">
        <v>11</v>
      </c>
      <c r="C43" s="10">
        <v>220281</v>
      </c>
      <c r="D43" s="10"/>
      <c r="E43" s="10"/>
      <c r="F43" s="11">
        <v>37618395.539999999</v>
      </c>
      <c r="G43" s="11">
        <v>170.77458128481348</v>
      </c>
      <c r="H43" s="12">
        <v>195506</v>
      </c>
      <c r="I43" s="13">
        <v>101835854.58000001</v>
      </c>
      <c r="J43" s="13">
        <v>520.88352572299573</v>
      </c>
      <c r="K43" s="12">
        <v>917870</v>
      </c>
      <c r="L43" s="11">
        <v>191554179.37</v>
      </c>
      <c r="M43" s="11">
        <v>208.69423705971434</v>
      </c>
    </row>
    <row r="44" spans="2:13" x14ac:dyDescent="0.25">
      <c r="B44" s="4" t="s">
        <v>12</v>
      </c>
      <c r="C44" s="10">
        <v>220198</v>
      </c>
      <c r="D44" s="10"/>
      <c r="E44" s="10"/>
      <c r="F44" s="11">
        <v>35659749.549999997</v>
      </c>
      <c r="G44" s="11">
        <v>161.94402106286159</v>
      </c>
      <c r="H44" s="12">
        <v>194756</v>
      </c>
      <c r="I44" s="13">
        <v>99018346.650000006</v>
      </c>
      <c r="J44" s="13">
        <v>508.42257311713121</v>
      </c>
      <c r="K44" s="12">
        <v>910814</v>
      </c>
      <c r="L44" s="11">
        <v>192959735.88999999</v>
      </c>
      <c r="M44" s="11">
        <v>211.85416110204716</v>
      </c>
    </row>
    <row r="45" spans="2:13" x14ac:dyDescent="0.25">
      <c r="B45" s="4" t="s">
        <v>13</v>
      </c>
      <c r="C45" s="10">
        <v>219897</v>
      </c>
      <c r="D45" s="10"/>
      <c r="E45" s="10"/>
      <c r="F45" s="11">
        <v>35878564.68</v>
      </c>
      <c r="G45" s="11">
        <v>163.16077381683243</v>
      </c>
      <c r="H45" s="12">
        <v>193835</v>
      </c>
      <c r="I45" s="13">
        <v>100804870.89999999</v>
      </c>
      <c r="J45" s="13">
        <v>520.0550514612944</v>
      </c>
      <c r="K45" s="12">
        <v>912197</v>
      </c>
      <c r="L45" s="11">
        <v>193611782.84999999</v>
      </c>
      <c r="M45" s="11">
        <v>212.24777416501041</v>
      </c>
    </row>
    <row r="46" spans="2:13" x14ac:dyDescent="0.25">
      <c r="B46" s="4" t="s">
        <v>14</v>
      </c>
      <c r="C46" s="10">
        <v>219774</v>
      </c>
      <c r="D46" s="10"/>
      <c r="E46" s="10"/>
      <c r="F46" s="11">
        <v>35699493.889999993</v>
      </c>
      <c r="G46" s="11">
        <v>162.43729417492511</v>
      </c>
      <c r="H46" s="12">
        <v>193505</v>
      </c>
      <c r="I46" s="13">
        <v>96009874.830000013</v>
      </c>
      <c r="J46" s="13">
        <v>496.16224299113725</v>
      </c>
      <c r="K46" s="12">
        <v>917586</v>
      </c>
      <c r="L46" s="11">
        <v>188525688.44999999</v>
      </c>
      <c r="M46" s="11">
        <v>205.45833137166434</v>
      </c>
    </row>
    <row r="47" spans="2:13" x14ac:dyDescent="0.25">
      <c r="B47" s="4" t="s">
        <v>15</v>
      </c>
      <c r="C47" s="10">
        <v>219174</v>
      </c>
      <c r="D47" s="10"/>
      <c r="E47" s="10"/>
      <c r="F47" s="11">
        <v>35593099.479999997</v>
      </c>
      <c r="G47" s="11">
        <v>162.39654101307636</v>
      </c>
      <c r="H47" s="12">
        <v>195870</v>
      </c>
      <c r="I47" s="13">
        <v>101975255.84999999</v>
      </c>
      <c r="J47" s="13">
        <v>520.62723158217182</v>
      </c>
      <c r="K47" s="12">
        <v>918309</v>
      </c>
      <c r="L47" s="11">
        <v>194471187.11000001</v>
      </c>
      <c r="M47" s="11">
        <v>211.77096936869836</v>
      </c>
    </row>
    <row r="48" spans="2:13" x14ac:dyDescent="0.25">
      <c r="B48" s="4" t="s">
        <v>16</v>
      </c>
      <c r="C48" s="10">
        <v>213818</v>
      </c>
      <c r="D48" s="10"/>
      <c r="E48" s="10"/>
      <c r="F48" s="11">
        <v>35375500.110000007</v>
      </c>
      <c r="G48" s="11">
        <v>165.44678235695781</v>
      </c>
      <c r="H48" s="12">
        <v>202968</v>
      </c>
      <c r="I48" s="13">
        <v>101122400.22999999</v>
      </c>
      <c r="J48" s="13">
        <v>498.21843950770557</v>
      </c>
      <c r="K48" s="12">
        <v>929251</v>
      </c>
      <c r="L48" s="11">
        <v>191372028.68000001</v>
      </c>
      <c r="M48" s="11">
        <v>205.94223592979722</v>
      </c>
    </row>
    <row r="49" spans="2:13" x14ac:dyDescent="0.25">
      <c r="B49" s="4" t="s">
        <v>17</v>
      </c>
      <c r="C49" s="10">
        <v>214800</v>
      </c>
      <c r="D49" s="10"/>
      <c r="E49" s="10"/>
      <c r="F49" s="11">
        <v>35000478.409999996</v>
      </c>
      <c r="G49" s="11">
        <v>162.94449911545621</v>
      </c>
      <c r="H49" s="12">
        <v>203063</v>
      </c>
      <c r="I49" s="13">
        <v>98758921.200000003</v>
      </c>
      <c r="J49" s="13">
        <v>486.34621373662361</v>
      </c>
      <c r="K49" s="12">
        <v>949459</v>
      </c>
      <c r="L49" s="11">
        <v>190486563.60999998</v>
      </c>
      <c r="M49" s="11">
        <v>200.62642368970117</v>
      </c>
    </row>
    <row r="50" spans="2:13" x14ac:dyDescent="0.25">
      <c r="B50" s="4" t="s">
        <v>18</v>
      </c>
      <c r="C50" s="10">
        <v>213528</v>
      </c>
      <c r="D50" s="10"/>
      <c r="E50" s="10"/>
      <c r="F50" s="11">
        <v>35017139.409999996</v>
      </c>
      <c r="G50" s="11">
        <v>163.99319719193733</v>
      </c>
      <c r="H50" s="12">
        <v>210980</v>
      </c>
      <c r="I50" s="13">
        <v>104299948.89999999</v>
      </c>
      <c r="J50" s="13">
        <v>494.35941274054409</v>
      </c>
      <c r="K50" s="12">
        <v>979944</v>
      </c>
      <c r="L50" s="11">
        <v>199711624.26000002</v>
      </c>
      <c r="M50" s="11">
        <v>203.79901735201196</v>
      </c>
    </row>
    <row r="51" spans="2:13" x14ac:dyDescent="0.25">
      <c r="B51" s="4" t="s">
        <v>19</v>
      </c>
      <c r="C51" s="10">
        <v>213327</v>
      </c>
      <c r="D51" s="10"/>
      <c r="E51" s="10"/>
      <c r="F51" s="11">
        <v>34962969.920000002</v>
      </c>
      <c r="G51" s="11">
        <v>163.89378709680443</v>
      </c>
      <c r="H51" s="12">
        <v>216556</v>
      </c>
      <c r="I51" s="13">
        <v>107419880.54000001</v>
      </c>
      <c r="J51" s="13">
        <v>496.03742468460814</v>
      </c>
      <c r="K51" s="12">
        <v>1003549</v>
      </c>
      <c r="L51" s="11">
        <v>205501394.90000001</v>
      </c>
      <c r="M51" s="11">
        <v>204.7746496683271</v>
      </c>
    </row>
    <row r="52" spans="2:13" x14ac:dyDescent="0.25">
      <c r="B52" s="4" t="s">
        <v>20</v>
      </c>
      <c r="C52" s="10">
        <v>207194</v>
      </c>
      <c r="D52" s="10"/>
      <c r="E52" s="10"/>
      <c r="F52" s="11">
        <v>34439286.949999996</v>
      </c>
      <c r="G52" s="11">
        <v>166.21758810583316</v>
      </c>
      <c r="H52" s="12">
        <v>216105</v>
      </c>
      <c r="I52" s="13">
        <v>110963489.19</v>
      </c>
      <c r="J52" s="13">
        <v>513.47025376553063</v>
      </c>
      <c r="K52" s="12">
        <v>1023779</v>
      </c>
      <c r="L52" s="11">
        <v>213209696.27000001</v>
      </c>
      <c r="M52" s="11">
        <v>208.25754022108288</v>
      </c>
    </row>
    <row r="53" spans="2:13" x14ac:dyDescent="0.25">
      <c r="B53" s="4" t="s">
        <v>21</v>
      </c>
      <c r="C53" s="10">
        <v>201469</v>
      </c>
      <c r="D53" s="10"/>
      <c r="E53" s="10"/>
      <c r="F53" s="11">
        <v>33322245.759999998</v>
      </c>
      <c r="G53" s="11">
        <v>165.39639229856701</v>
      </c>
      <c r="H53" s="12">
        <v>219027</v>
      </c>
      <c r="I53" s="13">
        <v>111584349.92</v>
      </c>
      <c r="J53" s="13">
        <v>509.4547700511809</v>
      </c>
      <c r="K53" s="12">
        <v>1040288</v>
      </c>
      <c r="L53" s="11">
        <v>213439752.98999998</v>
      </c>
      <c r="M53" s="11">
        <v>205.17371438486262</v>
      </c>
    </row>
    <row r="54" spans="2:13" x14ac:dyDescent="0.25">
      <c r="B54" s="4" t="s">
        <v>22</v>
      </c>
      <c r="C54" s="10">
        <v>193166</v>
      </c>
      <c r="D54" s="10"/>
      <c r="E54" s="10"/>
      <c r="F54" s="11">
        <v>31500543.27</v>
      </c>
      <c r="G54" s="11">
        <v>163.07498871437002</v>
      </c>
      <c r="H54" s="12">
        <v>222480</v>
      </c>
      <c r="I54" s="13">
        <v>113996849.37</v>
      </c>
      <c r="J54" s="13">
        <v>512.39144808522121</v>
      </c>
      <c r="K54" s="12">
        <v>1058091</v>
      </c>
      <c r="L54" s="11">
        <v>215524429.94</v>
      </c>
      <c r="M54" s="11">
        <v>203.69177125596948</v>
      </c>
    </row>
    <row r="55" spans="2:13" x14ac:dyDescent="0.25">
      <c r="B55" s="4" t="s">
        <v>23</v>
      </c>
      <c r="C55" s="10">
        <v>184993</v>
      </c>
      <c r="D55" s="10"/>
      <c r="E55" s="10"/>
      <c r="F55" s="11">
        <v>30261889.27</v>
      </c>
      <c r="G55" s="11">
        <v>163.58396950154869</v>
      </c>
      <c r="H55" s="12">
        <v>226110</v>
      </c>
      <c r="I55" s="13">
        <v>115642042.65000001</v>
      </c>
      <c r="J55" s="13">
        <v>511.44152248905402</v>
      </c>
      <c r="K55" s="12">
        <v>1069181</v>
      </c>
      <c r="L55" s="11">
        <v>220753869.87</v>
      </c>
      <c r="M55" s="11">
        <v>206.47006434831894</v>
      </c>
    </row>
    <row r="56" spans="2:13" x14ac:dyDescent="0.25">
      <c r="B56" s="4" t="s">
        <v>24</v>
      </c>
      <c r="C56" s="10">
        <v>179639</v>
      </c>
      <c r="D56" s="10"/>
      <c r="E56" s="10"/>
      <c r="F56" s="11">
        <v>29462858.789999999</v>
      </c>
      <c r="G56" s="11">
        <v>164.01148297418712</v>
      </c>
      <c r="H56" s="12">
        <v>227936</v>
      </c>
      <c r="I56" s="13">
        <v>115554849.27</v>
      </c>
      <c r="J56" s="13">
        <v>506.96181941422151</v>
      </c>
      <c r="K56" s="12">
        <v>1073175</v>
      </c>
      <c r="L56" s="11">
        <v>223751211.93000001</v>
      </c>
      <c r="M56" s="11">
        <v>208.49461824026838</v>
      </c>
    </row>
    <row r="57" spans="2:13" x14ac:dyDescent="0.25">
      <c r="B57" s="4" t="s">
        <v>25</v>
      </c>
      <c r="C57" s="10">
        <v>172382</v>
      </c>
      <c r="D57" s="10"/>
      <c r="E57" s="10"/>
      <c r="F57" s="11">
        <v>28559260.289999999</v>
      </c>
      <c r="G57" s="11">
        <v>165.67426001554685</v>
      </c>
      <c r="H57" s="12">
        <v>228087</v>
      </c>
      <c r="I57" s="13">
        <v>116060884.35000001</v>
      </c>
      <c r="J57" s="13">
        <v>508.84480198345375</v>
      </c>
      <c r="K57" s="12">
        <v>1075969</v>
      </c>
      <c r="L57" s="11">
        <v>221701278.85000002</v>
      </c>
      <c r="M57" s="11">
        <v>206.04801704324197</v>
      </c>
    </row>
    <row r="58" spans="2:13" x14ac:dyDescent="0.25">
      <c r="B58" s="4" t="s">
        <v>26</v>
      </c>
      <c r="C58" s="10">
        <v>167833</v>
      </c>
      <c r="D58" s="10"/>
      <c r="E58" s="10"/>
      <c r="F58" s="11">
        <v>27252822.199999999</v>
      </c>
      <c r="G58" s="11">
        <v>162.3805938045557</v>
      </c>
      <c r="H58" s="12">
        <v>227677</v>
      </c>
      <c r="I58" s="13">
        <v>112408361.53</v>
      </c>
      <c r="J58" s="13">
        <v>493.71856415008983</v>
      </c>
      <c r="K58" s="12">
        <v>1077500</v>
      </c>
      <c r="L58" s="11">
        <v>219699589.34</v>
      </c>
      <c r="M58" s="11">
        <v>203.89753070997679</v>
      </c>
    </row>
    <row r="59" spans="2:13" x14ac:dyDescent="0.25">
      <c r="B59" s="4" t="s">
        <v>27</v>
      </c>
      <c r="C59" s="10">
        <v>159979</v>
      </c>
      <c r="D59" s="10"/>
      <c r="E59" s="10"/>
      <c r="F59" s="11">
        <v>26493917.379999999</v>
      </c>
      <c r="G59" s="11">
        <v>165.60871976946973</v>
      </c>
      <c r="H59" s="12">
        <v>229538</v>
      </c>
      <c r="I59" s="13">
        <v>117684798.84</v>
      </c>
      <c r="J59" s="13">
        <v>512.70290252594339</v>
      </c>
      <c r="K59" s="12">
        <v>1085660</v>
      </c>
      <c r="L59" s="11">
        <v>220818379.56999999</v>
      </c>
      <c r="M59" s="11">
        <v>203.39551937991635</v>
      </c>
    </row>
    <row r="60" spans="2:13" x14ac:dyDescent="0.25">
      <c r="B60" s="4" t="s">
        <v>28</v>
      </c>
      <c r="C60" s="10">
        <v>152938</v>
      </c>
      <c r="D60" s="10"/>
      <c r="E60" s="10"/>
      <c r="F60" s="11">
        <v>25129363.32</v>
      </c>
      <c r="G60" s="11">
        <v>164.31078816252338</v>
      </c>
      <c r="H60" s="12">
        <v>230303</v>
      </c>
      <c r="I60" s="13">
        <v>114455641.75999999</v>
      </c>
      <c r="J60" s="13">
        <v>496.97850987611969</v>
      </c>
      <c r="K60" s="12">
        <v>1090561</v>
      </c>
      <c r="L60" s="11">
        <v>212868040.55000001</v>
      </c>
      <c r="M60" s="11">
        <v>195.19131946768684</v>
      </c>
    </row>
    <row r="61" spans="2:13" x14ac:dyDescent="0.25">
      <c r="B61" s="4" t="s">
        <v>29</v>
      </c>
      <c r="C61" s="10">
        <v>145710</v>
      </c>
      <c r="D61" s="10"/>
      <c r="E61" s="10"/>
      <c r="F61" s="11">
        <v>24193433.18</v>
      </c>
      <c r="G61" s="11">
        <v>166.03824843867957</v>
      </c>
      <c r="H61" s="12">
        <v>229783</v>
      </c>
      <c r="I61" s="13">
        <v>109767648.84999999</v>
      </c>
      <c r="J61" s="13">
        <v>477.70134801094946</v>
      </c>
      <c r="K61" s="12">
        <v>1095130</v>
      </c>
      <c r="L61" s="11">
        <v>213036720.23999998</v>
      </c>
      <c r="M61" s="11">
        <v>194.53098740788764</v>
      </c>
    </row>
    <row r="62" spans="2:13" x14ac:dyDescent="0.25">
      <c r="B62" s="4" t="s">
        <v>30</v>
      </c>
      <c r="C62" s="10">
        <v>138085</v>
      </c>
      <c r="D62" s="10"/>
      <c r="E62" s="10"/>
      <c r="F62" s="11">
        <v>22897738.810000002</v>
      </c>
      <c r="G62" s="11">
        <v>165.82350588405694</v>
      </c>
      <c r="H62" s="12">
        <v>231273</v>
      </c>
      <c r="I62" s="13">
        <v>112241454.84</v>
      </c>
      <c r="J62" s="13">
        <v>485.32018367902867</v>
      </c>
      <c r="K62" s="12">
        <v>1108179</v>
      </c>
      <c r="L62" s="11">
        <v>215215499.91</v>
      </c>
      <c r="M62" s="11">
        <v>194.20644129693849</v>
      </c>
    </row>
    <row r="63" spans="2:13" x14ac:dyDescent="0.25">
      <c r="B63" s="4" t="s">
        <v>31</v>
      </c>
      <c r="C63" s="10">
        <v>134408</v>
      </c>
      <c r="D63" s="10"/>
      <c r="E63" s="10"/>
      <c r="F63" s="11">
        <v>21898989.82</v>
      </c>
      <c r="G63" s="11">
        <v>162.92921418367953</v>
      </c>
      <c r="H63" s="12">
        <v>231940</v>
      </c>
      <c r="I63" s="13">
        <v>111557974.63</v>
      </c>
      <c r="J63" s="13">
        <v>480.97772971458136</v>
      </c>
      <c r="K63" s="12">
        <v>1112990</v>
      </c>
      <c r="L63" s="11">
        <v>210299816.44999999</v>
      </c>
      <c r="M63" s="11">
        <v>188.95031981419419</v>
      </c>
    </row>
    <row r="64" spans="2:13" x14ac:dyDescent="0.25">
      <c r="B64" s="4" t="s">
        <v>32</v>
      </c>
      <c r="C64" s="10">
        <v>134152</v>
      </c>
      <c r="D64" s="10"/>
      <c r="E64" s="10"/>
      <c r="F64" s="11">
        <v>21459162.329999998</v>
      </c>
      <c r="G64" s="11">
        <v>159.96155353628717</v>
      </c>
      <c r="H64" s="12">
        <v>231409</v>
      </c>
      <c r="I64" s="13">
        <v>111027525.02</v>
      </c>
      <c r="J64" s="13">
        <v>479.78913966181091</v>
      </c>
      <c r="K64" s="12">
        <v>1115950</v>
      </c>
      <c r="L64" s="11">
        <v>211237398.94999999</v>
      </c>
      <c r="M64" s="11">
        <v>189.28930413548994</v>
      </c>
    </row>
    <row r="65" spans="2:13" x14ac:dyDescent="0.25">
      <c r="B65" s="4" t="s">
        <v>33</v>
      </c>
      <c r="C65" s="10">
        <v>131466</v>
      </c>
      <c r="D65" s="10"/>
      <c r="E65" s="10"/>
      <c r="F65" s="11">
        <v>21249549.059999999</v>
      </c>
      <c r="G65" s="11">
        <v>161.6353206152161</v>
      </c>
      <c r="H65" s="12">
        <v>233288</v>
      </c>
      <c r="I65" s="13">
        <v>111452946.64</v>
      </c>
      <c r="J65" s="13">
        <v>477.74830527073834</v>
      </c>
      <c r="K65" s="12">
        <v>1121005</v>
      </c>
      <c r="L65" s="11">
        <v>210471853.64000002</v>
      </c>
      <c r="M65" s="11">
        <v>187.75282326127004</v>
      </c>
    </row>
    <row r="66" spans="2:13" x14ac:dyDescent="0.25">
      <c r="B66" s="4" t="s">
        <v>34</v>
      </c>
      <c r="C66" s="10">
        <v>131341</v>
      </c>
      <c r="D66" s="10"/>
      <c r="E66" s="10"/>
      <c r="F66" s="11">
        <v>21264258.520000003</v>
      </c>
      <c r="G66" s="11">
        <v>161.90114678584754</v>
      </c>
      <c r="H66" s="12">
        <v>234793</v>
      </c>
      <c r="I66" s="13">
        <v>112749904.48</v>
      </c>
      <c r="J66" s="13">
        <v>480.20982090607475</v>
      </c>
      <c r="K66" s="12">
        <v>1124620</v>
      </c>
      <c r="L66" s="11">
        <v>210738465.44</v>
      </c>
      <c r="M66" s="11">
        <v>187.38637534456083</v>
      </c>
    </row>
    <row r="67" spans="2:13" ht="15.75" thickBot="1" x14ac:dyDescent="0.3">
      <c r="B67" s="4" t="s">
        <v>35</v>
      </c>
      <c r="C67" s="10">
        <v>130943</v>
      </c>
      <c r="F67" s="11">
        <v>21134937.77</v>
      </c>
      <c r="G67" s="11">
        <v>161.40563275623745</v>
      </c>
      <c r="H67" s="12">
        <v>236360</v>
      </c>
      <c r="I67" s="13">
        <v>111405580.89</v>
      </c>
      <c r="J67" s="13">
        <v>471.3385551277712</v>
      </c>
      <c r="K67" s="12">
        <v>1130306</v>
      </c>
      <c r="L67" s="11">
        <v>210261221.46000001</v>
      </c>
      <c r="M67" s="11">
        <v>186.02150343358349</v>
      </c>
    </row>
    <row r="68" spans="2:13" ht="15.75" thickBot="1" x14ac:dyDescent="0.3">
      <c r="B68" s="20" t="s">
        <v>63</v>
      </c>
      <c r="C68" s="21">
        <v>130484</v>
      </c>
      <c r="D68" s="22">
        <v>933530.44</v>
      </c>
      <c r="E68" s="22">
        <v>20943760.809999999</v>
      </c>
      <c r="F68" s="24">
        <f>SUM(D68:E68)</f>
        <v>21877291.25</v>
      </c>
      <c r="G68" s="11">
        <f>F68/C68</f>
        <v>167.66263488243769</v>
      </c>
      <c r="H68" s="21">
        <v>238075</v>
      </c>
      <c r="I68" s="22">
        <v>110018289.66</v>
      </c>
      <c r="J68" s="22">
        <v>462.1160964401974</v>
      </c>
      <c r="K68" s="23">
        <v>1131166</v>
      </c>
      <c r="L68" s="9">
        <v>232193163.78</v>
      </c>
      <c r="M68" s="9">
        <v>205.26886750485781</v>
      </c>
    </row>
    <row r="69" spans="2:13" ht="15.75" thickBot="1" x14ac:dyDescent="0.3">
      <c r="B69" s="20" t="s">
        <v>64</v>
      </c>
      <c r="C69" s="21">
        <v>129249</v>
      </c>
      <c r="D69" s="22">
        <v>850398.57</v>
      </c>
      <c r="E69" s="22">
        <v>20768788.559999999</v>
      </c>
      <c r="F69" s="24">
        <f t="shared" ref="F69:F77" si="0">SUM(D69:E69)</f>
        <v>21619187.129999999</v>
      </c>
      <c r="G69" s="11">
        <f t="shared" ref="G69:G77" si="1">F69/C69</f>
        <v>167.2677322841956</v>
      </c>
      <c r="H69" s="21">
        <v>238569</v>
      </c>
      <c r="I69" s="22">
        <v>110756497.63</v>
      </c>
      <c r="J69" s="22">
        <v>464.25351839509739</v>
      </c>
      <c r="K69" s="23">
        <v>1127059</v>
      </c>
      <c r="L69" s="9">
        <v>231266393.33999997</v>
      </c>
      <c r="M69" s="9">
        <v>205.19457574093281</v>
      </c>
    </row>
    <row r="70" spans="2:13" ht="15.75" thickBot="1" x14ac:dyDescent="0.3">
      <c r="B70" s="20" t="s">
        <v>65</v>
      </c>
      <c r="C70" s="21">
        <v>128351</v>
      </c>
      <c r="D70" s="22">
        <v>854832.93</v>
      </c>
      <c r="E70" s="22">
        <v>20622405.43</v>
      </c>
      <c r="F70" s="24">
        <f t="shared" si="0"/>
        <v>21477238.359999999</v>
      </c>
      <c r="G70" s="11">
        <f t="shared" si="1"/>
        <v>167.33206878014195</v>
      </c>
      <c r="H70" s="21">
        <v>237343</v>
      </c>
      <c r="I70" s="22">
        <v>109669063.7</v>
      </c>
      <c r="J70" s="22">
        <v>462.06993128088885</v>
      </c>
      <c r="K70" s="23">
        <v>1129349</v>
      </c>
      <c r="L70" s="9">
        <v>232652509.29000002</v>
      </c>
      <c r="M70" s="9">
        <v>206.00585761354552</v>
      </c>
    </row>
    <row r="71" spans="2:13" ht="15.75" thickBot="1" x14ac:dyDescent="0.3">
      <c r="B71" s="20" t="s">
        <v>66</v>
      </c>
      <c r="C71" s="21">
        <v>125484</v>
      </c>
      <c r="D71" s="22">
        <v>799632.7</v>
      </c>
      <c r="E71" s="22">
        <v>20198554.899999999</v>
      </c>
      <c r="F71" s="24">
        <f t="shared" si="0"/>
        <v>20998187.599999998</v>
      </c>
      <c r="G71" s="11">
        <f t="shared" si="1"/>
        <v>167.33756973000541</v>
      </c>
      <c r="H71" s="21">
        <v>236948</v>
      </c>
      <c r="I71" s="22">
        <v>111916569.58000001</v>
      </c>
      <c r="J71" s="22">
        <v>472.32544516096362</v>
      </c>
      <c r="K71" s="23">
        <v>1132040</v>
      </c>
      <c r="L71" s="9">
        <v>234366629.35999998</v>
      </c>
      <c r="M71" s="9">
        <v>207.03034288541039</v>
      </c>
    </row>
    <row r="72" spans="2:13" ht="15.75" thickBot="1" x14ac:dyDescent="0.3">
      <c r="B72" s="20" t="s">
        <v>67</v>
      </c>
      <c r="C72" s="21">
        <v>125192</v>
      </c>
      <c r="D72" s="22">
        <v>771609.08</v>
      </c>
      <c r="E72" s="22">
        <v>20040132.379999999</v>
      </c>
      <c r="F72" s="24">
        <f t="shared" si="0"/>
        <v>20811741.459999997</v>
      </c>
      <c r="G72" s="11">
        <f t="shared" si="1"/>
        <v>166.23858920697805</v>
      </c>
      <c r="H72" s="21">
        <v>237352</v>
      </c>
      <c r="I72" s="22">
        <v>109695222.66</v>
      </c>
      <c r="J72" s="22">
        <v>462.16262201287537</v>
      </c>
      <c r="K72" s="23">
        <v>1134934</v>
      </c>
      <c r="L72" s="9">
        <v>230672719.19</v>
      </c>
      <c r="M72" s="9">
        <v>203.2476947470073</v>
      </c>
    </row>
    <row r="73" spans="2:13" ht="15.75" thickBot="1" x14ac:dyDescent="0.3">
      <c r="B73" s="20" t="s">
        <v>68</v>
      </c>
      <c r="C73" s="21">
        <v>124032</v>
      </c>
      <c r="D73" s="22">
        <v>969093.18</v>
      </c>
      <c r="E73" s="22">
        <v>19570665.789999999</v>
      </c>
      <c r="F73" s="24">
        <f t="shared" si="0"/>
        <v>20539758.969999999</v>
      </c>
      <c r="G73" s="11">
        <f t="shared" si="1"/>
        <v>165.60048189176985</v>
      </c>
      <c r="H73" s="21">
        <v>235695</v>
      </c>
      <c r="I73" s="22">
        <v>107283005.67</v>
      </c>
      <c r="J73" s="22">
        <v>455.17726583084072</v>
      </c>
      <c r="K73" s="23">
        <v>1134060</v>
      </c>
      <c r="L73" s="9">
        <v>230725498.76000002</v>
      </c>
      <c r="M73" s="9">
        <v>203.45087452163025</v>
      </c>
    </row>
    <row r="74" spans="2:13" ht="15.75" thickBot="1" x14ac:dyDescent="0.3">
      <c r="B74" s="20" t="s">
        <v>69</v>
      </c>
      <c r="C74" s="21">
        <v>124840</v>
      </c>
      <c r="D74" s="22">
        <v>1174600.56</v>
      </c>
      <c r="E74" s="22">
        <v>19545900.43</v>
      </c>
      <c r="F74" s="24">
        <f t="shared" si="0"/>
        <v>20720500.989999998</v>
      </c>
      <c r="G74" s="11">
        <f t="shared" si="1"/>
        <v>165.97645778596603</v>
      </c>
      <c r="H74" s="21">
        <v>234852</v>
      </c>
      <c r="I74" s="22">
        <v>104667384.13999999</v>
      </c>
      <c r="J74" s="22">
        <v>445.67380367209984</v>
      </c>
      <c r="K74" s="23">
        <v>1135298</v>
      </c>
      <c r="L74" s="9">
        <v>230642771.77000001</v>
      </c>
      <c r="M74" s="9">
        <v>203.15615086963953</v>
      </c>
    </row>
    <row r="75" spans="2:13" ht="15.75" thickBot="1" x14ac:dyDescent="0.3">
      <c r="B75" s="20" t="s">
        <v>70</v>
      </c>
      <c r="C75" s="21">
        <v>126360</v>
      </c>
      <c r="D75" s="22">
        <v>901159.53</v>
      </c>
      <c r="E75" s="22">
        <v>19790532.539999999</v>
      </c>
      <c r="F75" s="24">
        <f t="shared" si="0"/>
        <v>20691692.07</v>
      </c>
      <c r="G75" s="11">
        <f t="shared" si="1"/>
        <v>163.75191571699906</v>
      </c>
      <c r="H75" s="21">
        <v>228969</v>
      </c>
      <c r="I75" s="22">
        <v>94882549.819999993</v>
      </c>
      <c r="J75" s="22">
        <v>414.39037520363013</v>
      </c>
      <c r="K75" s="23">
        <v>1134115</v>
      </c>
      <c r="L75" s="9">
        <v>224982871.99000001</v>
      </c>
      <c r="M75" s="9">
        <v>198.37747670209811</v>
      </c>
    </row>
    <row r="76" spans="2:13" ht="15.75" thickBot="1" x14ac:dyDescent="0.3">
      <c r="B76" s="20" t="s">
        <v>71</v>
      </c>
      <c r="C76" s="21">
        <v>126664</v>
      </c>
      <c r="D76" s="22">
        <v>882672.11</v>
      </c>
      <c r="E76" s="22">
        <v>19818490.460000001</v>
      </c>
      <c r="F76" s="24">
        <f t="shared" si="0"/>
        <v>20701162.57</v>
      </c>
      <c r="G76" s="11">
        <f t="shared" si="1"/>
        <v>163.43367152466368</v>
      </c>
      <c r="H76" s="21">
        <v>224475</v>
      </c>
      <c r="I76" s="22">
        <v>83333423.390000001</v>
      </c>
      <c r="J76" s="22">
        <v>371.23699026617663</v>
      </c>
      <c r="K76" s="23">
        <v>1126939</v>
      </c>
      <c r="L76" s="9">
        <v>219303738.72999999</v>
      </c>
      <c r="M76" s="9">
        <v>194.60125058232964</v>
      </c>
    </row>
    <row r="77" spans="2:13" ht="15.75" thickBot="1" x14ac:dyDescent="0.3">
      <c r="B77" s="20" t="s">
        <v>72</v>
      </c>
      <c r="C77" s="21">
        <v>127072</v>
      </c>
      <c r="D77" s="22">
        <v>376581.13</v>
      </c>
      <c r="E77" s="22">
        <v>19370732.100000001</v>
      </c>
      <c r="F77" s="24">
        <f t="shared" si="0"/>
        <v>19747313.23</v>
      </c>
      <c r="G77" s="11">
        <f t="shared" si="1"/>
        <v>155.4025531194913</v>
      </c>
      <c r="H77" s="21">
        <v>222219</v>
      </c>
      <c r="I77" s="22">
        <v>73646707.11999999</v>
      </c>
      <c r="J77" s="22">
        <v>331.41498755731953</v>
      </c>
      <c r="K77" s="23">
        <v>1115554</v>
      </c>
      <c r="L77" s="9">
        <v>205390630.07999998</v>
      </c>
      <c r="M77" s="9">
        <v>184.11536337998876</v>
      </c>
    </row>
    <row r="80" spans="2:13" x14ac:dyDescent="0.25">
      <c r="C80" t="s">
        <v>129</v>
      </c>
      <c r="G80" s="55">
        <f>SUM(G42:G53)</f>
        <v>1969.8907024101095</v>
      </c>
      <c r="J80" s="55">
        <f>SUM(J42:J53)</f>
        <v>6083.5195750848052</v>
      </c>
      <c r="M80" s="55">
        <f>SUM(M42:M53)</f>
        <v>2485.8860575964986</v>
      </c>
    </row>
    <row r="81" spans="3:13" x14ac:dyDescent="0.25">
      <c r="C81" t="s">
        <v>130</v>
      </c>
      <c r="G81" s="55">
        <f>SUM(G54:G65)</f>
        <v>1965.0326456001208</v>
      </c>
      <c r="J81" s="55">
        <f>SUM(J54:J65)</f>
        <v>5944.5762748612115</v>
      </c>
      <c r="M81" s="55">
        <f>SUM(M54:M65)</f>
        <v>2381.9187163611587</v>
      </c>
    </row>
    <row r="82" spans="3:13" x14ac:dyDescent="0.25">
      <c r="C82" t="s">
        <v>131</v>
      </c>
      <c r="G82" s="55">
        <f>SUM(G66:G77)</f>
        <v>1973.3104544647338</v>
      </c>
      <c r="J82" s="55">
        <f>SUM(J66:J77)</f>
        <v>5292.3694118539361</v>
      </c>
      <c r="M82" s="55">
        <f>SUM(M66:M77)</f>
        <v>2383.8563333255843</v>
      </c>
    </row>
    <row r="84" spans="3:13" x14ac:dyDescent="0.25">
      <c r="C84" t="s">
        <v>132</v>
      </c>
      <c r="G84" s="55">
        <f>SUM(G45:G56)</f>
        <v>1966.5572963604957</v>
      </c>
      <c r="J84" s="55">
        <f>SUM(J45:J56)</f>
        <v>6065.525830509293</v>
      </c>
      <c r="M84" s="55">
        <f>SUM(M45:M56)</f>
        <v>2476.7071099957125</v>
      </c>
    </row>
    <row r="85" spans="3:13" x14ac:dyDescent="0.25">
      <c r="C85" t="s">
        <v>133</v>
      </c>
      <c r="G85" s="55">
        <f>SUM(G57:G68)</f>
        <v>1965.3316188345379</v>
      </c>
      <c r="J85" s="55">
        <f>SUM(J57:J68)</f>
        <v>5827.4459573467593</v>
      </c>
      <c r="M85" s="55">
        <f>SUM(M57:M68)</f>
        <v>2341.9390087996048</v>
      </c>
    </row>
  </sheetData>
  <mergeCells count="3">
    <mergeCell ref="C34:G34"/>
    <mergeCell ref="H34:J34"/>
    <mergeCell ref="K34:M34"/>
  </mergeCells>
  <hyperlinks>
    <hyperlink ref="C11" r:id="rId1" display="mailto:jhudson2@dch.ga.gov" xr:uid="{CFD3A48C-B086-4A51-BB8F-29BE395EA42E}"/>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5C7E-BD4E-4D0A-A890-52B230E44DFD}">
  <dimension ref="A1:AM35"/>
  <sheetViews>
    <sheetView workbookViewId="0">
      <selection activeCell="A24" sqref="A24"/>
    </sheetView>
  </sheetViews>
  <sheetFormatPr defaultRowHeight="15" x14ac:dyDescent="0.25"/>
  <cols>
    <col min="3" max="3" width="13.42578125" customWidth="1"/>
    <col min="4" max="4" width="14.140625" customWidth="1"/>
    <col min="5" max="5" width="12.28515625" customWidth="1"/>
    <col min="6" max="6" width="12" customWidth="1"/>
    <col min="8" max="8" width="12.42578125" customWidth="1"/>
    <col min="9" max="9" width="13.42578125" customWidth="1"/>
    <col min="12" max="12" width="11.5703125" customWidth="1"/>
    <col min="13" max="13" width="11.28515625" customWidth="1"/>
    <col min="14" max="14" width="10.85546875" customWidth="1"/>
    <col min="15" max="15" width="15.140625" customWidth="1"/>
    <col min="16" max="16" width="11.140625" bestFit="1" customWidth="1"/>
    <col min="17" max="17" width="11.42578125" customWidth="1"/>
    <col min="18" max="18" width="11.140625" bestFit="1" customWidth="1"/>
    <col min="19" max="19" width="10.28515625" bestFit="1" customWidth="1"/>
    <col min="20" max="20" width="14.7109375" customWidth="1"/>
    <col min="21" max="21" width="15.42578125" customWidth="1"/>
    <col min="22" max="22" width="15" customWidth="1"/>
    <col min="23" max="23" width="12.140625" customWidth="1"/>
    <col min="24" max="24" width="14.5703125" bestFit="1" customWidth="1"/>
    <col min="25" max="25" width="11.85546875" bestFit="1" customWidth="1"/>
    <col min="26" max="26" width="14.5703125" bestFit="1" customWidth="1"/>
    <col min="27" max="27" width="12.85546875" bestFit="1" customWidth="1"/>
    <col min="28" max="28" width="14.85546875" bestFit="1" customWidth="1"/>
    <col min="29" max="30" width="14.5703125" bestFit="1" customWidth="1"/>
    <col min="31" max="31" width="16.42578125" customWidth="1"/>
    <col min="33" max="33" width="10.140625" bestFit="1" customWidth="1"/>
    <col min="37" max="37" width="10.140625" bestFit="1" customWidth="1"/>
  </cols>
  <sheetData>
    <row r="1" spans="1:39" x14ac:dyDescent="0.25">
      <c r="A1" t="s">
        <v>117</v>
      </c>
    </row>
    <row r="2" spans="1:39" x14ac:dyDescent="0.25">
      <c r="B2" s="8" t="s">
        <v>84</v>
      </c>
      <c r="G2" s="8" t="s">
        <v>86</v>
      </c>
      <c r="L2" s="8" t="s">
        <v>93</v>
      </c>
    </row>
    <row r="3" spans="1:39" ht="15.75" thickBot="1" x14ac:dyDescent="0.3">
      <c r="B3" t="s">
        <v>80</v>
      </c>
      <c r="G3" t="s">
        <v>85</v>
      </c>
      <c r="L3" t="s">
        <v>92</v>
      </c>
    </row>
    <row r="4" spans="1:39" ht="63" customHeight="1" thickBot="1" x14ac:dyDescent="0.3">
      <c r="B4" s="26" t="s">
        <v>73</v>
      </c>
      <c r="C4" s="27" t="s">
        <v>74</v>
      </c>
      <c r="D4" s="28" t="s">
        <v>75</v>
      </c>
      <c r="E4" s="29" t="s">
        <v>76</v>
      </c>
      <c r="F4" s="29" t="s">
        <v>77</v>
      </c>
      <c r="G4" s="26" t="s">
        <v>73</v>
      </c>
      <c r="H4" s="27" t="s">
        <v>74</v>
      </c>
      <c r="I4" s="28" t="s">
        <v>75</v>
      </c>
      <c r="J4" s="29" t="s">
        <v>76</v>
      </c>
      <c r="K4" s="29" t="s">
        <v>77</v>
      </c>
      <c r="L4" s="56" t="s">
        <v>95</v>
      </c>
      <c r="M4" s="57" t="s">
        <v>96</v>
      </c>
      <c r="N4" s="58" t="s">
        <v>91</v>
      </c>
      <c r="O4" s="59" t="s">
        <v>94</v>
      </c>
      <c r="P4" s="56" t="s">
        <v>109</v>
      </c>
      <c r="Q4" s="57" t="s">
        <v>110</v>
      </c>
      <c r="R4" s="58" t="s">
        <v>111</v>
      </c>
      <c r="S4" s="59" t="s">
        <v>112</v>
      </c>
      <c r="T4" s="56" t="s">
        <v>97</v>
      </c>
      <c r="U4" s="57" t="s">
        <v>98</v>
      </c>
      <c r="V4" s="58" t="s">
        <v>99</v>
      </c>
      <c r="W4" s="59" t="s">
        <v>100</v>
      </c>
      <c r="X4" s="56" t="s">
        <v>101</v>
      </c>
      <c r="Y4" s="57" t="s">
        <v>102</v>
      </c>
      <c r="Z4" s="58" t="s">
        <v>103</v>
      </c>
      <c r="AA4" s="59" t="s">
        <v>104</v>
      </c>
      <c r="AB4" s="56" t="s">
        <v>105</v>
      </c>
      <c r="AC4" s="57" t="s">
        <v>106</v>
      </c>
      <c r="AD4" s="58" t="s">
        <v>107</v>
      </c>
      <c r="AE4" s="59" t="s">
        <v>108</v>
      </c>
      <c r="AF4" s="56" t="s">
        <v>109</v>
      </c>
      <c r="AG4" s="57" t="s">
        <v>110</v>
      </c>
      <c r="AH4" s="58" t="s">
        <v>111</v>
      </c>
      <c r="AI4" s="59" t="s">
        <v>112</v>
      </c>
      <c r="AJ4" s="56" t="s">
        <v>109</v>
      </c>
      <c r="AK4" s="57" t="s">
        <v>110</v>
      </c>
      <c r="AL4" s="58" t="s">
        <v>111</v>
      </c>
      <c r="AM4" s="59" t="s">
        <v>112</v>
      </c>
    </row>
    <row r="5" spans="1:39" x14ac:dyDescent="0.25">
      <c r="B5" s="30">
        <v>2000</v>
      </c>
      <c r="C5" s="31">
        <v>947054</v>
      </c>
      <c r="D5" s="32">
        <v>3482779560</v>
      </c>
      <c r="E5" s="32">
        <v>3677</v>
      </c>
      <c r="F5" s="33" t="s">
        <v>78</v>
      </c>
      <c r="G5" s="30">
        <v>2000</v>
      </c>
      <c r="H5" s="48">
        <v>8503</v>
      </c>
      <c r="I5" s="32">
        <v>50730000</v>
      </c>
      <c r="J5" s="32">
        <v>5966</v>
      </c>
      <c r="K5" s="33" t="s">
        <v>87</v>
      </c>
    </row>
    <row r="6" spans="1:39" x14ac:dyDescent="0.25">
      <c r="B6" s="34">
        <v>2001</v>
      </c>
      <c r="C6" s="35">
        <v>996901</v>
      </c>
      <c r="D6" s="36">
        <v>3822786433</v>
      </c>
      <c r="E6" s="36">
        <v>3835</v>
      </c>
      <c r="F6" s="37">
        <v>4.2999999999999997E-2</v>
      </c>
      <c r="G6" s="34">
        <v>2001</v>
      </c>
      <c r="H6" s="49">
        <v>14028</v>
      </c>
      <c r="I6" s="36">
        <v>115931116</v>
      </c>
      <c r="J6" s="36">
        <v>8264</v>
      </c>
      <c r="K6" s="37">
        <v>0.38500000000000001</v>
      </c>
    </row>
    <row r="7" spans="1:39" x14ac:dyDescent="0.25">
      <c r="B7" s="38">
        <v>2002</v>
      </c>
      <c r="C7" s="39">
        <v>1268225</v>
      </c>
      <c r="D7" s="40">
        <v>4461972245</v>
      </c>
      <c r="E7" s="40">
        <v>3518</v>
      </c>
      <c r="F7" s="41">
        <v>-8.3000000000000004E-2</v>
      </c>
      <c r="G7" s="38">
        <v>2002</v>
      </c>
      <c r="H7" s="50">
        <v>154406</v>
      </c>
      <c r="I7" s="40">
        <v>170916516</v>
      </c>
      <c r="J7" s="40">
        <v>1107</v>
      </c>
      <c r="K7" s="41">
        <v>-0.86599999999999999</v>
      </c>
    </row>
    <row r="8" spans="1:39" x14ac:dyDescent="0.25">
      <c r="B8" s="34">
        <v>2003</v>
      </c>
      <c r="C8" s="42">
        <v>1260795</v>
      </c>
      <c r="D8" s="36">
        <v>4885865204</v>
      </c>
      <c r="E8" s="36">
        <v>3875</v>
      </c>
      <c r="F8" s="37">
        <v>0.10100000000000001</v>
      </c>
      <c r="G8" s="34">
        <v>2003</v>
      </c>
      <c r="H8" s="49">
        <v>180953</v>
      </c>
      <c r="I8" s="36">
        <v>212319603</v>
      </c>
      <c r="J8" s="36">
        <v>1173</v>
      </c>
      <c r="K8" s="37">
        <v>0.06</v>
      </c>
    </row>
    <row r="9" spans="1:39" x14ac:dyDescent="0.25">
      <c r="B9" s="38">
        <v>2004</v>
      </c>
      <c r="C9" s="39">
        <v>1326909</v>
      </c>
      <c r="D9" s="40">
        <v>6039465103</v>
      </c>
      <c r="E9" s="40">
        <v>4552</v>
      </c>
      <c r="F9" s="41">
        <v>0.17499999999999999</v>
      </c>
      <c r="G9" s="38">
        <v>2004</v>
      </c>
      <c r="H9" s="50">
        <v>200562</v>
      </c>
      <c r="I9" s="40">
        <v>262676747</v>
      </c>
      <c r="J9" s="40">
        <v>1310</v>
      </c>
      <c r="K9" s="41">
        <v>0.11600000000000001</v>
      </c>
    </row>
    <row r="10" spans="1:39" x14ac:dyDescent="0.25">
      <c r="B10" s="34">
        <v>2005</v>
      </c>
      <c r="C10" s="42">
        <v>1376730</v>
      </c>
      <c r="D10" s="36">
        <v>6311890515</v>
      </c>
      <c r="E10" s="36">
        <v>4585</v>
      </c>
      <c r="F10" s="37">
        <v>7.0000000000000001E-3</v>
      </c>
      <c r="G10" s="34">
        <v>2005</v>
      </c>
      <c r="H10" s="49">
        <v>208185</v>
      </c>
      <c r="I10" s="36">
        <v>273274876</v>
      </c>
      <c r="J10" s="36">
        <v>1313</v>
      </c>
      <c r="K10" s="37">
        <v>2E-3</v>
      </c>
    </row>
    <row r="11" spans="1:39" x14ac:dyDescent="0.25">
      <c r="B11" s="38">
        <v>2006</v>
      </c>
      <c r="C11" s="39">
        <v>1390497</v>
      </c>
      <c r="D11" s="40">
        <v>6280193139</v>
      </c>
      <c r="E11" s="40">
        <v>4517</v>
      </c>
      <c r="F11" s="41">
        <v>-1.4999999999999999E-2</v>
      </c>
      <c r="G11" s="38">
        <v>2006</v>
      </c>
      <c r="H11" s="50">
        <v>238330</v>
      </c>
      <c r="I11" s="40">
        <v>310331108</v>
      </c>
      <c r="J11" s="40">
        <v>1302</v>
      </c>
      <c r="K11" s="41">
        <v>-8.0000000000000002E-3</v>
      </c>
    </row>
    <row r="12" spans="1:39" x14ac:dyDescent="0.25">
      <c r="B12" s="34">
        <v>2007</v>
      </c>
      <c r="C12" s="42">
        <v>1283940</v>
      </c>
      <c r="D12" s="36">
        <v>6155158918</v>
      </c>
      <c r="E12" s="36">
        <v>4794</v>
      </c>
      <c r="F12" s="37">
        <v>6.0999999999999999E-2</v>
      </c>
      <c r="G12" s="34">
        <v>2007</v>
      </c>
      <c r="H12" s="49">
        <v>273659</v>
      </c>
      <c r="I12" s="36">
        <v>432157786</v>
      </c>
      <c r="J12" s="36">
        <v>1579</v>
      </c>
      <c r="K12" s="37">
        <v>0.21299999999999999</v>
      </c>
    </row>
    <row r="13" spans="1:39" x14ac:dyDescent="0.25">
      <c r="B13" s="38">
        <v>2008</v>
      </c>
      <c r="C13" s="39">
        <v>1268661</v>
      </c>
      <c r="D13" s="40">
        <v>6371942440</v>
      </c>
      <c r="E13" s="40">
        <v>5023</v>
      </c>
      <c r="F13" s="41">
        <v>4.8000000000000001E-2</v>
      </c>
      <c r="G13" s="38">
        <v>2008</v>
      </c>
      <c r="H13" s="50">
        <v>249681</v>
      </c>
      <c r="I13" s="40">
        <v>345678006</v>
      </c>
      <c r="J13" s="40">
        <v>1384</v>
      </c>
      <c r="K13" s="41">
        <v>-0.123</v>
      </c>
    </row>
    <row r="14" spans="1:39" x14ac:dyDescent="0.25">
      <c r="B14" s="34">
        <v>2009</v>
      </c>
      <c r="C14" s="42">
        <v>1353191</v>
      </c>
      <c r="D14" s="36">
        <v>6703774787</v>
      </c>
      <c r="E14" s="36">
        <v>4954</v>
      </c>
      <c r="F14" s="37">
        <v>-1.4E-2</v>
      </c>
      <c r="G14" s="34">
        <v>2009</v>
      </c>
      <c r="H14" s="49">
        <v>205548</v>
      </c>
      <c r="I14" s="36">
        <v>304985696</v>
      </c>
      <c r="J14" s="36">
        <v>1484</v>
      </c>
      <c r="K14" s="37">
        <v>7.1999999999999995E-2</v>
      </c>
    </row>
    <row r="15" spans="1:39" x14ac:dyDescent="0.25">
      <c r="B15" s="38">
        <v>2010</v>
      </c>
      <c r="C15" s="39">
        <v>1447865</v>
      </c>
      <c r="D15" s="40">
        <v>6954116861</v>
      </c>
      <c r="E15" s="40">
        <v>4803</v>
      </c>
      <c r="F15" s="41">
        <v>-0.03</v>
      </c>
      <c r="G15" s="38">
        <v>2010</v>
      </c>
      <c r="H15" s="50">
        <v>202527</v>
      </c>
      <c r="I15" s="40">
        <v>299535400</v>
      </c>
      <c r="J15" s="40">
        <v>1479</v>
      </c>
      <c r="K15" s="41">
        <v>-3.0000000000000001E-3</v>
      </c>
    </row>
    <row r="16" spans="1:39" x14ac:dyDescent="0.25">
      <c r="B16" s="34">
        <v>2011</v>
      </c>
      <c r="C16" s="42">
        <v>1496881</v>
      </c>
      <c r="D16" s="36">
        <v>7464027216</v>
      </c>
      <c r="E16" s="36">
        <v>4986</v>
      </c>
      <c r="F16" s="37">
        <v>3.7999999999999999E-2</v>
      </c>
      <c r="G16" s="34">
        <v>2011</v>
      </c>
      <c r="H16" s="49">
        <v>199420</v>
      </c>
      <c r="I16" s="36">
        <v>316597618</v>
      </c>
      <c r="J16" s="36">
        <v>1588</v>
      </c>
      <c r="K16" s="37">
        <v>7.2999999999999995E-2</v>
      </c>
    </row>
    <row r="17" spans="2:39" x14ac:dyDescent="0.25">
      <c r="B17" s="38">
        <v>2012</v>
      </c>
      <c r="C17" s="39">
        <v>1540666</v>
      </c>
      <c r="D17" s="40">
        <v>7813851582</v>
      </c>
      <c r="E17" s="40">
        <v>5072</v>
      </c>
      <c r="F17" s="41">
        <v>1.7000000000000001E-2</v>
      </c>
      <c r="G17" s="38">
        <v>2012</v>
      </c>
      <c r="H17" s="50">
        <v>205167</v>
      </c>
      <c r="I17" s="40">
        <v>337832456</v>
      </c>
      <c r="J17" s="40">
        <v>1647</v>
      </c>
      <c r="K17" s="41">
        <v>3.6999999999999998E-2</v>
      </c>
    </row>
    <row r="18" spans="2:39" x14ac:dyDescent="0.25">
      <c r="B18" s="34">
        <v>2013</v>
      </c>
      <c r="C18" s="42">
        <v>1588074</v>
      </c>
      <c r="D18" s="36">
        <v>8047771351</v>
      </c>
      <c r="E18" s="36">
        <v>5068</v>
      </c>
      <c r="F18" s="37">
        <v>-1E-3</v>
      </c>
      <c r="G18" s="34">
        <v>2013</v>
      </c>
      <c r="H18" s="49">
        <v>217964</v>
      </c>
      <c r="I18" s="36">
        <v>398513422</v>
      </c>
      <c r="J18" s="36">
        <v>1828</v>
      </c>
      <c r="K18" s="37">
        <v>0.11</v>
      </c>
    </row>
    <row r="19" spans="2:39" x14ac:dyDescent="0.25">
      <c r="B19" s="38">
        <v>2014</v>
      </c>
      <c r="C19" s="39">
        <v>1633977</v>
      </c>
      <c r="D19" s="40">
        <v>8451360734</v>
      </c>
      <c r="E19" s="40">
        <v>5172</v>
      </c>
      <c r="F19" s="41">
        <v>2.1000000000000001E-2</v>
      </c>
      <c r="G19" s="38">
        <v>2014</v>
      </c>
      <c r="H19" s="50">
        <v>215222</v>
      </c>
      <c r="I19" s="40">
        <v>418500964</v>
      </c>
      <c r="J19" s="40">
        <v>1945</v>
      </c>
      <c r="K19" s="41">
        <v>6.4000000000000001E-2</v>
      </c>
      <c r="L19" s="63">
        <v>1633977</v>
      </c>
      <c r="M19" s="63">
        <v>479374</v>
      </c>
      <c r="N19" s="63">
        <v>1154603</v>
      </c>
      <c r="O19" s="63">
        <v>215438</v>
      </c>
      <c r="P19" s="63">
        <v>19607722</v>
      </c>
      <c r="Q19" s="63">
        <v>5752489</v>
      </c>
      <c r="R19" s="63">
        <v>13855233</v>
      </c>
      <c r="S19" s="63">
        <v>2585258</v>
      </c>
      <c r="T19" s="64">
        <v>5372651294</v>
      </c>
      <c r="U19" s="64">
        <v>4783181845</v>
      </c>
      <c r="V19" s="64">
        <v>589469449</v>
      </c>
      <c r="W19" s="64">
        <v>21909778</v>
      </c>
      <c r="X19" s="64">
        <v>3078709441</v>
      </c>
      <c r="Y19" s="64">
        <v>34976641</v>
      </c>
      <c r="Z19" s="64">
        <v>3043732800</v>
      </c>
      <c r="AA19" s="64">
        <v>403638064</v>
      </c>
      <c r="AB19" s="64">
        <v>8451360734</v>
      </c>
      <c r="AC19" s="64">
        <v>4818158486</v>
      </c>
      <c r="AD19" s="64">
        <v>3633202248</v>
      </c>
      <c r="AE19" s="64">
        <v>425547842</v>
      </c>
      <c r="AF19" s="64">
        <v>431</v>
      </c>
      <c r="AG19" s="64">
        <v>838</v>
      </c>
      <c r="AH19" s="64">
        <v>262</v>
      </c>
      <c r="AI19" s="64">
        <v>165</v>
      </c>
      <c r="AJ19" s="65">
        <f t="shared" ref="AJ19" si="0">AB19/L19</f>
        <v>5172.2641958852546</v>
      </c>
      <c r="AK19" s="65">
        <f t="shared" ref="AK19" si="1">AC19/M19</f>
        <v>10050.938277837346</v>
      </c>
      <c r="AL19" s="65">
        <f t="shared" ref="AL19" si="2">AD19/N19</f>
        <v>3146.7112488015359</v>
      </c>
      <c r="AM19" s="65">
        <f t="shared" ref="AM19" si="3">AE19/O19</f>
        <v>1975.2682535114511</v>
      </c>
    </row>
    <row r="20" spans="2:39" x14ac:dyDescent="0.25">
      <c r="B20" s="38">
        <v>2015</v>
      </c>
      <c r="C20" s="39">
        <v>1807586</v>
      </c>
      <c r="D20" s="40">
        <v>8923003018</v>
      </c>
      <c r="E20" s="40">
        <v>4936</v>
      </c>
      <c r="F20" s="41">
        <v>-4.5999999999999999E-2</v>
      </c>
      <c r="G20" s="34">
        <v>2015</v>
      </c>
      <c r="H20" s="51">
        <v>158336</v>
      </c>
      <c r="I20" s="52">
        <v>302361213</v>
      </c>
      <c r="J20" s="52">
        <v>1910</v>
      </c>
      <c r="K20" s="53">
        <v>-1.7999999999999999E-2</v>
      </c>
      <c r="L20" s="43">
        <v>1807977</v>
      </c>
      <c r="M20" s="43">
        <v>488999</v>
      </c>
      <c r="N20" s="43">
        <v>1318587</v>
      </c>
      <c r="O20" s="43">
        <v>158537</v>
      </c>
      <c r="P20" s="43">
        <v>21691037</v>
      </c>
      <c r="Q20" s="43">
        <v>5867989</v>
      </c>
      <c r="R20" s="43">
        <v>15823048</v>
      </c>
      <c r="S20" s="43">
        <v>1902447</v>
      </c>
      <c r="T20" s="52">
        <v>5377079158</v>
      </c>
      <c r="U20" s="52">
        <v>4938236184</v>
      </c>
      <c r="V20" s="52">
        <v>438842974</v>
      </c>
      <c r="W20" s="52">
        <v>14676747</v>
      </c>
      <c r="X20" s="52">
        <v>3584071151</v>
      </c>
      <c r="Y20" s="52">
        <v>38147290</v>
      </c>
      <c r="Z20" s="52">
        <v>3545923861</v>
      </c>
      <c r="AA20" s="52">
        <v>296046537</v>
      </c>
      <c r="AB20" s="52">
        <v>8961150309</v>
      </c>
      <c r="AC20" s="52">
        <v>4976383474</v>
      </c>
      <c r="AD20" s="52">
        <v>3984766835</v>
      </c>
      <c r="AE20" s="52">
        <v>310723284</v>
      </c>
      <c r="AF20" s="52">
        <v>413</v>
      </c>
      <c r="AG20" s="52">
        <v>848</v>
      </c>
      <c r="AH20" s="52">
        <v>252</v>
      </c>
      <c r="AI20" s="52">
        <v>163</v>
      </c>
      <c r="AJ20" s="65">
        <f t="shared" ref="AJ20" si="4">AB20/L20</f>
        <v>4956.4514974471467</v>
      </c>
      <c r="AK20" s="65">
        <f t="shared" ref="AK20" si="5">AC20/M20</f>
        <v>10176.67413225794</v>
      </c>
      <c r="AL20" s="65">
        <f t="shared" ref="AL20" si="6">AD20/N20</f>
        <v>3021.9976649246505</v>
      </c>
      <c r="AM20" s="65">
        <f t="shared" ref="AM20" si="7">AE20/O20</f>
        <v>1959.9417423062125</v>
      </c>
    </row>
    <row r="21" spans="2:39" x14ac:dyDescent="0.25">
      <c r="B21" s="38">
        <v>2016</v>
      </c>
      <c r="C21" s="43">
        <v>1862573</v>
      </c>
      <c r="D21" s="40">
        <v>9257891787</v>
      </c>
      <c r="E21" s="40">
        <v>4970</v>
      </c>
      <c r="F21" s="44">
        <v>7.0000000000000001E-3</v>
      </c>
      <c r="G21" s="34">
        <v>2016</v>
      </c>
      <c r="H21" s="51">
        <v>127928</v>
      </c>
      <c r="I21" s="52">
        <v>254187032</v>
      </c>
      <c r="J21" s="52">
        <v>1987</v>
      </c>
      <c r="K21" s="53">
        <v>4.2000000000000003E-2</v>
      </c>
      <c r="L21" s="43">
        <v>1862573</v>
      </c>
      <c r="M21" s="43">
        <v>497141</v>
      </c>
      <c r="N21" s="43">
        <v>1365432</v>
      </c>
      <c r="O21" s="43">
        <v>127975</v>
      </c>
      <c r="P21" s="43">
        <v>22350880</v>
      </c>
      <c r="Q21" s="43">
        <v>5965693</v>
      </c>
      <c r="R21" s="43">
        <v>16385187</v>
      </c>
      <c r="S21" s="43">
        <v>1535696</v>
      </c>
      <c r="T21" s="52">
        <v>5541575588</v>
      </c>
      <c r="U21" s="52">
        <v>5111026700</v>
      </c>
      <c r="V21" s="52">
        <v>430548888</v>
      </c>
      <c r="W21" s="52">
        <v>11082937</v>
      </c>
      <c r="X21" s="52">
        <v>3716316199</v>
      </c>
      <c r="Y21" s="52">
        <v>37838519</v>
      </c>
      <c r="Z21" s="52">
        <v>3678477679</v>
      </c>
      <c r="AA21" s="52">
        <v>245111521</v>
      </c>
      <c r="AB21" s="52">
        <v>9257891787</v>
      </c>
      <c r="AC21" s="52">
        <v>5148865219</v>
      </c>
      <c r="AD21" s="52">
        <v>4109026568</v>
      </c>
      <c r="AE21" s="52">
        <v>256194458</v>
      </c>
      <c r="AF21" s="52">
        <v>414</v>
      </c>
      <c r="AG21" s="52">
        <v>863</v>
      </c>
      <c r="AH21" s="52">
        <v>251</v>
      </c>
      <c r="AI21" s="52">
        <v>167</v>
      </c>
      <c r="AJ21" s="65">
        <f t="shared" ref="AJ21:AJ23" si="8">AB21/L21</f>
        <v>4970.4853377558893</v>
      </c>
      <c r="AK21" s="65">
        <f t="shared" ref="AK21:AK23" si="9">AC21/M21</f>
        <v>10356.951486600381</v>
      </c>
      <c r="AL21" s="65">
        <f t="shared" ref="AL21:AL23" si="10">AD21/N21</f>
        <v>3009.3234727177919</v>
      </c>
      <c r="AM21" s="65">
        <f t="shared" ref="AM21:AM23" si="11">AE21/O21</f>
        <v>2001.9102012111741</v>
      </c>
    </row>
    <row r="22" spans="2:39" x14ac:dyDescent="0.25">
      <c r="B22" s="38">
        <v>2017</v>
      </c>
      <c r="C22" s="43">
        <v>1838625</v>
      </c>
      <c r="D22" s="40">
        <v>9590732939</v>
      </c>
      <c r="E22" s="40">
        <v>5216</v>
      </c>
      <c r="F22" s="44">
        <v>4.9000000000000002E-2</v>
      </c>
      <c r="G22" s="34">
        <v>2017</v>
      </c>
      <c r="H22" s="51">
        <v>130295</v>
      </c>
      <c r="I22" s="52">
        <v>271531234</v>
      </c>
      <c r="J22" s="52">
        <v>2084</v>
      </c>
      <c r="K22" s="53">
        <v>4.9000000000000002E-2</v>
      </c>
      <c r="L22" s="43">
        <v>1838625</v>
      </c>
      <c r="M22" s="43">
        <v>503959</v>
      </c>
      <c r="N22" s="43">
        <v>1334666</v>
      </c>
      <c r="O22" s="43">
        <v>130785</v>
      </c>
      <c r="P22" s="43">
        <v>2063499</v>
      </c>
      <c r="Q22" s="43">
        <v>6047507</v>
      </c>
      <c r="R22" s="43">
        <v>16015992</v>
      </c>
      <c r="S22" s="43">
        <v>1569418</v>
      </c>
      <c r="T22" s="52">
        <v>5691240042</v>
      </c>
      <c r="U22" s="52">
        <v>5332665446</v>
      </c>
      <c r="V22" s="52">
        <v>358574596</v>
      </c>
      <c r="W22" s="52">
        <v>9611019</v>
      </c>
      <c r="X22" s="52">
        <v>3899492897</v>
      </c>
      <c r="Y22" s="52">
        <v>42917080</v>
      </c>
      <c r="Z22" s="52">
        <v>3856575817</v>
      </c>
      <c r="AA22" s="52">
        <v>269327030</v>
      </c>
      <c r="AB22" s="52">
        <v>9590732939</v>
      </c>
      <c r="AC22" s="52">
        <v>5375582527</v>
      </c>
      <c r="AD22" s="52">
        <v>4215150413</v>
      </c>
      <c r="AE22" s="52">
        <v>278938050</v>
      </c>
      <c r="AF22" s="52">
        <v>435</v>
      </c>
      <c r="AG22" s="52">
        <v>889</v>
      </c>
      <c r="AH22" s="52">
        <v>263</v>
      </c>
      <c r="AI22" s="52">
        <v>178</v>
      </c>
      <c r="AJ22" s="65">
        <f t="shared" si="8"/>
        <v>5216.2528732068804</v>
      </c>
      <c r="AK22" s="65">
        <f t="shared" si="9"/>
        <v>10666.706075295808</v>
      </c>
      <c r="AL22" s="65">
        <f t="shared" si="10"/>
        <v>3158.2061826704207</v>
      </c>
      <c r="AM22" s="65">
        <f t="shared" si="11"/>
        <v>2132.7984860649158</v>
      </c>
    </row>
    <row r="23" spans="2:39" x14ac:dyDescent="0.25">
      <c r="B23" s="38">
        <v>2018</v>
      </c>
      <c r="C23" s="43">
        <v>1967334</v>
      </c>
      <c r="D23" s="45">
        <v>9911469464</v>
      </c>
      <c r="E23" s="45">
        <v>5038</v>
      </c>
      <c r="F23" s="44">
        <v>-3.4000000000000002E-2</v>
      </c>
      <c r="G23" s="34">
        <v>2018</v>
      </c>
      <c r="H23" s="51">
        <v>123533</v>
      </c>
      <c r="I23" s="52">
        <v>258442144</v>
      </c>
      <c r="J23" s="52">
        <v>2092</v>
      </c>
      <c r="K23" s="53">
        <v>4.0000000000000001E-3</v>
      </c>
      <c r="L23" s="43">
        <v>1967334</v>
      </c>
      <c r="M23" s="43">
        <v>517240</v>
      </c>
      <c r="N23" s="43">
        <v>1426306</v>
      </c>
      <c r="O23" s="43">
        <v>124181</v>
      </c>
      <c r="P23" s="43">
        <v>23608010</v>
      </c>
      <c r="Q23" s="43">
        <v>6206880</v>
      </c>
      <c r="R23" s="43">
        <v>17115675</v>
      </c>
      <c r="S23" s="43">
        <v>1490175</v>
      </c>
      <c r="T23" s="52">
        <v>5880556511</v>
      </c>
      <c r="U23" s="52">
        <v>5573102597</v>
      </c>
      <c r="V23" s="52">
        <v>307453914</v>
      </c>
      <c r="W23" s="52">
        <v>9666178</v>
      </c>
      <c r="X23" s="52">
        <v>4030912952</v>
      </c>
      <c r="Y23" s="52">
        <v>33325300</v>
      </c>
      <c r="Z23" s="52">
        <v>3997587652</v>
      </c>
      <c r="AA23" s="52">
        <v>245184996</v>
      </c>
      <c r="AB23" s="52">
        <v>9911469464</v>
      </c>
      <c r="AC23" s="52">
        <v>5606427897</v>
      </c>
      <c r="AD23" s="52">
        <v>4305041566</v>
      </c>
      <c r="AE23" s="52">
        <v>254851174</v>
      </c>
      <c r="AF23" s="52">
        <v>420</v>
      </c>
      <c r="AG23" s="52">
        <v>903</v>
      </c>
      <c r="AH23" s="52">
        <v>252</v>
      </c>
      <c r="AI23" s="52">
        <v>177</v>
      </c>
      <c r="AJ23" s="65">
        <f t="shared" si="8"/>
        <v>5038.0207244931462</v>
      </c>
      <c r="AK23" s="65">
        <f t="shared" si="9"/>
        <v>10839.12283852757</v>
      </c>
      <c r="AL23" s="65">
        <f t="shared" si="10"/>
        <v>3018.3155409848937</v>
      </c>
      <c r="AM23" s="65">
        <f t="shared" si="11"/>
        <v>2052.2557718169446</v>
      </c>
    </row>
    <row r="24" spans="2:39" x14ac:dyDescent="0.25">
      <c r="B24" s="38">
        <v>2019</v>
      </c>
      <c r="C24" s="43">
        <v>1985175</v>
      </c>
      <c r="D24" s="45">
        <v>10298036876</v>
      </c>
      <c r="E24" s="45">
        <v>5187</v>
      </c>
      <c r="F24" s="47">
        <v>0.03</v>
      </c>
      <c r="G24" s="34">
        <v>2019</v>
      </c>
      <c r="H24" s="51">
        <v>140786</v>
      </c>
      <c r="I24" s="52">
        <v>304463838</v>
      </c>
      <c r="J24" s="52">
        <v>2163</v>
      </c>
      <c r="K24" s="53">
        <v>3.4000000000000002E-2</v>
      </c>
      <c r="L24" s="43">
        <v>1985175</v>
      </c>
      <c r="M24" s="43">
        <v>532881</v>
      </c>
      <c r="N24" s="43">
        <v>1430046</v>
      </c>
      <c r="O24" s="43">
        <v>140786</v>
      </c>
      <c r="P24" s="43">
        <v>23822102</v>
      </c>
      <c r="Q24" s="43">
        <v>6394567</v>
      </c>
      <c r="R24" s="43">
        <v>17160556</v>
      </c>
      <c r="S24" s="43">
        <v>1689429</v>
      </c>
      <c r="T24" s="52">
        <v>6231818823</v>
      </c>
      <c r="U24" s="52">
        <v>5912231492</v>
      </c>
      <c r="V24" s="52">
        <v>319587331</v>
      </c>
      <c r="W24" s="52">
        <v>12467231</v>
      </c>
      <c r="X24" s="52">
        <v>4066218054</v>
      </c>
      <c r="Y24" s="52">
        <v>29286201</v>
      </c>
      <c r="Z24" s="52">
        <v>4036931853</v>
      </c>
      <c r="AA24" s="52">
        <v>291996608</v>
      </c>
      <c r="AB24" s="52">
        <v>10298036876</v>
      </c>
      <c r="AC24" s="52">
        <v>5941517693</v>
      </c>
      <c r="AD24" s="52">
        <v>4356519184</v>
      </c>
      <c r="AE24" s="52">
        <v>304463838</v>
      </c>
      <c r="AF24" s="52">
        <v>432</v>
      </c>
      <c r="AG24" s="52">
        <v>929</v>
      </c>
      <c r="AH24" s="52">
        <v>254</v>
      </c>
      <c r="AI24" s="52">
        <v>180</v>
      </c>
      <c r="AJ24" s="65">
        <f>AB24/L24</f>
        <v>5187.4705635523314</v>
      </c>
      <c r="AK24" s="65">
        <f>AC24/M24</f>
        <v>11149.8021002813</v>
      </c>
      <c r="AL24" s="65">
        <f>AD24/N24</f>
        <v>3046.4189151957348</v>
      </c>
      <c r="AM24" s="65">
        <f>AE24/O24</f>
        <v>2162.6002443424773</v>
      </c>
    </row>
    <row r="25" spans="2:39" x14ac:dyDescent="0.25">
      <c r="B25" s="46" t="s">
        <v>79</v>
      </c>
      <c r="C25" s="25"/>
      <c r="D25" s="25"/>
      <c r="E25" s="25"/>
      <c r="F25" s="25"/>
      <c r="G25" s="46" t="s">
        <v>88</v>
      </c>
      <c r="H25" s="25"/>
      <c r="I25" s="25"/>
      <c r="J25" s="25"/>
      <c r="K25" s="25"/>
      <c r="L25" s="62" t="s">
        <v>113</v>
      </c>
      <c r="T25" s="55"/>
      <c r="AB25" s="54"/>
      <c r="AC25" s="54"/>
      <c r="AD25" s="54"/>
      <c r="AE25" s="54"/>
    </row>
    <row r="26" spans="2:39" x14ac:dyDescent="0.25">
      <c r="B26" t="s">
        <v>81</v>
      </c>
      <c r="G26" s="46" t="s">
        <v>89</v>
      </c>
      <c r="L26" s="60"/>
      <c r="T26" s="55"/>
      <c r="AF26" s="55">
        <f t="shared" ref="AF26:AI31" si="12">AJ19/12</f>
        <v>431.0220163237712</v>
      </c>
      <c r="AG26" s="55">
        <f t="shared" si="12"/>
        <v>837.5781898197788</v>
      </c>
      <c r="AH26" s="55">
        <f t="shared" si="12"/>
        <v>262.22593740012798</v>
      </c>
      <c r="AI26" s="55">
        <f t="shared" si="12"/>
        <v>164.60568779262093</v>
      </c>
    </row>
    <row r="27" spans="2:39" x14ac:dyDescent="0.25">
      <c r="B27" t="s">
        <v>82</v>
      </c>
      <c r="G27" t="s">
        <v>90</v>
      </c>
      <c r="L27" s="61"/>
      <c r="AF27" s="55">
        <f t="shared" si="12"/>
        <v>413.03762478726225</v>
      </c>
      <c r="AG27" s="55">
        <f t="shared" si="12"/>
        <v>848.05617768816171</v>
      </c>
      <c r="AH27" s="55">
        <f t="shared" si="12"/>
        <v>251.83313874372087</v>
      </c>
      <c r="AI27" s="55">
        <f t="shared" si="12"/>
        <v>163.32847852551771</v>
      </c>
    </row>
    <row r="28" spans="2:39" x14ac:dyDescent="0.25">
      <c r="B28" t="s">
        <v>83</v>
      </c>
      <c r="L28" s="46" t="s">
        <v>114</v>
      </c>
      <c r="AF28" s="55">
        <f t="shared" si="12"/>
        <v>414.20711147965744</v>
      </c>
      <c r="AG28" s="55">
        <f t="shared" si="12"/>
        <v>863.07929055003171</v>
      </c>
      <c r="AH28" s="55">
        <f t="shared" si="12"/>
        <v>250.776956059816</v>
      </c>
      <c r="AI28" s="55">
        <f t="shared" si="12"/>
        <v>166.82585010093118</v>
      </c>
    </row>
    <row r="29" spans="2:39" x14ac:dyDescent="0.25">
      <c r="L29" s="46" t="s">
        <v>115</v>
      </c>
      <c r="AF29" s="55">
        <f t="shared" si="12"/>
        <v>434.6877394339067</v>
      </c>
      <c r="AG29" s="55">
        <f t="shared" si="12"/>
        <v>888.89217294131731</v>
      </c>
      <c r="AH29" s="55">
        <f t="shared" si="12"/>
        <v>263.18384855586839</v>
      </c>
      <c r="AI29" s="55">
        <f t="shared" si="12"/>
        <v>177.73320717207631</v>
      </c>
    </row>
    <row r="30" spans="2:39" x14ac:dyDescent="0.25">
      <c r="B30" t="s">
        <v>119</v>
      </c>
      <c r="C30" t="s">
        <v>116</v>
      </c>
      <c r="AF30" s="55">
        <f t="shared" si="12"/>
        <v>419.83506037442885</v>
      </c>
      <c r="AG30" s="55">
        <f t="shared" si="12"/>
        <v>903.2602365439642</v>
      </c>
      <c r="AH30" s="55">
        <f t="shared" si="12"/>
        <v>251.52629508207448</v>
      </c>
      <c r="AI30" s="55">
        <f t="shared" si="12"/>
        <v>171.02131431807871</v>
      </c>
    </row>
    <row r="31" spans="2:39" x14ac:dyDescent="0.25">
      <c r="B31" t="s">
        <v>120</v>
      </c>
      <c r="C31" t="s">
        <v>118</v>
      </c>
      <c r="AF31" s="55">
        <f t="shared" si="12"/>
        <v>432.28921362936097</v>
      </c>
      <c r="AG31" s="55">
        <f t="shared" si="12"/>
        <v>929.15017502344165</v>
      </c>
      <c r="AH31" s="55">
        <f t="shared" si="12"/>
        <v>253.86824293297789</v>
      </c>
      <c r="AI31" s="55">
        <f t="shared" si="12"/>
        <v>180.21668702853978</v>
      </c>
    </row>
    <row r="32" spans="2:39" x14ac:dyDescent="0.25">
      <c r="B32" t="s">
        <v>122</v>
      </c>
      <c r="C32" t="s">
        <v>121</v>
      </c>
    </row>
    <row r="33" spans="2:3" x14ac:dyDescent="0.25">
      <c r="B33" t="s">
        <v>124</v>
      </c>
      <c r="C33" t="s">
        <v>123</v>
      </c>
    </row>
    <row r="34" spans="2:3" x14ac:dyDescent="0.25">
      <c r="B34" t="s">
        <v>125</v>
      </c>
      <c r="C34" t="s">
        <v>126</v>
      </c>
    </row>
    <row r="35" spans="2:3" x14ac:dyDescent="0.25">
      <c r="B35" t="s">
        <v>128</v>
      </c>
      <c r="C35"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AL-Annual</vt:lpstr>
      <vt:lpstr>GA-Month</vt:lpstr>
      <vt:lpstr>GA-Annual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Randolph</dc:creator>
  <cp:lastModifiedBy>Erik Randolph</cp:lastModifiedBy>
  <dcterms:created xsi:type="dcterms:W3CDTF">2020-06-22T18:08:01Z</dcterms:created>
  <dcterms:modified xsi:type="dcterms:W3CDTF">2020-06-24T14:01:18Z</dcterms:modified>
</cp:coreProperties>
</file>