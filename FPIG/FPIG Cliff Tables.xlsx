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Owner\Documents\Just Saying That\Consulting\GCO\Program Sources\FPIG\"/>
    </mc:Choice>
  </mc:AlternateContent>
  <xr:revisionPtr revIDLastSave="0" documentId="13_ncr:1_{6DAA288C-CFF0-476A-97F1-938319F02BD3}" xr6:coauthVersionLast="47" xr6:coauthVersionMax="47" xr10:uidLastSave="{00000000-0000-0000-0000-000000000000}"/>
  <bookViews>
    <workbookView xWindow="2280" yWindow="720" windowWidth="15420" windowHeight="10080" xr2:uid="{08237921-4577-45E9-BAF9-2D9263455486}"/>
  </bookViews>
  <sheets>
    <sheet name="FPIG" sheetId="1" r:id="rId1"/>
  </sheets>
  <externalReferences>
    <externalReference r:id="rId2"/>
    <externalReference r:id="rId3"/>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[1]Calc1!$C$384:$G$391</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[1]Calc1!$N$588:$HF$588</definedName>
    <definedName name="CompareAlabamaOutputCHIP">[1]Calc1!$N$419:$HF$419</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[1]Calc1!$N$462:$HF$462</definedName>
    <definedName name="CompareAlabamaOutputInterval">[1]Calc1!$N$2:$HF$2</definedName>
    <definedName name="CompareAlabamaOutputLIHEAP">[1]Calc1!$N$711:$HF$711</definedName>
    <definedName name="CompareAlabamaOutputMedicaid">[1]Calc1!$N$375:$HF$375</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[1]Calc1!$N$685:$HF$685</definedName>
    <definedName name="CompareAlabamaOutputSec8Extended">[1]Calc1!$N$690:$HF$690</definedName>
    <definedName name="CompareAlabamaOutputSec8Final">[1]Calc1!$N$688:$HF$688</definedName>
    <definedName name="CompareAlabamaOutputSNAP">[1]Calc1!$N$313:$HF$313</definedName>
    <definedName name="CompareAlabamaOutputSSI">[1]Calc1!$N$280:$HF$280</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[1]Calc1!$N$221:$HF$221</definedName>
    <definedName name="CompareAlabamaOutputStateTax">[1]Calc1!$N$206:$HF$206</definedName>
    <definedName name="CompareAlabamaOutputSubsidizedSchoolMeals">[1]Calc1!$N$346:$HF$346</definedName>
    <definedName name="CompareAlabamaOutputTANF">[1]Calc1!$N$267:$HF$267</definedName>
    <definedName name="CompareAlabamaOutputWIC">[1]Calc1!$N$335:$HF$335</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[1]Calc1!$N$588:$HF$588</definedName>
    <definedName name="CompareFloridaOutputCHIP">[1]Calc1!$N$419:$HF$419</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[1]Calc1!$N$462:$HF$462</definedName>
    <definedName name="CompareFloridaOutputInterval">[1]Calc1!$N$2:$HF$2</definedName>
    <definedName name="CompareFloridaOutputLIHEAP">[1]Calc1!$N$711:$HF$711</definedName>
    <definedName name="CompareFloridaOutputMedicaid">[1]Calc1!$N$375:$HF$375</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[1]Calc1!$N$685:$HF$685</definedName>
    <definedName name="CompareFloridaOutputSec8Extended">[1]Calc1!$N$690:$HF$690</definedName>
    <definedName name="CompareFloridaOutputSec8Final">[1]Calc1!$N$688:$HF$688</definedName>
    <definedName name="CompareFloridaOutputSNAP">[1]Calc1!$N$313:$HF$313</definedName>
    <definedName name="CompareFloridaOutputSSI">[1]Calc1!$N$280:$HF$280</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[1]Calc1!$N$221:$HF$221</definedName>
    <definedName name="CompareFloridaOutputStateTax">[1]Calc1!$N$206:$HF$206</definedName>
    <definedName name="CompareFloridaOutputSubsidizedSchoolMeals">[1]Calc1!$N$346:$HF$346</definedName>
    <definedName name="CompareFloridaOutputTANF">[1]Calc1!$N$267:$HF$267</definedName>
    <definedName name="CompareFloridaOutputWIC">[1]Calc1!$N$335:$HF$335</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[1]Calc1!$N$588:$HF$588</definedName>
    <definedName name="CompareGeorgiaOutputCHIP">[1]Calc1!$N$419:$HF$419</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[1]Calc1!$N$462:$HF$462</definedName>
    <definedName name="CompareGeorgiaOutputInterval">[1]Calc1!$N$2:$HF$2</definedName>
    <definedName name="CompareGeorgiaOutputLIHEAP">[1]Calc1!$N$711:$HF$711</definedName>
    <definedName name="CompareGeorgiaOutputMedicaid">[1]Calc1!$N$375:$HF$375</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[1]Calc1!$N$685:$HF$685</definedName>
    <definedName name="CompareGeorgiaOutputSec8Extended">[1]Calc1!$N$690:$HF$690</definedName>
    <definedName name="CompareGeorgiaOutputSec8Final">[1]Calc1!$N$688:$HF$688</definedName>
    <definedName name="CompareGeorgiaOutputSNAP">[1]Calc1!$N$313:$HF$313</definedName>
    <definedName name="CompareGeorgiaOutputSSI">[1]Calc1!$N$280:$HF$280</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[1]Calc1!$N$221:$HF$221</definedName>
    <definedName name="CompareGeorgiaOutputStateTax">[1]Calc1!$N$206:$HF$206</definedName>
    <definedName name="CompareGeorgiaOutputSubsidizedSchoolMeals">[1]Calc1!$N$346:$HF$346</definedName>
    <definedName name="CompareGeorgiaOutputTANF">[1]Calc1!$N$267:$HF$267</definedName>
    <definedName name="CompareGeorgiaOutputWIC">[1]Calc1!$N$335:$HF$335</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[1]Calc1!$N$588:$HF$588</definedName>
    <definedName name="CompareLouisianaOutputCHIP">[1]Calc1!$N$419:$HF$419</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[1]Calc1!$N$462:$HF$462</definedName>
    <definedName name="CompareLouisianaOutputInterval">[1]Calc1!$N$2:$HF$2</definedName>
    <definedName name="CompareLouisianaOutputLIHEAP">[1]Calc1!$N$711:$HF$711</definedName>
    <definedName name="CompareLouisianaOutputMedicaid">[1]Calc1!$N$375:$HF$375</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[1]Calc1!$N$685:$HF$685</definedName>
    <definedName name="CompareLouisianaOutputSec8Extended">[1]Calc1!$N$690:$HF$690</definedName>
    <definedName name="CompareLouisianaOutputSec8Final">[1]Calc1!$N$688:$HF$688</definedName>
    <definedName name="CompareLouisianaOutputSNAP">[1]Calc1!$N$313:$HF$313</definedName>
    <definedName name="CompareLouisianaOutputSSI">[1]Calc1!$N$280:$HF$280</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[1]Calc1!$N$221:$HF$221</definedName>
    <definedName name="CompareLouisianaOutputStateTax">[1]Calc1!$N$206:$HF$206</definedName>
    <definedName name="CompareLouisianaOutputSubsidizedSchoolMeals">[1]Calc1!$N$346:$HF$346</definedName>
    <definedName name="CompareLouisianaOutputTANF">[1]Calc1!$N$267:$HF$267</definedName>
    <definedName name="CompareLouisianaOutputWIC">[1]Calc1!$N$335:$HF$335</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[1]Calc1!$N$588:$HF$588</definedName>
    <definedName name="CompareMississippiOutputCHIP">[1]Calc1!$N$419:$HF$419</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[1]Calc1!$N$462:$HF$462</definedName>
    <definedName name="CompareMississippiOutputInterval">[1]Calc1!$N$2:$HF$2</definedName>
    <definedName name="CompareMississippiOutputLIHEAP">[1]Calc1!$N$711:$HF$711</definedName>
    <definedName name="CompareMississippiOutputMedicaid">[1]Calc1!$N$375:$HF$375</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[1]Calc1!$N$685:$HF$685</definedName>
    <definedName name="CompareMississippiOutputSec8Extended">[1]Calc1!$N$690:$HF$690</definedName>
    <definedName name="CompareMississippiOutputSec8Final">[1]Calc1!$N$688:$HF$688</definedName>
    <definedName name="CompareMississippiOutputSNAP">[1]Calc1!$N$313:$HF$313</definedName>
    <definedName name="CompareMississippiOutputSSI">[1]Calc1!$N$280:$HF$280</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[1]Calc1!$N$221:$HF$221</definedName>
    <definedName name="CompareMississippiOutputStateTax">[1]Calc1!$N$206:$HF$206</definedName>
    <definedName name="CompareMississippiOutputSubsidizedSchoolMeals">[1]Calc1!$N$346:$HF$346</definedName>
    <definedName name="CompareMississippiOutputTANF">[1]Calc1!$N$267:$HF$267</definedName>
    <definedName name="CompareMississippiOutputWIC">[1]Calc1!$N$335:$HF$335</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[1]Calc1!$N$588:$HF$588</definedName>
    <definedName name="CompareNorthCarolinaOutputCHIP">[1]Calc1!$N$419:$HF$419</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[1]Calc1!$N$462:$HF$462</definedName>
    <definedName name="CompareNorthCarolinaOutputInterval">[1]Calc1!$N$2:$HF$2</definedName>
    <definedName name="CompareNorthCarolinaOutputLIHEAP">[1]Calc1!$N$711:$HF$711</definedName>
    <definedName name="CompareNorthCarolinaOutputMedicaid">[1]Calc1!$N$375:$HF$375</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[1]Calc1!$N$685:$HF$685</definedName>
    <definedName name="CompareNorthCarolinaOutputSec8Extended">[1]Calc1!$N$690:$HF$690</definedName>
    <definedName name="CompareNorthCarolinaOutputSec8Final">[1]Calc1!$N$688:$HF$688</definedName>
    <definedName name="CompareNorthCarolinaOutputSNAP">[1]Calc1!$N$313:$HF$313</definedName>
    <definedName name="CompareNorthCarolinaOutputSSI">[1]Calc1!$N$280:$HF$280</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[1]Calc1!$N$221:$HF$221</definedName>
    <definedName name="CompareNorthCarolinaOutputStateTax">[1]Calc1!$N$206:$HF$206</definedName>
    <definedName name="CompareNorthCarolinaOutputSubsidizedSchoolMeals">[1]Calc1!$N$346:$HF$346</definedName>
    <definedName name="CompareNorthCarolinaOutputTANF">[1]Calc1!$N$267:$HF$267</definedName>
    <definedName name="CompareNorthCarolinaOutputWIC">[1]Calc1!$N$335:$HF$335</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[1]Calc1!$N$588:$HF$588</definedName>
    <definedName name="CompareOriginalIncomeOutputCHIP">[1]Calc1!$N$419:$HF$419</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[1]Calc1!$N$462:$HF$462</definedName>
    <definedName name="CompareOriginalIncomeOutputInterval">[1]Calc1!$N$2:$HF$2</definedName>
    <definedName name="CompareOriginalIncomeOutputLIHEAP">[1]Calc1!$N$711:$HF$711</definedName>
    <definedName name="CompareOriginalIncomeOutputMedicaid">[1]Calc1!$N$375:$HF$375</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[1]Calc1!$N$685:$HF$685</definedName>
    <definedName name="CompareOriginalIncomeOutputSec8Extended">[1]Calc1!$N$690:$HF$690</definedName>
    <definedName name="CompareOriginalIncomeOutputSec8Final">[1]Calc1!$N$688:$HF$688</definedName>
    <definedName name="CompareOriginalIncomeOutputSNAP">[1]Calc1!$N$313:$HF$313</definedName>
    <definedName name="CompareOriginalIncomeOutputSSI">[1]Calc1!$N$280:$HF$280</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[1]Calc1!$N$221:$HF$221</definedName>
    <definedName name="CompareOriginalIncomeOutputStateTax">[1]Calc1!$N$206:$HF$206</definedName>
    <definedName name="CompareOriginalIncomeOutputSubsidizedSchoolMeals">[1]Calc1!$N$346:$HF$346</definedName>
    <definedName name="CompareOriginalIncomeOutputTANF">[1]Calc1!$N$267:$HF$267</definedName>
    <definedName name="CompareOriginalIncomeOutputWIC">[1]Calc1!$N$335:$HF$335</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[1]Calc1!$N$588:$HF$588</definedName>
    <definedName name="CompareProspectiveIncomeOutputCHIP">[1]Calc1!$N$419:$HF$419</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[1]Calc1!$N$462:$HF$462</definedName>
    <definedName name="CompareProspectiveIncomeOutputInterval">[1]Calc1!$N$2:$HF$2</definedName>
    <definedName name="CompareProspectiveIncomeOutputLIHEAP">[1]Calc1!$N$711:$HF$711</definedName>
    <definedName name="CompareProspectiveIncomeOutputMedicaid">[1]Calc1!$N$375:$HF$375</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[1]Calc1!$N$685:$HF$685</definedName>
    <definedName name="CompareProspectiveIncomeOutputSec8Extended">[1]Calc1!$N$690:$HF$690</definedName>
    <definedName name="CompareProspectiveIncomeOutputSec8Final">[1]Calc1!$N$688:$HF$688</definedName>
    <definedName name="CompareProspectiveIncomeOutputSNAP">[1]Calc1!$N$313:$HF$313</definedName>
    <definedName name="CompareProspectiveIncomeOutputSSI">[1]Calc1!$N$280:$HF$280</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[1]Calc1!$N$221:$HF$221</definedName>
    <definedName name="CompareProspectiveIncomeOutputStateTax">[1]Calc1!$N$206:$HF$206</definedName>
    <definedName name="CompareProspectiveIncomeOutputSubsidizedSchoolMeals">[1]Calc1!$N$346:$HF$346</definedName>
    <definedName name="CompareProspectiveIncomeOutputTANF">[1]Calc1!$N$267:$HF$267</definedName>
    <definedName name="CompareProspectiveIncomeOutputWIC">[1]Calc1!$N$335:$HF$335</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[1]Calc1!$N$588:$HF$588</definedName>
    <definedName name="CompareSouthCarolinaOutputCHIP">[1]Calc1!$N$419:$HF$419</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[1]Calc1!$N$462:$HF$462</definedName>
    <definedName name="CompareSouthCarolinaOutputInterval">[1]Calc1!$N$2:$HF$2</definedName>
    <definedName name="CompareSouthCarolinaOutputLIHEAP">[1]Calc1!$N$711:$HF$711</definedName>
    <definedName name="CompareSouthCarolinaOutputMedicaid">[1]Calc1!$N$375:$HF$375</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[1]Calc1!$N$685:$HF$685</definedName>
    <definedName name="CompareSouthCarolinaOutputSec8Extended">[1]Calc1!$N$690:$HF$690</definedName>
    <definedName name="CompareSouthCarolinaOutputSec8Final">[1]Calc1!$N$688:$HF$688</definedName>
    <definedName name="CompareSouthCarolinaOutputSNAP">[1]Calc1!$N$313:$HF$313</definedName>
    <definedName name="CompareSouthCarolinaOutputSSI">[1]Calc1!$N$280:$HF$280</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[1]Calc1!$N$221:$HF$221</definedName>
    <definedName name="CompareSouthCarolinaOutputStateTax">[1]Calc1!$N$206:$HF$206</definedName>
    <definedName name="CompareSouthCarolinaOutputSubsidizedSchoolMeals">[1]Calc1!$N$346:$HF$346</definedName>
    <definedName name="CompareSouthCarolinaOutputTANF">[1]Calc1!$N$267:$HF$267</definedName>
    <definedName name="CompareSouthCarolinaOutputWIC">[1]Calc1!$N$335:$HF$335</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[1]Calc1!$N$588:$HF$588</definedName>
    <definedName name="CompareTennesseeOutputCHIP">[1]Calc1!$N$419:$HF$419</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[1]Calc1!$N$462:$HF$462</definedName>
    <definedName name="CompareTennesseeOutputInterval">[1]Calc1!$N$2:$HF$2</definedName>
    <definedName name="CompareTennesseeOutputLIHEAP">[1]Calc1!$N$711:$HF$711</definedName>
    <definedName name="CompareTennesseeOutputMedicaid">[1]Calc1!$N$375:$HF$375</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[1]Calc1!$N$685:$HF$685</definedName>
    <definedName name="CompareTennesseeOutputSec8Extended">[1]Calc1!$N$690:$HF$690</definedName>
    <definedName name="CompareTennesseeOutputSec8Final">[1]Calc1!$N$688:$HF$688</definedName>
    <definedName name="CompareTennesseeOutputSNAP">[1]Calc1!$N$313:$HF$313</definedName>
    <definedName name="CompareTennesseeOutputSSI">[1]Calc1!$N$280:$HF$280</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[1]Calc1!$N$221:$HF$221</definedName>
    <definedName name="CompareTennesseeOutputStateTax">[1]Calc1!$N$206:$HF$206</definedName>
    <definedName name="CompareTennesseeOutputSubsidizedSchoolMeals">[1]Calc1!$N$346:$HF$346</definedName>
    <definedName name="CompareTennesseeOutputTANF">[1]Calc1!$N$267:$HF$267</definedName>
    <definedName name="CompareTennesseeOutputWIC">[1]Calc1!$N$335:$HF$335</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[1]Calc1!$N$588:$HF$588</definedName>
    <definedName name="CompareTexasOutputCHIP">[1]Calc1!$N$419:$HF$419</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[1]Calc1!$N$462:$HF$462</definedName>
    <definedName name="CompareTexasOutputInterval">[1]Calc1!$N$2:$HF$2</definedName>
    <definedName name="CompareTexasOutputLIHEAP">[1]Calc1!$N$711:$HF$711</definedName>
    <definedName name="CompareTexasOutputMedicaid">[1]Calc1!$N$375:$HF$375</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[1]Calc1!$N$685:$HF$685</definedName>
    <definedName name="CompareTexasOutputSec8Extended">[1]Calc1!$N$690:$HF$690</definedName>
    <definedName name="CompareTexasOutputSec8Final">[1]Calc1!$N$688:$HF$688</definedName>
    <definedName name="CompareTexasOutputSNAP">[1]Calc1!$N$313:$HF$313</definedName>
    <definedName name="CompareTexasOutputSSI">[1]Calc1!$N$280:$HF$280</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[1]Calc1!$N$221:$HF$221</definedName>
    <definedName name="CompareTexasOutputStateTax">[1]Calc1!$N$206:$HF$206</definedName>
    <definedName name="CompareTexasOutputSubsidizedSchoolMeals">[1]Calc1!$N$346:$HF$346</definedName>
    <definedName name="CompareTexasOutputTANF">[1]Calc1!$N$267:$HF$267</definedName>
    <definedName name="CompareTexasOutputWIC">[1]Calc1!$N$335:$HF$335</definedName>
    <definedName name="FICAlist">[1]!FICAtbl[#Headers]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[1]Calc1!$N$588:$HF$588</definedName>
    <definedName name="OutputCHIP">[1]Calc1!$N$419:$HF$419</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[1]Calc1!$N$462:$HF$462</definedName>
    <definedName name="OutputInterval">[1]Calc1!$N$2:$HF$2</definedName>
    <definedName name="OutputLIHEAP">[1]Calc1!$N$711:$HF$711</definedName>
    <definedName name="OutputMedicaid">[1]Calc1!$N$375:$HF$375</definedName>
    <definedName name="OutputMedicaidAndCHIP">OutputMedicaid + OutputCHIP</definedName>
    <definedName name="OutputMomHourlyWage">[1]Calc1!$N$10:$HF$10</definedName>
    <definedName name="OutputMomWeeklyHours">[1]Calc1!$N$5:$HF$5</definedName>
    <definedName name="OutputSec8Entry">[1]Calc1!$N$685:$HF$685</definedName>
    <definedName name="OutputSec8Extended">[1]Calc1!$N$690:$HF$690</definedName>
    <definedName name="OutputSec8Final">[1]Calc1!$N$688:$HF$688</definedName>
    <definedName name="OutputSNAP">[1]Calc1!$N$313:$HF$313</definedName>
    <definedName name="OutputSSI">[1]Calc1!$N$280:$HF$280</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[1]Calc1!$N$221:$HF$221</definedName>
    <definedName name="OutputStateTax">[1]Calc1!$N$206:$HF$206</definedName>
    <definedName name="OutputSubsidizedSchoolMeals">[1]Calc1!$N$346:$HF$346</definedName>
    <definedName name="OutputTANF">[1]Calc1!$N$267:$HF$267</definedName>
    <definedName name="OutputWIC">[1]Calc1!$N$335:$HF$335</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9" i="1" l="1"/>
  <c r="E63" i="1" l="1" a="1"/>
  <c r="E63" i="1" s="1"/>
  <c r="O49" i="1"/>
  <c r="O50" i="1" s="1"/>
  <c r="N49" i="1"/>
  <c r="N50" i="1" s="1"/>
  <c r="M49" i="1"/>
  <c r="M50" i="1" s="1"/>
  <c r="L49" i="1"/>
  <c r="L50" i="1" s="1"/>
  <c r="K49" i="1"/>
  <c r="K50" i="1" s="1"/>
  <c r="J49" i="1"/>
  <c r="J50" i="1" s="1"/>
  <c r="I49" i="1"/>
  <c r="I50" i="1" s="1"/>
  <c r="H49" i="1"/>
  <c r="H50" i="1" s="1"/>
  <c r="G49" i="1"/>
  <c r="G50" i="1" s="1"/>
  <c r="F49" i="1"/>
  <c r="F50" i="1" s="1"/>
  <c r="E49" i="1"/>
  <c r="E50" i="1" s="1"/>
  <c r="O38" i="1"/>
  <c r="O39" i="1" s="1"/>
  <c r="N38" i="1"/>
  <c r="N39" i="1" s="1"/>
  <c r="M38" i="1"/>
  <c r="M39" i="1" s="1"/>
  <c r="L38" i="1"/>
  <c r="L39" i="1" s="1"/>
  <c r="K38" i="1"/>
  <c r="K39" i="1" s="1"/>
  <c r="J38" i="1"/>
  <c r="J39" i="1" s="1"/>
  <c r="I38" i="1"/>
  <c r="I39" i="1" s="1"/>
  <c r="H38" i="1"/>
  <c r="H39" i="1" s="1"/>
  <c r="G38" i="1"/>
  <c r="G39" i="1" s="1"/>
  <c r="F38" i="1"/>
  <c r="F39" i="1" s="1"/>
  <c r="E38" i="1"/>
  <c r="E39" i="1" s="1"/>
  <c r="U32" i="1"/>
  <c r="T32" i="1"/>
  <c r="U31" i="1"/>
  <c r="T31" i="1"/>
  <c r="U30" i="1"/>
  <c r="T30" i="1"/>
  <c r="U29" i="1"/>
  <c r="T29" i="1"/>
  <c r="H28" i="1"/>
  <c r="O27" i="1"/>
  <c r="O28" i="1" s="1"/>
  <c r="N27" i="1"/>
  <c r="N28" i="1" s="1"/>
  <c r="M27" i="1"/>
  <c r="M28" i="1" s="1"/>
  <c r="L27" i="1"/>
  <c r="L28" i="1" s="1"/>
  <c r="K27" i="1"/>
  <c r="K28" i="1" s="1"/>
  <c r="J27" i="1"/>
  <c r="J28" i="1" s="1"/>
  <c r="I27" i="1"/>
  <c r="I28" i="1" s="1"/>
  <c r="H27" i="1"/>
  <c r="G27" i="1"/>
  <c r="G28" i="1" s="1"/>
  <c r="F27" i="1"/>
  <c r="F28" i="1" s="1"/>
  <c r="E27" i="1"/>
  <c r="E28" i="1" s="1"/>
  <c r="U26" i="1"/>
  <c r="T26" i="1"/>
  <c r="U25" i="1"/>
  <c r="T25" i="1"/>
  <c r="AN24" i="1"/>
  <c r="AM24" i="1"/>
  <c r="AL24" i="1"/>
  <c r="AK24" i="1"/>
  <c r="AD24" i="1"/>
  <c r="AJ24" i="1" s="1"/>
  <c r="AC24" i="1"/>
  <c r="AF24" i="1" s="1"/>
  <c r="AB24" i="1"/>
  <c r="AE24" i="1" s="1"/>
  <c r="AA24" i="1"/>
  <c r="Z24" i="1"/>
  <c r="U24" i="1"/>
  <c r="T24" i="1"/>
  <c r="AN23" i="1"/>
  <c r="AM23" i="1"/>
  <c r="AL23" i="1"/>
  <c r="AK23" i="1"/>
  <c r="AD23" i="1"/>
  <c r="AJ23" i="1" s="1"/>
  <c r="AC23" i="1"/>
  <c r="AI23" i="1" s="1"/>
  <c r="AB23" i="1"/>
  <c r="AH23" i="1" s="1"/>
  <c r="AA23" i="1"/>
  <c r="Z23" i="1"/>
  <c r="U23" i="1"/>
  <c r="T23" i="1"/>
  <c r="AN22" i="1"/>
  <c r="AM22" i="1"/>
  <c r="AL22" i="1"/>
  <c r="AK22" i="1"/>
  <c r="AD22" i="1"/>
  <c r="AG22" i="1" s="1"/>
  <c r="AC22" i="1"/>
  <c r="AF22" i="1" s="1"/>
  <c r="AB22" i="1"/>
  <c r="AE22" i="1" s="1"/>
  <c r="AA22" i="1"/>
  <c r="Z22" i="1"/>
  <c r="W22" i="1"/>
  <c r="V22" i="1"/>
  <c r="T22" i="1"/>
  <c r="AN21" i="1"/>
  <c r="AM21" i="1"/>
  <c r="AL21" i="1"/>
  <c r="AK21" i="1"/>
  <c r="AD21" i="1"/>
  <c r="AJ21" i="1" s="1"/>
  <c r="AC21" i="1"/>
  <c r="AI21" i="1" s="1"/>
  <c r="AB21" i="1"/>
  <c r="AH21" i="1" s="1"/>
  <c r="AA21" i="1"/>
  <c r="Z21" i="1"/>
  <c r="AN20" i="1"/>
  <c r="AM20" i="1"/>
  <c r="AL20" i="1"/>
  <c r="AK20" i="1"/>
  <c r="AD20" i="1"/>
  <c r="AJ20" i="1" s="1"/>
  <c r="AC20" i="1"/>
  <c r="AI20" i="1" s="1"/>
  <c r="AB20" i="1"/>
  <c r="AH20" i="1" s="1"/>
  <c r="AA20" i="1"/>
  <c r="Z20" i="1"/>
  <c r="U20" i="1"/>
  <c r="AN19" i="1"/>
  <c r="AM19" i="1"/>
  <c r="AL19" i="1"/>
  <c r="AK19" i="1"/>
  <c r="AD19" i="1"/>
  <c r="AG19" i="1" s="1"/>
  <c r="AC19" i="1"/>
  <c r="AF19" i="1" s="1"/>
  <c r="AB19" i="1"/>
  <c r="AE19" i="1" s="1"/>
  <c r="AA19" i="1"/>
  <c r="Z19" i="1"/>
  <c r="T19" i="1"/>
  <c r="AH24" i="1" l="1"/>
  <c r="AI24" i="1"/>
  <c r="AI19" i="1"/>
  <c r="AG24" i="1"/>
  <c r="AI22" i="1"/>
  <c r="AJ22" i="1"/>
  <c r="AH22" i="1"/>
  <c r="AJ19" i="1"/>
  <c r="AH19" i="1"/>
  <c r="AE20" i="1"/>
  <c r="AF20" i="1"/>
  <c r="AG20" i="1"/>
  <c r="AE23" i="1"/>
  <c r="AE21" i="1"/>
  <c r="AF23" i="1"/>
  <c r="AF21" i="1"/>
  <c r="AG23" i="1"/>
  <c r="AG21" i="1"/>
</calcChain>
</file>

<file path=xl/sharedStrings.xml><?xml version="1.0" encoding="utf-8"?>
<sst xmlns="http://schemas.openxmlformats.org/spreadsheetml/2006/main" count="126" uniqueCount="66">
  <si>
    <t>FPIG</t>
  </si>
  <si>
    <t>Federal Poverty Income Guidelines</t>
  </si>
  <si>
    <t>U.S. Federal Poverty Guidelines Used to Determine Financial Eligibility for Certain Federal Programs</t>
  </si>
  <si>
    <t>U.S Department of Health and Human Services</t>
  </si>
  <si>
    <t>Office of the Assistant Secretary for Planning Evaluation</t>
  </si>
  <si>
    <t>https://aspe.hhs.gov/poverty-guidelines</t>
  </si>
  <si>
    <t>From the website, accessed 02/21/2020</t>
  </si>
  <si>
    <t>"There are two slightly different versions of the federal poverty measure: poverty thresholds and poverty guidelines."</t>
  </si>
  <si>
    <t>"The poverty thresholds are the original version of the federal poverty measure. They are updated each year by the Census Bureau. The thresholds are used mainly for statistical purposes — for instance, preparing estimates of the number of Americans in poverty each year. (In other words, all official poverty population figures are calculated using the poverty thresholds, not the guidelines). Poverty thresholds since 1973 (and for selected earlier years) and weighted average poverty thresholds since 1959 are available on the Census Bureau’s Web site. For an example of how the Census Bureau applies the thresholds to a family’s income to determine its poverty status, see “How the Census Bureau Measures Poverty” on the Census Bureau’s web site."</t>
  </si>
  <si>
    <r>
      <t xml:space="preserve">"The poverty guidelines are the other version of the federal poverty measure. They are issued each year in the </t>
    </r>
    <r>
      <rPr>
        <sz val="11"/>
        <color rgb="FFFF0000"/>
        <rFont val="Calibri"/>
        <family val="2"/>
        <scheme val="minor"/>
      </rPr>
      <t>Federal Register by the Department of Health and Human Services (HHS</t>
    </r>
    <r>
      <rPr>
        <sz val="11"/>
        <color theme="1"/>
        <rFont val="Calibri"/>
        <family val="2"/>
        <scheme val="minor"/>
      </rPr>
      <t>). The guidelines are a simplification of the poverty thresholds for use for administrative purposes — for instance, determining financial eligibility for certain federal programs."</t>
    </r>
  </si>
  <si>
    <t>"The poverty guidelines are sometimes loosely referred to as the “federal poverty level” (FPL), but that phrase is ambiguous and should be avoided, especially in situations (e.g., legislative or administrative) where precision is important."</t>
  </si>
  <si>
    <t>"Key differences between poverty thresholds and poverty guidelines are outlined in a table under Frequently Asked Questions (FAQs). See also the discussion of this topic on the Institute for Research on Poverty’s web site"</t>
  </si>
  <si>
    <t>"The January 2020 poverty guidelines are calculated by taking the 2018 Census Bureau’s poverty thresholds and adjusting them for price changes between 2018 and 2019 using the Consumer Price Index (CPI-U). The poverty thresholds used by the Census Bureau for statistical purposes are complex and are not composed of standardized increments between family sizes. Since many program officials prefer to use guidelines with uniform increments across family sizes, the poverty guidelines include rounding and standardizing adjustments."</t>
  </si>
  <si>
    <t>LookupTable: FPIG</t>
  </si>
  <si>
    <t>Monthly</t>
  </si>
  <si>
    <t>State</t>
  </si>
  <si>
    <t>Persons in Family/Household</t>
  </si>
  <si>
    <t>2011</t>
  </si>
  <si>
    <t>2012</t>
  </si>
  <si>
    <t>2013</t>
  </si>
  <si>
    <t>2014</t>
  </si>
  <si>
    <t>2015</t>
  </si>
  <si>
    <t>2016</t>
  </si>
  <si>
    <t>2017</t>
  </si>
  <si>
    <t>2018</t>
  </si>
  <si>
    <t>2019</t>
  </si>
  <si>
    <t>2020</t>
  </si>
  <si>
    <t>2021</t>
  </si>
  <si>
    <t>2022</t>
  </si>
  <si>
    <t>48 States</t>
  </si>
  <si>
    <t>add*</t>
  </si>
  <si>
    <t>Alaska</t>
  </si>
  <si>
    <t>Hawaii</t>
  </si>
  <si>
    <t>Notes</t>
  </si>
  <si>
    <t>add* means amount to be added per each additional family/household member over 8 persons</t>
  </si>
  <si>
    <t>48 states mean 48 contiguous states plus the District of Columbia</t>
  </si>
  <si>
    <t>The poverty guidelines are not defined for Puerto Rico, the U.S. Virgin Islands, American Samoa, Guam, the Republic of the Marshall Islands, the Federated States of Micronesia, the Commonwealth of the Northern Mariana Islands, and Palau. In cases in which a Federal program using the poverty guidelines serves any of those jurisdictions, the Federal office which administers the program is responsible for deciding whether to use the contiguous-states-and-D.C. guidelines for those jurisdictions or to follow some other procedure.</t>
  </si>
  <si>
    <t>Formula</t>
  </si>
  <si>
    <t>formula=</t>
  </si>
  <si>
    <t>INDEX(FPIG,MATCH(1,(FPIG[State]=$E$54)*(FPIG[Persons in Family/Household]=$E$55),0),MATCH($E$56,VALUE(FPIG[#Headers]),0))</t>
  </si>
  <si>
    <t>test formula=</t>
  </si>
  <si>
    <t xml:space="preserve">input: state </t>
  </si>
  <si>
    <t>input:  name</t>
  </si>
  <si>
    <t>input: year</t>
  </si>
  <si>
    <t>test result =</t>
  </si>
  <si>
    <t>Sources</t>
  </si>
  <si>
    <t>Most recent year found here: https://aspe.hhs.gov/poverty-guidelines</t>
  </si>
  <si>
    <t>Prior years can be found here: https://aspe.hhs.gov/prior-hhs-poverty-guidelines-and-federal-register-references</t>
  </si>
  <si>
    <t>Federal Register</t>
  </si>
  <si>
    <t>2011 Vol. 76, No. 13, January 20, 2011, pp. 3637-3638</t>
  </si>
  <si>
    <t>2012 Vol. 77, No. 17, January 26, 2012, pp. 4034-4035</t>
  </si>
  <si>
    <t>2013 Vol. 78, No. 16, January 24, 2013, pp. 5182-5183</t>
  </si>
  <si>
    <t>2014 Vol. 79, No. 14, January 22, 2014, pp. 3593-3594</t>
  </si>
  <si>
    <t>2015 Vol. 80, No. 14, January 22, 2015, pp. 3236-3237</t>
  </si>
  <si>
    <t>2016 Vol. 81, No.15 January 25, 2016, pp. 4036-4037</t>
  </si>
  <si>
    <t>2017 Vol. 82, No. 19, January 31, 2017, pp. 8831-8832</t>
  </si>
  <si>
    <t>2018 Vol. 83, No. 12, January 18, 2018, pp. 2642-2644</t>
  </si>
  <si>
    <t>2019 Vol. 84, No. 22, February 1, 2019, pp. 1167-1168</t>
  </si>
  <si>
    <t>The 2020 poverty guidelines are in effect as of January 15, 2020</t>
  </si>
  <si>
    <t>2020 Vol. 85, No. 12, January 17, 2020, pp. 3060-3061</t>
  </si>
  <si>
    <t>The Federal Register notice for the 2020 Poverty Guidelines was published January 17, 2020</t>
  </si>
  <si>
    <t>https://www.federalregister.gov/documents/2020/01/17/2020-00858/annual-update-of-the-hhs-poverty-guidelines</t>
  </si>
  <si>
    <t>https://aspe.hhs.gov/topics/poverty-economic-mobility/poverty-guidelines</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</si>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</sst>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0.0%"/>
    <numFmt numFmtId="165" formatCode="&quot;$&quot;#,##0"/>
    <numFmt numFmtId="166" formatCode="&quot;$&quot;#,##0.0_);[Red]\(&quot;$&quot;#,##0.0\)"/>
  </numFmts>
  <fonts count="1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i/>
      <sz val="12"/>
      <color rgb="FF2F2F2F"/>
      <name val="Arial"/>
      <family val="2"/>
    </font>
    <font>
      <sz val="10"/>
      <color rgb="FF333333"/>
      <name val="Arial"/>
      <family val="2"/>
    </font>
    <font>
      <b/>
      <sz val="11"/>
      <color rgb="FFFF0000"/>
      <name val="Calibri"/>
      <family val="2"/>
      <scheme val="minor"/>
    </font>
    <font>
      <sz val="8"/>
      <name val="Calibri"/>
      <family val="2"/>
      <scheme val="minor"/>
    </font>
    <font>
      <sz val="11"/>
      <color rgb="FF000000"/>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24">
    <xf numFmtId="0" fontId="0" fillId="0" borderId="0" xfId="0"/>
    <xf numFmtId="0" fontId="3" fillId="0" borderId="0" xfId="0" applyFont="1"/>
    <xf numFmtId="0" fontId="5" fillId="0" borderId="0" xfId="0" applyFont="1"/>
    <xf numFmtId="6" fontId="0" fillId="0" borderId="0" xfId="0" applyNumberFormat="1"/>
    <xf numFmtId="0" fontId="4" fillId="0" borderId="0" xfId="2"/>
    <xf numFmtId="0" fontId="6" fillId="0" borderId="0" xfId="0" applyFont="1"/>
    <xf numFmtId="0" fontId="7" fillId="0" borderId="0" xfId="0" applyFont="1"/>
    <xf numFmtId="0" fontId="0" fillId="0" borderId="0" xfId="0" applyAlignment="1">
      <alignment horizontal="center"/>
    </xf>
    <xf numFmtId="9" fontId="0" fillId="0" borderId="0" xfId="0" applyNumberFormat="1"/>
    <xf numFmtId="8" fontId="0" fillId="0" borderId="0" xfId="0" applyNumberFormat="1"/>
    <xf numFmtId="164" fontId="0" fillId="0" borderId="0" xfId="1" applyNumberFormat="1" applyFont="1"/>
    <xf numFmtId="165" fontId="0" fillId="0" borderId="0" xfId="0" applyNumberFormat="1"/>
    <xf numFmtId="0" fontId="0" fillId="0" borderId="0" xfId="0" applyAlignment="1">
      <alignment horizontal="right"/>
    </xf>
    <xf numFmtId="0" fontId="0" fillId="2" borderId="1" xfId="0" applyFill="1" applyBorder="1"/>
    <xf numFmtId="0" fontId="0" fillId="2" borderId="2" xfId="0" applyFill="1" applyBorder="1" applyAlignment="1">
      <alignment horizontal="center"/>
    </xf>
    <xf numFmtId="0" fontId="0" fillId="0" borderId="1" xfId="0" applyBorder="1"/>
    <xf numFmtId="0" fontId="0" fillId="0" borderId="2" xfId="0" applyBorder="1" applyAlignment="1">
      <alignment horizontal="center"/>
    </xf>
    <xf numFmtId="0" fontId="2" fillId="0" borderId="0" xfId="0" applyFont="1" applyAlignment="1">
      <alignment horizontal="right"/>
    </xf>
    <xf numFmtId="6" fontId="0" fillId="0" borderId="2" xfId="0" applyNumberFormat="1" applyBorder="1"/>
    <xf numFmtId="165" fontId="9" fillId="0" borderId="0" xfId="0" applyNumberFormat="1" applyFont="1" applyAlignment="1">
      <alignment horizontal="center" vertical="top" wrapText="1"/>
    </xf>
    <xf numFmtId="165" fontId="0" fillId="0" borderId="0" xfId="0" applyNumberFormat="1" applyAlignment="1">
      <alignment horizontal="center"/>
    </xf>
    <xf numFmtId="6" fontId="9" fillId="0" borderId="0" xfId="0" applyNumberFormat="1" applyFont="1" applyAlignment="1">
      <alignment horizontal="center" vertical="top" wrapText="1"/>
    </xf>
    <xf numFmtId="6" fontId="0" fillId="0" borderId="0" xfId="0" applyNumberFormat="1" applyAlignment="1">
      <alignment horizontal="center"/>
    </xf>
    <xf numFmtId="166" fontId="0" fillId="0" borderId="0" xfId="0" applyNumberFormat="1"/>
  </cellXfs>
  <cellStyles count="3">
    <cellStyle name="Hyperlink" xfId="2" builtinId="8"/>
    <cellStyle name="Normal" xfId="0" builtinId="0"/>
    <cellStyle name="Percent" xfId="1" builtinId="5"/>
  </cellStyles>
  <dxfs count="17">
    <dxf>
      <numFmt numFmtId="10" formatCode="&quot;$&quot;#,##0_);[Red]\(&quot;$&quot;#,##0\)"/>
    </dxf>
    <dxf>
      <numFmt numFmtId="10" formatCode="&quot;$&quot;#,##0_);[Red]\(&quot;$&quot;#,##0\)"/>
    </dxf>
    <dxf>
      <numFmt numFmtId="165" formatCode="&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w1.xlsm" TargetMode="External"/><Relationship Id="rId1" Type="http://schemas.openxmlformats.org/officeDocument/2006/relationships/externalLinkPath" Target="/Users/Owner/Documents/Just%20Saying%20That/Consulting/GCO/Cliff%20Development/Cliff%20Model%20Working%20Group-v12.8w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Missouri</v>
          </cell>
        </row>
        <row r="7">
          <cell r="C7" t="str">
            <v>Statewide Average</v>
          </cell>
        </row>
        <row r="11">
          <cell r="C11" t="str">
            <v>Yes</v>
          </cell>
          <cell r="D11">
            <v>28</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0.85941504528810353</v>
          </cell>
          <cell r="P5">
            <v>1.7188300905762071</v>
          </cell>
          <cell r="Q5">
            <v>2.5782451358643104</v>
          </cell>
          <cell r="R5">
            <v>3.4376601811524141</v>
          </cell>
          <cell r="S5">
            <v>4.2970752264405174</v>
          </cell>
          <cell r="T5">
            <v>5.1564902717286207</v>
          </cell>
          <cell r="U5">
            <v>6.015905317016724</v>
          </cell>
          <cell r="V5">
            <v>6.8753203623048282</v>
          </cell>
          <cell r="W5">
            <v>7.7347354075929315</v>
          </cell>
          <cell r="X5">
            <v>8.5941504528810349</v>
          </cell>
          <cell r="Y5">
            <v>9.453565498169139</v>
          </cell>
          <cell r="Z5">
            <v>10.312980543457241</v>
          </cell>
          <cell r="AA5">
            <v>11.172395588745344</v>
          </cell>
          <cell r="AB5">
            <v>12.031810634033448</v>
          </cell>
          <cell r="AC5">
            <v>12.891225679321552</v>
          </cell>
          <cell r="AD5">
            <v>13.750640724609656</v>
          </cell>
          <cell r="AE5">
            <v>14.610055769897759</v>
          </cell>
          <cell r="AF5">
            <v>15.469470815185863</v>
          </cell>
          <cell r="AG5">
            <v>16.328885860473967</v>
          </cell>
          <cell r="AH5">
            <v>17.18830090576207</v>
          </cell>
          <cell r="AI5">
            <v>18.047715951050172</v>
          </cell>
          <cell r="AJ5">
            <v>18.907130996338278</v>
          </cell>
          <cell r="AK5">
            <v>19.766546041626377</v>
          </cell>
          <cell r="AL5">
            <v>20.625961086914483</v>
          </cell>
          <cell r="AM5">
            <v>21.485376132202585</v>
          </cell>
          <cell r="AN5">
            <v>22.344791177490688</v>
          </cell>
          <cell r="AO5">
            <v>23.204206222778794</v>
          </cell>
          <cell r="AP5">
            <v>24.063621268066896</v>
          </cell>
          <cell r="AQ5">
            <v>24.923036313355002</v>
          </cell>
          <cell r="AR5">
            <v>25.782451358643105</v>
          </cell>
          <cell r="AS5">
            <v>26.641866403931207</v>
          </cell>
          <cell r="AT5">
            <v>27.501281449219313</v>
          </cell>
          <cell r="AU5">
            <v>28.360696494507415</v>
          </cell>
          <cell r="AV5">
            <v>29.220111539795518</v>
          </cell>
          <cell r="AW5">
            <v>30.079526585083624</v>
          </cell>
          <cell r="AX5">
            <v>30.938941630371726</v>
          </cell>
          <cell r="AY5">
            <v>31.798356675659829</v>
          </cell>
          <cell r="AZ5">
            <v>32.657771720947935</v>
          </cell>
          <cell r="BA5">
            <v>33.517186766236037</v>
          </cell>
          <cell r="BB5">
            <v>34.376601811524139</v>
          </cell>
          <cell r="BC5">
            <v>35.236016856812242</v>
          </cell>
          <cell r="BD5">
            <v>36.095431902100344</v>
          </cell>
          <cell r="BE5">
            <v>36.954846947388454</v>
          </cell>
          <cell r="BF5">
            <v>37.814261992676556</v>
          </cell>
          <cell r="BG5">
            <v>38.673677037964659</v>
          </cell>
          <cell r="BH5">
            <v>39.533092083252754</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41.666666666666664</v>
          </cell>
          <cell r="P6">
            <v>83.333333333333329</v>
          </cell>
          <cell r="Q6">
            <v>125</v>
          </cell>
          <cell r="R6">
            <v>166.66666666666666</v>
          </cell>
          <cell r="S6">
            <v>208.33333333333331</v>
          </cell>
          <cell r="T6">
            <v>249.99999999999997</v>
          </cell>
          <cell r="U6">
            <v>291.66666666666663</v>
          </cell>
          <cell r="V6">
            <v>333.33333333333331</v>
          </cell>
          <cell r="W6">
            <v>375</v>
          </cell>
          <cell r="X6">
            <v>416.66666666666669</v>
          </cell>
          <cell r="Y6">
            <v>458.33333333333337</v>
          </cell>
          <cell r="Z6">
            <v>500.00000000000006</v>
          </cell>
          <cell r="AA6">
            <v>541.66666666666674</v>
          </cell>
          <cell r="AB6">
            <v>583.33333333333337</v>
          </cell>
          <cell r="AC6">
            <v>625</v>
          </cell>
          <cell r="AD6">
            <v>666.66666666666663</v>
          </cell>
          <cell r="AE6">
            <v>708.33333333333326</v>
          </cell>
          <cell r="AF6">
            <v>749.99999999999989</v>
          </cell>
          <cell r="AG6">
            <v>791.66666666666652</v>
          </cell>
          <cell r="AH6">
            <v>833.33333333333314</v>
          </cell>
          <cell r="AI6">
            <v>874.99999999999977</v>
          </cell>
          <cell r="AJ6">
            <v>916.6666666666664</v>
          </cell>
          <cell r="AK6">
            <v>958.33333333333303</v>
          </cell>
          <cell r="AL6">
            <v>999.99999999999966</v>
          </cell>
          <cell r="AM6">
            <v>1041.6666666666663</v>
          </cell>
          <cell r="AN6">
            <v>1083.333333333333</v>
          </cell>
          <cell r="AO6">
            <v>1124.9999999999998</v>
          </cell>
          <cell r="AP6">
            <v>1166.6666666666665</v>
          </cell>
          <cell r="AQ6">
            <v>1208.3333333333333</v>
          </cell>
          <cell r="AR6">
            <v>1250</v>
          </cell>
          <cell r="AS6">
            <v>1291.6666666666667</v>
          </cell>
          <cell r="AT6">
            <v>1333.3333333333335</v>
          </cell>
          <cell r="AU6">
            <v>1375.0000000000002</v>
          </cell>
          <cell r="AV6">
            <v>1416.666666666667</v>
          </cell>
          <cell r="AW6">
            <v>1458.3333333333337</v>
          </cell>
          <cell r="AX6">
            <v>1500.0000000000005</v>
          </cell>
          <cell r="AY6">
            <v>1541.6666666666672</v>
          </cell>
          <cell r="AZ6">
            <v>1583.3333333333339</v>
          </cell>
          <cell r="BA6">
            <v>1625.0000000000007</v>
          </cell>
          <cell r="BB6">
            <v>1666.6666666666674</v>
          </cell>
          <cell r="BC6">
            <v>1708.3333333333342</v>
          </cell>
          <cell r="BD6">
            <v>1750.0000000000009</v>
          </cell>
          <cell r="BE6">
            <v>1791.6666666666677</v>
          </cell>
          <cell r="BF6">
            <v>1833.3333333333344</v>
          </cell>
          <cell r="BG6">
            <v>1875.0000000000011</v>
          </cell>
          <cell r="BH6">
            <v>1916.6666666666679</v>
          </cell>
          <cell r="BI6">
            <v>1958.3333333333346</v>
          </cell>
          <cell r="BJ6">
            <v>2000.0000000000014</v>
          </cell>
          <cell r="BK6">
            <v>2041.6666666666681</v>
          </cell>
          <cell r="BL6">
            <v>2083.3333333333348</v>
          </cell>
          <cell r="BM6">
            <v>2125.0000000000014</v>
          </cell>
          <cell r="BN6">
            <v>2166.6666666666679</v>
          </cell>
          <cell r="BO6">
            <v>2208.3333333333344</v>
          </cell>
          <cell r="BP6">
            <v>2250.0000000000009</v>
          </cell>
          <cell r="BQ6">
            <v>2291.6666666666674</v>
          </cell>
          <cell r="BR6">
            <v>2333.3333333333339</v>
          </cell>
          <cell r="BS6">
            <v>2375.0000000000005</v>
          </cell>
          <cell r="BT6">
            <v>2416.666666666667</v>
          </cell>
          <cell r="BU6">
            <v>2458.3333333333335</v>
          </cell>
          <cell r="BV6">
            <v>2500</v>
          </cell>
          <cell r="BW6">
            <v>2541.6666666666665</v>
          </cell>
          <cell r="BX6">
            <v>2583.333333333333</v>
          </cell>
          <cell r="BY6">
            <v>2624.9999999999995</v>
          </cell>
          <cell r="BZ6">
            <v>2666.6666666666661</v>
          </cell>
          <cell r="CA6">
            <v>2708.3333333333326</v>
          </cell>
          <cell r="CB6">
            <v>2749.9999999999991</v>
          </cell>
          <cell r="CC6">
            <v>2791.6666666666656</v>
          </cell>
          <cell r="CD6">
            <v>2833.3333333333321</v>
          </cell>
          <cell r="CE6">
            <v>2874.9999999999986</v>
          </cell>
          <cell r="CF6">
            <v>2916.6666666666652</v>
          </cell>
          <cell r="CG6">
            <v>2958.3333333333317</v>
          </cell>
          <cell r="CH6">
            <v>2999.9999999999982</v>
          </cell>
          <cell r="CI6">
            <v>3041.6666666666647</v>
          </cell>
          <cell r="CJ6">
            <v>3083.3333333333312</v>
          </cell>
          <cell r="CK6">
            <v>3124.9999999999977</v>
          </cell>
          <cell r="CL6">
            <v>3166.6666666666642</v>
          </cell>
          <cell r="CM6">
            <v>3208.3333333333308</v>
          </cell>
          <cell r="CN6">
            <v>3249.9999999999973</v>
          </cell>
          <cell r="CO6">
            <v>3291.6666666666638</v>
          </cell>
          <cell r="CP6">
            <v>3333.3333333333303</v>
          </cell>
          <cell r="CQ6">
            <v>3374.9999999999968</v>
          </cell>
          <cell r="CR6">
            <v>3416.6666666666633</v>
          </cell>
          <cell r="CS6">
            <v>3458.3333333333298</v>
          </cell>
          <cell r="CT6">
            <v>3499.9999999999964</v>
          </cell>
          <cell r="CU6">
            <v>3541.6666666666629</v>
          </cell>
          <cell r="CV6">
            <v>3583.3333333333294</v>
          </cell>
          <cell r="CW6">
            <v>3624.9999999999959</v>
          </cell>
          <cell r="CX6">
            <v>3666.6666666666624</v>
          </cell>
          <cell r="CY6">
            <v>3708.3333333333289</v>
          </cell>
          <cell r="CZ6">
            <v>3749.9999999999955</v>
          </cell>
          <cell r="DA6">
            <v>3791.666666666662</v>
          </cell>
          <cell r="DB6">
            <v>3833.3333333333285</v>
          </cell>
          <cell r="DC6">
            <v>3874.999999999995</v>
          </cell>
          <cell r="DD6">
            <v>3916.6666666666615</v>
          </cell>
          <cell r="DE6">
            <v>3958.333333333328</v>
          </cell>
          <cell r="DF6">
            <v>3999.9999999999945</v>
          </cell>
          <cell r="DG6">
            <v>4041.6666666666611</v>
          </cell>
          <cell r="DH6">
            <v>4083.3333333333276</v>
          </cell>
          <cell r="DI6">
            <v>4124.9999999999945</v>
          </cell>
          <cell r="DJ6">
            <v>4166.6666666666615</v>
          </cell>
          <cell r="DK6">
            <v>4208.3333333333285</v>
          </cell>
          <cell r="DL6">
            <v>4249.9999999999955</v>
          </cell>
          <cell r="DM6">
            <v>4291.6666666666624</v>
          </cell>
          <cell r="DN6">
            <v>4333.3333333333294</v>
          </cell>
          <cell r="DO6">
            <v>4374.9999999999964</v>
          </cell>
          <cell r="DP6">
            <v>4416.6666666666633</v>
          </cell>
          <cell r="DQ6">
            <v>4458.3333333333303</v>
          </cell>
          <cell r="DR6">
            <v>4499.9999999999973</v>
          </cell>
          <cell r="DS6">
            <v>4541.6666666666642</v>
          </cell>
          <cell r="DT6">
            <v>4583.3333333333312</v>
          </cell>
          <cell r="DU6">
            <v>4624.9999999999982</v>
          </cell>
          <cell r="DV6">
            <v>4666.6666666666652</v>
          </cell>
          <cell r="DW6">
            <v>4708.3333333333321</v>
          </cell>
          <cell r="DX6">
            <v>4749.9999999999991</v>
          </cell>
          <cell r="DY6">
            <v>4791.6666666666661</v>
          </cell>
          <cell r="DZ6">
            <v>4833.333333333333</v>
          </cell>
          <cell r="EA6">
            <v>4875</v>
          </cell>
          <cell r="EB6">
            <v>4916.666666666667</v>
          </cell>
          <cell r="EC6">
            <v>4958.3333333333339</v>
          </cell>
          <cell r="ED6">
            <v>5000.0000000000009</v>
          </cell>
          <cell r="EE6">
            <v>5041.6666666666679</v>
          </cell>
          <cell r="EF6">
            <v>5083.3333333333348</v>
          </cell>
          <cell r="EG6">
            <v>5125.0000000000018</v>
          </cell>
          <cell r="EH6">
            <v>5166.6666666666688</v>
          </cell>
          <cell r="EI6">
            <v>5208.3333333333358</v>
          </cell>
          <cell r="EJ6">
            <v>5250.0000000000027</v>
          </cell>
          <cell r="EK6">
            <v>5291.6666666666697</v>
          </cell>
          <cell r="EL6">
            <v>5333.3333333333367</v>
          </cell>
          <cell r="EM6">
            <v>5375.0000000000036</v>
          </cell>
          <cell r="EN6">
            <v>5416.6666666666706</v>
          </cell>
          <cell r="EO6">
            <v>5458.3333333333376</v>
          </cell>
          <cell r="EP6">
            <v>5500.0000000000045</v>
          </cell>
          <cell r="EQ6">
            <v>5541.6666666666715</v>
          </cell>
          <cell r="ER6">
            <v>5583.3333333333385</v>
          </cell>
          <cell r="ES6">
            <v>5625.0000000000055</v>
          </cell>
          <cell r="ET6">
            <v>5666.6666666666724</v>
          </cell>
          <cell r="EU6">
            <v>5708.3333333333394</v>
          </cell>
          <cell r="EV6">
            <v>5750.0000000000064</v>
          </cell>
          <cell r="EW6">
            <v>5791.6666666666733</v>
          </cell>
          <cell r="EX6">
            <v>5833.3333333333403</v>
          </cell>
          <cell r="EY6">
            <v>5875.0000000000073</v>
          </cell>
          <cell r="EZ6">
            <v>5916.6666666666742</v>
          </cell>
          <cell r="FA6">
            <v>5958.3333333333412</v>
          </cell>
          <cell r="FB6">
            <v>6000.0000000000082</v>
          </cell>
          <cell r="FC6">
            <v>6041.6666666666752</v>
          </cell>
          <cell r="FD6">
            <v>6083.3333333333421</v>
          </cell>
          <cell r="FE6">
            <v>6125.0000000000091</v>
          </cell>
          <cell r="FF6">
            <v>6166.6666666666761</v>
          </cell>
          <cell r="FG6">
            <v>6208.333333333343</v>
          </cell>
          <cell r="FH6">
            <v>6250.00000000001</v>
          </cell>
          <cell r="FI6">
            <v>6291.666666666677</v>
          </cell>
          <cell r="FJ6">
            <v>6333.3333333333439</v>
          </cell>
          <cell r="FK6">
            <v>6375.0000000000109</v>
          </cell>
          <cell r="FL6">
            <v>6416.6666666666779</v>
          </cell>
          <cell r="FM6">
            <v>6458.3333333333449</v>
          </cell>
          <cell r="FN6">
            <v>6500.0000000000118</v>
          </cell>
          <cell r="FO6">
            <v>6541.6666666666788</v>
          </cell>
          <cell r="FP6">
            <v>6583.3333333333458</v>
          </cell>
          <cell r="FQ6">
            <v>6625.0000000000127</v>
          </cell>
          <cell r="FR6">
            <v>6666.6666666666797</v>
          </cell>
          <cell r="FS6">
            <v>6708.3333333333467</v>
          </cell>
          <cell r="FT6">
            <v>6750.0000000000136</v>
          </cell>
          <cell r="FU6">
            <v>6791.6666666666806</v>
          </cell>
          <cell r="FV6">
            <v>6833.3333333333476</v>
          </cell>
          <cell r="FW6">
            <v>6875.0000000000146</v>
          </cell>
          <cell r="FX6">
            <v>6916.6666666666815</v>
          </cell>
          <cell r="FY6">
            <v>6958.3333333333485</v>
          </cell>
          <cell r="FZ6">
            <v>7000.0000000000155</v>
          </cell>
          <cell r="GA6">
            <v>7041.6666666666824</v>
          </cell>
          <cell r="GB6">
            <v>7083.3333333333494</v>
          </cell>
          <cell r="GC6">
            <v>7125.0000000000164</v>
          </cell>
          <cell r="GD6">
            <v>7166.6666666666833</v>
          </cell>
          <cell r="GE6">
            <v>7208.3333333333503</v>
          </cell>
          <cell r="GF6">
            <v>7250.0000000000173</v>
          </cell>
          <cell r="GG6">
            <v>7291.6666666666843</v>
          </cell>
          <cell r="GH6">
            <v>7333.3333333333512</v>
          </cell>
          <cell r="GI6">
            <v>7375.0000000000182</v>
          </cell>
          <cell r="GJ6">
            <v>7416.6666666666852</v>
          </cell>
          <cell r="GK6">
            <v>7458.3333333333521</v>
          </cell>
          <cell r="GL6">
            <v>7500.0000000000191</v>
          </cell>
          <cell r="GM6">
            <v>7541.6666666666861</v>
          </cell>
          <cell r="GN6">
            <v>7583.333333333353</v>
          </cell>
          <cell r="GO6">
            <v>7625.00000000002</v>
          </cell>
          <cell r="GP6">
            <v>7666.666666666687</v>
          </cell>
          <cell r="GQ6">
            <v>7708.3333333333539</v>
          </cell>
          <cell r="GR6">
            <v>7750.0000000000209</v>
          </cell>
          <cell r="GS6">
            <v>7791.6666666666879</v>
          </cell>
          <cell r="GT6">
            <v>7833.3333333333549</v>
          </cell>
          <cell r="GU6">
            <v>7875.0000000000218</v>
          </cell>
          <cell r="GV6">
            <v>7916.6666666666888</v>
          </cell>
          <cell r="GW6">
            <v>7958.3333333333558</v>
          </cell>
          <cell r="GX6">
            <v>8000.0000000000227</v>
          </cell>
          <cell r="GY6">
            <v>8041.6666666666897</v>
          </cell>
          <cell r="GZ6">
            <v>8083.3333333333567</v>
          </cell>
          <cell r="HA6">
            <v>8125.0000000000236</v>
          </cell>
          <cell r="HB6">
            <v>8166.6666666666906</v>
          </cell>
          <cell r="HC6">
            <v>8208.3333333333576</v>
          </cell>
          <cell r="HD6">
            <v>8250.0000000000236</v>
          </cell>
          <cell r="HE6">
            <v>8291.6666666666897</v>
          </cell>
          <cell r="HF6">
            <v>8333.3333333333558</v>
          </cell>
        </row>
        <row r="7">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row>
        <row r="10">
          <cell r="N10">
            <v>0</v>
          </cell>
          <cell r="O10">
            <v>11.15</v>
          </cell>
          <cell r="P10">
            <v>11.15</v>
          </cell>
          <cell r="Q10">
            <v>11.15</v>
          </cell>
          <cell r="R10">
            <v>11.15</v>
          </cell>
          <cell r="S10">
            <v>11.15</v>
          </cell>
          <cell r="T10">
            <v>11.15</v>
          </cell>
          <cell r="U10">
            <v>11.15</v>
          </cell>
          <cell r="V10">
            <v>11.15</v>
          </cell>
          <cell r="W10">
            <v>11.15</v>
          </cell>
          <cell r="X10">
            <v>11.15</v>
          </cell>
          <cell r="Y10">
            <v>11.15</v>
          </cell>
          <cell r="Z10">
            <v>11.15</v>
          </cell>
          <cell r="AA10">
            <v>11.15</v>
          </cell>
          <cell r="AB10">
            <v>11.15</v>
          </cell>
          <cell r="AC10">
            <v>11.15</v>
          </cell>
          <cell r="AD10">
            <v>11.15</v>
          </cell>
          <cell r="AE10">
            <v>11.15</v>
          </cell>
          <cell r="AF10">
            <v>11.15</v>
          </cell>
          <cell r="AG10">
            <v>11.15</v>
          </cell>
          <cell r="AH10">
            <v>11.15</v>
          </cell>
          <cell r="AI10">
            <v>11.15</v>
          </cell>
          <cell r="AJ10">
            <v>11.15</v>
          </cell>
          <cell r="AK10">
            <v>11.15</v>
          </cell>
          <cell r="AL10">
            <v>11.15</v>
          </cell>
          <cell r="AM10">
            <v>11.15</v>
          </cell>
          <cell r="AN10">
            <v>11.15</v>
          </cell>
          <cell r="AO10">
            <v>11.15</v>
          </cell>
          <cell r="AP10">
            <v>11.15</v>
          </cell>
          <cell r="AQ10">
            <v>11.15</v>
          </cell>
          <cell r="AR10">
            <v>11.15</v>
          </cell>
          <cell r="AS10">
            <v>11.15</v>
          </cell>
          <cell r="AT10">
            <v>11.15</v>
          </cell>
          <cell r="AU10">
            <v>11.15</v>
          </cell>
          <cell r="AV10">
            <v>11.15</v>
          </cell>
          <cell r="AW10">
            <v>11.15</v>
          </cell>
          <cell r="AX10">
            <v>11.15</v>
          </cell>
          <cell r="AY10">
            <v>11.15</v>
          </cell>
          <cell r="AZ10">
            <v>11.15</v>
          </cell>
          <cell r="BA10">
            <v>11.15</v>
          </cell>
          <cell r="BB10">
            <v>11.15</v>
          </cell>
          <cell r="BC10">
            <v>11.15</v>
          </cell>
          <cell r="BD10">
            <v>11.15</v>
          </cell>
          <cell r="BE10">
            <v>11.15</v>
          </cell>
          <cell r="BF10">
            <v>11.15</v>
          </cell>
          <cell r="BG10">
            <v>11.15</v>
          </cell>
          <cell r="BH10">
            <v>11.15</v>
          </cell>
          <cell r="BI10">
            <v>11.15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6.8</v>
          </cell>
          <cell r="BB102">
            <v>40.799999999999997</v>
          </cell>
          <cell r="BC102">
            <v>74.8</v>
          </cell>
          <cell r="BD102">
            <v>108.8</v>
          </cell>
          <cell r="BE102">
            <v>144.9</v>
          </cell>
          <cell r="BF102">
            <v>179.4</v>
          </cell>
          <cell r="BG102">
            <v>213.9</v>
          </cell>
          <cell r="BH102">
            <v>248.4</v>
          </cell>
          <cell r="BI102">
            <v>287</v>
          </cell>
          <cell r="BJ102">
            <v>322</v>
          </cell>
          <cell r="BK102">
            <v>357</v>
          </cell>
          <cell r="BL102">
            <v>392</v>
          </cell>
          <cell r="BM102">
            <v>433.1</v>
          </cell>
          <cell r="BN102">
            <v>468.6</v>
          </cell>
          <cell r="BO102">
            <v>504.1</v>
          </cell>
          <cell r="BP102">
            <v>539.6</v>
          </cell>
          <cell r="BQ102">
            <v>583.20000000000005</v>
          </cell>
          <cell r="BR102">
            <v>619.20000000000005</v>
          </cell>
          <cell r="BS102">
            <v>655.20000000000005</v>
          </cell>
          <cell r="BT102">
            <v>691.2</v>
          </cell>
          <cell r="BU102">
            <v>737.3</v>
          </cell>
          <cell r="BV102">
            <v>773.8</v>
          </cell>
          <cell r="BW102">
            <v>810.3</v>
          </cell>
          <cell r="BX102">
            <v>846.8</v>
          </cell>
          <cell r="BY102">
            <v>895.4</v>
          </cell>
          <cell r="BZ102">
            <v>932.4</v>
          </cell>
          <cell r="CA102">
            <v>969.4</v>
          </cell>
          <cell r="CB102">
            <v>1006.4</v>
          </cell>
          <cell r="CC102">
            <v>1057.5</v>
          </cell>
          <cell r="CD102">
            <v>1095</v>
          </cell>
          <cell r="CE102">
            <v>1139.25</v>
          </cell>
          <cell r="CF102">
            <v>1184.25</v>
          </cell>
          <cell r="CG102">
            <v>1245.6399999999985</v>
          </cell>
          <cell r="CH102">
            <v>1291.2399999999984</v>
          </cell>
          <cell r="CI102">
            <v>1336.8399999999983</v>
          </cell>
          <cell r="CJ102">
            <v>1382.4399999999982</v>
          </cell>
          <cell r="CK102">
            <v>1446.8299999999981</v>
          </cell>
          <cell r="CL102">
            <v>1493.0299999999979</v>
          </cell>
          <cell r="CM102">
            <v>1539.229999999998</v>
          </cell>
          <cell r="CN102">
            <v>1585.429999999998</v>
          </cell>
          <cell r="CO102">
            <v>1652.8199999999979</v>
          </cell>
          <cell r="CP102">
            <v>1699.6199999999978</v>
          </cell>
          <cell r="CQ102">
            <v>1746.4199999999978</v>
          </cell>
          <cell r="CR102">
            <v>1793.2199999999978</v>
          </cell>
          <cell r="CS102">
            <v>1863.6099999999976</v>
          </cell>
          <cell r="CT102">
            <v>1911.0099999999975</v>
          </cell>
          <cell r="CU102">
            <v>1958.4099999999976</v>
          </cell>
          <cell r="CV102">
            <v>2005.8099999999974</v>
          </cell>
          <cell r="CW102">
            <v>2079.1999999999975</v>
          </cell>
          <cell r="CX102">
            <v>2127.1999999999971</v>
          </cell>
          <cell r="CY102">
            <v>2175.1999999999971</v>
          </cell>
          <cell r="CZ102">
            <v>2223.1999999999971</v>
          </cell>
          <cell r="DA102">
            <v>2271.1999999999971</v>
          </cell>
          <cell r="DB102">
            <v>2319.1999999999971</v>
          </cell>
          <cell r="DC102">
            <v>2367.1999999999971</v>
          </cell>
          <cell r="DD102">
            <v>2415.1999999999971</v>
          </cell>
          <cell r="DE102">
            <v>2463.1999999999971</v>
          </cell>
          <cell r="DF102">
            <v>2511.1999999999971</v>
          </cell>
          <cell r="DG102">
            <v>2559.1999999999966</v>
          </cell>
          <cell r="DH102">
            <v>2607.1999999999966</v>
          </cell>
          <cell r="DI102">
            <v>2655.1999999999966</v>
          </cell>
          <cell r="DJ102">
            <v>2703.1999999999966</v>
          </cell>
          <cell r="DK102">
            <v>2751.1999999999966</v>
          </cell>
          <cell r="DL102">
            <v>2799.1999999999966</v>
          </cell>
          <cell r="DM102">
            <v>2847.1999999999962</v>
          </cell>
          <cell r="DN102">
            <v>2895.1999999999962</v>
          </cell>
          <cell r="DO102">
            <v>2943.1999999999962</v>
          </cell>
          <cell r="DP102">
            <v>2991.1999999999962</v>
          </cell>
          <cell r="DQ102">
            <v>3039.1999999999962</v>
          </cell>
          <cell r="DR102">
            <v>3087.1999999999962</v>
          </cell>
          <cell r="DS102">
            <v>3135.1999999999962</v>
          </cell>
          <cell r="DT102">
            <v>3183.1999999999962</v>
          </cell>
          <cell r="DU102">
            <v>3231.1999999999962</v>
          </cell>
          <cell r="DV102">
            <v>3279.1999999999957</v>
          </cell>
          <cell r="DW102">
            <v>3327.1999999999957</v>
          </cell>
          <cell r="DX102">
            <v>3375.1999999999957</v>
          </cell>
          <cell r="DY102">
            <v>3423.1999999999957</v>
          </cell>
          <cell r="DZ102">
            <v>3471.1999999999957</v>
          </cell>
          <cell r="EA102">
            <v>3519.1999999999957</v>
          </cell>
          <cell r="EB102">
            <v>3567.1999999999953</v>
          </cell>
          <cell r="EC102">
            <v>3615.1999999999953</v>
          </cell>
          <cell r="ED102">
            <v>3663.1999999999953</v>
          </cell>
          <cell r="EE102">
            <v>3711.1999999999953</v>
          </cell>
          <cell r="EF102">
            <v>3759.1999999999953</v>
          </cell>
          <cell r="EG102">
            <v>3807.1999999999953</v>
          </cell>
          <cell r="EH102">
            <v>3855.1999999999953</v>
          </cell>
          <cell r="EI102">
            <v>3903.1999999999953</v>
          </cell>
          <cell r="EJ102">
            <v>3951.1999999999953</v>
          </cell>
          <cell r="EK102">
            <v>3999.1999999999948</v>
          </cell>
          <cell r="EL102">
            <v>4047.1999999999948</v>
          </cell>
          <cell r="EM102">
            <v>4095.1999999999948</v>
          </cell>
          <cell r="EN102">
            <v>4143.1999999999953</v>
          </cell>
          <cell r="EO102">
            <v>4191.1999999999953</v>
          </cell>
          <cell r="EP102">
            <v>4239.1999999999944</v>
          </cell>
          <cell r="EQ102">
            <v>4287.1999999999944</v>
          </cell>
          <cell r="ER102">
            <v>4335.1999999999944</v>
          </cell>
          <cell r="ES102">
            <v>4383.1999999999944</v>
          </cell>
          <cell r="ET102">
            <v>4431.1999999999944</v>
          </cell>
          <cell r="EU102">
            <v>4479.1999999999944</v>
          </cell>
          <cell r="EV102">
            <v>4527.1999999999944</v>
          </cell>
          <cell r="EW102">
            <v>4575.1999999999944</v>
          </cell>
          <cell r="EX102">
            <v>4623.1999999999944</v>
          </cell>
          <cell r="EY102">
            <v>4671.1999999999944</v>
          </cell>
          <cell r="EZ102">
            <v>4719.1999999999944</v>
          </cell>
          <cell r="FA102">
            <v>4767.1999999999935</v>
          </cell>
          <cell r="FB102">
            <v>4815.1999999999935</v>
          </cell>
          <cell r="FC102">
            <v>4863.1999999999935</v>
          </cell>
          <cell r="FD102">
            <v>4911.1999999999935</v>
          </cell>
          <cell r="FE102">
            <v>4959.1999999999935</v>
          </cell>
          <cell r="FF102">
            <v>5007.1999999999935</v>
          </cell>
          <cell r="FG102">
            <v>5055.1999999999935</v>
          </cell>
          <cell r="FH102">
            <v>5103.1999999999935</v>
          </cell>
          <cell r="FI102">
            <v>5167.1999999999935</v>
          </cell>
          <cell r="FJ102">
            <v>5255.1999999999935</v>
          </cell>
          <cell r="FK102">
            <v>5343.1999999999935</v>
          </cell>
          <cell r="FL102">
            <v>5431.1999999999935</v>
          </cell>
          <cell r="FM102">
            <v>5519.1999999999935</v>
          </cell>
          <cell r="FN102">
            <v>5607.1999999999935</v>
          </cell>
          <cell r="FO102">
            <v>5695.1999999999925</v>
          </cell>
          <cell r="FP102">
            <v>5783.1999999999925</v>
          </cell>
          <cell r="FQ102">
            <v>5871.1999999999925</v>
          </cell>
          <cell r="FR102">
            <v>5959.1999999999925</v>
          </cell>
          <cell r="FS102">
            <v>6047.1999999999925</v>
          </cell>
          <cell r="FT102">
            <v>6135.1999999999925</v>
          </cell>
          <cell r="FU102">
            <v>6223.1999999999916</v>
          </cell>
          <cell r="FV102">
            <v>6311.1999999999916</v>
          </cell>
          <cell r="FW102">
            <v>6399.1999999999916</v>
          </cell>
          <cell r="FX102">
            <v>6487.1999999999916</v>
          </cell>
          <cell r="FY102">
            <v>6575.1999999999916</v>
          </cell>
          <cell r="FZ102">
            <v>6663.1999999999916</v>
          </cell>
          <cell r="GA102">
            <v>6751.1999999999916</v>
          </cell>
          <cell r="GB102">
            <v>6839.1999999999916</v>
          </cell>
          <cell r="GC102">
            <v>6927.1999999999916</v>
          </cell>
          <cell r="GD102">
            <v>7015.1999999999916</v>
          </cell>
          <cell r="GE102">
            <v>7103.1999999999907</v>
          </cell>
          <cell r="GF102">
            <v>7191.1999999999907</v>
          </cell>
          <cell r="GG102">
            <v>7279.1999999999907</v>
          </cell>
          <cell r="GH102">
            <v>7367.1999999999907</v>
          </cell>
          <cell r="GI102">
            <v>7455.1999999999907</v>
          </cell>
          <cell r="GJ102">
            <v>7543.1999999999907</v>
          </cell>
          <cell r="GK102">
            <v>7631.1999999999898</v>
          </cell>
          <cell r="GL102">
            <v>7719.1999999999898</v>
          </cell>
          <cell r="GM102">
            <v>7807.1999999999898</v>
          </cell>
          <cell r="GN102">
            <v>7895.1999999999898</v>
          </cell>
          <cell r="GO102">
            <v>7983.1999999999898</v>
          </cell>
          <cell r="GP102">
            <v>8071.1999999999898</v>
          </cell>
          <cell r="GQ102">
            <v>8159.1999999999898</v>
          </cell>
          <cell r="GR102">
            <v>8247.1999999999898</v>
          </cell>
          <cell r="GS102">
            <v>8335.1999999999898</v>
          </cell>
          <cell r="GT102">
            <v>8423.1999999999898</v>
          </cell>
          <cell r="GU102">
            <v>8511.1999999999898</v>
          </cell>
          <cell r="GV102">
            <v>8599.1999999999898</v>
          </cell>
          <cell r="GW102">
            <v>8687.1999999999898</v>
          </cell>
          <cell r="GX102">
            <v>8775.1999999999898</v>
          </cell>
          <cell r="GY102">
            <v>8863.1999999999898</v>
          </cell>
          <cell r="GZ102">
            <v>8951.1999999999898</v>
          </cell>
          <cell r="HA102">
            <v>9039.199999999988</v>
          </cell>
          <cell r="HB102">
            <v>9127.199999999988</v>
          </cell>
          <cell r="HC102">
            <v>9215.199999999988</v>
          </cell>
          <cell r="HD102">
            <v>9303.199999999988</v>
          </cell>
          <cell r="HE102">
            <v>9391.199999999988</v>
          </cell>
          <cell r="HF102">
            <v>9479.199999999988</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210</v>
          </cell>
          <cell r="P122">
            <v>410</v>
          </cell>
          <cell r="Q122">
            <v>610</v>
          </cell>
          <cell r="R122">
            <v>810</v>
          </cell>
          <cell r="S122">
            <v>1010</v>
          </cell>
          <cell r="T122">
            <v>1210</v>
          </cell>
          <cell r="U122">
            <v>1410</v>
          </cell>
          <cell r="V122">
            <v>1610</v>
          </cell>
          <cell r="W122">
            <v>1810</v>
          </cell>
          <cell r="X122">
            <v>2010</v>
          </cell>
          <cell r="Y122">
            <v>2210</v>
          </cell>
          <cell r="Z122">
            <v>2410</v>
          </cell>
          <cell r="AA122">
            <v>2610</v>
          </cell>
          <cell r="AB122">
            <v>2810</v>
          </cell>
          <cell r="AC122">
            <v>3010</v>
          </cell>
          <cell r="AD122">
            <v>3210</v>
          </cell>
          <cell r="AE122">
            <v>3410</v>
          </cell>
          <cell r="AF122">
            <v>3610</v>
          </cell>
          <cell r="AG122">
            <v>3810</v>
          </cell>
          <cell r="AH122">
            <v>4010</v>
          </cell>
          <cell r="AI122">
            <v>4210</v>
          </cell>
          <cell r="AJ122">
            <v>4410</v>
          </cell>
          <cell r="AK122">
            <v>4610</v>
          </cell>
          <cell r="AL122">
            <v>4810</v>
          </cell>
          <cell r="AM122">
            <v>5010</v>
          </cell>
          <cell r="AN122">
            <v>5210</v>
          </cell>
          <cell r="AO122">
            <v>5410</v>
          </cell>
          <cell r="AP122">
            <v>5610</v>
          </cell>
          <cell r="AQ122">
            <v>5810</v>
          </cell>
          <cell r="AR122">
            <v>6010</v>
          </cell>
          <cell r="AS122">
            <v>6164</v>
          </cell>
          <cell r="AT122">
            <v>6164</v>
          </cell>
          <cell r="AU122">
            <v>6164</v>
          </cell>
          <cell r="AV122">
            <v>6164</v>
          </cell>
          <cell r="AW122">
            <v>6164</v>
          </cell>
          <cell r="AX122">
            <v>6164</v>
          </cell>
          <cell r="AY122">
            <v>6164</v>
          </cell>
          <cell r="AZ122">
            <v>6164</v>
          </cell>
          <cell r="BA122">
            <v>6164</v>
          </cell>
          <cell r="BB122">
            <v>6164</v>
          </cell>
          <cell r="BC122">
            <v>6081</v>
          </cell>
          <cell r="BD122">
            <v>5976</v>
          </cell>
          <cell r="BE122">
            <v>5870</v>
          </cell>
          <cell r="BF122">
            <v>5765</v>
          </cell>
          <cell r="BG122">
            <v>5660</v>
          </cell>
          <cell r="BH122">
            <v>5554</v>
          </cell>
          <cell r="BI122">
            <v>5449</v>
          </cell>
          <cell r="BJ122">
            <v>5344</v>
          </cell>
          <cell r="BK122">
            <v>5238</v>
          </cell>
          <cell r="BL122">
            <v>5133</v>
          </cell>
          <cell r="BM122">
            <v>5028</v>
          </cell>
          <cell r="BN122">
            <v>4923</v>
          </cell>
          <cell r="BO122">
            <v>4817</v>
          </cell>
          <cell r="BP122">
            <v>4712</v>
          </cell>
          <cell r="BQ122">
            <v>4607</v>
          </cell>
          <cell r="BR122">
            <v>4501</v>
          </cell>
          <cell r="BS122">
            <v>4396</v>
          </cell>
          <cell r="BT122">
            <v>4291</v>
          </cell>
          <cell r="BU122">
            <v>4185</v>
          </cell>
          <cell r="BV122">
            <v>4080</v>
          </cell>
          <cell r="BW122">
            <v>3975</v>
          </cell>
          <cell r="BX122">
            <v>3870</v>
          </cell>
          <cell r="BY122">
            <v>3764</v>
          </cell>
          <cell r="BZ122">
            <v>3659</v>
          </cell>
          <cell r="CA122">
            <v>3554</v>
          </cell>
          <cell r="CB122">
            <v>3448</v>
          </cell>
          <cell r="CC122">
            <v>3343</v>
          </cell>
          <cell r="CD122">
            <v>3238</v>
          </cell>
          <cell r="CE122">
            <v>3132</v>
          </cell>
          <cell r="CF122">
            <v>3027</v>
          </cell>
          <cell r="CG122">
            <v>2922</v>
          </cell>
          <cell r="CH122">
            <v>2817</v>
          </cell>
          <cell r="CI122">
            <v>2711</v>
          </cell>
          <cell r="CJ122">
            <v>2606</v>
          </cell>
          <cell r="CK122">
            <v>2501</v>
          </cell>
          <cell r="CL122">
            <v>2395</v>
          </cell>
          <cell r="CM122">
            <v>2290</v>
          </cell>
          <cell r="CN122">
            <v>2185</v>
          </cell>
          <cell r="CO122">
            <v>2079</v>
          </cell>
          <cell r="CP122">
            <v>1974</v>
          </cell>
          <cell r="CQ122">
            <v>1869</v>
          </cell>
          <cell r="CR122">
            <v>1764</v>
          </cell>
          <cell r="CS122">
            <v>1658</v>
          </cell>
          <cell r="CT122">
            <v>1553</v>
          </cell>
          <cell r="CU122">
            <v>1448</v>
          </cell>
          <cell r="CV122">
            <v>1342</v>
          </cell>
          <cell r="CW122">
            <v>1237</v>
          </cell>
          <cell r="CX122">
            <v>1132</v>
          </cell>
          <cell r="CY122">
            <v>1026</v>
          </cell>
          <cell r="CZ122">
            <v>921</v>
          </cell>
          <cell r="DA122">
            <v>816</v>
          </cell>
          <cell r="DB122">
            <v>711</v>
          </cell>
          <cell r="DC122">
            <v>605</v>
          </cell>
          <cell r="DD122">
            <v>500</v>
          </cell>
          <cell r="DE122">
            <v>395</v>
          </cell>
          <cell r="DF122">
            <v>289</v>
          </cell>
          <cell r="DG122">
            <v>184</v>
          </cell>
          <cell r="DH122">
            <v>79</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7</v>
          </cell>
          <cell r="BC206">
            <v>14</v>
          </cell>
          <cell r="BD206">
            <v>26</v>
          </cell>
          <cell r="BE206">
            <v>36</v>
          </cell>
          <cell r="BF206">
            <v>46</v>
          </cell>
          <cell r="BG206">
            <v>59</v>
          </cell>
          <cell r="BH206">
            <v>72</v>
          </cell>
          <cell r="BI206">
            <v>86</v>
          </cell>
          <cell r="BJ206">
            <v>101</v>
          </cell>
          <cell r="BK206">
            <v>118</v>
          </cell>
          <cell r="BL206">
            <v>135</v>
          </cell>
          <cell r="BM206">
            <v>155</v>
          </cell>
          <cell r="BN206">
            <v>175</v>
          </cell>
          <cell r="BO206">
            <v>196</v>
          </cell>
          <cell r="BP206">
            <v>218</v>
          </cell>
          <cell r="BQ206">
            <v>240</v>
          </cell>
          <cell r="BR206">
            <v>265</v>
          </cell>
          <cell r="BS206">
            <v>289</v>
          </cell>
          <cell r="BT206">
            <v>315</v>
          </cell>
          <cell r="BU206">
            <v>341</v>
          </cell>
          <cell r="BV206">
            <v>367</v>
          </cell>
          <cell r="BW206">
            <v>393</v>
          </cell>
          <cell r="BX206">
            <v>419</v>
          </cell>
          <cell r="BY206">
            <v>445</v>
          </cell>
          <cell r="BZ206">
            <v>471</v>
          </cell>
          <cell r="CA206">
            <v>497</v>
          </cell>
          <cell r="CB206">
            <v>523</v>
          </cell>
          <cell r="CC206">
            <v>549</v>
          </cell>
          <cell r="CD206">
            <v>575</v>
          </cell>
          <cell r="CE206">
            <v>601</v>
          </cell>
          <cell r="CF206">
            <v>627</v>
          </cell>
          <cell r="CG206">
            <v>652</v>
          </cell>
          <cell r="CH206">
            <v>678</v>
          </cell>
          <cell r="CI206">
            <v>704</v>
          </cell>
          <cell r="CJ206">
            <v>730</v>
          </cell>
          <cell r="CK206">
            <v>756</v>
          </cell>
          <cell r="CL206">
            <v>782</v>
          </cell>
          <cell r="CM206">
            <v>808</v>
          </cell>
          <cell r="CN206">
            <v>833</v>
          </cell>
          <cell r="CO206">
            <v>859</v>
          </cell>
          <cell r="CP206">
            <v>885</v>
          </cell>
          <cell r="CQ206">
            <v>911</v>
          </cell>
          <cell r="CR206">
            <v>937</v>
          </cell>
          <cell r="CS206">
            <v>962</v>
          </cell>
          <cell r="CT206">
            <v>988</v>
          </cell>
          <cell r="CU206">
            <v>1014</v>
          </cell>
          <cell r="CV206">
            <v>1040</v>
          </cell>
          <cell r="CW206">
            <v>1065</v>
          </cell>
          <cell r="CX206">
            <v>1091</v>
          </cell>
          <cell r="CY206">
            <v>1117</v>
          </cell>
          <cell r="CZ206">
            <v>1143</v>
          </cell>
          <cell r="DA206">
            <v>1169</v>
          </cell>
          <cell r="DB206">
            <v>1195</v>
          </cell>
          <cell r="DC206">
            <v>1221</v>
          </cell>
          <cell r="DD206">
            <v>1246</v>
          </cell>
          <cell r="DE206">
            <v>1272</v>
          </cell>
          <cell r="DF206">
            <v>1298</v>
          </cell>
          <cell r="DG206">
            <v>1324</v>
          </cell>
          <cell r="DH206">
            <v>1350</v>
          </cell>
          <cell r="DI206">
            <v>1376</v>
          </cell>
          <cell r="DJ206">
            <v>1402</v>
          </cell>
          <cell r="DK206">
            <v>1442</v>
          </cell>
          <cell r="DL206">
            <v>1468</v>
          </cell>
          <cell r="DM206">
            <v>1494</v>
          </cell>
          <cell r="DN206">
            <v>1520</v>
          </cell>
          <cell r="DO206">
            <v>1547</v>
          </cell>
          <cell r="DP206">
            <v>1573</v>
          </cell>
          <cell r="DQ206">
            <v>1599</v>
          </cell>
          <cell r="DR206">
            <v>1625</v>
          </cell>
          <cell r="DS206">
            <v>1651</v>
          </cell>
          <cell r="DT206">
            <v>1677</v>
          </cell>
          <cell r="DU206">
            <v>1703</v>
          </cell>
          <cell r="DV206">
            <v>1729</v>
          </cell>
          <cell r="DW206">
            <v>1756</v>
          </cell>
          <cell r="DX206">
            <v>1782</v>
          </cell>
          <cell r="DY206">
            <v>1808</v>
          </cell>
          <cell r="DZ206">
            <v>1834</v>
          </cell>
          <cell r="EA206">
            <v>1860</v>
          </cell>
          <cell r="EB206">
            <v>1886</v>
          </cell>
          <cell r="EC206">
            <v>1912</v>
          </cell>
          <cell r="ED206">
            <v>1938</v>
          </cell>
          <cell r="EE206">
            <v>1964</v>
          </cell>
          <cell r="EF206">
            <v>1991</v>
          </cell>
          <cell r="EG206">
            <v>2017</v>
          </cell>
          <cell r="EH206">
            <v>2043</v>
          </cell>
          <cell r="EI206">
            <v>2069</v>
          </cell>
          <cell r="EJ206">
            <v>2095</v>
          </cell>
          <cell r="EK206">
            <v>2121</v>
          </cell>
          <cell r="EL206">
            <v>2147</v>
          </cell>
          <cell r="EM206">
            <v>2173</v>
          </cell>
          <cell r="EN206">
            <v>2200</v>
          </cell>
          <cell r="EO206">
            <v>2226</v>
          </cell>
          <cell r="EP206">
            <v>2252</v>
          </cell>
          <cell r="EQ206">
            <v>2278</v>
          </cell>
          <cell r="ER206">
            <v>2304</v>
          </cell>
          <cell r="ES206">
            <v>2330</v>
          </cell>
          <cell r="ET206">
            <v>2356</v>
          </cell>
          <cell r="EU206">
            <v>2382</v>
          </cell>
          <cell r="EV206">
            <v>2409</v>
          </cell>
          <cell r="EW206">
            <v>2435</v>
          </cell>
          <cell r="EX206">
            <v>2461</v>
          </cell>
          <cell r="EY206">
            <v>2487</v>
          </cell>
          <cell r="EZ206">
            <v>2513</v>
          </cell>
          <cell r="FA206">
            <v>2539</v>
          </cell>
          <cell r="FB206">
            <v>2565</v>
          </cell>
          <cell r="FC206">
            <v>2591</v>
          </cell>
          <cell r="FD206">
            <v>2617</v>
          </cell>
          <cell r="FE206">
            <v>2644</v>
          </cell>
          <cell r="FF206">
            <v>2670</v>
          </cell>
          <cell r="FG206">
            <v>2696</v>
          </cell>
          <cell r="FH206">
            <v>2722</v>
          </cell>
          <cell r="FI206">
            <v>2748</v>
          </cell>
          <cell r="FJ206">
            <v>2774</v>
          </cell>
          <cell r="FK206">
            <v>2800</v>
          </cell>
          <cell r="FL206">
            <v>2825</v>
          </cell>
          <cell r="FM206">
            <v>2851</v>
          </cell>
          <cell r="FN206">
            <v>2877</v>
          </cell>
          <cell r="FO206">
            <v>2903</v>
          </cell>
          <cell r="FP206">
            <v>2929</v>
          </cell>
          <cell r="FQ206">
            <v>2954</v>
          </cell>
          <cell r="FR206">
            <v>2980</v>
          </cell>
          <cell r="FS206">
            <v>3006</v>
          </cell>
          <cell r="FT206">
            <v>3032</v>
          </cell>
          <cell r="FU206">
            <v>3058</v>
          </cell>
          <cell r="FV206">
            <v>3083</v>
          </cell>
          <cell r="FW206">
            <v>3109</v>
          </cell>
          <cell r="FX206">
            <v>3135</v>
          </cell>
          <cell r="FY206">
            <v>3161</v>
          </cell>
          <cell r="FZ206">
            <v>3187</v>
          </cell>
          <cell r="GA206">
            <v>3212</v>
          </cell>
          <cell r="GB206">
            <v>3238</v>
          </cell>
          <cell r="GC206">
            <v>3264</v>
          </cell>
          <cell r="GD206">
            <v>3290</v>
          </cell>
          <cell r="GE206">
            <v>3316</v>
          </cell>
          <cell r="GF206">
            <v>3341</v>
          </cell>
          <cell r="GG206">
            <v>3367</v>
          </cell>
          <cell r="GH206">
            <v>3393</v>
          </cell>
          <cell r="GI206">
            <v>3419</v>
          </cell>
          <cell r="GJ206">
            <v>3445</v>
          </cell>
          <cell r="GK206">
            <v>3470</v>
          </cell>
          <cell r="GL206">
            <v>3496</v>
          </cell>
          <cell r="GM206">
            <v>3522</v>
          </cell>
          <cell r="GN206">
            <v>3548</v>
          </cell>
          <cell r="GO206">
            <v>3574</v>
          </cell>
          <cell r="GP206">
            <v>3599</v>
          </cell>
          <cell r="GQ206">
            <v>3625</v>
          </cell>
          <cell r="GR206">
            <v>3651</v>
          </cell>
          <cell r="GS206">
            <v>3677</v>
          </cell>
          <cell r="GT206">
            <v>3703</v>
          </cell>
          <cell r="GU206">
            <v>3728</v>
          </cell>
          <cell r="GV206">
            <v>3754</v>
          </cell>
          <cell r="GW206">
            <v>3780</v>
          </cell>
          <cell r="GX206">
            <v>3806</v>
          </cell>
          <cell r="GY206">
            <v>3832</v>
          </cell>
          <cell r="GZ206">
            <v>3857</v>
          </cell>
          <cell r="HA206">
            <v>3883</v>
          </cell>
          <cell r="HB206">
            <v>3909</v>
          </cell>
          <cell r="HC206">
            <v>3935</v>
          </cell>
          <cell r="HD206">
            <v>3961</v>
          </cell>
          <cell r="HE206">
            <v>3986</v>
          </cell>
          <cell r="HF206">
            <v>4012</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3504</v>
          </cell>
          <cell r="O267">
            <v>3504</v>
          </cell>
          <cell r="P267">
            <v>3504</v>
          </cell>
          <cell r="Q267">
            <v>3491</v>
          </cell>
          <cell r="R267">
            <v>3380</v>
          </cell>
          <cell r="S267">
            <v>3269</v>
          </cell>
          <cell r="T267">
            <v>3158</v>
          </cell>
          <cell r="U267">
            <v>3046</v>
          </cell>
          <cell r="V267">
            <v>2935</v>
          </cell>
          <cell r="W267">
            <v>2824</v>
          </cell>
          <cell r="X267">
            <v>2713</v>
          </cell>
          <cell r="Y267">
            <v>2602</v>
          </cell>
          <cell r="Z267">
            <v>2491</v>
          </cell>
          <cell r="AA267">
            <v>2380</v>
          </cell>
          <cell r="AB267">
            <v>2269</v>
          </cell>
          <cell r="AC267">
            <v>2158</v>
          </cell>
          <cell r="AD267">
            <v>2047</v>
          </cell>
          <cell r="AE267">
            <v>1936</v>
          </cell>
          <cell r="AF267">
            <v>1825</v>
          </cell>
          <cell r="AG267">
            <v>1714</v>
          </cell>
          <cell r="AH267">
            <v>1603</v>
          </cell>
          <cell r="AI267">
            <v>1492</v>
          </cell>
          <cell r="AJ267">
            <v>1381</v>
          </cell>
          <cell r="AK267">
            <v>1270</v>
          </cell>
          <cell r="AL267">
            <v>1159</v>
          </cell>
          <cell r="AM267">
            <v>1047</v>
          </cell>
          <cell r="AN267">
            <v>936</v>
          </cell>
          <cell r="AO267">
            <v>825</v>
          </cell>
          <cell r="AP267">
            <v>714</v>
          </cell>
          <cell r="AQ267">
            <v>603</v>
          </cell>
          <cell r="AR267">
            <v>492</v>
          </cell>
          <cell r="AS267">
            <v>381</v>
          </cell>
          <cell r="AT267">
            <v>270</v>
          </cell>
          <cell r="AU267">
            <v>159</v>
          </cell>
          <cell r="AV267">
            <v>48</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7504</v>
          </cell>
          <cell r="O313">
            <v>7369</v>
          </cell>
          <cell r="P313">
            <v>7242</v>
          </cell>
          <cell r="Q313">
            <v>7127</v>
          </cell>
          <cell r="R313">
            <v>7040</v>
          </cell>
          <cell r="S313">
            <v>6953</v>
          </cell>
          <cell r="T313">
            <v>6866</v>
          </cell>
          <cell r="U313">
            <v>6780</v>
          </cell>
          <cell r="V313">
            <v>6693</v>
          </cell>
          <cell r="W313">
            <v>6607</v>
          </cell>
          <cell r="X313">
            <v>6520</v>
          </cell>
          <cell r="Y313">
            <v>6472</v>
          </cell>
          <cell r="Z313">
            <v>6385</v>
          </cell>
          <cell r="AA313">
            <v>6298</v>
          </cell>
          <cell r="AB313">
            <v>6212</v>
          </cell>
          <cell r="AC313">
            <v>6125</v>
          </cell>
          <cell r="AD313">
            <v>6054</v>
          </cell>
          <cell r="AE313">
            <v>5967</v>
          </cell>
          <cell r="AF313">
            <v>5904</v>
          </cell>
          <cell r="AG313">
            <v>5817</v>
          </cell>
          <cell r="AH313">
            <v>5754</v>
          </cell>
          <cell r="AI313">
            <v>5667</v>
          </cell>
          <cell r="AJ313">
            <v>5580</v>
          </cell>
          <cell r="AK313">
            <v>5494</v>
          </cell>
          <cell r="AL313">
            <v>5509</v>
          </cell>
          <cell r="AM313">
            <v>5423</v>
          </cell>
          <cell r="AN313">
            <v>5336</v>
          </cell>
          <cell r="AO313">
            <v>5249</v>
          </cell>
          <cell r="AP313">
            <v>5264</v>
          </cell>
          <cell r="AQ313">
            <v>5177</v>
          </cell>
          <cell r="AR313">
            <v>5255</v>
          </cell>
          <cell r="AS313">
            <v>5168</v>
          </cell>
          <cell r="AT313">
            <v>5238</v>
          </cell>
          <cell r="AU313">
            <v>5151</v>
          </cell>
          <cell r="AV313">
            <v>5065</v>
          </cell>
          <cell r="AW313">
            <v>4959</v>
          </cell>
          <cell r="AX313">
            <v>4996</v>
          </cell>
          <cell r="AY313">
            <v>4876</v>
          </cell>
          <cell r="AZ313">
            <v>4756</v>
          </cell>
          <cell r="BA313">
            <v>4636</v>
          </cell>
          <cell r="BB313">
            <v>4516</v>
          </cell>
          <cell r="BC313">
            <v>4396</v>
          </cell>
          <cell r="BD313">
            <v>4276</v>
          </cell>
          <cell r="BE313">
            <v>4156</v>
          </cell>
          <cell r="BF313">
            <v>4036</v>
          </cell>
          <cell r="BG313">
            <v>3916</v>
          </cell>
          <cell r="BH313">
            <v>3796</v>
          </cell>
          <cell r="BI313">
            <v>3676</v>
          </cell>
          <cell r="BJ313">
            <v>3556</v>
          </cell>
          <cell r="BK313">
            <v>3436</v>
          </cell>
          <cell r="BL313">
            <v>3316</v>
          </cell>
          <cell r="BM313">
            <v>3196</v>
          </cell>
          <cell r="BN313">
            <v>3076</v>
          </cell>
          <cell r="BO313">
            <v>2956</v>
          </cell>
          <cell r="BP313">
            <v>2836</v>
          </cell>
          <cell r="BQ313">
            <v>2716</v>
          </cell>
          <cell r="BR313">
            <v>2596</v>
          </cell>
          <cell r="BS313">
            <v>2476</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460</v>
          </cell>
          <cell r="O335">
            <v>460</v>
          </cell>
          <cell r="P335">
            <v>460</v>
          </cell>
          <cell r="Q335">
            <v>460</v>
          </cell>
          <cell r="R335">
            <v>460</v>
          </cell>
          <cell r="S335">
            <v>460</v>
          </cell>
          <cell r="T335">
            <v>460</v>
          </cell>
          <cell r="U335">
            <v>460</v>
          </cell>
          <cell r="V335">
            <v>460</v>
          </cell>
          <cell r="W335">
            <v>460</v>
          </cell>
          <cell r="X335">
            <v>460</v>
          </cell>
          <cell r="Y335">
            <v>460</v>
          </cell>
          <cell r="Z335">
            <v>460</v>
          </cell>
          <cell r="AA335">
            <v>460</v>
          </cell>
          <cell r="AB335">
            <v>460</v>
          </cell>
          <cell r="AC335">
            <v>460</v>
          </cell>
          <cell r="AD335">
            <v>460</v>
          </cell>
          <cell r="AE335">
            <v>460</v>
          </cell>
          <cell r="AF335">
            <v>460</v>
          </cell>
          <cell r="AG335">
            <v>460</v>
          </cell>
          <cell r="AH335">
            <v>460</v>
          </cell>
          <cell r="AI335">
            <v>460</v>
          </cell>
          <cell r="AJ335">
            <v>460</v>
          </cell>
          <cell r="AK335">
            <v>460</v>
          </cell>
          <cell r="AL335">
            <v>460</v>
          </cell>
          <cell r="AM335">
            <v>460</v>
          </cell>
          <cell r="AN335">
            <v>460</v>
          </cell>
          <cell r="AO335">
            <v>460</v>
          </cell>
          <cell r="AP335">
            <v>460</v>
          </cell>
          <cell r="AQ335">
            <v>460</v>
          </cell>
          <cell r="AR335">
            <v>460</v>
          </cell>
          <cell r="AS335">
            <v>460</v>
          </cell>
          <cell r="AT335">
            <v>460</v>
          </cell>
          <cell r="AU335">
            <v>460</v>
          </cell>
          <cell r="AV335">
            <v>460</v>
          </cell>
          <cell r="AW335">
            <v>460</v>
          </cell>
          <cell r="AX335">
            <v>460</v>
          </cell>
          <cell r="AY335">
            <v>460</v>
          </cell>
          <cell r="AZ335">
            <v>460</v>
          </cell>
          <cell r="BA335">
            <v>460</v>
          </cell>
          <cell r="BB335">
            <v>460</v>
          </cell>
          <cell r="BC335">
            <v>460</v>
          </cell>
          <cell r="BD335">
            <v>460</v>
          </cell>
          <cell r="BE335">
            <v>460</v>
          </cell>
          <cell r="BF335">
            <v>460</v>
          </cell>
          <cell r="BG335">
            <v>460</v>
          </cell>
          <cell r="BH335">
            <v>460</v>
          </cell>
          <cell r="BI335">
            <v>460</v>
          </cell>
          <cell r="BJ335">
            <v>460</v>
          </cell>
          <cell r="BK335">
            <v>460</v>
          </cell>
          <cell r="BL335">
            <v>460</v>
          </cell>
          <cell r="BM335">
            <v>460</v>
          </cell>
          <cell r="BN335">
            <v>460</v>
          </cell>
          <cell r="BO335">
            <v>460</v>
          </cell>
          <cell r="BP335">
            <v>460</v>
          </cell>
          <cell r="BQ335">
            <v>460</v>
          </cell>
          <cell r="BR335">
            <v>460</v>
          </cell>
          <cell r="BS335">
            <v>460</v>
          </cell>
          <cell r="BT335">
            <v>460</v>
          </cell>
          <cell r="BU335">
            <v>460</v>
          </cell>
          <cell r="BV335">
            <v>460</v>
          </cell>
          <cell r="BW335">
            <v>460</v>
          </cell>
          <cell r="BX335">
            <v>460</v>
          </cell>
          <cell r="BY335">
            <v>460</v>
          </cell>
          <cell r="BZ335">
            <v>460</v>
          </cell>
          <cell r="CA335">
            <v>460</v>
          </cell>
          <cell r="CB335">
            <v>460</v>
          </cell>
          <cell r="CC335">
            <v>460</v>
          </cell>
          <cell r="CD335">
            <v>460</v>
          </cell>
          <cell r="CE335">
            <v>460</v>
          </cell>
          <cell r="CF335">
            <v>460</v>
          </cell>
          <cell r="CG335">
            <v>460</v>
          </cell>
          <cell r="CH335">
            <v>460</v>
          </cell>
          <cell r="CI335">
            <v>460</v>
          </cell>
          <cell r="CJ335">
            <v>460</v>
          </cell>
          <cell r="CK335">
            <v>460</v>
          </cell>
          <cell r="CL335">
            <v>460</v>
          </cell>
          <cell r="CM335">
            <v>460</v>
          </cell>
          <cell r="CN335">
            <v>460</v>
          </cell>
          <cell r="CO335">
            <v>460</v>
          </cell>
          <cell r="CP335">
            <v>460</v>
          </cell>
          <cell r="CQ335">
            <v>460</v>
          </cell>
          <cell r="CR335">
            <v>460</v>
          </cell>
          <cell r="CS335">
            <v>460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0</v>
          </cell>
          <cell r="FA346">
            <v>0</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0</v>
          </cell>
          <cell r="FS346">
            <v>0</v>
          </cell>
          <cell r="FT346">
            <v>0</v>
          </cell>
          <cell r="FU346">
            <v>0</v>
          </cell>
          <cell r="FV346">
            <v>0</v>
          </cell>
          <cell r="FW346">
            <v>0</v>
          </cell>
          <cell r="FX346">
            <v>0</v>
          </cell>
          <cell r="FY346">
            <v>0</v>
          </cell>
          <cell r="FZ346">
            <v>0</v>
          </cell>
          <cell r="GA346">
            <v>0</v>
          </cell>
          <cell r="GB346">
            <v>0</v>
          </cell>
          <cell r="GC346">
            <v>0</v>
          </cell>
          <cell r="GD346">
            <v>0</v>
          </cell>
          <cell r="GE346">
            <v>0</v>
          </cell>
          <cell r="GF346">
            <v>0</v>
          </cell>
          <cell r="GG346">
            <v>0</v>
          </cell>
          <cell r="GH346">
            <v>0</v>
          </cell>
          <cell r="GI346">
            <v>0</v>
          </cell>
          <cell r="GJ346">
            <v>0</v>
          </cell>
          <cell r="GK346">
            <v>0</v>
          </cell>
          <cell r="GL346">
            <v>0</v>
          </cell>
          <cell r="GM346">
            <v>0</v>
          </cell>
          <cell r="GN346">
            <v>0</v>
          </cell>
          <cell r="GO346">
            <v>0</v>
          </cell>
          <cell r="GP346">
            <v>0</v>
          </cell>
          <cell r="GQ346">
            <v>0</v>
          </cell>
          <cell r="GR346">
            <v>0</v>
          </cell>
          <cell r="GS346">
            <v>0</v>
          </cell>
          <cell r="GT346">
            <v>0</v>
          </cell>
          <cell r="GU346">
            <v>0</v>
          </cell>
          <cell r="GV346">
            <v>0</v>
          </cell>
          <cell r="GW346">
            <v>0</v>
          </cell>
          <cell r="GX346">
            <v>0</v>
          </cell>
          <cell r="GY346">
            <v>0</v>
          </cell>
          <cell r="GZ346">
            <v>0</v>
          </cell>
          <cell r="HA346">
            <v>0</v>
          </cell>
          <cell r="HB346">
            <v>0</v>
          </cell>
          <cell r="HC346">
            <v>0</v>
          </cell>
          <cell r="HD346">
            <v>0</v>
          </cell>
          <cell r="HE346">
            <v>0</v>
          </cell>
          <cell r="HF346">
            <v>0</v>
          </cell>
        </row>
        <row r="375">
          <cell r="N375">
            <v>17884</v>
          </cell>
          <cell r="O375">
            <v>17884</v>
          </cell>
          <cell r="P375">
            <v>17884</v>
          </cell>
          <cell r="Q375">
            <v>17884</v>
          </cell>
          <cell r="R375">
            <v>17884</v>
          </cell>
          <cell r="S375">
            <v>17884</v>
          </cell>
          <cell r="T375">
            <v>17884</v>
          </cell>
          <cell r="U375">
            <v>17884</v>
          </cell>
          <cell r="V375">
            <v>17884</v>
          </cell>
          <cell r="W375">
            <v>17884</v>
          </cell>
          <cell r="X375">
            <v>17884</v>
          </cell>
          <cell r="Y375">
            <v>17884</v>
          </cell>
          <cell r="Z375">
            <v>17884</v>
          </cell>
          <cell r="AA375">
            <v>17884</v>
          </cell>
          <cell r="AB375">
            <v>17884</v>
          </cell>
          <cell r="AC375">
            <v>17884</v>
          </cell>
          <cell r="AD375">
            <v>17884</v>
          </cell>
          <cell r="AE375">
            <v>17884</v>
          </cell>
          <cell r="AF375">
            <v>17884</v>
          </cell>
          <cell r="AG375">
            <v>17884</v>
          </cell>
          <cell r="AH375">
            <v>17884</v>
          </cell>
          <cell r="AI375">
            <v>17884</v>
          </cell>
          <cell r="AJ375">
            <v>17884</v>
          </cell>
          <cell r="AK375">
            <v>17884</v>
          </cell>
          <cell r="AL375">
            <v>17884</v>
          </cell>
          <cell r="AM375">
            <v>17884</v>
          </cell>
          <cell r="AN375">
            <v>17884</v>
          </cell>
          <cell r="AO375">
            <v>17884</v>
          </cell>
          <cell r="AP375">
            <v>17884</v>
          </cell>
          <cell r="AQ375">
            <v>17884</v>
          </cell>
          <cell r="AR375">
            <v>17884</v>
          </cell>
          <cell r="AS375">
            <v>17884</v>
          </cell>
          <cell r="AT375">
            <v>17884</v>
          </cell>
          <cell r="AU375">
            <v>17884</v>
          </cell>
          <cell r="AV375">
            <v>17884</v>
          </cell>
          <cell r="AW375">
            <v>17884</v>
          </cell>
          <cell r="AX375">
            <v>17884</v>
          </cell>
          <cell r="AY375">
            <v>17884</v>
          </cell>
          <cell r="AZ375">
            <v>17884</v>
          </cell>
          <cell r="BA375">
            <v>17884</v>
          </cell>
          <cell r="BB375">
            <v>17884</v>
          </cell>
          <cell r="BC375">
            <v>17884</v>
          </cell>
          <cell r="BD375">
            <v>17884</v>
          </cell>
          <cell r="BE375">
            <v>17884</v>
          </cell>
          <cell r="BF375">
            <v>17884</v>
          </cell>
          <cell r="BG375">
            <v>17884</v>
          </cell>
          <cell r="BH375">
            <v>17884</v>
          </cell>
          <cell r="BI375">
            <v>17884</v>
          </cell>
          <cell r="BJ375">
            <v>17884</v>
          </cell>
          <cell r="BK375">
            <v>17884</v>
          </cell>
          <cell r="BL375">
            <v>17884</v>
          </cell>
          <cell r="BM375">
            <v>17884</v>
          </cell>
          <cell r="BN375">
            <v>17884</v>
          </cell>
          <cell r="BO375">
            <v>17884</v>
          </cell>
          <cell r="BP375">
            <v>17884</v>
          </cell>
          <cell r="BQ375">
            <v>17884</v>
          </cell>
          <cell r="BR375">
            <v>17884</v>
          </cell>
          <cell r="BS375">
            <v>17884</v>
          </cell>
          <cell r="BT375">
            <v>17884</v>
          </cell>
          <cell r="BU375">
            <v>17884</v>
          </cell>
          <cell r="BV375">
            <v>17884</v>
          </cell>
          <cell r="BW375">
            <v>17884</v>
          </cell>
          <cell r="BX375">
            <v>17884</v>
          </cell>
          <cell r="BY375">
            <v>17884</v>
          </cell>
          <cell r="BZ375">
            <v>10390</v>
          </cell>
          <cell r="CA375">
            <v>10390</v>
          </cell>
          <cell r="CB375">
            <v>10390</v>
          </cell>
          <cell r="CC375">
            <v>10390</v>
          </cell>
          <cell r="CD375">
            <v>10390</v>
          </cell>
          <cell r="CE375">
            <v>10390</v>
          </cell>
          <cell r="CF375">
            <v>10390</v>
          </cell>
          <cell r="CG375">
            <v>10390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K375">
            <v>0</v>
          </cell>
          <cell r="DL375">
            <v>0</v>
          </cell>
          <cell r="DM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35696.5</v>
          </cell>
        </row>
        <row r="386">
          <cell r="C386" t="str">
            <v>Group 2</v>
          </cell>
          <cell r="D386" t="str">
            <v>Group 3</v>
          </cell>
          <cell r="E386">
            <v>1.85</v>
          </cell>
          <cell r="F386">
            <v>1.9000000000000001</v>
          </cell>
          <cell r="G386">
            <v>43757</v>
          </cell>
        </row>
        <row r="387">
          <cell r="C387" t="str">
            <v>Group 3</v>
          </cell>
          <cell r="D387" t="str">
            <v>ineligible</v>
          </cell>
          <cell r="E387">
            <v>2.25</v>
          </cell>
          <cell r="F387">
            <v>2.2999999999999998</v>
          </cell>
          <cell r="G387">
            <v>52968.999999999993</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9814</v>
          </cell>
          <cell r="CI419">
            <v>9814</v>
          </cell>
          <cell r="CJ419">
            <v>9814</v>
          </cell>
          <cell r="CK419">
            <v>9814</v>
          </cell>
          <cell r="CL419">
            <v>9814</v>
          </cell>
          <cell r="CM419">
            <v>9814</v>
          </cell>
          <cell r="CN419">
            <v>9814</v>
          </cell>
          <cell r="CO419">
            <v>9814</v>
          </cell>
          <cell r="CP419">
            <v>9814</v>
          </cell>
          <cell r="CQ419">
            <v>9814</v>
          </cell>
          <cell r="CR419">
            <v>9814</v>
          </cell>
          <cell r="CS419">
            <v>9814</v>
          </cell>
          <cell r="CT419">
            <v>9814</v>
          </cell>
          <cell r="CU419">
            <v>9814</v>
          </cell>
          <cell r="CV419">
            <v>9814</v>
          </cell>
          <cell r="CW419">
            <v>9814</v>
          </cell>
          <cell r="CX419">
            <v>8986</v>
          </cell>
          <cell r="CY419">
            <v>8986</v>
          </cell>
          <cell r="CZ419">
            <v>8986</v>
          </cell>
          <cell r="DA419">
            <v>8986</v>
          </cell>
          <cell r="DB419">
            <v>8986</v>
          </cell>
          <cell r="DC419">
            <v>8986</v>
          </cell>
          <cell r="DD419">
            <v>8986</v>
          </cell>
          <cell r="DE419">
            <v>8986</v>
          </cell>
          <cell r="DF419">
            <v>8986</v>
          </cell>
          <cell r="DG419">
            <v>8986</v>
          </cell>
          <cell r="DH419">
            <v>8986</v>
          </cell>
          <cell r="DI419">
            <v>8986</v>
          </cell>
          <cell r="DJ419">
            <v>8986</v>
          </cell>
          <cell r="DK419">
            <v>8986</v>
          </cell>
          <cell r="DL419">
            <v>8986</v>
          </cell>
          <cell r="DM419">
            <v>8986</v>
          </cell>
          <cell r="DN419">
            <v>8986</v>
          </cell>
          <cell r="DO419">
            <v>8986</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0</v>
          </cell>
          <cell r="EK419">
            <v>0</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4627</v>
          </cell>
          <cell r="CA462">
            <v>4627</v>
          </cell>
          <cell r="CB462">
            <v>4627</v>
          </cell>
          <cell r="CC462">
            <v>4587</v>
          </cell>
          <cell r="CD462">
            <v>4559</v>
          </cell>
          <cell r="CE462">
            <v>4530</v>
          </cell>
          <cell r="CF462">
            <v>4501</v>
          </cell>
          <cell r="CG462">
            <v>4457</v>
          </cell>
          <cell r="CH462">
            <v>4425</v>
          </cell>
          <cell r="CI462">
            <v>4393</v>
          </cell>
          <cell r="CJ462">
            <v>4361</v>
          </cell>
          <cell r="CK462">
            <v>4312</v>
          </cell>
          <cell r="CL462">
            <v>4277</v>
          </cell>
          <cell r="CM462">
            <v>4242</v>
          </cell>
          <cell r="CN462">
            <v>4190</v>
          </cell>
          <cell r="CO462">
            <v>4153</v>
          </cell>
          <cell r="CP462">
            <v>4115</v>
          </cell>
          <cell r="CQ462">
            <v>4076</v>
          </cell>
          <cell r="CR462">
            <v>4020</v>
          </cell>
          <cell r="CS462">
            <v>3980</v>
          </cell>
          <cell r="CT462">
            <v>3938</v>
          </cell>
          <cell r="CU462">
            <v>3879</v>
          </cell>
          <cell r="CV462">
            <v>3836</v>
          </cell>
          <cell r="CW462">
            <v>3792</v>
          </cell>
          <cell r="CX462">
            <v>3747</v>
          </cell>
          <cell r="CY462">
            <v>3684</v>
          </cell>
          <cell r="CZ462">
            <v>3637</v>
          </cell>
          <cell r="DA462">
            <v>3590</v>
          </cell>
          <cell r="DB462">
            <v>3541</v>
          </cell>
          <cell r="DC462">
            <v>3474</v>
          </cell>
          <cell r="DD462">
            <v>3424</v>
          </cell>
          <cell r="DE462">
            <v>3373</v>
          </cell>
          <cell r="DF462">
            <v>3302</v>
          </cell>
          <cell r="DG462">
            <v>3250</v>
          </cell>
          <cell r="DH462">
            <v>3196</v>
          </cell>
          <cell r="DI462">
            <v>3142</v>
          </cell>
          <cell r="DJ462">
            <v>3067</v>
          </cell>
          <cell r="DK462">
            <v>3011</v>
          </cell>
          <cell r="DL462">
            <v>2954</v>
          </cell>
          <cell r="DM462">
            <v>2876</v>
          </cell>
          <cell r="DN462">
            <v>2817</v>
          </cell>
          <cell r="DO462">
            <v>2758</v>
          </cell>
          <cell r="DP462">
            <v>9211</v>
          </cell>
          <cell r="DQ462">
            <v>9128</v>
          </cell>
          <cell r="DR462">
            <v>9066</v>
          </cell>
          <cell r="DS462">
            <v>9004</v>
          </cell>
          <cell r="DT462">
            <v>8940</v>
          </cell>
          <cell r="DU462">
            <v>8853</v>
          </cell>
          <cell r="DV462">
            <v>8788</v>
          </cell>
          <cell r="DW462">
            <v>8722</v>
          </cell>
          <cell r="DX462">
            <v>8632</v>
          </cell>
          <cell r="DY462">
            <v>8564</v>
          </cell>
          <cell r="DZ462">
            <v>8495</v>
          </cell>
          <cell r="EA462">
            <v>8426</v>
          </cell>
          <cell r="EB462">
            <v>8332</v>
          </cell>
          <cell r="EC462">
            <v>8260</v>
          </cell>
          <cell r="ED462">
            <v>8188</v>
          </cell>
          <cell r="EE462">
            <v>8091</v>
          </cell>
          <cell r="EF462">
            <v>8017</v>
          </cell>
          <cell r="EG462">
            <v>7942</v>
          </cell>
          <cell r="EH462">
            <v>7866</v>
          </cell>
          <cell r="EI462">
            <v>7765</v>
          </cell>
          <cell r="EJ462">
            <v>7688</v>
          </cell>
          <cell r="EK462">
            <v>7609</v>
          </cell>
          <cell r="EL462">
            <v>7530</v>
          </cell>
          <cell r="EM462">
            <v>7425</v>
          </cell>
          <cell r="EN462">
            <v>7344</v>
          </cell>
          <cell r="EO462">
            <v>7262</v>
          </cell>
          <cell r="EP462">
            <v>7160</v>
          </cell>
          <cell r="EQ462">
            <v>7097</v>
          </cell>
          <cell r="ER462">
            <v>7033</v>
          </cell>
          <cell r="ES462">
            <v>6968</v>
          </cell>
          <cell r="ET462">
            <v>6890</v>
          </cell>
          <cell r="EU462">
            <v>6824</v>
          </cell>
          <cell r="EV462">
            <v>6758</v>
          </cell>
          <cell r="EW462">
            <v>6692</v>
          </cell>
          <cell r="EX462">
            <v>6604</v>
          </cell>
          <cell r="EY462">
            <v>6536</v>
          </cell>
          <cell r="EZ462">
            <v>6468</v>
          </cell>
          <cell r="FA462">
            <v>6385</v>
          </cell>
          <cell r="FB462">
            <v>6316</v>
          </cell>
          <cell r="FC462">
            <v>6246</v>
          </cell>
          <cell r="FD462">
            <v>6176</v>
          </cell>
          <cell r="FE462">
            <v>6083</v>
          </cell>
          <cell r="FF462">
            <v>6012</v>
          </cell>
          <cell r="FG462">
            <v>5940</v>
          </cell>
          <cell r="FH462">
            <v>5852</v>
          </cell>
          <cell r="FI462">
            <v>5779</v>
          </cell>
          <cell r="FJ462">
            <v>5706</v>
          </cell>
          <cell r="FK462">
            <v>5632</v>
          </cell>
          <cell r="FL462">
            <v>5534</v>
          </cell>
          <cell r="FM462">
            <v>5459</v>
          </cell>
          <cell r="FN462">
            <v>5384</v>
          </cell>
          <cell r="FO462">
            <v>5307</v>
          </cell>
          <cell r="FP462">
            <v>5215</v>
          </cell>
          <cell r="FQ462">
            <v>5138</v>
          </cell>
          <cell r="FR462">
            <v>5060</v>
          </cell>
          <cell r="FS462">
            <v>4958</v>
          </cell>
          <cell r="FT462">
            <v>4879</v>
          </cell>
          <cell r="FU462">
            <v>4799</v>
          </cell>
          <cell r="FV462">
            <v>4719</v>
          </cell>
          <cell r="FW462">
            <v>4622</v>
          </cell>
          <cell r="FX462">
            <v>4541</v>
          </cell>
          <cell r="FY462">
            <v>4460</v>
          </cell>
          <cell r="FZ462">
            <v>4353</v>
          </cell>
          <cell r="GA462">
            <v>4270</v>
          </cell>
          <cell r="GB462">
            <v>4187</v>
          </cell>
          <cell r="GC462">
            <v>4103</v>
          </cell>
          <cell r="GD462">
            <v>4002</v>
          </cell>
          <cell r="GE462">
            <v>3917</v>
          </cell>
          <cell r="GF462">
            <v>3832</v>
          </cell>
          <cell r="GG462">
            <v>3746</v>
          </cell>
          <cell r="GH462">
            <v>3660</v>
          </cell>
          <cell r="GI462">
            <v>3617</v>
          </cell>
          <cell r="GJ462">
            <v>3575</v>
          </cell>
          <cell r="GK462">
            <v>3532</v>
          </cell>
          <cell r="GL462">
            <v>3490</v>
          </cell>
          <cell r="GM462">
            <v>3447</v>
          </cell>
          <cell r="GN462">
            <v>3405</v>
          </cell>
          <cell r="GO462">
            <v>3362</v>
          </cell>
          <cell r="GP462">
            <v>3320</v>
          </cell>
          <cell r="GQ462">
            <v>3277</v>
          </cell>
          <cell r="GR462">
            <v>3235</v>
          </cell>
          <cell r="GS462">
            <v>3192</v>
          </cell>
          <cell r="GT462">
            <v>3150</v>
          </cell>
          <cell r="GU462">
            <v>3107</v>
          </cell>
          <cell r="GV462">
            <v>3065</v>
          </cell>
          <cell r="GW462">
            <v>3022</v>
          </cell>
          <cell r="GX462">
            <v>2980</v>
          </cell>
          <cell r="GY462">
            <v>2937</v>
          </cell>
          <cell r="GZ462">
            <v>2895</v>
          </cell>
          <cell r="HA462">
            <v>2852</v>
          </cell>
          <cell r="HB462">
            <v>2810</v>
          </cell>
          <cell r="HC462">
            <v>2767</v>
          </cell>
          <cell r="HD462">
            <v>2725</v>
          </cell>
          <cell r="HE462">
            <v>2682</v>
          </cell>
          <cell r="HF462">
            <v>2640</v>
          </cell>
        </row>
        <row r="588">
          <cell r="N588">
            <v>0</v>
          </cell>
          <cell r="O588">
            <v>0</v>
          </cell>
          <cell r="P588">
            <v>0</v>
          </cell>
          <cell r="Q588">
            <v>8860</v>
          </cell>
          <cell r="R588">
            <v>8860</v>
          </cell>
          <cell r="S588">
            <v>8860</v>
          </cell>
          <cell r="T588">
            <v>8860</v>
          </cell>
          <cell r="U588">
            <v>8860</v>
          </cell>
          <cell r="V588">
            <v>8860</v>
          </cell>
          <cell r="W588">
            <v>8860</v>
          </cell>
          <cell r="X588">
            <v>8860</v>
          </cell>
          <cell r="Y588">
            <v>8732</v>
          </cell>
          <cell r="Z588">
            <v>8732</v>
          </cell>
          <cell r="AA588">
            <v>8732</v>
          </cell>
          <cell r="AB588">
            <v>8732</v>
          </cell>
          <cell r="AC588">
            <v>8732</v>
          </cell>
          <cell r="AD588">
            <v>8680</v>
          </cell>
          <cell r="AE588">
            <v>8680</v>
          </cell>
          <cell r="AF588">
            <v>11556</v>
          </cell>
          <cell r="AG588">
            <v>11556</v>
          </cell>
          <cell r="AH588">
            <v>11478</v>
          </cell>
          <cell r="AI588">
            <v>11478</v>
          </cell>
          <cell r="AJ588">
            <v>11478</v>
          </cell>
          <cell r="AK588">
            <v>11478</v>
          </cell>
          <cell r="AL588">
            <v>11138</v>
          </cell>
          <cell r="AM588">
            <v>11138</v>
          </cell>
          <cell r="AN588">
            <v>11138</v>
          </cell>
          <cell r="AO588">
            <v>11138</v>
          </cell>
          <cell r="AP588">
            <v>10800</v>
          </cell>
          <cell r="AQ588">
            <v>10800</v>
          </cell>
          <cell r="AR588">
            <v>13206</v>
          </cell>
          <cell r="AS588">
            <v>13206</v>
          </cell>
          <cell r="AT588">
            <v>12684</v>
          </cell>
          <cell r="AU588">
            <v>12684</v>
          </cell>
          <cell r="AV588">
            <v>12684</v>
          </cell>
          <cell r="AW588">
            <v>12684</v>
          </cell>
          <cell r="AX588">
            <v>12162</v>
          </cell>
          <cell r="AY588">
            <v>12162</v>
          </cell>
          <cell r="AZ588">
            <v>12162</v>
          </cell>
          <cell r="BA588">
            <v>12162</v>
          </cell>
          <cell r="BB588">
            <v>12162</v>
          </cell>
          <cell r="BC588">
            <v>12162</v>
          </cell>
          <cell r="BD588">
            <v>12162</v>
          </cell>
          <cell r="BE588">
            <v>12162</v>
          </cell>
          <cell r="BF588">
            <v>12162</v>
          </cell>
          <cell r="BG588">
            <v>12162</v>
          </cell>
          <cell r="BH588">
            <v>12162</v>
          </cell>
          <cell r="BI588">
            <v>12162</v>
          </cell>
          <cell r="BJ588">
            <v>12162</v>
          </cell>
          <cell r="BK588">
            <v>12162</v>
          </cell>
          <cell r="BL588">
            <v>12162</v>
          </cell>
          <cell r="BM588">
            <v>12162</v>
          </cell>
          <cell r="BN588">
            <v>12162</v>
          </cell>
          <cell r="BO588">
            <v>12162</v>
          </cell>
          <cell r="BP588">
            <v>12162</v>
          </cell>
          <cell r="BQ588">
            <v>12162</v>
          </cell>
          <cell r="BR588">
            <v>12162</v>
          </cell>
          <cell r="BS588">
            <v>12162</v>
          </cell>
          <cell r="BT588">
            <v>12162</v>
          </cell>
          <cell r="BU588">
            <v>12162</v>
          </cell>
          <cell r="BV588">
            <v>12162</v>
          </cell>
          <cell r="BW588">
            <v>12162</v>
          </cell>
          <cell r="BX588">
            <v>12162</v>
          </cell>
          <cell r="BY588">
            <v>12162</v>
          </cell>
          <cell r="BZ588">
            <v>12162</v>
          </cell>
          <cell r="CA588">
            <v>12162</v>
          </cell>
          <cell r="CB588">
            <v>12162</v>
          </cell>
          <cell r="CC588">
            <v>12162</v>
          </cell>
          <cell r="CD588">
            <v>12162</v>
          </cell>
          <cell r="CE588">
            <v>12162</v>
          </cell>
          <cell r="CF588">
            <v>9208</v>
          </cell>
          <cell r="CG588">
            <v>9208</v>
          </cell>
          <cell r="CH588">
            <v>9208</v>
          </cell>
          <cell r="CI588">
            <v>9208</v>
          </cell>
          <cell r="CJ588">
            <v>9208</v>
          </cell>
          <cell r="CK588">
            <v>9208</v>
          </cell>
          <cell r="CL588">
            <v>9208</v>
          </cell>
          <cell r="CM588">
            <v>9208</v>
          </cell>
          <cell r="CN588">
            <v>9208</v>
          </cell>
          <cell r="CO588">
            <v>9208</v>
          </cell>
          <cell r="CP588">
            <v>9208</v>
          </cell>
          <cell r="CQ588">
            <v>9208</v>
          </cell>
          <cell r="CR588">
            <v>9208</v>
          </cell>
          <cell r="CS588">
            <v>9208</v>
          </cell>
          <cell r="CT588">
            <v>9208</v>
          </cell>
          <cell r="CU588">
            <v>9208</v>
          </cell>
          <cell r="CV588">
            <v>6254</v>
          </cell>
          <cell r="CW588">
            <v>6254</v>
          </cell>
          <cell r="CX588">
            <v>6254</v>
          </cell>
          <cell r="CY588">
            <v>6254</v>
          </cell>
          <cell r="CZ588">
            <v>6254</v>
          </cell>
          <cell r="DA588">
            <v>6254</v>
          </cell>
          <cell r="DB588">
            <v>6254</v>
          </cell>
          <cell r="DC588">
            <v>6254</v>
          </cell>
          <cell r="DD588">
            <v>6254</v>
          </cell>
          <cell r="DE588">
            <v>6254</v>
          </cell>
          <cell r="DF588">
            <v>6254</v>
          </cell>
          <cell r="DG588">
            <v>6254</v>
          </cell>
          <cell r="DH588">
            <v>6254</v>
          </cell>
          <cell r="DI588">
            <v>6254</v>
          </cell>
          <cell r="DJ588">
            <v>4777</v>
          </cell>
          <cell r="DK588">
            <v>4777</v>
          </cell>
          <cell r="DL588">
            <v>4777</v>
          </cell>
          <cell r="DM588">
            <v>4777</v>
          </cell>
          <cell r="DN588">
            <v>4777</v>
          </cell>
          <cell r="DO588">
            <v>4777</v>
          </cell>
          <cell r="DP588">
            <v>4777</v>
          </cell>
          <cell r="DQ588">
            <v>4777</v>
          </cell>
          <cell r="DR588">
            <v>4777</v>
          </cell>
          <cell r="DS588">
            <v>4777</v>
          </cell>
          <cell r="DT588">
            <v>4777</v>
          </cell>
          <cell r="DU588">
            <v>4777</v>
          </cell>
          <cell r="DV588">
            <v>4777</v>
          </cell>
          <cell r="DW588">
            <v>4777</v>
          </cell>
          <cell r="DX588">
            <v>4777</v>
          </cell>
          <cell r="DY588">
            <v>4777</v>
          </cell>
          <cell r="DZ588">
            <v>4777</v>
          </cell>
          <cell r="EA588">
            <v>4777</v>
          </cell>
          <cell r="EB588">
            <v>4777</v>
          </cell>
          <cell r="EC588">
            <v>4777</v>
          </cell>
          <cell r="ED588">
            <v>4777</v>
          </cell>
          <cell r="EE588">
            <v>4777</v>
          </cell>
          <cell r="EF588">
            <v>4777</v>
          </cell>
          <cell r="EG588">
            <v>4777</v>
          </cell>
          <cell r="EH588">
            <v>4777</v>
          </cell>
          <cell r="EI588">
            <v>4777</v>
          </cell>
          <cell r="EJ588">
            <v>4777</v>
          </cell>
          <cell r="EK588">
            <v>0</v>
          </cell>
          <cell r="EL588">
            <v>0</v>
          </cell>
          <cell r="EM588">
            <v>0</v>
          </cell>
          <cell r="EN588">
            <v>0</v>
          </cell>
          <cell r="EO588">
            <v>0</v>
          </cell>
          <cell r="EP588">
            <v>0</v>
          </cell>
          <cell r="EQ588">
            <v>0</v>
          </cell>
          <cell r="ER588">
            <v>0</v>
          </cell>
          <cell r="ES588">
            <v>0</v>
          </cell>
          <cell r="ET588">
            <v>0</v>
          </cell>
          <cell r="EU588">
            <v>0</v>
          </cell>
          <cell r="EV588">
            <v>0</v>
          </cell>
          <cell r="EW588">
            <v>0</v>
          </cell>
          <cell r="EX588">
            <v>0</v>
          </cell>
          <cell r="EY588">
            <v>0</v>
          </cell>
          <cell r="EZ588">
            <v>0</v>
          </cell>
          <cell r="FA588">
            <v>0</v>
          </cell>
          <cell r="FB588">
            <v>0</v>
          </cell>
          <cell r="FC588">
            <v>0</v>
          </cell>
          <cell r="FD588">
            <v>0</v>
          </cell>
          <cell r="FE588">
            <v>0</v>
          </cell>
          <cell r="FF588">
            <v>0</v>
          </cell>
          <cell r="FG588">
            <v>0</v>
          </cell>
          <cell r="FH588">
            <v>0</v>
          </cell>
          <cell r="FI588">
            <v>0</v>
          </cell>
          <cell r="FJ588">
            <v>0</v>
          </cell>
          <cell r="FK588">
            <v>0</v>
          </cell>
          <cell r="FL588">
            <v>0</v>
          </cell>
          <cell r="FM588">
            <v>0</v>
          </cell>
          <cell r="FN588">
            <v>0</v>
          </cell>
          <cell r="FO588">
            <v>0</v>
          </cell>
          <cell r="FP588">
            <v>0</v>
          </cell>
          <cell r="FQ588">
            <v>0</v>
          </cell>
          <cell r="FR588">
            <v>0</v>
          </cell>
          <cell r="FS588">
            <v>0</v>
          </cell>
          <cell r="FT588">
            <v>0</v>
          </cell>
          <cell r="FU588">
            <v>0</v>
          </cell>
          <cell r="FV588">
            <v>0</v>
          </cell>
          <cell r="FW588">
            <v>0</v>
          </cell>
          <cell r="FX588">
            <v>0</v>
          </cell>
          <cell r="FY588">
            <v>0</v>
          </cell>
          <cell r="FZ588">
            <v>0</v>
          </cell>
          <cell r="GA588">
            <v>0</v>
          </cell>
          <cell r="GB588">
            <v>0</v>
          </cell>
          <cell r="GC588">
            <v>0</v>
          </cell>
          <cell r="GD588">
            <v>0</v>
          </cell>
          <cell r="GE588">
            <v>0</v>
          </cell>
          <cell r="GF588">
            <v>0</v>
          </cell>
          <cell r="GG588">
            <v>0</v>
          </cell>
          <cell r="GH588">
            <v>0</v>
          </cell>
          <cell r="GI588">
            <v>0</v>
          </cell>
          <cell r="GJ588">
            <v>0</v>
          </cell>
          <cell r="GK588">
            <v>0</v>
          </cell>
          <cell r="GL588">
            <v>0</v>
          </cell>
          <cell r="GM588">
            <v>0</v>
          </cell>
          <cell r="GN588">
            <v>0</v>
          </cell>
          <cell r="GO588">
            <v>0</v>
          </cell>
          <cell r="GP588">
            <v>0</v>
          </cell>
          <cell r="GQ588">
            <v>0</v>
          </cell>
          <cell r="GR588">
            <v>0</v>
          </cell>
          <cell r="GS588">
            <v>0</v>
          </cell>
          <cell r="GT588">
            <v>0</v>
          </cell>
          <cell r="GU588">
            <v>0</v>
          </cell>
          <cell r="GV588">
            <v>0</v>
          </cell>
          <cell r="GW588">
            <v>0</v>
          </cell>
          <cell r="GX588">
            <v>0</v>
          </cell>
          <cell r="GY588">
            <v>0</v>
          </cell>
          <cell r="GZ588">
            <v>0</v>
          </cell>
          <cell r="HA588">
            <v>0</v>
          </cell>
          <cell r="HB588">
            <v>0</v>
          </cell>
          <cell r="HC588">
            <v>0</v>
          </cell>
          <cell r="HD588">
            <v>0</v>
          </cell>
          <cell r="HE588">
            <v>0</v>
          </cell>
          <cell r="HF588">
            <v>0</v>
          </cell>
        </row>
        <row r="685">
          <cell r="N685">
            <v>9689</v>
          </cell>
          <cell r="O685">
            <v>9539</v>
          </cell>
          <cell r="P685">
            <v>9389</v>
          </cell>
          <cell r="Q685">
            <v>9243</v>
          </cell>
          <cell r="R685">
            <v>9127</v>
          </cell>
          <cell r="S685">
            <v>9010</v>
          </cell>
          <cell r="T685">
            <v>8893</v>
          </cell>
          <cell r="U685">
            <v>8777</v>
          </cell>
          <cell r="V685">
            <v>8660</v>
          </cell>
          <cell r="W685">
            <v>8543</v>
          </cell>
          <cell r="X685">
            <v>8427</v>
          </cell>
          <cell r="Y685">
            <v>8348</v>
          </cell>
          <cell r="Z685">
            <v>8232</v>
          </cell>
          <cell r="AA685">
            <v>8115</v>
          </cell>
          <cell r="AB685">
            <v>7998</v>
          </cell>
          <cell r="AC685">
            <v>7882</v>
          </cell>
          <cell r="AD685">
            <v>7781</v>
          </cell>
          <cell r="AE685">
            <v>7664</v>
          </cell>
          <cell r="AF685">
            <v>7571</v>
          </cell>
          <cell r="AG685">
            <v>7454</v>
          </cell>
          <cell r="AH685">
            <v>7361</v>
          </cell>
          <cell r="AI685">
            <v>7244</v>
          </cell>
          <cell r="AJ685">
            <v>7127</v>
          </cell>
          <cell r="AK685">
            <v>7010</v>
          </cell>
          <cell r="AL685">
            <v>6996</v>
          </cell>
          <cell r="AM685">
            <v>6879</v>
          </cell>
          <cell r="AN685">
            <v>6763</v>
          </cell>
          <cell r="AO685">
            <v>6646</v>
          </cell>
          <cell r="AP685">
            <v>6631</v>
          </cell>
          <cell r="AQ685">
            <v>6514</v>
          </cell>
          <cell r="AR685">
            <v>6562</v>
          </cell>
          <cell r="AS685">
            <v>6445</v>
          </cell>
          <cell r="AT685">
            <v>6485</v>
          </cell>
          <cell r="AU685">
            <v>6368</v>
          </cell>
          <cell r="AV685">
            <v>6251</v>
          </cell>
          <cell r="AW685">
            <v>6116</v>
          </cell>
          <cell r="AX685">
            <v>6122</v>
          </cell>
          <cell r="AY685">
            <v>5972</v>
          </cell>
          <cell r="AZ685">
            <v>5822</v>
          </cell>
          <cell r="BA685">
            <v>5672</v>
          </cell>
          <cell r="BB685">
            <v>5522</v>
          </cell>
          <cell r="BC685">
            <v>5372</v>
          </cell>
          <cell r="BD685">
            <v>5222</v>
          </cell>
          <cell r="BE685">
            <v>5072</v>
          </cell>
          <cell r="BF685">
            <v>4922</v>
          </cell>
          <cell r="BG685">
            <v>4772</v>
          </cell>
          <cell r="BH685">
            <v>4622</v>
          </cell>
          <cell r="BI685">
            <v>4472</v>
          </cell>
          <cell r="BJ685">
            <v>4322</v>
          </cell>
          <cell r="BK685">
            <v>4172</v>
          </cell>
          <cell r="BL685">
            <v>4022</v>
          </cell>
          <cell r="BM685">
            <v>3872</v>
          </cell>
          <cell r="BN685">
            <v>3722</v>
          </cell>
          <cell r="BO685">
            <v>3572</v>
          </cell>
          <cell r="BP685">
            <v>3422</v>
          </cell>
          <cell r="BQ685">
            <v>3272</v>
          </cell>
          <cell r="BR685">
            <v>3122</v>
          </cell>
          <cell r="BS685">
            <v>2972</v>
          </cell>
          <cell r="BT685">
            <v>2822</v>
          </cell>
          <cell r="BU685">
            <v>2672</v>
          </cell>
          <cell r="BV685">
            <v>2522</v>
          </cell>
          <cell r="BW685">
            <v>2372</v>
          </cell>
          <cell r="BX685">
            <v>2222</v>
          </cell>
          <cell r="BY685">
            <v>2072</v>
          </cell>
          <cell r="BZ685">
            <v>1922</v>
          </cell>
          <cell r="CA685">
            <v>1772</v>
          </cell>
          <cell r="CB685">
            <v>1622</v>
          </cell>
          <cell r="CC685">
            <v>1472</v>
          </cell>
          <cell r="CD685">
            <v>1322</v>
          </cell>
          <cell r="CE685">
            <v>1172</v>
          </cell>
          <cell r="CF685">
            <v>1022</v>
          </cell>
          <cell r="CG685">
            <v>872</v>
          </cell>
          <cell r="CH685">
            <v>722</v>
          </cell>
          <cell r="CI685">
            <v>572</v>
          </cell>
          <cell r="CJ685">
            <v>422</v>
          </cell>
          <cell r="CK685">
            <v>272</v>
          </cell>
          <cell r="CL685">
            <v>0</v>
          </cell>
          <cell r="CM685">
            <v>0</v>
          </cell>
          <cell r="CN685">
            <v>0</v>
          </cell>
          <cell r="CO685">
            <v>0</v>
          </cell>
          <cell r="CP685">
            <v>0</v>
          </cell>
          <cell r="CQ685">
            <v>0</v>
          </cell>
          <cell r="CR685">
            <v>0</v>
          </cell>
          <cell r="CS685">
            <v>0</v>
          </cell>
          <cell r="CT685">
            <v>0</v>
          </cell>
          <cell r="CU685">
            <v>0</v>
          </cell>
          <cell r="CV685">
            <v>0</v>
          </cell>
          <cell r="CW685">
            <v>0</v>
          </cell>
          <cell r="CX685">
            <v>0</v>
          </cell>
          <cell r="CY685">
            <v>0</v>
          </cell>
          <cell r="CZ685">
            <v>0</v>
          </cell>
          <cell r="DA685">
            <v>0</v>
          </cell>
          <cell r="DB685">
            <v>0</v>
          </cell>
          <cell r="DC685">
            <v>0</v>
          </cell>
          <cell r="DD685">
            <v>0</v>
          </cell>
          <cell r="DE685">
            <v>0</v>
          </cell>
          <cell r="DF685">
            <v>0</v>
          </cell>
          <cell r="DG685">
            <v>0</v>
          </cell>
          <cell r="DH685">
            <v>0</v>
          </cell>
          <cell r="DI685">
            <v>0</v>
          </cell>
          <cell r="DJ685">
            <v>0</v>
          </cell>
          <cell r="DK685">
            <v>0</v>
          </cell>
          <cell r="DL685">
            <v>0</v>
          </cell>
          <cell r="DM685">
            <v>0</v>
          </cell>
          <cell r="DN685">
            <v>0</v>
          </cell>
          <cell r="DO685">
            <v>0</v>
          </cell>
          <cell r="DP685">
            <v>0</v>
          </cell>
          <cell r="DQ685">
            <v>0</v>
          </cell>
          <cell r="DR685">
            <v>0</v>
          </cell>
          <cell r="DS685">
            <v>0</v>
          </cell>
          <cell r="DT685">
            <v>0</v>
          </cell>
          <cell r="DU685">
            <v>0</v>
          </cell>
          <cell r="DV685">
            <v>0</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9689</v>
          </cell>
          <cell r="O688">
            <v>9539</v>
          </cell>
          <cell r="P688">
            <v>9389</v>
          </cell>
          <cell r="Q688">
            <v>9243</v>
          </cell>
          <cell r="R688">
            <v>9127</v>
          </cell>
          <cell r="S688">
            <v>9010</v>
          </cell>
          <cell r="T688">
            <v>8893</v>
          </cell>
          <cell r="U688">
            <v>8777</v>
          </cell>
          <cell r="V688">
            <v>8660</v>
          </cell>
          <cell r="W688">
            <v>8543</v>
          </cell>
          <cell r="X688">
            <v>8427</v>
          </cell>
          <cell r="Y688">
            <v>8348</v>
          </cell>
          <cell r="Z688">
            <v>8232</v>
          </cell>
          <cell r="AA688">
            <v>8115</v>
          </cell>
          <cell r="AB688">
            <v>7998</v>
          </cell>
          <cell r="AC688">
            <v>7882</v>
          </cell>
          <cell r="AD688">
            <v>7781</v>
          </cell>
          <cell r="AE688">
            <v>7664</v>
          </cell>
          <cell r="AF688">
            <v>7571</v>
          </cell>
          <cell r="AG688">
            <v>7454</v>
          </cell>
          <cell r="AH688">
            <v>7361</v>
          </cell>
          <cell r="AI688">
            <v>7244</v>
          </cell>
          <cell r="AJ688">
            <v>7127</v>
          </cell>
          <cell r="AK688">
            <v>7010</v>
          </cell>
          <cell r="AL688">
            <v>6996</v>
          </cell>
          <cell r="AM688">
            <v>6879</v>
          </cell>
          <cell r="AN688">
            <v>6763</v>
          </cell>
          <cell r="AO688">
            <v>6646</v>
          </cell>
          <cell r="AP688">
            <v>6631</v>
          </cell>
          <cell r="AQ688">
            <v>6514</v>
          </cell>
          <cell r="AR688">
            <v>6562</v>
          </cell>
          <cell r="AS688">
            <v>6445</v>
          </cell>
          <cell r="AT688">
            <v>6485</v>
          </cell>
          <cell r="AU688">
            <v>6368</v>
          </cell>
          <cell r="AV688">
            <v>6251</v>
          </cell>
          <cell r="AW688">
            <v>6116</v>
          </cell>
          <cell r="AX688">
            <v>6122</v>
          </cell>
          <cell r="AY688">
            <v>5972</v>
          </cell>
          <cell r="AZ688">
            <v>5822</v>
          </cell>
          <cell r="BA688">
            <v>5672</v>
          </cell>
          <cell r="BB688">
            <v>5522</v>
          </cell>
          <cell r="BC688">
            <v>5372</v>
          </cell>
          <cell r="BD688">
            <v>5222</v>
          </cell>
          <cell r="BE688">
            <v>5072</v>
          </cell>
          <cell r="BF688">
            <v>4922</v>
          </cell>
          <cell r="BG688">
            <v>4772</v>
          </cell>
          <cell r="BH688">
            <v>4622</v>
          </cell>
          <cell r="BI688">
            <v>4472</v>
          </cell>
          <cell r="BJ688">
            <v>4322</v>
          </cell>
          <cell r="BK688">
            <v>4172</v>
          </cell>
          <cell r="BL688">
            <v>4022</v>
          </cell>
          <cell r="BM688">
            <v>3872</v>
          </cell>
          <cell r="BN688">
            <v>3722</v>
          </cell>
          <cell r="BO688">
            <v>3572</v>
          </cell>
          <cell r="BP688">
            <v>3422</v>
          </cell>
          <cell r="BQ688">
            <v>3272</v>
          </cell>
          <cell r="BR688">
            <v>3122</v>
          </cell>
          <cell r="BS688">
            <v>2972</v>
          </cell>
          <cell r="BT688">
            <v>2822</v>
          </cell>
          <cell r="BU688">
            <v>2672</v>
          </cell>
          <cell r="BV688">
            <v>2522</v>
          </cell>
          <cell r="BW688">
            <v>2372</v>
          </cell>
          <cell r="BX688">
            <v>2222</v>
          </cell>
          <cell r="BY688">
            <v>2072</v>
          </cell>
          <cell r="BZ688">
            <v>1922</v>
          </cell>
          <cell r="CA688">
            <v>1772</v>
          </cell>
          <cell r="CB688">
            <v>1622</v>
          </cell>
          <cell r="CC688">
            <v>1472</v>
          </cell>
          <cell r="CD688">
            <v>1322</v>
          </cell>
          <cell r="CE688">
            <v>1172</v>
          </cell>
          <cell r="CF688">
            <v>1022</v>
          </cell>
          <cell r="CG688">
            <v>872</v>
          </cell>
          <cell r="CH688">
            <v>722</v>
          </cell>
          <cell r="CI688">
            <v>572</v>
          </cell>
          <cell r="CJ688">
            <v>422</v>
          </cell>
          <cell r="CK688">
            <v>272</v>
          </cell>
          <cell r="CL688">
            <v>122</v>
          </cell>
          <cell r="CM688">
            <v>0</v>
          </cell>
          <cell r="CN688">
            <v>0</v>
          </cell>
          <cell r="CO688">
            <v>0</v>
          </cell>
          <cell r="CP688">
            <v>0</v>
          </cell>
          <cell r="CQ688">
            <v>0</v>
          </cell>
          <cell r="CR688">
            <v>0</v>
          </cell>
          <cell r="CS688">
            <v>0</v>
          </cell>
          <cell r="CT688">
            <v>0</v>
          </cell>
          <cell r="CU688">
            <v>0</v>
          </cell>
          <cell r="CV688">
            <v>0</v>
          </cell>
          <cell r="CW688">
            <v>0</v>
          </cell>
          <cell r="CX688">
            <v>0</v>
          </cell>
          <cell r="CY688">
            <v>0</v>
          </cell>
          <cell r="CZ688">
            <v>0</v>
          </cell>
          <cell r="DA688">
            <v>0</v>
          </cell>
          <cell r="DB688">
            <v>0</v>
          </cell>
          <cell r="DC688">
            <v>0</v>
          </cell>
          <cell r="DD688">
            <v>0</v>
          </cell>
          <cell r="DE688">
            <v>0</v>
          </cell>
          <cell r="DF688">
            <v>0</v>
          </cell>
          <cell r="DG688">
            <v>0</v>
          </cell>
          <cell r="DH688">
            <v>0</v>
          </cell>
          <cell r="DI688">
            <v>0</v>
          </cell>
          <cell r="DJ688">
            <v>0</v>
          </cell>
          <cell r="DK688">
            <v>0</v>
          </cell>
          <cell r="DL688">
            <v>0</v>
          </cell>
          <cell r="DM688">
            <v>0</v>
          </cell>
          <cell r="DN688">
            <v>0</v>
          </cell>
          <cell r="DO688">
            <v>0</v>
          </cell>
          <cell r="DP688">
            <v>0</v>
          </cell>
          <cell r="DQ688">
            <v>0</v>
          </cell>
          <cell r="DR688">
            <v>0</v>
          </cell>
          <cell r="DS688">
            <v>0</v>
          </cell>
          <cell r="DT688">
            <v>0</v>
          </cell>
          <cell r="DU688">
            <v>0</v>
          </cell>
          <cell r="DV688">
            <v>0</v>
          </cell>
          <cell r="DW688">
            <v>0</v>
          </cell>
          <cell r="DX688">
            <v>0</v>
          </cell>
          <cell r="DY688">
            <v>0</v>
          </cell>
          <cell r="DZ688">
            <v>0</v>
          </cell>
          <cell r="EA688">
            <v>0</v>
          </cell>
          <cell r="EB688">
            <v>0</v>
          </cell>
          <cell r="EC688">
            <v>0</v>
          </cell>
          <cell r="ED688">
            <v>0</v>
          </cell>
          <cell r="EE688">
            <v>0</v>
          </cell>
          <cell r="EF688">
            <v>0</v>
          </cell>
          <cell r="EG688">
            <v>0</v>
          </cell>
          <cell r="EH688">
            <v>0</v>
          </cell>
          <cell r="EI688">
            <v>0</v>
          </cell>
          <cell r="EJ688">
            <v>0</v>
          </cell>
          <cell r="EK688">
            <v>0</v>
          </cell>
          <cell r="EL688">
            <v>0</v>
          </cell>
          <cell r="EM688">
            <v>0</v>
          </cell>
          <cell r="EN688">
            <v>0</v>
          </cell>
          <cell r="EO688">
            <v>0</v>
          </cell>
          <cell r="EP688">
            <v>0</v>
          </cell>
          <cell r="EQ688">
            <v>0</v>
          </cell>
          <cell r="ER688">
            <v>0</v>
          </cell>
          <cell r="ES688">
            <v>0</v>
          </cell>
          <cell r="ET688">
            <v>0</v>
          </cell>
          <cell r="EU688">
            <v>0</v>
          </cell>
          <cell r="EV688">
            <v>0</v>
          </cell>
          <cell r="EW688">
            <v>0</v>
          </cell>
          <cell r="EX688">
            <v>0</v>
          </cell>
          <cell r="EY688">
            <v>0</v>
          </cell>
          <cell r="EZ688">
            <v>0</v>
          </cell>
          <cell r="FA688">
            <v>0</v>
          </cell>
          <cell r="FB688">
            <v>0</v>
          </cell>
          <cell r="FC688">
            <v>0</v>
          </cell>
          <cell r="FD688">
            <v>0</v>
          </cell>
          <cell r="FE688">
            <v>0</v>
          </cell>
          <cell r="FF688">
            <v>0</v>
          </cell>
          <cell r="FG688">
            <v>0</v>
          </cell>
          <cell r="FH688">
            <v>0</v>
          </cell>
          <cell r="FI688">
            <v>0</v>
          </cell>
          <cell r="FJ688">
            <v>0</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122</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0</v>
          </cell>
          <cell r="EK690">
            <v>0</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495</v>
          </cell>
          <cell r="O711">
            <v>495</v>
          </cell>
          <cell r="P711">
            <v>495</v>
          </cell>
          <cell r="Q711">
            <v>495</v>
          </cell>
          <cell r="R711">
            <v>495</v>
          </cell>
          <cell r="S711">
            <v>495</v>
          </cell>
          <cell r="T711">
            <v>495</v>
          </cell>
          <cell r="U711">
            <v>495</v>
          </cell>
          <cell r="V711">
            <v>495</v>
          </cell>
          <cell r="W711">
            <v>495</v>
          </cell>
          <cell r="X711">
            <v>495</v>
          </cell>
          <cell r="Y711">
            <v>495</v>
          </cell>
          <cell r="Z711">
            <v>495</v>
          </cell>
          <cell r="AA711">
            <v>495</v>
          </cell>
          <cell r="AB711">
            <v>495</v>
          </cell>
          <cell r="AC711">
            <v>495</v>
          </cell>
          <cell r="AD711">
            <v>495</v>
          </cell>
          <cell r="AE711">
            <v>495</v>
          </cell>
          <cell r="AF711">
            <v>495</v>
          </cell>
          <cell r="AG711">
            <v>495</v>
          </cell>
          <cell r="AH711">
            <v>495</v>
          </cell>
          <cell r="AI711">
            <v>495</v>
          </cell>
          <cell r="AJ711">
            <v>495</v>
          </cell>
          <cell r="AK711">
            <v>495</v>
          </cell>
          <cell r="AL711">
            <v>495</v>
          </cell>
          <cell r="AM711">
            <v>495</v>
          </cell>
          <cell r="AN711">
            <v>495</v>
          </cell>
          <cell r="AO711">
            <v>495</v>
          </cell>
          <cell r="AP711">
            <v>495</v>
          </cell>
          <cell r="AQ711">
            <v>495</v>
          </cell>
          <cell r="AR711">
            <v>495</v>
          </cell>
          <cell r="AS711">
            <v>495</v>
          </cell>
          <cell r="AT711">
            <v>495</v>
          </cell>
          <cell r="AU711">
            <v>495</v>
          </cell>
          <cell r="AV711">
            <v>495</v>
          </cell>
          <cell r="AW711">
            <v>495</v>
          </cell>
          <cell r="AX711">
            <v>495</v>
          </cell>
          <cell r="AY711">
            <v>495</v>
          </cell>
          <cell r="AZ711">
            <v>495</v>
          </cell>
          <cell r="BA711">
            <v>495</v>
          </cell>
          <cell r="BB711">
            <v>495</v>
          </cell>
          <cell r="BC711">
            <v>495</v>
          </cell>
          <cell r="BD711">
            <v>495</v>
          </cell>
          <cell r="BE711">
            <v>495</v>
          </cell>
          <cell r="BF711">
            <v>495</v>
          </cell>
          <cell r="BG711">
            <v>495</v>
          </cell>
          <cell r="BH711">
            <v>495</v>
          </cell>
          <cell r="BI711">
            <v>495</v>
          </cell>
          <cell r="BJ711">
            <v>495</v>
          </cell>
          <cell r="BK711">
            <v>495</v>
          </cell>
          <cell r="BL711">
            <v>495</v>
          </cell>
          <cell r="BM711">
            <v>495</v>
          </cell>
          <cell r="BN711">
            <v>495</v>
          </cell>
          <cell r="BO711">
            <v>495</v>
          </cell>
          <cell r="BP711">
            <v>495</v>
          </cell>
          <cell r="BQ711">
            <v>495</v>
          </cell>
          <cell r="BR711">
            <v>495</v>
          </cell>
          <cell r="BS711">
            <v>495</v>
          </cell>
          <cell r="BT711">
            <v>495</v>
          </cell>
          <cell r="BU711">
            <v>495</v>
          </cell>
          <cell r="BV711">
            <v>495</v>
          </cell>
          <cell r="BW711">
            <v>495</v>
          </cell>
          <cell r="BX711">
            <v>495</v>
          </cell>
          <cell r="BY711">
            <v>495</v>
          </cell>
          <cell r="BZ711">
            <v>495</v>
          </cell>
          <cell r="CA711">
            <v>495</v>
          </cell>
          <cell r="CB711">
            <v>495</v>
          </cell>
          <cell r="CC711">
            <v>495</v>
          </cell>
          <cell r="CD711">
            <v>495</v>
          </cell>
          <cell r="CE711">
            <v>495</v>
          </cell>
          <cell r="CF711">
            <v>495</v>
          </cell>
          <cell r="CG711">
            <v>495</v>
          </cell>
          <cell r="CH711">
            <v>495</v>
          </cell>
          <cell r="CI711">
            <v>495</v>
          </cell>
          <cell r="CJ711">
            <v>495</v>
          </cell>
          <cell r="CK711">
            <v>495</v>
          </cell>
          <cell r="CL711">
            <v>495</v>
          </cell>
          <cell r="CM711">
            <v>495</v>
          </cell>
          <cell r="CN711">
            <v>495</v>
          </cell>
          <cell r="CO711">
            <v>495</v>
          </cell>
          <cell r="CP711">
            <v>495</v>
          </cell>
          <cell r="CQ711">
            <v>495</v>
          </cell>
          <cell r="CR711">
            <v>495</v>
          </cell>
          <cell r="CS711">
            <v>495</v>
          </cell>
          <cell r="CT711">
            <v>495</v>
          </cell>
          <cell r="CU711">
            <v>495</v>
          </cell>
          <cell r="CV711">
            <v>495</v>
          </cell>
          <cell r="CW711">
            <v>495</v>
          </cell>
          <cell r="CX711">
            <v>495</v>
          </cell>
          <cell r="CY711">
            <v>495</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0</v>
          </cell>
          <cell r="DY711">
            <v>0</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6D3159-AEB6-4321-9299-BA9E631D1644}" name="FPIG" displayName="FPIG" ref="C18:S51" totalsRowShown="0" headerRowDxfId="16">
  <autoFilter ref="C18:S51" xr:uid="{1E852AFA-38DA-401A-A434-33DC37BE1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42296E51-0FDC-4F63-9B17-DE44F4652B97}" name="State"/>
    <tableColumn id="2" xr3:uid="{544F4DAD-F692-49A0-B42E-BB1AF6382139}" name="Persons in Family/Household" dataDxfId="15"/>
    <tableColumn id="3" xr3:uid="{FE33EE53-D63C-4618-9C8A-1D1D12CA2133}" name="2011" dataDxfId="14"/>
    <tableColumn id="4" xr3:uid="{79A82E56-18A3-44C6-BDD5-FA707E6E8176}" name="2012" dataDxfId="13"/>
    <tableColumn id="5" xr3:uid="{1C8F1D09-A7F6-42FA-B96D-C8FC43EAACBE}" name="2013" dataDxfId="12"/>
    <tableColumn id="6" xr3:uid="{F0863B49-7C2B-4D60-8F09-FFFA1F94CB5C}" name="2014" dataDxfId="11"/>
    <tableColumn id="7" xr3:uid="{046A1031-BCA2-4110-8336-DC3499D5787B}" name="2015" dataDxfId="10"/>
    <tableColumn id="8" xr3:uid="{EFFD85FB-19A3-4226-A051-975E422FD73B}" name="2016" dataDxfId="9"/>
    <tableColumn id="9" xr3:uid="{9F9D2790-19DA-4B85-B43B-424ED599A107}" name="2017" dataDxfId="8"/>
    <tableColumn id="10" xr3:uid="{29857BEB-7239-49B8-B3E2-17FA25736B4C}" name="2018" dataDxfId="7"/>
    <tableColumn id="11" xr3:uid="{86501496-8A72-4854-86B0-02FE7F85C170}" name="2019" dataDxfId="6"/>
    <tableColumn id="12" xr3:uid="{65A8BC8D-2893-4779-B5B2-B12252B39B89}" name="2020" dataDxfId="5"/>
    <tableColumn id="13" xr3:uid="{87B7AFC7-DACD-47DA-A4CD-AD1CCC9F420F}" name="2021" dataDxfId="4"/>
    <tableColumn id="14" xr3:uid="{E90EA40D-B8FB-4861-9EEA-91D9CF5B416C}" name="2022" dataDxfId="3"/>
    <tableColumn id="15" xr3:uid="{5C060D8D-399B-441E-980E-FC5B399F7AF8}" name="2023" dataDxfId="2"/>
    <tableColumn id="16" xr3:uid="{3C256F34-CFA8-4158-B9A8-584CEAD09669}" name="2024" dataDxfId="1"/>
    <tableColumn id="17" xr3:uid="{6801F494-9BE1-4247-923C-4367B2300FB2}" name="202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spe.hhs.gov/topics/poverty-economic-mobility/poverty-guidelines" TargetMode="External"/><Relationship Id="rId2" Type="http://schemas.openxmlformats.org/officeDocument/2006/relationships/hyperlink" Target="https://www.federalregister.gov/documents/2020/01/17/2020-00858/annual-update-of-the-hhs-poverty-guidelines" TargetMode="External"/><Relationship Id="rId1" Type="http://schemas.openxmlformats.org/officeDocument/2006/relationships/hyperlink" Target="https://aspe.hhs.gov/poverty-guidelines"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396BB-AF6E-4C1E-B559-56C0FACF9A58}">
  <sheetPr codeName="Sheet5"/>
  <dimension ref="A1:AN87"/>
  <sheetViews>
    <sheetView tabSelected="1" topLeftCell="A16" workbookViewId="0">
      <pane xSplit="4" ySplit="3" topLeftCell="O19" activePane="bottomRight" state="frozen"/>
      <selection activeCell="A16" sqref="A16"/>
      <selection pane="topRight" activeCell="E16" sqref="E16"/>
      <selection pane="bottomLeft" activeCell="A19" sqref="A19"/>
      <selection pane="bottomRight" activeCell="S19" sqref="S19:S51"/>
    </sheetView>
  </sheetViews>
  <sheetFormatPr defaultRowHeight="14.5" x14ac:dyDescent="0.35"/>
  <cols>
    <col min="4" max="4" width="26.08984375" customWidth="1"/>
    <col min="14" max="14" width="9" customWidth="1"/>
    <col min="28" max="28" width="9.90625" bestFit="1" customWidth="1"/>
    <col min="29" max="33" width="10.90625" customWidth="1"/>
    <col min="34" max="35" width="9.90625" bestFit="1" customWidth="1"/>
    <col min="36" max="36" width="10.6328125" customWidth="1"/>
    <col min="37" max="37" width="9.54296875" bestFit="1" customWidth="1"/>
  </cols>
  <sheetData>
    <row r="1" spans="1:37" x14ac:dyDescent="0.35">
      <c r="A1" s="1" t="s">
        <v>0</v>
      </c>
      <c r="B1" s="1" t="s">
        <v>1</v>
      </c>
    </row>
    <row r="3" spans="1:37" ht="15.5" x14ac:dyDescent="0.35">
      <c r="B3" s="2" t="s">
        <v>2</v>
      </c>
    </row>
    <row r="5" spans="1:37" x14ac:dyDescent="0.35">
      <c r="B5" t="s">
        <v>3</v>
      </c>
      <c r="Y5" s="3"/>
    </row>
    <row r="6" spans="1:37" x14ac:dyDescent="0.35">
      <c r="B6" t="s">
        <v>4</v>
      </c>
      <c r="Y6" s="3"/>
    </row>
    <row r="7" spans="1:37" x14ac:dyDescent="0.35">
      <c r="B7" s="4" t="s">
        <v>5</v>
      </c>
    </row>
    <row r="9" spans="1:37" x14ac:dyDescent="0.35">
      <c r="B9" t="s">
        <v>6</v>
      </c>
    </row>
    <row r="10" spans="1:37" x14ac:dyDescent="0.35">
      <c r="B10" s="5" t="s">
        <v>7</v>
      </c>
    </row>
    <row r="11" spans="1:37" x14ac:dyDescent="0.35">
      <c r="B11" t="s">
        <v>8</v>
      </c>
    </row>
    <row r="12" spans="1:37" x14ac:dyDescent="0.35">
      <c r="B12" t="s">
        <v>9</v>
      </c>
    </row>
    <row r="13" spans="1:37" x14ac:dyDescent="0.35">
      <c r="B13" t="s">
        <v>10</v>
      </c>
    </row>
    <row r="14" spans="1:37" x14ac:dyDescent="0.35">
      <c r="B14" t="s">
        <v>11</v>
      </c>
    </row>
    <row r="15" spans="1:37" x14ac:dyDescent="0.35">
      <c r="B15" t="s">
        <v>12</v>
      </c>
    </row>
    <row r="16" spans="1:37" x14ac:dyDescent="0.35">
      <c r="W16">
        <v>2017</v>
      </c>
      <c r="X16">
        <v>2018</v>
      </c>
      <c r="Y16">
        <v>2019</v>
      </c>
      <c r="Z16">
        <v>2020</v>
      </c>
      <c r="AA16">
        <v>2021</v>
      </c>
      <c r="AB16">
        <v>2019</v>
      </c>
      <c r="AC16">
        <v>2020</v>
      </c>
      <c r="AD16">
        <v>2021</v>
      </c>
      <c r="AE16">
        <v>2019</v>
      </c>
      <c r="AF16">
        <v>2020</v>
      </c>
      <c r="AG16">
        <v>2021</v>
      </c>
      <c r="AH16">
        <v>2018</v>
      </c>
      <c r="AI16">
        <v>2019</v>
      </c>
      <c r="AJ16">
        <v>2020</v>
      </c>
      <c r="AK16">
        <v>2021</v>
      </c>
    </row>
    <row r="17" spans="2:40" x14ac:dyDescent="0.35">
      <c r="B17" s="6" t="s">
        <v>13</v>
      </c>
      <c r="X17" t="s">
        <v>14</v>
      </c>
      <c r="Y17" t="s">
        <v>14</v>
      </c>
      <c r="Z17" t="s">
        <v>14</v>
      </c>
      <c r="AA17" t="s">
        <v>14</v>
      </c>
      <c r="AB17" t="s">
        <v>14</v>
      </c>
      <c r="AC17" t="s">
        <v>14</v>
      </c>
      <c r="AD17" t="s">
        <v>14</v>
      </c>
      <c r="AE17" t="s">
        <v>14</v>
      </c>
      <c r="AF17" t="s">
        <v>14</v>
      </c>
      <c r="AG17" t="s">
        <v>14</v>
      </c>
      <c r="AH17" t="s">
        <v>14</v>
      </c>
      <c r="AI17" t="s">
        <v>14</v>
      </c>
      <c r="AJ17" t="s">
        <v>14</v>
      </c>
      <c r="AK17" t="s">
        <v>14</v>
      </c>
      <c r="AL17" t="s">
        <v>14</v>
      </c>
    </row>
    <row r="18" spans="2:40" x14ac:dyDescent="0.35">
      <c r="C18" t="s">
        <v>15</v>
      </c>
      <c r="D18" t="s">
        <v>16</v>
      </c>
      <c r="E18" t="s">
        <v>17</v>
      </c>
      <c r="F18" t="s">
        <v>18</v>
      </c>
      <c r="G18" s="7" t="s">
        <v>19</v>
      </c>
      <c r="H18" s="7" t="s">
        <v>20</v>
      </c>
      <c r="I18" s="7" t="s">
        <v>21</v>
      </c>
      <c r="J18" s="7" t="s">
        <v>22</v>
      </c>
      <c r="K18" s="7" t="s">
        <v>23</v>
      </c>
      <c r="L18" s="7" t="s">
        <v>24</v>
      </c>
      <c r="M18" s="7" t="s">
        <v>25</v>
      </c>
      <c r="N18" s="7" t="s">
        <v>26</v>
      </c>
      <c r="O18" s="7" t="s">
        <v>27</v>
      </c>
      <c r="P18" s="7" t="s">
        <v>28</v>
      </c>
      <c r="Q18" s="7" t="s">
        <v>63</v>
      </c>
      <c r="R18" s="7" t="s">
        <v>64</v>
      </c>
      <c r="S18" s="7" t="s">
        <v>65</v>
      </c>
      <c r="Z18" s="8">
        <v>1</v>
      </c>
      <c r="AA18" s="8">
        <v>1</v>
      </c>
      <c r="AB18" s="8">
        <v>1</v>
      </c>
      <c r="AC18" s="8">
        <v>1</v>
      </c>
      <c r="AD18" s="8">
        <v>1</v>
      </c>
      <c r="AE18" s="8">
        <v>1.33</v>
      </c>
      <c r="AF18" s="8">
        <v>1.33</v>
      </c>
      <c r="AG18" s="8">
        <v>1.33</v>
      </c>
      <c r="AH18" s="8">
        <v>2</v>
      </c>
      <c r="AI18" s="8">
        <v>2</v>
      </c>
      <c r="AJ18" s="8">
        <v>2</v>
      </c>
      <c r="AK18" s="8">
        <v>0.5</v>
      </c>
      <c r="AL18" s="8">
        <v>0.5</v>
      </c>
      <c r="AM18" s="8">
        <v>0.5</v>
      </c>
      <c r="AN18" s="8">
        <v>0.5</v>
      </c>
    </row>
    <row r="19" spans="2:40" x14ac:dyDescent="0.35">
      <c r="C19" t="s">
        <v>29</v>
      </c>
      <c r="D19" s="7">
        <v>1</v>
      </c>
      <c r="E19" s="3">
        <v>10890</v>
      </c>
      <c r="F19" s="3">
        <v>11170</v>
      </c>
      <c r="G19" s="3">
        <v>11490</v>
      </c>
      <c r="H19" s="3">
        <v>11670</v>
      </c>
      <c r="I19" s="3">
        <v>11770</v>
      </c>
      <c r="J19" s="3">
        <v>11880</v>
      </c>
      <c r="K19" s="3">
        <v>12060</v>
      </c>
      <c r="L19" s="3">
        <v>12140</v>
      </c>
      <c r="M19" s="3">
        <v>12490</v>
      </c>
      <c r="N19" s="3">
        <v>12760</v>
      </c>
      <c r="O19" s="3">
        <v>12880</v>
      </c>
      <c r="P19" s="3">
        <v>13590</v>
      </c>
      <c r="Q19" s="19">
        <v>14580.000000000009</v>
      </c>
      <c r="R19" s="21">
        <v>15060</v>
      </c>
      <c r="S19" s="21">
        <v>15650</v>
      </c>
      <c r="T19" s="3">
        <f>FPIG[[#This Row],[2019]]*2</f>
        <v>24980</v>
      </c>
      <c r="V19" s="23">
        <f>1883*12</f>
        <v>22596</v>
      </c>
      <c r="Z19" s="3">
        <f>FPIG[[#This Row],[2017]]/12</f>
        <v>1005</v>
      </c>
      <c r="AA19" s="3">
        <f>FPIG[[#This Row],[2018]]/12</f>
        <v>1011.6666666666666</v>
      </c>
      <c r="AB19" s="3">
        <f>FPIG[[#This Row],[2019]]/12</f>
        <v>1040.8333333333333</v>
      </c>
      <c r="AC19" s="3">
        <f>FPIG[[#This Row],[2020]]/12</f>
        <v>1063.3333333333333</v>
      </c>
      <c r="AD19" s="3">
        <f>FPIG[[#This Row],[2021]]/12</f>
        <v>1073.3333333333333</v>
      </c>
      <c r="AE19" s="9">
        <f t="shared" ref="AE19:AE24" si="0">$AB19*AE$18</f>
        <v>1384.3083333333334</v>
      </c>
      <c r="AF19" s="9">
        <f t="shared" ref="AF19:AF24" si="1">$AC19*AF$18</f>
        <v>1414.2333333333333</v>
      </c>
      <c r="AG19" s="9">
        <f t="shared" ref="AG19:AG24" si="2">$AD19*AG$18</f>
        <v>1427.5333333333333</v>
      </c>
      <c r="AH19" s="9">
        <f t="shared" ref="AH19:AH24" si="3">$AB19*AH$18</f>
        <v>2081.6666666666665</v>
      </c>
      <c r="AI19" s="9">
        <f t="shared" ref="AI19:AI24" si="4">$AC19*AI$18</f>
        <v>2126.6666666666665</v>
      </c>
      <c r="AJ19" s="9">
        <f t="shared" ref="AJ19:AJ24" si="5">$AD19*AJ$18</f>
        <v>2146.6666666666665</v>
      </c>
      <c r="AK19" s="9">
        <f>FPIG[[#This Row],[2018]]*AK$18/12</f>
        <v>505.83333333333331</v>
      </c>
      <c r="AL19" s="9">
        <f>FPIG[[#This Row],[2019]]*AL$18/12</f>
        <v>520.41666666666663</v>
      </c>
      <c r="AM19" s="9">
        <f>FPIG[[#This Row],[2020]]*AM$18/12</f>
        <v>531.66666666666663</v>
      </c>
      <c r="AN19" s="9">
        <f>FPIG[[#This Row],[2021]]*AN$18/12</f>
        <v>536.66666666666663</v>
      </c>
    </row>
    <row r="20" spans="2:40" x14ac:dyDescent="0.35">
      <c r="C20" t="s">
        <v>29</v>
      </c>
      <c r="D20" s="7">
        <v>2</v>
      </c>
      <c r="E20" s="3">
        <v>14710</v>
      </c>
      <c r="F20" s="3">
        <v>15130</v>
      </c>
      <c r="G20" s="3">
        <v>15510</v>
      </c>
      <c r="H20" s="3">
        <v>15730</v>
      </c>
      <c r="I20" s="3">
        <v>15930</v>
      </c>
      <c r="J20" s="3">
        <v>16020</v>
      </c>
      <c r="K20" s="3">
        <v>16240</v>
      </c>
      <c r="L20" s="3">
        <v>16460</v>
      </c>
      <c r="M20" s="3">
        <v>16910</v>
      </c>
      <c r="N20" s="3">
        <v>17240</v>
      </c>
      <c r="O20" s="3">
        <v>17420</v>
      </c>
      <c r="P20" s="3">
        <v>18310</v>
      </c>
      <c r="Q20" s="19">
        <v>19720.000000000015</v>
      </c>
      <c r="R20" s="21">
        <v>20440</v>
      </c>
      <c r="S20" s="21">
        <v>21150</v>
      </c>
      <c r="U20" s="3">
        <f>FPIG[[#This Row],[2020]]/12</f>
        <v>1436.6666666666667</v>
      </c>
      <c r="Z20" s="3">
        <f>FPIG[[#This Row],[2017]]/12</f>
        <v>1353.3333333333333</v>
      </c>
      <c r="AA20" s="3">
        <f>FPIG[[#This Row],[2018]]/12</f>
        <v>1371.6666666666667</v>
      </c>
      <c r="AB20" s="3">
        <f>FPIG[[#This Row],[2019]]/12</f>
        <v>1409.1666666666667</v>
      </c>
      <c r="AC20" s="3">
        <f>FPIG[[#This Row],[2020]]/12</f>
        <v>1436.6666666666667</v>
      </c>
      <c r="AD20" s="3">
        <f>FPIG[[#This Row],[2021]]/12</f>
        <v>1451.6666666666667</v>
      </c>
      <c r="AE20" s="9">
        <f t="shared" si="0"/>
        <v>1874.1916666666668</v>
      </c>
      <c r="AF20" s="9">
        <f t="shared" si="1"/>
        <v>1910.7666666666669</v>
      </c>
      <c r="AG20" s="9">
        <f t="shared" si="2"/>
        <v>1930.7166666666669</v>
      </c>
      <c r="AH20" s="9">
        <f t="shared" si="3"/>
        <v>2818.3333333333335</v>
      </c>
      <c r="AI20" s="9">
        <f t="shared" si="4"/>
        <v>2873.3333333333335</v>
      </c>
      <c r="AJ20" s="9">
        <f t="shared" si="5"/>
        <v>2903.3333333333335</v>
      </c>
      <c r="AK20" s="9">
        <f>FPIG[[#This Row],[2018]]*AK$18/12</f>
        <v>685.83333333333337</v>
      </c>
      <c r="AL20" s="9">
        <f>FPIG[[#This Row],[2019]]*AL$18/12</f>
        <v>704.58333333333337</v>
      </c>
      <c r="AM20" s="9">
        <f>FPIG[[#This Row],[2020]]*AM$18/12</f>
        <v>718.33333333333337</v>
      </c>
      <c r="AN20" s="9">
        <f>FPIG[[#This Row],[2021]]*AN$18/12</f>
        <v>725.83333333333337</v>
      </c>
    </row>
    <row r="21" spans="2:40" x14ac:dyDescent="0.35">
      <c r="C21" t="s">
        <v>29</v>
      </c>
      <c r="D21" s="7">
        <v>3</v>
      </c>
      <c r="E21" s="3">
        <v>18530</v>
      </c>
      <c r="F21" s="3">
        <v>19090</v>
      </c>
      <c r="G21" s="3">
        <v>19530</v>
      </c>
      <c r="H21" s="3">
        <v>19790</v>
      </c>
      <c r="I21" s="3">
        <v>20090</v>
      </c>
      <c r="J21" s="3">
        <v>20160</v>
      </c>
      <c r="K21" s="3">
        <v>20420</v>
      </c>
      <c r="L21" s="3">
        <v>20780</v>
      </c>
      <c r="M21" s="3">
        <v>21330</v>
      </c>
      <c r="N21" s="3">
        <v>21720</v>
      </c>
      <c r="O21" s="3">
        <v>21960</v>
      </c>
      <c r="P21" s="3">
        <v>23030</v>
      </c>
      <c r="Q21" s="19">
        <v>24860.000000000018</v>
      </c>
      <c r="R21" s="21">
        <v>25820</v>
      </c>
      <c r="S21" s="21">
        <v>26650</v>
      </c>
      <c r="Z21" s="3">
        <f>FPIG[[#This Row],[2017]]/12</f>
        <v>1701.6666666666667</v>
      </c>
      <c r="AA21" s="3">
        <f>FPIG[[#This Row],[2018]]/12</f>
        <v>1731.6666666666667</v>
      </c>
      <c r="AB21" s="3">
        <f>FPIG[[#This Row],[2019]]/12</f>
        <v>1777.5</v>
      </c>
      <c r="AC21" s="3">
        <f>FPIG[[#This Row],[2020]]/12</f>
        <v>1810</v>
      </c>
      <c r="AD21" s="3">
        <f>FPIG[[#This Row],[2021]]/12</f>
        <v>1830</v>
      </c>
      <c r="AE21" s="9">
        <f t="shared" si="0"/>
        <v>2364.0750000000003</v>
      </c>
      <c r="AF21" s="9">
        <f t="shared" si="1"/>
        <v>2407.3000000000002</v>
      </c>
      <c r="AG21" s="9">
        <f t="shared" si="2"/>
        <v>2433.9</v>
      </c>
      <c r="AH21" s="9">
        <f t="shared" si="3"/>
        <v>3555</v>
      </c>
      <c r="AI21" s="9">
        <f t="shared" si="4"/>
        <v>3620</v>
      </c>
      <c r="AJ21" s="9">
        <f t="shared" si="5"/>
        <v>3660</v>
      </c>
      <c r="AK21" s="9">
        <f>FPIG[[#This Row],[2018]]*AK$18/12</f>
        <v>865.83333333333337</v>
      </c>
      <c r="AL21" s="9">
        <f>FPIG[[#This Row],[2019]]*AL$18/12</f>
        <v>888.75</v>
      </c>
      <c r="AM21" s="9">
        <f>FPIG[[#This Row],[2020]]*AM$18/12</f>
        <v>905</v>
      </c>
      <c r="AN21" s="9">
        <f>FPIG[[#This Row],[2021]]*AN$18/12</f>
        <v>915</v>
      </c>
    </row>
    <row r="22" spans="2:40" x14ac:dyDescent="0.35">
      <c r="C22" t="s">
        <v>29</v>
      </c>
      <c r="D22" s="7">
        <v>4</v>
      </c>
      <c r="E22" s="3">
        <v>22350</v>
      </c>
      <c r="F22" s="3">
        <v>23050</v>
      </c>
      <c r="G22" s="3">
        <v>23550</v>
      </c>
      <c r="H22" s="3">
        <v>23850</v>
      </c>
      <c r="I22" s="3">
        <v>24250</v>
      </c>
      <c r="J22" s="3">
        <v>24300</v>
      </c>
      <c r="K22" s="3">
        <v>24600</v>
      </c>
      <c r="L22" s="3">
        <v>25100</v>
      </c>
      <c r="M22" s="3">
        <v>25750</v>
      </c>
      <c r="N22" s="3">
        <v>26200</v>
      </c>
      <c r="O22" s="3">
        <v>26500</v>
      </c>
      <c r="P22" s="3">
        <v>27750</v>
      </c>
      <c r="Q22" s="19">
        <v>30000.000000000018</v>
      </c>
      <c r="R22" s="21">
        <v>31200</v>
      </c>
      <c r="S22" s="21">
        <v>32150</v>
      </c>
      <c r="T22" s="3">
        <f>FPIG[[#This Row],[2020]]*4</f>
        <v>104800</v>
      </c>
      <c r="U22">
        <v>94000</v>
      </c>
      <c r="V22" s="10">
        <f>U22/FPIG[[#This Row],[2020]]</f>
        <v>3.5877862595419847</v>
      </c>
      <c r="W22" s="10">
        <f>U22/FPIG[[#This Row],[2019]]</f>
        <v>3.650485436893204</v>
      </c>
      <c r="X22" s="10"/>
      <c r="Y22" s="10"/>
      <c r="Z22" s="3">
        <f>FPIG[[#This Row],[2017]]/12</f>
        <v>2050</v>
      </c>
      <c r="AA22" s="3">
        <f>FPIG[[#This Row],[2018]]/12</f>
        <v>2091.6666666666665</v>
      </c>
      <c r="AB22" s="3">
        <f>FPIG[[#This Row],[2019]]/12</f>
        <v>2145.8333333333335</v>
      </c>
      <c r="AC22" s="3">
        <f>FPIG[[#This Row],[2020]]/12</f>
        <v>2183.3333333333335</v>
      </c>
      <c r="AD22" s="3">
        <f>FPIG[[#This Row],[2021]]/12</f>
        <v>2208.3333333333335</v>
      </c>
      <c r="AE22" s="9">
        <f t="shared" si="0"/>
        <v>2853.9583333333335</v>
      </c>
      <c r="AF22" s="9">
        <f t="shared" si="1"/>
        <v>2903.8333333333335</v>
      </c>
      <c r="AG22" s="9">
        <f t="shared" si="2"/>
        <v>2937.0833333333335</v>
      </c>
      <c r="AH22" s="9">
        <f t="shared" si="3"/>
        <v>4291.666666666667</v>
      </c>
      <c r="AI22" s="9">
        <f t="shared" si="4"/>
        <v>4366.666666666667</v>
      </c>
      <c r="AJ22" s="9">
        <f t="shared" si="5"/>
        <v>4416.666666666667</v>
      </c>
      <c r="AK22" s="9">
        <f>FPIG[[#This Row],[2018]]*AK$18/12</f>
        <v>1045.8333333333333</v>
      </c>
      <c r="AL22" s="9">
        <f>FPIG[[#This Row],[2019]]*AL$18/12</f>
        <v>1072.9166666666667</v>
      </c>
      <c r="AM22" s="9">
        <f>FPIG[[#This Row],[2020]]*AM$18/12</f>
        <v>1091.6666666666667</v>
      </c>
      <c r="AN22" s="9">
        <f>FPIG[[#This Row],[2021]]*AN$18/12</f>
        <v>1104.1666666666667</v>
      </c>
    </row>
    <row r="23" spans="2:40" x14ac:dyDescent="0.35">
      <c r="C23" t="s">
        <v>29</v>
      </c>
      <c r="D23" s="7">
        <v>5</v>
      </c>
      <c r="E23" s="3">
        <v>26170</v>
      </c>
      <c r="F23" s="3">
        <v>27010</v>
      </c>
      <c r="G23" s="3">
        <v>27570</v>
      </c>
      <c r="H23" s="3">
        <v>27910</v>
      </c>
      <c r="I23" s="3">
        <v>28410</v>
      </c>
      <c r="J23" s="3">
        <v>28440</v>
      </c>
      <c r="K23" s="3">
        <v>28780</v>
      </c>
      <c r="L23" s="3">
        <v>29420</v>
      </c>
      <c r="M23" s="3">
        <v>30170</v>
      </c>
      <c r="N23" s="3">
        <v>30680</v>
      </c>
      <c r="O23" s="3">
        <v>31040</v>
      </c>
      <c r="P23" s="3">
        <v>32470</v>
      </c>
      <c r="Q23" s="19">
        <v>35140.000000000022</v>
      </c>
      <c r="R23" s="21">
        <v>36580</v>
      </c>
      <c r="S23" s="21">
        <v>37650</v>
      </c>
      <c r="T23" s="3">
        <f>ROUND((L19/12),0)</f>
        <v>1012</v>
      </c>
      <c r="U23" s="11">
        <f>ROUND((L19/12)*1.85,0)</f>
        <v>1872</v>
      </c>
      <c r="V23">
        <v>1</v>
      </c>
      <c r="Z23" s="3">
        <f>FPIG[[#This Row],[2017]]/12</f>
        <v>2398.3333333333335</v>
      </c>
      <c r="AA23" s="3">
        <f>FPIG[[#This Row],[2018]]/12</f>
        <v>2451.6666666666665</v>
      </c>
      <c r="AB23" s="3">
        <f>FPIG[[#This Row],[2019]]/12</f>
        <v>2514.1666666666665</v>
      </c>
      <c r="AC23" s="3">
        <f>FPIG[[#This Row],[2020]]/12</f>
        <v>2556.6666666666665</v>
      </c>
      <c r="AD23" s="3">
        <f>FPIG[[#This Row],[2021]]/12</f>
        <v>2586.6666666666665</v>
      </c>
      <c r="AE23" s="9">
        <f t="shared" si="0"/>
        <v>3343.8416666666667</v>
      </c>
      <c r="AF23" s="9">
        <f t="shared" si="1"/>
        <v>3400.3666666666668</v>
      </c>
      <c r="AG23" s="9">
        <f t="shared" si="2"/>
        <v>3440.2666666666664</v>
      </c>
      <c r="AH23" s="9">
        <f t="shared" si="3"/>
        <v>5028.333333333333</v>
      </c>
      <c r="AI23" s="9">
        <f t="shared" si="4"/>
        <v>5113.333333333333</v>
      </c>
      <c r="AJ23" s="9">
        <f t="shared" si="5"/>
        <v>5173.333333333333</v>
      </c>
      <c r="AK23" s="9">
        <f>FPIG[[#This Row],[2018]]*AK$18/12</f>
        <v>1225.8333333333333</v>
      </c>
      <c r="AL23" s="9">
        <f>FPIG[[#This Row],[2019]]*AL$18/12</f>
        <v>1257.0833333333333</v>
      </c>
      <c r="AM23" s="9">
        <f>FPIG[[#This Row],[2020]]*AM$18/12</f>
        <v>1278.3333333333333</v>
      </c>
      <c r="AN23" s="9">
        <f>FPIG[[#This Row],[2021]]*AN$18/12</f>
        <v>1293.3333333333333</v>
      </c>
    </row>
    <row r="24" spans="2:40" x14ac:dyDescent="0.35">
      <c r="C24" t="s">
        <v>29</v>
      </c>
      <c r="D24" s="7">
        <v>6</v>
      </c>
      <c r="E24" s="3">
        <v>29990</v>
      </c>
      <c r="F24" s="3">
        <v>30970</v>
      </c>
      <c r="G24" s="3">
        <v>31590</v>
      </c>
      <c r="H24" s="3">
        <v>31970</v>
      </c>
      <c r="I24" s="3">
        <v>32570</v>
      </c>
      <c r="J24" s="3">
        <v>32580</v>
      </c>
      <c r="K24" s="3">
        <v>32960</v>
      </c>
      <c r="L24" s="3">
        <v>33740</v>
      </c>
      <c r="M24" s="3">
        <v>34590</v>
      </c>
      <c r="N24" s="3">
        <v>35160</v>
      </c>
      <c r="O24" s="3">
        <v>35580</v>
      </c>
      <c r="P24" s="3">
        <v>37190</v>
      </c>
      <c r="Q24" s="19">
        <v>40280.000000000029</v>
      </c>
      <c r="R24" s="21">
        <v>41960</v>
      </c>
      <c r="S24" s="21">
        <v>43150</v>
      </c>
      <c r="T24" s="3">
        <f>ROUND((L20/12),0)</f>
        <v>1372</v>
      </c>
      <c r="U24" s="11">
        <f>ROUND((L20/12)*1.85,0)</f>
        <v>2538</v>
      </c>
      <c r="V24">
        <v>2</v>
      </c>
      <c r="Z24" s="3">
        <f>FPIG[[#This Row],[2017]]/12</f>
        <v>2746.6666666666665</v>
      </c>
      <c r="AA24" s="3">
        <f>FPIG[[#This Row],[2018]]/12</f>
        <v>2811.6666666666665</v>
      </c>
      <c r="AB24" s="3">
        <f>FPIG[[#This Row],[2019]]/12</f>
        <v>2882.5</v>
      </c>
      <c r="AC24" s="3">
        <f>FPIG[[#This Row],[2020]]/12</f>
        <v>2930</v>
      </c>
      <c r="AD24" s="3">
        <f>FPIG[[#This Row],[2021]]/12</f>
        <v>2965</v>
      </c>
      <c r="AE24" s="9">
        <f t="shared" si="0"/>
        <v>3833.7250000000004</v>
      </c>
      <c r="AF24" s="9">
        <f t="shared" si="1"/>
        <v>3896.9</v>
      </c>
      <c r="AG24" s="9">
        <f t="shared" si="2"/>
        <v>3943.4500000000003</v>
      </c>
      <c r="AH24" s="9">
        <f t="shared" si="3"/>
        <v>5765</v>
      </c>
      <c r="AI24" s="9">
        <f t="shared" si="4"/>
        <v>5860</v>
      </c>
      <c r="AJ24" s="9">
        <f t="shared" si="5"/>
        <v>5930</v>
      </c>
      <c r="AK24" s="9">
        <f>FPIG[[#This Row],[2018]]*AK$18/12</f>
        <v>1405.8333333333333</v>
      </c>
      <c r="AL24" s="9">
        <f>FPIG[[#This Row],[2019]]*AL$18/12</f>
        <v>1441.25</v>
      </c>
      <c r="AM24" s="9">
        <f>FPIG[[#This Row],[2020]]*AM$18/12</f>
        <v>1465</v>
      </c>
      <c r="AN24" s="9">
        <f>FPIG[[#This Row],[2021]]*AN$18/12</f>
        <v>1482.5</v>
      </c>
    </row>
    <row r="25" spans="2:40" x14ac:dyDescent="0.35">
      <c r="C25" t="s">
        <v>29</v>
      </c>
      <c r="D25" s="7">
        <v>7</v>
      </c>
      <c r="E25" s="3">
        <v>33810</v>
      </c>
      <c r="F25" s="3">
        <v>34930</v>
      </c>
      <c r="G25" s="3">
        <v>35610</v>
      </c>
      <c r="H25" s="3">
        <v>36030</v>
      </c>
      <c r="I25" s="3">
        <v>36730</v>
      </c>
      <c r="J25" s="3">
        <v>36730</v>
      </c>
      <c r="K25" s="3">
        <v>37140</v>
      </c>
      <c r="L25" s="3">
        <v>38060</v>
      </c>
      <c r="M25" s="3">
        <v>39010</v>
      </c>
      <c r="N25" s="3">
        <v>39640</v>
      </c>
      <c r="O25" s="3">
        <v>40120</v>
      </c>
      <c r="P25" s="3">
        <v>41910</v>
      </c>
      <c r="Q25" s="19">
        <v>45420.000000000029</v>
      </c>
      <c r="R25" s="21">
        <v>47340</v>
      </c>
      <c r="S25" s="21">
        <v>48650</v>
      </c>
      <c r="T25" s="3">
        <f>ROUND((L21/12),0)</f>
        <v>1732</v>
      </c>
      <c r="U25" s="11">
        <f>ROUND((L21/12)*1.85,0)</f>
        <v>3204</v>
      </c>
      <c r="V25">
        <v>3</v>
      </c>
    </row>
    <row r="26" spans="2:40" x14ac:dyDescent="0.35">
      <c r="C26" t="s">
        <v>29</v>
      </c>
      <c r="D26" s="7">
        <v>8</v>
      </c>
      <c r="E26" s="3">
        <v>37630</v>
      </c>
      <c r="F26" s="3">
        <v>38890</v>
      </c>
      <c r="G26" s="3">
        <v>39630</v>
      </c>
      <c r="H26" s="3">
        <v>40090</v>
      </c>
      <c r="I26" s="3">
        <v>40890</v>
      </c>
      <c r="J26" s="3">
        <v>40890</v>
      </c>
      <c r="K26" s="3">
        <v>41320</v>
      </c>
      <c r="L26" s="3">
        <v>42380</v>
      </c>
      <c r="M26" s="3">
        <v>43430</v>
      </c>
      <c r="N26" s="3">
        <v>44120</v>
      </c>
      <c r="O26" s="3">
        <v>44660</v>
      </c>
      <c r="P26" s="3">
        <v>46630</v>
      </c>
      <c r="Q26" s="19">
        <v>50560.000000000036</v>
      </c>
      <c r="R26" s="21">
        <v>52720</v>
      </c>
      <c r="S26" s="21">
        <v>54150</v>
      </c>
      <c r="T26" s="3">
        <f>ROUND((L22/12),0)</f>
        <v>2092</v>
      </c>
      <c r="U26" s="11">
        <f>ROUND((L22/12)*1.85,0)</f>
        <v>3870</v>
      </c>
      <c r="V26">
        <v>4</v>
      </c>
      <c r="AB26" s="3"/>
      <c r="AC26">
        <v>888</v>
      </c>
    </row>
    <row r="27" spans="2:40" x14ac:dyDescent="0.35">
      <c r="C27" t="s">
        <v>29</v>
      </c>
      <c r="D27" s="7">
        <v>9</v>
      </c>
      <c r="E27" s="3">
        <f>E26+E$29</f>
        <v>41450</v>
      </c>
      <c r="F27" s="3">
        <f t="shared" ref="F27:O28" si="6">F26+F$29</f>
        <v>42850</v>
      </c>
      <c r="G27" s="3">
        <f t="shared" si="6"/>
        <v>43650</v>
      </c>
      <c r="H27" s="3">
        <f t="shared" si="6"/>
        <v>44150</v>
      </c>
      <c r="I27" s="3">
        <f t="shared" si="6"/>
        <v>45050</v>
      </c>
      <c r="J27" s="3">
        <f t="shared" si="6"/>
        <v>45050</v>
      </c>
      <c r="K27" s="3">
        <f t="shared" si="6"/>
        <v>45500</v>
      </c>
      <c r="L27" s="3">
        <f t="shared" si="6"/>
        <v>46700</v>
      </c>
      <c r="M27" s="3">
        <f t="shared" si="6"/>
        <v>47850</v>
      </c>
      <c r="N27" s="3">
        <f t="shared" si="6"/>
        <v>48600</v>
      </c>
      <c r="O27" s="3">
        <f t="shared" si="6"/>
        <v>49200</v>
      </c>
      <c r="P27" s="3">
        <v>51350</v>
      </c>
      <c r="Q27" s="20">
        <v>55700.000000000044</v>
      </c>
      <c r="R27" s="22">
        <v>58100</v>
      </c>
      <c r="S27" s="22">
        <v>59650</v>
      </c>
      <c r="T27" s="3"/>
      <c r="U27" s="11"/>
      <c r="AB27" s="3"/>
    </row>
    <row r="28" spans="2:40" x14ac:dyDescent="0.35">
      <c r="C28" t="s">
        <v>29</v>
      </c>
      <c r="D28" s="7">
        <v>10</v>
      </c>
      <c r="E28" s="3">
        <f>E27+E$29</f>
        <v>45270</v>
      </c>
      <c r="F28" s="3">
        <f t="shared" si="6"/>
        <v>46810</v>
      </c>
      <c r="G28" s="3">
        <f t="shared" si="6"/>
        <v>47670</v>
      </c>
      <c r="H28" s="3">
        <f t="shared" si="6"/>
        <v>48210</v>
      </c>
      <c r="I28" s="3">
        <f t="shared" si="6"/>
        <v>49210</v>
      </c>
      <c r="J28" s="3">
        <f t="shared" si="6"/>
        <v>49210</v>
      </c>
      <c r="K28" s="3">
        <f t="shared" si="6"/>
        <v>49680</v>
      </c>
      <c r="L28" s="3">
        <f t="shared" si="6"/>
        <v>51020</v>
      </c>
      <c r="M28" s="3">
        <f t="shared" si="6"/>
        <v>52270</v>
      </c>
      <c r="N28" s="3">
        <f t="shared" si="6"/>
        <v>53080</v>
      </c>
      <c r="O28" s="3">
        <f t="shared" si="6"/>
        <v>53740</v>
      </c>
      <c r="P28" s="3">
        <v>56070</v>
      </c>
      <c r="Q28" s="20">
        <v>60840.000000000044</v>
      </c>
      <c r="R28" s="22">
        <v>63480</v>
      </c>
      <c r="S28" s="22">
        <v>65150</v>
      </c>
      <c r="T28" s="3"/>
      <c r="U28" s="11"/>
      <c r="AB28" s="3"/>
    </row>
    <row r="29" spans="2:40" x14ac:dyDescent="0.35">
      <c r="C29" t="s">
        <v>29</v>
      </c>
      <c r="D29" s="7" t="s">
        <v>30</v>
      </c>
      <c r="E29" s="3">
        <v>3820</v>
      </c>
      <c r="F29" s="3">
        <v>3960</v>
      </c>
      <c r="G29" s="3">
        <v>4020</v>
      </c>
      <c r="H29" s="3">
        <v>4060</v>
      </c>
      <c r="I29" s="3">
        <v>4160</v>
      </c>
      <c r="J29" s="3">
        <v>4160</v>
      </c>
      <c r="K29" s="3">
        <v>4180</v>
      </c>
      <c r="L29" s="3">
        <v>4320</v>
      </c>
      <c r="M29" s="3">
        <v>4420</v>
      </c>
      <c r="N29" s="3">
        <v>4480</v>
      </c>
      <c r="O29" s="3">
        <v>4540</v>
      </c>
      <c r="P29" s="3">
        <v>4720</v>
      </c>
      <c r="Q29" s="20">
        <v>5140</v>
      </c>
      <c r="R29" s="22">
        <v>5380</v>
      </c>
      <c r="S29" s="22">
        <v>5500</v>
      </c>
      <c r="T29" s="3">
        <f>ROUND((L23/12),0)</f>
        <v>2452</v>
      </c>
      <c r="U29" s="11">
        <f>ROUND((L23/12)*1.85,0)</f>
        <v>4536</v>
      </c>
      <c r="V29">
        <v>5</v>
      </c>
      <c r="AC29">
        <v>1332</v>
      </c>
    </row>
    <row r="30" spans="2:40" x14ac:dyDescent="0.35">
      <c r="C30" t="s">
        <v>31</v>
      </c>
      <c r="D30" s="7">
        <v>1</v>
      </c>
      <c r="E30" s="3">
        <v>13600</v>
      </c>
      <c r="F30" s="3">
        <v>13970</v>
      </c>
      <c r="G30" s="3">
        <v>14350</v>
      </c>
      <c r="H30" s="3">
        <v>14580</v>
      </c>
      <c r="I30" s="3">
        <v>14720</v>
      </c>
      <c r="J30" s="3">
        <v>14840</v>
      </c>
      <c r="K30" s="3">
        <v>15060</v>
      </c>
      <c r="L30" s="3">
        <v>15180</v>
      </c>
      <c r="M30" s="3">
        <v>15600</v>
      </c>
      <c r="N30" s="3">
        <v>15950</v>
      </c>
      <c r="O30" s="3">
        <v>16090</v>
      </c>
      <c r="P30" s="3">
        <v>16990</v>
      </c>
      <c r="Q30" s="20">
        <v>18210</v>
      </c>
      <c r="R30" s="22">
        <v>18810</v>
      </c>
      <c r="S30" s="22">
        <v>19550</v>
      </c>
      <c r="T30" s="3">
        <f>ROUND((L24/12),0)</f>
        <v>2812</v>
      </c>
      <c r="U30" s="11">
        <f>ROUND((L24/12)*1.85,0)</f>
        <v>5202</v>
      </c>
      <c r="V30">
        <v>6</v>
      </c>
      <c r="AC30">
        <v>1777</v>
      </c>
    </row>
    <row r="31" spans="2:40" x14ac:dyDescent="0.35">
      <c r="C31" t="s">
        <v>31</v>
      </c>
      <c r="D31" s="7">
        <v>2</v>
      </c>
      <c r="E31" s="3">
        <v>18380</v>
      </c>
      <c r="F31" s="3">
        <v>18920</v>
      </c>
      <c r="G31" s="3">
        <v>19380</v>
      </c>
      <c r="H31" s="3">
        <v>19660</v>
      </c>
      <c r="I31" s="3">
        <v>19920</v>
      </c>
      <c r="J31" s="3">
        <v>20020</v>
      </c>
      <c r="K31" s="3">
        <v>20290</v>
      </c>
      <c r="L31" s="3">
        <v>20580</v>
      </c>
      <c r="M31" s="3">
        <v>21130</v>
      </c>
      <c r="N31" s="3">
        <v>21550</v>
      </c>
      <c r="O31" s="3">
        <v>21770</v>
      </c>
      <c r="P31" s="3">
        <v>22890</v>
      </c>
      <c r="Q31" s="20">
        <v>24640</v>
      </c>
      <c r="R31" s="22">
        <v>25540</v>
      </c>
      <c r="S31" s="22">
        <v>26430</v>
      </c>
      <c r="T31" s="3">
        <f>ROUND((L25/12),0)</f>
        <v>3172</v>
      </c>
      <c r="U31" s="11">
        <f>ROUND((L25/12)*1.85,0)</f>
        <v>5868</v>
      </c>
      <c r="V31">
        <v>7</v>
      </c>
      <c r="AC31">
        <v>2221</v>
      </c>
    </row>
    <row r="32" spans="2:40" x14ac:dyDescent="0.35">
      <c r="C32" t="s">
        <v>31</v>
      </c>
      <c r="D32" s="7">
        <v>3</v>
      </c>
      <c r="E32" s="3">
        <v>23160</v>
      </c>
      <c r="F32" s="3">
        <v>23870</v>
      </c>
      <c r="G32" s="3">
        <v>24410</v>
      </c>
      <c r="H32" s="3">
        <v>24740</v>
      </c>
      <c r="I32" s="3">
        <v>25120</v>
      </c>
      <c r="J32" s="3">
        <v>25200</v>
      </c>
      <c r="K32" s="3">
        <v>25520</v>
      </c>
      <c r="L32" s="3">
        <v>25980</v>
      </c>
      <c r="M32" s="3">
        <v>26660</v>
      </c>
      <c r="N32" s="3">
        <v>27150</v>
      </c>
      <c r="O32" s="3">
        <v>27450</v>
      </c>
      <c r="P32" s="3">
        <v>28790</v>
      </c>
      <c r="Q32" s="20">
        <v>31070</v>
      </c>
      <c r="R32" s="22">
        <v>32270</v>
      </c>
      <c r="S32" s="22">
        <v>33310</v>
      </c>
      <c r="T32" s="3">
        <f>ROUND((L26/12),0)</f>
        <v>3532</v>
      </c>
      <c r="U32" s="11">
        <f>ROUND((L26/12)*1.85,0)</f>
        <v>6534</v>
      </c>
      <c r="V32">
        <v>8</v>
      </c>
      <c r="AC32">
        <v>2665</v>
      </c>
    </row>
    <row r="33" spans="3:29" x14ac:dyDescent="0.35">
      <c r="C33" t="s">
        <v>31</v>
      </c>
      <c r="D33" s="7">
        <v>4</v>
      </c>
      <c r="E33" s="3">
        <v>27940</v>
      </c>
      <c r="F33" s="3">
        <v>28820</v>
      </c>
      <c r="G33" s="3">
        <v>29440</v>
      </c>
      <c r="H33" s="3">
        <v>29820</v>
      </c>
      <c r="I33" s="3">
        <v>30320</v>
      </c>
      <c r="J33" s="3">
        <v>30380</v>
      </c>
      <c r="K33" s="3">
        <v>30750</v>
      </c>
      <c r="L33" s="3">
        <v>31380</v>
      </c>
      <c r="M33" s="3">
        <v>32190</v>
      </c>
      <c r="N33" s="3">
        <v>32750</v>
      </c>
      <c r="O33" s="3">
        <v>33130</v>
      </c>
      <c r="P33" s="3">
        <v>34690</v>
      </c>
      <c r="Q33" s="20">
        <v>37500</v>
      </c>
      <c r="R33" s="22">
        <v>39000</v>
      </c>
      <c r="S33" s="22">
        <v>40190</v>
      </c>
      <c r="T33" s="3"/>
      <c r="U33" s="3"/>
      <c r="V33" s="3"/>
      <c r="AC33">
        <v>3109</v>
      </c>
    </row>
    <row r="34" spans="3:29" x14ac:dyDescent="0.35">
      <c r="C34" t="s">
        <v>31</v>
      </c>
      <c r="D34" s="7">
        <v>5</v>
      </c>
      <c r="E34" s="3">
        <v>32720</v>
      </c>
      <c r="F34" s="3">
        <v>33770</v>
      </c>
      <c r="G34" s="3">
        <v>34470</v>
      </c>
      <c r="H34" s="3">
        <v>34900</v>
      </c>
      <c r="I34" s="3">
        <v>35520</v>
      </c>
      <c r="J34" s="3">
        <v>35560</v>
      </c>
      <c r="K34" s="3">
        <v>35980</v>
      </c>
      <c r="L34" s="3">
        <v>36780</v>
      </c>
      <c r="M34" s="3">
        <v>37720</v>
      </c>
      <c r="N34" s="3">
        <v>38350</v>
      </c>
      <c r="O34" s="3">
        <v>38810</v>
      </c>
      <c r="P34" s="3">
        <v>40590</v>
      </c>
      <c r="Q34" s="20">
        <v>43930</v>
      </c>
      <c r="R34" s="22">
        <v>45730</v>
      </c>
      <c r="S34" s="22">
        <v>47070</v>
      </c>
      <c r="U34" s="3"/>
      <c r="V34" s="3"/>
      <c r="AC34">
        <v>3331</v>
      </c>
    </row>
    <row r="35" spans="3:29" x14ac:dyDescent="0.35">
      <c r="C35" t="s">
        <v>31</v>
      </c>
      <c r="D35" s="7">
        <v>6</v>
      </c>
      <c r="E35" s="3">
        <v>37500</v>
      </c>
      <c r="F35" s="3">
        <v>38720</v>
      </c>
      <c r="G35" s="3">
        <v>39500</v>
      </c>
      <c r="H35" s="3">
        <v>39980</v>
      </c>
      <c r="I35" s="3">
        <v>40720</v>
      </c>
      <c r="J35" s="3">
        <v>40740</v>
      </c>
      <c r="K35" s="3">
        <v>41210</v>
      </c>
      <c r="L35" s="3">
        <v>42180</v>
      </c>
      <c r="M35" s="3">
        <v>43250</v>
      </c>
      <c r="N35" s="3">
        <v>43950</v>
      </c>
      <c r="O35" s="3">
        <v>44490</v>
      </c>
      <c r="P35" s="3">
        <v>46490</v>
      </c>
      <c r="Q35" s="20">
        <v>50360</v>
      </c>
      <c r="R35" s="22">
        <v>52460</v>
      </c>
      <c r="S35" s="22">
        <v>53950</v>
      </c>
      <c r="U35" s="3"/>
      <c r="V35" s="3"/>
      <c r="AC35">
        <v>3553</v>
      </c>
    </row>
    <row r="36" spans="3:29" x14ac:dyDescent="0.35">
      <c r="C36" t="s">
        <v>31</v>
      </c>
      <c r="D36" s="7">
        <v>7</v>
      </c>
      <c r="E36" s="3">
        <v>42280</v>
      </c>
      <c r="F36" s="3">
        <v>43670</v>
      </c>
      <c r="G36" s="3">
        <v>44530</v>
      </c>
      <c r="H36" s="3">
        <v>45060</v>
      </c>
      <c r="I36" s="3">
        <v>45920</v>
      </c>
      <c r="J36" s="3">
        <v>45920</v>
      </c>
      <c r="K36" s="3">
        <v>46440</v>
      </c>
      <c r="L36" s="3">
        <v>47580</v>
      </c>
      <c r="M36" s="3">
        <v>48780</v>
      </c>
      <c r="N36" s="3">
        <v>49550</v>
      </c>
      <c r="O36" s="3">
        <v>50170</v>
      </c>
      <c r="P36" s="3">
        <v>52390</v>
      </c>
      <c r="Q36" s="20">
        <v>56790</v>
      </c>
      <c r="R36" s="22">
        <v>59190</v>
      </c>
      <c r="S36" s="22">
        <v>60830</v>
      </c>
      <c r="AC36">
        <v>3775</v>
      </c>
    </row>
    <row r="37" spans="3:29" x14ac:dyDescent="0.35">
      <c r="C37" t="s">
        <v>31</v>
      </c>
      <c r="D37" s="7">
        <v>8</v>
      </c>
      <c r="E37" s="3">
        <v>47060</v>
      </c>
      <c r="F37" s="3">
        <v>48620</v>
      </c>
      <c r="G37" s="3">
        <v>49560</v>
      </c>
      <c r="H37" s="3">
        <v>50140</v>
      </c>
      <c r="I37" s="3">
        <v>51120</v>
      </c>
      <c r="J37" s="3">
        <v>51120</v>
      </c>
      <c r="K37" s="3">
        <v>51670</v>
      </c>
      <c r="L37" s="3">
        <v>52980</v>
      </c>
      <c r="M37" s="3">
        <v>54310</v>
      </c>
      <c r="N37" s="3">
        <v>55150</v>
      </c>
      <c r="O37" s="3">
        <v>55850</v>
      </c>
      <c r="P37" s="3">
        <v>58290</v>
      </c>
      <c r="Q37" s="20">
        <v>63220</v>
      </c>
      <c r="R37" s="22">
        <v>65920</v>
      </c>
      <c r="S37" s="22">
        <v>67710</v>
      </c>
    </row>
    <row r="38" spans="3:29" x14ac:dyDescent="0.35">
      <c r="C38" t="s">
        <v>31</v>
      </c>
      <c r="D38" s="7">
        <v>9</v>
      </c>
      <c r="E38" s="3">
        <f>E37+E$40</f>
        <v>51840</v>
      </c>
      <c r="F38" s="3">
        <f t="shared" ref="F38:O39" si="7">F37+F$40</f>
        <v>53570</v>
      </c>
      <c r="G38" s="3">
        <f t="shared" si="7"/>
        <v>54590</v>
      </c>
      <c r="H38" s="3">
        <f t="shared" si="7"/>
        <v>55220</v>
      </c>
      <c r="I38" s="3">
        <f t="shared" si="7"/>
        <v>56320</v>
      </c>
      <c r="J38" s="3">
        <f t="shared" si="7"/>
        <v>56320</v>
      </c>
      <c r="K38" s="3">
        <f t="shared" si="7"/>
        <v>56900</v>
      </c>
      <c r="L38" s="3">
        <f t="shared" si="7"/>
        <v>58380</v>
      </c>
      <c r="M38" s="3">
        <f t="shared" si="7"/>
        <v>59840</v>
      </c>
      <c r="N38" s="3">
        <f t="shared" si="7"/>
        <v>60750</v>
      </c>
      <c r="O38" s="3">
        <f t="shared" si="7"/>
        <v>61530</v>
      </c>
      <c r="P38" s="3">
        <v>64190</v>
      </c>
      <c r="Q38" s="20">
        <v>69650</v>
      </c>
      <c r="R38" s="22">
        <v>72650</v>
      </c>
      <c r="S38" s="22">
        <v>74590</v>
      </c>
    </row>
    <row r="39" spans="3:29" x14ac:dyDescent="0.35">
      <c r="C39" t="s">
        <v>31</v>
      </c>
      <c r="D39" s="7">
        <v>10</v>
      </c>
      <c r="E39" s="3">
        <f>E38+E$40</f>
        <v>56620</v>
      </c>
      <c r="F39" s="3">
        <f t="shared" si="7"/>
        <v>58520</v>
      </c>
      <c r="G39" s="3">
        <f t="shared" si="7"/>
        <v>59620</v>
      </c>
      <c r="H39" s="3">
        <f t="shared" si="7"/>
        <v>60300</v>
      </c>
      <c r="I39" s="3">
        <f t="shared" si="7"/>
        <v>61520</v>
      </c>
      <c r="J39" s="3">
        <f t="shared" si="7"/>
        <v>61520</v>
      </c>
      <c r="K39" s="3">
        <f t="shared" si="7"/>
        <v>62130</v>
      </c>
      <c r="L39" s="3">
        <f t="shared" si="7"/>
        <v>63780</v>
      </c>
      <c r="M39" s="3">
        <f t="shared" si="7"/>
        <v>65370</v>
      </c>
      <c r="N39" s="3">
        <f t="shared" si="7"/>
        <v>66350</v>
      </c>
      <c r="O39" s="3">
        <f t="shared" si="7"/>
        <v>67210</v>
      </c>
      <c r="P39" s="3">
        <v>70090</v>
      </c>
      <c r="Q39" s="20">
        <v>76080</v>
      </c>
      <c r="R39" s="22">
        <v>79380</v>
      </c>
      <c r="S39" s="22">
        <v>81470</v>
      </c>
    </row>
    <row r="40" spans="3:29" x14ac:dyDescent="0.35">
      <c r="C40" t="s">
        <v>31</v>
      </c>
      <c r="D40" s="7" t="s">
        <v>30</v>
      </c>
      <c r="E40" s="3">
        <v>4780</v>
      </c>
      <c r="F40" s="3">
        <v>4950</v>
      </c>
      <c r="G40" s="3">
        <v>5030</v>
      </c>
      <c r="H40" s="3">
        <v>5080</v>
      </c>
      <c r="I40" s="3">
        <v>5200</v>
      </c>
      <c r="J40" s="3">
        <v>5200</v>
      </c>
      <c r="K40" s="3">
        <v>5230</v>
      </c>
      <c r="L40" s="3">
        <v>5400</v>
      </c>
      <c r="M40" s="3">
        <v>5530</v>
      </c>
      <c r="N40" s="3">
        <v>5600</v>
      </c>
      <c r="O40" s="3">
        <v>5680</v>
      </c>
      <c r="P40" s="3">
        <v>5900</v>
      </c>
      <c r="Q40" s="20">
        <v>6430</v>
      </c>
      <c r="R40" s="22">
        <v>6730</v>
      </c>
      <c r="S40" s="22">
        <v>6880</v>
      </c>
    </row>
    <row r="41" spans="3:29" x14ac:dyDescent="0.35">
      <c r="C41" t="s">
        <v>32</v>
      </c>
      <c r="D41" s="7">
        <v>1</v>
      </c>
      <c r="E41" s="3">
        <v>12540</v>
      </c>
      <c r="F41" s="3">
        <v>12860</v>
      </c>
      <c r="G41" s="3">
        <v>13230</v>
      </c>
      <c r="H41" s="3">
        <v>13420</v>
      </c>
      <c r="I41" s="3">
        <v>13550</v>
      </c>
      <c r="J41" s="3">
        <v>13670</v>
      </c>
      <c r="K41" s="3">
        <v>13860</v>
      </c>
      <c r="L41" s="3">
        <v>13960</v>
      </c>
      <c r="M41" s="3">
        <v>14380</v>
      </c>
      <c r="N41" s="3">
        <v>14680</v>
      </c>
      <c r="O41" s="3">
        <v>14820</v>
      </c>
      <c r="P41" s="3">
        <v>15630</v>
      </c>
      <c r="Q41" s="20">
        <v>16770</v>
      </c>
      <c r="R41" s="22">
        <v>17310</v>
      </c>
      <c r="S41" s="22">
        <v>17990</v>
      </c>
      <c r="V41" s="3"/>
    </row>
    <row r="42" spans="3:29" x14ac:dyDescent="0.35">
      <c r="C42" t="s">
        <v>32</v>
      </c>
      <c r="D42" s="7">
        <v>2</v>
      </c>
      <c r="E42" s="3">
        <v>16930</v>
      </c>
      <c r="F42" s="3">
        <v>17410</v>
      </c>
      <c r="G42" s="3">
        <v>17850</v>
      </c>
      <c r="H42" s="3">
        <v>18090</v>
      </c>
      <c r="I42" s="3">
        <v>18330</v>
      </c>
      <c r="J42" s="3">
        <v>18430</v>
      </c>
      <c r="K42" s="3">
        <v>18670</v>
      </c>
      <c r="L42" s="3">
        <v>18930</v>
      </c>
      <c r="M42" s="3">
        <v>19460</v>
      </c>
      <c r="N42" s="3">
        <v>19830</v>
      </c>
      <c r="O42" s="3">
        <v>20040</v>
      </c>
      <c r="P42" s="3">
        <v>21060</v>
      </c>
      <c r="Q42" s="20">
        <v>22680</v>
      </c>
      <c r="R42" s="22">
        <v>23500</v>
      </c>
      <c r="S42" s="22">
        <v>24320</v>
      </c>
      <c r="V42" s="3"/>
    </row>
    <row r="43" spans="3:29" x14ac:dyDescent="0.35">
      <c r="C43" t="s">
        <v>32</v>
      </c>
      <c r="D43" s="7">
        <v>3</v>
      </c>
      <c r="E43" s="3">
        <v>21320</v>
      </c>
      <c r="F43" s="3">
        <v>21960</v>
      </c>
      <c r="G43" s="3">
        <v>22470</v>
      </c>
      <c r="H43" s="3">
        <v>22760</v>
      </c>
      <c r="I43" s="3">
        <v>23110</v>
      </c>
      <c r="J43" s="3">
        <v>23190</v>
      </c>
      <c r="K43" s="3">
        <v>23480</v>
      </c>
      <c r="L43" s="3">
        <v>23900</v>
      </c>
      <c r="M43" s="3">
        <v>24540</v>
      </c>
      <c r="N43" s="3">
        <v>24980</v>
      </c>
      <c r="O43" s="3">
        <v>25260</v>
      </c>
      <c r="P43" s="3">
        <v>26490</v>
      </c>
      <c r="Q43" s="20">
        <v>28590</v>
      </c>
      <c r="R43" s="22">
        <v>29690</v>
      </c>
      <c r="S43" s="22">
        <v>30650</v>
      </c>
      <c r="V43" s="3"/>
    </row>
    <row r="44" spans="3:29" x14ac:dyDescent="0.35">
      <c r="C44" t="s">
        <v>32</v>
      </c>
      <c r="D44" s="7">
        <v>4</v>
      </c>
      <c r="E44" s="3">
        <v>25710</v>
      </c>
      <c r="F44" s="3">
        <v>26510</v>
      </c>
      <c r="G44" s="3">
        <v>27090</v>
      </c>
      <c r="H44" s="3">
        <v>27430</v>
      </c>
      <c r="I44" s="3">
        <v>27890</v>
      </c>
      <c r="J44" s="3">
        <v>27950</v>
      </c>
      <c r="K44" s="3">
        <v>28290</v>
      </c>
      <c r="L44" s="3">
        <v>28870</v>
      </c>
      <c r="M44" s="3">
        <v>29620</v>
      </c>
      <c r="N44" s="3">
        <v>30130</v>
      </c>
      <c r="O44" s="3">
        <v>30480</v>
      </c>
      <c r="P44" s="3">
        <v>31920</v>
      </c>
      <c r="Q44" s="20">
        <v>34500</v>
      </c>
      <c r="R44" s="22">
        <v>35880</v>
      </c>
      <c r="S44" s="22">
        <v>36980</v>
      </c>
      <c r="V44" s="3"/>
    </row>
    <row r="45" spans="3:29" x14ac:dyDescent="0.35">
      <c r="C45" t="s">
        <v>32</v>
      </c>
      <c r="D45" s="7">
        <v>5</v>
      </c>
      <c r="E45" s="3">
        <v>30100</v>
      </c>
      <c r="F45" s="3">
        <v>31060</v>
      </c>
      <c r="G45" s="3">
        <v>31710</v>
      </c>
      <c r="H45" s="3">
        <v>32100</v>
      </c>
      <c r="I45" s="3">
        <v>32670</v>
      </c>
      <c r="J45" s="3">
        <v>32710</v>
      </c>
      <c r="K45" s="3">
        <v>33100</v>
      </c>
      <c r="L45" s="3">
        <v>33840</v>
      </c>
      <c r="M45" s="3">
        <v>34700</v>
      </c>
      <c r="N45" s="3">
        <v>35280</v>
      </c>
      <c r="O45" s="3">
        <v>35700</v>
      </c>
      <c r="P45" s="3">
        <v>37350</v>
      </c>
      <c r="Q45" s="20">
        <v>40410</v>
      </c>
      <c r="R45" s="22">
        <v>42070</v>
      </c>
      <c r="S45" s="22">
        <v>43310</v>
      </c>
      <c r="V45" s="3"/>
    </row>
    <row r="46" spans="3:29" x14ac:dyDescent="0.35">
      <c r="C46" t="s">
        <v>32</v>
      </c>
      <c r="D46" s="7">
        <v>6</v>
      </c>
      <c r="E46" s="3">
        <v>34490</v>
      </c>
      <c r="F46" s="3">
        <v>35610</v>
      </c>
      <c r="G46" s="3">
        <v>36330</v>
      </c>
      <c r="H46" s="3">
        <v>36770</v>
      </c>
      <c r="I46" s="3">
        <v>37450</v>
      </c>
      <c r="J46" s="3">
        <v>37470</v>
      </c>
      <c r="K46" s="3">
        <v>37910</v>
      </c>
      <c r="L46" s="3">
        <v>38810</v>
      </c>
      <c r="M46" s="3">
        <v>39780</v>
      </c>
      <c r="N46" s="3">
        <v>40430</v>
      </c>
      <c r="O46" s="3">
        <v>40920</v>
      </c>
      <c r="P46" s="3">
        <v>42780</v>
      </c>
      <c r="Q46" s="20">
        <v>46320</v>
      </c>
      <c r="R46" s="22">
        <v>48260</v>
      </c>
      <c r="S46" s="22">
        <v>49640</v>
      </c>
      <c r="V46" s="3"/>
    </row>
    <row r="47" spans="3:29" x14ac:dyDescent="0.35">
      <c r="C47" t="s">
        <v>32</v>
      </c>
      <c r="D47" s="7">
        <v>7</v>
      </c>
      <c r="E47" s="3">
        <v>38880</v>
      </c>
      <c r="F47" s="3">
        <v>40160</v>
      </c>
      <c r="G47" s="3">
        <v>40950</v>
      </c>
      <c r="H47" s="3">
        <v>41440</v>
      </c>
      <c r="I47" s="3">
        <v>42230</v>
      </c>
      <c r="J47" s="3">
        <v>42230</v>
      </c>
      <c r="K47" s="3">
        <v>42720</v>
      </c>
      <c r="L47" s="3">
        <v>43780</v>
      </c>
      <c r="M47" s="3">
        <v>44860</v>
      </c>
      <c r="N47" s="3">
        <v>45580</v>
      </c>
      <c r="O47" s="3">
        <v>46140</v>
      </c>
      <c r="P47" s="3">
        <v>48210</v>
      </c>
      <c r="Q47" s="20">
        <v>52230</v>
      </c>
      <c r="R47" s="22">
        <v>54450</v>
      </c>
      <c r="S47" s="22">
        <v>55970</v>
      </c>
      <c r="V47" s="3"/>
    </row>
    <row r="48" spans="3:29" x14ac:dyDescent="0.35">
      <c r="C48" t="s">
        <v>32</v>
      </c>
      <c r="D48" s="7">
        <v>8</v>
      </c>
      <c r="E48" s="3">
        <v>43270</v>
      </c>
      <c r="F48" s="3">
        <v>44710</v>
      </c>
      <c r="G48" s="3">
        <v>45570</v>
      </c>
      <c r="H48" s="3">
        <v>46110</v>
      </c>
      <c r="I48" s="3">
        <v>47010</v>
      </c>
      <c r="J48" s="3">
        <v>47010</v>
      </c>
      <c r="K48" s="3">
        <v>47530</v>
      </c>
      <c r="L48" s="3">
        <v>48750</v>
      </c>
      <c r="M48" s="3">
        <v>49940</v>
      </c>
      <c r="N48" s="3">
        <v>50730</v>
      </c>
      <c r="O48" s="3">
        <v>51360</v>
      </c>
      <c r="P48" s="3">
        <v>53640</v>
      </c>
      <c r="Q48" s="20">
        <v>58140</v>
      </c>
      <c r="R48" s="22">
        <v>60640</v>
      </c>
      <c r="S48" s="22">
        <v>62300</v>
      </c>
      <c r="V48" s="3"/>
    </row>
    <row r="49" spans="2:22" x14ac:dyDescent="0.35">
      <c r="C49" t="s">
        <v>32</v>
      </c>
      <c r="D49" s="7">
        <v>9</v>
      </c>
      <c r="E49" s="3">
        <f>E48+E$51</f>
        <v>47660</v>
      </c>
      <c r="F49" s="3">
        <f t="shared" ref="F49:O50" si="8">F48+F$51</f>
        <v>49260</v>
      </c>
      <c r="G49" s="3">
        <f t="shared" si="8"/>
        <v>50190</v>
      </c>
      <c r="H49" s="3">
        <f t="shared" si="8"/>
        <v>50780</v>
      </c>
      <c r="I49" s="3">
        <f t="shared" si="8"/>
        <v>51790</v>
      </c>
      <c r="J49" s="3">
        <f t="shared" si="8"/>
        <v>51790</v>
      </c>
      <c r="K49" s="3">
        <f t="shared" si="8"/>
        <v>52340</v>
      </c>
      <c r="L49" s="3">
        <f t="shared" si="8"/>
        <v>53560</v>
      </c>
      <c r="M49" s="3">
        <f t="shared" si="8"/>
        <v>55020</v>
      </c>
      <c r="N49" s="3">
        <f t="shared" si="8"/>
        <v>55880</v>
      </c>
      <c r="O49" s="3">
        <f t="shared" si="8"/>
        <v>56580</v>
      </c>
      <c r="P49" s="3">
        <v>59070</v>
      </c>
      <c r="Q49" s="20">
        <v>64050</v>
      </c>
      <c r="R49" s="22">
        <v>66830</v>
      </c>
      <c r="S49" s="22">
        <v>68630</v>
      </c>
      <c r="V49" s="3"/>
    </row>
    <row r="50" spans="2:22" x14ac:dyDescent="0.35">
      <c r="C50" t="s">
        <v>32</v>
      </c>
      <c r="D50" s="7">
        <v>10</v>
      </c>
      <c r="E50" s="3">
        <f>E49+E$51</f>
        <v>52050</v>
      </c>
      <c r="F50" s="3">
        <f t="shared" si="8"/>
        <v>53810</v>
      </c>
      <c r="G50" s="3">
        <f t="shared" si="8"/>
        <v>54810</v>
      </c>
      <c r="H50" s="3">
        <f t="shared" si="8"/>
        <v>55450</v>
      </c>
      <c r="I50" s="3">
        <f t="shared" si="8"/>
        <v>56570</v>
      </c>
      <c r="J50" s="3">
        <f t="shared" si="8"/>
        <v>56570</v>
      </c>
      <c r="K50" s="3">
        <f t="shared" si="8"/>
        <v>57150</v>
      </c>
      <c r="L50" s="3">
        <f t="shared" si="8"/>
        <v>58370</v>
      </c>
      <c r="M50" s="3">
        <f t="shared" si="8"/>
        <v>60100</v>
      </c>
      <c r="N50" s="3">
        <f t="shared" si="8"/>
        <v>61030</v>
      </c>
      <c r="O50" s="3">
        <f t="shared" si="8"/>
        <v>61800</v>
      </c>
      <c r="P50" s="3">
        <v>64500</v>
      </c>
      <c r="Q50" s="20">
        <v>69960</v>
      </c>
      <c r="R50" s="22">
        <v>73020</v>
      </c>
      <c r="S50" s="22">
        <v>74960</v>
      </c>
      <c r="V50" s="3"/>
    </row>
    <row r="51" spans="2:22" x14ac:dyDescent="0.35">
      <c r="C51" t="s">
        <v>32</v>
      </c>
      <c r="D51" s="7" t="s">
        <v>30</v>
      </c>
      <c r="E51" s="3">
        <v>4390</v>
      </c>
      <c r="F51" s="3">
        <v>4550</v>
      </c>
      <c r="G51" s="3">
        <v>4620</v>
      </c>
      <c r="H51" s="3">
        <v>4670</v>
      </c>
      <c r="I51" s="3">
        <v>4780</v>
      </c>
      <c r="J51" s="3">
        <v>4780</v>
      </c>
      <c r="K51" s="3">
        <v>4810</v>
      </c>
      <c r="L51" s="3">
        <v>4810</v>
      </c>
      <c r="M51" s="3">
        <v>5080</v>
      </c>
      <c r="N51" s="3">
        <v>5150</v>
      </c>
      <c r="O51" s="3">
        <v>5220</v>
      </c>
      <c r="P51" s="3">
        <v>5430</v>
      </c>
      <c r="Q51" s="20">
        <v>5910</v>
      </c>
      <c r="R51" s="22">
        <v>6190</v>
      </c>
      <c r="S51" s="22">
        <v>6330</v>
      </c>
    </row>
    <row r="53" spans="2:22" x14ac:dyDescent="0.35">
      <c r="B53" s="6" t="s">
        <v>33</v>
      </c>
      <c r="Q53" s="7"/>
    </row>
    <row r="54" spans="2:22" x14ac:dyDescent="0.35">
      <c r="C54" t="s">
        <v>34</v>
      </c>
    </row>
    <row r="55" spans="2:22" x14ac:dyDescent="0.35">
      <c r="C55" t="s">
        <v>35</v>
      </c>
    </row>
    <row r="56" spans="2:22" x14ac:dyDescent="0.35">
      <c r="C56" t="s">
        <v>36</v>
      </c>
    </row>
    <row r="58" spans="2:22" x14ac:dyDescent="0.35">
      <c r="B58" s="6" t="s">
        <v>37</v>
      </c>
    </row>
    <row r="59" spans="2:22" x14ac:dyDescent="0.35">
      <c r="C59" s="12" t="s">
        <v>38</v>
      </c>
      <c r="D59" t="s">
        <v>39</v>
      </c>
    </row>
    <row r="60" spans="2:22" x14ac:dyDescent="0.35">
      <c r="C60" s="12" t="s">
        <v>40</v>
      </c>
      <c r="D60" s="12" t="s">
        <v>41</v>
      </c>
      <c r="E60" t="s">
        <v>29</v>
      </c>
    </row>
    <row r="61" spans="2:22" x14ac:dyDescent="0.35">
      <c r="D61" s="12" t="s">
        <v>42</v>
      </c>
      <c r="E61">
        <v>5</v>
      </c>
      <c r="J61" s="13" t="s">
        <v>29</v>
      </c>
      <c r="K61" s="14">
        <v>1</v>
      </c>
    </row>
    <row r="62" spans="2:22" x14ac:dyDescent="0.35">
      <c r="D62" s="12" t="s">
        <v>43</v>
      </c>
      <c r="E62">
        <v>2020</v>
      </c>
      <c r="J62" s="15" t="s">
        <v>31</v>
      </c>
      <c r="K62" s="16">
        <v>2</v>
      </c>
    </row>
    <row r="63" spans="2:22" x14ac:dyDescent="0.35">
      <c r="D63" s="17" t="s">
        <v>44</v>
      </c>
      <c r="E63" s="18">
        <f t="array" ref="E63">INDEX(FPIG[],MATCH(1,(FPIG[State]=$E$60)*(FPIG[Persons in Family/Household]=$E$61),0),MATCH($E$62,VALUE(FPIG[#Headers]),0))</f>
        <v>30680</v>
      </c>
      <c r="J63" s="13" t="s">
        <v>32</v>
      </c>
      <c r="K63" s="14">
        <v>3</v>
      </c>
    </row>
    <row r="64" spans="2:22" x14ac:dyDescent="0.35">
      <c r="K64" s="16">
        <v>4</v>
      </c>
    </row>
    <row r="65" spans="2:11" x14ac:dyDescent="0.35">
      <c r="K65" s="14">
        <v>5</v>
      </c>
    </row>
    <row r="66" spans="2:11" x14ac:dyDescent="0.35">
      <c r="K66" s="16">
        <v>6</v>
      </c>
    </row>
    <row r="67" spans="2:11" x14ac:dyDescent="0.35">
      <c r="K67" s="14">
        <v>7</v>
      </c>
    </row>
    <row r="68" spans="2:11" x14ac:dyDescent="0.35">
      <c r="K68" s="16">
        <v>8</v>
      </c>
    </row>
    <row r="69" spans="2:11" x14ac:dyDescent="0.35">
      <c r="K69" s="14" t="s">
        <v>30</v>
      </c>
    </row>
    <row r="71" spans="2:11" x14ac:dyDescent="0.35">
      <c r="B71" s="6" t="s">
        <v>45</v>
      </c>
    </row>
    <row r="72" spans="2:11" x14ac:dyDescent="0.35">
      <c r="C72" t="s">
        <v>46</v>
      </c>
    </row>
    <row r="73" spans="2:11" x14ac:dyDescent="0.35">
      <c r="C73" t="s">
        <v>47</v>
      </c>
    </row>
    <row r="74" spans="2:11" x14ac:dyDescent="0.35">
      <c r="C74">
        <v>2011</v>
      </c>
      <c r="D74" t="s">
        <v>48</v>
      </c>
      <c r="F74" t="s">
        <v>49</v>
      </c>
    </row>
    <row r="75" spans="2:11" x14ac:dyDescent="0.35">
      <c r="C75">
        <v>2012</v>
      </c>
      <c r="D75" t="s">
        <v>48</v>
      </c>
      <c r="F75" t="s">
        <v>50</v>
      </c>
    </row>
    <row r="76" spans="2:11" x14ac:dyDescent="0.35">
      <c r="C76">
        <v>2013</v>
      </c>
      <c r="D76" t="s">
        <v>48</v>
      </c>
      <c r="F76" t="s">
        <v>51</v>
      </c>
    </row>
    <row r="77" spans="2:11" x14ac:dyDescent="0.35">
      <c r="C77">
        <v>2014</v>
      </c>
      <c r="D77" t="s">
        <v>48</v>
      </c>
      <c r="F77" t="s">
        <v>52</v>
      </c>
    </row>
    <row r="78" spans="2:11" x14ac:dyDescent="0.35">
      <c r="C78">
        <v>2015</v>
      </c>
      <c r="D78" t="s">
        <v>48</v>
      </c>
      <c r="F78" t="s">
        <v>53</v>
      </c>
    </row>
    <row r="79" spans="2:11" x14ac:dyDescent="0.35">
      <c r="C79">
        <v>2016</v>
      </c>
      <c r="D79" t="s">
        <v>48</v>
      </c>
      <c r="F79" t="s">
        <v>54</v>
      </c>
    </row>
    <row r="80" spans="2:11" x14ac:dyDescent="0.35">
      <c r="C80">
        <v>2017</v>
      </c>
      <c r="D80" t="s">
        <v>48</v>
      </c>
      <c r="F80" t="s">
        <v>55</v>
      </c>
    </row>
    <row r="81" spans="3:6" x14ac:dyDescent="0.35">
      <c r="C81">
        <v>2018</v>
      </c>
      <c r="D81" t="s">
        <v>48</v>
      </c>
      <c r="F81" t="s">
        <v>56</v>
      </c>
    </row>
    <row r="82" spans="3:6" x14ac:dyDescent="0.35">
      <c r="C82">
        <v>2019</v>
      </c>
      <c r="D82" t="s">
        <v>48</v>
      </c>
      <c r="F82" s="5" t="s">
        <v>57</v>
      </c>
    </row>
    <row r="83" spans="3:6" x14ac:dyDescent="0.35">
      <c r="C83">
        <v>2020</v>
      </c>
      <c r="D83" s="5" t="s">
        <v>58</v>
      </c>
    </row>
    <row r="84" spans="3:6" x14ac:dyDescent="0.35">
      <c r="D84" t="s">
        <v>48</v>
      </c>
      <c r="F84" s="5" t="s">
        <v>59</v>
      </c>
    </row>
    <row r="85" spans="3:6" x14ac:dyDescent="0.35">
      <c r="D85" t="s">
        <v>60</v>
      </c>
    </row>
    <row r="86" spans="3:6" x14ac:dyDescent="0.35">
      <c r="D86" s="4" t="s">
        <v>61</v>
      </c>
    </row>
    <row r="87" spans="3:6" x14ac:dyDescent="0.35">
      <c r="C87">
        <v>2022</v>
      </c>
      <c r="D87" s="4" t="s">
        <v>62</v>
      </c>
    </row>
  </sheetData>
  <phoneticPr fontId="8" type="noConversion"/>
  <dataValidations count="2">
    <dataValidation type="list" allowBlank="1" showInputMessage="1" showErrorMessage="1" sqref="E60" xr:uid="{594E98FE-109F-4F61-BCBA-53FE46F5AA36}">
      <formula1>$J$61:$J$63</formula1>
    </dataValidation>
    <dataValidation type="list" allowBlank="1" showInputMessage="1" showErrorMessage="1" sqref="E61" xr:uid="{910A7285-5762-4744-955F-F7A9124F5A35}">
      <formula1>$K$61:$K$69</formula1>
    </dataValidation>
  </dataValidations>
  <hyperlinks>
    <hyperlink ref="B7" r:id="rId1" xr:uid="{0057DE8E-D90B-40BB-BC6E-372766E92BA1}"/>
    <hyperlink ref="D86" r:id="rId2" xr:uid="{B06D512D-2135-4AF2-8807-4DE2D5D77522}"/>
    <hyperlink ref="D87" r:id="rId3" xr:uid="{46D12EEB-87E5-49B7-82EE-190EEEE08ADA}"/>
  </hyperlinks>
  <pageMargins left="0.7" right="0.7" top="0.75" bottom="0.75" header="0.3" footer="0.3"/>
  <pageSetup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FPIG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Raymond Packer</cp:lastModifiedBy>
  <dcterms:created xsi:type="dcterms:W3CDTF">2023-02-20T12:50:53Z</dcterms:created>
  <dcterms:modified xsi:type="dcterms:W3CDTF">2025-01-27T14:39:40Z</dcterms:modified>
</cp:coreProperties>
</file>