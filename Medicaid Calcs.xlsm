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wner\Documents\Just Saying That\Consulting\GCO\Program Sources\Medicaid and CHIP\"/>
    </mc:Choice>
  </mc:AlternateContent>
  <xr:revisionPtr revIDLastSave="0" documentId="13_ncr:1_{D4D59EC7-5C8D-44A4-A4ED-E0A1F53325E6}" xr6:coauthVersionLast="47" xr6:coauthVersionMax="47" xr10:uidLastSave="{00000000-0000-0000-0000-000000000000}"/>
  <bookViews>
    <workbookView xWindow="830" yWindow="560" windowWidth="17030" windowHeight="10060" xr2:uid="{EFBD5A15-A6B9-45FA-A971-B5FE0E91FF98}"/>
  </bookViews>
  <sheets>
    <sheet name="Original" sheetId="1" r:id="rId1"/>
    <sheet name="U.S.PerEnrolleeCosts" sheetId="4" r:id="rId2"/>
    <sheet name="Original Reworked" sheetId="2" r:id="rId3"/>
    <sheet name="Original Reworked Practice" sheetId="3" r:id="rId4"/>
  </sheets>
  <calcPr calcId="191029"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90" i="3" l="1"/>
  <c r="U66" i="3"/>
  <c r="U65" i="3"/>
  <c r="U64" i="3"/>
  <c r="U63" i="3"/>
  <c r="U62" i="3"/>
  <c r="U61" i="3"/>
  <c r="U60" i="3"/>
  <c r="U59" i="3"/>
  <c r="U58" i="3"/>
  <c r="U57" i="3"/>
  <c r="U56" i="3"/>
  <c r="U55" i="3"/>
  <c r="U54" i="3"/>
  <c r="U53" i="3"/>
  <c r="U52" i="3"/>
  <c r="U51" i="3"/>
  <c r="U50" i="3"/>
  <c r="U49" i="3"/>
  <c r="U48" i="3"/>
  <c r="U47" i="3"/>
  <c r="U46" i="3"/>
  <c r="U45" i="3"/>
  <c r="U44" i="3"/>
  <c r="U43" i="3"/>
  <c r="U42" i="3"/>
  <c r="U41" i="3"/>
  <c r="U40" i="3"/>
  <c r="U39" i="3"/>
  <c r="U38" i="3"/>
  <c r="U37" i="3"/>
  <c r="U36" i="3"/>
  <c r="U35" i="3"/>
  <c r="U34" i="3"/>
  <c r="U33" i="3"/>
  <c r="U32" i="3"/>
  <c r="U31" i="3"/>
  <c r="U30" i="3"/>
  <c r="U29" i="3"/>
  <c r="U28" i="3"/>
  <c r="U27" i="3"/>
  <c r="U26" i="3"/>
  <c r="U25" i="3"/>
  <c r="U24" i="3"/>
  <c r="U23" i="3"/>
  <c r="U22" i="3"/>
  <c r="U21" i="3"/>
  <c r="U20" i="3"/>
  <c r="U19" i="3"/>
  <c r="U18" i="3"/>
  <c r="U17" i="3"/>
  <c r="U16" i="3"/>
  <c r="U15" i="3"/>
  <c r="U14" i="3"/>
  <c r="U13" i="3"/>
  <c r="U12" i="3"/>
  <c r="U11" i="3"/>
  <c r="U10" i="3"/>
  <c r="U9" i="3"/>
  <c r="U8" i="3"/>
  <c r="U7" i="3"/>
  <c r="U6" i="3"/>
  <c r="U5" i="3"/>
  <c r="U4" i="3"/>
  <c r="U66" i="2" l="1"/>
  <c r="U65" i="2"/>
  <c r="U64" i="2"/>
  <c r="U63" i="2"/>
  <c r="U62" i="2"/>
  <c r="U61" i="2"/>
  <c r="U60" i="2"/>
  <c r="U59" i="2"/>
  <c r="U58" i="2"/>
  <c r="U57" i="2"/>
  <c r="U56" i="2"/>
  <c r="U55" i="2"/>
  <c r="U54" i="2"/>
  <c r="U53" i="2"/>
  <c r="U52" i="2"/>
  <c r="U51" i="2"/>
  <c r="U50" i="2"/>
  <c r="U49" i="2"/>
  <c r="U48" i="2"/>
  <c r="U47" i="2"/>
  <c r="U46" i="2"/>
  <c r="U45" i="2"/>
  <c r="U44" i="2"/>
  <c r="U43" i="2"/>
  <c r="U42" i="2"/>
  <c r="U41" i="2"/>
  <c r="U40" i="2"/>
  <c r="U39" i="2"/>
  <c r="U38" i="2"/>
  <c r="U37" i="2"/>
  <c r="U36" i="2"/>
  <c r="U35" i="2"/>
  <c r="U34" i="2"/>
  <c r="U33" i="2"/>
  <c r="U32" i="2"/>
  <c r="U31" i="2"/>
  <c r="U30" i="2"/>
  <c r="U29" i="2"/>
  <c r="U28" i="2"/>
  <c r="U27" i="2"/>
  <c r="U26" i="2"/>
  <c r="U25" i="2"/>
  <c r="U24" i="2"/>
  <c r="U23" i="2"/>
  <c r="U22" i="2"/>
  <c r="U21" i="2"/>
  <c r="U20" i="2"/>
  <c r="U19" i="2"/>
  <c r="U18" i="2"/>
  <c r="U17" i="2"/>
  <c r="U16" i="2"/>
  <c r="U15" i="2"/>
  <c r="U14" i="2"/>
  <c r="U13" i="2"/>
  <c r="U12" i="2"/>
  <c r="U11" i="2"/>
  <c r="U10" i="2"/>
  <c r="U9" i="2"/>
  <c r="U8" i="2"/>
  <c r="U7" i="2"/>
  <c r="U6" i="2"/>
  <c r="U5" i="2"/>
  <c r="U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Erik Randolph</author>
  </authors>
  <commentList>
    <comment ref="O11" authorId="0" shapeId="0" xr:uid="{1E83B928-106C-4E1D-BB0F-D53E523826B1}">
      <text>
        <r>
          <rPr>
            <b/>
            <sz val="9"/>
            <color indexed="81"/>
            <rFont val="Tahoma"/>
            <family val="2"/>
          </rPr>
          <t>Erik Randolph:</t>
        </r>
        <r>
          <rPr>
            <sz val="9"/>
            <color indexed="81"/>
            <rFont val="Tahoma"/>
            <family val="2"/>
          </rPr>
          <t xml:space="preserve">
Per Enrollee costs for 2016 and 2017 exclude payments made to the Federal government from the States for risk-sharing arrangements and MLRs to avoid distorting the paid trend.</t>
        </r>
      </text>
    </comment>
  </commentList>
</comments>
</file>

<file path=xl/sharedStrings.xml><?xml version="1.0" encoding="utf-8"?>
<sst xmlns="http://schemas.openxmlformats.org/spreadsheetml/2006/main" count="2081" uniqueCount="150">
  <si>
    <t>State</t>
  </si>
  <si>
    <t>Pregnant Women Medicaid</t>
  </si>
  <si>
    <t>Adults (Medicaid) Expansion to Adults</t>
  </si>
  <si>
    <t>Alabama</t>
  </si>
  <si>
    <t>N/A</t>
  </si>
  <si>
    <t>No</t>
  </si>
  <si>
    <t>135%($)</t>
  </si>
  <si>
    <t>Arizona</t>
  </si>
  <si>
    <t>Arkansas</t>
  </si>
  <si>
    <t>17%($)</t>
  </si>
  <si>
    <t>California</t>
  </si>
  <si>
    <t>See note6</t>
  </si>
  <si>
    <t>Colorado</t>
  </si>
  <si>
    <t>Connecticut</t>
  </si>
  <si>
    <t>Delaware</t>
  </si>
  <si>
    <t>212% (1 up to 19)</t>
  </si>
  <si>
    <t>District of Columbia</t>
  </si>
  <si>
    <t>Florida</t>
  </si>
  <si>
    <t>210% (1 up to 19)</t>
  </si>
  <si>
    <t>28%($)</t>
  </si>
  <si>
    <t>Georgia</t>
  </si>
  <si>
    <t>32%($)</t>
  </si>
  <si>
    <t>Idaho</t>
  </si>
  <si>
    <t>23%($)</t>
  </si>
  <si>
    <t>Illinois</t>
  </si>
  <si>
    <t>Indiana</t>
  </si>
  <si>
    <t>19%($)</t>
  </si>
  <si>
    <t>Iowa</t>
  </si>
  <si>
    <t>302% (1 up to 19)</t>
  </si>
  <si>
    <t>51%($)</t>
  </si>
  <si>
    <t>Kansas</t>
  </si>
  <si>
    <t>Kentucky</t>
  </si>
  <si>
    <t>24%($)</t>
  </si>
  <si>
    <t>Louisiana</t>
  </si>
  <si>
    <t>Maine</t>
  </si>
  <si>
    <t>Maryland</t>
  </si>
  <si>
    <t>Massachusetts</t>
  </si>
  <si>
    <t>Michigan</t>
  </si>
  <si>
    <t>Minnesota</t>
  </si>
  <si>
    <t>Mississippi</t>
  </si>
  <si>
    <t>Missouri</t>
  </si>
  <si>
    <t>Montana</t>
  </si>
  <si>
    <t>Nebraska</t>
  </si>
  <si>
    <t>Nevada</t>
  </si>
  <si>
    <t>31%($)</t>
  </si>
  <si>
    <t>New Hampshire</t>
  </si>
  <si>
    <t>64%($)</t>
  </si>
  <si>
    <t>New Jersey</t>
  </si>
  <si>
    <t>30%($)</t>
  </si>
  <si>
    <t>New Mexico</t>
  </si>
  <si>
    <t>43%($)</t>
  </si>
  <si>
    <t>New York</t>
  </si>
  <si>
    <t>North Carolina</t>
  </si>
  <si>
    <t>211% (6 up to 19)</t>
  </si>
  <si>
    <t>42%($)</t>
  </si>
  <si>
    <t>North Dakota</t>
  </si>
  <si>
    <t>50%($)</t>
  </si>
  <si>
    <t>Ohio</t>
  </si>
  <si>
    <t>Oklahoma</t>
  </si>
  <si>
    <t>Oregon</t>
  </si>
  <si>
    <t>38%($)</t>
  </si>
  <si>
    <t>Pennsylvania</t>
  </si>
  <si>
    <t>Rhode Island</t>
  </si>
  <si>
    <t>South Carolina</t>
  </si>
  <si>
    <t>South Dakota</t>
  </si>
  <si>
    <t>54%($)</t>
  </si>
  <si>
    <t>Tennessee</t>
  </si>
  <si>
    <t>98%($)</t>
  </si>
  <si>
    <t>Texas</t>
  </si>
  <si>
    <t>15%($)</t>
  </si>
  <si>
    <t>Utah</t>
  </si>
  <si>
    <t>Vermont</t>
  </si>
  <si>
    <t>52%($)</t>
  </si>
  <si>
    <t>Virginia</t>
  </si>
  <si>
    <t>47%($)</t>
  </si>
  <si>
    <t>Yes</t>
  </si>
  <si>
    <t>Washington</t>
  </si>
  <si>
    <t>40%($)</t>
  </si>
  <si>
    <t>West Virginia</t>
  </si>
  <si>
    <t>18%($)</t>
  </si>
  <si>
    <t>Wisconsin</t>
  </si>
  <si>
    <t>301% (1 up to19)</t>
  </si>
  <si>
    <t>Wyoming</t>
  </si>
  <si>
    <r>
      <t>Children Medicaid Ages 0-1</t>
    </r>
    <r>
      <rPr>
        <b/>
        <vertAlign val="superscript"/>
        <sz val="11"/>
        <color rgb="FF212121"/>
        <rFont val="Calibri"/>
        <family val="2"/>
        <scheme val="minor"/>
      </rPr>
      <t>1</t>
    </r>
  </si>
  <si>
    <r>
      <t>Children Medicaid Ages 1-5</t>
    </r>
    <r>
      <rPr>
        <b/>
        <vertAlign val="superscript"/>
        <sz val="11"/>
        <color rgb="FF212121"/>
        <rFont val="Calibri"/>
        <family val="2"/>
        <scheme val="minor"/>
      </rPr>
      <t>1</t>
    </r>
  </si>
  <si>
    <r>
      <t>Children Medicaid Ages 6-18</t>
    </r>
    <r>
      <rPr>
        <b/>
        <vertAlign val="superscript"/>
        <sz val="11"/>
        <color rgb="FF212121"/>
        <rFont val="Calibri"/>
        <family val="2"/>
        <scheme val="minor"/>
      </rPr>
      <t>1</t>
    </r>
  </si>
  <si>
    <r>
      <t>Children Separate CHIP</t>
    </r>
    <r>
      <rPr>
        <b/>
        <vertAlign val="superscript"/>
        <sz val="11"/>
        <color rgb="FF212121"/>
        <rFont val="Calibri"/>
        <family val="2"/>
        <scheme val="minor"/>
      </rPr>
      <t>2</t>
    </r>
  </si>
  <si>
    <r>
      <t>Pregnant Women CHIP</t>
    </r>
    <r>
      <rPr>
        <b/>
        <vertAlign val="superscript"/>
        <sz val="11"/>
        <color rgb="FF212121"/>
        <rFont val="Calibri"/>
        <family val="2"/>
        <scheme val="minor"/>
      </rPr>
      <t>3</t>
    </r>
  </si>
  <si>
    <r>
      <t>Adults (Medicaid) Parent/ Caretaker</t>
    </r>
    <r>
      <rPr>
        <b/>
        <vertAlign val="superscript"/>
        <sz val="11"/>
        <color rgb="FF212121"/>
        <rFont val="Calibri"/>
        <family val="2"/>
        <scheme val="minor"/>
      </rPr>
      <t>4</t>
    </r>
  </si>
  <si>
    <t>1. These eligibility standards include CHIP-funded Medicaid expansions for children under age 19. Children eligible for a CHIP-funded Medicaid expansion may be covered either under the mandatory children’s group or under the optional targeted low-income child group. Expanded Medicaid eligibility after 1997 qualifies for CHIP funding.</t>
  </si>
  <si>
    <t>2. CHIP covers birth up to age 19 unless otherwise noted in parentheses.</t>
  </si>
  <si>
    <t>3. CHIP gives states the option to cover pregnant women and children from conception to birth. This table shows coverage of pregnant women only.</t>
  </si>
  <si>
    <t>4. These data show Medicaid state plan coverage of the eligibility group for parents and other caretaker relatives. In expansion states, parents and caretaker relatives with incomes above the standard shown here may be eligible for coverage in the adult group. Some states use dollar amounts based on household size instead of percentages of the FPL as the income standard for parent and caretaker relatives. For those states, CMS converted the amount to percentages of the FPL. CMS uses the highest percentage to show the eligibility level for the group. States that use dollar amounts to make determinations are indicated by ($).</t>
  </si>
  <si>
    <t>5. The dollar values that FPLs represent in Alaska and Hawaii are higher than in the rest of the United States. For example, in 2018, 100% of the FPL for a family of four was equal to $31,380 in Alaska and $28,870 in Hawaii, compared to $25,100 in the other 48 states and the District of Columbia.</t>
  </si>
  <si>
    <t>6. The Separate CHIP in California covers certain children up to age 2 with incomes up to 317% of the FPL statewide; and it covers children up to age 19 also up to 317% of the FPL in three counties only.</t>
  </si>
  <si>
    <t>7. In addition to covering the adult group up to 133% of the FPL, the state covers ages 19 and 20 up to the following levels: DC 216%, MA 150%, ME 156%.</t>
  </si>
  <si>
    <t>8. The state also covers ages 19 and 20 up to the following levels: FL 28%, NC 42%.</t>
  </si>
  <si>
    <r>
      <t xml:space="preserve">9. The state has a </t>
    </r>
    <r>
      <rPr>
        <u/>
        <sz val="13"/>
        <color rgb="FF046791"/>
        <rFont val="&amp;quot"/>
      </rPr>
      <t>section 1115 demonstration</t>
    </r>
    <r>
      <rPr>
        <sz val="13"/>
        <color rgb="FF000000"/>
        <rFont val="&amp;quot"/>
      </rPr>
      <t>, which provides Medicaid coverage to some additional low-income adults. In some cases, coverage:</t>
    </r>
  </si>
  <si>
    <t>Includes limitations on eligibility and benefits</t>
  </si>
  <si>
    <t>Is not offered to all residents of the state</t>
  </si>
  <si>
    <t>Includes an enrollment cap</t>
  </si>
  <si>
    <t>10. Minnesota covers children up to age 2 with incomes up to 283% of the FPL.</t>
  </si>
  <si>
    <t>11. Adults with incomes from above 133% and up to 200% of the FPL are covered through BHP.</t>
  </si>
  <si>
    <r>
      <t>17%</t>
    </r>
    <r>
      <rPr>
        <vertAlign val="superscript"/>
        <sz val="11"/>
        <color rgb="FFFF0000"/>
        <rFont val="Calibri"/>
        <family val="2"/>
        <scheme val="minor"/>
      </rPr>
      <t>9</t>
    </r>
    <r>
      <rPr>
        <sz val="11"/>
        <color rgb="FFFF0000"/>
        <rFont val="Calibri"/>
        <family val="2"/>
        <scheme val="minor"/>
      </rPr>
      <t>($)</t>
    </r>
  </si>
  <si>
    <r>
      <t>39%</t>
    </r>
    <r>
      <rPr>
        <vertAlign val="superscript"/>
        <sz val="11"/>
        <color rgb="FFFF0000"/>
        <rFont val="Calibri"/>
        <family val="2"/>
        <scheme val="minor"/>
      </rPr>
      <t>9</t>
    </r>
    <r>
      <rPr>
        <sz val="11"/>
        <color rgb="FFFF0000"/>
        <rFont val="Calibri"/>
        <family val="2"/>
        <scheme val="minor"/>
      </rPr>
      <t>($)</t>
    </r>
  </si>
  <si>
    <r>
      <t>42%</t>
    </r>
    <r>
      <rPr>
        <vertAlign val="superscript"/>
        <sz val="11"/>
        <color theme="1"/>
        <rFont val="Calibri"/>
        <family val="2"/>
        <scheme val="minor"/>
      </rPr>
      <t>9</t>
    </r>
  </si>
  <si>
    <r>
      <t>95%</t>
    </r>
    <r>
      <rPr>
        <vertAlign val="superscript"/>
        <sz val="11"/>
        <color theme="1"/>
        <rFont val="Calibri"/>
        <family val="2"/>
        <scheme val="minor"/>
      </rPr>
      <t>9</t>
    </r>
  </si>
  <si>
    <r>
      <t>No/95%</t>
    </r>
    <r>
      <rPr>
        <vertAlign val="superscript"/>
        <sz val="11"/>
        <color theme="1"/>
        <rFont val="Calibri"/>
        <family val="2"/>
        <scheme val="minor"/>
      </rPr>
      <t>9</t>
    </r>
  </si>
  <si>
    <t>2-5</t>
  </si>
  <si>
    <t>6-18</t>
  </si>
  <si>
    <t>Children</t>
  </si>
  <si>
    <t>Child</t>
  </si>
  <si>
    <t>Children Medicaid Age 0</t>
  </si>
  <si>
    <t>Children Medicaid Ages 1</t>
  </si>
  <si>
    <t>Children Medicaid Ages 2-5</t>
  </si>
  <si>
    <t>Category</t>
  </si>
  <si>
    <t>Parent</t>
  </si>
  <si>
    <t>Pregnant</t>
  </si>
  <si>
    <t>Expansion Adult</t>
  </si>
  <si>
    <t>Adults 19 and 20</t>
  </si>
  <si>
    <t>Adults 19 &amp; 20</t>
  </si>
  <si>
    <t>Hawaii</t>
  </si>
  <si>
    <t>Alaska</t>
  </si>
  <si>
    <t>BHP coverage between 133% and 200%</t>
  </si>
  <si>
    <t>BHP: 133% to 200%</t>
  </si>
  <si>
    <r>
      <t>No</t>
    </r>
    <r>
      <rPr>
        <vertAlign val="superscript"/>
        <sz val="11"/>
        <color theme="1"/>
        <rFont val="Calibri"/>
        <family val="2"/>
        <scheme val="minor"/>
      </rPr>
      <t>9</t>
    </r>
  </si>
  <si>
    <t>2019 converted from Dollar?</t>
  </si>
  <si>
    <t>2020 converted from Dollar?</t>
  </si>
  <si>
    <t>Effective Date</t>
  </si>
  <si>
    <t>copied from 2019</t>
  </si>
  <si>
    <r>
      <t>17%</t>
    </r>
    <r>
      <rPr>
        <vertAlign val="superscript"/>
        <sz val="11"/>
        <color rgb="FFFF0000"/>
        <rFont val="Calibri"/>
        <family val="2"/>
        <scheme val="minor"/>
      </rPr>
      <t>9</t>
    </r>
  </si>
  <si>
    <r>
      <t>39%</t>
    </r>
    <r>
      <rPr>
        <vertAlign val="superscript"/>
        <sz val="11"/>
        <color rgb="FFFF0000"/>
        <rFont val="Calibri"/>
        <family val="2"/>
        <scheme val="minor"/>
      </rPr>
      <t>9</t>
    </r>
  </si>
  <si>
    <t>rows=</t>
  </si>
  <si>
    <t>Fiscal Year</t>
  </si>
  <si>
    <t>Aged</t>
  </si>
  <si>
    <t>Disabled</t>
  </si>
  <si>
    <t>Adults</t>
  </si>
  <si>
    <t>Expansion adults</t>
  </si>
  <si>
    <t>Average of all enrollees</t>
  </si>
  <si>
    <t>Historical data:</t>
  </si>
  <si>
    <t>n/a</t>
  </si>
  <si>
    <t>Projections:</t>
  </si>
  <si>
    <r>
      <t>5,965</t>
    </r>
    <r>
      <rPr>
        <sz val="7"/>
        <color indexed="8"/>
        <rFont val="Arial"/>
        <family val="1"/>
        <charset val="204"/>
      </rPr>
      <t>63</t>
    </r>
  </si>
  <si>
    <t>Source</t>
  </si>
  <si>
    <t>Medicaid Actuarial Reports are Found here: https://www.cms.gov/Research-Statistics-Data-and-Systems/Research/ActuarialStudies/MedicaidReport</t>
  </si>
  <si>
    <t>2017 Actuarial Repot on the Financial Outlook for Medicaid, U.S. Department of Health &amp; Human Services, Office of the Actuary, Centers for Medicare &amp; Medicaid Servcies, p. 61 and Table 22 on page 68</t>
  </si>
  <si>
    <t xml:space="preserve">Note that Table 22 lists per enrollee costs as historical for 200 through 2012 but projections for 2013 on, despite being the 2017 report. Considering tha this is the same dividing line as for the 2016 report (Table 19), makes me think the designations may be in error. </t>
  </si>
  <si>
    <t>https://www.cms.gov/Research-Statistics-Data-and-Systems/Research/ActuarialStudies/Downloads/MedicaidReport2017.pdf</t>
  </si>
  <si>
    <t>Note for 2016 Expansion Adults: Per Enrollee costs for 2016 and 2017 exclude payments made to the Federal government from the States for risk-sharing arrangements and MLRs to avoid distorting the paid trend.</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</si>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</sst>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15">
    <font>
      <sz val="11"/>
      <color theme="1"/>
      <name val="Calibri"/>
      <family val="2"/>
      <scheme val="minor"/>
    </font>
    <font>
      <sz val="11"/>
      <color rgb="FFFF0000"/>
      <name val="Calibri"/>
      <family val="2"/>
      <scheme val="minor"/>
    </font>
    <font>
      <b/>
      <sz val="11"/>
      <color rgb="FF212121"/>
      <name val="Calibri"/>
      <family val="2"/>
      <scheme val="minor"/>
    </font>
    <font>
      <b/>
      <vertAlign val="superscript"/>
      <sz val="11"/>
      <color rgb="FF212121"/>
      <name val="Calibri"/>
      <family val="2"/>
      <scheme val="minor"/>
    </font>
    <font>
      <vertAlign val="superscript"/>
      <sz val="11"/>
      <color theme="1"/>
      <name val="Calibri"/>
      <family val="2"/>
      <scheme val="minor"/>
    </font>
    <font>
      <sz val="13"/>
      <color rgb="FF000000"/>
      <name val="&amp;quot"/>
    </font>
    <font>
      <u/>
      <sz val="13"/>
      <color rgb="FF046791"/>
      <name val="&amp;quot"/>
    </font>
    <font>
      <vertAlign val="superscript"/>
      <sz val="11"/>
      <color rgb="FFFF0000"/>
      <name val="Calibri"/>
      <family val="2"/>
      <scheme val="minor"/>
    </font>
    <font>
      <sz val="10"/>
      <color indexed="8"/>
      <name val="Arial"/>
      <family val="2"/>
    </font>
    <font>
      <sz val="7"/>
      <color indexed="8"/>
      <name val="Arial"/>
      <family val="1"/>
      <charset val="204"/>
    </font>
    <font>
      <sz val="10"/>
      <color indexed="8"/>
      <name val="Arial"/>
      <family val="1"/>
      <charset val="204"/>
    </font>
    <font>
      <b/>
      <sz val="11"/>
      <color rgb="FFFF0000"/>
      <name val="Calibri"/>
      <family val="2"/>
      <scheme val="minor"/>
    </font>
    <font>
      <sz val="9"/>
      <color indexed="81"/>
      <name val="Tahoma"/>
      <family val="2"/>
    </font>
    <font>
      <b/>
      <sz val="9"/>
      <color indexed="81"/>
      <name val="Tahoma"/>
      <family val="2"/>
    </font>
    <font>
      <sz val="11"/>
      <name val="Calibri"/>
      <family val="2"/>
      <scheme val="minor"/>
    </font>
  </fonts>
  <fills count="6">
    <fill>
      <patternFill patternType="none"/>
    </fill>
    <fill>
      <patternFill patternType="gray125"/>
    </fill>
    <fill>
      <patternFill patternType="solid">
        <fgColor rgb="FFF7F7F7"/>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theme="4" tint="0.79998168889431442"/>
      </patternFill>
    </fill>
  </fills>
  <borders count="13">
    <border>
      <left/>
      <right/>
      <top/>
      <bottom/>
      <diagonal/>
    </border>
    <border>
      <left style="medium">
        <color rgb="FF212121"/>
      </left>
      <right style="medium">
        <color rgb="FF212121"/>
      </right>
      <top style="medium">
        <color rgb="FF212121"/>
      </top>
      <bottom style="medium">
        <color rgb="FF212121"/>
      </bottom>
      <diagonal/>
    </border>
    <border>
      <left style="medium">
        <color rgb="FF212121"/>
      </left>
      <right/>
      <top/>
      <bottom/>
      <diagonal/>
    </border>
    <border>
      <left/>
      <right style="medium">
        <color rgb="FF212121"/>
      </right>
      <top/>
      <bottom/>
      <diagonal/>
    </border>
    <border>
      <left style="medium">
        <color rgb="FF212121"/>
      </left>
      <right/>
      <top/>
      <bottom style="medium">
        <color rgb="FF212121"/>
      </bottom>
      <diagonal/>
    </border>
    <border>
      <left/>
      <right/>
      <top/>
      <bottom style="medium">
        <color rgb="FF212121"/>
      </bottom>
      <diagonal/>
    </border>
    <border>
      <left/>
      <right style="medium">
        <color rgb="FF212121"/>
      </right>
      <top/>
      <bottom style="medium">
        <color rgb="FF212121"/>
      </bottom>
      <diagonal/>
    </border>
    <border>
      <left style="medium">
        <color rgb="FF212121"/>
      </left>
      <right style="medium">
        <color rgb="FF212121"/>
      </right>
      <top/>
      <bottom/>
      <diagonal/>
    </border>
    <border>
      <left style="medium">
        <color rgb="FF212121"/>
      </left>
      <right style="medium">
        <color rgb="FF212121"/>
      </right>
      <top style="medium">
        <color rgb="FF212121"/>
      </top>
      <bottom/>
      <diagonal/>
    </border>
    <border>
      <left/>
      <right/>
      <top style="thin">
        <color theme="4" tint="0.39997558519241921"/>
      </top>
      <bottom style="thin">
        <color theme="4" tint="0.39997558519241921"/>
      </bottom>
      <diagonal/>
    </border>
    <border>
      <left/>
      <right/>
      <top style="thin">
        <color rgb="FF000000"/>
      </top>
      <bottom style="thin">
        <color rgb="FF000000"/>
      </bottom>
      <diagonal/>
    </border>
    <border>
      <left/>
      <right/>
      <top style="thin">
        <color rgb="FF000000"/>
      </top>
      <bottom/>
      <diagonal/>
    </border>
    <border>
      <left/>
      <right/>
      <top/>
      <bottom style="thin">
        <color rgb="FF000000"/>
      </bottom>
      <diagonal/>
    </border>
  </borders>
  <cellStyleXfs count="1">
    <xf numFmtId="0" fontId="0" fillId="0" borderId="0"/>
  </cellStyleXfs>
  <cellXfs count="82">
    <xf numFmtId="0" fontId="0" fillId="0" borderId="0" xfId="0"/>
    <xf numFmtId="0" fontId="2" fillId="2" borderId="1" xfId="0" applyFont="1" applyFill="1" applyBorder="1" applyAlignment="1">
      <alignment horizontal="left" vertical="top" wrapText="1"/>
    </xf>
    <xf numFmtId="9" fontId="0" fillId="0" borderId="0" xfId="0" applyNumberFormat="1"/>
    <xf numFmtId="0" fontId="0" fillId="3" borderId="2" xfId="0" applyFill="1" applyBorder="1" applyAlignment="1">
      <alignment vertical="center" wrapText="1"/>
    </xf>
    <xf numFmtId="0" fontId="0" fillId="3" borderId="4" xfId="0" applyFill="1" applyBorder="1" applyAlignment="1">
      <alignment vertical="center" wrapText="1"/>
    </xf>
    <xf numFmtId="9" fontId="0" fillId="3" borderId="0" xfId="0" applyNumberFormat="1" applyFill="1" applyAlignment="1">
      <alignment horizontal="center" vertical="center" wrapText="1"/>
    </xf>
    <xf numFmtId="0" fontId="0" fillId="3" borderId="0" xfId="0" applyFill="1" applyAlignment="1">
      <alignment horizontal="center" vertical="center" wrapText="1"/>
    </xf>
    <xf numFmtId="9" fontId="0" fillId="3" borderId="5" xfId="0" applyNumberFormat="1" applyFill="1" applyBorder="1" applyAlignment="1">
      <alignment horizontal="center" vertical="center" wrapText="1"/>
    </xf>
    <xf numFmtId="0" fontId="0" fillId="3" borderId="5" xfId="0" applyFill="1" applyBorder="1" applyAlignment="1">
      <alignment horizontal="center" vertical="center" wrapText="1"/>
    </xf>
    <xf numFmtId="0" fontId="0" fillId="4" borderId="0" xfId="0" applyFill="1"/>
    <xf numFmtId="0" fontId="0" fillId="4" borderId="0" xfId="0" applyFill="1" applyAlignment="1">
      <alignment horizontal="center"/>
    </xf>
    <xf numFmtId="0" fontId="5" fillId="0" borderId="0" xfId="0" applyFont="1" applyAlignment="1">
      <alignment horizontal="left" vertical="center" indent="1"/>
    </xf>
    <xf numFmtId="0" fontId="0" fillId="0" borderId="0" xfId="0" applyAlignment="1">
      <alignment horizontal="left" vertical="center" indent="2"/>
    </xf>
    <xf numFmtId="0" fontId="5" fillId="0" borderId="0" xfId="0" applyFont="1" applyAlignment="1">
      <alignment horizontal="left" vertical="center" indent="2"/>
    </xf>
    <xf numFmtId="0" fontId="0" fillId="0" borderId="0" xfId="0" applyAlignment="1">
      <alignment horizontal="left" vertical="center" indent="1"/>
    </xf>
    <xf numFmtId="0" fontId="0" fillId="4" borderId="0" xfId="0" applyFill="1" applyAlignment="1">
      <alignment horizontal="center" vertical="center" wrapText="1"/>
    </xf>
    <xf numFmtId="0" fontId="1" fillId="4" borderId="0" xfId="0" applyFont="1" applyFill="1"/>
    <xf numFmtId="0" fontId="1" fillId="3" borderId="0" xfId="0" applyFont="1" applyFill="1" applyAlignment="1">
      <alignment horizontal="center" vertical="center" wrapText="1"/>
    </xf>
    <xf numFmtId="0" fontId="0" fillId="0" borderId="0" xfId="0" applyAlignment="1">
      <alignment horizontal="center"/>
    </xf>
    <xf numFmtId="0" fontId="2" fillId="2" borderId="1" xfId="0" applyFont="1" applyFill="1" applyBorder="1" applyAlignment="1">
      <alignment horizontal="center" vertical="center" wrapText="1"/>
    </xf>
    <xf numFmtId="0" fontId="0" fillId="0" borderId="0" xfId="0" applyAlignment="1">
      <alignment wrapText="1"/>
    </xf>
    <xf numFmtId="0" fontId="2" fillId="2" borderId="7" xfId="0" applyFont="1" applyFill="1" applyBorder="1" applyAlignment="1">
      <alignment horizontal="center" vertical="center" wrapText="1"/>
    </xf>
    <xf numFmtId="9" fontId="1" fillId="3" borderId="0" xfId="0" applyNumberFormat="1" applyFont="1" applyFill="1" applyAlignment="1">
      <alignment horizontal="center" vertical="center" wrapText="1"/>
    </xf>
    <xf numFmtId="9" fontId="0" fillId="0" borderId="0" xfId="0" applyNumberFormat="1" applyAlignment="1">
      <alignment horizontal="center"/>
    </xf>
    <xf numFmtId="15" fontId="0" fillId="0" borderId="0" xfId="0" applyNumberFormat="1" applyAlignment="1">
      <alignment horizontal="center" wrapText="1"/>
    </xf>
    <xf numFmtId="0" fontId="2" fillId="2" borderId="8" xfId="0" applyFont="1" applyFill="1" applyBorder="1" applyAlignment="1">
      <alignment horizontal="center" vertical="center" wrapText="1"/>
    </xf>
    <xf numFmtId="9" fontId="0" fillId="4" borderId="0" xfId="0" applyNumberFormat="1" applyFill="1" applyAlignment="1">
      <alignment horizontal="center"/>
    </xf>
    <xf numFmtId="9" fontId="0" fillId="4" borderId="0" xfId="0" applyNumberFormat="1" applyFill="1"/>
    <xf numFmtId="0" fontId="0" fillId="0" borderId="9" xfId="0" applyBorder="1" applyAlignment="1">
      <alignment horizontal="center"/>
    </xf>
    <xf numFmtId="0" fontId="0" fillId="5" borderId="9" xfId="0" applyFill="1" applyBorder="1" applyAlignment="1">
      <alignment horizontal="center"/>
    </xf>
    <xf numFmtId="0" fontId="0" fillId="0" borderId="0" xfId="0" applyAlignment="1">
      <alignment vertical="center" wrapText="1"/>
    </xf>
    <xf numFmtId="9"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vertical="center" wrapText="1"/>
    </xf>
    <xf numFmtId="9" fontId="1" fillId="0" borderId="0" xfId="0" applyNumberFormat="1" applyFont="1" applyAlignment="1">
      <alignment horizontal="center" vertical="center" wrapText="1"/>
    </xf>
    <xf numFmtId="0" fontId="0" fillId="0" borderId="0" xfId="0" applyAlignment="1">
      <alignment horizontal="right"/>
    </xf>
    <xf numFmtId="0" fontId="8" fillId="0" borderId="10" xfId="0" applyFont="1" applyBorder="1" applyAlignment="1">
      <alignment horizontal="center" vertical="center" wrapText="1"/>
    </xf>
    <xf numFmtId="0" fontId="8" fillId="0" borderId="10" xfId="0" applyFont="1" applyBorder="1" applyAlignment="1">
      <alignment horizontal="left" vertical="center" wrapText="1" indent="2"/>
    </xf>
    <xf numFmtId="0" fontId="8" fillId="0" borderId="10" xfId="0" applyFont="1" applyBorder="1" applyAlignment="1">
      <alignment horizontal="right" vertical="center" wrapText="1" indent="2"/>
    </xf>
    <xf numFmtId="0" fontId="8" fillId="0" borderId="10" xfId="0" applyFont="1" applyBorder="1" applyAlignment="1">
      <alignment horizontal="left" vertical="top" wrapText="1" indent="1"/>
    </xf>
    <xf numFmtId="0" fontId="8" fillId="0" borderId="10" xfId="0" applyFont="1" applyBorder="1" applyAlignment="1">
      <alignment horizontal="center" vertical="top" wrapText="1"/>
    </xf>
    <xf numFmtId="1" fontId="8" fillId="0" borderId="0" xfId="0" applyNumberFormat="1" applyFont="1" applyAlignment="1">
      <alignment horizontal="center" vertical="top" wrapText="1"/>
    </xf>
    <xf numFmtId="164" fontId="8" fillId="0" borderId="0" xfId="0" applyNumberFormat="1" applyFont="1" applyAlignment="1">
      <alignment horizontal="right" vertical="top" wrapText="1" indent="1"/>
    </xf>
    <xf numFmtId="164" fontId="8" fillId="0" borderId="0" xfId="0" applyNumberFormat="1" applyFont="1" applyAlignment="1">
      <alignment horizontal="right" vertical="top" wrapText="1" indent="2"/>
    </xf>
    <xf numFmtId="0" fontId="8" fillId="0" borderId="0" xfId="0" applyFont="1" applyAlignment="1">
      <alignment horizontal="left" vertical="top" wrapText="1" indent="5"/>
    </xf>
    <xf numFmtId="3" fontId="8" fillId="0" borderId="0" xfId="0" applyNumberFormat="1" applyFont="1" applyAlignment="1">
      <alignment horizontal="right" vertical="top" wrapText="1" indent="1"/>
    </xf>
    <xf numFmtId="3" fontId="8" fillId="0" borderId="0" xfId="0" applyNumberFormat="1" applyFont="1" applyAlignment="1">
      <alignment horizontal="right" vertical="top" wrapText="1" indent="2"/>
    </xf>
    <xf numFmtId="164" fontId="8" fillId="0" borderId="0" xfId="0" applyNumberFormat="1" applyFont="1" applyAlignment="1">
      <alignment horizontal="left" vertical="top" wrapText="1" indent="3"/>
    </xf>
    <xf numFmtId="3" fontId="8" fillId="0" borderId="0" xfId="0" applyNumberFormat="1" applyFont="1" applyAlignment="1">
      <alignment horizontal="left" vertical="top" wrapText="1" indent="4"/>
    </xf>
    <xf numFmtId="0" fontId="10" fillId="0" borderId="0" xfId="0" applyFont="1" applyAlignment="1">
      <alignment horizontal="left" vertical="top" wrapText="1" indent="4"/>
    </xf>
    <xf numFmtId="1" fontId="8" fillId="0" borderId="12" xfId="0" applyNumberFormat="1" applyFont="1" applyBorder="1" applyAlignment="1">
      <alignment horizontal="center" vertical="top" wrapText="1"/>
    </xf>
    <xf numFmtId="3" fontId="8" fillId="0" borderId="12" xfId="0" applyNumberFormat="1" applyFont="1" applyBorder="1" applyAlignment="1">
      <alignment horizontal="right" vertical="top" wrapText="1" indent="1"/>
    </xf>
    <xf numFmtId="3" fontId="8" fillId="0" borderId="12" xfId="0" applyNumberFormat="1" applyFont="1" applyBorder="1" applyAlignment="1">
      <alignment horizontal="right" vertical="top" wrapText="1" indent="2"/>
    </xf>
    <xf numFmtId="3" fontId="8" fillId="0" borderId="12" xfId="0" applyNumberFormat="1" applyFont="1" applyBorder="1" applyAlignment="1">
      <alignment horizontal="left" vertical="top" wrapText="1" indent="4"/>
    </xf>
    <xf numFmtId="0" fontId="11" fillId="0" borderId="0" xfId="0" applyFont="1"/>
    <xf numFmtId="0" fontId="8" fillId="0" borderId="10" xfId="0" applyFont="1" applyBorder="1" applyAlignment="1">
      <alignment vertical="center" wrapText="1"/>
    </xf>
    <xf numFmtId="0" fontId="8" fillId="0" borderId="10" xfId="0" applyFont="1" applyBorder="1" applyAlignment="1">
      <alignment vertical="top" wrapText="1"/>
    </xf>
    <xf numFmtId="0" fontId="8" fillId="0" borderId="0" xfId="0" applyFont="1" applyAlignment="1">
      <alignment vertical="top" wrapText="1"/>
    </xf>
    <xf numFmtId="3" fontId="8" fillId="0" borderId="0" xfId="0" applyNumberFormat="1" applyFont="1" applyAlignment="1">
      <alignment horizontal="right" vertical="top" wrapText="1"/>
    </xf>
    <xf numFmtId="164" fontId="8" fillId="0" borderId="0" xfId="0" applyNumberFormat="1" applyFont="1" applyAlignment="1">
      <alignment horizontal="right" vertical="top"/>
    </xf>
    <xf numFmtId="0" fontId="8" fillId="0" borderId="0" xfId="0" applyFont="1" applyAlignment="1">
      <alignment horizontal="right" vertical="top"/>
    </xf>
    <xf numFmtId="3" fontId="8" fillId="0" borderId="0" xfId="0" applyNumberFormat="1" applyFont="1" applyAlignment="1">
      <alignment horizontal="right" vertical="top"/>
    </xf>
    <xf numFmtId="3" fontId="10" fillId="0" borderId="0" xfId="0" applyNumberFormat="1" applyFont="1" applyAlignment="1">
      <alignment horizontal="right" vertical="top"/>
    </xf>
    <xf numFmtId="0" fontId="8" fillId="0" borderId="11" xfId="0" applyFont="1" applyBorder="1" applyAlignment="1">
      <alignment horizontal="left" vertical="top" wrapText="1"/>
    </xf>
    <xf numFmtId="0" fontId="0" fillId="0" borderId="0" xfId="0" applyFill="1"/>
    <xf numFmtId="0" fontId="2" fillId="0" borderId="1" xfId="0" applyFont="1" applyFill="1" applyBorder="1" applyAlignment="1">
      <alignment horizontal="left" vertical="top" wrapText="1"/>
    </xf>
    <xf numFmtId="0" fontId="0" fillId="0" borderId="0" xfId="0" applyFill="1" applyAlignment="1">
      <alignment horizontal="center"/>
    </xf>
    <xf numFmtId="0" fontId="5" fillId="0" borderId="0" xfId="0" applyFont="1" applyFill="1" applyAlignment="1">
      <alignment horizontal="left" vertical="center" indent="1"/>
    </xf>
    <xf numFmtId="0" fontId="5" fillId="0" borderId="0" xfId="0" applyFont="1" applyFill="1" applyAlignment="1">
      <alignment horizontal="left" vertical="center" indent="2"/>
    </xf>
    <xf numFmtId="0" fontId="14" fillId="0" borderId="2" xfId="0" applyFont="1" applyFill="1" applyBorder="1" applyAlignment="1">
      <alignment vertical="center" wrapText="1"/>
    </xf>
    <xf numFmtId="9" fontId="14" fillId="0" borderId="0" xfId="0" applyNumberFormat="1" applyFont="1" applyFill="1" applyAlignment="1">
      <alignment horizontal="right" vertical="center" wrapText="1"/>
    </xf>
    <xf numFmtId="0" fontId="14" fillId="0" borderId="0" xfId="0" applyFont="1" applyFill="1" applyAlignment="1">
      <alignment horizontal="right" vertical="center" wrapText="1"/>
    </xf>
    <xf numFmtId="0" fontId="14" fillId="0" borderId="3" xfId="0" applyFont="1" applyFill="1" applyBorder="1" applyAlignment="1">
      <alignment horizontal="right" vertical="center" wrapText="1"/>
    </xf>
    <xf numFmtId="0" fontId="14" fillId="0" borderId="0" xfId="0" applyFont="1" applyFill="1"/>
    <xf numFmtId="9" fontId="14" fillId="0" borderId="3" xfId="0" applyNumberFormat="1" applyFont="1" applyFill="1" applyBorder="1" applyAlignment="1">
      <alignment horizontal="right" vertical="center" wrapText="1"/>
    </xf>
    <xf numFmtId="0" fontId="14" fillId="0" borderId="0" xfId="0" applyFont="1" applyFill="1" applyAlignment="1">
      <alignment horizontal="right"/>
    </xf>
    <xf numFmtId="9" fontId="14" fillId="0" borderId="0" xfId="0" applyNumberFormat="1" applyFont="1" applyFill="1" applyAlignment="1">
      <alignment horizontal="right"/>
    </xf>
    <xf numFmtId="0" fontId="14" fillId="0" borderId="4" xfId="0" applyFont="1" applyFill="1" applyBorder="1" applyAlignment="1">
      <alignment vertical="center" wrapText="1"/>
    </xf>
    <xf numFmtId="9" fontId="14" fillId="0" borderId="5" xfId="0" applyNumberFormat="1" applyFont="1" applyFill="1" applyBorder="1" applyAlignment="1">
      <alignment horizontal="right" vertical="center" wrapText="1"/>
    </xf>
    <xf numFmtId="0" fontId="14" fillId="0" borderId="5" xfId="0" applyFont="1" applyFill="1" applyBorder="1" applyAlignment="1">
      <alignment horizontal="right" vertical="center" wrapText="1"/>
    </xf>
    <xf numFmtId="0" fontId="14" fillId="0" borderId="6" xfId="0" applyFont="1" applyFill="1" applyBorder="1" applyAlignment="1">
      <alignment horizontal="right" vertical="center" wrapText="1"/>
    </xf>
    <xf numFmtId="0" fontId="14" fillId="0" borderId="0"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D2011-6E46-46EA-865D-92E58A61916C}">
  <sheetPr codeName="Sheet1"/>
  <dimension ref="B1:R68"/>
  <sheetViews>
    <sheetView tabSelected="1" topLeftCell="A43" workbookViewId="0">
      <selection activeCell="B3" sqref="B3:K53"/>
    </sheetView>
  </sheetViews>
  <sheetFormatPr defaultRowHeight="14.5"/>
  <cols>
    <col min="1" max="1" width="8.7265625" style="64"/>
    <col min="2" max="3" width="19.453125" style="64" customWidth="1"/>
    <col min="4" max="4" width="10.54296875" style="64" customWidth="1"/>
    <col min="5" max="5" width="10.1796875" style="64" customWidth="1"/>
    <col min="6" max="6" width="8.7265625" style="64"/>
    <col min="7" max="7" width="17.453125" style="64" customWidth="1"/>
    <col min="8" max="9" width="8.7265625" style="64"/>
    <col min="10" max="10" width="13" style="64" customWidth="1"/>
    <col min="11" max="11" width="11.1796875" style="64" customWidth="1"/>
    <col min="12" max="16384" width="8.7265625" style="64"/>
  </cols>
  <sheetData>
    <row r="1" spans="2:18" ht="15" thickBot="1"/>
    <row r="2" spans="2:18" ht="60.5" thickBot="1">
      <c r="B2" s="65" t="s">
        <v>0</v>
      </c>
      <c r="C2" s="65" t="s">
        <v>149</v>
      </c>
      <c r="D2" s="65" t="s">
        <v>83</v>
      </c>
      <c r="E2" s="65" t="s">
        <v>84</v>
      </c>
      <c r="F2" s="65" t="s">
        <v>85</v>
      </c>
      <c r="G2" s="65" t="s">
        <v>86</v>
      </c>
      <c r="H2" s="65" t="s">
        <v>1</v>
      </c>
      <c r="I2" s="65" t="s">
        <v>87</v>
      </c>
      <c r="J2" s="65" t="s">
        <v>88</v>
      </c>
      <c r="K2" s="65" t="s">
        <v>2</v>
      </c>
    </row>
    <row r="3" spans="2:18">
      <c r="B3" s="69" t="s">
        <v>3</v>
      </c>
      <c r="C3" s="81">
        <v>2019</v>
      </c>
      <c r="D3" s="70">
        <v>1.41</v>
      </c>
      <c r="E3" s="70">
        <v>1.41</v>
      </c>
      <c r="F3" s="70">
        <v>1.41</v>
      </c>
      <c r="G3" s="70">
        <v>3.12</v>
      </c>
      <c r="H3" s="70">
        <v>1.41</v>
      </c>
      <c r="I3" s="71" t="s">
        <v>4</v>
      </c>
      <c r="J3" s="70">
        <v>0.13</v>
      </c>
      <c r="K3" s="72" t="s">
        <v>5</v>
      </c>
      <c r="N3" s="64" t="s">
        <v>110</v>
      </c>
      <c r="O3" s="66">
        <v>0</v>
      </c>
      <c r="P3" s="66">
        <v>1</v>
      </c>
      <c r="Q3" s="66" t="s">
        <v>108</v>
      </c>
      <c r="R3" s="66" t="s">
        <v>109</v>
      </c>
    </row>
    <row r="4" spans="2:18">
      <c r="B4" s="73" t="s">
        <v>122</v>
      </c>
      <c r="C4" s="81">
        <v>2019</v>
      </c>
      <c r="D4" s="70">
        <v>2.0299999999999998</v>
      </c>
      <c r="E4" s="70">
        <v>2.0299999999999998</v>
      </c>
      <c r="F4" s="70">
        <v>2.0299999999999998</v>
      </c>
      <c r="G4" s="71" t="s">
        <v>4</v>
      </c>
      <c r="H4" s="70">
        <v>2</v>
      </c>
      <c r="I4" s="71" t="s">
        <v>4</v>
      </c>
      <c r="J4" s="70">
        <v>1.35</v>
      </c>
      <c r="K4" s="74">
        <v>1.33</v>
      </c>
    </row>
    <row r="5" spans="2:18">
      <c r="B5" s="69" t="s">
        <v>7</v>
      </c>
      <c r="C5" s="81">
        <v>2019</v>
      </c>
      <c r="D5" s="70">
        <v>1.47</v>
      </c>
      <c r="E5" s="70">
        <v>1.41</v>
      </c>
      <c r="F5" s="70">
        <v>1.33</v>
      </c>
      <c r="G5" s="70">
        <v>2</v>
      </c>
      <c r="H5" s="70">
        <v>1.56</v>
      </c>
      <c r="I5" s="71" t="s">
        <v>4</v>
      </c>
      <c r="J5" s="70">
        <v>1.06</v>
      </c>
      <c r="K5" s="74">
        <v>1.33</v>
      </c>
      <c r="N5" s="64" t="s">
        <v>3</v>
      </c>
      <c r="O5" s="64" t="s">
        <v>111</v>
      </c>
      <c r="P5" s="66">
        <v>0</v>
      </c>
    </row>
    <row r="6" spans="2:18">
      <c r="B6" s="69" t="s">
        <v>8</v>
      </c>
      <c r="C6" s="81">
        <v>2019</v>
      </c>
      <c r="D6" s="70">
        <v>1.42</v>
      </c>
      <c r="E6" s="70">
        <v>1.42</v>
      </c>
      <c r="F6" s="70">
        <v>1.42</v>
      </c>
      <c r="G6" s="70">
        <v>2.11</v>
      </c>
      <c r="H6" s="70">
        <v>2.09</v>
      </c>
      <c r="I6" s="71" t="s">
        <v>4</v>
      </c>
      <c r="J6" s="70">
        <v>0.17</v>
      </c>
      <c r="K6" s="74">
        <v>1.33</v>
      </c>
      <c r="N6" s="64" t="s">
        <v>3</v>
      </c>
      <c r="O6" s="64" t="s">
        <v>111</v>
      </c>
      <c r="P6" s="66">
        <v>1</v>
      </c>
    </row>
    <row r="7" spans="2:18">
      <c r="B7" s="69" t="s">
        <v>10</v>
      </c>
      <c r="C7" s="81">
        <v>2019</v>
      </c>
      <c r="D7" s="70">
        <v>2.61</v>
      </c>
      <c r="E7" s="70">
        <v>2.61</v>
      </c>
      <c r="F7" s="70">
        <v>2.61</v>
      </c>
      <c r="G7" s="75" t="s">
        <v>4</v>
      </c>
      <c r="H7" s="70">
        <v>2.08</v>
      </c>
      <c r="I7" s="71" t="s">
        <v>4</v>
      </c>
      <c r="J7" s="70">
        <v>1.0900000000000001</v>
      </c>
      <c r="K7" s="74">
        <v>1.33</v>
      </c>
      <c r="N7" s="64" t="s">
        <v>3</v>
      </c>
      <c r="O7" s="64" t="s">
        <v>111</v>
      </c>
      <c r="P7" s="66" t="s">
        <v>108</v>
      </c>
    </row>
    <row r="8" spans="2:18">
      <c r="B8" s="69" t="s">
        <v>12</v>
      </c>
      <c r="C8" s="81">
        <v>2019</v>
      </c>
      <c r="D8" s="70">
        <v>1.42</v>
      </c>
      <c r="E8" s="70">
        <v>1.42</v>
      </c>
      <c r="F8" s="70">
        <v>1.42</v>
      </c>
      <c r="G8" s="70">
        <v>2.6</v>
      </c>
      <c r="H8" s="70">
        <v>1.95</v>
      </c>
      <c r="I8" s="70">
        <v>2.6</v>
      </c>
      <c r="J8" s="70">
        <v>0.68</v>
      </c>
      <c r="K8" s="74">
        <v>1.33</v>
      </c>
      <c r="N8" s="64" t="s">
        <v>3</v>
      </c>
      <c r="O8" s="64" t="s">
        <v>111</v>
      </c>
      <c r="P8" s="66" t="s">
        <v>109</v>
      </c>
    </row>
    <row r="9" spans="2:18">
      <c r="B9" s="69" t="s">
        <v>13</v>
      </c>
      <c r="C9" s="81">
        <v>2019</v>
      </c>
      <c r="D9" s="70">
        <v>1.96</v>
      </c>
      <c r="E9" s="70">
        <v>1.96</v>
      </c>
      <c r="F9" s="70">
        <v>1.96</v>
      </c>
      <c r="G9" s="70">
        <v>3.18</v>
      </c>
      <c r="H9" s="70">
        <v>2.58</v>
      </c>
      <c r="I9" s="71" t="s">
        <v>4</v>
      </c>
      <c r="J9" s="70">
        <v>1.5</v>
      </c>
      <c r="K9" s="74">
        <v>1.33</v>
      </c>
    </row>
    <row r="10" spans="2:18">
      <c r="B10" s="69" t="s">
        <v>14</v>
      </c>
      <c r="C10" s="81">
        <v>2019</v>
      </c>
      <c r="D10" s="70">
        <v>2.12</v>
      </c>
      <c r="E10" s="70">
        <v>1.42</v>
      </c>
      <c r="F10" s="70">
        <v>1.33</v>
      </c>
      <c r="G10" s="70">
        <v>2.12</v>
      </c>
      <c r="H10" s="70">
        <v>2.12</v>
      </c>
      <c r="I10" s="71" t="s">
        <v>4</v>
      </c>
      <c r="J10" s="70">
        <v>0.87</v>
      </c>
      <c r="K10" s="74">
        <v>1.33</v>
      </c>
    </row>
    <row r="11" spans="2:18">
      <c r="B11" s="69" t="s">
        <v>16</v>
      </c>
      <c r="C11" s="81">
        <v>2019</v>
      </c>
      <c r="D11" s="70">
        <v>3.19</v>
      </c>
      <c r="E11" s="70">
        <v>3.19</v>
      </c>
      <c r="F11" s="70">
        <v>3.19</v>
      </c>
      <c r="G11" s="71" t="s">
        <v>4</v>
      </c>
      <c r="H11" s="70">
        <v>3.19</v>
      </c>
      <c r="I11" s="71" t="s">
        <v>4</v>
      </c>
      <c r="J11" s="70">
        <v>2.16</v>
      </c>
      <c r="K11" s="76">
        <v>2.1</v>
      </c>
    </row>
    <row r="12" spans="2:18">
      <c r="B12" s="69" t="s">
        <v>17</v>
      </c>
      <c r="C12" s="81">
        <v>2019</v>
      </c>
      <c r="D12" s="70">
        <v>2.06</v>
      </c>
      <c r="E12" s="70">
        <v>1.4</v>
      </c>
      <c r="F12" s="70">
        <v>1.33</v>
      </c>
      <c r="G12" s="70">
        <v>2.1</v>
      </c>
      <c r="H12" s="70">
        <v>1.91</v>
      </c>
      <c r="I12" s="71" t="s">
        <v>4</v>
      </c>
      <c r="J12" s="70">
        <v>0.28000000000000003</v>
      </c>
      <c r="K12" s="75" t="s">
        <v>5</v>
      </c>
    </row>
    <row r="13" spans="2:18">
      <c r="B13" s="69" t="s">
        <v>20</v>
      </c>
      <c r="C13" s="81">
        <v>2019</v>
      </c>
      <c r="D13" s="70">
        <v>2.0499999999999998</v>
      </c>
      <c r="E13" s="70">
        <v>1.49</v>
      </c>
      <c r="F13" s="70">
        <v>1.33</v>
      </c>
      <c r="G13" s="70">
        <v>2.4700000000000002</v>
      </c>
      <c r="H13" s="70">
        <v>2.2000000000000002</v>
      </c>
      <c r="I13" s="71" t="s">
        <v>4</v>
      </c>
      <c r="J13" s="70">
        <v>0.32</v>
      </c>
      <c r="K13" s="72" t="s">
        <v>5</v>
      </c>
    </row>
    <row r="14" spans="2:18">
      <c r="B14" s="73" t="s">
        <v>121</v>
      </c>
      <c r="C14" s="81">
        <v>2019</v>
      </c>
      <c r="D14" s="70">
        <v>3.08</v>
      </c>
      <c r="E14" s="70">
        <v>3.08</v>
      </c>
      <c r="F14" s="70">
        <v>3.08</v>
      </c>
      <c r="G14" s="71" t="s">
        <v>4</v>
      </c>
      <c r="H14" s="70">
        <v>1.91</v>
      </c>
      <c r="I14" s="71" t="s">
        <v>4</v>
      </c>
      <c r="J14" s="70">
        <v>1.05</v>
      </c>
      <c r="K14" s="74">
        <v>1.33</v>
      </c>
    </row>
    <row r="15" spans="2:18">
      <c r="B15" s="69" t="s">
        <v>22</v>
      </c>
      <c r="C15" s="81">
        <v>2019</v>
      </c>
      <c r="D15" s="70">
        <v>1.42</v>
      </c>
      <c r="E15" s="70">
        <v>1.42</v>
      </c>
      <c r="F15" s="70">
        <v>1.33</v>
      </c>
      <c r="G15" s="70">
        <v>1.85</v>
      </c>
      <c r="H15" s="70">
        <v>1.33</v>
      </c>
      <c r="I15" s="71" t="s">
        <v>4</v>
      </c>
      <c r="J15" s="70">
        <v>0.23</v>
      </c>
      <c r="K15" s="72" t="s">
        <v>5</v>
      </c>
    </row>
    <row r="16" spans="2:18">
      <c r="B16" s="69" t="s">
        <v>24</v>
      </c>
      <c r="C16" s="81">
        <v>2019</v>
      </c>
      <c r="D16" s="70">
        <v>1.42</v>
      </c>
      <c r="E16" s="70">
        <v>1.42</v>
      </c>
      <c r="F16" s="70">
        <v>1.42</v>
      </c>
      <c r="G16" s="70">
        <v>3.13</v>
      </c>
      <c r="H16" s="70">
        <v>2.08</v>
      </c>
      <c r="I16" s="71" t="s">
        <v>4</v>
      </c>
      <c r="J16" s="70">
        <v>1.33</v>
      </c>
      <c r="K16" s="74">
        <v>1.33</v>
      </c>
    </row>
    <row r="17" spans="2:11">
      <c r="B17" s="69" t="s">
        <v>25</v>
      </c>
      <c r="C17" s="81">
        <v>2019</v>
      </c>
      <c r="D17" s="70">
        <v>2.08</v>
      </c>
      <c r="E17" s="70">
        <v>1.58</v>
      </c>
      <c r="F17" s="70">
        <v>1.58</v>
      </c>
      <c r="G17" s="70">
        <v>2.5</v>
      </c>
      <c r="H17" s="70">
        <v>2.08</v>
      </c>
      <c r="I17" s="71" t="s">
        <v>4</v>
      </c>
      <c r="J17" s="70">
        <v>0.19</v>
      </c>
      <c r="K17" s="74">
        <v>1.33</v>
      </c>
    </row>
    <row r="18" spans="2:11">
      <c r="B18" s="69" t="s">
        <v>27</v>
      </c>
      <c r="C18" s="81">
        <v>2019</v>
      </c>
      <c r="D18" s="70">
        <v>3.75</v>
      </c>
      <c r="E18" s="70">
        <v>1.67</v>
      </c>
      <c r="F18" s="70">
        <v>1.67</v>
      </c>
      <c r="G18" s="70">
        <v>3.02</v>
      </c>
      <c r="H18" s="70">
        <v>3.75</v>
      </c>
      <c r="I18" s="71" t="s">
        <v>4</v>
      </c>
      <c r="J18" s="70">
        <v>0.51</v>
      </c>
      <c r="K18" s="74">
        <v>1.33</v>
      </c>
    </row>
    <row r="19" spans="2:11">
      <c r="B19" s="69" t="s">
        <v>30</v>
      </c>
      <c r="C19" s="81">
        <v>2019</v>
      </c>
      <c r="D19" s="70">
        <v>1.66</v>
      </c>
      <c r="E19" s="70">
        <v>1.49</v>
      </c>
      <c r="F19" s="70">
        <v>1.33</v>
      </c>
      <c r="G19" s="70">
        <v>2.2999999999999998</v>
      </c>
      <c r="H19" s="70">
        <v>1.66</v>
      </c>
      <c r="I19" s="71" t="s">
        <v>4</v>
      </c>
      <c r="J19" s="70">
        <v>0.33</v>
      </c>
      <c r="K19" s="72" t="s">
        <v>5</v>
      </c>
    </row>
    <row r="20" spans="2:11">
      <c r="B20" s="69" t="s">
        <v>31</v>
      </c>
      <c r="C20" s="81">
        <v>2019</v>
      </c>
      <c r="D20" s="70">
        <v>1.95</v>
      </c>
      <c r="E20" s="70">
        <v>1.59</v>
      </c>
      <c r="F20" s="70">
        <v>1.59</v>
      </c>
      <c r="G20" s="70">
        <v>2.13</v>
      </c>
      <c r="H20" s="70">
        <v>1.95</v>
      </c>
      <c r="I20" s="71" t="s">
        <v>4</v>
      </c>
      <c r="J20" s="70">
        <v>0.24</v>
      </c>
      <c r="K20" s="74">
        <v>1.33</v>
      </c>
    </row>
    <row r="21" spans="2:11">
      <c r="B21" s="69" t="s">
        <v>33</v>
      </c>
      <c r="C21" s="81">
        <v>2019</v>
      </c>
      <c r="D21" s="70">
        <v>2.12</v>
      </c>
      <c r="E21" s="70">
        <v>2.12</v>
      </c>
      <c r="F21" s="70">
        <v>2.12</v>
      </c>
      <c r="G21" s="70">
        <v>2.5</v>
      </c>
      <c r="H21" s="70">
        <v>1.33</v>
      </c>
      <c r="I21" s="71" t="s">
        <v>4</v>
      </c>
      <c r="J21" s="70">
        <v>0.19</v>
      </c>
      <c r="K21" s="74">
        <v>1.33</v>
      </c>
    </row>
    <row r="22" spans="2:11">
      <c r="B22" s="69" t="s">
        <v>34</v>
      </c>
      <c r="C22" s="81">
        <v>2019</v>
      </c>
      <c r="D22" s="70">
        <v>1.91</v>
      </c>
      <c r="E22" s="70">
        <v>1.57</v>
      </c>
      <c r="F22" s="70">
        <v>1.57</v>
      </c>
      <c r="G22" s="70">
        <v>2.08</v>
      </c>
      <c r="H22" s="70">
        <v>2.09</v>
      </c>
      <c r="I22" s="71" t="s">
        <v>4</v>
      </c>
      <c r="J22" s="70">
        <v>1</v>
      </c>
      <c r="K22" s="75" t="s">
        <v>75</v>
      </c>
    </row>
    <row r="23" spans="2:11">
      <c r="B23" s="69" t="s">
        <v>35</v>
      </c>
      <c r="C23" s="81">
        <v>2019</v>
      </c>
      <c r="D23" s="70">
        <v>3.17</v>
      </c>
      <c r="E23" s="70">
        <v>3.17</v>
      </c>
      <c r="F23" s="70">
        <v>3.17</v>
      </c>
      <c r="G23" s="71" t="s">
        <v>4</v>
      </c>
      <c r="H23" s="70">
        <v>2.59</v>
      </c>
      <c r="I23" s="71" t="s">
        <v>4</v>
      </c>
      <c r="J23" s="70">
        <v>1.23</v>
      </c>
      <c r="K23" s="74">
        <v>1.33</v>
      </c>
    </row>
    <row r="24" spans="2:11">
      <c r="B24" s="69" t="s">
        <v>36</v>
      </c>
      <c r="C24" s="81">
        <v>2019</v>
      </c>
      <c r="D24" s="70">
        <v>2</v>
      </c>
      <c r="E24" s="70">
        <v>1.5</v>
      </c>
      <c r="F24" s="70">
        <v>1.5</v>
      </c>
      <c r="G24" s="70">
        <v>3</v>
      </c>
      <c r="H24" s="70">
        <v>2</v>
      </c>
      <c r="I24" s="71" t="s">
        <v>4</v>
      </c>
      <c r="J24" s="70">
        <v>1.33</v>
      </c>
      <c r="K24" s="76">
        <v>1.33</v>
      </c>
    </row>
    <row r="25" spans="2:11">
      <c r="B25" s="69" t="s">
        <v>37</v>
      </c>
      <c r="C25" s="81">
        <v>2019</v>
      </c>
      <c r="D25" s="70">
        <v>2.12</v>
      </c>
      <c r="E25" s="70">
        <v>2.12</v>
      </c>
      <c r="F25" s="70">
        <v>2.12</v>
      </c>
      <c r="G25" s="71" t="s">
        <v>4</v>
      </c>
      <c r="H25" s="70">
        <v>1.95</v>
      </c>
      <c r="I25" s="71" t="s">
        <v>4</v>
      </c>
      <c r="J25" s="70">
        <v>0.54</v>
      </c>
      <c r="K25" s="74">
        <v>1.33</v>
      </c>
    </row>
    <row r="26" spans="2:11">
      <c r="B26" s="69" t="s">
        <v>38</v>
      </c>
      <c r="C26" s="81">
        <v>2019</v>
      </c>
      <c r="D26" s="76">
        <v>2.83</v>
      </c>
      <c r="E26" s="70">
        <v>2.75</v>
      </c>
      <c r="F26" s="70">
        <v>2.75</v>
      </c>
      <c r="G26" s="71" t="s">
        <v>4</v>
      </c>
      <c r="H26" s="70">
        <v>2.78</v>
      </c>
      <c r="I26" s="71" t="s">
        <v>4</v>
      </c>
      <c r="J26" s="70">
        <v>1.33</v>
      </c>
      <c r="K26" s="76">
        <v>2</v>
      </c>
    </row>
    <row r="27" spans="2:11">
      <c r="B27" s="69" t="s">
        <v>39</v>
      </c>
      <c r="C27" s="81">
        <v>2019</v>
      </c>
      <c r="D27" s="70">
        <v>1.94</v>
      </c>
      <c r="E27" s="70">
        <v>1.43</v>
      </c>
      <c r="F27" s="70">
        <v>1.33</v>
      </c>
      <c r="G27" s="70">
        <v>2.09</v>
      </c>
      <c r="H27" s="70">
        <v>1.94</v>
      </c>
      <c r="I27" s="71" t="s">
        <v>4</v>
      </c>
      <c r="J27" s="70">
        <v>0.23</v>
      </c>
      <c r="K27" s="72" t="s">
        <v>5</v>
      </c>
    </row>
    <row r="28" spans="2:11">
      <c r="B28" s="69" t="s">
        <v>40</v>
      </c>
      <c r="C28" s="81">
        <v>2019</v>
      </c>
      <c r="D28" s="70">
        <v>1.96</v>
      </c>
      <c r="E28" s="70">
        <v>1.5</v>
      </c>
      <c r="F28" s="70">
        <v>1.5</v>
      </c>
      <c r="G28" s="70">
        <v>3</v>
      </c>
      <c r="H28" s="70">
        <v>1.96</v>
      </c>
      <c r="I28" s="70">
        <v>3</v>
      </c>
      <c r="J28" s="76">
        <v>0.17</v>
      </c>
      <c r="K28" s="75" t="s">
        <v>5</v>
      </c>
    </row>
    <row r="29" spans="2:11">
      <c r="B29" s="69" t="s">
        <v>41</v>
      </c>
      <c r="C29" s="81">
        <v>2019</v>
      </c>
      <c r="D29" s="70">
        <v>1.43</v>
      </c>
      <c r="E29" s="70">
        <v>1.43</v>
      </c>
      <c r="F29" s="70">
        <v>1.43</v>
      </c>
      <c r="G29" s="70">
        <v>2.61</v>
      </c>
      <c r="H29" s="70">
        <v>1.57</v>
      </c>
      <c r="I29" s="71" t="s">
        <v>4</v>
      </c>
      <c r="J29" s="70">
        <v>0.24</v>
      </c>
      <c r="K29" s="74">
        <v>1.33</v>
      </c>
    </row>
    <row r="30" spans="2:11">
      <c r="B30" s="69" t="s">
        <v>42</v>
      </c>
      <c r="C30" s="81">
        <v>2019</v>
      </c>
      <c r="D30" s="70">
        <v>2.13</v>
      </c>
      <c r="E30" s="70">
        <v>2.13</v>
      </c>
      <c r="F30" s="70">
        <v>2.13</v>
      </c>
      <c r="G30" s="71" t="s">
        <v>4</v>
      </c>
      <c r="H30" s="70">
        <v>1.94</v>
      </c>
      <c r="I30" s="71" t="s">
        <v>4</v>
      </c>
      <c r="J30" s="70">
        <v>0.57999999999999996</v>
      </c>
      <c r="K30" s="72" t="s">
        <v>5</v>
      </c>
    </row>
    <row r="31" spans="2:11">
      <c r="B31" s="69" t="s">
        <v>43</v>
      </c>
      <c r="C31" s="81">
        <v>2019</v>
      </c>
      <c r="D31" s="70">
        <v>1.6</v>
      </c>
      <c r="E31" s="70">
        <v>1.6</v>
      </c>
      <c r="F31" s="70">
        <v>1.33</v>
      </c>
      <c r="G31" s="70">
        <v>2</v>
      </c>
      <c r="H31" s="70">
        <v>1.6</v>
      </c>
      <c r="I31" s="71" t="s">
        <v>4</v>
      </c>
      <c r="J31" s="70">
        <v>0.31</v>
      </c>
      <c r="K31" s="74">
        <v>1.33</v>
      </c>
    </row>
    <row r="32" spans="2:11">
      <c r="B32" s="69" t="s">
        <v>45</v>
      </c>
      <c r="C32" s="81">
        <v>2019</v>
      </c>
      <c r="D32" s="70">
        <v>3.18</v>
      </c>
      <c r="E32" s="70">
        <v>3.18</v>
      </c>
      <c r="F32" s="70">
        <v>3.18</v>
      </c>
      <c r="G32" s="71" t="s">
        <v>4</v>
      </c>
      <c r="H32" s="70">
        <v>1.96</v>
      </c>
      <c r="I32" s="71" t="s">
        <v>4</v>
      </c>
      <c r="J32" s="70">
        <v>0.64</v>
      </c>
      <c r="K32" s="74">
        <v>1.33</v>
      </c>
    </row>
    <row r="33" spans="2:11">
      <c r="B33" s="69" t="s">
        <v>47</v>
      </c>
      <c r="C33" s="81">
        <v>2019</v>
      </c>
      <c r="D33" s="70">
        <v>1.94</v>
      </c>
      <c r="E33" s="70">
        <v>1.42</v>
      </c>
      <c r="F33" s="70">
        <v>1.42</v>
      </c>
      <c r="G33" s="70">
        <v>3.5</v>
      </c>
      <c r="H33" s="70">
        <v>1.94</v>
      </c>
      <c r="I33" s="70">
        <v>2</v>
      </c>
      <c r="J33" s="70">
        <v>0.3</v>
      </c>
      <c r="K33" s="74">
        <v>1.33</v>
      </c>
    </row>
    <row r="34" spans="2:11">
      <c r="B34" s="69" t="s">
        <v>49</v>
      </c>
      <c r="C34" s="81">
        <v>2019</v>
      </c>
      <c r="D34" s="70">
        <v>3</v>
      </c>
      <c r="E34" s="70">
        <v>3</v>
      </c>
      <c r="F34" s="70">
        <v>2.4</v>
      </c>
      <c r="G34" s="71" t="s">
        <v>4</v>
      </c>
      <c r="H34" s="70">
        <v>2.5</v>
      </c>
      <c r="I34" s="71" t="s">
        <v>4</v>
      </c>
      <c r="J34" s="70">
        <v>0.43</v>
      </c>
      <c r="K34" s="74">
        <v>1.33</v>
      </c>
    </row>
    <row r="35" spans="2:11">
      <c r="B35" s="69" t="s">
        <v>51</v>
      </c>
      <c r="C35" s="81">
        <v>2019</v>
      </c>
      <c r="D35" s="70">
        <v>2.1800000000000002</v>
      </c>
      <c r="E35" s="70">
        <v>1.49</v>
      </c>
      <c r="F35" s="70">
        <v>1.49</v>
      </c>
      <c r="G35" s="70">
        <v>4</v>
      </c>
      <c r="H35" s="70">
        <v>2.1800000000000002</v>
      </c>
      <c r="I35" s="71" t="s">
        <v>4</v>
      </c>
      <c r="J35" s="70">
        <v>1.33</v>
      </c>
      <c r="K35" s="76">
        <v>2</v>
      </c>
    </row>
    <row r="36" spans="2:11">
      <c r="B36" s="69" t="s">
        <v>52</v>
      </c>
      <c r="C36" s="81">
        <v>2019</v>
      </c>
      <c r="D36" s="70">
        <v>2.1</v>
      </c>
      <c r="E36" s="70">
        <v>2.1</v>
      </c>
      <c r="F36" s="70">
        <v>1.33</v>
      </c>
      <c r="G36" s="70">
        <v>2.11</v>
      </c>
      <c r="H36" s="70">
        <v>1.96</v>
      </c>
      <c r="I36" s="71" t="s">
        <v>4</v>
      </c>
      <c r="J36" s="70">
        <v>0.42</v>
      </c>
      <c r="K36" s="75" t="s">
        <v>5</v>
      </c>
    </row>
    <row r="37" spans="2:11">
      <c r="B37" s="69" t="s">
        <v>55</v>
      </c>
      <c r="C37" s="81">
        <v>2019</v>
      </c>
      <c r="D37" s="70">
        <v>1.47</v>
      </c>
      <c r="E37" s="70">
        <v>1.47</v>
      </c>
      <c r="F37" s="70">
        <v>1.33</v>
      </c>
      <c r="G37" s="70">
        <v>1.7</v>
      </c>
      <c r="H37" s="70">
        <v>1.47</v>
      </c>
      <c r="I37" s="71" t="s">
        <v>4</v>
      </c>
      <c r="J37" s="70">
        <v>0.5</v>
      </c>
      <c r="K37" s="74">
        <v>1.33</v>
      </c>
    </row>
    <row r="38" spans="2:11">
      <c r="B38" s="69" t="s">
        <v>57</v>
      </c>
      <c r="C38" s="81">
        <v>2019</v>
      </c>
      <c r="D38" s="70">
        <v>2.06</v>
      </c>
      <c r="E38" s="70">
        <v>2.06</v>
      </c>
      <c r="F38" s="70">
        <v>2.06</v>
      </c>
      <c r="G38" s="71" t="s">
        <v>4</v>
      </c>
      <c r="H38" s="70">
        <v>2</v>
      </c>
      <c r="I38" s="71" t="s">
        <v>4</v>
      </c>
      <c r="J38" s="70">
        <v>0.9</v>
      </c>
      <c r="K38" s="74">
        <v>1.33</v>
      </c>
    </row>
    <row r="39" spans="2:11">
      <c r="B39" s="69" t="s">
        <v>58</v>
      </c>
      <c r="C39" s="81">
        <v>2019</v>
      </c>
      <c r="D39" s="70">
        <v>2.0499999999999998</v>
      </c>
      <c r="E39" s="70">
        <v>2.0499999999999998</v>
      </c>
      <c r="F39" s="70">
        <v>2.0499999999999998</v>
      </c>
      <c r="G39" s="71" t="s">
        <v>4</v>
      </c>
      <c r="H39" s="70">
        <v>1.33</v>
      </c>
      <c r="I39" s="71" t="s">
        <v>4</v>
      </c>
      <c r="J39" s="76">
        <v>0.39</v>
      </c>
      <c r="K39" s="75" t="s">
        <v>5</v>
      </c>
    </row>
    <row r="40" spans="2:11">
      <c r="B40" s="69" t="s">
        <v>59</v>
      </c>
      <c r="C40" s="81">
        <v>2019</v>
      </c>
      <c r="D40" s="70">
        <v>1.85</v>
      </c>
      <c r="E40" s="70">
        <v>1.33</v>
      </c>
      <c r="F40" s="70">
        <v>1.33</v>
      </c>
      <c r="G40" s="70">
        <v>3</v>
      </c>
      <c r="H40" s="70">
        <v>1.85</v>
      </c>
      <c r="I40" s="71" t="s">
        <v>4</v>
      </c>
      <c r="J40" s="70">
        <v>0.38</v>
      </c>
      <c r="K40" s="74">
        <v>1.33</v>
      </c>
    </row>
    <row r="41" spans="2:11">
      <c r="B41" s="69" t="s">
        <v>61</v>
      </c>
      <c r="C41" s="81">
        <v>2019</v>
      </c>
      <c r="D41" s="70">
        <v>2.15</v>
      </c>
      <c r="E41" s="70">
        <v>1.57</v>
      </c>
      <c r="F41" s="70">
        <v>1.33</v>
      </c>
      <c r="G41" s="70">
        <v>3.14</v>
      </c>
      <c r="H41" s="70">
        <v>2.15</v>
      </c>
      <c r="I41" s="71" t="s">
        <v>4</v>
      </c>
      <c r="J41" s="70">
        <v>0.33</v>
      </c>
      <c r="K41" s="74">
        <v>1.33</v>
      </c>
    </row>
    <row r="42" spans="2:11">
      <c r="B42" s="69" t="s">
        <v>62</v>
      </c>
      <c r="C42" s="81">
        <v>2019</v>
      </c>
      <c r="D42" s="70">
        <v>2.61</v>
      </c>
      <c r="E42" s="70">
        <v>2.61</v>
      </c>
      <c r="F42" s="70">
        <v>2.61</v>
      </c>
      <c r="G42" s="71" t="s">
        <v>4</v>
      </c>
      <c r="H42" s="70">
        <v>1.9</v>
      </c>
      <c r="I42" s="70">
        <v>2.5299999999999998</v>
      </c>
      <c r="J42" s="70">
        <v>1.1599999999999999</v>
      </c>
      <c r="K42" s="74">
        <v>1.33</v>
      </c>
    </row>
    <row r="43" spans="2:11" ht="13.5" customHeight="1">
      <c r="B43" s="69" t="s">
        <v>63</v>
      </c>
      <c r="C43" s="81">
        <v>2019</v>
      </c>
      <c r="D43" s="70">
        <v>2.08</v>
      </c>
      <c r="E43" s="70">
        <v>2.08</v>
      </c>
      <c r="F43" s="70">
        <v>2.08</v>
      </c>
      <c r="G43" s="71" t="s">
        <v>4</v>
      </c>
      <c r="H43" s="70">
        <v>1.94</v>
      </c>
      <c r="I43" s="71" t="s">
        <v>4</v>
      </c>
      <c r="J43" s="70">
        <v>0.62</v>
      </c>
      <c r="K43" s="72" t="s">
        <v>5</v>
      </c>
    </row>
    <row r="44" spans="2:11">
      <c r="B44" s="69" t="s">
        <v>64</v>
      </c>
      <c r="C44" s="81">
        <v>2019</v>
      </c>
      <c r="D44" s="70">
        <v>1.82</v>
      </c>
      <c r="E44" s="70">
        <v>1.82</v>
      </c>
      <c r="F44" s="70">
        <v>1.82</v>
      </c>
      <c r="G44" s="70">
        <v>2.04</v>
      </c>
      <c r="H44" s="70">
        <v>1.33</v>
      </c>
      <c r="I44" s="71" t="s">
        <v>4</v>
      </c>
      <c r="J44" s="70">
        <v>0.54</v>
      </c>
      <c r="K44" s="72" t="s">
        <v>5</v>
      </c>
    </row>
    <row r="45" spans="2:11">
      <c r="B45" s="69" t="s">
        <v>66</v>
      </c>
      <c r="C45" s="81">
        <v>2019</v>
      </c>
      <c r="D45" s="70">
        <v>1.95</v>
      </c>
      <c r="E45" s="70">
        <v>1.42</v>
      </c>
      <c r="F45" s="70">
        <v>1.33</v>
      </c>
      <c r="G45" s="70">
        <v>2.5</v>
      </c>
      <c r="H45" s="70">
        <v>1.95</v>
      </c>
      <c r="I45" s="71" t="s">
        <v>4</v>
      </c>
      <c r="J45" s="70">
        <v>0.98</v>
      </c>
      <c r="K45" s="72" t="s">
        <v>5</v>
      </c>
    </row>
    <row r="46" spans="2:11">
      <c r="B46" s="69" t="s">
        <v>68</v>
      </c>
      <c r="C46" s="81">
        <v>2019</v>
      </c>
      <c r="D46" s="70">
        <v>1.98</v>
      </c>
      <c r="E46" s="70">
        <v>1.44</v>
      </c>
      <c r="F46" s="70">
        <v>1.33</v>
      </c>
      <c r="G46" s="70">
        <v>2.0099999999999998</v>
      </c>
      <c r="H46" s="70">
        <v>1.98</v>
      </c>
      <c r="I46" s="71" t="s">
        <v>4</v>
      </c>
      <c r="J46" s="70">
        <v>0.15</v>
      </c>
      <c r="K46" s="72" t="s">
        <v>5</v>
      </c>
    </row>
    <row r="47" spans="2:11">
      <c r="B47" s="69" t="s">
        <v>70</v>
      </c>
      <c r="C47" s="81">
        <v>2019</v>
      </c>
      <c r="D47" s="70">
        <v>1.39</v>
      </c>
      <c r="E47" s="70">
        <v>1.39</v>
      </c>
      <c r="F47" s="70">
        <v>1.33</v>
      </c>
      <c r="G47" s="70">
        <v>2</v>
      </c>
      <c r="H47" s="70">
        <v>1.39</v>
      </c>
      <c r="I47" s="71" t="s">
        <v>4</v>
      </c>
      <c r="J47" s="76">
        <v>0.42</v>
      </c>
      <c r="K47" s="76">
        <v>0.95</v>
      </c>
    </row>
    <row r="48" spans="2:11">
      <c r="B48" s="69" t="s">
        <v>71</v>
      </c>
      <c r="C48" s="81">
        <v>2019</v>
      </c>
      <c r="D48" s="70">
        <v>3.12</v>
      </c>
      <c r="E48" s="70">
        <v>3.12</v>
      </c>
      <c r="F48" s="70">
        <v>3.12</v>
      </c>
      <c r="G48" s="71" t="s">
        <v>4</v>
      </c>
      <c r="H48" s="70">
        <v>2.08</v>
      </c>
      <c r="I48" s="71" t="s">
        <v>4</v>
      </c>
      <c r="J48" s="70">
        <v>0.52</v>
      </c>
      <c r="K48" s="74">
        <v>1.33</v>
      </c>
    </row>
    <row r="49" spans="2:11">
      <c r="B49" s="69" t="s">
        <v>73</v>
      </c>
      <c r="C49" s="81">
        <v>2019</v>
      </c>
      <c r="D49" s="70">
        <v>1.43</v>
      </c>
      <c r="E49" s="70">
        <v>1.43</v>
      </c>
      <c r="F49" s="70">
        <v>1.43</v>
      </c>
      <c r="G49" s="70">
        <v>2</v>
      </c>
      <c r="H49" s="70">
        <v>1.43</v>
      </c>
      <c r="I49" s="70">
        <v>2</v>
      </c>
      <c r="J49" s="70">
        <v>0.47</v>
      </c>
      <c r="K49" s="72" t="s">
        <v>75</v>
      </c>
    </row>
    <row r="50" spans="2:11">
      <c r="B50" s="69" t="s">
        <v>76</v>
      </c>
      <c r="C50" s="81">
        <v>2019</v>
      </c>
      <c r="D50" s="70">
        <v>2.1</v>
      </c>
      <c r="E50" s="70">
        <v>2.1</v>
      </c>
      <c r="F50" s="70">
        <v>2.1</v>
      </c>
      <c r="G50" s="70">
        <v>3.12</v>
      </c>
      <c r="H50" s="70">
        <v>1.93</v>
      </c>
      <c r="I50" s="71" t="s">
        <v>4</v>
      </c>
      <c r="J50" s="70">
        <v>0.4</v>
      </c>
      <c r="K50" s="74">
        <v>1.33</v>
      </c>
    </row>
    <row r="51" spans="2:11">
      <c r="B51" s="69" t="s">
        <v>78</v>
      </c>
      <c r="C51" s="81">
        <v>2019</v>
      </c>
      <c r="D51" s="70">
        <v>1.58</v>
      </c>
      <c r="E51" s="70">
        <v>1.41</v>
      </c>
      <c r="F51" s="70">
        <v>1.33</v>
      </c>
      <c r="G51" s="70">
        <v>3</v>
      </c>
      <c r="H51" s="70">
        <v>1.58</v>
      </c>
      <c r="I51" s="71" t="s">
        <v>4</v>
      </c>
      <c r="J51" s="70">
        <v>0.18</v>
      </c>
      <c r="K51" s="74">
        <v>1.33</v>
      </c>
    </row>
    <row r="52" spans="2:11">
      <c r="B52" s="69" t="s">
        <v>80</v>
      </c>
      <c r="C52" s="81">
        <v>2019</v>
      </c>
      <c r="D52" s="70">
        <v>3.01</v>
      </c>
      <c r="E52" s="70">
        <v>1.86</v>
      </c>
      <c r="F52" s="70">
        <v>1.51</v>
      </c>
      <c r="G52" s="70">
        <v>3.01</v>
      </c>
      <c r="H52" s="70">
        <v>3.01</v>
      </c>
      <c r="I52" s="71" t="s">
        <v>4</v>
      </c>
      <c r="J52" s="76">
        <v>0.95</v>
      </c>
      <c r="K52" s="75" t="s">
        <v>5</v>
      </c>
    </row>
    <row r="53" spans="2:11" ht="15" thickBot="1">
      <c r="B53" s="77" t="s">
        <v>82</v>
      </c>
      <c r="C53" s="81">
        <v>2019</v>
      </c>
      <c r="D53" s="78">
        <v>1.54</v>
      </c>
      <c r="E53" s="78">
        <v>1.54</v>
      </c>
      <c r="F53" s="78">
        <v>1.33</v>
      </c>
      <c r="G53" s="78">
        <v>2</v>
      </c>
      <c r="H53" s="78">
        <v>1.54</v>
      </c>
      <c r="I53" s="79" t="s">
        <v>4</v>
      </c>
      <c r="J53" s="78">
        <v>0.52</v>
      </c>
      <c r="K53" s="80" t="s">
        <v>5</v>
      </c>
    </row>
    <row r="55" spans="2:11" ht="16.5">
      <c r="B55" s="67" t="s">
        <v>89</v>
      </c>
      <c r="C55" s="67"/>
    </row>
    <row r="56" spans="2:11" ht="16.5">
      <c r="B56" s="67" t="s">
        <v>90</v>
      </c>
      <c r="C56" s="67"/>
    </row>
    <row r="57" spans="2:11" ht="16.5">
      <c r="B57" s="67" t="s">
        <v>91</v>
      </c>
      <c r="C57" s="67"/>
    </row>
    <row r="58" spans="2:11" ht="16.5">
      <c r="B58" s="67" t="s">
        <v>92</v>
      </c>
      <c r="C58" s="67"/>
    </row>
    <row r="59" spans="2:11" ht="16.5">
      <c r="B59" s="67" t="s">
        <v>93</v>
      </c>
      <c r="C59" s="67"/>
    </row>
    <row r="60" spans="2:11" ht="16.5">
      <c r="B60" s="67" t="s">
        <v>94</v>
      </c>
      <c r="C60" s="67"/>
    </row>
    <row r="61" spans="2:11" ht="16.5">
      <c r="B61" s="67" t="s">
        <v>95</v>
      </c>
      <c r="C61" s="67"/>
    </row>
    <row r="62" spans="2:11" ht="16.5">
      <c r="B62" s="67" t="s">
        <v>96</v>
      </c>
      <c r="C62" s="67"/>
    </row>
    <row r="63" spans="2:11" ht="16.5">
      <c r="B63" s="67" t="s">
        <v>97</v>
      </c>
      <c r="C63" s="67"/>
    </row>
    <row r="64" spans="2:11" ht="16.5">
      <c r="B64" s="68" t="s">
        <v>98</v>
      </c>
      <c r="C64" s="68"/>
    </row>
    <row r="65" spans="2:3" ht="16.5">
      <c r="B65" s="68" t="s">
        <v>99</v>
      </c>
      <c r="C65" s="68"/>
    </row>
    <row r="66" spans="2:3" ht="16.5">
      <c r="B66" s="68" t="s">
        <v>100</v>
      </c>
      <c r="C66" s="68"/>
    </row>
    <row r="67" spans="2:3" ht="16.5">
      <c r="B67" s="67" t="s">
        <v>101</v>
      </c>
      <c r="C67" s="67"/>
    </row>
    <row r="68" spans="2:3" ht="16.5">
      <c r="B68" s="67" t="s">
        <v>102</v>
      </c>
      <c r="C68" s="6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4FCDC-815B-4024-B5EF-45019F18DA8D}">
  <dimension ref="B4:T40"/>
  <sheetViews>
    <sheetView topLeftCell="A16" workbookViewId="0">
      <selection activeCell="L28" sqref="L28"/>
    </sheetView>
  </sheetViews>
  <sheetFormatPr defaultRowHeight="14.5"/>
  <cols>
    <col min="4" max="4" width="10.26953125" customWidth="1"/>
    <col min="7" max="7" width="11.54296875" customWidth="1"/>
    <col min="10" max="10" width="21.453125" customWidth="1"/>
    <col min="11" max="19" width="8" customWidth="1"/>
  </cols>
  <sheetData>
    <row r="4" spans="2:20" ht="37.5">
      <c r="B4" s="36" t="s">
        <v>133</v>
      </c>
      <c r="C4" s="37" t="s">
        <v>134</v>
      </c>
      <c r="D4" s="38" t="s">
        <v>135</v>
      </c>
      <c r="E4" s="38" t="s">
        <v>110</v>
      </c>
      <c r="F4" s="37" t="s">
        <v>136</v>
      </c>
      <c r="G4" s="39" t="s">
        <v>137</v>
      </c>
      <c r="H4" s="40" t="s">
        <v>138</v>
      </c>
    </row>
    <row r="5" spans="2:20">
      <c r="B5" s="63" t="s">
        <v>139</v>
      </c>
      <c r="C5" s="63"/>
      <c r="D5" s="63"/>
      <c r="E5" s="63"/>
      <c r="F5" s="63"/>
      <c r="G5" s="63"/>
      <c r="H5" s="63"/>
    </row>
    <row r="6" spans="2:20">
      <c r="B6" s="41">
        <v>2000</v>
      </c>
      <c r="C6" s="42">
        <v>14222</v>
      </c>
      <c r="D6" s="42">
        <v>12237</v>
      </c>
      <c r="E6" s="43">
        <v>1819</v>
      </c>
      <c r="F6" s="42">
        <v>2962</v>
      </c>
      <c r="G6" s="44" t="s">
        <v>140</v>
      </c>
      <c r="H6" s="42">
        <v>5496</v>
      </c>
      <c r="K6" s="41">
        <v>2012</v>
      </c>
      <c r="L6" s="41">
        <v>2013</v>
      </c>
      <c r="M6" s="41">
        <v>2014</v>
      </c>
      <c r="N6" s="41">
        <v>2015</v>
      </c>
      <c r="O6" s="41">
        <v>2016</v>
      </c>
      <c r="P6" s="41">
        <v>2017</v>
      </c>
      <c r="Q6" s="41">
        <v>2018</v>
      </c>
      <c r="R6" s="41">
        <v>2019</v>
      </c>
      <c r="S6" s="41">
        <v>2020</v>
      </c>
      <c r="T6" s="41">
        <v>2021</v>
      </c>
    </row>
    <row r="7" spans="2:20">
      <c r="B7" s="41">
        <v>2001</v>
      </c>
      <c r="C7" s="45">
        <v>15068</v>
      </c>
      <c r="D7" s="45">
        <v>13240</v>
      </c>
      <c r="E7" s="46">
        <v>1925</v>
      </c>
      <c r="F7" s="45">
        <v>2968</v>
      </c>
      <c r="G7" s="44" t="s">
        <v>140</v>
      </c>
      <c r="H7" s="45">
        <v>5718</v>
      </c>
      <c r="J7" s="55" t="s">
        <v>134</v>
      </c>
      <c r="K7" s="58">
        <v>15235</v>
      </c>
      <c r="L7" s="58">
        <v>15220</v>
      </c>
      <c r="M7" s="58">
        <v>14708</v>
      </c>
      <c r="N7" s="58">
        <v>14365</v>
      </c>
      <c r="O7" s="58">
        <v>14700</v>
      </c>
      <c r="P7" s="58">
        <v>14769</v>
      </c>
      <c r="Q7" s="58">
        <v>15595</v>
      </c>
      <c r="R7" s="58">
        <v>15991</v>
      </c>
      <c r="S7" s="58">
        <v>16623</v>
      </c>
      <c r="T7" s="45">
        <v>17252</v>
      </c>
    </row>
    <row r="8" spans="2:20">
      <c r="B8" s="41">
        <v>2002</v>
      </c>
      <c r="C8" s="45">
        <v>15682</v>
      </c>
      <c r="D8" s="45">
        <v>14453</v>
      </c>
      <c r="E8" s="46">
        <v>2076</v>
      </c>
      <c r="F8" s="45">
        <v>3123</v>
      </c>
      <c r="G8" s="44" t="s">
        <v>140</v>
      </c>
      <c r="H8" s="45">
        <v>5969</v>
      </c>
      <c r="J8" s="55" t="s">
        <v>135</v>
      </c>
      <c r="K8" s="58">
        <v>17824</v>
      </c>
      <c r="L8" s="58">
        <v>18614</v>
      </c>
      <c r="M8" s="58">
        <v>18499</v>
      </c>
      <c r="N8" s="58">
        <v>19152</v>
      </c>
      <c r="O8" s="58">
        <v>19754</v>
      </c>
      <c r="P8" s="58">
        <v>20048</v>
      </c>
      <c r="Q8" s="58">
        <v>21209</v>
      </c>
      <c r="R8" s="58">
        <v>21853</v>
      </c>
      <c r="S8" s="58">
        <v>22878</v>
      </c>
      <c r="T8" s="45">
        <v>24016</v>
      </c>
    </row>
    <row r="9" spans="2:20">
      <c r="B9" s="41">
        <v>2003</v>
      </c>
      <c r="C9" s="45">
        <v>14782</v>
      </c>
      <c r="D9" s="45">
        <v>15168</v>
      </c>
      <c r="E9" s="46">
        <v>2124</v>
      </c>
      <c r="F9" s="45">
        <v>3169</v>
      </c>
      <c r="G9" s="44" t="s">
        <v>140</v>
      </c>
      <c r="H9" s="45">
        <v>5960</v>
      </c>
      <c r="J9" s="55" t="s">
        <v>110</v>
      </c>
      <c r="K9" s="58">
        <v>2762</v>
      </c>
      <c r="L9" s="58">
        <v>2924</v>
      </c>
      <c r="M9" s="58">
        <v>3109</v>
      </c>
      <c r="N9" s="58">
        <v>3339</v>
      </c>
      <c r="O9" s="58">
        <v>3555</v>
      </c>
      <c r="P9" s="58">
        <v>3592</v>
      </c>
      <c r="Q9" s="58">
        <v>3822</v>
      </c>
      <c r="R9" s="58">
        <v>3952</v>
      </c>
      <c r="S9" s="58">
        <v>4139</v>
      </c>
      <c r="T9" s="46">
        <v>4338</v>
      </c>
    </row>
    <row r="10" spans="2:20">
      <c r="B10" s="41">
        <v>2004</v>
      </c>
      <c r="C10" s="45">
        <v>15314</v>
      </c>
      <c r="D10" s="45">
        <v>15869</v>
      </c>
      <c r="E10" s="46">
        <v>2125</v>
      </c>
      <c r="F10" s="45">
        <v>3311</v>
      </c>
      <c r="G10" s="44" t="s">
        <v>140</v>
      </c>
      <c r="H10" s="45">
        <v>6124</v>
      </c>
      <c r="J10" s="55" t="s">
        <v>136</v>
      </c>
      <c r="K10" s="58">
        <v>4192</v>
      </c>
      <c r="L10" s="58">
        <v>4385</v>
      </c>
      <c r="M10" s="58">
        <v>4799</v>
      </c>
      <c r="N10" s="58">
        <v>5103</v>
      </c>
      <c r="O10" s="58">
        <v>5159</v>
      </c>
      <c r="P10" s="58">
        <v>5288</v>
      </c>
      <c r="Q10" s="58">
        <v>5645</v>
      </c>
      <c r="R10" s="58">
        <v>5855</v>
      </c>
      <c r="S10" s="58">
        <v>6152</v>
      </c>
      <c r="T10" s="45">
        <v>6467</v>
      </c>
    </row>
    <row r="11" spans="2:20">
      <c r="B11" s="41">
        <v>2005</v>
      </c>
      <c r="C11" s="45">
        <v>15254</v>
      </c>
      <c r="D11" s="45">
        <v>16405</v>
      </c>
      <c r="E11" s="46">
        <v>2247</v>
      </c>
      <c r="F11" s="45">
        <v>3407</v>
      </c>
      <c r="G11" s="44" t="s">
        <v>140</v>
      </c>
      <c r="H11" s="45">
        <v>6308</v>
      </c>
      <c r="J11" s="56" t="s">
        <v>137</v>
      </c>
      <c r="K11" s="60" t="s">
        <v>140</v>
      </c>
      <c r="L11" s="60" t="s">
        <v>140</v>
      </c>
      <c r="M11" s="59">
        <v>5511</v>
      </c>
      <c r="N11" s="61">
        <v>6365</v>
      </c>
      <c r="O11" s="62">
        <v>5965</v>
      </c>
      <c r="P11" s="61">
        <v>5813</v>
      </c>
      <c r="Q11" s="61">
        <v>6036</v>
      </c>
      <c r="R11" s="61">
        <v>6355</v>
      </c>
      <c r="S11" s="61">
        <v>6682</v>
      </c>
      <c r="T11" s="48">
        <v>7019</v>
      </c>
    </row>
    <row r="12" spans="2:20">
      <c r="B12" s="41">
        <v>2006</v>
      </c>
      <c r="C12" s="45">
        <v>15023</v>
      </c>
      <c r="D12" s="45">
        <v>15743</v>
      </c>
      <c r="E12" s="46">
        <v>2348</v>
      </c>
      <c r="F12" s="45">
        <v>3503</v>
      </c>
      <c r="G12" s="44" t="s">
        <v>140</v>
      </c>
      <c r="H12" s="45">
        <v>6255</v>
      </c>
      <c r="J12" s="56" t="s">
        <v>138</v>
      </c>
      <c r="K12" s="58">
        <v>6874</v>
      </c>
      <c r="L12" s="58">
        <v>7188</v>
      </c>
      <c r="M12" s="58">
        <v>7202</v>
      </c>
      <c r="N12" s="58">
        <v>7451</v>
      </c>
      <c r="O12" s="58">
        <v>7590</v>
      </c>
      <c r="P12" s="58">
        <v>7648</v>
      </c>
      <c r="Q12" s="58">
        <v>8093</v>
      </c>
      <c r="R12" s="58">
        <v>8371</v>
      </c>
      <c r="S12" s="58">
        <v>8770</v>
      </c>
      <c r="T12" s="45">
        <v>9198</v>
      </c>
    </row>
    <row r="13" spans="2:20">
      <c r="B13" s="41">
        <v>2007</v>
      </c>
      <c r="C13" s="45">
        <v>15124</v>
      </c>
      <c r="D13" s="45">
        <v>16589</v>
      </c>
      <c r="E13" s="46">
        <v>2591</v>
      </c>
      <c r="F13" s="45">
        <v>3894</v>
      </c>
      <c r="G13" s="44" t="s">
        <v>140</v>
      </c>
      <c r="H13" s="45">
        <v>6700</v>
      </c>
    </row>
    <row r="14" spans="2:20">
      <c r="B14" s="41">
        <v>2008</v>
      </c>
      <c r="C14" s="45">
        <v>15631</v>
      </c>
      <c r="D14" s="45">
        <v>17013</v>
      </c>
      <c r="E14" s="46">
        <v>2640</v>
      </c>
      <c r="F14" s="45">
        <v>3987</v>
      </c>
      <c r="G14" s="44" t="s">
        <v>140</v>
      </c>
      <c r="H14" s="45">
        <v>6863</v>
      </c>
    </row>
    <row r="15" spans="2:20">
      <c r="B15" s="41">
        <v>2009</v>
      </c>
      <c r="C15" s="45">
        <v>15738</v>
      </c>
      <c r="D15" s="45">
        <v>17744</v>
      </c>
      <c r="E15" s="46">
        <v>2723</v>
      </c>
      <c r="F15" s="45">
        <v>4162</v>
      </c>
      <c r="G15" s="44" t="s">
        <v>140</v>
      </c>
      <c r="H15" s="45">
        <v>6982</v>
      </c>
      <c r="K15" t="s">
        <v>148</v>
      </c>
    </row>
    <row r="16" spans="2:20">
      <c r="B16" s="41">
        <v>2010</v>
      </c>
      <c r="C16" s="45">
        <v>15577</v>
      </c>
      <c r="D16" s="45">
        <v>18172</v>
      </c>
      <c r="E16" s="46">
        <v>2731</v>
      </c>
      <c r="F16" s="45">
        <v>4225</v>
      </c>
      <c r="G16" s="44" t="s">
        <v>140</v>
      </c>
      <c r="H16" s="45">
        <v>6926</v>
      </c>
    </row>
    <row r="17" spans="2:8">
      <c r="B17" s="41">
        <v>2011</v>
      </c>
      <c r="C17" s="45">
        <v>15757</v>
      </c>
      <c r="D17" s="45">
        <v>18295</v>
      </c>
      <c r="E17" s="46">
        <v>2865</v>
      </c>
      <c r="F17" s="45">
        <v>4517</v>
      </c>
      <c r="G17" s="44" t="s">
        <v>140</v>
      </c>
      <c r="H17" s="45">
        <v>7124</v>
      </c>
    </row>
    <row r="18" spans="2:8">
      <c r="B18" s="41">
        <v>2012</v>
      </c>
      <c r="C18" s="45">
        <v>15235</v>
      </c>
      <c r="D18" s="45">
        <v>17824</v>
      </c>
      <c r="E18" s="46">
        <v>2762</v>
      </c>
      <c r="F18" s="45">
        <v>4192</v>
      </c>
      <c r="G18" s="44" t="s">
        <v>140</v>
      </c>
      <c r="H18" s="45">
        <v>6874</v>
      </c>
    </row>
    <row r="19" spans="2:8" ht="15" customHeight="1">
      <c r="B19" s="57" t="s">
        <v>141</v>
      </c>
      <c r="C19" s="57"/>
      <c r="D19" s="57"/>
      <c r="E19" s="57"/>
      <c r="F19" s="57"/>
      <c r="G19" s="57"/>
      <c r="H19" s="57"/>
    </row>
    <row r="20" spans="2:8">
      <c r="B20" s="41">
        <v>2013</v>
      </c>
      <c r="C20" s="45">
        <v>15220</v>
      </c>
      <c r="D20" s="45">
        <v>18614</v>
      </c>
      <c r="E20" s="46">
        <v>2924</v>
      </c>
      <c r="F20" s="45">
        <v>4385</v>
      </c>
      <c r="G20" s="44" t="s">
        <v>140</v>
      </c>
      <c r="H20" s="45">
        <v>7188</v>
      </c>
    </row>
    <row r="21" spans="2:8">
      <c r="B21" s="41">
        <v>2014</v>
      </c>
      <c r="C21" s="45">
        <v>14708</v>
      </c>
      <c r="D21" s="45">
        <v>18499</v>
      </c>
      <c r="E21" s="46">
        <v>3109</v>
      </c>
      <c r="F21" s="45">
        <v>4799</v>
      </c>
      <c r="G21" s="47">
        <v>5511</v>
      </c>
      <c r="H21" s="45">
        <v>7202</v>
      </c>
    </row>
    <row r="22" spans="2:8">
      <c r="B22" s="41">
        <v>2015</v>
      </c>
      <c r="C22" s="45">
        <v>14365</v>
      </c>
      <c r="D22" s="45">
        <v>19152</v>
      </c>
      <c r="E22" s="46">
        <v>3339</v>
      </c>
      <c r="F22" s="45">
        <v>5103</v>
      </c>
      <c r="G22" s="48">
        <v>6365</v>
      </c>
      <c r="H22" s="45">
        <v>7451</v>
      </c>
    </row>
    <row r="23" spans="2:8" ht="21.5">
      <c r="B23" s="41">
        <v>2016</v>
      </c>
      <c r="C23" s="45">
        <v>14700</v>
      </c>
      <c r="D23" s="45">
        <v>19754</v>
      </c>
      <c r="E23" s="46">
        <v>3555</v>
      </c>
      <c r="F23" s="45">
        <v>5159</v>
      </c>
      <c r="G23" s="49" t="s">
        <v>142</v>
      </c>
      <c r="H23" s="45">
        <v>7590</v>
      </c>
    </row>
    <row r="24" spans="2:8">
      <c r="B24" s="41">
        <v>2017</v>
      </c>
      <c r="C24" s="45">
        <v>14769</v>
      </c>
      <c r="D24" s="45">
        <v>20048</v>
      </c>
      <c r="E24" s="46">
        <v>3592</v>
      </c>
      <c r="F24" s="45">
        <v>5288</v>
      </c>
      <c r="G24" s="48">
        <v>5813</v>
      </c>
      <c r="H24" s="45">
        <v>7648</v>
      </c>
    </row>
    <row r="25" spans="2:8">
      <c r="B25" s="41">
        <v>2018</v>
      </c>
      <c r="C25" s="45">
        <v>15595</v>
      </c>
      <c r="D25" s="45">
        <v>21209</v>
      </c>
      <c r="E25" s="46">
        <v>3822</v>
      </c>
      <c r="F25" s="45">
        <v>5645</v>
      </c>
      <c r="G25" s="48">
        <v>6036</v>
      </c>
      <c r="H25" s="45">
        <v>8093</v>
      </c>
    </row>
    <row r="26" spans="2:8">
      <c r="B26" s="41">
        <v>2019</v>
      </c>
      <c r="C26" s="45">
        <v>15991</v>
      </c>
      <c r="D26" s="45">
        <v>21853</v>
      </c>
      <c r="E26" s="46">
        <v>3952</v>
      </c>
      <c r="F26" s="45">
        <v>5855</v>
      </c>
      <c r="G26" s="48">
        <v>6355</v>
      </c>
      <c r="H26" s="45">
        <v>8371</v>
      </c>
    </row>
    <row r="27" spans="2:8">
      <c r="B27" s="41">
        <v>2020</v>
      </c>
      <c r="C27" s="45">
        <v>16623</v>
      </c>
      <c r="D27" s="45">
        <v>22878</v>
      </c>
      <c r="E27" s="46">
        <v>4139</v>
      </c>
      <c r="F27" s="45">
        <v>6152</v>
      </c>
      <c r="G27" s="48">
        <v>6682</v>
      </c>
      <c r="H27" s="45">
        <v>8770</v>
      </c>
    </row>
    <row r="28" spans="2:8">
      <c r="B28" s="41">
        <v>2021</v>
      </c>
      <c r="C28" s="45">
        <v>17252</v>
      </c>
      <c r="D28" s="45">
        <v>24016</v>
      </c>
      <c r="E28" s="46">
        <v>4338</v>
      </c>
      <c r="F28" s="45">
        <v>6467</v>
      </c>
      <c r="G28" s="48">
        <v>7019</v>
      </c>
      <c r="H28" s="45">
        <v>9198</v>
      </c>
    </row>
    <row r="29" spans="2:8">
      <c r="B29" s="41">
        <v>2022</v>
      </c>
      <c r="C29" s="45">
        <v>17909</v>
      </c>
      <c r="D29" s="45">
        <v>25223</v>
      </c>
      <c r="E29" s="46">
        <v>4550</v>
      </c>
      <c r="F29" s="45">
        <v>6803</v>
      </c>
      <c r="G29" s="48">
        <v>7385</v>
      </c>
      <c r="H29" s="45">
        <v>9658</v>
      </c>
    </row>
    <row r="30" spans="2:8">
      <c r="B30" s="41">
        <v>2023</v>
      </c>
      <c r="C30" s="45">
        <v>18616</v>
      </c>
      <c r="D30" s="45">
        <v>26500</v>
      </c>
      <c r="E30" s="46">
        <v>4772</v>
      </c>
      <c r="F30" s="45">
        <v>7156</v>
      </c>
      <c r="G30" s="48">
        <v>7770</v>
      </c>
      <c r="H30" s="45">
        <v>10146</v>
      </c>
    </row>
    <row r="31" spans="2:8">
      <c r="B31" s="41">
        <v>2024</v>
      </c>
      <c r="C31" s="45">
        <v>19373</v>
      </c>
      <c r="D31" s="45">
        <v>27851</v>
      </c>
      <c r="E31" s="46">
        <v>5003</v>
      </c>
      <c r="F31" s="45">
        <v>7524</v>
      </c>
      <c r="G31" s="48">
        <v>8167</v>
      </c>
      <c r="H31" s="45">
        <v>10662</v>
      </c>
    </row>
    <row r="32" spans="2:8">
      <c r="B32" s="41">
        <v>2025</v>
      </c>
      <c r="C32" s="45">
        <v>20178</v>
      </c>
      <c r="D32" s="45">
        <v>29291</v>
      </c>
      <c r="E32" s="46">
        <v>5248</v>
      </c>
      <c r="F32" s="45">
        <v>7914</v>
      </c>
      <c r="G32" s="48">
        <v>8591</v>
      </c>
      <c r="H32" s="45">
        <v>11212</v>
      </c>
    </row>
    <row r="33" spans="2:8">
      <c r="B33" s="50">
        <v>2026</v>
      </c>
      <c r="C33" s="51">
        <v>21063</v>
      </c>
      <c r="D33" s="51">
        <v>30815</v>
      </c>
      <c r="E33" s="52">
        <v>5502</v>
      </c>
      <c r="F33" s="51">
        <v>8317</v>
      </c>
      <c r="G33" s="53">
        <v>9031</v>
      </c>
      <c r="H33" s="51">
        <v>11793</v>
      </c>
    </row>
    <row r="36" spans="2:8">
      <c r="B36" s="54" t="s">
        <v>143</v>
      </c>
    </row>
    <row r="37" spans="2:8">
      <c r="C37" t="s">
        <v>144</v>
      </c>
    </row>
    <row r="38" spans="2:8">
      <c r="C38" t="s">
        <v>145</v>
      </c>
    </row>
    <row r="39" spans="2:8">
      <c r="C39" t="s">
        <v>146</v>
      </c>
    </row>
    <row r="40" spans="2:8">
      <c r="C40" t="s">
        <v>147</v>
      </c>
    </row>
  </sheetData>
  <mergeCells count="1">
    <mergeCell ref="B5:H5"/>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3D3C1-4267-44B9-BCEA-9C00BB6D5954}">
  <sheetPr codeName="Sheet2"/>
  <dimension ref="B1:AD70"/>
  <sheetViews>
    <sheetView workbookViewId="0">
      <selection activeCell="H20" sqref="H20"/>
    </sheetView>
  </sheetViews>
  <sheetFormatPr defaultRowHeight="14.5"/>
  <cols>
    <col min="2" max="2" width="19.453125" customWidth="1"/>
    <col min="3" max="4" width="10.54296875" customWidth="1"/>
    <col min="5" max="5" width="10.1796875" customWidth="1"/>
    <col min="7" max="7" width="11.54296875" customWidth="1"/>
    <col min="8" max="8" width="12.54296875" customWidth="1"/>
    <col min="9" max="9" width="11.453125" customWidth="1"/>
    <col min="10" max="12" width="13" customWidth="1"/>
    <col min="13" max="13" width="17.81640625" hidden="1" customWidth="1"/>
    <col min="14" max="15" width="0" hidden="1" customWidth="1"/>
    <col min="16" max="16" width="14.81640625" hidden="1" customWidth="1"/>
    <col min="17" max="17" width="20.81640625" hidden="1" customWidth="1"/>
    <col min="18" max="18" width="10.81640625" hidden="1" customWidth="1"/>
    <col min="19" max="19" width="10" hidden="1" customWidth="1"/>
    <col min="20" max="22" width="0" hidden="1" customWidth="1"/>
    <col min="25" max="25" width="18.7265625" customWidth="1"/>
  </cols>
  <sheetData>
    <row r="1" spans="2:30" ht="15" thickBot="1"/>
    <row r="2" spans="2:30" ht="60.5" thickBot="1">
      <c r="B2" s="19" t="s">
        <v>0</v>
      </c>
      <c r="C2" s="25" t="s">
        <v>112</v>
      </c>
      <c r="D2" s="25" t="s">
        <v>113</v>
      </c>
      <c r="E2" s="25" t="s">
        <v>114</v>
      </c>
      <c r="F2" s="25" t="s">
        <v>85</v>
      </c>
      <c r="G2" s="25" t="s">
        <v>1</v>
      </c>
      <c r="H2" s="25" t="s">
        <v>88</v>
      </c>
      <c r="I2" s="25" t="s">
        <v>2</v>
      </c>
      <c r="J2" s="21" t="s">
        <v>119</v>
      </c>
      <c r="K2" s="21" t="s">
        <v>123</v>
      </c>
      <c r="L2" s="21"/>
      <c r="M2" s="1" t="s">
        <v>86</v>
      </c>
      <c r="N2" s="1" t="s">
        <v>87</v>
      </c>
      <c r="P2" t="s">
        <v>0</v>
      </c>
      <c r="Q2" t="s">
        <v>115</v>
      </c>
      <c r="R2">
        <v>2018</v>
      </c>
      <c r="S2">
        <v>2019</v>
      </c>
      <c r="T2" s="20" t="s">
        <v>126</v>
      </c>
      <c r="U2">
        <v>2020</v>
      </c>
      <c r="V2" s="20" t="s">
        <v>127</v>
      </c>
      <c r="X2" t="s">
        <v>0</v>
      </c>
      <c r="Y2" t="s">
        <v>115</v>
      </c>
      <c r="Z2">
        <v>2018</v>
      </c>
      <c r="AA2">
        <v>2019</v>
      </c>
      <c r="AB2" s="20" t="s">
        <v>126</v>
      </c>
      <c r="AC2">
        <v>2020</v>
      </c>
      <c r="AD2" s="20" t="s">
        <v>127</v>
      </c>
    </row>
    <row r="3" spans="2:30">
      <c r="B3" s="3" t="s">
        <v>3</v>
      </c>
      <c r="C3" s="5">
        <v>1.41</v>
      </c>
      <c r="D3" s="5">
        <v>1.41</v>
      </c>
      <c r="E3" s="5">
        <v>1.41</v>
      </c>
      <c r="F3" s="5">
        <v>1.41</v>
      </c>
      <c r="G3" s="5">
        <v>1.41</v>
      </c>
      <c r="H3" s="5">
        <v>0.13</v>
      </c>
      <c r="I3" s="6" t="s">
        <v>5</v>
      </c>
      <c r="J3" t="s">
        <v>5</v>
      </c>
      <c r="K3" t="s">
        <v>5</v>
      </c>
      <c r="M3" s="5">
        <v>3.12</v>
      </c>
      <c r="N3" s="6" t="s">
        <v>4</v>
      </c>
      <c r="P3" t="s">
        <v>128</v>
      </c>
      <c r="Q3" s="18"/>
      <c r="S3" s="24">
        <v>43556</v>
      </c>
      <c r="T3" s="18"/>
      <c r="U3" s="18" t="s">
        <v>129</v>
      </c>
      <c r="X3" t="s">
        <v>128</v>
      </c>
      <c r="Y3" s="18"/>
      <c r="AA3" s="24">
        <v>43556</v>
      </c>
      <c r="AB3" s="18"/>
      <c r="AC3" s="18" t="s">
        <v>129</v>
      </c>
    </row>
    <row r="4" spans="2:30">
      <c r="B4" s="9" t="s">
        <v>122</v>
      </c>
      <c r="C4" s="5">
        <v>2.0299999999999998</v>
      </c>
      <c r="D4" s="5">
        <v>2.0299999999999998</v>
      </c>
      <c r="E4" s="5">
        <v>2.0299999999999998</v>
      </c>
      <c r="F4" s="5">
        <v>2.0299999999999998</v>
      </c>
      <c r="G4" s="5">
        <v>2</v>
      </c>
      <c r="H4" s="22">
        <v>1.35</v>
      </c>
      <c r="I4" s="5">
        <v>1.33</v>
      </c>
      <c r="J4" t="s">
        <v>5</v>
      </c>
      <c r="K4" t="s">
        <v>5</v>
      </c>
      <c r="M4" s="6" t="s">
        <v>4</v>
      </c>
      <c r="N4" s="6" t="s">
        <v>4</v>
      </c>
      <c r="P4" t="s">
        <v>3</v>
      </c>
      <c r="Q4" s="18">
        <v>0</v>
      </c>
      <c r="S4" s="5">
        <v>1.41</v>
      </c>
      <c r="U4" s="23">
        <f>S4</f>
        <v>1.41</v>
      </c>
      <c r="Y4" s="28">
        <v>0</v>
      </c>
    </row>
    <row r="5" spans="2:30">
      <c r="B5" s="3" t="s">
        <v>7</v>
      </c>
      <c r="C5" s="5">
        <v>1.47</v>
      </c>
      <c r="D5" s="5">
        <v>1.41</v>
      </c>
      <c r="E5" s="5">
        <v>1.41</v>
      </c>
      <c r="F5" s="5">
        <v>1.33</v>
      </c>
      <c r="G5" s="5">
        <v>1.56</v>
      </c>
      <c r="H5" s="5">
        <v>1.06</v>
      </c>
      <c r="I5" s="5">
        <v>1.33</v>
      </c>
      <c r="J5" t="s">
        <v>5</v>
      </c>
      <c r="K5" t="s">
        <v>5</v>
      </c>
      <c r="M5" s="5">
        <v>2</v>
      </c>
      <c r="N5" s="6" t="s">
        <v>4</v>
      </c>
      <c r="P5" t="s">
        <v>3</v>
      </c>
      <c r="Q5" s="18">
        <v>1</v>
      </c>
      <c r="S5" s="5">
        <v>1.41</v>
      </c>
      <c r="U5" s="23">
        <f t="shared" ref="U5:U66" si="0">S5</f>
        <v>1.41</v>
      </c>
      <c r="Y5" s="29">
        <v>1</v>
      </c>
    </row>
    <row r="6" spans="2:30">
      <c r="B6" s="3" t="s">
        <v>8</v>
      </c>
      <c r="C6" s="5">
        <v>1.42</v>
      </c>
      <c r="D6" s="5">
        <v>1.42</v>
      </c>
      <c r="E6" s="5">
        <v>1.42</v>
      </c>
      <c r="F6" s="5">
        <v>1.42</v>
      </c>
      <c r="G6" s="5">
        <v>2.09</v>
      </c>
      <c r="H6" s="22">
        <v>0.17</v>
      </c>
      <c r="I6" s="5">
        <v>1.33</v>
      </c>
      <c r="J6" t="s">
        <v>5</v>
      </c>
      <c r="K6" t="s">
        <v>5</v>
      </c>
      <c r="M6" s="5">
        <v>2.11</v>
      </c>
      <c r="N6" s="6" t="s">
        <v>4</v>
      </c>
      <c r="P6" t="s">
        <v>3</v>
      </c>
      <c r="Q6" s="18" t="s">
        <v>108</v>
      </c>
      <c r="S6" s="5">
        <v>1.41</v>
      </c>
      <c r="U6" s="23">
        <f t="shared" si="0"/>
        <v>1.41</v>
      </c>
      <c r="Y6" s="28" t="s">
        <v>108</v>
      </c>
    </row>
    <row r="7" spans="2:30">
      <c r="B7" s="3" t="s">
        <v>10</v>
      </c>
      <c r="C7" s="5">
        <v>2.61</v>
      </c>
      <c r="D7" s="5">
        <v>2.61</v>
      </c>
      <c r="E7" s="5">
        <v>2.61</v>
      </c>
      <c r="F7" s="5">
        <v>2.61</v>
      </c>
      <c r="G7" s="5">
        <v>2.08</v>
      </c>
      <c r="H7" s="5">
        <v>1.0900000000000001</v>
      </c>
      <c r="I7" s="5">
        <v>1.33</v>
      </c>
      <c r="J7" t="s">
        <v>5</v>
      </c>
      <c r="K7" t="s">
        <v>5</v>
      </c>
      <c r="M7" s="9" t="s">
        <v>11</v>
      </c>
      <c r="N7" s="6" t="s">
        <v>4</v>
      </c>
      <c r="P7" t="s">
        <v>3</v>
      </c>
      <c r="Q7" s="18" t="s">
        <v>109</v>
      </c>
      <c r="S7" s="5">
        <v>1.41</v>
      </c>
      <c r="U7" s="23">
        <f t="shared" si="0"/>
        <v>1.41</v>
      </c>
      <c r="Y7" s="29" t="s">
        <v>109</v>
      </c>
    </row>
    <row r="8" spans="2:30">
      <c r="B8" s="3" t="s">
        <v>12</v>
      </c>
      <c r="C8" s="5">
        <v>1.42</v>
      </c>
      <c r="D8" s="5">
        <v>1.42</v>
      </c>
      <c r="E8" s="5">
        <v>1.42</v>
      </c>
      <c r="F8" s="5">
        <v>1.42</v>
      </c>
      <c r="G8" s="5">
        <v>1.95</v>
      </c>
      <c r="H8" s="5">
        <v>0.68</v>
      </c>
      <c r="I8" s="5">
        <v>1.33</v>
      </c>
      <c r="J8" t="s">
        <v>5</v>
      </c>
      <c r="K8" t="s">
        <v>5</v>
      </c>
      <c r="M8" s="5">
        <v>2.6</v>
      </c>
      <c r="N8" s="5">
        <v>2.6</v>
      </c>
      <c r="P8" t="s">
        <v>3</v>
      </c>
      <c r="Q8" s="18" t="s">
        <v>117</v>
      </c>
      <c r="S8" s="5">
        <v>1.41</v>
      </c>
      <c r="U8" s="23">
        <f t="shared" si="0"/>
        <v>1.41</v>
      </c>
      <c r="Y8" s="28" t="s">
        <v>117</v>
      </c>
    </row>
    <row r="9" spans="2:30">
      <c r="B9" s="3" t="s">
        <v>13</v>
      </c>
      <c r="C9" s="5">
        <v>1.96</v>
      </c>
      <c r="D9" s="5">
        <v>1.96</v>
      </c>
      <c r="E9" s="5">
        <v>1.96</v>
      </c>
      <c r="F9" s="5">
        <v>1.96</v>
      </c>
      <c r="G9" s="5">
        <v>2.58</v>
      </c>
      <c r="H9" s="5">
        <v>1.5</v>
      </c>
      <c r="I9" s="5">
        <v>1.33</v>
      </c>
      <c r="J9" t="s">
        <v>5</v>
      </c>
      <c r="K9" t="s">
        <v>5</v>
      </c>
      <c r="M9" s="5">
        <v>3.18</v>
      </c>
      <c r="N9" s="6" t="s">
        <v>4</v>
      </c>
      <c r="P9" t="s">
        <v>3</v>
      </c>
      <c r="Q9" s="18" t="s">
        <v>116</v>
      </c>
      <c r="S9" s="5">
        <v>0.13</v>
      </c>
      <c r="T9" s="18" t="s">
        <v>5</v>
      </c>
      <c r="U9" s="23">
        <f t="shared" si="0"/>
        <v>0.13</v>
      </c>
      <c r="V9" s="18" t="s">
        <v>5</v>
      </c>
      <c r="Y9" s="29" t="s">
        <v>116</v>
      </c>
    </row>
    <row r="10" spans="2:30">
      <c r="B10" s="3" t="s">
        <v>14</v>
      </c>
      <c r="C10" s="5">
        <v>2.12</v>
      </c>
      <c r="D10" s="5">
        <v>1.42</v>
      </c>
      <c r="E10" s="5">
        <v>1.42</v>
      </c>
      <c r="F10" s="5">
        <v>1.33</v>
      </c>
      <c r="G10" s="5">
        <v>2.12</v>
      </c>
      <c r="H10" s="5">
        <v>0.87</v>
      </c>
      <c r="I10" s="5">
        <v>1.33</v>
      </c>
      <c r="J10" t="s">
        <v>5</v>
      </c>
      <c r="K10" t="s">
        <v>5</v>
      </c>
      <c r="M10" s="6" t="s">
        <v>15</v>
      </c>
      <c r="N10" s="6" t="s">
        <v>4</v>
      </c>
      <c r="P10" t="s">
        <v>3</v>
      </c>
      <c r="Q10" s="18" t="s">
        <v>118</v>
      </c>
      <c r="S10" s="5" t="s">
        <v>5</v>
      </c>
      <c r="U10" s="23" t="str">
        <f t="shared" si="0"/>
        <v>No</v>
      </c>
      <c r="Y10" s="28" t="s">
        <v>118</v>
      </c>
    </row>
    <row r="11" spans="2:30">
      <c r="B11" s="3" t="s">
        <v>16</v>
      </c>
      <c r="C11" s="5">
        <v>3.19</v>
      </c>
      <c r="D11" s="5">
        <v>3.19</v>
      </c>
      <c r="E11" s="5">
        <v>3.19</v>
      </c>
      <c r="F11" s="5">
        <v>3.19</v>
      </c>
      <c r="G11" s="5">
        <v>3.19</v>
      </c>
      <c r="H11" s="5">
        <v>2.16</v>
      </c>
      <c r="I11" s="26">
        <v>2.1</v>
      </c>
      <c r="J11" s="2">
        <v>2.16</v>
      </c>
      <c r="K11" t="s">
        <v>5</v>
      </c>
      <c r="L11" s="2"/>
      <c r="M11" s="15" t="s">
        <v>4</v>
      </c>
      <c r="N11" s="6" t="s">
        <v>4</v>
      </c>
      <c r="P11" t="s">
        <v>3</v>
      </c>
      <c r="Q11" s="18" t="s">
        <v>120</v>
      </c>
      <c r="S11" s="5" t="s">
        <v>5</v>
      </c>
      <c r="U11" s="23" t="str">
        <f t="shared" si="0"/>
        <v>No</v>
      </c>
      <c r="Y11" s="29" t="s">
        <v>120</v>
      </c>
    </row>
    <row r="12" spans="2:30">
      <c r="B12" s="3" t="s">
        <v>17</v>
      </c>
      <c r="C12" s="5">
        <v>2.06</v>
      </c>
      <c r="D12" s="5">
        <v>1.4</v>
      </c>
      <c r="E12" s="5">
        <v>1.4</v>
      </c>
      <c r="F12" s="5">
        <v>1.33</v>
      </c>
      <c r="G12" s="5">
        <v>1.91</v>
      </c>
      <c r="H12" s="22">
        <v>0.28000000000000003</v>
      </c>
      <c r="I12" s="10" t="s">
        <v>5</v>
      </c>
      <c r="J12" s="2">
        <v>0.28000000000000003</v>
      </c>
      <c r="K12" t="s">
        <v>5</v>
      </c>
      <c r="M12" s="15" t="s">
        <v>18</v>
      </c>
      <c r="N12" s="6" t="s">
        <v>4</v>
      </c>
      <c r="P12" t="s">
        <v>3</v>
      </c>
      <c r="Q12" s="18" t="s">
        <v>124</v>
      </c>
      <c r="S12" s="5" t="s">
        <v>5</v>
      </c>
      <c r="U12" s="23" t="str">
        <f t="shared" si="0"/>
        <v>No</v>
      </c>
      <c r="Y12" s="28" t="s">
        <v>124</v>
      </c>
    </row>
    <row r="13" spans="2:30">
      <c r="B13" s="3" t="s">
        <v>20</v>
      </c>
      <c r="C13" s="5">
        <v>2.0499999999999998</v>
      </c>
      <c r="D13" s="5">
        <v>1.49</v>
      </c>
      <c r="E13" s="5">
        <v>1.49</v>
      </c>
      <c r="F13" s="5">
        <v>1.33</v>
      </c>
      <c r="G13" s="5">
        <v>2.2000000000000002</v>
      </c>
      <c r="H13" s="22">
        <v>0.32</v>
      </c>
      <c r="I13" s="6" t="s">
        <v>5</v>
      </c>
      <c r="J13" t="s">
        <v>5</v>
      </c>
      <c r="K13" t="s">
        <v>5</v>
      </c>
      <c r="M13" s="5">
        <v>2.4700000000000002</v>
      </c>
      <c r="N13" s="6" t="s">
        <v>4</v>
      </c>
      <c r="P13" t="s">
        <v>17</v>
      </c>
      <c r="Q13" s="18">
        <v>0</v>
      </c>
      <c r="S13" s="5">
        <v>2.06</v>
      </c>
      <c r="U13" s="23">
        <f t="shared" si="0"/>
        <v>2.06</v>
      </c>
    </row>
    <row r="14" spans="2:30">
      <c r="B14" s="9" t="s">
        <v>121</v>
      </c>
      <c r="C14" s="5">
        <v>3.08</v>
      </c>
      <c r="D14" s="5">
        <v>3.08</v>
      </c>
      <c r="E14" s="5">
        <v>3.08</v>
      </c>
      <c r="F14" s="5">
        <v>3.08</v>
      </c>
      <c r="G14" s="5">
        <v>1.91</v>
      </c>
      <c r="H14" s="5">
        <v>1.05</v>
      </c>
      <c r="I14" s="5">
        <v>1.33</v>
      </c>
      <c r="J14" t="s">
        <v>5</v>
      </c>
      <c r="K14" t="s">
        <v>5</v>
      </c>
      <c r="M14" s="6" t="s">
        <v>4</v>
      </c>
      <c r="N14" s="6" t="s">
        <v>4</v>
      </c>
      <c r="P14" t="s">
        <v>17</v>
      </c>
      <c r="Q14" s="18">
        <v>1</v>
      </c>
      <c r="S14" s="5">
        <v>1.4</v>
      </c>
      <c r="U14" s="23">
        <f t="shared" si="0"/>
        <v>1.4</v>
      </c>
    </row>
    <row r="15" spans="2:30">
      <c r="B15" s="3" t="s">
        <v>22</v>
      </c>
      <c r="C15" s="5">
        <v>1.42</v>
      </c>
      <c r="D15" s="5">
        <v>1.42</v>
      </c>
      <c r="E15" s="5">
        <v>1.42</v>
      </c>
      <c r="F15" s="5">
        <v>1.33</v>
      </c>
      <c r="G15" s="5">
        <v>1.33</v>
      </c>
      <c r="H15" s="22">
        <v>0.23</v>
      </c>
      <c r="I15" s="6" t="s">
        <v>5</v>
      </c>
      <c r="J15" t="s">
        <v>5</v>
      </c>
      <c r="K15" t="s">
        <v>5</v>
      </c>
      <c r="M15" s="5">
        <v>1.85</v>
      </c>
      <c r="N15" s="6" t="s">
        <v>4</v>
      </c>
      <c r="P15" t="s">
        <v>17</v>
      </c>
      <c r="Q15" s="18" t="s">
        <v>108</v>
      </c>
      <c r="S15" s="5">
        <v>1.4</v>
      </c>
      <c r="U15" s="23">
        <f t="shared" si="0"/>
        <v>1.4</v>
      </c>
    </row>
    <row r="16" spans="2:30">
      <c r="B16" s="3" t="s">
        <v>24</v>
      </c>
      <c r="C16" s="5">
        <v>1.42</v>
      </c>
      <c r="D16" s="5">
        <v>1.42</v>
      </c>
      <c r="E16" s="5">
        <v>1.42</v>
      </c>
      <c r="F16" s="5">
        <v>1.42</v>
      </c>
      <c r="G16" s="5">
        <v>2.08</v>
      </c>
      <c r="H16" s="5">
        <v>1.33</v>
      </c>
      <c r="I16" s="5">
        <v>1.33</v>
      </c>
      <c r="J16" t="s">
        <v>5</v>
      </c>
      <c r="K16" t="s">
        <v>5</v>
      </c>
      <c r="M16" s="5">
        <v>3.13</v>
      </c>
      <c r="N16" s="6" t="s">
        <v>4</v>
      </c>
      <c r="P16" t="s">
        <v>17</v>
      </c>
      <c r="Q16" s="18" t="s">
        <v>109</v>
      </c>
      <c r="S16" s="5">
        <v>1.33</v>
      </c>
      <c r="U16" s="23">
        <f t="shared" si="0"/>
        <v>1.33</v>
      </c>
    </row>
    <row r="17" spans="2:22">
      <c r="B17" s="3" t="s">
        <v>25</v>
      </c>
      <c r="C17" s="5">
        <v>2.08</v>
      </c>
      <c r="D17" s="5">
        <v>1.58</v>
      </c>
      <c r="E17" s="5">
        <v>1.58</v>
      </c>
      <c r="F17" s="5">
        <v>1.58</v>
      </c>
      <c r="G17" s="5">
        <v>2.08</v>
      </c>
      <c r="H17" s="22">
        <v>0.19</v>
      </c>
      <c r="I17" s="5">
        <v>1.33</v>
      </c>
      <c r="J17" t="s">
        <v>5</v>
      </c>
      <c r="K17" t="s">
        <v>5</v>
      </c>
      <c r="M17" s="5">
        <v>2.5</v>
      </c>
      <c r="N17" s="6" t="s">
        <v>4</v>
      </c>
      <c r="P17" t="s">
        <v>17</v>
      </c>
      <c r="Q17" s="18" t="s">
        <v>117</v>
      </c>
      <c r="S17" s="5">
        <v>1.91</v>
      </c>
      <c r="U17" s="23">
        <f t="shared" si="0"/>
        <v>1.91</v>
      </c>
    </row>
    <row r="18" spans="2:22">
      <c r="B18" s="3" t="s">
        <v>27</v>
      </c>
      <c r="C18" s="5">
        <v>3.75</v>
      </c>
      <c r="D18" s="5">
        <v>1.67</v>
      </c>
      <c r="E18" s="5">
        <v>1.67</v>
      </c>
      <c r="F18" s="5">
        <v>1.67</v>
      </c>
      <c r="G18" s="5">
        <v>3.75</v>
      </c>
      <c r="H18" s="22">
        <v>0.51</v>
      </c>
      <c r="I18" s="5">
        <v>1.33</v>
      </c>
      <c r="J18" t="s">
        <v>5</v>
      </c>
      <c r="K18" t="s">
        <v>5</v>
      </c>
      <c r="M18" s="15" t="s">
        <v>28</v>
      </c>
      <c r="N18" s="6" t="s">
        <v>4</v>
      </c>
      <c r="P18" t="s">
        <v>17</v>
      </c>
      <c r="Q18" s="18" t="s">
        <v>116</v>
      </c>
      <c r="S18" s="22">
        <v>0.28000000000000003</v>
      </c>
      <c r="T18" s="18" t="s">
        <v>75</v>
      </c>
      <c r="U18" s="23">
        <f t="shared" si="0"/>
        <v>0.28000000000000003</v>
      </c>
      <c r="V18" s="18" t="s">
        <v>75</v>
      </c>
    </row>
    <row r="19" spans="2:22">
      <c r="B19" s="3" t="s">
        <v>30</v>
      </c>
      <c r="C19" s="5">
        <v>1.66</v>
      </c>
      <c r="D19" s="5">
        <v>1.49</v>
      </c>
      <c r="E19" s="5">
        <v>1.49</v>
      </c>
      <c r="F19" s="5">
        <v>1.33</v>
      </c>
      <c r="G19" s="5">
        <v>1.66</v>
      </c>
      <c r="H19" s="5">
        <v>0.33</v>
      </c>
      <c r="I19" s="6" t="s">
        <v>5</v>
      </c>
      <c r="J19" t="s">
        <v>5</v>
      </c>
      <c r="K19" t="s">
        <v>5</v>
      </c>
      <c r="M19" s="5">
        <v>2.2999999999999998</v>
      </c>
      <c r="N19" s="6" t="s">
        <v>4</v>
      </c>
      <c r="P19" t="s">
        <v>17</v>
      </c>
      <c r="Q19" s="18" t="s">
        <v>118</v>
      </c>
      <c r="S19" s="5" t="s">
        <v>5</v>
      </c>
      <c r="U19" s="23" t="str">
        <f t="shared" si="0"/>
        <v>No</v>
      </c>
    </row>
    <row r="20" spans="2:22">
      <c r="B20" s="3" t="s">
        <v>31</v>
      </c>
      <c r="C20" s="5">
        <v>1.95</v>
      </c>
      <c r="D20" s="5">
        <v>1.59</v>
      </c>
      <c r="E20" s="5">
        <v>1.59</v>
      </c>
      <c r="F20" s="5">
        <v>1.59</v>
      </c>
      <c r="G20" s="5">
        <v>1.95</v>
      </c>
      <c r="H20" s="22">
        <v>0.24</v>
      </c>
      <c r="I20" s="5">
        <v>1.33</v>
      </c>
      <c r="J20" t="s">
        <v>5</v>
      </c>
      <c r="K20" t="s">
        <v>5</v>
      </c>
      <c r="M20" s="5">
        <v>2.13</v>
      </c>
      <c r="N20" s="6" t="s">
        <v>4</v>
      </c>
      <c r="P20" t="s">
        <v>17</v>
      </c>
      <c r="Q20" s="18" t="s">
        <v>120</v>
      </c>
      <c r="S20" s="5">
        <v>0.28000000000000003</v>
      </c>
      <c r="U20" s="23">
        <f t="shared" si="0"/>
        <v>0.28000000000000003</v>
      </c>
    </row>
    <row r="21" spans="2:22">
      <c r="B21" s="3" t="s">
        <v>33</v>
      </c>
      <c r="C21" s="5">
        <v>2.12</v>
      </c>
      <c r="D21" s="5">
        <v>2.12</v>
      </c>
      <c r="E21" s="5">
        <v>2.12</v>
      </c>
      <c r="F21" s="5">
        <v>2.12</v>
      </c>
      <c r="G21" s="5">
        <v>1.33</v>
      </c>
      <c r="H21" s="5">
        <v>0.19</v>
      </c>
      <c r="I21" s="5">
        <v>1.33</v>
      </c>
      <c r="J21" t="s">
        <v>5</v>
      </c>
      <c r="K21" t="s">
        <v>5</v>
      </c>
      <c r="M21" s="5">
        <v>2.5</v>
      </c>
      <c r="N21" s="6" t="s">
        <v>4</v>
      </c>
      <c r="P21" t="s">
        <v>17</v>
      </c>
      <c r="Q21" s="18" t="s">
        <v>124</v>
      </c>
      <c r="S21" s="5" t="s">
        <v>5</v>
      </c>
      <c r="U21" s="23" t="str">
        <f t="shared" si="0"/>
        <v>No</v>
      </c>
    </row>
    <row r="22" spans="2:22">
      <c r="B22" s="3" t="s">
        <v>34</v>
      </c>
      <c r="C22" s="5">
        <v>1.91</v>
      </c>
      <c r="D22" s="5">
        <v>1.57</v>
      </c>
      <c r="E22" s="5">
        <v>1.57</v>
      </c>
      <c r="F22" s="5">
        <v>1.57</v>
      </c>
      <c r="G22" s="5">
        <v>2.09</v>
      </c>
      <c r="H22" s="5">
        <v>1</v>
      </c>
      <c r="I22" s="27">
        <v>1.33</v>
      </c>
      <c r="J22" s="2">
        <v>1.56</v>
      </c>
      <c r="K22" t="s">
        <v>5</v>
      </c>
      <c r="M22" s="5">
        <v>2.08</v>
      </c>
      <c r="N22" s="6" t="s">
        <v>4</v>
      </c>
      <c r="P22" t="s">
        <v>20</v>
      </c>
      <c r="Q22" s="18">
        <v>0</v>
      </c>
      <c r="S22" s="5">
        <v>2.0499999999999998</v>
      </c>
      <c r="U22" s="23">
        <f t="shared" si="0"/>
        <v>2.0499999999999998</v>
      </c>
    </row>
    <row r="23" spans="2:22">
      <c r="B23" s="3" t="s">
        <v>35</v>
      </c>
      <c r="C23" s="5">
        <v>3.17</v>
      </c>
      <c r="D23" s="5">
        <v>3.17</v>
      </c>
      <c r="E23" s="5">
        <v>3.17</v>
      </c>
      <c r="F23" s="5">
        <v>3.17</v>
      </c>
      <c r="G23" s="5">
        <v>2.59</v>
      </c>
      <c r="H23" s="5">
        <v>1.23</v>
      </c>
      <c r="I23" s="5">
        <v>1.33</v>
      </c>
      <c r="J23" t="s">
        <v>5</v>
      </c>
      <c r="K23" t="s">
        <v>5</v>
      </c>
      <c r="M23" s="6" t="s">
        <v>4</v>
      </c>
      <c r="N23" s="6" t="s">
        <v>4</v>
      </c>
      <c r="P23" t="s">
        <v>20</v>
      </c>
      <c r="Q23" s="18">
        <v>1</v>
      </c>
      <c r="S23" s="5">
        <v>1.49</v>
      </c>
      <c r="U23" s="23">
        <f t="shared" si="0"/>
        <v>1.49</v>
      </c>
    </row>
    <row r="24" spans="2:22">
      <c r="B24" s="3" t="s">
        <v>36</v>
      </c>
      <c r="C24" s="5">
        <v>2</v>
      </c>
      <c r="D24" s="5">
        <v>1.5</v>
      </c>
      <c r="E24" s="5">
        <v>1.5</v>
      </c>
      <c r="F24" s="5">
        <v>1.5</v>
      </c>
      <c r="G24" s="5">
        <v>2</v>
      </c>
      <c r="H24" s="5">
        <v>1.33</v>
      </c>
      <c r="I24" s="27">
        <v>1.33</v>
      </c>
      <c r="J24" s="2">
        <v>1.5</v>
      </c>
      <c r="K24" t="s">
        <v>5</v>
      </c>
      <c r="M24" s="5">
        <v>3</v>
      </c>
      <c r="N24" s="6" t="s">
        <v>4</v>
      </c>
      <c r="P24" t="s">
        <v>20</v>
      </c>
      <c r="Q24" s="18" t="s">
        <v>108</v>
      </c>
      <c r="S24" s="5">
        <v>1.49</v>
      </c>
      <c r="U24" s="23">
        <f t="shared" si="0"/>
        <v>1.49</v>
      </c>
    </row>
    <row r="25" spans="2:22">
      <c r="B25" s="3" t="s">
        <v>37</v>
      </c>
      <c r="C25" s="5">
        <v>2.12</v>
      </c>
      <c r="D25" s="5">
        <v>2.12</v>
      </c>
      <c r="E25" s="5">
        <v>2.12</v>
      </c>
      <c r="F25" s="5">
        <v>2.12</v>
      </c>
      <c r="G25" s="5">
        <v>1.95</v>
      </c>
      <c r="H25" s="5">
        <v>0.54</v>
      </c>
      <c r="I25" s="5">
        <v>1.33</v>
      </c>
      <c r="J25" t="s">
        <v>5</v>
      </c>
      <c r="K25" t="s">
        <v>5</v>
      </c>
      <c r="M25" s="6" t="s">
        <v>4</v>
      </c>
      <c r="N25" s="6" t="s">
        <v>4</v>
      </c>
      <c r="P25" t="s">
        <v>20</v>
      </c>
      <c r="Q25" s="18" t="s">
        <v>109</v>
      </c>
      <c r="S25" s="5">
        <v>1.33</v>
      </c>
      <c r="U25" s="23">
        <f t="shared" si="0"/>
        <v>1.33</v>
      </c>
    </row>
    <row r="26" spans="2:22">
      <c r="B26" s="3" t="s">
        <v>38</v>
      </c>
      <c r="C26" s="26">
        <v>2.83</v>
      </c>
      <c r="D26" s="26">
        <v>2.83</v>
      </c>
      <c r="E26" s="5">
        <v>2.75</v>
      </c>
      <c r="F26" s="5">
        <v>2.75</v>
      </c>
      <c r="G26" s="5">
        <v>2.78</v>
      </c>
      <c r="H26" s="5">
        <v>1.33</v>
      </c>
      <c r="I26" s="27">
        <v>2</v>
      </c>
      <c r="J26" s="2" t="s">
        <v>5</v>
      </c>
      <c r="K26" t="s">
        <v>75</v>
      </c>
      <c r="M26" s="6" t="s">
        <v>4</v>
      </c>
      <c r="N26" s="6" t="s">
        <v>4</v>
      </c>
      <c r="P26" t="s">
        <v>20</v>
      </c>
      <c r="Q26" s="18" t="s">
        <v>117</v>
      </c>
      <c r="S26" s="5">
        <v>2.2000000000000002</v>
      </c>
      <c r="U26" s="23">
        <f t="shared" si="0"/>
        <v>2.2000000000000002</v>
      </c>
    </row>
    <row r="27" spans="2:22">
      <c r="B27" s="3" t="s">
        <v>39</v>
      </c>
      <c r="C27" s="5">
        <v>1.94</v>
      </c>
      <c r="D27" s="5">
        <v>1.43</v>
      </c>
      <c r="E27" s="5">
        <v>1.43</v>
      </c>
      <c r="F27" s="5">
        <v>1.33</v>
      </c>
      <c r="G27" s="5">
        <v>1.94</v>
      </c>
      <c r="H27" s="17" t="s">
        <v>23</v>
      </c>
      <c r="I27" s="6" t="s">
        <v>5</v>
      </c>
      <c r="J27" t="s">
        <v>5</v>
      </c>
      <c r="K27" t="s">
        <v>5</v>
      </c>
      <c r="M27" s="5">
        <v>2.09</v>
      </c>
      <c r="N27" s="6" t="s">
        <v>4</v>
      </c>
      <c r="P27" t="s">
        <v>20</v>
      </c>
      <c r="Q27" s="18" t="s">
        <v>116</v>
      </c>
      <c r="S27" s="22">
        <v>0.32</v>
      </c>
      <c r="T27" s="18" t="s">
        <v>75</v>
      </c>
      <c r="U27" s="23">
        <f t="shared" si="0"/>
        <v>0.32</v>
      </c>
      <c r="V27" s="18" t="s">
        <v>75</v>
      </c>
    </row>
    <row r="28" spans="2:22" ht="16.5">
      <c r="B28" s="3" t="s">
        <v>40</v>
      </c>
      <c r="C28" s="5">
        <v>1.96</v>
      </c>
      <c r="D28" s="5">
        <v>1.5</v>
      </c>
      <c r="E28" s="5">
        <v>1.5</v>
      </c>
      <c r="F28" s="5">
        <v>1.5</v>
      </c>
      <c r="G28" s="5">
        <v>1.96</v>
      </c>
      <c r="H28" s="16" t="s">
        <v>103</v>
      </c>
      <c r="I28" s="9" t="s">
        <v>125</v>
      </c>
      <c r="J28" t="s">
        <v>5</v>
      </c>
      <c r="K28" t="s">
        <v>5</v>
      </c>
      <c r="M28" s="5">
        <v>3</v>
      </c>
      <c r="N28" s="5">
        <v>3</v>
      </c>
      <c r="P28" t="s">
        <v>20</v>
      </c>
      <c r="Q28" s="18" t="s">
        <v>118</v>
      </c>
      <c r="S28" s="5" t="s">
        <v>5</v>
      </c>
      <c r="T28" s="18"/>
      <c r="U28" s="23" t="str">
        <f t="shared" si="0"/>
        <v>No</v>
      </c>
      <c r="V28" s="18"/>
    </row>
    <row r="29" spans="2:22">
      <c r="B29" s="3" t="s">
        <v>41</v>
      </c>
      <c r="C29" s="5">
        <v>1.43</v>
      </c>
      <c r="D29" s="5">
        <v>1.43</v>
      </c>
      <c r="E29" s="5">
        <v>1.43</v>
      </c>
      <c r="F29" s="5">
        <v>1.43</v>
      </c>
      <c r="G29" s="5">
        <v>1.57</v>
      </c>
      <c r="H29" s="5">
        <v>0.24</v>
      </c>
      <c r="I29" s="5">
        <v>1.33</v>
      </c>
      <c r="J29" t="s">
        <v>5</v>
      </c>
      <c r="K29" t="s">
        <v>5</v>
      </c>
      <c r="M29" s="5">
        <v>2.61</v>
      </c>
      <c r="N29" s="6" t="s">
        <v>4</v>
      </c>
      <c r="P29" t="s">
        <v>20</v>
      </c>
      <c r="Q29" s="18" t="s">
        <v>120</v>
      </c>
      <c r="S29" s="5" t="s">
        <v>5</v>
      </c>
      <c r="T29" s="18"/>
      <c r="U29" s="23" t="str">
        <f t="shared" si="0"/>
        <v>No</v>
      </c>
      <c r="V29" s="18"/>
    </row>
    <row r="30" spans="2:22">
      <c r="B30" s="3" t="s">
        <v>42</v>
      </c>
      <c r="C30" s="5">
        <v>2.13</v>
      </c>
      <c r="D30" s="5">
        <v>2.13</v>
      </c>
      <c r="E30" s="5">
        <v>2.13</v>
      </c>
      <c r="F30" s="5">
        <v>2.13</v>
      </c>
      <c r="G30" s="5">
        <v>1.94</v>
      </c>
      <c r="H30" s="5">
        <v>0.57999999999999996</v>
      </c>
      <c r="I30" s="6" t="s">
        <v>5</v>
      </c>
      <c r="J30" t="s">
        <v>5</v>
      </c>
      <c r="K30" t="s">
        <v>5</v>
      </c>
      <c r="M30" s="6" t="s">
        <v>4</v>
      </c>
      <c r="N30" s="6" t="s">
        <v>4</v>
      </c>
      <c r="P30" t="s">
        <v>20</v>
      </c>
      <c r="Q30" s="18" t="s">
        <v>124</v>
      </c>
      <c r="S30" s="5" t="s">
        <v>5</v>
      </c>
      <c r="T30" s="18"/>
      <c r="U30" s="23" t="str">
        <f t="shared" si="0"/>
        <v>No</v>
      </c>
      <c r="V30" s="18"/>
    </row>
    <row r="31" spans="2:22">
      <c r="B31" s="3" t="s">
        <v>43</v>
      </c>
      <c r="C31" s="5">
        <v>1.6</v>
      </c>
      <c r="D31" s="5">
        <v>1.6</v>
      </c>
      <c r="E31" s="5">
        <v>1.6</v>
      </c>
      <c r="F31" s="5">
        <v>1.33</v>
      </c>
      <c r="G31" s="5">
        <v>1.6</v>
      </c>
      <c r="H31" s="17" t="s">
        <v>44</v>
      </c>
      <c r="I31" s="5">
        <v>1.33</v>
      </c>
      <c r="J31" t="s">
        <v>5</v>
      </c>
      <c r="K31" t="s">
        <v>5</v>
      </c>
      <c r="M31" s="5">
        <v>2</v>
      </c>
      <c r="N31" s="6" t="s">
        <v>4</v>
      </c>
      <c r="P31" t="s">
        <v>33</v>
      </c>
      <c r="Q31" s="18">
        <v>0</v>
      </c>
      <c r="S31" s="5">
        <v>2.12</v>
      </c>
      <c r="T31" s="18"/>
      <c r="U31" s="23">
        <f t="shared" si="0"/>
        <v>2.12</v>
      </c>
      <c r="V31" s="18"/>
    </row>
    <row r="32" spans="2:22">
      <c r="B32" s="3" t="s">
        <v>45</v>
      </c>
      <c r="C32" s="5">
        <v>3.18</v>
      </c>
      <c r="D32" s="5">
        <v>3.18</v>
      </c>
      <c r="E32" s="5">
        <v>3.18</v>
      </c>
      <c r="F32" s="5">
        <v>3.18</v>
      </c>
      <c r="G32" s="5">
        <v>1.96</v>
      </c>
      <c r="H32" s="17" t="s">
        <v>46</v>
      </c>
      <c r="I32" s="5">
        <v>1.33</v>
      </c>
      <c r="J32" t="s">
        <v>5</v>
      </c>
      <c r="K32" t="s">
        <v>5</v>
      </c>
      <c r="M32" s="6" t="s">
        <v>4</v>
      </c>
      <c r="N32" s="6" t="s">
        <v>4</v>
      </c>
      <c r="P32" t="s">
        <v>33</v>
      </c>
      <c r="Q32" s="18">
        <v>1</v>
      </c>
      <c r="S32" s="5">
        <v>2.12</v>
      </c>
      <c r="T32" s="18"/>
      <c r="U32" s="23">
        <f t="shared" si="0"/>
        <v>2.12</v>
      </c>
      <c r="V32" s="18"/>
    </row>
    <row r="33" spans="2:22">
      <c r="B33" s="3" t="s">
        <v>47</v>
      </c>
      <c r="C33" s="5">
        <v>1.94</v>
      </c>
      <c r="D33" s="5">
        <v>1.42</v>
      </c>
      <c r="E33" s="5">
        <v>1.42</v>
      </c>
      <c r="F33" s="5">
        <v>1.42</v>
      </c>
      <c r="G33" s="5">
        <v>1.94</v>
      </c>
      <c r="H33" s="17" t="s">
        <v>48</v>
      </c>
      <c r="I33" s="5">
        <v>1.33</v>
      </c>
      <c r="J33" t="s">
        <v>5</v>
      </c>
      <c r="K33" t="s">
        <v>5</v>
      </c>
      <c r="M33" s="5">
        <v>3.5</v>
      </c>
      <c r="N33" s="5">
        <v>2</v>
      </c>
      <c r="P33" t="s">
        <v>33</v>
      </c>
      <c r="Q33" s="18" t="s">
        <v>108</v>
      </c>
      <c r="S33" s="5">
        <v>2.12</v>
      </c>
      <c r="T33" s="18"/>
      <c r="U33" s="23">
        <f t="shared" si="0"/>
        <v>2.12</v>
      </c>
      <c r="V33" s="18"/>
    </row>
    <row r="34" spans="2:22">
      <c r="B34" s="3" t="s">
        <v>49</v>
      </c>
      <c r="C34" s="5">
        <v>3</v>
      </c>
      <c r="D34" s="5">
        <v>3</v>
      </c>
      <c r="E34" s="5">
        <v>3</v>
      </c>
      <c r="F34" s="5">
        <v>2.4</v>
      </c>
      <c r="G34" s="5">
        <v>2.5</v>
      </c>
      <c r="H34" s="17" t="s">
        <v>50</v>
      </c>
      <c r="I34" s="5">
        <v>1.33</v>
      </c>
      <c r="J34" t="s">
        <v>5</v>
      </c>
      <c r="K34" t="s">
        <v>5</v>
      </c>
      <c r="M34" s="6" t="s">
        <v>4</v>
      </c>
      <c r="N34" s="6" t="s">
        <v>4</v>
      </c>
      <c r="P34" t="s">
        <v>33</v>
      </c>
      <c r="Q34" s="18" t="s">
        <v>109</v>
      </c>
      <c r="S34" s="5">
        <v>2.12</v>
      </c>
      <c r="T34" s="18"/>
      <c r="U34" s="23">
        <f t="shared" si="0"/>
        <v>2.12</v>
      </c>
      <c r="V34" s="18"/>
    </row>
    <row r="35" spans="2:22">
      <c r="B35" s="3" t="s">
        <v>51</v>
      </c>
      <c r="C35" s="5">
        <v>2.1800000000000002</v>
      </c>
      <c r="D35" s="5">
        <v>1.49</v>
      </c>
      <c r="E35" s="5">
        <v>1.49</v>
      </c>
      <c r="F35" s="5">
        <v>1.49</v>
      </c>
      <c r="G35" s="5">
        <v>2.1800000000000002</v>
      </c>
      <c r="H35" s="5">
        <v>1.33</v>
      </c>
      <c r="I35" s="27">
        <v>2</v>
      </c>
      <c r="J35" t="s">
        <v>5</v>
      </c>
      <c r="K35" t="s">
        <v>75</v>
      </c>
      <c r="M35" s="5">
        <v>4</v>
      </c>
      <c r="N35" s="6" t="s">
        <v>4</v>
      </c>
      <c r="P35" t="s">
        <v>33</v>
      </c>
      <c r="Q35" s="18" t="s">
        <v>117</v>
      </c>
      <c r="S35" s="5">
        <v>1.33</v>
      </c>
      <c r="T35" s="18"/>
      <c r="U35" s="23">
        <f t="shared" si="0"/>
        <v>1.33</v>
      </c>
      <c r="V35" s="18"/>
    </row>
    <row r="36" spans="2:22">
      <c r="B36" s="3" t="s">
        <v>52</v>
      </c>
      <c r="C36" s="5">
        <v>2.1</v>
      </c>
      <c r="D36" s="5">
        <v>2.1</v>
      </c>
      <c r="E36" s="5">
        <v>2.1</v>
      </c>
      <c r="F36" s="5">
        <v>1.33</v>
      </c>
      <c r="G36" s="5">
        <v>1.96</v>
      </c>
      <c r="H36" s="17" t="s">
        <v>54</v>
      </c>
      <c r="I36" s="9" t="s">
        <v>5</v>
      </c>
      <c r="J36" s="2">
        <v>0.42</v>
      </c>
      <c r="K36" t="s">
        <v>5</v>
      </c>
      <c r="M36" s="15" t="s">
        <v>53</v>
      </c>
      <c r="N36" s="6" t="s">
        <v>4</v>
      </c>
      <c r="P36" t="s">
        <v>33</v>
      </c>
      <c r="Q36" s="18" t="s">
        <v>116</v>
      </c>
      <c r="S36" s="5">
        <v>0.19</v>
      </c>
      <c r="T36" s="18" t="s">
        <v>5</v>
      </c>
      <c r="U36" s="23">
        <f t="shared" si="0"/>
        <v>0.19</v>
      </c>
      <c r="V36" s="18" t="s">
        <v>5</v>
      </c>
    </row>
    <row r="37" spans="2:22">
      <c r="B37" s="3" t="s">
        <v>55</v>
      </c>
      <c r="C37" s="5">
        <v>1.47</v>
      </c>
      <c r="D37" s="5">
        <v>1.47</v>
      </c>
      <c r="E37" s="5">
        <v>1.47</v>
      </c>
      <c r="F37" s="5">
        <v>1.33</v>
      </c>
      <c r="G37" s="5">
        <v>1.47</v>
      </c>
      <c r="H37" s="17" t="s">
        <v>56</v>
      </c>
      <c r="I37" s="5">
        <v>1.33</v>
      </c>
      <c r="J37" t="s">
        <v>5</v>
      </c>
      <c r="K37" t="s">
        <v>5</v>
      </c>
      <c r="M37" s="5">
        <v>1.7</v>
      </c>
      <c r="N37" s="6" t="s">
        <v>4</v>
      </c>
      <c r="P37" t="s">
        <v>33</v>
      </c>
      <c r="Q37" s="18" t="s">
        <v>118</v>
      </c>
      <c r="S37" s="5">
        <v>1.33</v>
      </c>
      <c r="T37" s="18"/>
      <c r="U37" s="23">
        <f t="shared" si="0"/>
        <v>1.33</v>
      </c>
      <c r="V37" s="18"/>
    </row>
    <row r="38" spans="2:22">
      <c r="B38" s="3" t="s">
        <v>57</v>
      </c>
      <c r="C38" s="5">
        <v>2.06</v>
      </c>
      <c r="D38" s="5">
        <v>2.06</v>
      </c>
      <c r="E38" s="5">
        <v>2.06</v>
      </c>
      <c r="F38" s="5">
        <v>2.06</v>
      </c>
      <c r="G38" s="5">
        <v>2</v>
      </c>
      <c r="H38" s="5">
        <v>0.9</v>
      </c>
      <c r="I38" s="5">
        <v>1.33</v>
      </c>
      <c r="J38" t="s">
        <v>5</v>
      </c>
      <c r="K38" t="s">
        <v>5</v>
      </c>
      <c r="M38" s="6" t="s">
        <v>4</v>
      </c>
      <c r="N38" s="6" t="s">
        <v>4</v>
      </c>
      <c r="P38" t="s">
        <v>33</v>
      </c>
      <c r="Q38" s="18" t="s">
        <v>120</v>
      </c>
      <c r="S38" s="5" t="s">
        <v>5</v>
      </c>
      <c r="T38" s="18"/>
      <c r="U38" s="23" t="str">
        <f t="shared" si="0"/>
        <v>No</v>
      </c>
      <c r="V38" s="18"/>
    </row>
    <row r="39" spans="2:22" ht="16.5">
      <c r="B39" s="3" t="s">
        <v>58</v>
      </c>
      <c r="C39" s="5">
        <v>2.0499999999999998</v>
      </c>
      <c r="D39" s="5">
        <v>2.0499999999999998</v>
      </c>
      <c r="E39" s="5">
        <v>2.0499999999999998</v>
      </c>
      <c r="F39" s="5">
        <v>2.0499999999999998</v>
      </c>
      <c r="G39" s="5">
        <v>1.33</v>
      </c>
      <c r="H39" s="16" t="s">
        <v>104</v>
      </c>
      <c r="I39" s="9" t="s">
        <v>125</v>
      </c>
      <c r="J39" t="s">
        <v>5</v>
      </c>
      <c r="K39" t="s">
        <v>5</v>
      </c>
      <c r="M39" s="6" t="s">
        <v>4</v>
      </c>
      <c r="N39" s="6" t="s">
        <v>4</v>
      </c>
      <c r="P39" t="s">
        <v>33</v>
      </c>
      <c r="Q39" s="18" t="s">
        <v>124</v>
      </c>
      <c r="S39" s="5" t="s">
        <v>5</v>
      </c>
      <c r="T39" s="18"/>
      <c r="U39" s="23" t="str">
        <f t="shared" si="0"/>
        <v>No</v>
      </c>
      <c r="V39" s="18"/>
    </row>
    <row r="40" spans="2:22">
      <c r="B40" s="3" t="s">
        <v>59</v>
      </c>
      <c r="C40" s="5">
        <v>1.85</v>
      </c>
      <c r="D40" s="5">
        <v>1.33</v>
      </c>
      <c r="E40" s="5">
        <v>1.33</v>
      </c>
      <c r="F40" s="5">
        <v>1.33</v>
      </c>
      <c r="G40" s="5">
        <v>1.85</v>
      </c>
      <c r="H40" s="17" t="s">
        <v>60</v>
      </c>
      <c r="I40" s="5">
        <v>1.33</v>
      </c>
      <c r="J40" t="s">
        <v>5</v>
      </c>
      <c r="K40" t="s">
        <v>5</v>
      </c>
      <c r="M40" s="5">
        <v>3</v>
      </c>
      <c r="N40" s="6" t="s">
        <v>4</v>
      </c>
      <c r="P40" t="s">
        <v>52</v>
      </c>
      <c r="Q40" s="18">
        <v>0</v>
      </c>
      <c r="S40" s="5">
        <v>2.1</v>
      </c>
      <c r="T40" s="18"/>
      <c r="U40" s="23">
        <f t="shared" si="0"/>
        <v>2.1</v>
      </c>
      <c r="V40" s="18"/>
    </row>
    <row r="41" spans="2:22">
      <c r="B41" s="3" t="s">
        <v>61</v>
      </c>
      <c r="C41" s="5">
        <v>2.15</v>
      </c>
      <c r="D41" s="5">
        <v>1.57</v>
      </c>
      <c r="E41" s="5">
        <v>1.57</v>
      </c>
      <c r="F41" s="5">
        <v>1.33</v>
      </c>
      <c r="G41" s="5">
        <v>2.15</v>
      </c>
      <c r="H41" s="5">
        <v>0.33</v>
      </c>
      <c r="I41" s="5">
        <v>1.33</v>
      </c>
      <c r="J41" t="s">
        <v>5</v>
      </c>
      <c r="K41" t="s">
        <v>5</v>
      </c>
      <c r="M41" s="5">
        <v>3.14</v>
      </c>
      <c r="N41" s="6" t="s">
        <v>4</v>
      </c>
      <c r="P41" t="s">
        <v>52</v>
      </c>
      <c r="Q41" s="18">
        <v>1</v>
      </c>
      <c r="S41" s="5">
        <v>2.1</v>
      </c>
      <c r="T41" s="18"/>
      <c r="U41" s="23">
        <f t="shared" si="0"/>
        <v>2.1</v>
      </c>
      <c r="V41" s="18"/>
    </row>
    <row r="42" spans="2:22">
      <c r="B42" s="3" t="s">
        <v>62</v>
      </c>
      <c r="C42" s="5">
        <v>2.61</v>
      </c>
      <c r="D42" s="5">
        <v>2.61</v>
      </c>
      <c r="E42" s="5">
        <v>2.61</v>
      </c>
      <c r="F42" s="5">
        <v>2.61</v>
      </c>
      <c r="G42" s="5">
        <v>1.9</v>
      </c>
      <c r="H42" s="5">
        <v>1.1599999999999999</v>
      </c>
      <c r="I42" s="5">
        <v>1.33</v>
      </c>
      <c r="J42" t="s">
        <v>5</v>
      </c>
      <c r="K42" t="s">
        <v>5</v>
      </c>
      <c r="M42" s="6" t="s">
        <v>4</v>
      </c>
      <c r="N42" s="5">
        <v>2.5299999999999998</v>
      </c>
      <c r="P42" t="s">
        <v>52</v>
      </c>
      <c r="Q42" s="18" t="s">
        <v>108</v>
      </c>
      <c r="S42" s="5">
        <v>2.1</v>
      </c>
      <c r="T42" s="18"/>
      <c r="U42" s="23">
        <f t="shared" si="0"/>
        <v>2.1</v>
      </c>
      <c r="V42" s="18"/>
    </row>
    <row r="43" spans="2:22" ht="13.5" customHeight="1">
      <c r="B43" s="3" t="s">
        <v>63</v>
      </c>
      <c r="C43" s="5">
        <v>2.08</v>
      </c>
      <c r="D43" s="5">
        <v>2.08</v>
      </c>
      <c r="E43" s="5">
        <v>2.08</v>
      </c>
      <c r="F43" s="5">
        <v>2.08</v>
      </c>
      <c r="G43" s="5">
        <v>1.94</v>
      </c>
      <c r="H43" s="5">
        <v>0.62</v>
      </c>
      <c r="I43" s="6" t="s">
        <v>5</v>
      </c>
      <c r="J43" t="s">
        <v>5</v>
      </c>
      <c r="K43" t="s">
        <v>5</v>
      </c>
      <c r="M43" s="6" t="s">
        <v>4</v>
      </c>
      <c r="N43" s="6" t="s">
        <v>4</v>
      </c>
      <c r="P43" t="s">
        <v>52</v>
      </c>
      <c r="Q43" s="18" t="s">
        <v>109</v>
      </c>
      <c r="S43" s="5">
        <v>1.33</v>
      </c>
      <c r="T43" s="18"/>
      <c r="U43" s="23">
        <f t="shared" si="0"/>
        <v>1.33</v>
      </c>
      <c r="V43" s="18"/>
    </row>
    <row r="44" spans="2:22">
      <c r="B44" s="3" t="s">
        <v>64</v>
      </c>
      <c r="C44" s="5">
        <v>1.82</v>
      </c>
      <c r="D44" s="5">
        <v>1.82</v>
      </c>
      <c r="E44" s="5">
        <v>1.82</v>
      </c>
      <c r="F44" s="5">
        <v>1.82</v>
      </c>
      <c r="G44" s="5">
        <v>1.33</v>
      </c>
      <c r="H44" s="17" t="s">
        <v>65</v>
      </c>
      <c r="I44" s="6" t="s">
        <v>5</v>
      </c>
      <c r="J44" t="s">
        <v>5</v>
      </c>
      <c r="K44" t="s">
        <v>5</v>
      </c>
      <c r="M44" s="5">
        <v>2.04</v>
      </c>
      <c r="N44" s="6" t="s">
        <v>4</v>
      </c>
      <c r="P44" t="s">
        <v>52</v>
      </c>
      <c r="Q44" s="18" t="s">
        <v>117</v>
      </c>
      <c r="S44" s="5">
        <v>1.96</v>
      </c>
      <c r="T44" s="18"/>
      <c r="U44" s="23">
        <f t="shared" si="0"/>
        <v>1.96</v>
      </c>
      <c r="V44" s="18"/>
    </row>
    <row r="45" spans="2:22">
      <c r="B45" s="3" t="s">
        <v>66</v>
      </c>
      <c r="C45" s="5">
        <v>1.95</v>
      </c>
      <c r="D45" s="5">
        <v>1.42</v>
      </c>
      <c r="E45" s="5">
        <v>1.42</v>
      </c>
      <c r="F45" s="5">
        <v>1.33</v>
      </c>
      <c r="G45" s="5">
        <v>1.95</v>
      </c>
      <c r="H45" s="17" t="s">
        <v>67</v>
      </c>
      <c r="I45" s="6" t="s">
        <v>5</v>
      </c>
      <c r="J45" t="s">
        <v>5</v>
      </c>
      <c r="K45" t="s">
        <v>5</v>
      </c>
      <c r="M45" s="5">
        <v>2.5</v>
      </c>
      <c r="N45" s="6" t="s">
        <v>4</v>
      </c>
      <c r="P45" t="s">
        <v>52</v>
      </c>
      <c r="Q45" s="18" t="s">
        <v>116</v>
      </c>
      <c r="S45" s="22">
        <v>0.42</v>
      </c>
      <c r="T45" s="18" t="s">
        <v>75</v>
      </c>
      <c r="U45" s="23">
        <f t="shared" si="0"/>
        <v>0.42</v>
      </c>
      <c r="V45" s="18" t="s">
        <v>75</v>
      </c>
    </row>
    <row r="46" spans="2:22">
      <c r="B46" s="3" t="s">
        <v>68</v>
      </c>
      <c r="C46" s="5">
        <v>1.98</v>
      </c>
      <c r="D46" s="5">
        <v>1.44</v>
      </c>
      <c r="E46" s="5">
        <v>1.44</v>
      </c>
      <c r="F46" s="5">
        <v>1.33</v>
      </c>
      <c r="G46" s="5">
        <v>1.98</v>
      </c>
      <c r="H46" s="17" t="s">
        <v>69</v>
      </c>
      <c r="I46" s="6" t="s">
        <v>5</v>
      </c>
      <c r="J46" t="s">
        <v>5</v>
      </c>
      <c r="K46" t="s">
        <v>5</v>
      </c>
      <c r="M46" s="5">
        <v>2.0099999999999998</v>
      </c>
      <c r="N46" s="6" t="s">
        <v>4</v>
      </c>
      <c r="P46" t="s">
        <v>52</v>
      </c>
      <c r="Q46" s="18" t="s">
        <v>118</v>
      </c>
      <c r="S46" s="10" t="s">
        <v>5</v>
      </c>
      <c r="T46" s="18"/>
      <c r="U46" s="23" t="str">
        <f t="shared" si="0"/>
        <v>No</v>
      </c>
      <c r="V46" s="18"/>
    </row>
    <row r="47" spans="2:22" ht="16.5">
      <c r="B47" s="3" t="s">
        <v>70</v>
      </c>
      <c r="C47" s="5">
        <v>1.39</v>
      </c>
      <c r="D47" s="5">
        <v>1.39</v>
      </c>
      <c r="E47" s="5">
        <v>1.39</v>
      </c>
      <c r="F47" s="5">
        <v>1.33</v>
      </c>
      <c r="G47" s="5">
        <v>1.39</v>
      </c>
      <c r="H47" s="9" t="s">
        <v>105</v>
      </c>
      <c r="I47" s="9" t="s">
        <v>107</v>
      </c>
      <c r="J47" t="s">
        <v>5</v>
      </c>
      <c r="K47" t="s">
        <v>5</v>
      </c>
      <c r="M47" s="5">
        <v>2</v>
      </c>
      <c r="N47" s="6" t="s">
        <v>4</v>
      </c>
      <c r="P47" t="s">
        <v>52</v>
      </c>
      <c r="Q47" s="18" t="s">
        <v>120</v>
      </c>
      <c r="S47" s="2">
        <v>0.42</v>
      </c>
      <c r="T47" s="18"/>
      <c r="U47" s="23">
        <f t="shared" si="0"/>
        <v>0.42</v>
      </c>
      <c r="V47" s="18"/>
    </row>
    <row r="48" spans="2:22">
      <c r="B48" s="3" t="s">
        <v>71</v>
      </c>
      <c r="C48" s="5">
        <v>3.12</v>
      </c>
      <c r="D48" s="5">
        <v>3.12</v>
      </c>
      <c r="E48" s="5">
        <v>3.12</v>
      </c>
      <c r="F48" s="5">
        <v>3.12</v>
      </c>
      <c r="G48" s="5">
        <v>2.08</v>
      </c>
      <c r="H48" s="17" t="s">
        <v>72</v>
      </c>
      <c r="I48" s="5">
        <v>1.33</v>
      </c>
      <c r="J48" t="s">
        <v>5</v>
      </c>
      <c r="K48" t="s">
        <v>5</v>
      </c>
      <c r="M48" s="6" t="s">
        <v>4</v>
      </c>
      <c r="N48" s="6" t="s">
        <v>4</v>
      </c>
      <c r="P48" t="s">
        <v>52</v>
      </c>
      <c r="Q48" s="18" t="s">
        <v>124</v>
      </c>
      <c r="S48" s="18" t="s">
        <v>5</v>
      </c>
      <c r="T48" s="18"/>
      <c r="U48" s="23" t="str">
        <f t="shared" si="0"/>
        <v>No</v>
      </c>
      <c r="V48" s="18"/>
    </row>
    <row r="49" spans="2:22">
      <c r="B49" s="3" t="s">
        <v>73</v>
      </c>
      <c r="C49" s="5">
        <v>1.43</v>
      </c>
      <c r="D49" s="5">
        <v>1.43</v>
      </c>
      <c r="E49" s="5">
        <v>1.43</v>
      </c>
      <c r="F49" s="5">
        <v>1.43</v>
      </c>
      <c r="G49" s="5">
        <v>1.43</v>
      </c>
      <c r="H49" s="17" t="s">
        <v>74</v>
      </c>
      <c r="I49" s="6" t="s">
        <v>75</v>
      </c>
      <c r="J49" t="s">
        <v>5</v>
      </c>
      <c r="K49" t="s">
        <v>5</v>
      </c>
      <c r="M49" s="5">
        <v>2</v>
      </c>
      <c r="N49" s="5">
        <v>2</v>
      </c>
      <c r="P49" t="s">
        <v>66</v>
      </c>
      <c r="Q49" s="18">
        <v>0</v>
      </c>
      <c r="S49" s="5">
        <v>1.95</v>
      </c>
      <c r="U49" s="23">
        <f t="shared" si="0"/>
        <v>1.95</v>
      </c>
    </row>
    <row r="50" spans="2:22">
      <c r="B50" s="3" t="s">
        <v>76</v>
      </c>
      <c r="C50" s="5">
        <v>2.1</v>
      </c>
      <c r="D50" s="5">
        <v>2.1</v>
      </c>
      <c r="E50" s="5">
        <v>2.1</v>
      </c>
      <c r="F50" s="5">
        <v>2.1</v>
      </c>
      <c r="G50" s="5">
        <v>1.93</v>
      </c>
      <c r="H50" s="17" t="s">
        <v>77</v>
      </c>
      <c r="I50" s="5">
        <v>1.33</v>
      </c>
      <c r="J50" t="s">
        <v>5</v>
      </c>
      <c r="K50" t="s">
        <v>5</v>
      </c>
      <c r="M50" s="5">
        <v>3.12</v>
      </c>
      <c r="N50" s="6" t="s">
        <v>4</v>
      </c>
      <c r="P50" t="s">
        <v>66</v>
      </c>
      <c r="Q50" s="18">
        <v>1</v>
      </c>
      <c r="S50" s="5">
        <v>1.42</v>
      </c>
      <c r="U50" s="23">
        <f t="shared" si="0"/>
        <v>1.42</v>
      </c>
    </row>
    <row r="51" spans="2:22">
      <c r="B51" s="3" t="s">
        <v>78</v>
      </c>
      <c r="C51" s="5">
        <v>1.58</v>
      </c>
      <c r="D51" s="5">
        <v>1.41</v>
      </c>
      <c r="E51" s="5">
        <v>1.41</v>
      </c>
      <c r="F51" s="5">
        <v>1.33</v>
      </c>
      <c r="G51" s="5">
        <v>1.58</v>
      </c>
      <c r="H51" s="17" t="s">
        <v>79</v>
      </c>
      <c r="I51" s="5">
        <v>1.33</v>
      </c>
      <c r="J51" t="s">
        <v>5</v>
      </c>
      <c r="K51" t="s">
        <v>5</v>
      </c>
      <c r="M51" s="5">
        <v>3</v>
      </c>
      <c r="N51" s="6" t="s">
        <v>4</v>
      </c>
      <c r="P51" t="s">
        <v>66</v>
      </c>
      <c r="Q51" s="18" t="s">
        <v>108</v>
      </c>
      <c r="S51" s="5">
        <v>1.42</v>
      </c>
      <c r="U51" s="23">
        <f t="shared" si="0"/>
        <v>1.42</v>
      </c>
    </row>
    <row r="52" spans="2:22" ht="16.5">
      <c r="B52" s="3" t="s">
        <v>80</v>
      </c>
      <c r="C52" s="5">
        <v>3.01</v>
      </c>
      <c r="D52" s="5">
        <v>1.86</v>
      </c>
      <c r="E52" s="5">
        <v>1.86</v>
      </c>
      <c r="F52" s="5">
        <v>1.51</v>
      </c>
      <c r="G52" s="5">
        <v>3.01</v>
      </c>
      <c r="H52" s="9" t="s">
        <v>106</v>
      </c>
      <c r="I52" s="9" t="s">
        <v>107</v>
      </c>
      <c r="J52" t="s">
        <v>5</v>
      </c>
      <c r="K52" t="s">
        <v>5</v>
      </c>
      <c r="M52" s="15" t="s">
        <v>81</v>
      </c>
      <c r="N52" s="6" t="s">
        <v>4</v>
      </c>
      <c r="P52" t="s">
        <v>66</v>
      </c>
      <c r="Q52" s="18" t="s">
        <v>109</v>
      </c>
      <c r="S52" s="5">
        <v>1.33</v>
      </c>
      <c r="U52" s="23">
        <f t="shared" si="0"/>
        <v>1.33</v>
      </c>
    </row>
    <row r="53" spans="2:22" ht="15" thickBot="1">
      <c r="B53" s="4" t="s">
        <v>82</v>
      </c>
      <c r="C53" s="5">
        <v>1.54</v>
      </c>
      <c r="D53" s="5">
        <v>1.54</v>
      </c>
      <c r="E53" s="5">
        <v>1.54</v>
      </c>
      <c r="F53" s="5">
        <v>1.33</v>
      </c>
      <c r="G53" s="5">
        <v>1.54</v>
      </c>
      <c r="H53" s="17" t="s">
        <v>72</v>
      </c>
      <c r="I53" s="6" t="s">
        <v>5</v>
      </c>
      <c r="J53" t="s">
        <v>5</v>
      </c>
      <c r="K53" t="s">
        <v>5</v>
      </c>
      <c r="M53" s="7">
        <v>2</v>
      </c>
      <c r="N53" s="8" t="s">
        <v>4</v>
      </c>
      <c r="P53" t="s">
        <v>66</v>
      </c>
      <c r="Q53" s="18" t="s">
        <v>117</v>
      </c>
      <c r="S53" s="5">
        <v>1.95</v>
      </c>
      <c r="U53" s="23">
        <f t="shared" si="0"/>
        <v>1.95</v>
      </c>
    </row>
    <row r="54" spans="2:22">
      <c r="P54" t="s">
        <v>66</v>
      </c>
      <c r="Q54" s="18" t="s">
        <v>116</v>
      </c>
      <c r="S54" s="22">
        <v>0.98</v>
      </c>
      <c r="T54" s="18" t="s">
        <v>75</v>
      </c>
      <c r="U54" s="23">
        <f t="shared" si="0"/>
        <v>0.98</v>
      </c>
      <c r="V54" s="18" t="s">
        <v>75</v>
      </c>
    </row>
    <row r="55" spans="2:22" ht="16.5">
      <c r="B55" s="11" t="s">
        <v>89</v>
      </c>
      <c r="P55" t="s">
        <v>66</v>
      </c>
      <c r="Q55" s="18" t="s">
        <v>118</v>
      </c>
      <c r="S55" s="18" t="s">
        <v>5</v>
      </c>
      <c r="U55" s="23" t="str">
        <f t="shared" si="0"/>
        <v>No</v>
      </c>
    </row>
    <row r="56" spans="2:22" ht="16.5">
      <c r="B56" s="11" t="s">
        <v>90</v>
      </c>
      <c r="P56" t="s">
        <v>66</v>
      </c>
      <c r="Q56" s="18" t="s">
        <v>120</v>
      </c>
      <c r="S56" s="18" t="s">
        <v>5</v>
      </c>
      <c r="U56" s="23" t="str">
        <f t="shared" si="0"/>
        <v>No</v>
      </c>
    </row>
    <row r="57" spans="2:22" ht="16.5">
      <c r="B57" s="11" t="s">
        <v>91</v>
      </c>
      <c r="P57" t="s">
        <v>66</v>
      </c>
      <c r="Q57" s="18" t="s">
        <v>124</v>
      </c>
      <c r="S57" s="18" t="s">
        <v>5</v>
      </c>
      <c r="U57" s="23" t="str">
        <f t="shared" si="0"/>
        <v>No</v>
      </c>
    </row>
    <row r="58" spans="2:22" ht="16.5">
      <c r="B58" s="11" t="s">
        <v>92</v>
      </c>
      <c r="P58" t="s">
        <v>68</v>
      </c>
      <c r="Q58" s="18">
        <v>0</v>
      </c>
      <c r="S58" s="5">
        <v>1.98</v>
      </c>
      <c r="U58" s="23">
        <f t="shared" si="0"/>
        <v>1.98</v>
      </c>
    </row>
    <row r="59" spans="2:22" ht="16.5">
      <c r="B59" s="11" t="s">
        <v>93</v>
      </c>
      <c r="P59" t="s">
        <v>68</v>
      </c>
      <c r="Q59" s="18">
        <v>1</v>
      </c>
      <c r="S59" s="5">
        <v>1.44</v>
      </c>
      <c r="U59" s="23">
        <f t="shared" si="0"/>
        <v>1.44</v>
      </c>
    </row>
    <row r="60" spans="2:22" ht="16.5">
      <c r="B60" s="11" t="s">
        <v>94</v>
      </c>
      <c r="P60" t="s">
        <v>68</v>
      </c>
      <c r="Q60" s="18" t="s">
        <v>108</v>
      </c>
      <c r="S60" s="5">
        <v>1.44</v>
      </c>
      <c r="U60" s="23">
        <f t="shared" si="0"/>
        <v>1.44</v>
      </c>
    </row>
    <row r="61" spans="2:22" ht="16.5">
      <c r="B61" s="11" t="s">
        <v>95</v>
      </c>
      <c r="P61" t="s">
        <v>68</v>
      </c>
      <c r="Q61" s="18" t="s">
        <v>109</v>
      </c>
      <c r="S61" s="5">
        <v>1.33</v>
      </c>
      <c r="U61" s="23">
        <f t="shared" si="0"/>
        <v>1.33</v>
      </c>
    </row>
    <row r="62" spans="2:22" ht="16.5">
      <c r="B62" s="11" t="s">
        <v>96</v>
      </c>
      <c r="P62" t="s">
        <v>68</v>
      </c>
      <c r="Q62" s="18" t="s">
        <v>117</v>
      </c>
      <c r="S62" s="5">
        <v>1.98</v>
      </c>
      <c r="U62" s="23">
        <f t="shared" si="0"/>
        <v>1.98</v>
      </c>
    </row>
    <row r="63" spans="2:22" ht="16.5">
      <c r="B63" s="11" t="s">
        <v>97</v>
      </c>
      <c r="P63" t="s">
        <v>68</v>
      </c>
      <c r="Q63" s="18" t="s">
        <v>116</v>
      </c>
      <c r="S63" s="22">
        <v>0.15</v>
      </c>
      <c r="T63" t="s">
        <v>75</v>
      </c>
      <c r="U63" s="23">
        <f t="shared" si="0"/>
        <v>0.15</v>
      </c>
      <c r="V63" t="s">
        <v>75</v>
      </c>
    </row>
    <row r="64" spans="2:22">
      <c r="B64" s="12"/>
      <c r="P64" t="s">
        <v>68</v>
      </c>
      <c r="Q64" s="18" t="s">
        <v>118</v>
      </c>
      <c r="S64" s="18" t="s">
        <v>5</v>
      </c>
      <c r="U64" s="23" t="str">
        <f t="shared" si="0"/>
        <v>No</v>
      </c>
    </row>
    <row r="65" spans="2:21" ht="16.5">
      <c r="B65" s="13" t="s">
        <v>98</v>
      </c>
      <c r="P65" t="s">
        <v>68</v>
      </c>
      <c r="Q65" s="18" t="s">
        <v>120</v>
      </c>
      <c r="S65" s="18" t="s">
        <v>5</v>
      </c>
      <c r="U65" s="23" t="str">
        <f t="shared" si="0"/>
        <v>No</v>
      </c>
    </row>
    <row r="66" spans="2:21" ht="16.5">
      <c r="B66" s="13" t="s">
        <v>99</v>
      </c>
      <c r="P66" t="s">
        <v>68</v>
      </c>
      <c r="Q66" s="18" t="s">
        <v>124</v>
      </c>
      <c r="S66" s="18" t="s">
        <v>5</v>
      </c>
      <c r="U66" s="23" t="str">
        <f t="shared" si="0"/>
        <v>No</v>
      </c>
    </row>
    <row r="67" spans="2:21" ht="16.5">
      <c r="B67" s="13" t="s">
        <v>100</v>
      </c>
    </row>
    <row r="68" spans="2:21">
      <c r="B68" s="14"/>
    </row>
    <row r="69" spans="2:21" ht="16.5">
      <c r="B69" s="11" t="s">
        <v>101</v>
      </c>
    </row>
    <row r="70" spans="2:21" ht="16.5">
      <c r="B70" s="11" t="s">
        <v>102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44633-3CEF-4CCD-978A-BE0612C82FD3}">
  <sheetPr codeName="Sheet3"/>
  <dimension ref="A1:AL390"/>
  <sheetViews>
    <sheetView topLeftCell="A383" workbookViewId="0">
      <selection activeCell="X4" sqref="X4:AD390"/>
    </sheetView>
  </sheetViews>
  <sheetFormatPr defaultRowHeight="14.5"/>
  <cols>
    <col min="2" max="2" width="19.453125" customWidth="1"/>
    <col min="3" max="4" width="10.54296875" customWidth="1"/>
    <col min="5" max="5" width="10.1796875" customWidth="1"/>
    <col min="7" max="7" width="11.54296875" customWidth="1"/>
    <col min="8" max="8" width="12.54296875" customWidth="1"/>
    <col min="9" max="9" width="11.453125" customWidth="1"/>
    <col min="10" max="12" width="13" customWidth="1"/>
    <col min="13" max="13" width="17.81640625" hidden="1" customWidth="1"/>
    <col min="14" max="15" width="9.1796875" hidden="1" customWidth="1"/>
    <col min="16" max="16" width="14.81640625" hidden="1" customWidth="1"/>
    <col min="17" max="17" width="20.81640625" hidden="1" customWidth="1"/>
    <col min="18" max="18" width="10.81640625" hidden="1" customWidth="1"/>
    <col min="19" max="19" width="10" hidden="1" customWidth="1"/>
    <col min="20" max="22" width="9.1796875" hidden="1" customWidth="1"/>
    <col min="23" max="23" width="0" hidden="1" customWidth="1"/>
    <col min="24" max="24" width="19.81640625" customWidth="1"/>
    <col min="25" max="25" width="18.7265625" customWidth="1"/>
    <col min="32" max="32" width="15" customWidth="1"/>
  </cols>
  <sheetData>
    <row r="1" spans="1:38" ht="15" thickBot="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F1">
        <v>24</v>
      </c>
      <c r="AG1">
        <v>25</v>
      </c>
      <c r="AH1">
        <v>26</v>
      </c>
      <c r="AI1">
        <v>27</v>
      </c>
      <c r="AJ1">
        <v>28</v>
      </c>
      <c r="AK1">
        <v>29</v>
      </c>
      <c r="AL1">
        <v>30</v>
      </c>
    </row>
    <row r="2" spans="1:38" ht="60.5" thickBot="1">
      <c r="B2" s="25" t="s">
        <v>0</v>
      </c>
      <c r="C2" s="25" t="s">
        <v>112</v>
      </c>
      <c r="D2" s="25" t="s">
        <v>113</v>
      </c>
      <c r="E2" s="25" t="s">
        <v>114</v>
      </c>
      <c r="F2" s="25" t="s">
        <v>85</v>
      </c>
      <c r="G2" s="25" t="s">
        <v>1</v>
      </c>
      <c r="H2" s="25" t="s">
        <v>88</v>
      </c>
      <c r="I2" s="25" t="s">
        <v>2</v>
      </c>
      <c r="J2" s="21" t="s">
        <v>119</v>
      </c>
      <c r="K2" s="21" t="s">
        <v>123</v>
      </c>
      <c r="L2" s="21"/>
      <c r="M2" s="1" t="s">
        <v>86</v>
      </c>
      <c r="N2" s="1" t="s">
        <v>87</v>
      </c>
      <c r="P2" t="s">
        <v>0</v>
      </c>
      <c r="Q2" t="s">
        <v>115</v>
      </c>
      <c r="R2">
        <v>2018</v>
      </c>
      <c r="S2">
        <v>2019</v>
      </c>
      <c r="T2" s="20" t="s">
        <v>126</v>
      </c>
      <c r="U2">
        <v>2020</v>
      </c>
      <c r="V2" s="20" t="s">
        <v>127</v>
      </c>
      <c r="X2" t="s">
        <v>0</v>
      </c>
      <c r="Y2" t="s">
        <v>115</v>
      </c>
      <c r="Z2">
        <v>2018</v>
      </c>
      <c r="AA2">
        <v>2019</v>
      </c>
      <c r="AB2" s="20" t="s">
        <v>126</v>
      </c>
      <c r="AC2">
        <v>2020</v>
      </c>
      <c r="AD2" s="20" t="s">
        <v>127</v>
      </c>
      <c r="AF2" t="s">
        <v>0</v>
      </c>
      <c r="AG2" t="s">
        <v>115</v>
      </c>
      <c r="AH2">
        <v>2018</v>
      </c>
      <c r="AI2">
        <v>2019</v>
      </c>
      <c r="AJ2" s="20" t="s">
        <v>126</v>
      </c>
      <c r="AK2">
        <v>2020</v>
      </c>
      <c r="AL2" s="20" t="s">
        <v>127</v>
      </c>
    </row>
    <row r="3" spans="1:38">
      <c r="A3">
        <v>1</v>
      </c>
      <c r="B3" s="30" t="s">
        <v>3</v>
      </c>
      <c r="C3" s="31">
        <v>1.41</v>
      </c>
      <c r="D3" s="31">
        <v>1.41</v>
      </c>
      <c r="E3" s="31">
        <v>1.41</v>
      </c>
      <c r="F3" s="31">
        <v>1.41</v>
      </c>
      <c r="G3" s="31">
        <v>1.41</v>
      </c>
      <c r="H3" s="31">
        <v>0.13</v>
      </c>
      <c r="I3" s="32" t="s">
        <v>5</v>
      </c>
      <c r="J3" s="18" t="s">
        <v>5</v>
      </c>
      <c r="K3" s="18" t="s">
        <v>5</v>
      </c>
      <c r="M3" s="5">
        <v>3.12</v>
      </c>
      <c r="N3" s="6" t="s">
        <v>4</v>
      </c>
      <c r="P3" t="s">
        <v>128</v>
      </c>
      <c r="Q3" s="18"/>
      <c r="S3" s="24">
        <v>43556</v>
      </c>
      <c r="T3" s="18"/>
      <c r="U3" s="18" t="s">
        <v>129</v>
      </c>
      <c r="X3" t="s">
        <v>128</v>
      </c>
      <c r="Y3" s="18"/>
      <c r="AA3" s="24">
        <v>43556</v>
      </c>
      <c r="AB3" s="18"/>
      <c r="AC3" s="18" t="s">
        <v>129</v>
      </c>
      <c r="AF3" t="s">
        <v>128</v>
      </c>
      <c r="AG3" s="18"/>
      <c r="AI3" s="24">
        <v>43556</v>
      </c>
      <c r="AJ3" s="18"/>
      <c r="AK3" s="18" t="s">
        <v>129</v>
      </c>
    </row>
    <row r="4" spans="1:38">
      <c r="A4">
        <v>2</v>
      </c>
      <c r="B4" s="9" t="s">
        <v>122</v>
      </c>
      <c r="C4" s="31">
        <v>2.0299999999999998</v>
      </c>
      <c r="D4" s="31">
        <v>2.0299999999999998</v>
      </c>
      <c r="E4" s="31">
        <v>2.0299999999999998</v>
      </c>
      <c r="F4" s="31">
        <v>2.0299999999999998</v>
      </c>
      <c r="G4" s="31">
        <v>2</v>
      </c>
      <c r="H4" s="33" t="s">
        <v>6</v>
      </c>
      <c r="I4" s="31">
        <v>1.33</v>
      </c>
      <c r="J4" s="18" t="s">
        <v>5</v>
      </c>
      <c r="K4" s="18" t="s">
        <v>5</v>
      </c>
      <c r="L4">
        <v>4</v>
      </c>
      <c r="M4" s="6" t="s">
        <v>4</v>
      </c>
      <c r="N4" s="6" t="s">
        <v>4</v>
      </c>
      <c r="P4" t="s">
        <v>3</v>
      </c>
      <c r="Q4" s="18">
        <v>0</v>
      </c>
      <c r="S4" s="5">
        <v>1.41</v>
      </c>
      <c r="U4" s="23">
        <f>S4</f>
        <v>1.41</v>
      </c>
      <c r="X4" s="30" t="s">
        <v>122</v>
      </c>
      <c r="Y4" s="28">
        <v>0</v>
      </c>
      <c r="AA4" s="31">
        <v>2.0299999999999998</v>
      </c>
      <c r="AB4" s="31"/>
      <c r="AC4" s="31"/>
      <c r="AD4" s="31"/>
      <c r="AE4" s="31"/>
      <c r="AF4" s="30" t="s">
        <v>3</v>
      </c>
      <c r="AG4" s="28">
        <v>0</v>
      </c>
      <c r="AI4" s="31">
        <v>1.41</v>
      </c>
      <c r="AJ4" s="31"/>
      <c r="AK4" s="31"/>
      <c r="AL4" s="31"/>
    </row>
    <row r="5" spans="1:38">
      <c r="A5">
        <v>3</v>
      </c>
      <c r="B5" s="30" t="s">
        <v>7</v>
      </c>
      <c r="C5" s="31">
        <v>1.47</v>
      </c>
      <c r="D5" s="31">
        <v>1.41</v>
      </c>
      <c r="E5" s="31">
        <v>1.41</v>
      </c>
      <c r="F5" s="31">
        <v>1.33</v>
      </c>
      <c r="G5" s="31">
        <v>1.56</v>
      </c>
      <c r="H5" s="31">
        <v>1.06</v>
      </c>
      <c r="I5" s="31">
        <v>1.33</v>
      </c>
      <c r="J5" s="18" t="s">
        <v>5</v>
      </c>
      <c r="K5" s="18" t="s">
        <v>5</v>
      </c>
      <c r="M5" s="5">
        <v>2</v>
      </c>
      <c r="N5" s="6" t="s">
        <v>4</v>
      </c>
      <c r="P5" t="s">
        <v>3</v>
      </c>
      <c r="Q5" s="18">
        <v>1</v>
      </c>
      <c r="S5" s="5">
        <v>1.41</v>
      </c>
      <c r="U5" s="23">
        <f t="shared" ref="U5:U66" si="0">S5</f>
        <v>1.41</v>
      </c>
      <c r="X5" s="30" t="s">
        <v>122</v>
      </c>
      <c r="Y5" s="29">
        <v>1</v>
      </c>
      <c r="AA5" s="31">
        <v>2.0299999999999998</v>
      </c>
      <c r="AB5" s="31"/>
      <c r="AC5" s="31"/>
      <c r="AD5" s="31"/>
      <c r="AE5" s="31"/>
      <c r="AF5" s="30" t="s">
        <v>3</v>
      </c>
      <c r="AG5" s="29">
        <v>1</v>
      </c>
      <c r="AI5" s="31">
        <v>1.41</v>
      </c>
      <c r="AJ5" s="31"/>
      <c r="AK5" s="31"/>
      <c r="AL5" s="31"/>
    </row>
    <row r="6" spans="1:38">
      <c r="A6">
        <v>4</v>
      </c>
      <c r="B6" s="30" t="s">
        <v>8</v>
      </c>
      <c r="C6" s="31">
        <v>1.42</v>
      </c>
      <c r="D6" s="31">
        <v>1.42</v>
      </c>
      <c r="E6" s="31">
        <v>1.42</v>
      </c>
      <c r="F6" s="31">
        <v>1.42</v>
      </c>
      <c r="G6" s="31">
        <v>2.09</v>
      </c>
      <c r="H6" s="33" t="s">
        <v>9</v>
      </c>
      <c r="I6" s="31">
        <v>1.33</v>
      </c>
      <c r="J6" s="18" t="s">
        <v>5</v>
      </c>
      <c r="K6" s="18" t="s">
        <v>5</v>
      </c>
      <c r="M6" s="5">
        <v>2.11</v>
      </c>
      <c r="N6" s="6" t="s">
        <v>4</v>
      </c>
      <c r="P6" t="s">
        <v>3</v>
      </c>
      <c r="Q6" s="18" t="s">
        <v>108</v>
      </c>
      <c r="S6" s="5">
        <v>1.41</v>
      </c>
      <c r="U6" s="23">
        <f t="shared" si="0"/>
        <v>1.41</v>
      </c>
      <c r="X6" s="30" t="s">
        <v>122</v>
      </c>
      <c r="Y6" s="28" t="s">
        <v>108</v>
      </c>
      <c r="AA6" s="31">
        <v>2.0299999999999998</v>
      </c>
      <c r="AB6" s="31"/>
      <c r="AC6" s="31"/>
      <c r="AD6" s="31"/>
      <c r="AE6" s="31"/>
      <c r="AF6" s="30" t="s">
        <v>3</v>
      </c>
      <c r="AG6" s="28" t="s">
        <v>108</v>
      </c>
      <c r="AI6" s="31">
        <v>1.41</v>
      </c>
      <c r="AJ6" s="31"/>
      <c r="AK6" s="31"/>
      <c r="AL6" s="31"/>
    </row>
    <row r="7" spans="1:38">
      <c r="A7">
        <v>5</v>
      </c>
      <c r="B7" s="30" t="s">
        <v>10</v>
      </c>
      <c r="C7" s="31">
        <v>2.61</v>
      </c>
      <c r="D7" s="31">
        <v>2.61</v>
      </c>
      <c r="E7" s="31">
        <v>2.61</v>
      </c>
      <c r="F7" s="31">
        <v>2.61</v>
      </c>
      <c r="G7" s="31">
        <v>2.08</v>
      </c>
      <c r="H7" s="31">
        <v>1.0900000000000001</v>
      </c>
      <c r="I7" s="31">
        <v>1.33</v>
      </c>
      <c r="J7" s="18" t="s">
        <v>5</v>
      </c>
      <c r="K7" s="18" t="s">
        <v>5</v>
      </c>
      <c r="M7" s="9" t="s">
        <v>11</v>
      </c>
      <c r="N7" s="6" t="s">
        <v>4</v>
      </c>
      <c r="P7" t="s">
        <v>3</v>
      </c>
      <c r="Q7" s="18" t="s">
        <v>109</v>
      </c>
      <c r="S7" s="5">
        <v>1.41</v>
      </c>
      <c r="U7" s="23">
        <f t="shared" si="0"/>
        <v>1.41</v>
      </c>
      <c r="X7" s="30" t="s">
        <v>122</v>
      </c>
      <c r="Y7" s="29" t="s">
        <v>109</v>
      </c>
      <c r="AA7" s="31">
        <v>2.0299999999999998</v>
      </c>
      <c r="AB7" s="31"/>
      <c r="AC7" s="31"/>
      <c r="AD7" s="31"/>
      <c r="AE7" s="31"/>
      <c r="AF7" s="30" t="s">
        <v>3</v>
      </c>
      <c r="AG7" s="29" t="s">
        <v>109</v>
      </c>
      <c r="AI7" s="31">
        <v>1.41</v>
      </c>
      <c r="AJ7" s="31"/>
      <c r="AK7" s="31"/>
      <c r="AL7" s="31"/>
    </row>
    <row r="8" spans="1:38">
      <c r="A8">
        <v>6</v>
      </c>
      <c r="B8" s="30" t="s">
        <v>12</v>
      </c>
      <c r="C8" s="31">
        <v>1.42</v>
      </c>
      <c r="D8" s="31">
        <v>1.42</v>
      </c>
      <c r="E8" s="31">
        <v>1.42</v>
      </c>
      <c r="F8" s="31">
        <v>1.42</v>
      </c>
      <c r="G8" s="31">
        <v>1.95</v>
      </c>
      <c r="H8" s="31">
        <v>0.68</v>
      </c>
      <c r="I8" s="31">
        <v>1.33</v>
      </c>
      <c r="J8" s="18" t="s">
        <v>5</v>
      </c>
      <c r="K8" s="18" t="s">
        <v>5</v>
      </c>
      <c r="M8" s="5">
        <v>2.6</v>
      </c>
      <c r="N8" s="5">
        <v>2.6</v>
      </c>
      <c r="P8" t="s">
        <v>3</v>
      </c>
      <c r="Q8" s="18" t="s">
        <v>117</v>
      </c>
      <c r="S8" s="5">
        <v>1.41</v>
      </c>
      <c r="U8" s="23">
        <f t="shared" si="0"/>
        <v>1.41</v>
      </c>
      <c r="X8" s="30" t="s">
        <v>122</v>
      </c>
      <c r="Y8" s="28" t="s">
        <v>117</v>
      </c>
      <c r="AA8" s="31">
        <v>2</v>
      </c>
      <c r="AB8" s="31"/>
      <c r="AC8" s="31"/>
      <c r="AD8" s="31"/>
      <c r="AE8" s="31"/>
      <c r="AF8" s="30" t="s">
        <v>3</v>
      </c>
      <c r="AG8" s="28" t="s">
        <v>117</v>
      </c>
      <c r="AI8" s="31">
        <v>1.41</v>
      </c>
      <c r="AJ8" s="31"/>
      <c r="AK8" s="31"/>
      <c r="AL8" s="31"/>
    </row>
    <row r="9" spans="1:38">
      <c r="A9">
        <v>7</v>
      </c>
      <c r="B9" s="30" t="s">
        <v>13</v>
      </c>
      <c r="C9" s="31">
        <v>1.96</v>
      </c>
      <c r="D9" s="31">
        <v>1.96</v>
      </c>
      <c r="E9" s="31">
        <v>1.96</v>
      </c>
      <c r="F9" s="31">
        <v>1.96</v>
      </c>
      <c r="G9" s="31">
        <v>2.58</v>
      </c>
      <c r="H9" s="31">
        <v>1.5</v>
      </c>
      <c r="I9" s="31">
        <v>1.33</v>
      </c>
      <c r="J9" s="18" t="s">
        <v>5</v>
      </c>
      <c r="K9" s="18" t="s">
        <v>5</v>
      </c>
      <c r="M9" s="5">
        <v>3.18</v>
      </c>
      <c r="N9" s="6" t="s">
        <v>4</v>
      </c>
      <c r="P9" t="s">
        <v>3</v>
      </c>
      <c r="Q9" s="18" t="s">
        <v>116</v>
      </c>
      <c r="S9" s="5">
        <v>0.13</v>
      </c>
      <c r="T9" s="18" t="s">
        <v>5</v>
      </c>
      <c r="U9" s="23">
        <f t="shared" si="0"/>
        <v>0.13</v>
      </c>
      <c r="V9" s="18" t="s">
        <v>5</v>
      </c>
      <c r="X9" s="30" t="s">
        <v>122</v>
      </c>
      <c r="Y9" s="29" t="s">
        <v>116</v>
      </c>
      <c r="AA9" s="34">
        <v>1.35</v>
      </c>
      <c r="AB9" s="31" t="s">
        <v>75</v>
      </c>
      <c r="AC9" s="31"/>
      <c r="AD9" s="31"/>
      <c r="AE9" s="31"/>
      <c r="AF9" s="30" t="s">
        <v>3</v>
      </c>
      <c r="AG9" s="29" t="s">
        <v>116</v>
      </c>
      <c r="AI9" s="31">
        <v>0.13</v>
      </c>
      <c r="AJ9" s="31" t="s">
        <v>5</v>
      </c>
      <c r="AK9" s="31"/>
      <c r="AL9" s="31"/>
    </row>
    <row r="10" spans="1:38">
      <c r="A10">
        <v>8</v>
      </c>
      <c r="B10" s="30" t="s">
        <v>14</v>
      </c>
      <c r="C10" s="31">
        <v>2.12</v>
      </c>
      <c r="D10" s="31">
        <v>1.42</v>
      </c>
      <c r="E10" s="31">
        <v>1.42</v>
      </c>
      <c r="F10" s="31">
        <v>1.33</v>
      </c>
      <c r="G10" s="31">
        <v>2.12</v>
      </c>
      <c r="H10" s="31">
        <v>0.87</v>
      </c>
      <c r="I10" s="31">
        <v>1.33</v>
      </c>
      <c r="J10" s="18" t="s">
        <v>5</v>
      </c>
      <c r="K10" s="18" t="s">
        <v>5</v>
      </c>
      <c r="M10" s="6" t="s">
        <v>15</v>
      </c>
      <c r="N10" s="6" t="s">
        <v>4</v>
      </c>
      <c r="P10" t="s">
        <v>3</v>
      </c>
      <c r="Q10" s="18" t="s">
        <v>118</v>
      </c>
      <c r="S10" s="5" t="s">
        <v>5</v>
      </c>
      <c r="U10" s="23" t="str">
        <f t="shared" si="0"/>
        <v>No</v>
      </c>
      <c r="X10" s="30" t="s">
        <v>122</v>
      </c>
      <c r="Y10" s="28" t="s">
        <v>118</v>
      </c>
      <c r="AA10" s="31">
        <v>1.33</v>
      </c>
      <c r="AB10" s="31"/>
      <c r="AC10" s="31"/>
      <c r="AD10" s="31"/>
      <c r="AE10" s="31"/>
      <c r="AF10" s="30" t="s">
        <v>3</v>
      </c>
      <c r="AG10" s="28" t="s">
        <v>118</v>
      </c>
      <c r="AI10" s="32" t="s">
        <v>5</v>
      </c>
      <c r="AJ10" s="31"/>
      <c r="AK10" s="31"/>
      <c r="AL10" s="31"/>
    </row>
    <row r="11" spans="1:38">
      <c r="A11">
        <v>9</v>
      </c>
      <c r="B11" s="30" t="s">
        <v>16</v>
      </c>
      <c r="C11" s="31">
        <v>3.19</v>
      </c>
      <c r="D11" s="31">
        <v>3.19</v>
      </c>
      <c r="E11" s="31">
        <v>3.19</v>
      </c>
      <c r="F11" s="31">
        <v>3.19</v>
      </c>
      <c r="G11" s="31">
        <v>3.19</v>
      </c>
      <c r="H11" s="31">
        <v>2.16</v>
      </c>
      <c r="I11" s="23">
        <v>2.1</v>
      </c>
      <c r="J11" s="23">
        <v>2.16</v>
      </c>
      <c r="K11" s="18" t="s">
        <v>5</v>
      </c>
      <c r="L11" s="2"/>
      <c r="M11" s="15" t="s">
        <v>4</v>
      </c>
      <c r="N11" s="6" t="s">
        <v>4</v>
      </c>
      <c r="P11" t="s">
        <v>3</v>
      </c>
      <c r="Q11" s="18" t="s">
        <v>120</v>
      </c>
      <c r="S11" s="5" t="s">
        <v>5</v>
      </c>
      <c r="U11" s="23" t="str">
        <f t="shared" si="0"/>
        <v>No</v>
      </c>
      <c r="X11" s="30" t="s">
        <v>122</v>
      </c>
      <c r="Y11" s="29" t="s">
        <v>120</v>
      </c>
      <c r="AA11" s="18" t="s">
        <v>5</v>
      </c>
      <c r="AB11" s="31"/>
      <c r="AC11" s="31"/>
      <c r="AD11" s="31"/>
      <c r="AE11" s="31"/>
      <c r="AF11" s="30" t="s">
        <v>3</v>
      </c>
      <c r="AG11" s="29" t="s">
        <v>120</v>
      </c>
      <c r="AI11" s="18" t="s">
        <v>5</v>
      </c>
      <c r="AJ11" s="31"/>
      <c r="AK11" s="31"/>
      <c r="AL11" s="31"/>
    </row>
    <row r="12" spans="1:38">
      <c r="A12">
        <v>10</v>
      </c>
      <c r="B12" s="30" t="s">
        <v>17</v>
      </c>
      <c r="C12" s="31">
        <v>2.06</v>
      </c>
      <c r="D12" s="31">
        <v>1.4</v>
      </c>
      <c r="E12" s="31">
        <v>1.4</v>
      </c>
      <c r="F12" s="31">
        <v>1.33</v>
      </c>
      <c r="G12" s="31">
        <v>1.91</v>
      </c>
      <c r="H12" s="33" t="s">
        <v>19</v>
      </c>
      <c r="I12" s="18" t="s">
        <v>5</v>
      </c>
      <c r="J12" s="23">
        <v>0.28000000000000003</v>
      </c>
      <c r="K12" s="18" t="s">
        <v>5</v>
      </c>
      <c r="L12">
        <v>12</v>
      </c>
      <c r="M12" s="15" t="s">
        <v>18</v>
      </c>
      <c r="N12" s="6" t="s">
        <v>4</v>
      </c>
      <c r="P12" t="s">
        <v>3</v>
      </c>
      <c r="Q12" s="18" t="s">
        <v>124</v>
      </c>
      <c r="S12" s="5" t="s">
        <v>5</v>
      </c>
      <c r="U12" s="23" t="str">
        <f t="shared" si="0"/>
        <v>No</v>
      </c>
      <c r="X12" s="30" t="s">
        <v>122</v>
      </c>
      <c r="Y12" s="28" t="s">
        <v>124</v>
      </c>
      <c r="AA12" s="18" t="s">
        <v>5</v>
      </c>
      <c r="AB12" s="31"/>
      <c r="AC12" s="31"/>
      <c r="AD12" s="31"/>
      <c r="AE12" s="31"/>
      <c r="AF12" s="30" t="s">
        <v>3</v>
      </c>
      <c r="AG12" s="28" t="s">
        <v>124</v>
      </c>
      <c r="AI12" s="18" t="s">
        <v>5</v>
      </c>
      <c r="AJ12" s="31"/>
    </row>
    <row r="13" spans="1:38">
      <c r="A13">
        <v>11</v>
      </c>
      <c r="B13" s="30" t="s">
        <v>20</v>
      </c>
      <c r="C13" s="31">
        <v>2.0499999999999998</v>
      </c>
      <c r="D13" s="31">
        <v>1.49</v>
      </c>
      <c r="E13" s="31">
        <v>1.49</v>
      </c>
      <c r="F13" s="31">
        <v>1.33</v>
      </c>
      <c r="G13" s="31">
        <v>2.2000000000000002</v>
      </c>
      <c r="H13" s="33" t="s">
        <v>21</v>
      </c>
      <c r="I13" s="32" t="s">
        <v>5</v>
      </c>
      <c r="J13" s="18" t="s">
        <v>5</v>
      </c>
      <c r="K13" s="18" t="s">
        <v>5</v>
      </c>
      <c r="L13">
        <v>13</v>
      </c>
      <c r="M13" s="5">
        <v>2.4700000000000002</v>
      </c>
      <c r="N13" s="6" t="s">
        <v>4</v>
      </c>
      <c r="P13" t="s">
        <v>17</v>
      </c>
      <c r="Q13" s="18">
        <v>0</v>
      </c>
      <c r="S13" s="5">
        <v>2.06</v>
      </c>
      <c r="U13" s="23">
        <f t="shared" si="0"/>
        <v>2.06</v>
      </c>
      <c r="X13" s="30" t="s">
        <v>7</v>
      </c>
      <c r="Y13" s="28">
        <v>0</v>
      </c>
      <c r="AA13" s="31">
        <v>1.47</v>
      </c>
      <c r="AE13" s="31"/>
      <c r="AF13" s="30" t="s">
        <v>17</v>
      </c>
      <c r="AG13" s="28">
        <v>0</v>
      </c>
      <c r="AI13" s="31">
        <v>2.06</v>
      </c>
    </row>
    <row r="14" spans="1:38">
      <c r="A14">
        <v>12</v>
      </c>
      <c r="B14" s="9" t="s">
        <v>121</v>
      </c>
      <c r="C14" s="31">
        <v>3.08</v>
      </c>
      <c r="D14" s="31">
        <v>3.08</v>
      </c>
      <c r="E14" s="31">
        <v>3.08</v>
      </c>
      <c r="F14" s="31">
        <v>3.08</v>
      </c>
      <c r="G14" s="31">
        <v>1.91</v>
      </c>
      <c r="H14" s="31">
        <v>1.05</v>
      </c>
      <c r="I14" s="31">
        <v>1.33</v>
      </c>
      <c r="J14" s="18" t="s">
        <v>5</v>
      </c>
      <c r="K14" s="18" t="s">
        <v>5</v>
      </c>
      <c r="M14" s="6" t="s">
        <v>4</v>
      </c>
      <c r="N14" s="6" t="s">
        <v>4</v>
      </c>
      <c r="P14" t="s">
        <v>17</v>
      </c>
      <c r="Q14" s="18">
        <v>1</v>
      </c>
      <c r="S14" s="5">
        <v>1.4</v>
      </c>
      <c r="U14" s="23">
        <f t="shared" si="0"/>
        <v>1.4</v>
      </c>
      <c r="X14" s="30" t="s">
        <v>7</v>
      </c>
      <c r="Y14" s="29">
        <v>1</v>
      </c>
      <c r="AA14" s="31">
        <v>1.41</v>
      </c>
      <c r="AE14" s="31"/>
      <c r="AF14" s="30" t="s">
        <v>17</v>
      </c>
      <c r="AG14" s="29">
        <v>1</v>
      </c>
      <c r="AI14" s="31">
        <v>1.4</v>
      </c>
    </row>
    <row r="15" spans="1:38">
      <c r="A15">
        <v>13</v>
      </c>
      <c r="B15" s="30" t="s">
        <v>22</v>
      </c>
      <c r="C15" s="31">
        <v>1.42</v>
      </c>
      <c r="D15" s="31">
        <v>1.42</v>
      </c>
      <c r="E15" s="31">
        <v>1.42</v>
      </c>
      <c r="F15" s="31">
        <v>1.33</v>
      </c>
      <c r="G15" s="31">
        <v>1.33</v>
      </c>
      <c r="H15" s="33" t="s">
        <v>23</v>
      </c>
      <c r="I15" s="32" t="s">
        <v>5</v>
      </c>
      <c r="J15" s="18" t="s">
        <v>5</v>
      </c>
      <c r="K15" s="18" t="s">
        <v>5</v>
      </c>
      <c r="M15" s="5">
        <v>1.85</v>
      </c>
      <c r="N15" s="6" t="s">
        <v>4</v>
      </c>
      <c r="P15" t="s">
        <v>17</v>
      </c>
      <c r="Q15" s="18" t="s">
        <v>108</v>
      </c>
      <c r="S15" s="5">
        <v>1.4</v>
      </c>
      <c r="U15" s="23">
        <f t="shared" si="0"/>
        <v>1.4</v>
      </c>
      <c r="X15" s="30" t="s">
        <v>7</v>
      </c>
      <c r="Y15" s="28" t="s">
        <v>108</v>
      </c>
      <c r="AA15" s="31">
        <v>1.41</v>
      </c>
      <c r="AE15" s="31"/>
      <c r="AF15" s="30" t="s">
        <v>17</v>
      </c>
      <c r="AG15" s="28" t="s">
        <v>108</v>
      </c>
      <c r="AI15" s="31">
        <v>1.4</v>
      </c>
    </row>
    <row r="16" spans="1:38">
      <c r="A16">
        <v>14</v>
      </c>
      <c r="B16" s="30" t="s">
        <v>24</v>
      </c>
      <c r="C16" s="31">
        <v>1.42</v>
      </c>
      <c r="D16" s="31">
        <v>1.42</v>
      </c>
      <c r="E16" s="31">
        <v>1.42</v>
      </c>
      <c r="F16" s="31">
        <v>1.42</v>
      </c>
      <c r="G16" s="31">
        <v>2.08</v>
      </c>
      <c r="H16" s="31">
        <v>1.33</v>
      </c>
      <c r="I16" s="31">
        <v>1.33</v>
      </c>
      <c r="J16" s="18" t="s">
        <v>5</v>
      </c>
      <c r="K16" s="18" t="s">
        <v>5</v>
      </c>
      <c r="M16" s="5">
        <v>3.13</v>
      </c>
      <c r="N16" s="6" t="s">
        <v>4</v>
      </c>
      <c r="P16" t="s">
        <v>17</v>
      </c>
      <c r="Q16" s="18" t="s">
        <v>109</v>
      </c>
      <c r="S16" s="5">
        <v>1.33</v>
      </c>
      <c r="U16" s="23">
        <f t="shared" si="0"/>
        <v>1.33</v>
      </c>
      <c r="X16" s="30" t="s">
        <v>7</v>
      </c>
      <c r="Y16" s="29" t="s">
        <v>109</v>
      </c>
      <c r="AA16" s="31">
        <v>1.33</v>
      </c>
      <c r="AE16" s="31"/>
      <c r="AF16" s="30" t="s">
        <v>17</v>
      </c>
      <c r="AG16" s="29" t="s">
        <v>109</v>
      </c>
      <c r="AI16" s="31">
        <v>1.33</v>
      </c>
    </row>
    <row r="17" spans="1:36">
      <c r="A17">
        <v>15</v>
      </c>
      <c r="B17" s="30" t="s">
        <v>25</v>
      </c>
      <c r="C17" s="31">
        <v>2.08</v>
      </c>
      <c r="D17" s="31">
        <v>1.58</v>
      </c>
      <c r="E17" s="31">
        <v>1.58</v>
      </c>
      <c r="F17" s="31">
        <v>1.58</v>
      </c>
      <c r="G17" s="31">
        <v>2.08</v>
      </c>
      <c r="H17" s="33" t="s">
        <v>26</v>
      </c>
      <c r="I17" s="31">
        <v>1.33</v>
      </c>
      <c r="J17" s="18" t="s">
        <v>5</v>
      </c>
      <c r="K17" s="18" t="s">
        <v>5</v>
      </c>
      <c r="M17" s="5">
        <v>2.5</v>
      </c>
      <c r="N17" s="6" t="s">
        <v>4</v>
      </c>
      <c r="P17" t="s">
        <v>17</v>
      </c>
      <c r="Q17" s="18" t="s">
        <v>117</v>
      </c>
      <c r="S17" s="5">
        <v>1.91</v>
      </c>
      <c r="U17" s="23">
        <f t="shared" si="0"/>
        <v>1.91</v>
      </c>
      <c r="X17" s="30" t="s">
        <v>7</v>
      </c>
      <c r="Y17" s="28" t="s">
        <v>117</v>
      </c>
      <c r="AA17" s="31">
        <v>1.56</v>
      </c>
      <c r="AE17" s="31"/>
      <c r="AF17" s="30" t="s">
        <v>17</v>
      </c>
      <c r="AG17" s="28" t="s">
        <v>117</v>
      </c>
      <c r="AI17" s="31">
        <v>1.91</v>
      </c>
    </row>
    <row r="18" spans="1:36">
      <c r="A18">
        <v>16</v>
      </c>
      <c r="B18" s="30" t="s">
        <v>27</v>
      </c>
      <c r="C18" s="31">
        <v>3.75</v>
      </c>
      <c r="D18" s="31">
        <v>1.67</v>
      </c>
      <c r="E18" s="31">
        <v>1.67</v>
      </c>
      <c r="F18" s="31">
        <v>1.67</v>
      </c>
      <c r="G18" s="31">
        <v>3.75</v>
      </c>
      <c r="H18" s="33" t="s">
        <v>29</v>
      </c>
      <c r="I18" s="31">
        <v>1.33</v>
      </c>
      <c r="J18" s="18" t="s">
        <v>5</v>
      </c>
      <c r="K18" s="18" t="s">
        <v>5</v>
      </c>
      <c r="M18" s="15" t="s">
        <v>28</v>
      </c>
      <c r="N18" s="6" t="s">
        <v>4</v>
      </c>
      <c r="P18" t="s">
        <v>17</v>
      </c>
      <c r="Q18" s="18" t="s">
        <v>116</v>
      </c>
      <c r="S18" s="22">
        <v>0.28000000000000003</v>
      </c>
      <c r="T18" s="18" t="s">
        <v>75</v>
      </c>
      <c r="U18" s="23">
        <f t="shared" si="0"/>
        <v>0.28000000000000003</v>
      </c>
      <c r="V18" s="18" t="s">
        <v>75</v>
      </c>
      <c r="X18" s="30" t="s">
        <v>7</v>
      </c>
      <c r="Y18" s="29" t="s">
        <v>116</v>
      </c>
      <c r="AA18" s="31">
        <v>1.06</v>
      </c>
      <c r="AB18" t="s">
        <v>5</v>
      </c>
      <c r="AE18" s="31"/>
      <c r="AF18" s="30" t="s">
        <v>17</v>
      </c>
      <c r="AG18" s="29" t="s">
        <v>116</v>
      </c>
      <c r="AI18" s="34">
        <v>0.28000000000000003</v>
      </c>
      <c r="AJ18" t="s">
        <v>75</v>
      </c>
    </row>
    <row r="19" spans="1:36">
      <c r="A19">
        <v>17</v>
      </c>
      <c r="B19" s="30" t="s">
        <v>30</v>
      </c>
      <c r="C19" s="31">
        <v>1.66</v>
      </c>
      <c r="D19" s="31">
        <v>1.49</v>
      </c>
      <c r="E19" s="31">
        <v>1.49</v>
      </c>
      <c r="F19" s="31">
        <v>1.33</v>
      </c>
      <c r="G19" s="31">
        <v>1.66</v>
      </c>
      <c r="H19" s="31">
        <v>0.33</v>
      </c>
      <c r="I19" s="32" t="s">
        <v>5</v>
      </c>
      <c r="J19" s="18" t="s">
        <v>5</v>
      </c>
      <c r="K19" s="18" t="s">
        <v>5</v>
      </c>
      <c r="M19" s="5">
        <v>2.2999999999999998</v>
      </c>
      <c r="N19" s="6" t="s">
        <v>4</v>
      </c>
      <c r="P19" t="s">
        <v>17</v>
      </c>
      <c r="Q19" s="18" t="s">
        <v>118</v>
      </c>
      <c r="S19" s="5" t="s">
        <v>5</v>
      </c>
      <c r="U19" s="23" t="str">
        <f t="shared" si="0"/>
        <v>No</v>
      </c>
      <c r="X19" s="30" t="s">
        <v>7</v>
      </c>
      <c r="Y19" s="28" t="s">
        <v>118</v>
      </c>
      <c r="AA19" s="31">
        <v>1.33</v>
      </c>
      <c r="AE19" s="31"/>
      <c r="AF19" s="30" t="s">
        <v>17</v>
      </c>
      <c r="AG19" s="28" t="s">
        <v>118</v>
      </c>
      <c r="AI19" s="18" t="s">
        <v>5</v>
      </c>
    </row>
    <row r="20" spans="1:36">
      <c r="A20">
        <v>18</v>
      </c>
      <c r="B20" s="30" t="s">
        <v>31</v>
      </c>
      <c r="C20" s="31">
        <v>1.95</v>
      </c>
      <c r="D20" s="31">
        <v>1.59</v>
      </c>
      <c r="E20" s="31">
        <v>1.59</v>
      </c>
      <c r="F20" s="31">
        <v>1.59</v>
      </c>
      <c r="G20" s="31">
        <v>1.95</v>
      </c>
      <c r="H20" s="33" t="s">
        <v>32</v>
      </c>
      <c r="I20" s="31">
        <v>1.33</v>
      </c>
      <c r="J20" s="18" t="s">
        <v>5</v>
      </c>
      <c r="K20" s="18" t="s">
        <v>5</v>
      </c>
      <c r="M20" s="5">
        <v>2.13</v>
      </c>
      <c r="N20" s="6" t="s">
        <v>4</v>
      </c>
      <c r="P20" t="s">
        <v>17</v>
      </c>
      <c r="Q20" s="18" t="s">
        <v>120</v>
      </c>
      <c r="S20" s="5">
        <v>0.28000000000000003</v>
      </c>
      <c r="U20" s="23">
        <f t="shared" si="0"/>
        <v>0.28000000000000003</v>
      </c>
      <c r="X20" s="30" t="s">
        <v>7</v>
      </c>
      <c r="Y20" s="29" t="s">
        <v>120</v>
      </c>
      <c r="AA20" s="18" t="s">
        <v>5</v>
      </c>
      <c r="AE20" s="31"/>
      <c r="AF20" s="30" t="s">
        <v>17</v>
      </c>
      <c r="AG20" s="29" t="s">
        <v>120</v>
      </c>
      <c r="AI20" s="23">
        <v>0.28000000000000003</v>
      </c>
    </row>
    <row r="21" spans="1:36">
      <c r="A21">
        <v>19</v>
      </c>
      <c r="B21" s="30" t="s">
        <v>33</v>
      </c>
      <c r="C21" s="31">
        <v>2.12</v>
      </c>
      <c r="D21" s="31">
        <v>2.12</v>
      </c>
      <c r="E21" s="31">
        <v>2.12</v>
      </c>
      <c r="F21" s="31">
        <v>2.12</v>
      </c>
      <c r="G21" s="31">
        <v>1.33</v>
      </c>
      <c r="H21" s="31">
        <v>0.19</v>
      </c>
      <c r="I21" s="31">
        <v>1.33</v>
      </c>
      <c r="J21" s="18" t="s">
        <v>5</v>
      </c>
      <c r="K21" s="18" t="s">
        <v>5</v>
      </c>
      <c r="L21">
        <v>21</v>
      </c>
      <c r="M21" s="5">
        <v>2.5</v>
      </c>
      <c r="N21" s="6" t="s">
        <v>4</v>
      </c>
      <c r="P21" t="s">
        <v>17</v>
      </c>
      <c r="Q21" s="18" t="s">
        <v>124</v>
      </c>
      <c r="S21" s="5" t="s">
        <v>5</v>
      </c>
      <c r="U21" s="23" t="str">
        <f t="shared" si="0"/>
        <v>No</v>
      </c>
      <c r="X21" s="30" t="s">
        <v>7</v>
      </c>
      <c r="Y21" s="28" t="s">
        <v>124</v>
      </c>
      <c r="AA21" s="18" t="s">
        <v>5</v>
      </c>
      <c r="AE21" s="31"/>
      <c r="AF21" s="30" t="s">
        <v>17</v>
      </c>
      <c r="AG21" s="28" t="s">
        <v>124</v>
      </c>
      <c r="AI21" s="18" t="s">
        <v>5</v>
      </c>
    </row>
    <row r="22" spans="1:36">
      <c r="A22">
        <v>20</v>
      </c>
      <c r="B22" s="30" t="s">
        <v>34</v>
      </c>
      <c r="C22" s="31">
        <v>1.91</v>
      </c>
      <c r="D22" s="31">
        <v>1.57</v>
      </c>
      <c r="E22" s="31">
        <v>1.57</v>
      </c>
      <c r="F22" s="31">
        <v>1.57</v>
      </c>
      <c r="G22" s="31">
        <v>2.09</v>
      </c>
      <c r="H22" s="31">
        <v>1</v>
      </c>
      <c r="I22" s="27">
        <v>1.33</v>
      </c>
      <c r="J22" s="23">
        <v>1.56</v>
      </c>
      <c r="K22" s="18" t="s">
        <v>5</v>
      </c>
      <c r="L22">
        <v>22</v>
      </c>
      <c r="M22" s="5">
        <v>2.08</v>
      </c>
      <c r="N22" s="6" t="s">
        <v>4</v>
      </c>
      <c r="P22" t="s">
        <v>20</v>
      </c>
      <c r="Q22" s="18">
        <v>0</v>
      </c>
      <c r="S22" s="5">
        <v>2.0499999999999998</v>
      </c>
      <c r="U22" s="23">
        <f t="shared" si="0"/>
        <v>2.0499999999999998</v>
      </c>
      <c r="X22" s="30" t="s">
        <v>8</v>
      </c>
      <c r="Y22" s="28">
        <v>0</v>
      </c>
      <c r="AA22" s="31">
        <v>1.42</v>
      </c>
      <c r="AF22" s="30" t="s">
        <v>20</v>
      </c>
      <c r="AG22" s="28">
        <v>0</v>
      </c>
      <c r="AI22" s="31">
        <v>2.0499999999999998</v>
      </c>
    </row>
    <row r="23" spans="1:36">
      <c r="A23">
        <v>21</v>
      </c>
      <c r="B23" s="30" t="s">
        <v>35</v>
      </c>
      <c r="C23" s="31">
        <v>3.17</v>
      </c>
      <c r="D23" s="31">
        <v>3.17</v>
      </c>
      <c r="E23" s="31">
        <v>3.17</v>
      </c>
      <c r="F23" s="31">
        <v>3.17</v>
      </c>
      <c r="G23" s="31">
        <v>2.59</v>
      </c>
      <c r="H23" s="31">
        <v>1.23</v>
      </c>
      <c r="I23" s="31">
        <v>1.33</v>
      </c>
      <c r="J23" s="18" t="s">
        <v>5</v>
      </c>
      <c r="K23" s="18" t="s">
        <v>5</v>
      </c>
      <c r="M23" s="6" t="s">
        <v>4</v>
      </c>
      <c r="N23" s="6" t="s">
        <v>4</v>
      </c>
      <c r="P23" t="s">
        <v>20</v>
      </c>
      <c r="Q23" s="18">
        <v>1</v>
      </c>
      <c r="S23" s="5">
        <v>1.49</v>
      </c>
      <c r="U23" s="23">
        <f t="shared" si="0"/>
        <v>1.49</v>
      </c>
      <c r="X23" s="30" t="s">
        <v>8</v>
      </c>
      <c r="Y23" s="29">
        <v>1</v>
      </c>
      <c r="AA23" s="31">
        <v>1.42</v>
      </c>
      <c r="AF23" s="30" t="s">
        <v>20</v>
      </c>
      <c r="AG23" s="29">
        <v>1</v>
      </c>
      <c r="AI23" s="31">
        <v>1.49</v>
      </c>
    </row>
    <row r="24" spans="1:36">
      <c r="A24">
        <v>22</v>
      </c>
      <c r="B24" s="30" t="s">
        <v>36</v>
      </c>
      <c r="C24" s="31">
        <v>2</v>
      </c>
      <c r="D24" s="31">
        <v>1.5</v>
      </c>
      <c r="E24" s="31">
        <v>1.5</v>
      </c>
      <c r="F24" s="31">
        <v>1.5</v>
      </c>
      <c r="G24" s="31">
        <v>2</v>
      </c>
      <c r="H24" s="31">
        <v>1.33</v>
      </c>
      <c r="I24" s="27">
        <v>1.33</v>
      </c>
      <c r="J24" s="23">
        <v>1.5</v>
      </c>
      <c r="K24" s="18" t="s">
        <v>5</v>
      </c>
      <c r="M24" s="5">
        <v>3</v>
      </c>
      <c r="N24" s="6" t="s">
        <v>4</v>
      </c>
      <c r="P24" t="s">
        <v>20</v>
      </c>
      <c r="Q24" s="18" t="s">
        <v>108</v>
      </c>
      <c r="S24" s="5">
        <v>1.49</v>
      </c>
      <c r="U24" s="23">
        <f t="shared" si="0"/>
        <v>1.49</v>
      </c>
      <c r="X24" s="30" t="s">
        <v>8</v>
      </c>
      <c r="Y24" s="28" t="s">
        <v>108</v>
      </c>
      <c r="AA24" s="31">
        <v>1.42</v>
      </c>
      <c r="AF24" s="30" t="s">
        <v>20</v>
      </c>
      <c r="AG24" s="28" t="s">
        <v>108</v>
      </c>
      <c r="AI24" s="31">
        <v>1.49</v>
      </c>
    </row>
    <row r="25" spans="1:36">
      <c r="A25">
        <v>23</v>
      </c>
      <c r="B25" s="30" t="s">
        <v>37</v>
      </c>
      <c r="C25" s="31">
        <v>2.12</v>
      </c>
      <c r="D25" s="31">
        <v>2.12</v>
      </c>
      <c r="E25" s="31">
        <v>2.12</v>
      </c>
      <c r="F25" s="31">
        <v>2.12</v>
      </c>
      <c r="G25" s="31">
        <v>1.95</v>
      </c>
      <c r="H25" s="31">
        <v>0.54</v>
      </c>
      <c r="I25" s="31">
        <v>1.33</v>
      </c>
      <c r="J25" s="18" t="s">
        <v>5</v>
      </c>
      <c r="K25" s="18" t="s">
        <v>5</v>
      </c>
      <c r="M25" s="6" t="s">
        <v>4</v>
      </c>
      <c r="N25" s="6" t="s">
        <v>4</v>
      </c>
      <c r="P25" t="s">
        <v>20</v>
      </c>
      <c r="Q25" s="18" t="s">
        <v>109</v>
      </c>
      <c r="S25" s="5">
        <v>1.33</v>
      </c>
      <c r="U25" s="23">
        <f t="shared" si="0"/>
        <v>1.33</v>
      </c>
      <c r="X25" s="30" t="s">
        <v>8</v>
      </c>
      <c r="Y25" s="29" t="s">
        <v>109</v>
      </c>
      <c r="AA25" s="31">
        <v>1.42</v>
      </c>
      <c r="AF25" s="30" t="s">
        <v>20</v>
      </c>
      <c r="AG25" s="29" t="s">
        <v>109</v>
      </c>
      <c r="AI25" s="31">
        <v>1.33</v>
      </c>
    </row>
    <row r="26" spans="1:36">
      <c r="A26">
        <v>24</v>
      </c>
      <c r="B26" s="30" t="s">
        <v>38</v>
      </c>
      <c r="C26" s="26">
        <v>2.83</v>
      </c>
      <c r="D26" s="26">
        <v>2.83</v>
      </c>
      <c r="E26" s="31">
        <v>2.75</v>
      </c>
      <c r="F26" s="31">
        <v>2.75</v>
      </c>
      <c r="G26" s="31">
        <v>2.78</v>
      </c>
      <c r="H26" s="31">
        <v>1.33</v>
      </c>
      <c r="I26" s="27">
        <v>2</v>
      </c>
      <c r="J26" s="23" t="s">
        <v>5</v>
      </c>
      <c r="K26" s="18" t="s">
        <v>75</v>
      </c>
      <c r="M26" s="6" t="s">
        <v>4</v>
      </c>
      <c r="N26" s="6" t="s">
        <v>4</v>
      </c>
      <c r="P26" t="s">
        <v>20</v>
      </c>
      <c r="Q26" s="18" t="s">
        <v>117</v>
      </c>
      <c r="S26" s="5">
        <v>2.2000000000000002</v>
      </c>
      <c r="U26" s="23">
        <f t="shared" si="0"/>
        <v>2.2000000000000002</v>
      </c>
      <c r="X26" s="30" t="s">
        <v>8</v>
      </c>
      <c r="Y26" s="28" t="s">
        <v>117</v>
      </c>
      <c r="AA26" s="31">
        <v>2.09</v>
      </c>
      <c r="AF26" s="30" t="s">
        <v>20</v>
      </c>
      <c r="AG26" s="28" t="s">
        <v>117</v>
      </c>
      <c r="AI26" s="31">
        <v>2.2000000000000002</v>
      </c>
    </row>
    <row r="27" spans="1:36">
      <c r="A27">
        <v>25</v>
      </c>
      <c r="B27" s="30" t="s">
        <v>39</v>
      </c>
      <c r="C27" s="31">
        <v>1.94</v>
      </c>
      <c r="D27" s="31">
        <v>1.43</v>
      </c>
      <c r="E27" s="31">
        <v>1.43</v>
      </c>
      <c r="F27" s="31">
        <v>1.33</v>
      </c>
      <c r="G27" s="31">
        <v>1.94</v>
      </c>
      <c r="H27" s="33" t="s">
        <v>23</v>
      </c>
      <c r="I27" s="32" t="s">
        <v>5</v>
      </c>
      <c r="J27" s="18" t="s">
        <v>5</v>
      </c>
      <c r="K27" s="18" t="s">
        <v>5</v>
      </c>
      <c r="M27" s="5">
        <v>2.09</v>
      </c>
      <c r="N27" s="6" t="s">
        <v>4</v>
      </c>
      <c r="P27" t="s">
        <v>20</v>
      </c>
      <c r="Q27" s="18" t="s">
        <v>116</v>
      </c>
      <c r="S27" s="22">
        <v>0.32</v>
      </c>
      <c r="T27" s="18" t="s">
        <v>75</v>
      </c>
      <c r="U27" s="23">
        <f t="shared" si="0"/>
        <v>0.32</v>
      </c>
      <c r="V27" s="18" t="s">
        <v>75</v>
      </c>
      <c r="X27" s="30" t="s">
        <v>8</v>
      </c>
      <c r="Y27" s="29" t="s">
        <v>116</v>
      </c>
      <c r="AA27" s="34">
        <v>0.17</v>
      </c>
      <c r="AB27" t="s">
        <v>75</v>
      </c>
      <c r="AF27" s="30" t="s">
        <v>20</v>
      </c>
      <c r="AG27" s="29" t="s">
        <v>116</v>
      </c>
      <c r="AI27" s="34">
        <v>0.32</v>
      </c>
      <c r="AJ27" t="s">
        <v>75</v>
      </c>
    </row>
    <row r="28" spans="1:36" ht="16.5">
      <c r="A28">
        <v>26</v>
      </c>
      <c r="B28" s="30" t="s">
        <v>40</v>
      </c>
      <c r="C28" s="31">
        <v>1.96</v>
      </c>
      <c r="D28" s="31">
        <v>1.5</v>
      </c>
      <c r="E28" s="31">
        <v>1.5</v>
      </c>
      <c r="F28" s="31">
        <v>1.5</v>
      </c>
      <c r="G28" s="31">
        <v>1.96</v>
      </c>
      <c r="H28" s="16" t="s">
        <v>103</v>
      </c>
      <c r="I28" s="9" t="s">
        <v>125</v>
      </c>
      <c r="J28" s="18" t="s">
        <v>5</v>
      </c>
      <c r="K28" s="18" t="s">
        <v>5</v>
      </c>
      <c r="M28" s="5">
        <v>3</v>
      </c>
      <c r="N28" s="5">
        <v>3</v>
      </c>
      <c r="P28" t="s">
        <v>20</v>
      </c>
      <c r="Q28" s="18" t="s">
        <v>118</v>
      </c>
      <c r="S28" s="5" t="s">
        <v>5</v>
      </c>
      <c r="T28" s="18"/>
      <c r="U28" s="23" t="str">
        <f t="shared" si="0"/>
        <v>No</v>
      </c>
      <c r="V28" s="18"/>
      <c r="X28" s="30" t="s">
        <v>8</v>
      </c>
      <c r="Y28" s="28" t="s">
        <v>118</v>
      </c>
      <c r="AA28" s="31">
        <v>1.33</v>
      </c>
      <c r="AF28" s="30" t="s">
        <v>20</v>
      </c>
      <c r="AG28" s="28" t="s">
        <v>118</v>
      </c>
      <c r="AI28" s="32" t="s">
        <v>5</v>
      </c>
    </row>
    <row r="29" spans="1:36">
      <c r="A29">
        <v>27</v>
      </c>
      <c r="B29" s="30" t="s">
        <v>41</v>
      </c>
      <c r="C29" s="31">
        <v>1.43</v>
      </c>
      <c r="D29" s="31">
        <v>1.43</v>
      </c>
      <c r="E29" s="31">
        <v>1.43</v>
      </c>
      <c r="F29" s="31">
        <v>1.43</v>
      </c>
      <c r="G29" s="31">
        <v>1.57</v>
      </c>
      <c r="H29" s="31">
        <v>0.24</v>
      </c>
      <c r="I29" s="31">
        <v>1.33</v>
      </c>
      <c r="J29" s="18" t="s">
        <v>5</v>
      </c>
      <c r="K29" s="18" t="s">
        <v>5</v>
      </c>
      <c r="M29" s="5">
        <v>2.61</v>
      </c>
      <c r="N29" s="6" t="s">
        <v>4</v>
      </c>
      <c r="P29" t="s">
        <v>20</v>
      </c>
      <c r="Q29" s="18" t="s">
        <v>120</v>
      </c>
      <c r="S29" s="5" t="s">
        <v>5</v>
      </c>
      <c r="T29" s="18"/>
      <c r="U29" s="23" t="str">
        <f t="shared" si="0"/>
        <v>No</v>
      </c>
      <c r="V29" s="18"/>
      <c r="X29" s="30" t="s">
        <v>8</v>
      </c>
      <c r="Y29" s="29" t="s">
        <v>120</v>
      </c>
      <c r="AA29" s="18" t="s">
        <v>5</v>
      </c>
      <c r="AF29" s="30" t="s">
        <v>20</v>
      </c>
      <c r="AG29" s="29" t="s">
        <v>120</v>
      </c>
      <c r="AI29" s="18" t="s">
        <v>5</v>
      </c>
    </row>
    <row r="30" spans="1:36">
      <c r="A30">
        <v>28</v>
      </c>
      <c r="B30" s="30" t="s">
        <v>42</v>
      </c>
      <c r="C30" s="31">
        <v>2.13</v>
      </c>
      <c r="D30" s="31">
        <v>2.13</v>
      </c>
      <c r="E30" s="31">
        <v>2.13</v>
      </c>
      <c r="F30" s="31">
        <v>2.13</v>
      </c>
      <c r="G30" s="31">
        <v>1.94</v>
      </c>
      <c r="H30" s="31">
        <v>0.57999999999999996</v>
      </c>
      <c r="I30" s="32" t="s">
        <v>5</v>
      </c>
      <c r="J30" s="18" t="s">
        <v>5</v>
      </c>
      <c r="K30" s="18" t="s">
        <v>5</v>
      </c>
      <c r="M30" s="6" t="s">
        <v>4</v>
      </c>
      <c r="N30" s="6" t="s">
        <v>4</v>
      </c>
      <c r="P30" t="s">
        <v>20</v>
      </c>
      <c r="Q30" s="18" t="s">
        <v>124</v>
      </c>
      <c r="S30" s="5" t="s">
        <v>5</v>
      </c>
      <c r="T30" s="18"/>
      <c r="U30" s="23" t="str">
        <f t="shared" si="0"/>
        <v>No</v>
      </c>
      <c r="V30" s="18"/>
      <c r="X30" s="30" t="s">
        <v>8</v>
      </c>
      <c r="Y30" s="28" t="s">
        <v>124</v>
      </c>
      <c r="AA30" s="18" t="s">
        <v>5</v>
      </c>
      <c r="AF30" s="30" t="s">
        <v>20</v>
      </c>
      <c r="AG30" s="28" t="s">
        <v>124</v>
      </c>
      <c r="AI30" s="18" t="s">
        <v>5</v>
      </c>
    </row>
    <row r="31" spans="1:36">
      <c r="A31">
        <v>29</v>
      </c>
      <c r="B31" s="30" t="s">
        <v>43</v>
      </c>
      <c r="C31" s="31">
        <v>1.6</v>
      </c>
      <c r="D31" s="31">
        <v>1.6</v>
      </c>
      <c r="E31" s="31">
        <v>1.6</v>
      </c>
      <c r="F31" s="31">
        <v>1.33</v>
      </c>
      <c r="G31" s="31">
        <v>1.6</v>
      </c>
      <c r="H31" s="33" t="s">
        <v>44</v>
      </c>
      <c r="I31" s="31">
        <v>1.33</v>
      </c>
      <c r="J31" s="18" t="s">
        <v>5</v>
      </c>
      <c r="K31" s="18" t="s">
        <v>5</v>
      </c>
      <c r="M31" s="5">
        <v>2</v>
      </c>
      <c r="N31" s="6" t="s">
        <v>4</v>
      </c>
      <c r="P31" t="s">
        <v>33</v>
      </c>
      <c r="Q31" s="18">
        <v>0</v>
      </c>
      <c r="S31" s="5">
        <v>2.12</v>
      </c>
      <c r="T31" s="18"/>
      <c r="U31" s="23">
        <f t="shared" si="0"/>
        <v>2.12</v>
      </c>
      <c r="V31" s="18"/>
      <c r="X31" s="30" t="s">
        <v>10</v>
      </c>
      <c r="Y31" s="28">
        <v>0</v>
      </c>
      <c r="AA31" s="31">
        <v>2.61</v>
      </c>
      <c r="AF31" s="30" t="s">
        <v>33</v>
      </c>
      <c r="AG31" s="28">
        <v>0</v>
      </c>
      <c r="AI31" s="31">
        <v>2.12</v>
      </c>
    </row>
    <row r="32" spans="1:36">
      <c r="A32">
        <v>30</v>
      </c>
      <c r="B32" s="30" t="s">
        <v>45</v>
      </c>
      <c r="C32" s="31">
        <v>3.18</v>
      </c>
      <c r="D32" s="31">
        <v>3.18</v>
      </c>
      <c r="E32" s="31">
        <v>3.18</v>
      </c>
      <c r="F32" s="31">
        <v>3.18</v>
      </c>
      <c r="G32" s="31">
        <v>1.96</v>
      </c>
      <c r="H32" s="33" t="s">
        <v>46</v>
      </c>
      <c r="I32" s="31">
        <v>1.33</v>
      </c>
      <c r="J32" s="18" t="s">
        <v>5</v>
      </c>
      <c r="K32" s="18" t="s">
        <v>5</v>
      </c>
      <c r="M32" s="6" t="s">
        <v>4</v>
      </c>
      <c r="N32" s="6" t="s">
        <v>4</v>
      </c>
      <c r="P32" t="s">
        <v>33</v>
      </c>
      <c r="Q32" s="18">
        <v>1</v>
      </c>
      <c r="S32" s="5">
        <v>2.12</v>
      </c>
      <c r="T32" s="18"/>
      <c r="U32" s="23">
        <f t="shared" si="0"/>
        <v>2.12</v>
      </c>
      <c r="V32" s="18"/>
      <c r="X32" s="30" t="s">
        <v>10</v>
      </c>
      <c r="Y32" s="29">
        <v>1</v>
      </c>
      <c r="AA32" s="31">
        <v>2.61</v>
      </c>
      <c r="AF32" s="30" t="s">
        <v>33</v>
      </c>
      <c r="AG32" s="29">
        <v>1</v>
      </c>
      <c r="AI32" s="31">
        <v>2.12</v>
      </c>
    </row>
    <row r="33" spans="1:36">
      <c r="A33">
        <v>31</v>
      </c>
      <c r="B33" s="30" t="s">
        <v>47</v>
      </c>
      <c r="C33" s="31">
        <v>1.94</v>
      </c>
      <c r="D33" s="31">
        <v>1.42</v>
      </c>
      <c r="E33" s="31">
        <v>1.42</v>
      </c>
      <c r="F33" s="31">
        <v>1.42</v>
      </c>
      <c r="G33" s="31">
        <v>1.94</v>
      </c>
      <c r="H33" s="33" t="s">
        <v>48</v>
      </c>
      <c r="I33" s="31">
        <v>1.33</v>
      </c>
      <c r="J33" s="18" t="s">
        <v>5</v>
      </c>
      <c r="K33" s="18" t="s">
        <v>5</v>
      </c>
      <c r="M33" s="5">
        <v>3.5</v>
      </c>
      <c r="N33" s="5">
        <v>2</v>
      </c>
      <c r="P33" t="s">
        <v>33</v>
      </c>
      <c r="Q33" s="18" t="s">
        <v>108</v>
      </c>
      <c r="S33" s="5">
        <v>2.12</v>
      </c>
      <c r="T33" s="18"/>
      <c r="U33" s="23">
        <f t="shared" si="0"/>
        <v>2.12</v>
      </c>
      <c r="V33" s="18"/>
      <c r="X33" s="30" t="s">
        <v>10</v>
      </c>
      <c r="Y33" s="28" t="s">
        <v>108</v>
      </c>
      <c r="AA33" s="31">
        <v>2.61</v>
      </c>
      <c r="AF33" s="30" t="s">
        <v>33</v>
      </c>
      <c r="AG33" s="28" t="s">
        <v>108</v>
      </c>
      <c r="AI33" s="31">
        <v>2.12</v>
      </c>
    </row>
    <row r="34" spans="1:36">
      <c r="A34">
        <v>32</v>
      </c>
      <c r="B34" s="30" t="s">
        <v>49</v>
      </c>
      <c r="C34" s="31">
        <v>3</v>
      </c>
      <c r="D34" s="31">
        <v>3</v>
      </c>
      <c r="E34" s="31">
        <v>3</v>
      </c>
      <c r="F34" s="31">
        <v>2.4</v>
      </c>
      <c r="G34" s="31">
        <v>2.5</v>
      </c>
      <c r="H34" s="33" t="s">
        <v>50</v>
      </c>
      <c r="I34" s="31">
        <v>1.33</v>
      </c>
      <c r="J34" s="18" t="s">
        <v>5</v>
      </c>
      <c r="K34" s="18" t="s">
        <v>5</v>
      </c>
      <c r="M34" s="6" t="s">
        <v>4</v>
      </c>
      <c r="N34" s="6" t="s">
        <v>4</v>
      </c>
      <c r="P34" t="s">
        <v>33</v>
      </c>
      <c r="Q34" s="18" t="s">
        <v>109</v>
      </c>
      <c r="S34" s="5">
        <v>2.12</v>
      </c>
      <c r="T34" s="18"/>
      <c r="U34" s="23">
        <f t="shared" si="0"/>
        <v>2.12</v>
      </c>
      <c r="V34" s="18"/>
      <c r="X34" s="30" t="s">
        <v>10</v>
      </c>
      <c r="Y34" s="29" t="s">
        <v>109</v>
      </c>
      <c r="AA34" s="31">
        <v>2.61</v>
      </c>
      <c r="AF34" s="30" t="s">
        <v>33</v>
      </c>
      <c r="AG34" s="29" t="s">
        <v>109</v>
      </c>
      <c r="AI34" s="31">
        <v>2.12</v>
      </c>
    </row>
    <row r="35" spans="1:36">
      <c r="A35">
        <v>33</v>
      </c>
      <c r="B35" s="30" t="s">
        <v>51</v>
      </c>
      <c r="C35" s="31">
        <v>2.1800000000000002</v>
      </c>
      <c r="D35" s="31">
        <v>1.49</v>
      </c>
      <c r="E35" s="31">
        <v>1.49</v>
      </c>
      <c r="F35" s="31">
        <v>1.49</v>
      </c>
      <c r="G35" s="31">
        <v>2.1800000000000002</v>
      </c>
      <c r="H35" s="31">
        <v>1.33</v>
      </c>
      <c r="I35" s="27">
        <v>2</v>
      </c>
      <c r="J35" s="18" t="s">
        <v>5</v>
      </c>
      <c r="K35" s="18" t="s">
        <v>75</v>
      </c>
      <c r="M35" s="5">
        <v>4</v>
      </c>
      <c r="N35" s="6" t="s">
        <v>4</v>
      </c>
      <c r="P35" t="s">
        <v>33</v>
      </c>
      <c r="Q35" s="18" t="s">
        <v>117</v>
      </c>
      <c r="S35" s="5">
        <v>1.33</v>
      </c>
      <c r="T35" s="18"/>
      <c r="U35" s="23">
        <f t="shared" si="0"/>
        <v>1.33</v>
      </c>
      <c r="V35" s="18"/>
      <c r="X35" s="30" t="s">
        <v>10</v>
      </c>
      <c r="Y35" s="28" t="s">
        <v>117</v>
      </c>
      <c r="AA35" s="31">
        <v>2.08</v>
      </c>
      <c r="AF35" s="30" t="s">
        <v>33</v>
      </c>
      <c r="AG35" s="28" t="s">
        <v>117</v>
      </c>
      <c r="AI35" s="31">
        <v>1.33</v>
      </c>
    </row>
    <row r="36" spans="1:36">
      <c r="A36">
        <v>34</v>
      </c>
      <c r="B36" s="30" t="s">
        <v>52</v>
      </c>
      <c r="C36" s="31">
        <v>2.1</v>
      </c>
      <c r="D36" s="31">
        <v>2.1</v>
      </c>
      <c r="E36" s="31">
        <v>2.1</v>
      </c>
      <c r="F36" s="31">
        <v>1.33</v>
      </c>
      <c r="G36" s="31">
        <v>1.96</v>
      </c>
      <c r="H36" s="33" t="s">
        <v>54</v>
      </c>
      <c r="I36" s="9" t="s">
        <v>5</v>
      </c>
      <c r="J36" s="23">
        <v>0.42</v>
      </c>
      <c r="K36" s="18" t="s">
        <v>5</v>
      </c>
      <c r="M36" s="15" t="s">
        <v>53</v>
      </c>
      <c r="N36" s="6" t="s">
        <v>4</v>
      </c>
      <c r="P36" t="s">
        <v>33</v>
      </c>
      <c r="Q36" s="18" t="s">
        <v>116</v>
      </c>
      <c r="S36" s="5">
        <v>0.19</v>
      </c>
      <c r="T36" s="18" t="s">
        <v>5</v>
      </c>
      <c r="U36" s="23">
        <f t="shared" si="0"/>
        <v>0.19</v>
      </c>
      <c r="V36" s="18" t="s">
        <v>5</v>
      </c>
      <c r="X36" s="30" t="s">
        <v>10</v>
      </c>
      <c r="Y36" s="29" t="s">
        <v>116</v>
      </c>
      <c r="AA36" s="31">
        <v>1.0900000000000001</v>
      </c>
      <c r="AB36" t="s">
        <v>5</v>
      </c>
      <c r="AF36" s="30" t="s">
        <v>33</v>
      </c>
      <c r="AG36" s="29" t="s">
        <v>116</v>
      </c>
      <c r="AI36" s="31">
        <v>0.19</v>
      </c>
      <c r="AJ36" t="s">
        <v>5</v>
      </c>
    </row>
    <row r="37" spans="1:36">
      <c r="A37">
        <v>35</v>
      </c>
      <c r="B37" s="30" t="s">
        <v>55</v>
      </c>
      <c r="C37" s="31">
        <v>1.47</v>
      </c>
      <c r="D37" s="31">
        <v>1.47</v>
      </c>
      <c r="E37" s="31">
        <v>1.47</v>
      </c>
      <c r="F37" s="31">
        <v>1.33</v>
      </c>
      <c r="G37" s="31">
        <v>1.47</v>
      </c>
      <c r="H37" s="33" t="s">
        <v>56</v>
      </c>
      <c r="I37" s="31">
        <v>1.33</v>
      </c>
      <c r="J37" s="18" t="s">
        <v>5</v>
      </c>
      <c r="K37" s="18" t="s">
        <v>5</v>
      </c>
      <c r="M37" s="5">
        <v>1.7</v>
      </c>
      <c r="N37" s="6" t="s">
        <v>4</v>
      </c>
      <c r="P37" t="s">
        <v>33</v>
      </c>
      <c r="Q37" s="18" t="s">
        <v>118</v>
      </c>
      <c r="S37" s="5">
        <v>1.33</v>
      </c>
      <c r="T37" s="18"/>
      <c r="U37" s="23">
        <f t="shared" si="0"/>
        <v>1.33</v>
      </c>
      <c r="V37" s="18"/>
      <c r="X37" s="30" t="s">
        <v>10</v>
      </c>
      <c r="Y37" s="28" t="s">
        <v>118</v>
      </c>
      <c r="AA37" s="31">
        <v>1.33</v>
      </c>
      <c r="AF37" s="30" t="s">
        <v>33</v>
      </c>
      <c r="AG37" s="28" t="s">
        <v>118</v>
      </c>
      <c r="AI37" s="31">
        <v>1.33</v>
      </c>
    </row>
    <row r="38" spans="1:36">
      <c r="A38">
        <v>36</v>
      </c>
      <c r="B38" s="30" t="s">
        <v>57</v>
      </c>
      <c r="C38" s="31">
        <v>2.06</v>
      </c>
      <c r="D38" s="31">
        <v>2.06</v>
      </c>
      <c r="E38" s="31">
        <v>2.06</v>
      </c>
      <c r="F38" s="31">
        <v>2.06</v>
      </c>
      <c r="G38" s="31">
        <v>2</v>
      </c>
      <c r="H38" s="31">
        <v>0.9</v>
      </c>
      <c r="I38" s="31">
        <v>1.33</v>
      </c>
      <c r="J38" s="18" t="s">
        <v>5</v>
      </c>
      <c r="K38" s="18" t="s">
        <v>5</v>
      </c>
      <c r="M38" s="6" t="s">
        <v>4</v>
      </c>
      <c r="N38" s="6" t="s">
        <v>4</v>
      </c>
      <c r="P38" t="s">
        <v>33</v>
      </c>
      <c r="Q38" s="18" t="s">
        <v>120</v>
      </c>
      <c r="S38" s="5" t="s">
        <v>5</v>
      </c>
      <c r="T38" s="18"/>
      <c r="U38" s="23" t="str">
        <f t="shared" si="0"/>
        <v>No</v>
      </c>
      <c r="V38" s="18"/>
      <c r="X38" s="30" t="s">
        <v>10</v>
      </c>
      <c r="Y38" s="29" t="s">
        <v>120</v>
      </c>
      <c r="AA38" s="18" t="s">
        <v>5</v>
      </c>
      <c r="AF38" s="30" t="s">
        <v>33</v>
      </c>
      <c r="AG38" s="29" t="s">
        <v>120</v>
      </c>
      <c r="AI38" s="18" t="s">
        <v>5</v>
      </c>
    </row>
    <row r="39" spans="1:36" ht="16.5">
      <c r="A39">
        <v>37</v>
      </c>
      <c r="B39" s="30" t="s">
        <v>58</v>
      </c>
      <c r="C39" s="31">
        <v>2.0499999999999998</v>
      </c>
      <c r="D39" s="31">
        <v>2.0499999999999998</v>
      </c>
      <c r="E39" s="31">
        <v>2.0499999999999998</v>
      </c>
      <c r="F39" s="31">
        <v>2.0499999999999998</v>
      </c>
      <c r="G39" s="31">
        <v>1.33</v>
      </c>
      <c r="H39" s="16" t="s">
        <v>104</v>
      </c>
      <c r="I39" s="9" t="s">
        <v>125</v>
      </c>
      <c r="J39" s="18" t="s">
        <v>5</v>
      </c>
      <c r="K39" s="18" t="s">
        <v>5</v>
      </c>
      <c r="M39" s="6" t="s">
        <v>4</v>
      </c>
      <c r="N39" s="6" t="s">
        <v>4</v>
      </c>
      <c r="P39" t="s">
        <v>33</v>
      </c>
      <c r="Q39" s="18" t="s">
        <v>124</v>
      </c>
      <c r="S39" s="5" t="s">
        <v>5</v>
      </c>
      <c r="T39" s="18"/>
      <c r="U39" s="23" t="str">
        <f t="shared" si="0"/>
        <v>No</v>
      </c>
      <c r="V39" s="18"/>
      <c r="X39" s="30" t="s">
        <v>10</v>
      </c>
      <c r="Y39" s="28" t="s">
        <v>124</v>
      </c>
      <c r="AA39" s="18" t="s">
        <v>5</v>
      </c>
      <c r="AF39" s="30" t="s">
        <v>33</v>
      </c>
      <c r="AG39" s="28" t="s">
        <v>124</v>
      </c>
      <c r="AI39" s="18" t="s">
        <v>5</v>
      </c>
    </row>
    <row r="40" spans="1:36">
      <c r="A40">
        <v>38</v>
      </c>
      <c r="B40" s="30" t="s">
        <v>59</v>
      </c>
      <c r="C40" s="31">
        <v>1.85</v>
      </c>
      <c r="D40" s="31">
        <v>1.33</v>
      </c>
      <c r="E40" s="31">
        <v>1.33</v>
      </c>
      <c r="F40" s="31">
        <v>1.33</v>
      </c>
      <c r="G40" s="31">
        <v>1.85</v>
      </c>
      <c r="H40" s="33" t="s">
        <v>60</v>
      </c>
      <c r="I40" s="31">
        <v>1.33</v>
      </c>
      <c r="J40" s="18" t="s">
        <v>5</v>
      </c>
      <c r="K40" s="18" t="s">
        <v>5</v>
      </c>
      <c r="M40" s="5">
        <v>3</v>
      </c>
      <c r="N40" s="6" t="s">
        <v>4</v>
      </c>
      <c r="P40" t="s">
        <v>52</v>
      </c>
      <c r="Q40" s="18">
        <v>0</v>
      </c>
      <c r="S40" s="5">
        <v>2.1</v>
      </c>
      <c r="T40" s="18"/>
      <c r="U40" s="23">
        <f t="shared" si="0"/>
        <v>2.1</v>
      </c>
      <c r="V40" s="18"/>
      <c r="X40" s="30" t="s">
        <v>12</v>
      </c>
      <c r="Y40" s="28">
        <v>0</v>
      </c>
      <c r="AA40" s="31">
        <v>1.42</v>
      </c>
      <c r="AF40" s="30" t="s">
        <v>39</v>
      </c>
      <c r="AG40" s="28">
        <v>0</v>
      </c>
      <c r="AI40" s="31">
        <v>1.94</v>
      </c>
    </row>
    <row r="41" spans="1:36">
      <c r="A41">
        <v>39</v>
      </c>
      <c r="B41" s="30" t="s">
        <v>61</v>
      </c>
      <c r="C41" s="31">
        <v>2.15</v>
      </c>
      <c r="D41" s="31">
        <v>1.57</v>
      </c>
      <c r="E41" s="31">
        <v>1.57</v>
      </c>
      <c r="F41" s="31">
        <v>1.33</v>
      </c>
      <c r="G41" s="31">
        <v>2.15</v>
      </c>
      <c r="H41" s="31">
        <v>0.33</v>
      </c>
      <c r="I41" s="31">
        <v>1.33</v>
      </c>
      <c r="J41" s="18" t="s">
        <v>5</v>
      </c>
      <c r="K41" s="18" t="s">
        <v>5</v>
      </c>
      <c r="M41" s="5">
        <v>3.14</v>
      </c>
      <c r="N41" s="6" t="s">
        <v>4</v>
      </c>
      <c r="P41" t="s">
        <v>52</v>
      </c>
      <c r="Q41" s="18">
        <v>1</v>
      </c>
      <c r="S41" s="5">
        <v>2.1</v>
      </c>
      <c r="T41" s="18"/>
      <c r="U41" s="23">
        <f t="shared" si="0"/>
        <v>2.1</v>
      </c>
      <c r="V41" s="18"/>
      <c r="X41" s="30" t="s">
        <v>12</v>
      </c>
      <c r="Y41" s="29">
        <v>1</v>
      </c>
      <c r="AA41" s="31">
        <v>1.42</v>
      </c>
      <c r="AF41" s="30" t="s">
        <v>39</v>
      </c>
      <c r="AG41" s="29">
        <v>1</v>
      </c>
      <c r="AI41" s="31">
        <v>1.43</v>
      </c>
    </row>
    <row r="42" spans="1:36">
      <c r="A42">
        <v>40</v>
      </c>
      <c r="B42" s="30" t="s">
        <v>62</v>
      </c>
      <c r="C42" s="31">
        <v>2.61</v>
      </c>
      <c r="D42" s="31">
        <v>2.61</v>
      </c>
      <c r="E42" s="31">
        <v>2.61</v>
      </c>
      <c r="F42" s="31">
        <v>2.61</v>
      </c>
      <c r="G42" s="31">
        <v>1.9</v>
      </c>
      <c r="H42" s="31">
        <v>1.1599999999999999</v>
      </c>
      <c r="I42" s="31">
        <v>1.33</v>
      </c>
      <c r="J42" s="18" t="s">
        <v>5</v>
      </c>
      <c r="K42" s="18" t="s">
        <v>5</v>
      </c>
      <c r="M42" s="6" t="s">
        <v>4</v>
      </c>
      <c r="N42" s="5">
        <v>2.5299999999999998</v>
      </c>
      <c r="P42" t="s">
        <v>52</v>
      </c>
      <c r="Q42" s="18" t="s">
        <v>108</v>
      </c>
      <c r="S42" s="5">
        <v>2.1</v>
      </c>
      <c r="T42" s="18"/>
      <c r="U42" s="23">
        <f t="shared" si="0"/>
        <v>2.1</v>
      </c>
      <c r="V42" s="18"/>
      <c r="X42" s="30" t="s">
        <v>12</v>
      </c>
      <c r="Y42" s="28" t="s">
        <v>108</v>
      </c>
      <c r="AA42" s="31">
        <v>1.42</v>
      </c>
      <c r="AF42" s="30" t="s">
        <v>39</v>
      </c>
      <c r="AG42" s="28" t="s">
        <v>108</v>
      </c>
      <c r="AI42" s="31">
        <v>1.43</v>
      </c>
    </row>
    <row r="43" spans="1:36" ht="13.5" customHeight="1">
      <c r="A43">
        <v>41</v>
      </c>
      <c r="B43" s="30" t="s">
        <v>63</v>
      </c>
      <c r="C43" s="31">
        <v>2.08</v>
      </c>
      <c r="D43" s="31">
        <v>2.08</v>
      </c>
      <c r="E43" s="31">
        <v>2.08</v>
      </c>
      <c r="F43" s="31">
        <v>2.08</v>
      </c>
      <c r="G43" s="31">
        <v>1.94</v>
      </c>
      <c r="H43" s="31">
        <v>0.62</v>
      </c>
      <c r="I43" s="32" t="s">
        <v>5</v>
      </c>
      <c r="J43" s="18" t="s">
        <v>5</v>
      </c>
      <c r="K43" s="18" t="s">
        <v>5</v>
      </c>
      <c r="M43" s="6" t="s">
        <v>4</v>
      </c>
      <c r="N43" s="6" t="s">
        <v>4</v>
      </c>
      <c r="P43" t="s">
        <v>52</v>
      </c>
      <c r="Q43" s="18" t="s">
        <v>109</v>
      </c>
      <c r="S43" s="5">
        <v>1.33</v>
      </c>
      <c r="T43" s="18"/>
      <c r="U43" s="23">
        <f t="shared" si="0"/>
        <v>1.33</v>
      </c>
      <c r="V43" s="18"/>
      <c r="X43" s="30" t="s">
        <v>12</v>
      </c>
      <c r="Y43" s="29" t="s">
        <v>109</v>
      </c>
      <c r="AA43" s="31">
        <v>1.42</v>
      </c>
      <c r="AF43" s="30" t="s">
        <v>39</v>
      </c>
      <c r="AG43" s="29" t="s">
        <v>109</v>
      </c>
      <c r="AI43" s="31">
        <v>1.33</v>
      </c>
    </row>
    <row r="44" spans="1:36">
      <c r="A44">
        <v>42</v>
      </c>
      <c r="B44" s="30" t="s">
        <v>64</v>
      </c>
      <c r="C44" s="31">
        <v>1.82</v>
      </c>
      <c r="D44" s="31">
        <v>1.82</v>
      </c>
      <c r="E44" s="31">
        <v>1.82</v>
      </c>
      <c r="F44" s="31">
        <v>1.82</v>
      </c>
      <c r="G44" s="31">
        <v>1.33</v>
      </c>
      <c r="H44" s="33" t="s">
        <v>65</v>
      </c>
      <c r="I44" s="32" t="s">
        <v>5</v>
      </c>
      <c r="J44" s="18" t="s">
        <v>5</v>
      </c>
      <c r="K44" s="18" t="s">
        <v>5</v>
      </c>
      <c r="M44" s="5">
        <v>2.04</v>
      </c>
      <c r="N44" s="6" t="s">
        <v>4</v>
      </c>
      <c r="P44" t="s">
        <v>52</v>
      </c>
      <c r="Q44" s="18" t="s">
        <v>117</v>
      </c>
      <c r="S44" s="5">
        <v>1.96</v>
      </c>
      <c r="T44" s="18"/>
      <c r="U44" s="23">
        <f t="shared" si="0"/>
        <v>1.96</v>
      </c>
      <c r="V44" s="18"/>
      <c r="X44" s="30" t="s">
        <v>12</v>
      </c>
      <c r="Y44" s="28" t="s">
        <v>117</v>
      </c>
      <c r="AA44" s="31">
        <v>1.95</v>
      </c>
      <c r="AF44" s="30" t="s">
        <v>39</v>
      </c>
      <c r="AG44" s="28" t="s">
        <v>117</v>
      </c>
      <c r="AI44" s="31">
        <v>1.94</v>
      </c>
    </row>
    <row r="45" spans="1:36">
      <c r="A45">
        <v>43</v>
      </c>
      <c r="B45" s="30" t="s">
        <v>66</v>
      </c>
      <c r="C45" s="31">
        <v>1.95</v>
      </c>
      <c r="D45" s="31">
        <v>1.42</v>
      </c>
      <c r="E45" s="31">
        <v>1.42</v>
      </c>
      <c r="F45" s="31">
        <v>1.33</v>
      </c>
      <c r="G45" s="31">
        <v>1.95</v>
      </c>
      <c r="H45" s="33" t="s">
        <v>67</v>
      </c>
      <c r="I45" s="32" t="s">
        <v>5</v>
      </c>
      <c r="J45" s="18" t="s">
        <v>5</v>
      </c>
      <c r="K45" s="18" t="s">
        <v>5</v>
      </c>
      <c r="M45" s="5">
        <v>2.5</v>
      </c>
      <c r="N45" s="6" t="s">
        <v>4</v>
      </c>
      <c r="P45" t="s">
        <v>52</v>
      </c>
      <c r="Q45" s="18" t="s">
        <v>116</v>
      </c>
      <c r="S45" s="22">
        <v>0.42</v>
      </c>
      <c r="T45" s="18" t="s">
        <v>75</v>
      </c>
      <c r="U45" s="23">
        <f t="shared" si="0"/>
        <v>0.42</v>
      </c>
      <c r="V45" s="18" t="s">
        <v>75</v>
      </c>
      <c r="X45" s="30" t="s">
        <v>12</v>
      </c>
      <c r="Y45" s="29" t="s">
        <v>116</v>
      </c>
      <c r="AA45" s="31">
        <v>0.68</v>
      </c>
      <c r="AB45" t="s">
        <v>5</v>
      </c>
      <c r="AF45" s="30" t="s">
        <v>39</v>
      </c>
      <c r="AG45" s="29" t="s">
        <v>116</v>
      </c>
      <c r="AI45" s="34">
        <v>0.23</v>
      </c>
      <c r="AJ45" t="s">
        <v>75</v>
      </c>
    </row>
    <row r="46" spans="1:36">
      <c r="A46">
        <v>44</v>
      </c>
      <c r="B46" s="30" t="s">
        <v>68</v>
      </c>
      <c r="C46" s="31">
        <v>1.98</v>
      </c>
      <c r="D46" s="31">
        <v>1.44</v>
      </c>
      <c r="E46" s="31">
        <v>1.44</v>
      </c>
      <c r="F46" s="31">
        <v>1.33</v>
      </c>
      <c r="G46" s="31">
        <v>1.98</v>
      </c>
      <c r="H46" s="33" t="s">
        <v>69</v>
      </c>
      <c r="I46" s="32" t="s">
        <v>5</v>
      </c>
      <c r="J46" s="18" t="s">
        <v>5</v>
      </c>
      <c r="K46" s="18" t="s">
        <v>5</v>
      </c>
      <c r="M46" s="5">
        <v>2.0099999999999998</v>
      </c>
      <c r="N46" s="6" t="s">
        <v>4</v>
      </c>
      <c r="P46" t="s">
        <v>52</v>
      </c>
      <c r="Q46" s="18" t="s">
        <v>118</v>
      </c>
      <c r="S46" s="10" t="s">
        <v>5</v>
      </c>
      <c r="T46" s="18"/>
      <c r="U46" s="23" t="str">
        <f t="shared" si="0"/>
        <v>No</v>
      </c>
      <c r="V46" s="18"/>
      <c r="X46" s="30" t="s">
        <v>12</v>
      </c>
      <c r="Y46" s="28" t="s">
        <v>118</v>
      </c>
      <c r="AA46" s="31">
        <v>1.33</v>
      </c>
      <c r="AF46" s="30" t="s">
        <v>39</v>
      </c>
      <c r="AG46" s="28" t="s">
        <v>118</v>
      </c>
      <c r="AI46" s="32" t="s">
        <v>5</v>
      </c>
    </row>
    <row r="47" spans="1:36" ht="16.5">
      <c r="A47">
        <v>45</v>
      </c>
      <c r="B47" s="30" t="s">
        <v>70</v>
      </c>
      <c r="C47" s="31">
        <v>1.39</v>
      </c>
      <c r="D47" s="31">
        <v>1.39</v>
      </c>
      <c r="E47" s="31">
        <v>1.39</v>
      </c>
      <c r="F47" s="31">
        <v>1.33</v>
      </c>
      <c r="G47" s="31">
        <v>1.39</v>
      </c>
      <c r="H47" s="9" t="s">
        <v>105</v>
      </c>
      <c r="I47" s="9" t="s">
        <v>107</v>
      </c>
      <c r="J47" s="18" t="s">
        <v>5</v>
      </c>
      <c r="K47" s="18" t="s">
        <v>5</v>
      </c>
      <c r="M47" s="5">
        <v>2</v>
      </c>
      <c r="N47" s="6" t="s">
        <v>4</v>
      </c>
      <c r="P47" t="s">
        <v>52</v>
      </c>
      <c r="Q47" s="18" t="s">
        <v>120</v>
      </c>
      <c r="S47" s="2">
        <v>0.42</v>
      </c>
      <c r="T47" s="18"/>
      <c r="U47" s="23">
        <f t="shared" si="0"/>
        <v>0.42</v>
      </c>
      <c r="V47" s="18"/>
      <c r="X47" s="30" t="s">
        <v>12</v>
      </c>
      <c r="Y47" s="29" t="s">
        <v>120</v>
      </c>
      <c r="AA47" s="18" t="s">
        <v>5</v>
      </c>
      <c r="AF47" s="30" t="s">
        <v>39</v>
      </c>
      <c r="AG47" s="29" t="s">
        <v>120</v>
      </c>
      <c r="AI47" s="18" t="s">
        <v>5</v>
      </c>
    </row>
    <row r="48" spans="1:36">
      <c r="A48">
        <v>46</v>
      </c>
      <c r="B48" s="30" t="s">
        <v>71</v>
      </c>
      <c r="C48" s="31">
        <v>3.12</v>
      </c>
      <c r="D48" s="31">
        <v>3.12</v>
      </c>
      <c r="E48" s="31">
        <v>3.12</v>
      </c>
      <c r="F48" s="31">
        <v>3.12</v>
      </c>
      <c r="G48" s="31">
        <v>2.08</v>
      </c>
      <c r="H48" s="33" t="s">
        <v>72</v>
      </c>
      <c r="I48" s="31">
        <v>1.33</v>
      </c>
      <c r="J48" s="18" t="s">
        <v>5</v>
      </c>
      <c r="K48" s="18" t="s">
        <v>5</v>
      </c>
      <c r="M48" s="6" t="s">
        <v>4</v>
      </c>
      <c r="N48" s="6" t="s">
        <v>4</v>
      </c>
      <c r="P48" t="s">
        <v>52</v>
      </c>
      <c r="Q48" s="18" t="s">
        <v>124</v>
      </c>
      <c r="S48" s="18" t="s">
        <v>5</v>
      </c>
      <c r="T48" s="18"/>
      <c r="U48" s="23" t="str">
        <f t="shared" si="0"/>
        <v>No</v>
      </c>
      <c r="V48" s="18"/>
      <c r="X48" s="30" t="s">
        <v>12</v>
      </c>
      <c r="Y48" s="28" t="s">
        <v>124</v>
      </c>
      <c r="AA48" s="18" t="s">
        <v>5</v>
      </c>
      <c r="AF48" s="30" t="s">
        <v>39</v>
      </c>
      <c r="AG48" s="28" t="s">
        <v>124</v>
      </c>
      <c r="AI48" s="18" t="s">
        <v>5</v>
      </c>
    </row>
    <row r="49" spans="1:36">
      <c r="A49">
        <v>47</v>
      </c>
      <c r="B49" s="30" t="s">
        <v>73</v>
      </c>
      <c r="C49" s="31">
        <v>1.43</v>
      </c>
      <c r="D49" s="31">
        <v>1.43</v>
      </c>
      <c r="E49" s="31">
        <v>1.43</v>
      </c>
      <c r="F49" s="31">
        <v>1.43</v>
      </c>
      <c r="G49" s="31">
        <v>1.43</v>
      </c>
      <c r="H49" s="33" t="s">
        <v>74</v>
      </c>
      <c r="I49" s="32" t="s">
        <v>75</v>
      </c>
      <c r="J49" s="18" t="s">
        <v>5</v>
      </c>
      <c r="K49" s="18" t="s">
        <v>5</v>
      </c>
      <c r="M49" s="5">
        <v>2</v>
      </c>
      <c r="N49" s="5">
        <v>2</v>
      </c>
      <c r="P49" t="s">
        <v>66</v>
      </c>
      <c r="Q49" s="18">
        <v>0</v>
      </c>
      <c r="S49" s="5">
        <v>1.95</v>
      </c>
      <c r="U49" s="23">
        <f t="shared" si="0"/>
        <v>1.95</v>
      </c>
      <c r="X49" s="30" t="s">
        <v>13</v>
      </c>
      <c r="Y49" s="28">
        <v>0</v>
      </c>
      <c r="AA49" s="31">
        <v>1.96</v>
      </c>
      <c r="AF49" s="30" t="s">
        <v>52</v>
      </c>
      <c r="AG49" s="28">
        <v>0</v>
      </c>
      <c r="AI49" s="31">
        <v>2.1</v>
      </c>
    </row>
    <row r="50" spans="1:36">
      <c r="A50">
        <v>48</v>
      </c>
      <c r="B50" s="30" t="s">
        <v>76</v>
      </c>
      <c r="C50" s="31">
        <v>2.1</v>
      </c>
      <c r="D50" s="31">
        <v>2.1</v>
      </c>
      <c r="E50" s="31">
        <v>2.1</v>
      </c>
      <c r="F50" s="31">
        <v>2.1</v>
      </c>
      <c r="G50" s="31">
        <v>1.93</v>
      </c>
      <c r="H50" s="33" t="s">
        <v>77</v>
      </c>
      <c r="I50" s="31">
        <v>1.33</v>
      </c>
      <c r="J50" s="18" t="s">
        <v>5</v>
      </c>
      <c r="K50" s="18" t="s">
        <v>5</v>
      </c>
      <c r="M50" s="5">
        <v>3.12</v>
      </c>
      <c r="N50" s="6" t="s">
        <v>4</v>
      </c>
      <c r="P50" t="s">
        <v>66</v>
      </c>
      <c r="Q50" s="18">
        <v>1</v>
      </c>
      <c r="S50" s="5">
        <v>1.42</v>
      </c>
      <c r="U50" s="23">
        <f t="shared" si="0"/>
        <v>1.42</v>
      </c>
      <c r="X50" s="30" t="s">
        <v>13</v>
      </c>
      <c r="Y50" s="29">
        <v>1</v>
      </c>
      <c r="AA50" s="31">
        <v>1.96</v>
      </c>
      <c r="AF50" s="30" t="s">
        <v>52</v>
      </c>
      <c r="AG50" s="29">
        <v>1</v>
      </c>
      <c r="AI50" s="31">
        <v>2.1</v>
      </c>
    </row>
    <row r="51" spans="1:36">
      <c r="A51">
        <v>49</v>
      </c>
      <c r="B51" s="30" t="s">
        <v>78</v>
      </c>
      <c r="C51" s="31">
        <v>1.58</v>
      </c>
      <c r="D51" s="31">
        <v>1.41</v>
      </c>
      <c r="E51" s="31">
        <v>1.41</v>
      </c>
      <c r="F51" s="31">
        <v>1.33</v>
      </c>
      <c r="G51" s="31">
        <v>1.58</v>
      </c>
      <c r="H51" s="33" t="s">
        <v>79</v>
      </c>
      <c r="I51" s="31">
        <v>1.33</v>
      </c>
      <c r="J51" s="18" t="s">
        <v>5</v>
      </c>
      <c r="K51" s="18" t="s">
        <v>5</v>
      </c>
      <c r="M51" s="5">
        <v>3</v>
      </c>
      <c r="N51" s="6" t="s">
        <v>4</v>
      </c>
      <c r="P51" t="s">
        <v>66</v>
      </c>
      <c r="Q51" s="18" t="s">
        <v>108</v>
      </c>
      <c r="S51" s="5">
        <v>1.42</v>
      </c>
      <c r="U51" s="23">
        <f t="shared" si="0"/>
        <v>1.42</v>
      </c>
      <c r="X51" s="30" t="s">
        <v>13</v>
      </c>
      <c r="Y51" s="28" t="s">
        <v>108</v>
      </c>
      <c r="AA51" s="31">
        <v>1.96</v>
      </c>
      <c r="AF51" s="30" t="s">
        <v>52</v>
      </c>
      <c r="AG51" s="28" t="s">
        <v>108</v>
      </c>
      <c r="AI51" s="31">
        <v>2.1</v>
      </c>
    </row>
    <row r="52" spans="1:36" ht="16.5">
      <c r="A52">
        <v>50</v>
      </c>
      <c r="B52" s="30" t="s">
        <v>80</v>
      </c>
      <c r="C52" s="31">
        <v>3.01</v>
      </c>
      <c r="D52" s="31">
        <v>1.86</v>
      </c>
      <c r="E52" s="31">
        <v>1.86</v>
      </c>
      <c r="F52" s="31">
        <v>1.51</v>
      </c>
      <c r="G52" s="31">
        <v>3.01</v>
      </c>
      <c r="H52" s="9" t="s">
        <v>106</v>
      </c>
      <c r="I52" s="9" t="s">
        <v>107</v>
      </c>
      <c r="J52" s="18" t="s">
        <v>5</v>
      </c>
      <c r="K52" s="18" t="s">
        <v>5</v>
      </c>
      <c r="M52" s="15" t="s">
        <v>81</v>
      </c>
      <c r="N52" s="6" t="s">
        <v>4</v>
      </c>
      <c r="P52" t="s">
        <v>66</v>
      </c>
      <c r="Q52" s="18" t="s">
        <v>109</v>
      </c>
      <c r="S52" s="5">
        <v>1.33</v>
      </c>
      <c r="U52" s="23">
        <f t="shared" si="0"/>
        <v>1.33</v>
      </c>
      <c r="X52" s="30" t="s">
        <v>13</v>
      </c>
      <c r="Y52" s="29" t="s">
        <v>109</v>
      </c>
      <c r="AA52" s="31">
        <v>1.96</v>
      </c>
      <c r="AF52" s="30" t="s">
        <v>52</v>
      </c>
      <c r="AG52" s="29" t="s">
        <v>109</v>
      </c>
      <c r="AI52" s="31">
        <v>1.33</v>
      </c>
    </row>
    <row r="53" spans="1:36" ht="15" thickBot="1">
      <c r="A53">
        <v>51</v>
      </c>
      <c r="B53" s="30" t="s">
        <v>82</v>
      </c>
      <c r="C53" s="31">
        <v>1.54</v>
      </c>
      <c r="D53" s="31">
        <v>1.54</v>
      </c>
      <c r="E53" s="31">
        <v>1.54</v>
      </c>
      <c r="F53" s="31">
        <v>1.33</v>
      </c>
      <c r="G53" s="31">
        <v>1.54</v>
      </c>
      <c r="H53" s="33" t="s">
        <v>72</v>
      </c>
      <c r="I53" s="32" t="s">
        <v>5</v>
      </c>
      <c r="J53" s="18" t="s">
        <v>5</v>
      </c>
      <c r="K53" s="18" t="s">
        <v>5</v>
      </c>
      <c r="M53" s="7">
        <v>2</v>
      </c>
      <c r="N53" s="8" t="s">
        <v>4</v>
      </c>
      <c r="P53" t="s">
        <v>66</v>
      </c>
      <c r="Q53" s="18" t="s">
        <v>117</v>
      </c>
      <c r="S53" s="5">
        <v>1.95</v>
      </c>
      <c r="U53" s="23">
        <f t="shared" si="0"/>
        <v>1.95</v>
      </c>
      <c r="X53" s="30" t="s">
        <v>13</v>
      </c>
      <c r="Y53" s="28" t="s">
        <v>117</v>
      </c>
      <c r="AA53" s="31">
        <v>2.58</v>
      </c>
      <c r="AF53" s="30" t="s">
        <v>52</v>
      </c>
      <c r="AG53" s="28" t="s">
        <v>117</v>
      </c>
      <c r="AI53" s="31">
        <v>1.96</v>
      </c>
    </row>
    <row r="54" spans="1:36">
      <c r="P54" t="s">
        <v>66</v>
      </c>
      <c r="Q54" s="18" t="s">
        <v>116</v>
      </c>
      <c r="S54" s="22">
        <v>0.98</v>
      </c>
      <c r="T54" s="18" t="s">
        <v>75</v>
      </c>
      <c r="U54" s="23">
        <f t="shared" si="0"/>
        <v>0.98</v>
      </c>
      <c r="V54" s="18" t="s">
        <v>75</v>
      </c>
      <c r="X54" s="30" t="s">
        <v>13</v>
      </c>
      <c r="Y54" s="29" t="s">
        <v>116</v>
      </c>
      <c r="AA54" s="31">
        <v>1.5</v>
      </c>
      <c r="AB54" t="s">
        <v>5</v>
      </c>
      <c r="AF54" s="30" t="s">
        <v>52</v>
      </c>
      <c r="AG54" s="29" t="s">
        <v>116</v>
      </c>
      <c r="AI54" s="34">
        <v>0.42</v>
      </c>
      <c r="AJ54" t="s">
        <v>75</v>
      </c>
    </row>
    <row r="55" spans="1:36" ht="16.5">
      <c r="B55" s="11" t="s">
        <v>89</v>
      </c>
      <c r="P55" t="s">
        <v>66</v>
      </c>
      <c r="Q55" s="18" t="s">
        <v>118</v>
      </c>
      <c r="S55" s="18" t="s">
        <v>5</v>
      </c>
      <c r="U55" s="23" t="str">
        <f t="shared" si="0"/>
        <v>No</v>
      </c>
      <c r="X55" s="30" t="s">
        <v>13</v>
      </c>
      <c r="Y55" s="28" t="s">
        <v>118</v>
      </c>
      <c r="AA55" s="31">
        <v>1.33</v>
      </c>
      <c r="AF55" s="30" t="s">
        <v>52</v>
      </c>
      <c r="AG55" s="28" t="s">
        <v>118</v>
      </c>
      <c r="AI55" s="9" t="s">
        <v>5</v>
      </c>
    </row>
    <row r="56" spans="1:36" ht="16.5">
      <c r="B56" s="11" t="s">
        <v>90</v>
      </c>
      <c r="P56" t="s">
        <v>66</v>
      </c>
      <c r="Q56" s="18" t="s">
        <v>120</v>
      </c>
      <c r="S56" s="18" t="s">
        <v>5</v>
      </c>
      <c r="U56" s="23" t="str">
        <f t="shared" si="0"/>
        <v>No</v>
      </c>
      <c r="X56" s="30" t="s">
        <v>13</v>
      </c>
      <c r="Y56" s="29" t="s">
        <v>120</v>
      </c>
      <c r="AA56" s="18" t="s">
        <v>5</v>
      </c>
      <c r="AF56" s="30" t="s">
        <v>52</v>
      </c>
      <c r="AG56" s="29" t="s">
        <v>120</v>
      </c>
      <c r="AI56" s="23">
        <v>0.42</v>
      </c>
    </row>
    <row r="57" spans="1:36" ht="16.5">
      <c r="B57" s="11" t="s">
        <v>91</v>
      </c>
      <c r="P57" t="s">
        <v>66</v>
      </c>
      <c r="Q57" s="18" t="s">
        <v>124</v>
      </c>
      <c r="S57" s="18" t="s">
        <v>5</v>
      </c>
      <c r="U57" s="23" t="str">
        <f t="shared" si="0"/>
        <v>No</v>
      </c>
      <c r="X57" s="30" t="s">
        <v>13</v>
      </c>
      <c r="Y57" s="28" t="s">
        <v>124</v>
      </c>
      <c r="AA57" s="18" t="s">
        <v>5</v>
      </c>
      <c r="AF57" s="30" t="s">
        <v>52</v>
      </c>
      <c r="AG57" s="28" t="s">
        <v>124</v>
      </c>
      <c r="AI57" s="18" t="s">
        <v>5</v>
      </c>
    </row>
    <row r="58" spans="1:36" ht="16.5">
      <c r="B58" s="11" t="s">
        <v>92</v>
      </c>
      <c r="P58" t="s">
        <v>68</v>
      </c>
      <c r="Q58" s="18">
        <v>0</v>
      </c>
      <c r="S58" s="5">
        <v>1.98</v>
      </c>
      <c r="U58" s="23">
        <f t="shared" si="0"/>
        <v>1.98</v>
      </c>
      <c r="X58" s="30" t="s">
        <v>14</v>
      </c>
      <c r="Y58" s="28">
        <v>0</v>
      </c>
      <c r="AA58" s="31">
        <v>2.12</v>
      </c>
      <c r="AF58" s="30" t="s">
        <v>66</v>
      </c>
      <c r="AG58" s="28">
        <v>0</v>
      </c>
      <c r="AI58" s="31">
        <v>1.95</v>
      </c>
    </row>
    <row r="59" spans="1:36" ht="16.5">
      <c r="B59" s="11" t="s">
        <v>93</v>
      </c>
      <c r="P59" t="s">
        <v>68</v>
      </c>
      <c r="Q59" s="18">
        <v>1</v>
      </c>
      <c r="S59" s="5">
        <v>1.44</v>
      </c>
      <c r="U59" s="23">
        <f t="shared" si="0"/>
        <v>1.44</v>
      </c>
      <c r="X59" s="30" t="s">
        <v>14</v>
      </c>
      <c r="Y59" s="29">
        <v>1</v>
      </c>
      <c r="AA59" s="31">
        <v>1.42</v>
      </c>
      <c r="AF59" s="30" t="s">
        <v>66</v>
      </c>
      <c r="AG59" s="29">
        <v>1</v>
      </c>
      <c r="AI59" s="31">
        <v>1.42</v>
      </c>
    </row>
    <row r="60" spans="1:36" ht="16.5">
      <c r="B60" s="11" t="s">
        <v>94</v>
      </c>
      <c r="P60" t="s">
        <v>68</v>
      </c>
      <c r="Q60" s="18" t="s">
        <v>108</v>
      </c>
      <c r="S60" s="5">
        <v>1.44</v>
      </c>
      <c r="U60" s="23">
        <f t="shared" si="0"/>
        <v>1.44</v>
      </c>
      <c r="X60" s="30" t="s">
        <v>14</v>
      </c>
      <c r="Y60" s="28" t="s">
        <v>108</v>
      </c>
      <c r="AA60" s="31">
        <v>1.42</v>
      </c>
      <c r="AF60" s="30" t="s">
        <v>66</v>
      </c>
      <c r="AG60" s="28" t="s">
        <v>108</v>
      </c>
      <c r="AI60" s="31">
        <v>1.42</v>
      </c>
    </row>
    <row r="61" spans="1:36" ht="16.5">
      <c r="B61" s="11" t="s">
        <v>95</v>
      </c>
      <c r="P61" t="s">
        <v>68</v>
      </c>
      <c r="Q61" s="18" t="s">
        <v>109</v>
      </c>
      <c r="S61" s="5">
        <v>1.33</v>
      </c>
      <c r="U61" s="23">
        <f t="shared" si="0"/>
        <v>1.33</v>
      </c>
      <c r="X61" s="30" t="s">
        <v>14</v>
      </c>
      <c r="Y61" s="29" t="s">
        <v>109</v>
      </c>
      <c r="AA61" s="31">
        <v>1.33</v>
      </c>
      <c r="AF61" s="30" t="s">
        <v>66</v>
      </c>
      <c r="AG61" s="29" t="s">
        <v>109</v>
      </c>
      <c r="AI61" s="31">
        <v>1.33</v>
      </c>
    </row>
    <row r="62" spans="1:36" ht="16.5">
      <c r="B62" s="11" t="s">
        <v>96</v>
      </c>
      <c r="P62" t="s">
        <v>68</v>
      </c>
      <c r="Q62" s="18" t="s">
        <v>117</v>
      </c>
      <c r="S62" s="5">
        <v>1.98</v>
      </c>
      <c r="U62" s="23">
        <f t="shared" si="0"/>
        <v>1.98</v>
      </c>
      <c r="X62" s="30" t="s">
        <v>14</v>
      </c>
      <c r="Y62" s="28" t="s">
        <v>117</v>
      </c>
      <c r="AA62" s="31">
        <v>2.12</v>
      </c>
      <c r="AF62" s="30" t="s">
        <v>66</v>
      </c>
      <c r="AG62" s="28" t="s">
        <v>117</v>
      </c>
      <c r="AI62" s="31">
        <v>1.95</v>
      </c>
    </row>
    <row r="63" spans="1:36" ht="16.5">
      <c r="B63" s="11" t="s">
        <v>97</v>
      </c>
      <c r="P63" t="s">
        <v>68</v>
      </c>
      <c r="Q63" s="18" t="s">
        <v>116</v>
      </c>
      <c r="S63" s="22">
        <v>0.15</v>
      </c>
      <c r="T63" t="s">
        <v>75</v>
      </c>
      <c r="U63" s="23">
        <f t="shared" si="0"/>
        <v>0.15</v>
      </c>
      <c r="V63" t="s">
        <v>75</v>
      </c>
      <c r="X63" s="30" t="s">
        <v>14</v>
      </c>
      <c r="Y63" s="29" t="s">
        <v>116</v>
      </c>
      <c r="AA63" s="31">
        <v>0.87</v>
      </c>
      <c r="AB63" t="s">
        <v>5</v>
      </c>
      <c r="AF63" s="30" t="s">
        <v>66</v>
      </c>
      <c r="AG63" s="29" t="s">
        <v>116</v>
      </c>
      <c r="AI63" s="34">
        <v>0.98</v>
      </c>
      <c r="AJ63" t="s">
        <v>75</v>
      </c>
    </row>
    <row r="64" spans="1:36">
      <c r="B64" s="12"/>
      <c r="P64" t="s">
        <v>68</v>
      </c>
      <c r="Q64" s="18" t="s">
        <v>118</v>
      </c>
      <c r="S64" s="18" t="s">
        <v>5</v>
      </c>
      <c r="U64" s="23" t="str">
        <f t="shared" si="0"/>
        <v>No</v>
      </c>
      <c r="X64" s="30" t="s">
        <v>14</v>
      </c>
      <c r="Y64" s="28" t="s">
        <v>118</v>
      </c>
      <c r="AA64" s="31">
        <v>1.33</v>
      </c>
      <c r="AF64" s="30" t="s">
        <v>66</v>
      </c>
      <c r="AG64" s="28" t="s">
        <v>118</v>
      </c>
      <c r="AI64" s="32" t="s">
        <v>5</v>
      </c>
    </row>
    <row r="65" spans="2:36" ht="16.5">
      <c r="B65" s="13" t="s">
        <v>98</v>
      </c>
      <c r="P65" t="s">
        <v>68</v>
      </c>
      <c r="Q65" s="18" t="s">
        <v>120</v>
      </c>
      <c r="S65" s="18" t="s">
        <v>5</v>
      </c>
      <c r="U65" s="23" t="str">
        <f t="shared" si="0"/>
        <v>No</v>
      </c>
      <c r="X65" s="30" t="s">
        <v>14</v>
      </c>
      <c r="Y65" s="29" t="s">
        <v>120</v>
      </c>
      <c r="AA65" s="18" t="s">
        <v>5</v>
      </c>
      <c r="AF65" s="30" t="s">
        <v>66</v>
      </c>
      <c r="AG65" s="29" t="s">
        <v>120</v>
      </c>
      <c r="AI65" s="18" t="s">
        <v>5</v>
      </c>
    </row>
    <row r="66" spans="2:36" ht="16.5">
      <c r="B66" s="13" t="s">
        <v>99</v>
      </c>
      <c r="P66" t="s">
        <v>68</v>
      </c>
      <c r="Q66" s="18" t="s">
        <v>124</v>
      </c>
      <c r="S66" s="18" t="s">
        <v>5</v>
      </c>
      <c r="U66" s="23" t="str">
        <f t="shared" si="0"/>
        <v>No</v>
      </c>
      <c r="X66" s="30" t="s">
        <v>14</v>
      </c>
      <c r="Y66" s="28" t="s">
        <v>124</v>
      </c>
      <c r="AA66" s="18" t="s">
        <v>5</v>
      </c>
      <c r="AF66" s="30" t="s">
        <v>66</v>
      </c>
      <c r="AG66" s="28" t="s">
        <v>124</v>
      </c>
      <c r="AI66" s="18" t="s">
        <v>5</v>
      </c>
    </row>
    <row r="67" spans="2:36" ht="16.5">
      <c r="B67" s="13" t="s">
        <v>100</v>
      </c>
      <c r="X67" s="30" t="s">
        <v>16</v>
      </c>
      <c r="Y67" s="28">
        <v>0</v>
      </c>
      <c r="AA67" s="31">
        <v>3.19</v>
      </c>
      <c r="AF67" s="30" t="s">
        <v>68</v>
      </c>
      <c r="AG67" s="28">
        <v>0</v>
      </c>
      <c r="AI67" s="31">
        <v>1.98</v>
      </c>
    </row>
    <row r="68" spans="2:36">
      <c r="B68" s="14"/>
      <c r="X68" s="30" t="s">
        <v>16</v>
      </c>
      <c r="Y68" s="29">
        <v>1</v>
      </c>
      <c r="AA68" s="31">
        <v>3.19</v>
      </c>
      <c r="AF68" s="30" t="s">
        <v>68</v>
      </c>
      <c r="AG68" s="29">
        <v>1</v>
      </c>
      <c r="AI68" s="31">
        <v>1.44</v>
      </c>
    </row>
    <row r="69" spans="2:36" ht="16.5">
      <c r="B69" s="11" t="s">
        <v>101</v>
      </c>
      <c r="X69" s="30" t="s">
        <v>16</v>
      </c>
      <c r="Y69" s="28" t="s">
        <v>108</v>
      </c>
      <c r="AA69" s="31">
        <v>3.19</v>
      </c>
      <c r="AF69" s="30" t="s">
        <v>68</v>
      </c>
      <c r="AG69" s="28" t="s">
        <v>108</v>
      </c>
      <c r="AI69" s="31">
        <v>1.44</v>
      </c>
    </row>
    <row r="70" spans="2:36" ht="16.5">
      <c r="B70" s="11" t="s">
        <v>102</v>
      </c>
      <c r="X70" s="30" t="s">
        <v>16</v>
      </c>
      <c r="Y70" s="29" t="s">
        <v>109</v>
      </c>
      <c r="AA70" s="31">
        <v>3.19</v>
      </c>
      <c r="AF70" s="30" t="s">
        <v>68</v>
      </c>
      <c r="AG70" s="29" t="s">
        <v>109</v>
      </c>
      <c r="AI70" s="31">
        <v>1.33</v>
      </c>
    </row>
    <row r="71" spans="2:36">
      <c r="X71" s="30" t="s">
        <v>16</v>
      </c>
      <c r="Y71" s="28" t="s">
        <v>117</v>
      </c>
      <c r="AA71" s="31">
        <v>3.19</v>
      </c>
      <c r="AF71" s="30" t="s">
        <v>68</v>
      </c>
      <c r="AG71" s="28" t="s">
        <v>117</v>
      </c>
      <c r="AI71" s="31">
        <v>1.98</v>
      </c>
    </row>
    <row r="72" spans="2:36">
      <c r="X72" s="30" t="s">
        <v>16</v>
      </c>
      <c r="Y72" s="29" t="s">
        <v>116</v>
      </c>
      <c r="AA72" s="31">
        <v>2.16</v>
      </c>
      <c r="AB72" t="s">
        <v>5</v>
      </c>
      <c r="AF72" s="30" t="s">
        <v>68</v>
      </c>
      <c r="AG72" s="29" t="s">
        <v>116</v>
      </c>
      <c r="AI72" s="34">
        <v>0.15</v>
      </c>
      <c r="AJ72" t="s">
        <v>75</v>
      </c>
    </row>
    <row r="73" spans="2:36">
      <c r="X73" s="30" t="s">
        <v>16</v>
      </c>
      <c r="Y73" s="28" t="s">
        <v>118</v>
      </c>
      <c r="AA73" s="23">
        <v>2.1</v>
      </c>
      <c r="AF73" s="30" t="s">
        <v>68</v>
      </c>
      <c r="AG73" s="28" t="s">
        <v>118</v>
      </c>
      <c r="AI73" s="32" t="s">
        <v>5</v>
      </c>
    </row>
    <row r="74" spans="2:36">
      <c r="X74" s="30" t="s">
        <v>16</v>
      </c>
      <c r="Y74" s="29" t="s">
        <v>120</v>
      </c>
      <c r="AA74" s="23">
        <v>2.16</v>
      </c>
      <c r="AF74" s="30" t="s">
        <v>68</v>
      </c>
      <c r="AG74" s="29" t="s">
        <v>120</v>
      </c>
      <c r="AI74" s="18" t="s">
        <v>5</v>
      </c>
    </row>
    <row r="75" spans="2:36">
      <c r="X75" s="30" t="s">
        <v>16</v>
      </c>
      <c r="Y75" s="28" t="s">
        <v>124</v>
      </c>
      <c r="AA75" s="18" t="s">
        <v>5</v>
      </c>
      <c r="AF75" s="30" t="s">
        <v>68</v>
      </c>
      <c r="AG75" s="28" t="s">
        <v>124</v>
      </c>
      <c r="AI75" s="18" t="s">
        <v>5</v>
      </c>
    </row>
    <row r="76" spans="2:36">
      <c r="X76" s="30" t="s">
        <v>121</v>
      </c>
      <c r="Y76" s="28">
        <v>0</v>
      </c>
      <c r="AA76" s="31">
        <v>3.08</v>
      </c>
    </row>
    <row r="77" spans="2:36">
      <c r="X77" s="30" t="s">
        <v>121</v>
      </c>
      <c r="Y77" s="29">
        <v>1</v>
      </c>
      <c r="AA77" s="31">
        <v>3.08</v>
      </c>
    </row>
    <row r="78" spans="2:36">
      <c r="X78" s="30" t="s">
        <v>121</v>
      </c>
      <c r="Y78" s="28" t="s">
        <v>108</v>
      </c>
      <c r="AA78" s="31">
        <v>3.08</v>
      </c>
    </row>
    <row r="79" spans="2:36">
      <c r="X79" s="30" t="s">
        <v>121</v>
      </c>
      <c r="Y79" s="29" t="s">
        <v>109</v>
      </c>
      <c r="AA79" s="31">
        <v>3.08</v>
      </c>
    </row>
    <row r="80" spans="2:36">
      <c r="X80" s="30" t="s">
        <v>121</v>
      </c>
      <c r="Y80" s="28" t="s">
        <v>117</v>
      </c>
      <c r="AA80" s="31">
        <v>1.91</v>
      </c>
    </row>
    <row r="81" spans="24:28">
      <c r="X81" s="30" t="s">
        <v>121</v>
      </c>
      <c r="Y81" s="29" t="s">
        <v>116</v>
      </c>
      <c r="AA81" s="31">
        <v>1.05</v>
      </c>
      <c r="AB81" t="s">
        <v>5</v>
      </c>
    </row>
    <row r="82" spans="24:28">
      <c r="X82" s="30" t="s">
        <v>121</v>
      </c>
      <c r="Y82" s="28" t="s">
        <v>118</v>
      </c>
      <c r="AA82" s="31">
        <v>1.33</v>
      </c>
    </row>
    <row r="83" spans="24:28">
      <c r="X83" s="30" t="s">
        <v>121</v>
      </c>
      <c r="Y83" s="29" t="s">
        <v>120</v>
      </c>
      <c r="AA83" s="18" t="s">
        <v>5</v>
      </c>
    </row>
    <row r="84" spans="24:28">
      <c r="X84" s="30" t="s">
        <v>121</v>
      </c>
      <c r="Y84" s="28" t="s">
        <v>124</v>
      </c>
      <c r="AA84" s="18" t="s">
        <v>5</v>
      </c>
    </row>
    <row r="85" spans="24:28">
      <c r="X85" s="30" t="s">
        <v>22</v>
      </c>
      <c r="Y85" s="28">
        <v>0</v>
      </c>
      <c r="AA85" s="31">
        <v>1.42</v>
      </c>
    </row>
    <row r="86" spans="24:28">
      <c r="X86" s="30" t="s">
        <v>22</v>
      </c>
      <c r="Y86" s="29">
        <v>1</v>
      </c>
      <c r="AA86" s="31">
        <v>1.42</v>
      </c>
    </row>
    <row r="87" spans="24:28">
      <c r="X87" s="30" t="s">
        <v>22</v>
      </c>
      <c r="Y87" s="28" t="s">
        <v>108</v>
      </c>
      <c r="AA87" s="31">
        <v>1.42</v>
      </c>
    </row>
    <row r="88" spans="24:28">
      <c r="X88" s="30" t="s">
        <v>22</v>
      </c>
      <c r="Y88" s="29" t="s">
        <v>109</v>
      </c>
      <c r="AA88" s="31">
        <v>1.33</v>
      </c>
    </row>
    <row r="89" spans="24:28">
      <c r="X89" s="30" t="s">
        <v>22</v>
      </c>
      <c r="Y89" s="28" t="s">
        <v>117</v>
      </c>
      <c r="AA89" s="31">
        <v>1.33</v>
      </c>
    </row>
    <row r="90" spans="24:28">
      <c r="X90" s="30" t="s">
        <v>22</v>
      </c>
      <c r="Y90" s="29" t="s">
        <v>116</v>
      </c>
      <c r="AA90" s="34">
        <v>0.23</v>
      </c>
      <c r="AB90" t="s">
        <v>75</v>
      </c>
    </row>
    <row r="91" spans="24:28">
      <c r="X91" s="30" t="s">
        <v>22</v>
      </c>
      <c r="Y91" s="28" t="s">
        <v>118</v>
      </c>
      <c r="AA91" s="32" t="s">
        <v>5</v>
      </c>
    </row>
    <row r="92" spans="24:28">
      <c r="X92" s="30" t="s">
        <v>22</v>
      </c>
      <c r="Y92" s="29" t="s">
        <v>120</v>
      </c>
      <c r="AA92" s="18" t="s">
        <v>5</v>
      </c>
    </row>
    <row r="93" spans="24:28">
      <c r="X93" s="30" t="s">
        <v>22</v>
      </c>
      <c r="Y93" s="28" t="s">
        <v>124</v>
      </c>
      <c r="AA93" s="18" t="s">
        <v>5</v>
      </c>
    </row>
    <row r="94" spans="24:28">
      <c r="X94" s="30" t="s">
        <v>24</v>
      </c>
      <c r="Y94" s="28">
        <v>0</v>
      </c>
      <c r="AA94" s="31">
        <v>1.42</v>
      </c>
    </row>
    <row r="95" spans="24:28">
      <c r="X95" s="30" t="s">
        <v>24</v>
      </c>
      <c r="Y95" s="29">
        <v>1</v>
      </c>
      <c r="AA95" s="31">
        <v>1.42</v>
      </c>
    </row>
    <row r="96" spans="24:28">
      <c r="X96" s="30" t="s">
        <v>24</v>
      </c>
      <c r="Y96" s="28" t="s">
        <v>108</v>
      </c>
      <c r="AA96" s="31">
        <v>1.42</v>
      </c>
    </row>
    <row r="97" spans="24:28">
      <c r="X97" s="30" t="s">
        <v>24</v>
      </c>
      <c r="Y97" s="29" t="s">
        <v>109</v>
      </c>
      <c r="AA97" s="31">
        <v>1.42</v>
      </c>
    </row>
    <row r="98" spans="24:28">
      <c r="X98" s="30" t="s">
        <v>24</v>
      </c>
      <c r="Y98" s="28" t="s">
        <v>117</v>
      </c>
      <c r="AA98" s="31">
        <v>2.08</v>
      </c>
    </row>
    <row r="99" spans="24:28">
      <c r="X99" s="30" t="s">
        <v>24</v>
      </c>
      <c r="Y99" s="29" t="s">
        <v>116</v>
      </c>
      <c r="AA99" s="31">
        <v>1.33</v>
      </c>
      <c r="AB99" t="s">
        <v>5</v>
      </c>
    </row>
    <row r="100" spans="24:28">
      <c r="X100" s="30" t="s">
        <v>24</v>
      </c>
      <c r="Y100" s="28" t="s">
        <v>118</v>
      </c>
      <c r="AA100" s="31">
        <v>1.33</v>
      </c>
    </row>
    <row r="101" spans="24:28">
      <c r="X101" s="30" t="s">
        <v>24</v>
      </c>
      <c r="Y101" s="29" t="s">
        <v>120</v>
      </c>
      <c r="AA101" s="18" t="s">
        <v>5</v>
      </c>
    </row>
    <row r="102" spans="24:28">
      <c r="X102" s="30" t="s">
        <v>24</v>
      </c>
      <c r="Y102" s="28" t="s">
        <v>124</v>
      </c>
      <c r="AA102" s="18" t="s">
        <v>5</v>
      </c>
    </row>
    <row r="103" spans="24:28">
      <c r="X103" s="30" t="s">
        <v>25</v>
      </c>
      <c r="Y103" s="28">
        <v>0</v>
      </c>
      <c r="AA103" s="31">
        <v>2.08</v>
      </c>
    </row>
    <row r="104" spans="24:28">
      <c r="X104" s="30" t="s">
        <v>25</v>
      </c>
      <c r="Y104" s="29">
        <v>1</v>
      </c>
      <c r="AA104" s="31">
        <v>1.58</v>
      </c>
    </row>
    <row r="105" spans="24:28">
      <c r="X105" s="30" t="s">
        <v>25</v>
      </c>
      <c r="Y105" s="28" t="s">
        <v>108</v>
      </c>
      <c r="AA105" s="31">
        <v>1.58</v>
      </c>
    </row>
    <row r="106" spans="24:28">
      <c r="X106" s="30" t="s">
        <v>25</v>
      </c>
      <c r="Y106" s="29" t="s">
        <v>109</v>
      </c>
      <c r="AA106" s="31">
        <v>1.58</v>
      </c>
    </row>
    <row r="107" spans="24:28">
      <c r="X107" s="30" t="s">
        <v>25</v>
      </c>
      <c r="Y107" s="28" t="s">
        <v>117</v>
      </c>
      <c r="AA107" s="31">
        <v>2.08</v>
      </c>
    </row>
    <row r="108" spans="24:28">
      <c r="X108" s="30" t="s">
        <v>25</v>
      </c>
      <c r="Y108" s="29" t="s">
        <v>116</v>
      </c>
      <c r="AA108" s="34">
        <v>0.19</v>
      </c>
      <c r="AB108" t="s">
        <v>75</v>
      </c>
    </row>
    <row r="109" spans="24:28">
      <c r="X109" s="30" t="s">
        <v>25</v>
      </c>
      <c r="Y109" s="28" t="s">
        <v>118</v>
      </c>
      <c r="AA109" s="31">
        <v>1.33</v>
      </c>
    </row>
    <row r="110" spans="24:28">
      <c r="X110" s="30" t="s">
        <v>25</v>
      </c>
      <c r="Y110" s="29" t="s">
        <v>120</v>
      </c>
      <c r="AA110" s="18" t="s">
        <v>5</v>
      </c>
    </row>
    <row r="111" spans="24:28">
      <c r="X111" s="30" t="s">
        <v>25</v>
      </c>
      <c r="Y111" s="28" t="s">
        <v>124</v>
      </c>
      <c r="AA111" s="18" t="s">
        <v>5</v>
      </c>
    </row>
    <row r="112" spans="24:28">
      <c r="X112" s="30" t="s">
        <v>27</v>
      </c>
      <c r="Y112" s="28">
        <v>0</v>
      </c>
      <c r="AA112" s="31">
        <v>3.75</v>
      </c>
    </row>
    <row r="113" spans="24:28">
      <c r="X113" s="30" t="s">
        <v>27</v>
      </c>
      <c r="Y113" s="29">
        <v>1</v>
      </c>
      <c r="AA113" s="31">
        <v>1.67</v>
      </c>
    </row>
    <row r="114" spans="24:28">
      <c r="X114" s="30" t="s">
        <v>27</v>
      </c>
      <c r="Y114" s="28" t="s">
        <v>108</v>
      </c>
      <c r="AA114" s="31">
        <v>1.67</v>
      </c>
    </row>
    <row r="115" spans="24:28">
      <c r="X115" s="30" t="s">
        <v>27</v>
      </c>
      <c r="Y115" s="29" t="s">
        <v>109</v>
      </c>
      <c r="AA115" s="31">
        <v>1.67</v>
      </c>
    </row>
    <row r="116" spans="24:28">
      <c r="X116" s="30" t="s">
        <v>27</v>
      </c>
      <c r="Y116" s="28" t="s">
        <v>117</v>
      </c>
      <c r="AA116" s="31">
        <v>3.75</v>
      </c>
    </row>
    <row r="117" spans="24:28">
      <c r="X117" s="30" t="s">
        <v>27</v>
      </c>
      <c r="Y117" s="29" t="s">
        <v>116</v>
      </c>
      <c r="AA117" s="34">
        <v>0.51</v>
      </c>
      <c r="AB117" t="s">
        <v>75</v>
      </c>
    </row>
    <row r="118" spans="24:28">
      <c r="X118" s="30" t="s">
        <v>27</v>
      </c>
      <c r="Y118" s="28" t="s">
        <v>118</v>
      </c>
      <c r="AA118" s="31">
        <v>1.33</v>
      </c>
    </row>
    <row r="119" spans="24:28">
      <c r="X119" s="30" t="s">
        <v>27</v>
      </c>
      <c r="Y119" s="29" t="s">
        <v>120</v>
      </c>
      <c r="AA119" s="18" t="s">
        <v>5</v>
      </c>
    </row>
    <row r="120" spans="24:28">
      <c r="X120" s="30" t="s">
        <v>27</v>
      </c>
      <c r="Y120" s="28" t="s">
        <v>124</v>
      </c>
      <c r="AA120" s="18" t="s">
        <v>5</v>
      </c>
    </row>
    <row r="121" spans="24:28">
      <c r="X121" s="30" t="s">
        <v>30</v>
      </c>
      <c r="Y121" s="28">
        <v>0</v>
      </c>
      <c r="AA121" s="31">
        <v>1.66</v>
      </c>
    </row>
    <row r="122" spans="24:28">
      <c r="X122" s="30" t="s">
        <v>30</v>
      </c>
      <c r="Y122" s="29">
        <v>1</v>
      </c>
      <c r="AA122" s="31">
        <v>1.49</v>
      </c>
    </row>
    <row r="123" spans="24:28">
      <c r="X123" s="30" t="s">
        <v>30</v>
      </c>
      <c r="Y123" s="28" t="s">
        <v>108</v>
      </c>
      <c r="AA123" s="31">
        <v>1.49</v>
      </c>
    </row>
    <row r="124" spans="24:28">
      <c r="X124" s="30" t="s">
        <v>30</v>
      </c>
      <c r="Y124" s="29" t="s">
        <v>109</v>
      </c>
      <c r="AA124" s="31">
        <v>1.33</v>
      </c>
    </row>
    <row r="125" spans="24:28">
      <c r="X125" s="30" t="s">
        <v>30</v>
      </c>
      <c r="Y125" s="28" t="s">
        <v>117</v>
      </c>
      <c r="AA125" s="31">
        <v>1.66</v>
      </c>
    </row>
    <row r="126" spans="24:28">
      <c r="X126" s="30" t="s">
        <v>30</v>
      </c>
      <c r="Y126" s="29" t="s">
        <v>116</v>
      </c>
      <c r="AA126" s="31">
        <v>0.33</v>
      </c>
      <c r="AB126" t="s">
        <v>5</v>
      </c>
    </row>
    <row r="127" spans="24:28">
      <c r="X127" s="30" t="s">
        <v>30</v>
      </c>
      <c r="Y127" s="28" t="s">
        <v>118</v>
      </c>
      <c r="AA127" s="32" t="s">
        <v>5</v>
      </c>
    </row>
    <row r="128" spans="24:28">
      <c r="X128" s="30" t="s">
        <v>30</v>
      </c>
      <c r="Y128" s="29" t="s">
        <v>120</v>
      </c>
      <c r="AA128" s="18" t="s">
        <v>5</v>
      </c>
    </row>
    <row r="129" spans="24:28">
      <c r="X129" s="30" t="s">
        <v>30</v>
      </c>
      <c r="Y129" s="28" t="s">
        <v>124</v>
      </c>
      <c r="AA129" s="18" t="s">
        <v>5</v>
      </c>
    </row>
    <row r="130" spans="24:28">
      <c r="X130" s="30" t="s">
        <v>31</v>
      </c>
      <c r="Y130" s="28">
        <v>0</v>
      </c>
      <c r="AA130" s="31">
        <v>1.95</v>
      </c>
    </row>
    <row r="131" spans="24:28">
      <c r="X131" s="30" t="s">
        <v>31</v>
      </c>
      <c r="Y131" s="29">
        <v>1</v>
      </c>
      <c r="AA131" s="31">
        <v>1.59</v>
      </c>
    </row>
    <row r="132" spans="24:28">
      <c r="X132" s="30" t="s">
        <v>31</v>
      </c>
      <c r="Y132" s="28" t="s">
        <v>108</v>
      </c>
      <c r="AA132" s="31">
        <v>1.59</v>
      </c>
    </row>
    <row r="133" spans="24:28">
      <c r="X133" s="30" t="s">
        <v>31</v>
      </c>
      <c r="Y133" s="29" t="s">
        <v>109</v>
      </c>
      <c r="AA133" s="31">
        <v>1.59</v>
      </c>
    </row>
    <row r="134" spans="24:28">
      <c r="X134" s="30" t="s">
        <v>31</v>
      </c>
      <c r="Y134" s="28" t="s">
        <v>117</v>
      </c>
      <c r="AA134" s="31">
        <v>1.95</v>
      </c>
    </row>
    <row r="135" spans="24:28">
      <c r="X135" s="30" t="s">
        <v>31</v>
      </c>
      <c r="Y135" s="29" t="s">
        <v>116</v>
      </c>
      <c r="AA135" s="34">
        <v>0.24</v>
      </c>
      <c r="AB135" t="s">
        <v>75</v>
      </c>
    </row>
    <row r="136" spans="24:28">
      <c r="X136" s="30" t="s">
        <v>31</v>
      </c>
      <c r="Y136" s="28" t="s">
        <v>118</v>
      </c>
      <c r="AA136" s="31">
        <v>1.33</v>
      </c>
    </row>
    <row r="137" spans="24:28">
      <c r="X137" s="30" t="s">
        <v>31</v>
      </c>
      <c r="Y137" s="29" t="s">
        <v>120</v>
      </c>
      <c r="AA137" s="18" t="s">
        <v>5</v>
      </c>
    </row>
    <row r="138" spans="24:28">
      <c r="X138" s="30" t="s">
        <v>31</v>
      </c>
      <c r="Y138" s="28" t="s">
        <v>124</v>
      </c>
      <c r="AA138" s="18" t="s">
        <v>5</v>
      </c>
    </row>
    <row r="139" spans="24:28">
      <c r="X139" s="30" t="s">
        <v>34</v>
      </c>
      <c r="Y139" s="28">
        <v>0</v>
      </c>
      <c r="AA139" s="31">
        <v>1.91</v>
      </c>
    </row>
    <row r="140" spans="24:28">
      <c r="X140" s="30" t="s">
        <v>34</v>
      </c>
      <c r="Y140" s="29">
        <v>1</v>
      </c>
      <c r="AA140" s="31">
        <v>1.57</v>
      </c>
    </row>
    <row r="141" spans="24:28">
      <c r="X141" s="30" t="s">
        <v>34</v>
      </c>
      <c r="Y141" s="28" t="s">
        <v>108</v>
      </c>
      <c r="AA141" s="31">
        <v>1.57</v>
      </c>
    </row>
    <row r="142" spans="24:28">
      <c r="X142" s="30" t="s">
        <v>34</v>
      </c>
      <c r="Y142" s="29" t="s">
        <v>109</v>
      </c>
      <c r="AA142" s="31">
        <v>1.57</v>
      </c>
    </row>
    <row r="143" spans="24:28">
      <c r="X143" s="30" t="s">
        <v>34</v>
      </c>
      <c r="Y143" s="28" t="s">
        <v>117</v>
      </c>
      <c r="AA143" s="31">
        <v>2.09</v>
      </c>
    </row>
    <row r="144" spans="24:28">
      <c r="X144" s="30" t="s">
        <v>34</v>
      </c>
      <c r="Y144" s="29" t="s">
        <v>116</v>
      </c>
      <c r="AA144" s="31">
        <v>1</v>
      </c>
      <c r="AB144" t="s">
        <v>5</v>
      </c>
    </row>
    <row r="145" spans="24:28">
      <c r="X145" s="30" t="s">
        <v>34</v>
      </c>
      <c r="Y145" s="28" t="s">
        <v>118</v>
      </c>
      <c r="AA145" s="27">
        <v>1.33</v>
      </c>
    </row>
    <row r="146" spans="24:28">
      <c r="X146" s="30" t="s">
        <v>34</v>
      </c>
      <c r="Y146" s="29" t="s">
        <v>120</v>
      </c>
      <c r="AA146" s="23">
        <v>1.56</v>
      </c>
    </row>
    <row r="147" spans="24:28">
      <c r="X147" s="30" t="s">
        <v>34</v>
      </c>
      <c r="Y147" s="28" t="s">
        <v>124</v>
      </c>
      <c r="AA147" s="18" t="s">
        <v>5</v>
      </c>
    </row>
    <row r="148" spans="24:28">
      <c r="X148" s="30" t="s">
        <v>35</v>
      </c>
      <c r="Y148" s="28">
        <v>0</v>
      </c>
      <c r="AA148" s="31">
        <v>3.17</v>
      </c>
    </row>
    <row r="149" spans="24:28">
      <c r="X149" s="30" t="s">
        <v>35</v>
      </c>
      <c r="Y149" s="29">
        <v>1</v>
      </c>
      <c r="AA149" s="31">
        <v>3.17</v>
      </c>
    </row>
    <row r="150" spans="24:28">
      <c r="X150" s="30" t="s">
        <v>35</v>
      </c>
      <c r="Y150" s="28" t="s">
        <v>108</v>
      </c>
      <c r="AA150" s="31">
        <v>3.17</v>
      </c>
    </row>
    <row r="151" spans="24:28">
      <c r="X151" s="30" t="s">
        <v>35</v>
      </c>
      <c r="Y151" s="29" t="s">
        <v>109</v>
      </c>
      <c r="AA151" s="31">
        <v>3.17</v>
      </c>
    </row>
    <row r="152" spans="24:28">
      <c r="X152" s="30" t="s">
        <v>35</v>
      </c>
      <c r="Y152" s="28" t="s">
        <v>117</v>
      </c>
      <c r="AA152" s="31">
        <v>2.59</v>
      </c>
    </row>
    <row r="153" spans="24:28">
      <c r="X153" s="30" t="s">
        <v>35</v>
      </c>
      <c r="Y153" s="29" t="s">
        <v>116</v>
      </c>
      <c r="AA153" s="31">
        <v>1.23</v>
      </c>
      <c r="AB153" t="s">
        <v>5</v>
      </c>
    </row>
    <row r="154" spans="24:28">
      <c r="X154" s="30" t="s">
        <v>35</v>
      </c>
      <c r="Y154" s="28" t="s">
        <v>118</v>
      </c>
      <c r="AA154" s="31">
        <v>1.33</v>
      </c>
    </row>
    <row r="155" spans="24:28">
      <c r="X155" s="30" t="s">
        <v>35</v>
      </c>
      <c r="Y155" s="29" t="s">
        <v>120</v>
      </c>
      <c r="AA155" s="18" t="s">
        <v>5</v>
      </c>
    </row>
    <row r="156" spans="24:28">
      <c r="X156" s="30" t="s">
        <v>35</v>
      </c>
      <c r="Y156" s="28" t="s">
        <v>124</v>
      </c>
      <c r="AA156" s="18" t="s">
        <v>5</v>
      </c>
    </row>
    <row r="157" spans="24:28">
      <c r="X157" s="30" t="s">
        <v>36</v>
      </c>
      <c r="Y157" s="28">
        <v>0</v>
      </c>
      <c r="AA157" s="31">
        <v>2</v>
      </c>
    </row>
    <row r="158" spans="24:28">
      <c r="X158" s="30" t="s">
        <v>36</v>
      </c>
      <c r="Y158" s="29">
        <v>1</v>
      </c>
      <c r="AA158" s="31">
        <v>1.5</v>
      </c>
    </row>
    <row r="159" spans="24:28">
      <c r="X159" s="30" t="s">
        <v>36</v>
      </c>
      <c r="Y159" s="28" t="s">
        <v>108</v>
      </c>
      <c r="AA159" s="31">
        <v>1.5</v>
      </c>
    </row>
    <row r="160" spans="24:28">
      <c r="X160" s="30" t="s">
        <v>36</v>
      </c>
      <c r="Y160" s="29" t="s">
        <v>109</v>
      </c>
      <c r="AA160" s="31">
        <v>1.5</v>
      </c>
    </row>
    <row r="161" spans="24:28">
      <c r="X161" s="30" t="s">
        <v>36</v>
      </c>
      <c r="Y161" s="28" t="s">
        <v>117</v>
      </c>
      <c r="AA161" s="31">
        <v>2</v>
      </c>
    </row>
    <row r="162" spans="24:28">
      <c r="X162" s="30" t="s">
        <v>36</v>
      </c>
      <c r="Y162" s="29" t="s">
        <v>116</v>
      </c>
      <c r="AA162" s="31">
        <v>1.33</v>
      </c>
      <c r="AB162" t="s">
        <v>5</v>
      </c>
    </row>
    <row r="163" spans="24:28">
      <c r="X163" s="30" t="s">
        <v>36</v>
      </c>
      <c r="Y163" s="28" t="s">
        <v>118</v>
      </c>
      <c r="AA163" s="27">
        <v>1.33</v>
      </c>
    </row>
    <row r="164" spans="24:28">
      <c r="X164" s="30" t="s">
        <v>36</v>
      </c>
      <c r="Y164" s="29" t="s">
        <v>120</v>
      </c>
      <c r="AA164" s="23">
        <v>1.5</v>
      </c>
    </row>
    <row r="165" spans="24:28">
      <c r="X165" s="30" t="s">
        <v>36</v>
      </c>
      <c r="Y165" s="28" t="s">
        <v>124</v>
      </c>
      <c r="AA165" s="18" t="s">
        <v>5</v>
      </c>
    </row>
    <row r="166" spans="24:28">
      <c r="X166" s="30" t="s">
        <v>37</v>
      </c>
      <c r="Y166" s="28">
        <v>0</v>
      </c>
      <c r="AA166" s="31">
        <v>2.12</v>
      </c>
    </row>
    <row r="167" spans="24:28">
      <c r="X167" s="30" t="s">
        <v>37</v>
      </c>
      <c r="Y167" s="29">
        <v>1</v>
      </c>
      <c r="AA167" s="31">
        <v>2.12</v>
      </c>
    </row>
    <row r="168" spans="24:28">
      <c r="X168" s="30" t="s">
        <v>37</v>
      </c>
      <c r="Y168" s="28" t="s">
        <v>108</v>
      </c>
      <c r="AA168" s="31">
        <v>2.12</v>
      </c>
    </row>
    <row r="169" spans="24:28">
      <c r="X169" s="30" t="s">
        <v>37</v>
      </c>
      <c r="Y169" s="29" t="s">
        <v>109</v>
      </c>
      <c r="AA169" s="31">
        <v>2.12</v>
      </c>
    </row>
    <row r="170" spans="24:28">
      <c r="X170" s="30" t="s">
        <v>37</v>
      </c>
      <c r="Y170" s="28" t="s">
        <v>117</v>
      </c>
      <c r="AA170" s="31">
        <v>1.95</v>
      </c>
    </row>
    <row r="171" spans="24:28">
      <c r="X171" s="30" t="s">
        <v>37</v>
      </c>
      <c r="Y171" s="29" t="s">
        <v>116</v>
      </c>
      <c r="AA171" s="31">
        <v>0.54</v>
      </c>
      <c r="AB171" t="s">
        <v>5</v>
      </c>
    </row>
    <row r="172" spans="24:28">
      <c r="X172" s="30" t="s">
        <v>37</v>
      </c>
      <c r="Y172" s="28" t="s">
        <v>118</v>
      </c>
      <c r="AA172" s="31">
        <v>1.33</v>
      </c>
    </row>
    <row r="173" spans="24:28">
      <c r="X173" s="30" t="s">
        <v>37</v>
      </c>
      <c r="Y173" s="29" t="s">
        <v>120</v>
      </c>
      <c r="AA173" s="18" t="s">
        <v>5</v>
      </c>
    </row>
    <row r="174" spans="24:28">
      <c r="X174" s="30" t="s">
        <v>37</v>
      </c>
      <c r="Y174" s="28" t="s">
        <v>124</v>
      </c>
      <c r="AA174" s="18" t="s">
        <v>5</v>
      </c>
    </row>
    <row r="175" spans="24:28">
      <c r="X175" s="30" t="s">
        <v>38</v>
      </c>
      <c r="Y175" s="28">
        <v>0</v>
      </c>
      <c r="AA175" s="26">
        <v>2.83</v>
      </c>
    </row>
    <row r="176" spans="24:28">
      <c r="X176" s="30" t="s">
        <v>38</v>
      </c>
      <c r="Y176" s="29">
        <v>1</v>
      </c>
      <c r="AA176" s="26">
        <v>2.83</v>
      </c>
    </row>
    <row r="177" spans="24:28">
      <c r="X177" s="30" t="s">
        <v>38</v>
      </c>
      <c r="Y177" s="28" t="s">
        <v>108</v>
      </c>
      <c r="AA177" s="31">
        <v>2.75</v>
      </c>
    </row>
    <row r="178" spans="24:28">
      <c r="X178" s="30" t="s">
        <v>38</v>
      </c>
      <c r="Y178" s="29" t="s">
        <v>109</v>
      </c>
      <c r="AA178" s="31">
        <v>2.75</v>
      </c>
    </row>
    <row r="179" spans="24:28">
      <c r="X179" s="30" t="s">
        <v>38</v>
      </c>
      <c r="Y179" s="28" t="s">
        <v>117</v>
      </c>
      <c r="AA179" s="31">
        <v>2.78</v>
      </c>
    </row>
    <row r="180" spans="24:28">
      <c r="X180" s="30" t="s">
        <v>38</v>
      </c>
      <c r="Y180" s="29" t="s">
        <v>116</v>
      </c>
      <c r="AA180" s="31">
        <v>1.33</v>
      </c>
      <c r="AB180" t="s">
        <v>5</v>
      </c>
    </row>
    <row r="181" spans="24:28">
      <c r="X181" s="30" t="s">
        <v>38</v>
      </c>
      <c r="Y181" s="28" t="s">
        <v>118</v>
      </c>
      <c r="AA181" s="27">
        <v>2</v>
      </c>
    </row>
    <row r="182" spans="24:28">
      <c r="X182" s="30" t="s">
        <v>38</v>
      </c>
      <c r="Y182" s="29" t="s">
        <v>120</v>
      </c>
      <c r="AA182" s="23" t="s">
        <v>5</v>
      </c>
    </row>
    <row r="183" spans="24:28">
      <c r="X183" s="30" t="s">
        <v>38</v>
      </c>
      <c r="Y183" s="28" t="s">
        <v>124</v>
      </c>
      <c r="AA183" s="18" t="s">
        <v>75</v>
      </c>
    </row>
    <row r="184" spans="24:28">
      <c r="X184" s="30" t="s">
        <v>40</v>
      </c>
      <c r="Y184" s="28">
        <v>0</v>
      </c>
      <c r="AA184" s="31">
        <v>1.96</v>
      </c>
    </row>
    <row r="185" spans="24:28">
      <c r="X185" s="30" t="s">
        <v>40</v>
      </c>
      <c r="Y185" s="29">
        <v>1</v>
      </c>
      <c r="AA185" s="31">
        <v>1.5</v>
      </c>
    </row>
    <row r="186" spans="24:28">
      <c r="X186" s="30" t="s">
        <v>40</v>
      </c>
      <c r="Y186" s="28" t="s">
        <v>108</v>
      </c>
      <c r="AA186" s="31">
        <v>1.5</v>
      </c>
    </row>
    <row r="187" spans="24:28">
      <c r="X187" s="30" t="s">
        <v>40</v>
      </c>
      <c r="Y187" s="29" t="s">
        <v>109</v>
      </c>
      <c r="AA187" s="31">
        <v>1.5</v>
      </c>
    </row>
    <row r="188" spans="24:28">
      <c r="X188" s="30" t="s">
        <v>40</v>
      </c>
      <c r="Y188" s="28" t="s">
        <v>117</v>
      </c>
      <c r="AA188" s="31">
        <v>1.96</v>
      </c>
    </row>
    <row r="189" spans="24:28" ht="16.5">
      <c r="X189" s="30" t="s">
        <v>40</v>
      </c>
      <c r="Y189" s="29" t="s">
        <v>116</v>
      </c>
      <c r="AA189" s="16" t="s">
        <v>130</v>
      </c>
      <c r="AB189" t="s">
        <v>75</v>
      </c>
    </row>
    <row r="190" spans="24:28" ht="16.5">
      <c r="X190" s="30" t="s">
        <v>40</v>
      </c>
      <c r="Y190" s="28" t="s">
        <v>118</v>
      </c>
      <c r="AA190" s="9" t="s">
        <v>125</v>
      </c>
    </row>
    <row r="191" spans="24:28">
      <c r="X191" s="30" t="s">
        <v>40</v>
      </c>
      <c r="Y191" s="29" t="s">
        <v>120</v>
      </c>
      <c r="AA191" s="18" t="s">
        <v>5</v>
      </c>
    </row>
    <row r="192" spans="24:28">
      <c r="X192" s="30" t="s">
        <v>40</v>
      </c>
      <c r="Y192" s="28" t="s">
        <v>124</v>
      </c>
      <c r="AA192" s="18" t="s">
        <v>5</v>
      </c>
    </row>
    <row r="193" spans="24:28">
      <c r="X193" s="30" t="s">
        <v>41</v>
      </c>
      <c r="Y193" s="28">
        <v>0</v>
      </c>
      <c r="AA193" s="31">
        <v>1.43</v>
      </c>
    </row>
    <row r="194" spans="24:28">
      <c r="X194" s="30" t="s">
        <v>41</v>
      </c>
      <c r="Y194" s="29">
        <v>1</v>
      </c>
      <c r="AA194" s="31">
        <v>1.43</v>
      </c>
    </row>
    <row r="195" spans="24:28">
      <c r="X195" s="30" t="s">
        <v>41</v>
      </c>
      <c r="Y195" s="28" t="s">
        <v>108</v>
      </c>
      <c r="AA195" s="31">
        <v>1.43</v>
      </c>
    </row>
    <row r="196" spans="24:28">
      <c r="X196" s="30" t="s">
        <v>41</v>
      </c>
      <c r="Y196" s="29" t="s">
        <v>109</v>
      </c>
      <c r="AA196" s="31">
        <v>1.43</v>
      </c>
    </row>
    <row r="197" spans="24:28">
      <c r="X197" s="30" t="s">
        <v>41</v>
      </c>
      <c r="Y197" s="28" t="s">
        <v>117</v>
      </c>
      <c r="AA197" s="31">
        <v>1.57</v>
      </c>
    </row>
    <row r="198" spans="24:28">
      <c r="X198" s="30" t="s">
        <v>41</v>
      </c>
      <c r="Y198" s="29" t="s">
        <v>116</v>
      </c>
      <c r="AA198" s="31">
        <v>0.24</v>
      </c>
      <c r="AB198" t="s">
        <v>5</v>
      </c>
    </row>
    <row r="199" spans="24:28">
      <c r="X199" s="30" t="s">
        <v>41</v>
      </c>
      <c r="Y199" s="28" t="s">
        <v>118</v>
      </c>
      <c r="AA199" s="31">
        <v>1.33</v>
      </c>
    </row>
    <row r="200" spans="24:28">
      <c r="X200" s="30" t="s">
        <v>41</v>
      </c>
      <c r="Y200" s="29" t="s">
        <v>120</v>
      </c>
      <c r="AA200" s="18" t="s">
        <v>5</v>
      </c>
    </row>
    <row r="201" spans="24:28">
      <c r="X201" s="30" t="s">
        <v>41</v>
      </c>
      <c r="Y201" s="28" t="s">
        <v>124</v>
      </c>
      <c r="AA201" s="18" t="s">
        <v>5</v>
      </c>
    </row>
    <row r="202" spans="24:28">
      <c r="X202" s="30" t="s">
        <v>42</v>
      </c>
      <c r="Y202" s="28">
        <v>0</v>
      </c>
      <c r="AA202" s="31">
        <v>2.13</v>
      </c>
    </row>
    <row r="203" spans="24:28">
      <c r="X203" s="30" t="s">
        <v>42</v>
      </c>
      <c r="Y203" s="29">
        <v>1</v>
      </c>
      <c r="AA203" s="31">
        <v>2.13</v>
      </c>
    </row>
    <row r="204" spans="24:28">
      <c r="X204" s="30" t="s">
        <v>42</v>
      </c>
      <c r="Y204" s="28" t="s">
        <v>108</v>
      </c>
      <c r="AA204" s="31">
        <v>2.13</v>
      </c>
    </row>
    <row r="205" spans="24:28">
      <c r="X205" s="30" t="s">
        <v>42</v>
      </c>
      <c r="Y205" s="29" t="s">
        <v>109</v>
      </c>
      <c r="AA205" s="31">
        <v>2.13</v>
      </c>
    </row>
    <row r="206" spans="24:28">
      <c r="X206" s="30" t="s">
        <v>42</v>
      </c>
      <c r="Y206" s="28" t="s">
        <v>117</v>
      </c>
      <c r="AA206" s="31">
        <v>1.94</v>
      </c>
    </row>
    <row r="207" spans="24:28">
      <c r="X207" s="30" t="s">
        <v>42</v>
      </c>
      <c r="Y207" s="29" t="s">
        <v>116</v>
      </c>
      <c r="AA207" s="31">
        <v>0.57999999999999996</v>
      </c>
      <c r="AB207" t="s">
        <v>5</v>
      </c>
    </row>
    <row r="208" spans="24:28">
      <c r="X208" s="30" t="s">
        <v>42</v>
      </c>
      <c r="Y208" s="28" t="s">
        <v>118</v>
      </c>
      <c r="AA208" s="32" t="s">
        <v>5</v>
      </c>
    </row>
    <row r="209" spans="24:28">
      <c r="X209" s="30" t="s">
        <v>42</v>
      </c>
      <c r="Y209" s="29" t="s">
        <v>120</v>
      </c>
      <c r="AA209" s="18" t="s">
        <v>5</v>
      </c>
    </row>
    <row r="210" spans="24:28">
      <c r="X210" s="30" t="s">
        <v>42</v>
      </c>
      <c r="Y210" s="28" t="s">
        <v>124</v>
      </c>
      <c r="AA210" s="18" t="s">
        <v>5</v>
      </c>
    </row>
    <row r="211" spans="24:28">
      <c r="X211" s="30" t="s">
        <v>43</v>
      </c>
      <c r="Y211" s="28">
        <v>0</v>
      </c>
      <c r="AA211" s="31">
        <v>1.6</v>
      </c>
    </row>
    <row r="212" spans="24:28">
      <c r="X212" s="30" t="s">
        <v>43</v>
      </c>
      <c r="Y212" s="29">
        <v>1</v>
      </c>
      <c r="AA212" s="31">
        <v>1.6</v>
      </c>
    </row>
    <row r="213" spans="24:28">
      <c r="X213" s="30" t="s">
        <v>43</v>
      </c>
      <c r="Y213" s="28" t="s">
        <v>108</v>
      </c>
      <c r="AA213" s="31">
        <v>1.6</v>
      </c>
    </row>
    <row r="214" spans="24:28">
      <c r="X214" s="30" t="s">
        <v>43</v>
      </c>
      <c r="Y214" s="29" t="s">
        <v>109</v>
      </c>
      <c r="AA214" s="31">
        <v>1.33</v>
      </c>
    </row>
    <row r="215" spans="24:28">
      <c r="X215" s="30" t="s">
        <v>43</v>
      </c>
      <c r="Y215" s="28" t="s">
        <v>117</v>
      </c>
      <c r="AA215" s="31">
        <v>1.6</v>
      </c>
    </row>
    <row r="216" spans="24:28">
      <c r="X216" s="30" t="s">
        <v>43</v>
      </c>
      <c r="Y216" s="29" t="s">
        <v>116</v>
      </c>
      <c r="AA216" s="34">
        <v>0.31</v>
      </c>
      <c r="AB216" t="s">
        <v>75</v>
      </c>
    </row>
    <row r="217" spans="24:28">
      <c r="X217" s="30" t="s">
        <v>43</v>
      </c>
      <c r="Y217" s="28" t="s">
        <v>118</v>
      </c>
      <c r="AA217" s="31">
        <v>1.33</v>
      </c>
    </row>
    <row r="218" spans="24:28">
      <c r="X218" s="30" t="s">
        <v>43</v>
      </c>
      <c r="Y218" s="29" t="s">
        <v>120</v>
      </c>
      <c r="AA218" s="18" t="s">
        <v>5</v>
      </c>
    </row>
    <row r="219" spans="24:28">
      <c r="X219" s="30" t="s">
        <v>43</v>
      </c>
      <c r="Y219" s="28" t="s">
        <v>124</v>
      </c>
      <c r="AA219" s="18" t="s">
        <v>5</v>
      </c>
    </row>
    <row r="220" spans="24:28">
      <c r="X220" s="30" t="s">
        <v>45</v>
      </c>
      <c r="Y220" s="28">
        <v>0</v>
      </c>
      <c r="AA220" s="31">
        <v>3.18</v>
      </c>
    </row>
    <row r="221" spans="24:28">
      <c r="X221" s="30" t="s">
        <v>45</v>
      </c>
      <c r="Y221" s="29">
        <v>1</v>
      </c>
      <c r="AA221" s="31">
        <v>3.18</v>
      </c>
    </row>
    <row r="222" spans="24:28">
      <c r="X222" s="30" t="s">
        <v>45</v>
      </c>
      <c r="Y222" s="28" t="s">
        <v>108</v>
      </c>
      <c r="AA222" s="31">
        <v>3.18</v>
      </c>
    </row>
    <row r="223" spans="24:28">
      <c r="X223" s="30" t="s">
        <v>45</v>
      </c>
      <c r="Y223" s="29" t="s">
        <v>109</v>
      </c>
      <c r="AA223" s="31">
        <v>3.18</v>
      </c>
    </row>
    <row r="224" spans="24:28">
      <c r="X224" s="30" t="s">
        <v>45</v>
      </c>
      <c r="Y224" s="28" t="s">
        <v>117</v>
      </c>
      <c r="AA224" s="31">
        <v>1.96</v>
      </c>
    </row>
    <row r="225" spans="24:28">
      <c r="X225" s="30" t="s">
        <v>45</v>
      </c>
      <c r="Y225" s="29" t="s">
        <v>116</v>
      </c>
      <c r="AA225" s="34">
        <v>0.64</v>
      </c>
      <c r="AB225" t="s">
        <v>75</v>
      </c>
    </row>
    <row r="226" spans="24:28">
      <c r="X226" s="30" t="s">
        <v>45</v>
      </c>
      <c r="Y226" s="28" t="s">
        <v>118</v>
      </c>
      <c r="AA226" s="31">
        <v>1.33</v>
      </c>
    </row>
    <row r="227" spans="24:28">
      <c r="X227" s="30" t="s">
        <v>45</v>
      </c>
      <c r="Y227" s="29" t="s">
        <v>120</v>
      </c>
      <c r="AA227" s="18" t="s">
        <v>5</v>
      </c>
    </row>
    <row r="228" spans="24:28">
      <c r="X228" s="30" t="s">
        <v>45</v>
      </c>
      <c r="Y228" s="28" t="s">
        <v>124</v>
      </c>
      <c r="AA228" s="18" t="s">
        <v>5</v>
      </c>
    </row>
    <row r="229" spans="24:28">
      <c r="X229" s="30" t="s">
        <v>47</v>
      </c>
      <c r="Y229" s="28">
        <v>0</v>
      </c>
      <c r="AA229" s="31">
        <v>1.94</v>
      </c>
    </row>
    <row r="230" spans="24:28">
      <c r="X230" s="30" t="s">
        <v>47</v>
      </c>
      <c r="Y230" s="29">
        <v>1</v>
      </c>
      <c r="AA230" s="31">
        <v>1.42</v>
      </c>
    </row>
    <row r="231" spans="24:28">
      <c r="X231" s="30" t="s">
        <v>47</v>
      </c>
      <c r="Y231" s="28" t="s">
        <v>108</v>
      </c>
      <c r="AA231" s="31">
        <v>1.42</v>
      </c>
    </row>
    <row r="232" spans="24:28">
      <c r="X232" s="30" t="s">
        <v>47</v>
      </c>
      <c r="Y232" s="29" t="s">
        <v>109</v>
      </c>
      <c r="AA232" s="31">
        <v>1.42</v>
      </c>
    </row>
    <row r="233" spans="24:28">
      <c r="X233" s="30" t="s">
        <v>47</v>
      </c>
      <c r="Y233" s="28" t="s">
        <v>117</v>
      </c>
      <c r="AA233" s="31">
        <v>1.94</v>
      </c>
    </row>
    <row r="234" spans="24:28">
      <c r="X234" s="30" t="s">
        <v>47</v>
      </c>
      <c r="Y234" s="29" t="s">
        <v>116</v>
      </c>
      <c r="AA234" s="34">
        <v>0.3</v>
      </c>
      <c r="AB234" t="s">
        <v>75</v>
      </c>
    </row>
    <row r="235" spans="24:28">
      <c r="X235" s="30" t="s">
        <v>47</v>
      </c>
      <c r="Y235" s="28" t="s">
        <v>118</v>
      </c>
      <c r="AA235" s="31">
        <v>1.33</v>
      </c>
    </row>
    <row r="236" spans="24:28">
      <c r="X236" s="30" t="s">
        <v>47</v>
      </c>
      <c r="Y236" s="29" t="s">
        <v>120</v>
      </c>
      <c r="AA236" s="18" t="s">
        <v>5</v>
      </c>
    </row>
    <row r="237" spans="24:28">
      <c r="X237" s="30" t="s">
        <v>47</v>
      </c>
      <c r="Y237" s="28" t="s">
        <v>124</v>
      </c>
      <c r="AA237" s="18" t="s">
        <v>5</v>
      </c>
    </row>
    <row r="238" spans="24:28">
      <c r="X238" s="30" t="s">
        <v>49</v>
      </c>
      <c r="Y238" s="28">
        <v>0</v>
      </c>
      <c r="AA238" s="31">
        <v>3</v>
      </c>
    </row>
    <row r="239" spans="24:28">
      <c r="X239" s="30" t="s">
        <v>49</v>
      </c>
      <c r="Y239" s="29">
        <v>1</v>
      </c>
      <c r="AA239" s="31">
        <v>3</v>
      </c>
    </row>
    <row r="240" spans="24:28">
      <c r="X240" s="30" t="s">
        <v>49</v>
      </c>
      <c r="Y240" s="28" t="s">
        <v>108</v>
      </c>
      <c r="AA240" s="31">
        <v>3</v>
      </c>
    </row>
    <row r="241" spans="24:28">
      <c r="X241" s="30" t="s">
        <v>49</v>
      </c>
      <c r="Y241" s="29" t="s">
        <v>109</v>
      </c>
      <c r="AA241" s="31">
        <v>2.4</v>
      </c>
    </row>
    <row r="242" spans="24:28">
      <c r="X242" s="30" t="s">
        <v>49</v>
      </c>
      <c r="Y242" s="28" t="s">
        <v>117</v>
      </c>
      <c r="AA242" s="31">
        <v>2.5</v>
      </c>
    </row>
    <row r="243" spans="24:28">
      <c r="X243" s="30" t="s">
        <v>49</v>
      </c>
      <c r="Y243" s="29" t="s">
        <v>116</v>
      </c>
      <c r="AA243" s="34">
        <v>0.43</v>
      </c>
      <c r="AB243" t="s">
        <v>75</v>
      </c>
    </row>
    <row r="244" spans="24:28">
      <c r="X244" s="30" t="s">
        <v>49</v>
      </c>
      <c r="Y244" s="28" t="s">
        <v>118</v>
      </c>
      <c r="AA244" s="31">
        <v>1.33</v>
      </c>
    </row>
    <row r="245" spans="24:28">
      <c r="X245" s="30" t="s">
        <v>49</v>
      </c>
      <c r="Y245" s="29" t="s">
        <v>120</v>
      </c>
      <c r="AA245" s="18" t="s">
        <v>5</v>
      </c>
    </row>
    <row r="246" spans="24:28">
      <c r="X246" s="30" t="s">
        <v>49</v>
      </c>
      <c r="Y246" s="28" t="s">
        <v>124</v>
      </c>
      <c r="AA246" s="18" t="s">
        <v>5</v>
      </c>
    </row>
    <row r="247" spans="24:28">
      <c r="X247" s="30" t="s">
        <v>51</v>
      </c>
      <c r="Y247" s="28">
        <v>0</v>
      </c>
      <c r="AA247" s="31">
        <v>2.1800000000000002</v>
      </c>
    </row>
    <row r="248" spans="24:28">
      <c r="X248" s="30" t="s">
        <v>51</v>
      </c>
      <c r="Y248" s="29">
        <v>1</v>
      </c>
      <c r="AA248" s="31">
        <v>1.49</v>
      </c>
    </row>
    <row r="249" spans="24:28">
      <c r="X249" s="30" t="s">
        <v>51</v>
      </c>
      <c r="Y249" s="28" t="s">
        <v>108</v>
      </c>
      <c r="AA249" s="31">
        <v>1.49</v>
      </c>
    </row>
    <row r="250" spans="24:28">
      <c r="X250" s="30" t="s">
        <v>51</v>
      </c>
      <c r="Y250" s="29" t="s">
        <v>109</v>
      </c>
      <c r="AA250" s="31">
        <v>1.49</v>
      </c>
    </row>
    <row r="251" spans="24:28">
      <c r="X251" s="30" t="s">
        <v>51</v>
      </c>
      <c r="Y251" s="28" t="s">
        <v>117</v>
      </c>
      <c r="AA251" s="31">
        <v>2.1800000000000002</v>
      </c>
    </row>
    <row r="252" spans="24:28">
      <c r="X252" s="30" t="s">
        <v>51</v>
      </c>
      <c r="Y252" s="29" t="s">
        <v>116</v>
      </c>
      <c r="AA252" s="31">
        <v>1.33</v>
      </c>
      <c r="AB252" t="s">
        <v>5</v>
      </c>
    </row>
    <row r="253" spans="24:28">
      <c r="X253" s="30" t="s">
        <v>51</v>
      </c>
      <c r="Y253" s="28" t="s">
        <v>118</v>
      </c>
      <c r="AA253" s="27">
        <v>2</v>
      </c>
    </row>
    <row r="254" spans="24:28">
      <c r="X254" s="30" t="s">
        <v>51</v>
      </c>
      <c r="Y254" s="29" t="s">
        <v>120</v>
      </c>
      <c r="AA254" s="18" t="s">
        <v>5</v>
      </c>
    </row>
    <row r="255" spans="24:28">
      <c r="X255" s="30" t="s">
        <v>51</v>
      </c>
      <c r="Y255" s="28" t="s">
        <v>124</v>
      </c>
      <c r="AA255" s="18" t="s">
        <v>75</v>
      </c>
    </row>
    <row r="256" spans="24:28">
      <c r="X256" s="30" t="s">
        <v>55</v>
      </c>
      <c r="Y256" s="28">
        <v>0</v>
      </c>
      <c r="AA256" s="31">
        <v>1.47</v>
      </c>
    </row>
    <row r="257" spans="24:28">
      <c r="X257" s="30" t="s">
        <v>55</v>
      </c>
      <c r="Y257" s="29">
        <v>1</v>
      </c>
      <c r="AA257" s="31">
        <v>1.47</v>
      </c>
    </row>
    <row r="258" spans="24:28">
      <c r="X258" s="30" t="s">
        <v>55</v>
      </c>
      <c r="Y258" s="28" t="s">
        <v>108</v>
      </c>
      <c r="AA258" s="31">
        <v>1.47</v>
      </c>
    </row>
    <row r="259" spans="24:28">
      <c r="X259" s="30" t="s">
        <v>55</v>
      </c>
      <c r="Y259" s="29" t="s">
        <v>109</v>
      </c>
      <c r="AA259" s="31">
        <v>1.33</v>
      </c>
    </row>
    <row r="260" spans="24:28">
      <c r="X260" s="30" t="s">
        <v>55</v>
      </c>
      <c r="Y260" s="28" t="s">
        <v>117</v>
      </c>
      <c r="AA260" s="31">
        <v>1.47</v>
      </c>
    </row>
    <row r="261" spans="24:28">
      <c r="X261" s="30" t="s">
        <v>55</v>
      </c>
      <c r="Y261" s="29" t="s">
        <v>116</v>
      </c>
      <c r="AA261" s="34">
        <v>0.5</v>
      </c>
      <c r="AB261" t="s">
        <v>75</v>
      </c>
    </row>
    <row r="262" spans="24:28">
      <c r="X262" s="30" t="s">
        <v>55</v>
      </c>
      <c r="Y262" s="28" t="s">
        <v>118</v>
      </c>
      <c r="AA262" s="31">
        <v>1.33</v>
      </c>
    </row>
    <row r="263" spans="24:28">
      <c r="X263" s="30" t="s">
        <v>55</v>
      </c>
      <c r="Y263" s="29" t="s">
        <v>120</v>
      </c>
      <c r="AA263" s="18" t="s">
        <v>5</v>
      </c>
    </row>
    <row r="264" spans="24:28">
      <c r="X264" s="30" t="s">
        <v>55</v>
      </c>
      <c r="Y264" s="28" t="s">
        <v>124</v>
      </c>
      <c r="AA264" s="18" t="s">
        <v>5</v>
      </c>
    </row>
    <row r="265" spans="24:28">
      <c r="X265" s="30" t="s">
        <v>57</v>
      </c>
      <c r="Y265" s="28">
        <v>0</v>
      </c>
      <c r="AA265" s="31">
        <v>2.06</v>
      </c>
    </row>
    <row r="266" spans="24:28">
      <c r="X266" s="30" t="s">
        <v>57</v>
      </c>
      <c r="Y266" s="29">
        <v>1</v>
      </c>
      <c r="AA266" s="31">
        <v>2.06</v>
      </c>
    </row>
    <row r="267" spans="24:28">
      <c r="X267" s="30" t="s">
        <v>57</v>
      </c>
      <c r="Y267" s="28" t="s">
        <v>108</v>
      </c>
      <c r="AA267" s="31">
        <v>2.06</v>
      </c>
    </row>
    <row r="268" spans="24:28">
      <c r="X268" s="30" t="s">
        <v>57</v>
      </c>
      <c r="Y268" s="29" t="s">
        <v>109</v>
      </c>
      <c r="AA268" s="31">
        <v>2.06</v>
      </c>
    </row>
    <row r="269" spans="24:28">
      <c r="X269" s="30" t="s">
        <v>57</v>
      </c>
      <c r="Y269" s="28" t="s">
        <v>117</v>
      </c>
      <c r="AA269" s="31">
        <v>2</v>
      </c>
    </row>
    <row r="270" spans="24:28">
      <c r="X270" s="30" t="s">
        <v>57</v>
      </c>
      <c r="Y270" s="29" t="s">
        <v>116</v>
      </c>
      <c r="AA270" s="31">
        <v>0.9</v>
      </c>
      <c r="AB270" t="s">
        <v>5</v>
      </c>
    </row>
    <row r="271" spans="24:28">
      <c r="X271" s="30" t="s">
        <v>57</v>
      </c>
      <c r="Y271" s="28" t="s">
        <v>118</v>
      </c>
      <c r="AA271" s="31">
        <v>1.33</v>
      </c>
    </row>
    <row r="272" spans="24:28">
      <c r="X272" s="30" t="s">
        <v>57</v>
      </c>
      <c r="Y272" s="29" t="s">
        <v>120</v>
      </c>
      <c r="AA272" s="18" t="s">
        <v>5</v>
      </c>
    </row>
    <row r="273" spans="24:28">
      <c r="X273" s="30" t="s">
        <v>57</v>
      </c>
      <c r="Y273" s="28" t="s">
        <v>124</v>
      </c>
      <c r="AA273" s="18" t="s">
        <v>5</v>
      </c>
    </row>
    <row r="274" spans="24:28">
      <c r="X274" s="30" t="s">
        <v>58</v>
      </c>
      <c r="Y274" s="28">
        <v>0</v>
      </c>
      <c r="AA274" s="31">
        <v>2.0499999999999998</v>
      </c>
    </row>
    <row r="275" spans="24:28">
      <c r="X275" s="30" t="s">
        <v>58</v>
      </c>
      <c r="Y275" s="29">
        <v>1</v>
      </c>
      <c r="AA275" s="31">
        <v>2.0499999999999998</v>
      </c>
    </row>
    <row r="276" spans="24:28">
      <c r="X276" s="30" t="s">
        <v>58</v>
      </c>
      <c r="Y276" s="28" t="s">
        <v>108</v>
      </c>
      <c r="AA276" s="31">
        <v>2.0499999999999998</v>
      </c>
    </row>
    <row r="277" spans="24:28">
      <c r="X277" s="30" t="s">
        <v>58</v>
      </c>
      <c r="Y277" s="29" t="s">
        <v>109</v>
      </c>
      <c r="AA277" s="31">
        <v>2.0499999999999998</v>
      </c>
    </row>
    <row r="278" spans="24:28">
      <c r="X278" s="30" t="s">
        <v>58</v>
      </c>
      <c r="Y278" s="28" t="s">
        <v>117</v>
      </c>
      <c r="AA278" s="31">
        <v>1.33</v>
      </c>
    </row>
    <row r="279" spans="24:28" ht="16.5">
      <c r="X279" s="30" t="s">
        <v>58</v>
      </c>
      <c r="Y279" s="29" t="s">
        <v>116</v>
      </c>
      <c r="AA279" s="16" t="s">
        <v>131</v>
      </c>
      <c r="AB279" t="s">
        <v>75</v>
      </c>
    </row>
    <row r="280" spans="24:28" ht="16.5">
      <c r="X280" s="30" t="s">
        <v>58</v>
      </c>
      <c r="Y280" s="28" t="s">
        <v>118</v>
      </c>
      <c r="AA280" s="9" t="s">
        <v>125</v>
      </c>
    </row>
    <row r="281" spans="24:28">
      <c r="X281" s="30" t="s">
        <v>58</v>
      </c>
      <c r="Y281" s="29" t="s">
        <v>120</v>
      </c>
      <c r="AA281" s="18" t="s">
        <v>5</v>
      </c>
    </row>
    <row r="282" spans="24:28">
      <c r="X282" s="30" t="s">
        <v>58</v>
      </c>
      <c r="Y282" s="28" t="s">
        <v>124</v>
      </c>
      <c r="AA282" s="18" t="s">
        <v>5</v>
      </c>
    </row>
    <row r="283" spans="24:28">
      <c r="X283" s="30" t="s">
        <v>59</v>
      </c>
      <c r="Y283" s="28">
        <v>0</v>
      </c>
      <c r="AA283" s="31">
        <v>1.85</v>
      </c>
    </row>
    <row r="284" spans="24:28">
      <c r="X284" s="30" t="s">
        <v>59</v>
      </c>
      <c r="Y284" s="29">
        <v>1</v>
      </c>
      <c r="AA284" s="31">
        <v>1.33</v>
      </c>
    </row>
    <row r="285" spans="24:28">
      <c r="X285" s="30" t="s">
        <v>59</v>
      </c>
      <c r="Y285" s="28" t="s">
        <v>108</v>
      </c>
      <c r="AA285" s="31">
        <v>1.33</v>
      </c>
    </row>
    <row r="286" spans="24:28">
      <c r="X286" s="30" t="s">
        <v>59</v>
      </c>
      <c r="Y286" s="29" t="s">
        <v>109</v>
      </c>
      <c r="AA286" s="31">
        <v>1.33</v>
      </c>
    </row>
    <row r="287" spans="24:28">
      <c r="X287" s="30" t="s">
        <v>59</v>
      </c>
      <c r="Y287" s="28" t="s">
        <v>117</v>
      </c>
      <c r="AA287" s="31">
        <v>1.85</v>
      </c>
    </row>
    <row r="288" spans="24:28">
      <c r="X288" s="30" t="s">
        <v>59</v>
      </c>
      <c r="Y288" s="29" t="s">
        <v>116</v>
      </c>
      <c r="AA288" s="34">
        <v>0.38</v>
      </c>
      <c r="AB288" t="s">
        <v>75</v>
      </c>
    </row>
    <row r="289" spans="24:28">
      <c r="X289" s="30" t="s">
        <v>59</v>
      </c>
      <c r="Y289" s="28" t="s">
        <v>118</v>
      </c>
      <c r="AA289" s="31">
        <v>1.33</v>
      </c>
    </row>
    <row r="290" spans="24:28">
      <c r="X290" s="30" t="s">
        <v>59</v>
      </c>
      <c r="Y290" s="29" t="s">
        <v>120</v>
      </c>
      <c r="AA290" s="18" t="s">
        <v>5</v>
      </c>
    </row>
    <row r="291" spans="24:28">
      <c r="X291" s="30" t="s">
        <v>59</v>
      </c>
      <c r="Y291" s="28" t="s">
        <v>124</v>
      </c>
      <c r="AA291" s="18" t="s">
        <v>5</v>
      </c>
    </row>
    <row r="292" spans="24:28">
      <c r="X292" s="30" t="s">
        <v>61</v>
      </c>
      <c r="Y292" s="28">
        <v>0</v>
      </c>
      <c r="AA292" s="31">
        <v>2.15</v>
      </c>
    </row>
    <row r="293" spans="24:28">
      <c r="X293" s="30" t="s">
        <v>61</v>
      </c>
      <c r="Y293" s="29">
        <v>1</v>
      </c>
      <c r="AA293" s="31">
        <v>1.57</v>
      </c>
    </row>
    <row r="294" spans="24:28">
      <c r="X294" s="30" t="s">
        <v>61</v>
      </c>
      <c r="Y294" s="28" t="s">
        <v>108</v>
      </c>
      <c r="AA294" s="31">
        <v>1.57</v>
      </c>
    </row>
    <row r="295" spans="24:28">
      <c r="X295" s="30" t="s">
        <v>61</v>
      </c>
      <c r="Y295" s="29" t="s">
        <v>109</v>
      </c>
      <c r="AA295" s="31">
        <v>1.33</v>
      </c>
    </row>
    <row r="296" spans="24:28">
      <c r="X296" s="30" t="s">
        <v>61</v>
      </c>
      <c r="Y296" s="28" t="s">
        <v>117</v>
      </c>
      <c r="AA296" s="31">
        <v>2.15</v>
      </c>
    </row>
    <row r="297" spans="24:28">
      <c r="X297" s="30" t="s">
        <v>61</v>
      </c>
      <c r="Y297" s="29" t="s">
        <v>116</v>
      </c>
      <c r="AA297" s="31">
        <v>0.33</v>
      </c>
      <c r="AB297" t="s">
        <v>5</v>
      </c>
    </row>
    <row r="298" spans="24:28">
      <c r="X298" s="30" t="s">
        <v>61</v>
      </c>
      <c r="Y298" s="28" t="s">
        <v>118</v>
      </c>
      <c r="AA298" s="31">
        <v>1.33</v>
      </c>
    </row>
    <row r="299" spans="24:28">
      <c r="X299" s="30" t="s">
        <v>61</v>
      </c>
      <c r="Y299" s="29" t="s">
        <v>120</v>
      </c>
      <c r="AA299" s="18" t="s">
        <v>5</v>
      </c>
    </row>
    <row r="300" spans="24:28">
      <c r="X300" s="30" t="s">
        <v>61</v>
      </c>
      <c r="Y300" s="28" t="s">
        <v>124</v>
      </c>
      <c r="AA300" s="18" t="s">
        <v>5</v>
      </c>
    </row>
    <row r="301" spans="24:28">
      <c r="X301" s="30" t="s">
        <v>62</v>
      </c>
      <c r="Y301" s="28">
        <v>0</v>
      </c>
      <c r="AA301" s="31">
        <v>2.61</v>
      </c>
    </row>
    <row r="302" spans="24:28">
      <c r="X302" s="30" t="s">
        <v>62</v>
      </c>
      <c r="Y302" s="29">
        <v>1</v>
      </c>
      <c r="AA302" s="31">
        <v>2.61</v>
      </c>
    </row>
    <row r="303" spans="24:28">
      <c r="X303" s="30" t="s">
        <v>62</v>
      </c>
      <c r="Y303" s="28" t="s">
        <v>108</v>
      </c>
      <c r="AA303" s="31">
        <v>2.61</v>
      </c>
    </row>
    <row r="304" spans="24:28">
      <c r="X304" s="30" t="s">
        <v>62</v>
      </c>
      <c r="Y304" s="29" t="s">
        <v>109</v>
      </c>
      <c r="AA304" s="31">
        <v>2.61</v>
      </c>
    </row>
    <row r="305" spans="24:28">
      <c r="X305" s="30" t="s">
        <v>62</v>
      </c>
      <c r="Y305" s="28" t="s">
        <v>117</v>
      </c>
      <c r="AA305" s="31">
        <v>1.9</v>
      </c>
    </row>
    <row r="306" spans="24:28">
      <c r="X306" s="30" t="s">
        <v>62</v>
      </c>
      <c r="Y306" s="29" t="s">
        <v>116</v>
      </c>
      <c r="AA306" s="31">
        <v>1.1599999999999999</v>
      </c>
      <c r="AB306" t="s">
        <v>5</v>
      </c>
    </row>
    <row r="307" spans="24:28">
      <c r="X307" s="30" t="s">
        <v>62</v>
      </c>
      <c r="Y307" s="28" t="s">
        <v>118</v>
      </c>
      <c r="AA307" s="31">
        <v>1.33</v>
      </c>
    </row>
    <row r="308" spans="24:28">
      <c r="X308" s="30" t="s">
        <v>62</v>
      </c>
      <c r="Y308" s="29" t="s">
        <v>120</v>
      </c>
      <c r="AA308" s="18" t="s">
        <v>5</v>
      </c>
    </row>
    <row r="309" spans="24:28">
      <c r="X309" s="30" t="s">
        <v>62</v>
      </c>
      <c r="Y309" s="28" t="s">
        <v>124</v>
      </c>
      <c r="AA309" s="18" t="s">
        <v>5</v>
      </c>
    </row>
    <row r="310" spans="24:28">
      <c r="X310" s="30" t="s">
        <v>63</v>
      </c>
      <c r="Y310" s="28">
        <v>0</v>
      </c>
      <c r="AA310" s="31">
        <v>2.08</v>
      </c>
    </row>
    <row r="311" spans="24:28">
      <c r="X311" s="30" t="s">
        <v>63</v>
      </c>
      <c r="Y311" s="29">
        <v>1</v>
      </c>
      <c r="AA311" s="31">
        <v>2.08</v>
      </c>
    </row>
    <row r="312" spans="24:28">
      <c r="X312" s="30" t="s">
        <v>63</v>
      </c>
      <c r="Y312" s="28" t="s">
        <v>108</v>
      </c>
      <c r="AA312" s="31">
        <v>2.08</v>
      </c>
    </row>
    <row r="313" spans="24:28">
      <c r="X313" s="30" t="s">
        <v>63</v>
      </c>
      <c r="Y313" s="29" t="s">
        <v>109</v>
      </c>
      <c r="AA313" s="31">
        <v>2.08</v>
      </c>
    </row>
    <row r="314" spans="24:28">
      <c r="X314" s="30" t="s">
        <v>63</v>
      </c>
      <c r="Y314" s="28" t="s">
        <v>117</v>
      </c>
      <c r="AA314" s="31">
        <v>1.94</v>
      </c>
    </row>
    <row r="315" spans="24:28">
      <c r="X315" s="30" t="s">
        <v>63</v>
      </c>
      <c r="Y315" s="29" t="s">
        <v>116</v>
      </c>
      <c r="AA315" s="31">
        <v>0.62</v>
      </c>
      <c r="AB315" t="s">
        <v>5</v>
      </c>
    </row>
    <row r="316" spans="24:28">
      <c r="X316" s="30" t="s">
        <v>63</v>
      </c>
      <c r="Y316" s="28" t="s">
        <v>118</v>
      </c>
      <c r="AA316" s="32" t="s">
        <v>5</v>
      </c>
    </row>
    <row r="317" spans="24:28">
      <c r="X317" s="30" t="s">
        <v>63</v>
      </c>
      <c r="Y317" s="29" t="s">
        <v>120</v>
      </c>
      <c r="AA317" s="18" t="s">
        <v>5</v>
      </c>
    </row>
    <row r="318" spans="24:28">
      <c r="X318" s="30" t="s">
        <v>63</v>
      </c>
      <c r="Y318" s="28" t="s">
        <v>124</v>
      </c>
      <c r="AA318" s="18" t="s">
        <v>5</v>
      </c>
    </row>
    <row r="319" spans="24:28">
      <c r="X319" s="30" t="s">
        <v>64</v>
      </c>
      <c r="Y319" s="28">
        <v>0</v>
      </c>
      <c r="AA319" s="31">
        <v>1.82</v>
      </c>
    </row>
    <row r="320" spans="24:28">
      <c r="X320" s="30" t="s">
        <v>64</v>
      </c>
      <c r="Y320" s="29">
        <v>1</v>
      </c>
      <c r="AA320" s="31">
        <v>1.82</v>
      </c>
    </row>
    <row r="321" spans="24:28">
      <c r="X321" s="30" t="s">
        <v>64</v>
      </c>
      <c r="Y321" s="28" t="s">
        <v>108</v>
      </c>
      <c r="AA321" s="31">
        <v>1.82</v>
      </c>
    </row>
    <row r="322" spans="24:28">
      <c r="X322" s="30" t="s">
        <v>64</v>
      </c>
      <c r="Y322" s="29" t="s">
        <v>109</v>
      </c>
      <c r="AA322" s="31">
        <v>1.82</v>
      </c>
    </row>
    <row r="323" spans="24:28">
      <c r="X323" s="30" t="s">
        <v>64</v>
      </c>
      <c r="Y323" s="28" t="s">
        <v>117</v>
      </c>
      <c r="AA323" s="31">
        <v>1.33</v>
      </c>
    </row>
    <row r="324" spans="24:28">
      <c r="X324" s="30" t="s">
        <v>64</v>
      </c>
      <c r="Y324" s="29" t="s">
        <v>116</v>
      </c>
      <c r="AA324" s="34">
        <v>0.54</v>
      </c>
      <c r="AB324" t="s">
        <v>75</v>
      </c>
    </row>
    <row r="325" spans="24:28">
      <c r="X325" s="30" t="s">
        <v>64</v>
      </c>
      <c r="Y325" s="28" t="s">
        <v>118</v>
      </c>
      <c r="AA325" s="32" t="s">
        <v>5</v>
      </c>
    </row>
    <row r="326" spans="24:28">
      <c r="X326" s="30" t="s">
        <v>64</v>
      </c>
      <c r="Y326" s="29" t="s">
        <v>120</v>
      </c>
      <c r="AA326" s="18" t="s">
        <v>5</v>
      </c>
    </row>
    <row r="327" spans="24:28">
      <c r="X327" s="30" t="s">
        <v>64</v>
      </c>
      <c r="Y327" s="28" t="s">
        <v>124</v>
      </c>
      <c r="AA327" s="18" t="s">
        <v>5</v>
      </c>
    </row>
    <row r="328" spans="24:28">
      <c r="X328" s="30" t="s">
        <v>70</v>
      </c>
      <c r="Y328" s="28">
        <v>0</v>
      </c>
      <c r="AA328" s="31">
        <v>1.39</v>
      </c>
    </row>
    <row r="329" spans="24:28">
      <c r="X329" s="30" t="s">
        <v>70</v>
      </c>
      <c r="Y329" s="29">
        <v>1</v>
      </c>
      <c r="AA329" s="31">
        <v>1.39</v>
      </c>
    </row>
    <row r="330" spans="24:28">
      <c r="X330" s="30" t="s">
        <v>70</v>
      </c>
      <c r="Y330" s="28" t="s">
        <v>108</v>
      </c>
      <c r="AA330" s="31">
        <v>1.39</v>
      </c>
    </row>
    <row r="331" spans="24:28">
      <c r="X331" s="30" t="s">
        <v>70</v>
      </c>
      <c r="Y331" s="29" t="s">
        <v>109</v>
      </c>
      <c r="AA331" s="31">
        <v>1.33</v>
      </c>
    </row>
    <row r="332" spans="24:28">
      <c r="X332" s="30" t="s">
        <v>70</v>
      </c>
      <c r="Y332" s="28" t="s">
        <v>117</v>
      </c>
      <c r="AA332" s="31">
        <v>1.39</v>
      </c>
    </row>
    <row r="333" spans="24:28" ht="16.5">
      <c r="X333" s="30" t="s">
        <v>70</v>
      </c>
      <c r="Y333" s="29" t="s">
        <v>116</v>
      </c>
      <c r="AA333" s="9" t="s">
        <v>105</v>
      </c>
      <c r="AB333" t="s">
        <v>5</v>
      </c>
    </row>
    <row r="334" spans="24:28" ht="16.5">
      <c r="X334" s="30" t="s">
        <v>70</v>
      </c>
      <c r="Y334" s="28" t="s">
        <v>118</v>
      </c>
      <c r="AA334" s="9" t="s">
        <v>107</v>
      </c>
    </row>
    <row r="335" spans="24:28">
      <c r="X335" s="30" t="s">
        <v>70</v>
      </c>
      <c r="Y335" s="29" t="s">
        <v>120</v>
      </c>
      <c r="AA335" s="18" t="s">
        <v>5</v>
      </c>
    </row>
    <row r="336" spans="24:28">
      <c r="X336" s="30" t="s">
        <v>70</v>
      </c>
      <c r="Y336" s="28" t="s">
        <v>124</v>
      </c>
      <c r="AA336" s="18" t="s">
        <v>5</v>
      </c>
    </row>
    <row r="337" spans="24:28">
      <c r="X337" s="30" t="s">
        <v>71</v>
      </c>
      <c r="Y337" s="28">
        <v>0</v>
      </c>
      <c r="AA337" s="31">
        <v>3.12</v>
      </c>
    </row>
    <row r="338" spans="24:28">
      <c r="X338" s="30" t="s">
        <v>71</v>
      </c>
      <c r="Y338" s="29">
        <v>1</v>
      </c>
      <c r="AA338" s="31">
        <v>3.12</v>
      </c>
    </row>
    <row r="339" spans="24:28">
      <c r="X339" s="30" t="s">
        <v>71</v>
      </c>
      <c r="Y339" s="28" t="s">
        <v>108</v>
      </c>
      <c r="AA339" s="31">
        <v>3.12</v>
      </c>
    </row>
    <row r="340" spans="24:28">
      <c r="X340" s="30" t="s">
        <v>71</v>
      </c>
      <c r="Y340" s="29" t="s">
        <v>109</v>
      </c>
      <c r="AA340" s="31">
        <v>3.12</v>
      </c>
    </row>
    <row r="341" spans="24:28">
      <c r="X341" s="30" t="s">
        <v>71</v>
      </c>
      <c r="Y341" s="28" t="s">
        <v>117</v>
      </c>
      <c r="AA341" s="31">
        <v>2.08</v>
      </c>
    </row>
    <row r="342" spans="24:28">
      <c r="X342" s="30" t="s">
        <v>71</v>
      </c>
      <c r="Y342" s="29" t="s">
        <v>116</v>
      </c>
      <c r="AA342" s="34">
        <v>0.52</v>
      </c>
      <c r="AB342" t="s">
        <v>75</v>
      </c>
    </row>
    <row r="343" spans="24:28">
      <c r="X343" s="30" t="s">
        <v>71</v>
      </c>
      <c r="Y343" s="28" t="s">
        <v>118</v>
      </c>
      <c r="AA343" s="31">
        <v>1.33</v>
      </c>
    </row>
    <row r="344" spans="24:28">
      <c r="X344" s="30" t="s">
        <v>71</v>
      </c>
      <c r="Y344" s="29" t="s">
        <v>120</v>
      </c>
      <c r="AA344" s="18" t="s">
        <v>5</v>
      </c>
    </row>
    <row r="345" spans="24:28">
      <c r="X345" s="30" t="s">
        <v>71</v>
      </c>
      <c r="Y345" s="28" t="s">
        <v>124</v>
      </c>
      <c r="AA345" s="18" t="s">
        <v>5</v>
      </c>
    </row>
    <row r="346" spans="24:28">
      <c r="X346" s="30" t="s">
        <v>73</v>
      </c>
      <c r="Y346" s="28">
        <v>0</v>
      </c>
      <c r="AA346" s="31">
        <v>1.43</v>
      </c>
    </row>
    <row r="347" spans="24:28">
      <c r="X347" s="30" t="s">
        <v>73</v>
      </c>
      <c r="Y347" s="29">
        <v>1</v>
      </c>
      <c r="AA347" s="31">
        <v>1.43</v>
      </c>
    </row>
    <row r="348" spans="24:28">
      <c r="X348" s="30" t="s">
        <v>73</v>
      </c>
      <c r="Y348" s="28" t="s">
        <v>108</v>
      </c>
      <c r="AA348" s="31">
        <v>1.43</v>
      </c>
    </row>
    <row r="349" spans="24:28">
      <c r="X349" s="30" t="s">
        <v>73</v>
      </c>
      <c r="Y349" s="29" t="s">
        <v>109</v>
      </c>
      <c r="AA349" s="31">
        <v>1.43</v>
      </c>
    </row>
    <row r="350" spans="24:28">
      <c r="X350" s="30" t="s">
        <v>73</v>
      </c>
      <c r="Y350" s="28" t="s">
        <v>117</v>
      </c>
      <c r="AA350" s="31">
        <v>1.43</v>
      </c>
    </row>
    <row r="351" spans="24:28">
      <c r="X351" s="30" t="s">
        <v>73</v>
      </c>
      <c r="Y351" s="29" t="s">
        <v>116</v>
      </c>
      <c r="AA351" s="34">
        <v>0.47</v>
      </c>
      <c r="AB351" t="s">
        <v>75</v>
      </c>
    </row>
    <row r="352" spans="24:28">
      <c r="X352" s="30" t="s">
        <v>73</v>
      </c>
      <c r="Y352" s="28" t="s">
        <v>118</v>
      </c>
      <c r="AA352" s="32" t="s">
        <v>75</v>
      </c>
    </row>
    <row r="353" spans="24:28">
      <c r="X353" s="30" t="s">
        <v>73</v>
      </c>
      <c r="Y353" s="29" t="s">
        <v>120</v>
      </c>
      <c r="AA353" s="18" t="s">
        <v>5</v>
      </c>
    </row>
    <row r="354" spans="24:28">
      <c r="X354" s="30" t="s">
        <v>73</v>
      </c>
      <c r="Y354" s="28" t="s">
        <v>124</v>
      </c>
      <c r="AA354" s="18" t="s">
        <v>5</v>
      </c>
    </row>
    <row r="355" spans="24:28">
      <c r="X355" s="30" t="s">
        <v>76</v>
      </c>
      <c r="Y355" s="28">
        <v>0</v>
      </c>
      <c r="AA355" s="31">
        <v>2.1</v>
      </c>
    </row>
    <row r="356" spans="24:28">
      <c r="X356" s="30" t="s">
        <v>76</v>
      </c>
      <c r="Y356" s="29">
        <v>1</v>
      </c>
      <c r="AA356" s="31">
        <v>2.1</v>
      </c>
    </row>
    <row r="357" spans="24:28">
      <c r="X357" s="30" t="s">
        <v>76</v>
      </c>
      <c r="Y357" s="28" t="s">
        <v>108</v>
      </c>
      <c r="AA357" s="31">
        <v>2.1</v>
      </c>
    </row>
    <row r="358" spans="24:28">
      <c r="X358" s="30" t="s">
        <v>76</v>
      </c>
      <c r="Y358" s="29" t="s">
        <v>109</v>
      </c>
      <c r="AA358" s="31">
        <v>2.1</v>
      </c>
    </row>
    <row r="359" spans="24:28">
      <c r="X359" s="30" t="s">
        <v>76</v>
      </c>
      <c r="Y359" s="28" t="s">
        <v>117</v>
      </c>
      <c r="AA359" s="31">
        <v>1.93</v>
      </c>
    </row>
    <row r="360" spans="24:28">
      <c r="X360" s="30" t="s">
        <v>76</v>
      </c>
      <c r="Y360" s="29" t="s">
        <v>116</v>
      </c>
      <c r="AA360" s="34">
        <v>0.4</v>
      </c>
      <c r="AB360" t="s">
        <v>75</v>
      </c>
    </row>
    <row r="361" spans="24:28">
      <c r="X361" s="30" t="s">
        <v>76</v>
      </c>
      <c r="Y361" s="28" t="s">
        <v>118</v>
      </c>
      <c r="AA361" s="31">
        <v>1.33</v>
      </c>
    </row>
    <row r="362" spans="24:28">
      <c r="X362" s="30" t="s">
        <v>76</v>
      </c>
      <c r="Y362" s="29" t="s">
        <v>120</v>
      </c>
      <c r="AA362" s="18" t="s">
        <v>5</v>
      </c>
    </row>
    <row r="363" spans="24:28">
      <c r="X363" s="30" t="s">
        <v>76</v>
      </c>
      <c r="Y363" s="28" t="s">
        <v>124</v>
      </c>
      <c r="AA363" s="18" t="s">
        <v>5</v>
      </c>
    </row>
    <row r="364" spans="24:28">
      <c r="X364" s="30" t="s">
        <v>78</v>
      </c>
      <c r="Y364" s="28">
        <v>0</v>
      </c>
      <c r="AA364" s="31">
        <v>1.58</v>
      </c>
    </row>
    <row r="365" spans="24:28">
      <c r="X365" s="30" t="s">
        <v>78</v>
      </c>
      <c r="Y365" s="29">
        <v>1</v>
      </c>
      <c r="AA365" s="31">
        <v>1.41</v>
      </c>
    </row>
    <row r="366" spans="24:28">
      <c r="X366" s="30" t="s">
        <v>78</v>
      </c>
      <c r="Y366" s="28" t="s">
        <v>108</v>
      </c>
      <c r="AA366" s="31">
        <v>1.41</v>
      </c>
    </row>
    <row r="367" spans="24:28">
      <c r="X367" s="30" t="s">
        <v>78</v>
      </c>
      <c r="Y367" s="29" t="s">
        <v>109</v>
      </c>
      <c r="AA367" s="31">
        <v>1.33</v>
      </c>
    </row>
    <row r="368" spans="24:28">
      <c r="X368" s="30" t="s">
        <v>78</v>
      </c>
      <c r="Y368" s="28" t="s">
        <v>117</v>
      </c>
      <c r="AA368" s="31">
        <v>1.58</v>
      </c>
    </row>
    <row r="369" spans="24:28">
      <c r="X369" s="30" t="s">
        <v>78</v>
      </c>
      <c r="Y369" s="29" t="s">
        <v>116</v>
      </c>
      <c r="AA369" s="34">
        <v>0.18</v>
      </c>
      <c r="AB369" t="s">
        <v>75</v>
      </c>
    </row>
    <row r="370" spans="24:28">
      <c r="X370" s="30" t="s">
        <v>78</v>
      </c>
      <c r="Y370" s="28" t="s">
        <v>118</v>
      </c>
      <c r="AA370" s="31">
        <v>1.33</v>
      </c>
    </row>
    <row r="371" spans="24:28">
      <c r="X371" s="30" t="s">
        <v>78</v>
      </c>
      <c r="Y371" s="29" t="s">
        <v>120</v>
      </c>
      <c r="AA371" s="18" t="s">
        <v>5</v>
      </c>
    </row>
    <row r="372" spans="24:28">
      <c r="X372" s="30" t="s">
        <v>78</v>
      </c>
      <c r="Y372" s="28" t="s">
        <v>124</v>
      </c>
      <c r="AA372" s="18" t="s">
        <v>5</v>
      </c>
    </row>
    <row r="373" spans="24:28">
      <c r="X373" s="30" t="s">
        <v>80</v>
      </c>
      <c r="Y373" s="28">
        <v>0</v>
      </c>
      <c r="AA373" s="31">
        <v>3.01</v>
      </c>
    </row>
    <row r="374" spans="24:28">
      <c r="X374" s="30" t="s">
        <v>80</v>
      </c>
      <c r="Y374" s="29">
        <v>1</v>
      </c>
      <c r="AA374" s="31">
        <v>1.86</v>
      </c>
    </row>
    <row r="375" spans="24:28">
      <c r="X375" s="30" t="s">
        <v>80</v>
      </c>
      <c r="Y375" s="28" t="s">
        <v>108</v>
      </c>
      <c r="AA375" s="31">
        <v>1.86</v>
      </c>
    </row>
    <row r="376" spans="24:28">
      <c r="X376" s="30" t="s">
        <v>80</v>
      </c>
      <c r="Y376" s="29" t="s">
        <v>109</v>
      </c>
      <c r="AA376" s="31">
        <v>1.51</v>
      </c>
    </row>
    <row r="377" spans="24:28">
      <c r="X377" s="30" t="s">
        <v>80</v>
      </c>
      <c r="Y377" s="28" t="s">
        <v>117</v>
      </c>
      <c r="AA377" s="31">
        <v>3.01</v>
      </c>
    </row>
    <row r="378" spans="24:28" ht="16.5">
      <c r="X378" s="30" t="s">
        <v>80</v>
      </c>
      <c r="Y378" s="29" t="s">
        <v>116</v>
      </c>
      <c r="AA378" s="9" t="s">
        <v>106</v>
      </c>
      <c r="AB378" t="s">
        <v>5</v>
      </c>
    </row>
    <row r="379" spans="24:28" ht="16.5">
      <c r="X379" s="30" t="s">
        <v>80</v>
      </c>
      <c r="Y379" s="28" t="s">
        <v>118</v>
      </c>
      <c r="AA379" s="9" t="s">
        <v>107</v>
      </c>
    </row>
    <row r="380" spans="24:28">
      <c r="X380" s="30" t="s">
        <v>80</v>
      </c>
      <c r="Y380" s="29" t="s">
        <v>120</v>
      </c>
      <c r="AA380" s="18" t="s">
        <v>5</v>
      </c>
    </row>
    <row r="381" spans="24:28">
      <c r="X381" s="30" t="s">
        <v>80</v>
      </c>
      <c r="Y381" s="28" t="s">
        <v>124</v>
      </c>
      <c r="AA381" s="18" t="s">
        <v>5</v>
      </c>
    </row>
    <row r="382" spans="24:28">
      <c r="X382" s="30" t="s">
        <v>82</v>
      </c>
      <c r="Y382" s="28">
        <v>0</v>
      </c>
      <c r="AA382" s="31">
        <v>1.54</v>
      </c>
    </row>
    <row r="383" spans="24:28">
      <c r="X383" s="30" t="s">
        <v>82</v>
      </c>
      <c r="Y383" s="29">
        <v>1</v>
      </c>
      <c r="AA383" s="31">
        <v>1.54</v>
      </c>
    </row>
    <row r="384" spans="24:28">
      <c r="X384" s="30" t="s">
        <v>82</v>
      </c>
      <c r="Y384" s="28" t="s">
        <v>108</v>
      </c>
      <c r="AA384" s="31">
        <v>1.54</v>
      </c>
    </row>
    <row r="385" spans="11:28">
      <c r="X385" s="30" t="s">
        <v>82</v>
      </c>
      <c r="Y385" s="29" t="s">
        <v>109</v>
      </c>
      <c r="AA385" s="31">
        <v>1.33</v>
      </c>
    </row>
    <row r="386" spans="11:28">
      <c r="X386" s="30" t="s">
        <v>82</v>
      </c>
      <c r="Y386" s="28" t="s">
        <v>117</v>
      </c>
      <c r="AA386" s="31">
        <v>1.54</v>
      </c>
    </row>
    <row r="387" spans="11:28">
      <c r="X387" s="30" t="s">
        <v>82</v>
      </c>
      <c r="Y387" s="29" t="s">
        <v>116</v>
      </c>
      <c r="AA387" s="34">
        <v>0.52</v>
      </c>
      <c r="AB387" t="s">
        <v>75</v>
      </c>
    </row>
    <row r="388" spans="11:28">
      <c r="X388" s="30" t="s">
        <v>82</v>
      </c>
      <c r="Y388" s="28" t="s">
        <v>118</v>
      </c>
      <c r="AA388" s="32" t="s">
        <v>5</v>
      </c>
    </row>
    <row r="389" spans="11:28">
      <c r="X389" s="30" t="s">
        <v>82</v>
      </c>
      <c r="Y389" s="29" t="s">
        <v>120</v>
      </c>
      <c r="AA389" s="18" t="s">
        <v>5</v>
      </c>
    </row>
    <row r="390" spans="11:28">
      <c r="K390" s="35" t="s">
        <v>132</v>
      </c>
      <c r="L390">
        <f>390-3</f>
        <v>387</v>
      </c>
      <c r="X390" s="30" t="s">
        <v>82</v>
      </c>
      <c r="Y390" s="28" t="s">
        <v>124</v>
      </c>
      <c r="AA390" s="18" t="s">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Original</vt:lpstr>
      <vt:lpstr>U.S.PerEnrolleeCosts</vt:lpstr>
      <vt:lpstr>Original Reworked</vt:lpstr>
      <vt:lpstr>Original Reworked Practice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 Randolph</dc:creator>
  <cp:lastModifiedBy>Owner</cp:lastModifiedBy>
  <dcterms:created xsi:type="dcterms:W3CDTF">2020-02-24T21:05:56Z</dcterms:created>
  <dcterms:modified xsi:type="dcterms:W3CDTF">2023-03-16T12:38:51Z</dcterms:modified>
</cp:coreProperties>
</file>