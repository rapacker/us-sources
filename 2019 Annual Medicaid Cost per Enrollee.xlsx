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Medicaid and CHIP\"/>
    </mc:Choice>
  </mc:AlternateContent>
  <xr:revisionPtr revIDLastSave="0" documentId="13_ncr:1_{0C5B6F5A-FB45-4246-B233-8A744CB04773}" xr6:coauthVersionLast="47" xr6:coauthVersionMax="47" xr10:uidLastSave="{00000000-0000-0000-0000-000000000000}"/>
  <bookViews>
    <workbookView xWindow="3144" yWindow="300" windowWidth="15396" windowHeight="11688" firstSheet="1" activeTab="1" xr2:uid="{962D5B1F-BEFF-4BF0-98A4-4A6814E1E1E0}"/>
  </bookViews>
  <sheets>
    <sheet name="Annual Medicaid Cost" sheetId="1" r:id="rId1"/>
    <sheet name="Monthly Medicaid Cost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2" l="1"/>
  <c r="E3" i="2"/>
  <c r="F3" i="2"/>
  <c r="G3" i="2"/>
  <c r="D4" i="2"/>
  <c r="E4" i="2"/>
  <c r="F4" i="2"/>
  <c r="G4" i="2"/>
  <c r="D5" i="2"/>
  <c r="E5" i="2"/>
  <c r="F5" i="2"/>
  <c r="G5" i="2"/>
  <c r="C4" i="2"/>
  <c r="H4" i="2"/>
  <c r="C5" i="2"/>
  <c r="H5" i="2"/>
  <c r="C6" i="2"/>
  <c r="D6" i="2"/>
  <c r="E6" i="2"/>
  <c r="F6" i="2"/>
  <c r="G6" i="2"/>
  <c r="H6" i="2"/>
  <c r="C7" i="2"/>
  <c r="D7" i="2"/>
  <c r="E7" i="2"/>
  <c r="F7" i="2"/>
  <c r="G7" i="2"/>
  <c r="H7" i="2"/>
  <c r="C8" i="2"/>
  <c r="D8" i="2"/>
  <c r="E8" i="2"/>
  <c r="F8" i="2"/>
  <c r="G8" i="2"/>
  <c r="H8" i="2"/>
  <c r="C9" i="2"/>
  <c r="D9" i="2"/>
  <c r="E9" i="2"/>
  <c r="F9" i="2"/>
  <c r="G9" i="2"/>
  <c r="H9" i="2"/>
  <c r="C10" i="2"/>
  <c r="D10" i="2"/>
  <c r="E10" i="2"/>
  <c r="F10" i="2"/>
  <c r="G10" i="2"/>
  <c r="H10" i="2"/>
  <c r="C11" i="2"/>
  <c r="D11" i="2"/>
  <c r="E11" i="2"/>
  <c r="F11" i="2"/>
  <c r="G11" i="2"/>
  <c r="H11" i="2"/>
  <c r="C12" i="2"/>
  <c r="D12" i="2"/>
  <c r="E12" i="2"/>
  <c r="F12" i="2"/>
  <c r="G12" i="2"/>
  <c r="H12" i="2"/>
  <c r="C13" i="2"/>
  <c r="D13" i="2"/>
  <c r="E13" i="2"/>
  <c r="F13" i="2"/>
  <c r="G13" i="2"/>
  <c r="H13" i="2"/>
  <c r="C14" i="2"/>
  <c r="D14" i="2"/>
  <c r="E14" i="2"/>
  <c r="F14" i="2"/>
  <c r="G14" i="2"/>
  <c r="H14" i="2"/>
  <c r="C15" i="2"/>
  <c r="D15" i="2"/>
  <c r="E15" i="2"/>
  <c r="F15" i="2"/>
  <c r="G15" i="2"/>
  <c r="H15" i="2"/>
  <c r="C16" i="2"/>
  <c r="D16" i="2"/>
  <c r="E16" i="2"/>
  <c r="F16" i="2"/>
  <c r="G16" i="2"/>
  <c r="H16" i="2"/>
  <c r="C17" i="2"/>
  <c r="D17" i="2"/>
  <c r="E17" i="2"/>
  <c r="F17" i="2"/>
  <c r="G17" i="2"/>
  <c r="H17" i="2"/>
  <c r="C18" i="2"/>
  <c r="D18" i="2"/>
  <c r="E18" i="2"/>
  <c r="F18" i="2"/>
  <c r="G18" i="2"/>
  <c r="H18" i="2"/>
  <c r="C19" i="2"/>
  <c r="D19" i="2"/>
  <c r="E19" i="2"/>
  <c r="F19" i="2"/>
  <c r="G19" i="2"/>
  <c r="H19" i="2"/>
  <c r="C20" i="2"/>
  <c r="D20" i="2"/>
  <c r="E20" i="2"/>
  <c r="F20" i="2"/>
  <c r="G20" i="2"/>
  <c r="H20" i="2"/>
  <c r="C21" i="2"/>
  <c r="D21" i="2"/>
  <c r="E21" i="2"/>
  <c r="F21" i="2"/>
  <c r="G21" i="2"/>
  <c r="H21" i="2"/>
  <c r="C22" i="2"/>
  <c r="D22" i="2"/>
  <c r="E22" i="2"/>
  <c r="F22" i="2"/>
  <c r="G22" i="2"/>
  <c r="H22" i="2"/>
  <c r="C23" i="2"/>
  <c r="D23" i="2"/>
  <c r="E23" i="2"/>
  <c r="F23" i="2"/>
  <c r="G23" i="2"/>
  <c r="H23" i="2"/>
  <c r="C24" i="2"/>
  <c r="D24" i="2"/>
  <c r="E24" i="2"/>
  <c r="F24" i="2"/>
  <c r="G24" i="2"/>
  <c r="H24" i="2"/>
  <c r="C25" i="2"/>
  <c r="D25" i="2"/>
  <c r="E25" i="2"/>
  <c r="F25" i="2"/>
  <c r="G25" i="2"/>
  <c r="H25" i="2"/>
  <c r="C26" i="2"/>
  <c r="D26" i="2"/>
  <c r="E26" i="2"/>
  <c r="F26" i="2"/>
  <c r="G26" i="2"/>
  <c r="H26" i="2"/>
  <c r="C27" i="2"/>
  <c r="D27" i="2"/>
  <c r="E27" i="2"/>
  <c r="F27" i="2"/>
  <c r="G27" i="2"/>
  <c r="H27" i="2"/>
  <c r="C28" i="2"/>
  <c r="D28" i="2"/>
  <c r="E28" i="2"/>
  <c r="F28" i="2"/>
  <c r="G28" i="2"/>
  <c r="H28" i="2"/>
  <c r="C29" i="2"/>
  <c r="D29" i="2"/>
  <c r="E29" i="2"/>
  <c r="F29" i="2"/>
  <c r="G29" i="2"/>
  <c r="H29" i="2"/>
  <c r="C30" i="2"/>
  <c r="D30" i="2"/>
  <c r="E30" i="2"/>
  <c r="F30" i="2"/>
  <c r="G30" i="2"/>
  <c r="H30" i="2"/>
  <c r="C31" i="2"/>
  <c r="D31" i="2"/>
  <c r="E31" i="2"/>
  <c r="F31" i="2"/>
  <c r="G31" i="2"/>
  <c r="H31" i="2"/>
  <c r="C32" i="2"/>
  <c r="D32" i="2"/>
  <c r="E32" i="2"/>
  <c r="F32" i="2"/>
  <c r="G32" i="2"/>
  <c r="H32" i="2"/>
  <c r="C33" i="2"/>
  <c r="D33" i="2"/>
  <c r="E33" i="2"/>
  <c r="F33" i="2"/>
  <c r="G33" i="2"/>
  <c r="H33" i="2"/>
  <c r="C34" i="2"/>
  <c r="D34" i="2"/>
  <c r="E34" i="2"/>
  <c r="F34" i="2"/>
  <c r="G34" i="2"/>
  <c r="H34" i="2"/>
  <c r="C35" i="2"/>
  <c r="D35" i="2"/>
  <c r="E35" i="2"/>
  <c r="F35" i="2"/>
  <c r="G35" i="2"/>
  <c r="H35" i="2"/>
  <c r="C36" i="2"/>
  <c r="D36" i="2"/>
  <c r="E36" i="2"/>
  <c r="F36" i="2"/>
  <c r="G36" i="2"/>
  <c r="H36" i="2"/>
  <c r="C37" i="2"/>
  <c r="D37" i="2"/>
  <c r="E37" i="2"/>
  <c r="F37" i="2"/>
  <c r="G37" i="2"/>
  <c r="H37" i="2"/>
  <c r="C38" i="2"/>
  <c r="D38" i="2"/>
  <c r="E38" i="2"/>
  <c r="F38" i="2"/>
  <c r="G38" i="2"/>
  <c r="H38" i="2"/>
  <c r="C39" i="2"/>
  <c r="D39" i="2"/>
  <c r="E39" i="2"/>
  <c r="F39" i="2"/>
  <c r="G39" i="2"/>
  <c r="H39" i="2"/>
  <c r="C40" i="2"/>
  <c r="D40" i="2"/>
  <c r="E40" i="2"/>
  <c r="F40" i="2"/>
  <c r="G40" i="2"/>
  <c r="H40" i="2"/>
  <c r="C41" i="2"/>
  <c r="D41" i="2"/>
  <c r="E41" i="2"/>
  <c r="F41" i="2"/>
  <c r="G41" i="2"/>
  <c r="H41" i="2"/>
  <c r="C42" i="2"/>
  <c r="D42" i="2"/>
  <c r="E42" i="2"/>
  <c r="F42" i="2"/>
  <c r="G42" i="2"/>
  <c r="H42" i="2"/>
  <c r="C43" i="2"/>
  <c r="D43" i="2"/>
  <c r="E43" i="2"/>
  <c r="F43" i="2"/>
  <c r="G43" i="2"/>
  <c r="H43" i="2"/>
  <c r="C44" i="2"/>
  <c r="D44" i="2"/>
  <c r="E44" i="2"/>
  <c r="F44" i="2"/>
  <c r="G44" i="2"/>
  <c r="H44" i="2"/>
  <c r="C45" i="2"/>
  <c r="D45" i="2"/>
  <c r="E45" i="2"/>
  <c r="F45" i="2"/>
  <c r="G45" i="2"/>
  <c r="H45" i="2"/>
  <c r="C46" i="2"/>
  <c r="D46" i="2"/>
  <c r="E46" i="2"/>
  <c r="F46" i="2"/>
  <c r="G46" i="2"/>
  <c r="H46" i="2"/>
  <c r="C47" i="2"/>
  <c r="D47" i="2"/>
  <c r="E47" i="2"/>
  <c r="F47" i="2"/>
  <c r="G47" i="2"/>
  <c r="H47" i="2"/>
  <c r="C48" i="2"/>
  <c r="D48" i="2"/>
  <c r="E48" i="2"/>
  <c r="F48" i="2"/>
  <c r="G48" i="2"/>
  <c r="H48" i="2"/>
  <c r="C49" i="2"/>
  <c r="D49" i="2"/>
  <c r="E49" i="2"/>
  <c r="F49" i="2"/>
  <c r="G49" i="2"/>
  <c r="H49" i="2"/>
  <c r="C50" i="2"/>
  <c r="D50" i="2"/>
  <c r="E50" i="2"/>
  <c r="F50" i="2"/>
  <c r="G50" i="2"/>
  <c r="H50" i="2"/>
  <c r="C51" i="2"/>
  <c r="D51" i="2"/>
  <c r="E51" i="2"/>
  <c r="F51" i="2"/>
  <c r="G51" i="2"/>
  <c r="H51" i="2"/>
  <c r="C52" i="2"/>
  <c r="D52" i="2"/>
  <c r="E52" i="2"/>
  <c r="F52" i="2"/>
  <c r="G52" i="2"/>
  <c r="H52" i="2"/>
  <c r="C53" i="2"/>
  <c r="D53" i="2"/>
  <c r="E53" i="2"/>
  <c r="F53" i="2"/>
  <c r="G53" i="2"/>
  <c r="H53" i="2"/>
  <c r="C54" i="2"/>
  <c r="D54" i="2"/>
  <c r="E54" i="2"/>
  <c r="F54" i="2"/>
  <c r="G54" i="2"/>
  <c r="H54" i="2"/>
  <c r="C55" i="2"/>
  <c r="D55" i="2"/>
  <c r="E55" i="2"/>
  <c r="F55" i="2"/>
  <c r="G55" i="2"/>
  <c r="H55" i="2"/>
  <c r="C56" i="2"/>
  <c r="D56" i="2"/>
  <c r="E56" i="2"/>
  <c r="F56" i="2"/>
  <c r="G56" i="2"/>
  <c r="H56" i="2"/>
  <c r="C57" i="2"/>
  <c r="D57" i="2"/>
  <c r="E57" i="2"/>
  <c r="F57" i="2"/>
  <c r="G57" i="2"/>
  <c r="H57" i="2"/>
  <c r="C58" i="2"/>
  <c r="D58" i="2"/>
  <c r="E58" i="2"/>
  <c r="F58" i="2"/>
  <c r="G58" i="2"/>
  <c r="H58" i="2"/>
  <c r="C3" i="2"/>
  <c r="H3" i="2"/>
  <c r="A58" i="2"/>
  <c r="B58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B3" i="2"/>
  <c r="A3" i="2"/>
</calcChain>
</file>

<file path=xl/sharedStrings.xml><?xml version="1.0" encoding="utf-8"?>
<sst xmlns="http://schemas.openxmlformats.org/spreadsheetml/2006/main" count="160" uniqueCount="71">
  <si>
    <t>State</t>
  </si>
  <si>
    <t>Data quality assessment</t>
  </si>
  <si>
    <t>Total</t>
  </si>
  <si>
    <t>Children</t>
  </si>
  <si>
    <t>Adult: non-expansion, non-disabled, under age 65</t>
  </si>
  <si>
    <t>Aged</t>
  </si>
  <si>
    <t>People with disabilities</t>
  </si>
  <si>
    <t>Adult: ACA Medicaid expansion</t>
  </si>
  <si>
    <t>Alabama</t>
  </si>
  <si>
    <t>Medium concern</t>
  </si>
  <si>
    <t>-</t>
  </si>
  <si>
    <t>Alaska</t>
  </si>
  <si>
    <t>Low concern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</si>
  <si>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</si>
  <si>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</si>
  <si>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</si>
  <si>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</si>
  <si>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</si>
  <si>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</si>
  <si>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</si>
  <si>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</si>
  <si>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</si>
  <si>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</si>
  <si>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</si>
  <si>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</si>
  <si>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</si>
  <si>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</si>
  <si>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</si>
  <si>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</si>
  <si>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High concern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</si>
  <si>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</si>
  <si>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</si>
  <si>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</si>
  <si>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</si>
  <si>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</si>
  <si>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</si>
  <si>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</si>
  <si>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</si>
  <si>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</si>
  <si>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</si>
  <si>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</si>
  <si>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</si>
  <si>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</si>
  <si>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</si>
  <si>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</si>
  <si>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</si>
  <si>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</si>
  <si>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</si>
  <si>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</si>
  <si>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</si>
  <si>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</si>
  <si>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</si>
  <si>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</si>
  <si>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</si>
  <si>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</si>
  <si>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</si>
  <si>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</si>
  <si>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</si>
  <si>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</si>
  <si>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</si>
  <si>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</si>
  <si>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</si>
  <si>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</si>
  <si>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</si>
  <si>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</si>
  <si>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Min</t>
  </si>
  <si>
    <t>Median</t>
  </si>
  <si>
    <t>Max</t>
  </si>
  <si>
    <t>2019 Annual Medicaid Cost per Enrollee</t>
  </si>
  <si>
    <t>2019 Monthly Medicaid Cost per Enrollee</t>
  </si>
  <si>
    <t>Adult: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</si>
</sst>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0"/>
      <color rgb="FF212121"/>
      <name val="Source Sans Pro"/>
      <family val="2"/>
    </font>
    <font>
      <sz val="10"/>
      <color theme="1"/>
      <name val="Source Sans Pro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EEFAFE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212121"/>
      </left>
      <right style="medium">
        <color rgb="FF212121"/>
      </right>
      <top style="medium">
        <color rgb="FF212121"/>
      </top>
      <bottom style="medium">
        <color rgb="FF212121"/>
      </bottom>
      <diagonal/>
    </border>
    <border>
      <left style="medium">
        <color rgb="FF212121"/>
      </left>
      <right/>
      <top/>
      <bottom/>
      <diagonal/>
    </border>
    <border>
      <left/>
      <right style="medium">
        <color rgb="FF212121"/>
      </right>
      <top/>
      <bottom/>
      <diagonal/>
    </border>
    <border>
      <left style="medium">
        <color rgb="FF212121"/>
      </left>
      <right/>
      <top/>
      <bottom style="medium">
        <color rgb="FF212121"/>
      </bottom>
      <diagonal/>
    </border>
    <border>
      <left/>
      <right/>
      <top/>
      <bottom style="medium">
        <color rgb="FF212121"/>
      </bottom>
      <diagonal/>
    </border>
    <border>
      <left/>
      <right style="medium">
        <color rgb="FF212121"/>
      </right>
      <top/>
      <bottom style="medium">
        <color rgb="FF2121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6" fontId="2" fillId="3" borderId="0" xfId="0" applyNumberFormat="1" applyFont="1" applyFill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6" fontId="2" fillId="4" borderId="0" xfId="0" applyNumberFormat="1" applyFont="1" applyFill="1" applyAlignment="1">
      <alignment vertical="center" wrapText="1"/>
    </xf>
    <xf numFmtId="6" fontId="2" fillId="4" borderId="3" xfId="0" applyNumberFormat="1" applyFont="1" applyFill="1" applyBorder="1" applyAlignment="1">
      <alignment vertical="center" wrapText="1"/>
    </xf>
    <xf numFmtId="6" fontId="2" fillId="3" borderId="3" xfId="0" applyNumberFormat="1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6" fontId="2" fillId="4" borderId="5" xfId="0" applyNumberFormat="1" applyFont="1" applyFill="1" applyBorder="1" applyAlignment="1">
      <alignment vertical="center" wrapText="1"/>
    </xf>
    <xf numFmtId="6" fontId="2" fillId="4" borderId="6" xfId="0" applyNumberFormat="1" applyFont="1" applyFill="1" applyBorder="1" applyAlignment="1">
      <alignment vertical="center" wrapText="1"/>
    </xf>
    <xf numFmtId="0" fontId="3" fillId="0" borderId="0" xfId="0" applyFont="1"/>
    <xf numFmtId="2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2AC5-4227-4352-9219-464CF49D67FD}">
  <dimension ref="A1:H58"/>
  <sheetViews>
    <sheetView workbookViewId="0">
      <selection sqref="A1:H2"/>
    </sheetView>
  </sheetViews>
  <sheetFormatPr defaultRowHeight="14.4" x14ac:dyDescent="0.3"/>
  <cols>
    <col min="1" max="1" width="17.88671875" customWidth="1"/>
    <col min="2" max="2" width="15.6640625" customWidth="1"/>
    <col min="3" max="4" width="10.88671875" customWidth="1"/>
    <col min="5" max="5" width="14.44140625" customWidth="1"/>
    <col min="6" max="6" width="11.77734375" customWidth="1"/>
    <col min="7" max="7" width="12.6640625" customWidth="1"/>
    <col min="8" max="8" width="13.88671875" customWidth="1"/>
  </cols>
  <sheetData>
    <row r="1" spans="1:8" ht="16.2" thickBot="1" x14ac:dyDescent="0.35">
      <c r="A1" s="16" t="s">
        <v>68</v>
      </c>
    </row>
    <row r="2" spans="1:8" ht="55.8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 t="s">
        <v>8</v>
      </c>
      <c r="B3" s="3" t="s">
        <v>9</v>
      </c>
      <c r="C3" s="4">
        <v>5582</v>
      </c>
      <c r="D3" s="4">
        <v>1878</v>
      </c>
      <c r="E3" s="4">
        <v>1555</v>
      </c>
      <c r="F3" s="4">
        <v>13017</v>
      </c>
      <c r="G3" s="4">
        <v>13317</v>
      </c>
      <c r="H3" s="5" t="s">
        <v>10</v>
      </c>
    </row>
    <row r="4" spans="1:8" x14ac:dyDescent="0.3">
      <c r="A4" s="6" t="s">
        <v>11</v>
      </c>
      <c r="B4" s="7" t="s">
        <v>12</v>
      </c>
      <c r="C4" s="8">
        <v>10104</v>
      </c>
      <c r="D4" s="8">
        <v>5862</v>
      </c>
      <c r="E4" s="8">
        <v>7231</v>
      </c>
      <c r="F4" s="8">
        <v>22714</v>
      </c>
      <c r="G4" s="8">
        <v>33899</v>
      </c>
      <c r="H4" s="9">
        <v>9298</v>
      </c>
    </row>
    <row r="5" spans="1:8" x14ac:dyDescent="0.3">
      <c r="A5" s="2" t="s">
        <v>13</v>
      </c>
      <c r="B5" s="3" t="s">
        <v>12</v>
      </c>
      <c r="C5" s="4">
        <v>7074</v>
      </c>
      <c r="D5" s="4">
        <v>3232</v>
      </c>
      <c r="E5" s="4">
        <v>4823</v>
      </c>
      <c r="F5" s="4">
        <v>9581</v>
      </c>
      <c r="G5" s="4">
        <v>23415</v>
      </c>
      <c r="H5" s="10">
        <v>7637</v>
      </c>
    </row>
    <row r="6" spans="1:8" x14ac:dyDescent="0.3">
      <c r="A6" s="6" t="s">
        <v>14</v>
      </c>
      <c r="B6" s="7" t="s">
        <v>9</v>
      </c>
      <c r="C6" s="8">
        <v>7928</v>
      </c>
      <c r="D6" s="8">
        <v>4822</v>
      </c>
      <c r="E6" s="8">
        <v>10443</v>
      </c>
      <c r="F6" s="8">
        <v>20633</v>
      </c>
      <c r="G6" s="8">
        <v>20937</v>
      </c>
      <c r="H6" s="9">
        <v>1647</v>
      </c>
    </row>
    <row r="7" spans="1:8" x14ac:dyDescent="0.3">
      <c r="A7" s="2" t="s">
        <v>15</v>
      </c>
      <c r="B7" s="3" t="s">
        <v>9</v>
      </c>
      <c r="C7" s="4">
        <v>7433</v>
      </c>
      <c r="D7" s="4">
        <v>3122</v>
      </c>
      <c r="E7" s="4">
        <v>3300</v>
      </c>
      <c r="F7" s="4">
        <v>16501</v>
      </c>
      <c r="G7" s="4">
        <v>29021</v>
      </c>
      <c r="H7" s="10">
        <v>5806</v>
      </c>
    </row>
    <row r="8" spans="1:8" x14ac:dyDescent="0.3">
      <c r="A8" s="6" t="s">
        <v>16</v>
      </c>
      <c r="B8" s="7" t="s">
        <v>12</v>
      </c>
      <c r="C8" s="8">
        <v>7665</v>
      </c>
      <c r="D8" s="8">
        <v>2947</v>
      </c>
      <c r="E8" s="8">
        <v>4789</v>
      </c>
      <c r="F8" s="8">
        <v>21408</v>
      </c>
      <c r="G8" s="8">
        <v>28651</v>
      </c>
      <c r="H8" s="9">
        <v>5650</v>
      </c>
    </row>
    <row r="9" spans="1:8" x14ac:dyDescent="0.3">
      <c r="A9" s="2" t="s">
        <v>17</v>
      </c>
      <c r="B9" s="3" t="s">
        <v>12</v>
      </c>
      <c r="C9" s="4">
        <v>8405</v>
      </c>
      <c r="D9" s="4">
        <v>3502</v>
      </c>
      <c r="E9" s="4">
        <v>5619</v>
      </c>
      <c r="F9" s="4">
        <v>15527</v>
      </c>
      <c r="G9" s="4">
        <v>28234</v>
      </c>
      <c r="H9" s="10">
        <v>7263</v>
      </c>
    </row>
    <row r="10" spans="1:8" x14ac:dyDescent="0.3">
      <c r="A10" s="6" t="s">
        <v>18</v>
      </c>
      <c r="B10" s="7" t="s">
        <v>12</v>
      </c>
      <c r="C10" s="8">
        <v>9634</v>
      </c>
      <c r="D10" s="8">
        <v>4630</v>
      </c>
      <c r="E10" s="8">
        <v>8092</v>
      </c>
      <c r="F10" s="8">
        <v>20858</v>
      </c>
      <c r="G10" s="8">
        <v>24914</v>
      </c>
      <c r="H10" s="9">
        <v>8170</v>
      </c>
    </row>
    <row r="11" spans="1:8" x14ac:dyDescent="0.3">
      <c r="A11" s="2" t="s">
        <v>19</v>
      </c>
      <c r="B11" s="3" t="s">
        <v>12</v>
      </c>
      <c r="C11" s="4">
        <v>11405</v>
      </c>
      <c r="D11" s="4">
        <v>4577</v>
      </c>
      <c r="E11" s="4">
        <v>6511</v>
      </c>
      <c r="F11" s="4">
        <v>23339</v>
      </c>
      <c r="G11" s="4">
        <v>33567</v>
      </c>
      <c r="H11" s="10">
        <v>6707</v>
      </c>
    </row>
    <row r="12" spans="1:8" x14ac:dyDescent="0.3">
      <c r="A12" s="6" t="s">
        <v>20</v>
      </c>
      <c r="B12" s="7" t="s">
        <v>9</v>
      </c>
      <c r="C12" s="8">
        <v>5387</v>
      </c>
      <c r="D12" s="8">
        <v>2329</v>
      </c>
      <c r="E12" s="8">
        <v>2754</v>
      </c>
      <c r="F12" s="8">
        <v>10788</v>
      </c>
      <c r="G12" s="8">
        <v>14423</v>
      </c>
      <c r="H12" s="11" t="s">
        <v>10</v>
      </c>
    </row>
    <row r="13" spans="1:8" x14ac:dyDescent="0.3">
      <c r="A13" s="2" t="s">
        <v>21</v>
      </c>
      <c r="B13" s="3" t="s">
        <v>12</v>
      </c>
      <c r="C13" s="4">
        <v>5373</v>
      </c>
      <c r="D13" s="4">
        <v>2588</v>
      </c>
      <c r="E13" s="4">
        <v>4411</v>
      </c>
      <c r="F13" s="4">
        <v>9880</v>
      </c>
      <c r="G13" s="4">
        <v>12149</v>
      </c>
      <c r="H13" s="5" t="s">
        <v>10</v>
      </c>
    </row>
    <row r="14" spans="1:8" x14ac:dyDescent="0.3">
      <c r="A14" s="6" t="s">
        <v>22</v>
      </c>
      <c r="B14" s="7" t="s">
        <v>9</v>
      </c>
      <c r="C14" s="8">
        <v>6890</v>
      </c>
      <c r="D14" s="8">
        <v>3291</v>
      </c>
      <c r="E14" s="8">
        <v>4923</v>
      </c>
      <c r="F14" s="8">
        <v>14252</v>
      </c>
      <c r="G14" s="8">
        <v>23758</v>
      </c>
      <c r="H14" s="9">
        <v>5711</v>
      </c>
    </row>
    <row r="15" spans="1:8" x14ac:dyDescent="0.3">
      <c r="A15" s="2" t="s">
        <v>23</v>
      </c>
      <c r="B15" s="3" t="s">
        <v>12</v>
      </c>
      <c r="C15" s="4">
        <v>7966</v>
      </c>
      <c r="D15" s="4">
        <v>3101</v>
      </c>
      <c r="E15" s="4">
        <v>7525</v>
      </c>
      <c r="F15" s="4">
        <v>12600</v>
      </c>
      <c r="G15" s="4">
        <v>21460</v>
      </c>
      <c r="H15" s="5" t="s">
        <v>10</v>
      </c>
    </row>
    <row r="16" spans="1:8" x14ac:dyDescent="0.3">
      <c r="A16" s="6" t="s">
        <v>24</v>
      </c>
      <c r="B16" s="7" t="s">
        <v>9</v>
      </c>
      <c r="C16" s="8">
        <v>7033</v>
      </c>
      <c r="D16" s="8">
        <v>2853</v>
      </c>
      <c r="E16" s="8">
        <v>5100</v>
      </c>
      <c r="F16" s="8">
        <v>17453</v>
      </c>
      <c r="G16" s="8">
        <v>15123</v>
      </c>
      <c r="H16" s="9">
        <v>6237</v>
      </c>
    </row>
    <row r="17" spans="1:8" x14ac:dyDescent="0.3">
      <c r="A17" s="2" t="s">
        <v>25</v>
      </c>
      <c r="B17" s="3" t="s">
        <v>9</v>
      </c>
      <c r="C17" s="4">
        <v>8999</v>
      </c>
      <c r="D17" s="4">
        <v>3227</v>
      </c>
      <c r="E17" s="4">
        <v>8833</v>
      </c>
      <c r="F17" s="4">
        <v>18875</v>
      </c>
      <c r="G17" s="4">
        <v>18245</v>
      </c>
      <c r="H17" s="10">
        <v>10072</v>
      </c>
    </row>
    <row r="18" spans="1:8" x14ac:dyDescent="0.3">
      <c r="A18" s="6" t="s">
        <v>26</v>
      </c>
      <c r="B18" s="7" t="s">
        <v>9</v>
      </c>
      <c r="C18" s="8">
        <v>8897</v>
      </c>
      <c r="D18" s="8">
        <v>3276</v>
      </c>
      <c r="E18" s="8">
        <v>7667</v>
      </c>
      <c r="F18" s="8">
        <v>22588</v>
      </c>
      <c r="G18" s="8">
        <v>25242</v>
      </c>
      <c r="H18" s="9">
        <v>6666</v>
      </c>
    </row>
    <row r="19" spans="1:8" x14ac:dyDescent="0.3">
      <c r="A19" s="2" t="s">
        <v>27</v>
      </c>
      <c r="B19" s="3" t="s">
        <v>9</v>
      </c>
      <c r="C19" s="4">
        <v>9944</v>
      </c>
      <c r="D19" s="4">
        <v>4096</v>
      </c>
      <c r="E19" s="4">
        <v>16109</v>
      </c>
      <c r="F19" s="4">
        <v>23097</v>
      </c>
      <c r="G19" s="4">
        <v>16019</v>
      </c>
      <c r="H19" s="5" t="s">
        <v>10</v>
      </c>
    </row>
    <row r="20" spans="1:8" x14ac:dyDescent="0.3">
      <c r="A20" s="6" t="s">
        <v>28</v>
      </c>
      <c r="B20" s="7" t="s">
        <v>29</v>
      </c>
      <c r="C20" s="8">
        <v>6827</v>
      </c>
      <c r="D20" s="8">
        <v>3556</v>
      </c>
      <c r="E20" s="8">
        <v>6451</v>
      </c>
      <c r="F20" s="8">
        <v>9858</v>
      </c>
      <c r="G20" s="8">
        <v>14454</v>
      </c>
      <c r="H20" s="9">
        <v>6046</v>
      </c>
    </row>
    <row r="21" spans="1:8" x14ac:dyDescent="0.3">
      <c r="A21" s="2" t="s">
        <v>30</v>
      </c>
      <c r="B21" s="3" t="s">
        <v>12</v>
      </c>
      <c r="C21" s="4">
        <v>7005</v>
      </c>
      <c r="D21" s="4">
        <v>3523</v>
      </c>
      <c r="E21" s="4">
        <v>6029</v>
      </c>
      <c r="F21" s="4">
        <v>10893</v>
      </c>
      <c r="G21" s="4">
        <v>14366</v>
      </c>
      <c r="H21" s="10">
        <v>6611</v>
      </c>
    </row>
    <row r="22" spans="1:8" x14ac:dyDescent="0.3">
      <c r="A22" s="6" t="s">
        <v>31</v>
      </c>
      <c r="B22" s="7" t="s">
        <v>9</v>
      </c>
      <c r="C22" s="8">
        <v>10692</v>
      </c>
      <c r="D22" s="8">
        <v>4504</v>
      </c>
      <c r="E22" s="8">
        <v>4878</v>
      </c>
      <c r="F22" s="8">
        <v>13718</v>
      </c>
      <c r="G22" s="8">
        <v>23186</v>
      </c>
      <c r="H22" s="9">
        <v>6719</v>
      </c>
    </row>
    <row r="23" spans="1:8" x14ac:dyDescent="0.3">
      <c r="A23" s="2" t="s">
        <v>32</v>
      </c>
      <c r="B23" s="3" t="s">
        <v>12</v>
      </c>
      <c r="C23" s="4">
        <v>9359</v>
      </c>
      <c r="D23" s="4">
        <v>3746</v>
      </c>
      <c r="E23" s="4">
        <v>7566</v>
      </c>
      <c r="F23" s="4">
        <v>19056</v>
      </c>
      <c r="G23" s="4">
        <v>25648</v>
      </c>
      <c r="H23" s="10">
        <v>8876</v>
      </c>
    </row>
    <row r="24" spans="1:8" x14ac:dyDescent="0.3">
      <c r="A24" s="6" t="s">
        <v>33</v>
      </c>
      <c r="B24" s="7" t="s">
        <v>9</v>
      </c>
      <c r="C24" s="8">
        <v>10288</v>
      </c>
      <c r="D24" s="8">
        <v>3564</v>
      </c>
      <c r="E24" s="8">
        <v>3974</v>
      </c>
      <c r="F24" s="8">
        <v>24092</v>
      </c>
      <c r="G24" s="8">
        <v>20119</v>
      </c>
      <c r="H24" s="9">
        <v>6735</v>
      </c>
    </row>
    <row r="25" spans="1:8" x14ac:dyDescent="0.3">
      <c r="A25" s="2" t="s">
        <v>34</v>
      </c>
      <c r="B25" s="3" t="s">
        <v>29</v>
      </c>
      <c r="C25" s="4">
        <v>7608</v>
      </c>
      <c r="D25" s="4">
        <v>3154</v>
      </c>
      <c r="E25" s="4">
        <v>5754</v>
      </c>
      <c r="F25" s="4">
        <v>20658</v>
      </c>
      <c r="G25" s="4">
        <v>18735</v>
      </c>
      <c r="H25" s="10">
        <v>5628</v>
      </c>
    </row>
    <row r="26" spans="1:8" x14ac:dyDescent="0.3">
      <c r="A26" s="6" t="s">
        <v>35</v>
      </c>
      <c r="B26" s="7" t="s">
        <v>12</v>
      </c>
      <c r="C26" s="8">
        <v>11829</v>
      </c>
      <c r="D26" s="8">
        <v>3815</v>
      </c>
      <c r="E26" s="8">
        <v>6731</v>
      </c>
      <c r="F26" s="8">
        <v>32854</v>
      </c>
      <c r="G26" s="8">
        <v>43171</v>
      </c>
      <c r="H26" s="9">
        <v>9921</v>
      </c>
    </row>
    <row r="27" spans="1:8" x14ac:dyDescent="0.3">
      <c r="A27" s="2" t="s">
        <v>36</v>
      </c>
      <c r="B27" s="3" t="s">
        <v>9</v>
      </c>
      <c r="C27" s="4">
        <v>7954</v>
      </c>
      <c r="D27" s="4">
        <v>4030</v>
      </c>
      <c r="E27" s="4">
        <v>5192</v>
      </c>
      <c r="F27" s="4">
        <v>13198</v>
      </c>
      <c r="G27" s="4">
        <v>14475</v>
      </c>
      <c r="H27" s="5" t="s">
        <v>10</v>
      </c>
    </row>
    <row r="28" spans="1:8" x14ac:dyDescent="0.3">
      <c r="A28" s="6" t="s">
        <v>37</v>
      </c>
      <c r="B28" s="7" t="s">
        <v>9</v>
      </c>
      <c r="C28" s="8">
        <v>10607</v>
      </c>
      <c r="D28" s="8">
        <v>4642</v>
      </c>
      <c r="E28" s="8">
        <v>6696</v>
      </c>
      <c r="F28" s="8">
        <v>20325</v>
      </c>
      <c r="G28" s="8">
        <v>26652</v>
      </c>
      <c r="H28" s="11" t="s">
        <v>10</v>
      </c>
    </row>
    <row r="29" spans="1:8" x14ac:dyDescent="0.3">
      <c r="A29" s="2" t="s">
        <v>38</v>
      </c>
      <c r="B29" s="3" t="s">
        <v>9</v>
      </c>
      <c r="C29" s="4">
        <v>7708</v>
      </c>
      <c r="D29" s="4">
        <v>4304</v>
      </c>
      <c r="E29" s="4">
        <v>5995</v>
      </c>
      <c r="F29" s="4">
        <v>17719</v>
      </c>
      <c r="G29" s="4">
        <v>18519</v>
      </c>
      <c r="H29" s="10">
        <v>7097</v>
      </c>
    </row>
    <row r="30" spans="1:8" x14ac:dyDescent="0.3">
      <c r="A30" s="6" t="s">
        <v>39</v>
      </c>
      <c r="B30" s="7" t="s">
        <v>29</v>
      </c>
      <c r="C30" s="8">
        <v>9759</v>
      </c>
      <c r="D30" s="8">
        <v>4615</v>
      </c>
      <c r="E30" s="8">
        <v>9170</v>
      </c>
      <c r="F30" s="8">
        <v>24342</v>
      </c>
      <c r="G30" s="8">
        <v>19295</v>
      </c>
      <c r="H30" s="11" t="s">
        <v>10</v>
      </c>
    </row>
    <row r="31" spans="1:8" x14ac:dyDescent="0.3">
      <c r="A31" s="2" t="s">
        <v>40</v>
      </c>
      <c r="B31" s="3" t="s">
        <v>9</v>
      </c>
      <c r="C31" s="4">
        <v>6374</v>
      </c>
      <c r="D31" s="4">
        <v>2834</v>
      </c>
      <c r="E31" s="4">
        <v>5748</v>
      </c>
      <c r="F31" s="4">
        <v>8877</v>
      </c>
      <c r="G31" s="4">
        <v>18325</v>
      </c>
      <c r="H31" s="10">
        <v>6918</v>
      </c>
    </row>
    <row r="32" spans="1:8" x14ac:dyDescent="0.3">
      <c r="A32" s="6" t="s">
        <v>41</v>
      </c>
      <c r="B32" s="7" t="s">
        <v>12</v>
      </c>
      <c r="C32" s="8">
        <v>9297</v>
      </c>
      <c r="D32" s="8">
        <v>4212</v>
      </c>
      <c r="E32" s="8">
        <v>14746</v>
      </c>
      <c r="F32" s="8">
        <v>24632</v>
      </c>
      <c r="G32" s="8">
        <v>18906</v>
      </c>
      <c r="H32" s="9">
        <v>6551</v>
      </c>
    </row>
    <row r="33" spans="1:8" x14ac:dyDescent="0.3">
      <c r="A33" s="2" t="s">
        <v>42</v>
      </c>
      <c r="B33" s="3" t="s">
        <v>12</v>
      </c>
      <c r="C33" s="4">
        <v>10066</v>
      </c>
      <c r="D33" s="4">
        <v>3318</v>
      </c>
      <c r="E33" s="4">
        <v>9678</v>
      </c>
      <c r="F33" s="4">
        <v>25402</v>
      </c>
      <c r="G33" s="4">
        <v>31248</v>
      </c>
      <c r="H33" s="10">
        <v>6709</v>
      </c>
    </row>
    <row r="34" spans="1:8" x14ac:dyDescent="0.3">
      <c r="A34" s="6" t="s">
        <v>43</v>
      </c>
      <c r="B34" s="7" t="s">
        <v>12</v>
      </c>
      <c r="C34" s="8">
        <v>6712</v>
      </c>
      <c r="D34" s="8">
        <v>3921</v>
      </c>
      <c r="E34" s="8">
        <v>4227</v>
      </c>
      <c r="F34" s="8">
        <v>11021</v>
      </c>
      <c r="G34" s="8">
        <v>23066</v>
      </c>
      <c r="H34" s="9">
        <v>5931</v>
      </c>
    </row>
    <row r="35" spans="1:8" x14ac:dyDescent="0.3">
      <c r="A35" s="2" t="s">
        <v>44</v>
      </c>
      <c r="B35" s="3" t="s">
        <v>29</v>
      </c>
      <c r="C35" s="4">
        <v>9762</v>
      </c>
      <c r="D35" s="4">
        <v>3432</v>
      </c>
      <c r="E35" s="4">
        <v>6735</v>
      </c>
      <c r="F35" s="4">
        <v>21874</v>
      </c>
      <c r="G35" s="4">
        <v>27242</v>
      </c>
      <c r="H35" s="10">
        <v>6344</v>
      </c>
    </row>
    <row r="36" spans="1:8" x14ac:dyDescent="0.3">
      <c r="A36" s="6" t="s">
        <v>45</v>
      </c>
      <c r="B36" s="7" t="s">
        <v>9</v>
      </c>
      <c r="C36" s="8">
        <v>6820</v>
      </c>
      <c r="D36" s="8">
        <v>3155</v>
      </c>
      <c r="E36" s="8">
        <v>2653</v>
      </c>
      <c r="F36" s="8">
        <v>14393</v>
      </c>
      <c r="G36" s="8">
        <v>19097</v>
      </c>
      <c r="H36" s="11" t="s">
        <v>10</v>
      </c>
    </row>
    <row r="37" spans="1:8" x14ac:dyDescent="0.3">
      <c r="A37" s="2" t="s">
        <v>46</v>
      </c>
      <c r="B37" s="3" t="s">
        <v>9</v>
      </c>
      <c r="C37" s="4">
        <v>13811</v>
      </c>
      <c r="D37" s="4">
        <v>4694</v>
      </c>
      <c r="E37" s="4">
        <v>5786</v>
      </c>
      <c r="F37" s="4">
        <v>35124</v>
      </c>
      <c r="G37" s="4">
        <v>33685</v>
      </c>
      <c r="H37" s="10">
        <v>13966</v>
      </c>
    </row>
    <row r="38" spans="1:8" x14ac:dyDescent="0.3">
      <c r="A38" s="6" t="s">
        <v>47</v>
      </c>
      <c r="B38" s="7" t="s">
        <v>12</v>
      </c>
      <c r="C38" s="8">
        <v>8534</v>
      </c>
      <c r="D38" s="8">
        <v>3470</v>
      </c>
      <c r="E38" s="8">
        <v>5854</v>
      </c>
      <c r="F38" s="8">
        <v>21039</v>
      </c>
      <c r="G38" s="8">
        <v>18874</v>
      </c>
      <c r="H38" s="9">
        <v>7456</v>
      </c>
    </row>
    <row r="39" spans="1:8" x14ac:dyDescent="0.3">
      <c r="A39" s="2" t="s">
        <v>48</v>
      </c>
      <c r="B39" s="3" t="s">
        <v>9</v>
      </c>
      <c r="C39" s="4">
        <v>7671</v>
      </c>
      <c r="D39" s="4">
        <v>4187</v>
      </c>
      <c r="E39" s="4">
        <v>5197</v>
      </c>
      <c r="F39" s="4">
        <v>15865</v>
      </c>
      <c r="G39" s="4">
        <v>18494</v>
      </c>
      <c r="H39" s="5" t="s">
        <v>10</v>
      </c>
    </row>
    <row r="40" spans="1:8" x14ac:dyDescent="0.3">
      <c r="A40" s="6" t="s">
        <v>49</v>
      </c>
      <c r="B40" s="7" t="s">
        <v>29</v>
      </c>
      <c r="C40" s="8">
        <v>9787</v>
      </c>
      <c r="D40" s="8">
        <v>5326</v>
      </c>
      <c r="E40" s="8">
        <v>11872</v>
      </c>
      <c r="F40" s="8">
        <v>18610</v>
      </c>
      <c r="G40" s="8">
        <v>18674</v>
      </c>
      <c r="H40" s="9">
        <v>9492</v>
      </c>
    </row>
    <row r="41" spans="1:8" x14ac:dyDescent="0.3">
      <c r="A41" s="2" t="s">
        <v>50</v>
      </c>
      <c r="B41" s="3" t="s">
        <v>29</v>
      </c>
      <c r="C41" s="4">
        <v>12261</v>
      </c>
      <c r="D41" s="4">
        <v>3222</v>
      </c>
      <c r="E41" s="4">
        <v>6333</v>
      </c>
      <c r="F41" s="4">
        <v>36881</v>
      </c>
      <c r="G41" s="4">
        <v>26079</v>
      </c>
      <c r="H41" s="10">
        <v>5021</v>
      </c>
    </row>
    <row r="42" spans="1:8" x14ac:dyDescent="0.3">
      <c r="A42" s="6" t="s">
        <v>51</v>
      </c>
      <c r="B42" s="7" t="s">
        <v>29</v>
      </c>
      <c r="C42" s="8">
        <v>2142</v>
      </c>
      <c r="D42" s="8">
        <v>1446</v>
      </c>
      <c r="E42" s="8">
        <v>2299</v>
      </c>
      <c r="F42" s="8">
        <v>1516</v>
      </c>
      <c r="G42" s="8">
        <v>2001</v>
      </c>
      <c r="H42" s="9">
        <v>2956</v>
      </c>
    </row>
    <row r="43" spans="1:8" x14ac:dyDescent="0.3">
      <c r="A43" s="2" t="s">
        <v>52</v>
      </c>
      <c r="B43" s="3" t="s">
        <v>29</v>
      </c>
      <c r="C43" s="4">
        <v>12457</v>
      </c>
      <c r="D43" s="4">
        <v>4558</v>
      </c>
      <c r="E43" s="4">
        <v>7795</v>
      </c>
      <c r="F43" s="4">
        <v>27521</v>
      </c>
      <c r="G43" s="4">
        <v>21372</v>
      </c>
      <c r="H43" s="10">
        <v>9068</v>
      </c>
    </row>
    <row r="44" spans="1:8" x14ac:dyDescent="0.3">
      <c r="A44" s="6" t="s">
        <v>53</v>
      </c>
      <c r="B44" s="7" t="s">
        <v>12</v>
      </c>
      <c r="C44" s="8">
        <v>5028</v>
      </c>
      <c r="D44" s="8">
        <v>2587</v>
      </c>
      <c r="E44" s="8">
        <v>2659</v>
      </c>
      <c r="F44" s="8">
        <v>11803</v>
      </c>
      <c r="G44" s="8">
        <v>14594</v>
      </c>
      <c r="H44" s="11" t="s">
        <v>10</v>
      </c>
    </row>
    <row r="45" spans="1:8" x14ac:dyDescent="0.3">
      <c r="A45" s="2" t="s">
        <v>54</v>
      </c>
      <c r="B45" s="3" t="s">
        <v>12</v>
      </c>
      <c r="C45" s="4">
        <v>8561</v>
      </c>
      <c r="D45" s="4">
        <v>3257</v>
      </c>
      <c r="E45" s="4">
        <v>6792</v>
      </c>
      <c r="F45" s="4">
        <v>17966</v>
      </c>
      <c r="G45" s="4">
        <v>21385</v>
      </c>
      <c r="H45" s="5" t="s">
        <v>10</v>
      </c>
    </row>
    <row r="46" spans="1:8" x14ac:dyDescent="0.3">
      <c r="A46" s="6" t="s">
        <v>55</v>
      </c>
      <c r="B46" s="7" t="s">
        <v>29</v>
      </c>
      <c r="C46" s="8">
        <v>7154</v>
      </c>
      <c r="D46" s="8">
        <v>3985</v>
      </c>
      <c r="E46" s="8">
        <v>4826</v>
      </c>
      <c r="F46" s="8">
        <v>14624</v>
      </c>
      <c r="G46" s="8">
        <v>16105</v>
      </c>
      <c r="H46" s="11" t="s">
        <v>10</v>
      </c>
    </row>
    <row r="47" spans="1:8" x14ac:dyDescent="0.3">
      <c r="A47" s="2" t="s">
        <v>56</v>
      </c>
      <c r="B47" s="3" t="s">
        <v>9</v>
      </c>
      <c r="C47" s="4">
        <v>9084</v>
      </c>
      <c r="D47" s="4">
        <v>4137</v>
      </c>
      <c r="E47" s="4">
        <v>8536</v>
      </c>
      <c r="F47" s="4">
        <v>16396</v>
      </c>
      <c r="G47" s="4">
        <v>24151</v>
      </c>
      <c r="H47" s="5" t="s">
        <v>10</v>
      </c>
    </row>
    <row r="48" spans="1:8" x14ac:dyDescent="0.3">
      <c r="A48" s="6" t="s">
        <v>57</v>
      </c>
      <c r="B48" s="7" t="s">
        <v>12</v>
      </c>
      <c r="C48" s="8">
        <v>10322</v>
      </c>
      <c r="D48" s="8">
        <v>4446</v>
      </c>
      <c r="E48" s="8">
        <v>9746</v>
      </c>
      <c r="F48" s="8">
        <v>18748</v>
      </c>
      <c r="G48" s="8">
        <v>28612</v>
      </c>
      <c r="H48" s="11" t="s">
        <v>10</v>
      </c>
    </row>
    <row r="49" spans="1:8" x14ac:dyDescent="0.3">
      <c r="A49" s="2" t="s">
        <v>58</v>
      </c>
      <c r="B49" s="3" t="s">
        <v>29</v>
      </c>
      <c r="C49" s="4">
        <v>9721</v>
      </c>
      <c r="D49" s="4">
        <v>6103</v>
      </c>
      <c r="E49" s="4">
        <v>7489</v>
      </c>
      <c r="F49" s="4">
        <v>16545</v>
      </c>
      <c r="G49" s="4">
        <v>22933</v>
      </c>
      <c r="H49" s="10">
        <v>6667</v>
      </c>
    </row>
    <row r="50" spans="1:8" x14ac:dyDescent="0.3">
      <c r="A50" s="6" t="s">
        <v>59</v>
      </c>
      <c r="B50" s="7" t="s">
        <v>29</v>
      </c>
      <c r="C50" s="8">
        <v>8264</v>
      </c>
      <c r="D50" s="8">
        <v>3683</v>
      </c>
      <c r="E50" s="8">
        <v>7402</v>
      </c>
      <c r="F50" s="8">
        <v>7684</v>
      </c>
      <c r="G50" s="8">
        <v>15845</v>
      </c>
      <c r="H50" s="9">
        <v>8942</v>
      </c>
    </row>
    <row r="51" spans="1:8" x14ac:dyDescent="0.3">
      <c r="A51" s="2" t="s">
        <v>60</v>
      </c>
      <c r="B51" s="3" t="s">
        <v>12</v>
      </c>
      <c r="C51" s="4">
        <v>9349</v>
      </c>
      <c r="D51" s="4">
        <v>3647</v>
      </c>
      <c r="E51" s="4">
        <v>7618</v>
      </c>
      <c r="F51" s="4">
        <v>19308</v>
      </c>
      <c r="G51" s="4">
        <v>25136</v>
      </c>
      <c r="H51" s="5" t="s">
        <v>10</v>
      </c>
    </row>
    <row r="52" spans="1:8" x14ac:dyDescent="0.3">
      <c r="A52" s="6" t="s">
        <v>61</v>
      </c>
      <c r="B52" s="7" t="s">
        <v>29</v>
      </c>
      <c r="C52" s="8">
        <v>8389</v>
      </c>
      <c r="D52" s="8">
        <v>3223</v>
      </c>
      <c r="E52" s="8">
        <v>8867</v>
      </c>
      <c r="F52" s="8">
        <v>21227</v>
      </c>
      <c r="G52" s="8">
        <v>24803</v>
      </c>
      <c r="H52" s="9">
        <v>7442</v>
      </c>
    </row>
    <row r="53" spans="1:8" x14ac:dyDescent="0.3">
      <c r="A53" s="2" t="s">
        <v>62</v>
      </c>
      <c r="B53" s="3" t="s">
        <v>9</v>
      </c>
      <c r="C53" s="4">
        <v>7428</v>
      </c>
      <c r="D53" s="4">
        <v>3063</v>
      </c>
      <c r="E53" s="4">
        <v>5703</v>
      </c>
      <c r="F53" s="4">
        <v>21316</v>
      </c>
      <c r="G53" s="4">
        <v>13916</v>
      </c>
      <c r="H53" s="10">
        <v>5344</v>
      </c>
    </row>
    <row r="54" spans="1:8" x14ac:dyDescent="0.3">
      <c r="A54" s="6" t="s">
        <v>63</v>
      </c>
      <c r="B54" s="7" t="s">
        <v>29</v>
      </c>
      <c r="C54" s="8">
        <v>8436</v>
      </c>
      <c r="D54" s="8">
        <v>3500</v>
      </c>
      <c r="E54" s="8">
        <v>6838</v>
      </c>
      <c r="F54" s="8">
        <v>11152</v>
      </c>
      <c r="G54" s="8">
        <v>20818</v>
      </c>
      <c r="H54" s="11" t="s">
        <v>10</v>
      </c>
    </row>
    <row r="55" spans="1:8" x14ac:dyDescent="0.3">
      <c r="A55" s="2" t="s">
        <v>64</v>
      </c>
      <c r="B55" s="3" t="s">
        <v>9</v>
      </c>
      <c r="C55" s="4">
        <v>9901</v>
      </c>
      <c r="D55" s="4">
        <v>3945</v>
      </c>
      <c r="E55" s="4">
        <v>7831</v>
      </c>
      <c r="F55" s="4">
        <v>20227</v>
      </c>
      <c r="G55" s="4">
        <v>23991</v>
      </c>
      <c r="H55" s="5" t="s">
        <v>10</v>
      </c>
    </row>
    <row r="56" spans="1:8" x14ac:dyDescent="0.3">
      <c r="A56" s="6" t="s">
        <v>65</v>
      </c>
      <c r="B56" s="7" t="s">
        <v>10</v>
      </c>
      <c r="C56" s="8">
        <v>2142</v>
      </c>
      <c r="D56" s="8">
        <v>1446</v>
      </c>
      <c r="E56" s="8">
        <v>1555</v>
      </c>
      <c r="F56" s="8">
        <v>1516</v>
      </c>
      <c r="G56" s="8">
        <v>2001</v>
      </c>
      <c r="H56" s="9">
        <v>1647</v>
      </c>
    </row>
    <row r="57" spans="1:8" x14ac:dyDescent="0.3">
      <c r="A57" s="2" t="s">
        <v>66</v>
      </c>
      <c r="B57" s="3" t="s">
        <v>10</v>
      </c>
      <c r="C57" s="4">
        <v>8436</v>
      </c>
      <c r="D57" s="4">
        <v>3556</v>
      </c>
      <c r="E57" s="4">
        <v>6451</v>
      </c>
      <c r="F57" s="4">
        <v>18610</v>
      </c>
      <c r="G57" s="4">
        <v>21372</v>
      </c>
      <c r="H57" s="10">
        <v>6709</v>
      </c>
    </row>
    <row r="58" spans="1:8" ht="15" thickBot="1" x14ac:dyDescent="0.35">
      <c r="A58" s="12" t="s">
        <v>67</v>
      </c>
      <c r="B58" s="13" t="s">
        <v>10</v>
      </c>
      <c r="C58" s="14">
        <v>13811</v>
      </c>
      <c r="D58" s="14">
        <v>6103</v>
      </c>
      <c r="E58" s="14">
        <v>16109</v>
      </c>
      <c r="F58" s="14">
        <v>36881</v>
      </c>
      <c r="G58" s="14">
        <v>43171</v>
      </c>
      <c r="H58" s="15">
        <v>13966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0C47-E670-4ED3-9B70-1FB7A2D269F3}">
  <dimension ref="A1:O58"/>
  <sheetViews>
    <sheetView tabSelected="1" workbookViewId="0">
      <pane ySplit="2" topLeftCell="A53" activePane="bottomLeft" state="frozen"/>
      <selection pane="bottomLeft" activeCell="A3" sqref="A3"/>
    </sheetView>
  </sheetViews>
  <sheetFormatPr defaultRowHeight="14.4" x14ac:dyDescent="0.3"/>
  <cols>
    <col min="1" max="8" width="15.44140625" customWidth="1"/>
  </cols>
  <sheetData>
    <row r="1" spans="1:15" ht="16.2" thickBot="1" x14ac:dyDescent="0.35">
      <c r="A1" s="16" t="s">
        <v>69</v>
      </c>
    </row>
    <row r="2" spans="1:15" ht="55.8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x14ac:dyDescent="0.3">
      <c r="A3" t="str">
        <f>'Annual Medicaid Cost'!A3</f>
        <v>Alabama</v>
      </c>
      <c r="B3" t="str">
        <f>'Annual Medicaid Cost'!B3</f>
        <v>Medium concern</v>
      </c>
      <c r="C3" s="18">
        <f>IFERROR('Annual Medicaid Cost'!C3/12,"")</f>
        <v>465.16666666666669</v>
      </c>
      <c r="D3" s="18">
        <f>IFERROR('Annual Medicaid Cost'!D3/12,"")</f>
        <v>156.5</v>
      </c>
      <c r="E3" s="18">
        <f>IFERROR('Annual Medicaid Cost'!E3/12,"")</f>
        <v>129.58333333333334</v>
      </c>
      <c r="F3" s="18">
        <f>IFERROR('Annual Medicaid Cost'!F3/12,"")</f>
        <v>1084.75</v>
      </c>
      <c r="G3" s="18">
        <f>IFERROR('Annual Medicaid Cost'!G3/12,"")</f>
        <v>1109.75</v>
      </c>
      <c r="H3" s="18" t="str">
        <f>IFERROR('Annual Medicaid Cost'!H3/12,"")</f>
        <v/>
      </c>
      <c r="L3" t="s">
        <v>3</v>
      </c>
      <c r="M3" t="s">
        <v>4</v>
      </c>
      <c r="N3" t="s">
        <v>5</v>
      </c>
      <c r="O3" t="s">
        <v>6</v>
      </c>
    </row>
    <row r="4" spans="1:15" x14ac:dyDescent="0.3">
      <c r="A4" t="str">
        <f>'Annual Medicaid Cost'!A4</f>
        <v>Alaska</v>
      </c>
      <c r="B4" t="str">
        <f>'Annual Medicaid Cost'!B4</f>
        <v>Low concern</v>
      </c>
      <c r="C4" s="18">
        <f>IFERROR('Annual Medicaid Cost'!C4/12,"")</f>
        <v>842</v>
      </c>
      <c r="D4" s="18">
        <f>IFERROR('Annual Medicaid Cost'!D4/12,"")</f>
        <v>488.5</v>
      </c>
      <c r="E4" s="18">
        <f>IFERROR('Annual Medicaid Cost'!E4/12,"")</f>
        <v>602.58333333333337</v>
      </c>
      <c r="F4" s="18">
        <f>IFERROR('Annual Medicaid Cost'!F4/12,"")</f>
        <v>1892.8333333333333</v>
      </c>
      <c r="G4" s="18">
        <f>IFERROR('Annual Medicaid Cost'!G4/12,"")</f>
        <v>2824.9166666666665</v>
      </c>
      <c r="H4" s="18">
        <f>IFERROR('Annual Medicaid Cost'!H4/12,"")</f>
        <v>774.83333333333337</v>
      </c>
      <c r="L4" s="17">
        <v>401.83333333333331</v>
      </c>
      <c r="M4" s="17">
        <v>870.25</v>
      </c>
      <c r="N4" s="17">
        <v>1719.4166666666667</v>
      </c>
      <c r="O4" s="17">
        <v>1744.75</v>
      </c>
    </row>
    <row r="5" spans="1:15" x14ac:dyDescent="0.3">
      <c r="A5" t="str">
        <f>'Annual Medicaid Cost'!A5</f>
        <v>Arizona</v>
      </c>
      <c r="B5" t="str">
        <f>'Annual Medicaid Cost'!B5</f>
        <v>Low concern</v>
      </c>
      <c r="C5" s="18">
        <f>IFERROR('Annual Medicaid Cost'!C5/12,"")</f>
        <v>589.5</v>
      </c>
      <c r="D5" s="18">
        <f>IFERROR('Annual Medicaid Cost'!D5/12,"")</f>
        <v>269.33333333333331</v>
      </c>
      <c r="E5" s="18">
        <f>IFERROR('Annual Medicaid Cost'!E5/12,"")</f>
        <v>401.91666666666669</v>
      </c>
      <c r="F5" s="18">
        <f>IFERROR('Annual Medicaid Cost'!F5/12,"")</f>
        <v>798.41666666666663</v>
      </c>
      <c r="G5" s="18">
        <f>IFERROR('Annual Medicaid Cost'!G5/12,"")</f>
        <v>1951.25</v>
      </c>
      <c r="H5" s="18">
        <f>IFERROR('Annual Medicaid Cost'!H5/12,"")</f>
        <v>636.41666666666663</v>
      </c>
    </row>
    <row r="6" spans="1:15" x14ac:dyDescent="0.3">
      <c r="A6" t="str">
        <f>'Annual Medicaid Cost'!A6</f>
        <v>Arkansas</v>
      </c>
      <c r="B6" t="str">
        <f>'Annual Medicaid Cost'!B6</f>
        <v>Medium concern</v>
      </c>
      <c r="C6" s="18">
        <f>IFERROR('Annual Medicaid Cost'!C6/12,"")</f>
        <v>660.66666666666663</v>
      </c>
      <c r="D6" s="18">
        <f>IFERROR('Annual Medicaid Cost'!D6/12,"")</f>
        <v>401.83333333333331</v>
      </c>
      <c r="E6" s="18">
        <f>IFERROR('Annual Medicaid Cost'!E6/12,"")</f>
        <v>870.25</v>
      </c>
      <c r="F6" s="18">
        <f>IFERROR('Annual Medicaid Cost'!F6/12,"")</f>
        <v>1719.4166666666667</v>
      </c>
      <c r="G6" s="18">
        <f>IFERROR('Annual Medicaid Cost'!G6/12,"")</f>
        <v>1744.75</v>
      </c>
      <c r="H6" s="18">
        <f>IFERROR('Annual Medicaid Cost'!H6/12,"")</f>
        <v>137.25</v>
      </c>
      <c r="L6" t="s">
        <v>3</v>
      </c>
      <c r="M6" s="17">
        <v>401.83333333333331</v>
      </c>
    </row>
    <row r="7" spans="1:15" x14ac:dyDescent="0.3">
      <c r="A7" t="str">
        <f>'Annual Medicaid Cost'!A7</f>
        <v>California</v>
      </c>
      <c r="B7" t="str">
        <f>'Annual Medicaid Cost'!B7</f>
        <v>Medium concern</v>
      </c>
      <c r="C7" s="18">
        <f>IFERROR('Annual Medicaid Cost'!C7/12,"")</f>
        <v>619.41666666666663</v>
      </c>
      <c r="D7" s="18">
        <f>IFERROR('Annual Medicaid Cost'!D7/12,"")</f>
        <v>260.16666666666669</v>
      </c>
      <c r="E7" s="18">
        <f>IFERROR('Annual Medicaid Cost'!E7/12,"")</f>
        <v>275</v>
      </c>
      <c r="F7" s="18">
        <f>IFERROR('Annual Medicaid Cost'!F7/12,"")</f>
        <v>1375.0833333333333</v>
      </c>
      <c r="G7" s="18">
        <f>IFERROR('Annual Medicaid Cost'!G7/12,"")</f>
        <v>2418.4166666666665</v>
      </c>
      <c r="H7" s="18">
        <f>IFERROR('Annual Medicaid Cost'!H7/12,"")</f>
        <v>483.83333333333331</v>
      </c>
      <c r="L7" t="s">
        <v>70</v>
      </c>
      <c r="M7" s="17">
        <v>870.25</v>
      </c>
    </row>
    <row r="8" spans="1:15" x14ac:dyDescent="0.3">
      <c r="A8" t="str">
        <f>'Annual Medicaid Cost'!A8</f>
        <v>Colorado</v>
      </c>
      <c r="B8" t="str">
        <f>'Annual Medicaid Cost'!B8</f>
        <v>Low concern</v>
      </c>
      <c r="C8" s="18">
        <f>IFERROR('Annual Medicaid Cost'!C8/12,"")</f>
        <v>638.75</v>
      </c>
      <c r="D8" s="18">
        <f>IFERROR('Annual Medicaid Cost'!D8/12,"")</f>
        <v>245.58333333333334</v>
      </c>
      <c r="E8" s="18">
        <f>IFERROR('Annual Medicaid Cost'!E8/12,"")</f>
        <v>399.08333333333331</v>
      </c>
      <c r="F8" s="18">
        <f>IFERROR('Annual Medicaid Cost'!F8/12,"")</f>
        <v>1784</v>
      </c>
      <c r="G8" s="18">
        <f>IFERROR('Annual Medicaid Cost'!G8/12,"")</f>
        <v>2387.5833333333335</v>
      </c>
      <c r="H8" s="18">
        <f>IFERROR('Annual Medicaid Cost'!H8/12,"")</f>
        <v>470.83333333333331</v>
      </c>
      <c r="L8" t="s">
        <v>5</v>
      </c>
      <c r="M8" s="17">
        <v>1719.4166666666667</v>
      </c>
    </row>
    <row r="9" spans="1:15" x14ac:dyDescent="0.3">
      <c r="A9" t="str">
        <f>'Annual Medicaid Cost'!A9</f>
        <v>Connecticut</v>
      </c>
      <c r="B9" t="str">
        <f>'Annual Medicaid Cost'!B9</f>
        <v>Low concern</v>
      </c>
      <c r="C9" s="18">
        <f>IFERROR('Annual Medicaid Cost'!C9/12,"")</f>
        <v>700.41666666666663</v>
      </c>
      <c r="D9" s="18">
        <f>IFERROR('Annual Medicaid Cost'!D9/12,"")</f>
        <v>291.83333333333331</v>
      </c>
      <c r="E9" s="18">
        <f>IFERROR('Annual Medicaid Cost'!E9/12,"")</f>
        <v>468.25</v>
      </c>
      <c r="F9" s="18">
        <f>IFERROR('Annual Medicaid Cost'!F9/12,"")</f>
        <v>1293.9166666666667</v>
      </c>
      <c r="G9" s="18">
        <f>IFERROR('Annual Medicaid Cost'!G9/12,"")</f>
        <v>2352.8333333333335</v>
      </c>
      <c r="H9" s="18">
        <f>IFERROR('Annual Medicaid Cost'!H9/12,"")</f>
        <v>605.25</v>
      </c>
      <c r="L9" t="s">
        <v>6</v>
      </c>
      <c r="M9" s="17">
        <v>1744.75</v>
      </c>
    </row>
    <row r="10" spans="1:15" x14ac:dyDescent="0.3">
      <c r="A10" t="str">
        <f>'Annual Medicaid Cost'!A10</f>
        <v>Delaware</v>
      </c>
      <c r="B10" t="str">
        <f>'Annual Medicaid Cost'!B10</f>
        <v>Low concern</v>
      </c>
      <c r="C10" s="18">
        <f>IFERROR('Annual Medicaid Cost'!C10/12,"")</f>
        <v>802.83333333333337</v>
      </c>
      <c r="D10" s="18">
        <f>IFERROR('Annual Medicaid Cost'!D10/12,"")</f>
        <v>385.83333333333331</v>
      </c>
      <c r="E10" s="18">
        <f>IFERROR('Annual Medicaid Cost'!E10/12,"")</f>
        <v>674.33333333333337</v>
      </c>
      <c r="F10" s="18">
        <f>IFERROR('Annual Medicaid Cost'!F10/12,"")</f>
        <v>1738.1666666666667</v>
      </c>
      <c r="G10" s="18">
        <f>IFERROR('Annual Medicaid Cost'!G10/12,"")</f>
        <v>2076.1666666666665</v>
      </c>
      <c r="H10" s="18">
        <f>IFERROR('Annual Medicaid Cost'!H10/12,"")</f>
        <v>680.83333333333337</v>
      </c>
    </row>
    <row r="11" spans="1:15" x14ac:dyDescent="0.3">
      <c r="A11" t="str">
        <f>'Annual Medicaid Cost'!A11</f>
        <v>District of Columbia</v>
      </c>
      <c r="B11" t="str">
        <f>'Annual Medicaid Cost'!B11</f>
        <v>Low concern</v>
      </c>
      <c r="C11" s="18">
        <f>IFERROR('Annual Medicaid Cost'!C11/12,"")</f>
        <v>950.41666666666663</v>
      </c>
      <c r="D11" s="18">
        <f>IFERROR('Annual Medicaid Cost'!D11/12,"")</f>
        <v>381.41666666666669</v>
      </c>
      <c r="E11" s="18">
        <f>IFERROR('Annual Medicaid Cost'!E11/12,"")</f>
        <v>542.58333333333337</v>
      </c>
      <c r="F11" s="18">
        <f>IFERROR('Annual Medicaid Cost'!F11/12,"")</f>
        <v>1944.9166666666667</v>
      </c>
      <c r="G11" s="18">
        <f>IFERROR('Annual Medicaid Cost'!G11/12,"")</f>
        <v>2797.25</v>
      </c>
      <c r="H11" s="18">
        <f>IFERROR('Annual Medicaid Cost'!H11/12,"")</f>
        <v>558.91666666666663</v>
      </c>
      <c r="L11" t="s">
        <v>70</v>
      </c>
      <c r="M11" s="17">
        <v>870.25</v>
      </c>
    </row>
    <row r="12" spans="1:15" x14ac:dyDescent="0.3">
      <c r="A12" t="str">
        <f>'Annual Medicaid Cost'!A12</f>
        <v>Florida</v>
      </c>
      <c r="B12" t="str">
        <f>'Annual Medicaid Cost'!B12</f>
        <v>Medium concern</v>
      </c>
      <c r="C12" s="18">
        <f>IFERROR('Annual Medicaid Cost'!C12/12,"")</f>
        <v>448.91666666666669</v>
      </c>
      <c r="D12" s="18">
        <f>IFERROR('Annual Medicaid Cost'!D12/12,"")</f>
        <v>194.08333333333334</v>
      </c>
      <c r="E12" s="18">
        <f>IFERROR('Annual Medicaid Cost'!E12/12,"")</f>
        <v>229.5</v>
      </c>
      <c r="F12" s="18">
        <f>IFERROR('Annual Medicaid Cost'!F12/12,"")</f>
        <v>899</v>
      </c>
      <c r="G12" s="18">
        <f>IFERROR('Annual Medicaid Cost'!G12/12,"")</f>
        <v>1201.9166666666667</v>
      </c>
      <c r="H12" s="18" t="str">
        <f>IFERROR('Annual Medicaid Cost'!H12/12,"")</f>
        <v/>
      </c>
      <c r="L12" t="s">
        <v>6</v>
      </c>
      <c r="M12" s="17">
        <v>1744.75</v>
      </c>
    </row>
    <row r="13" spans="1:15" x14ac:dyDescent="0.3">
      <c r="A13" t="str">
        <f>'Annual Medicaid Cost'!A13</f>
        <v>Georgia</v>
      </c>
      <c r="B13" t="str">
        <f>'Annual Medicaid Cost'!B13</f>
        <v>Low concern</v>
      </c>
      <c r="C13" s="18">
        <f>IFERROR('Annual Medicaid Cost'!C13/12,"")</f>
        <v>447.75</v>
      </c>
      <c r="D13" s="18">
        <f>IFERROR('Annual Medicaid Cost'!D13/12,"")</f>
        <v>215.66666666666666</v>
      </c>
      <c r="E13" s="18">
        <f>IFERROR('Annual Medicaid Cost'!E13/12,"")</f>
        <v>367.58333333333331</v>
      </c>
      <c r="F13" s="18">
        <f>IFERROR('Annual Medicaid Cost'!F13/12,"")</f>
        <v>823.33333333333337</v>
      </c>
      <c r="G13" s="18">
        <f>IFERROR('Annual Medicaid Cost'!G13/12,"")</f>
        <v>1012.4166666666666</v>
      </c>
      <c r="H13" s="18" t="str">
        <f>IFERROR('Annual Medicaid Cost'!H13/12,"")</f>
        <v/>
      </c>
      <c r="L13" t="s">
        <v>3</v>
      </c>
      <c r="M13" s="17">
        <v>401.83333333333331</v>
      </c>
    </row>
    <row r="14" spans="1:15" x14ac:dyDescent="0.3">
      <c r="A14" t="str">
        <f>'Annual Medicaid Cost'!A14</f>
        <v>Hawaii</v>
      </c>
      <c r="B14" t="str">
        <f>'Annual Medicaid Cost'!B14</f>
        <v>Medium concern</v>
      </c>
      <c r="C14" s="18">
        <f>IFERROR('Annual Medicaid Cost'!C14/12,"")</f>
        <v>574.16666666666663</v>
      </c>
      <c r="D14" s="18">
        <f>IFERROR('Annual Medicaid Cost'!D14/12,"")</f>
        <v>274.25</v>
      </c>
      <c r="E14" s="18">
        <f>IFERROR('Annual Medicaid Cost'!E14/12,"")</f>
        <v>410.25</v>
      </c>
      <c r="F14" s="18">
        <f>IFERROR('Annual Medicaid Cost'!F14/12,"")</f>
        <v>1187.6666666666667</v>
      </c>
      <c r="G14" s="18">
        <f>IFERROR('Annual Medicaid Cost'!G14/12,"")</f>
        <v>1979.8333333333333</v>
      </c>
      <c r="H14" s="18">
        <f>IFERROR('Annual Medicaid Cost'!H14/12,"")</f>
        <v>475.91666666666669</v>
      </c>
      <c r="L14" t="s">
        <v>6</v>
      </c>
      <c r="M14" s="17">
        <v>1744.75</v>
      </c>
    </row>
    <row r="15" spans="1:15" x14ac:dyDescent="0.3">
      <c r="A15" t="str">
        <f>'Annual Medicaid Cost'!A15</f>
        <v>Idaho</v>
      </c>
      <c r="B15" t="str">
        <f>'Annual Medicaid Cost'!B15</f>
        <v>Low concern</v>
      </c>
      <c r="C15" s="18">
        <f>IFERROR('Annual Medicaid Cost'!C15/12,"")</f>
        <v>663.83333333333337</v>
      </c>
      <c r="D15" s="18">
        <f>IFERROR('Annual Medicaid Cost'!D15/12,"")</f>
        <v>258.41666666666669</v>
      </c>
      <c r="E15" s="18">
        <f>IFERROR('Annual Medicaid Cost'!E15/12,"")</f>
        <v>627.08333333333337</v>
      </c>
      <c r="F15" s="18">
        <f>IFERROR('Annual Medicaid Cost'!F15/12,"")</f>
        <v>1050</v>
      </c>
      <c r="G15" s="18">
        <f>IFERROR('Annual Medicaid Cost'!G15/12,"")</f>
        <v>1788.3333333333333</v>
      </c>
      <c r="H15" s="18" t="str">
        <f>IFERROR('Annual Medicaid Cost'!H15/12,"")</f>
        <v/>
      </c>
    </row>
    <row r="16" spans="1:15" x14ac:dyDescent="0.3">
      <c r="A16" t="str">
        <f>'Annual Medicaid Cost'!A16</f>
        <v>Illinois</v>
      </c>
      <c r="B16" t="str">
        <f>'Annual Medicaid Cost'!B16</f>
        <v>Medium concern</v>
      </c>
      <c r="C16" s="18">
        <f>IFERROR('Annual Medicaid Cost'!C16/12,"")</f>
        <v>586.08333333333337</v>
      </c>
      <c r="D16" s="18">
        <f>IFERROR('Annual Medicaid Cost'!D16/12,"")</f>
        <v>237.75</v>
      </c>
      <c r="E16" s="18">
        <f>IFERROR('Annual Medicaid Cost'!E16/12,"")</f>
        <v>425</v>
      </c>
      <c r="F16" s="18">
        <f>IFERROR('Annual Medicaid Cost'!F16/12,"")</f>
        <v>1454.4166666666667</v>
      </c>
      <c r="G16" s="18">
        <f>IFERROR('Annual Medicaid Cost'!G16/12,"")</f>
        <v>1260.25</v>
      </c>
      <c r="H16" s="18">
        <f>IFERROR('Annual Medicaid Cost'!H16/12,"")</f>
        <v>519.75</v>
      </c>
    </row>
    <row r="17" spans="1:8" x14ac:dyDescent="0.3">
      <c r="A17" t="str">
        <f>'Annual Medicaid Cost'!A17</f>
        <v>Indiana</v>
      </c>
      <c r="B17" t="str">
        <f>'Annual Medicaid Cost'!B17</f>
        <v>Medium concern</v>
      </c>
      <c r="C17" s="18">
        <f>IFERROR('Annual Medicaid Cost'!C17/12,"")</f>
        <v>749.91666666666663</v>
      </c>
      <c r="D17" s="18">
        <f>IFERROR('Annual Medicaid Cost'!D17/12,"")</f>
        <v>268.91666666666669</v>
      </c>
      <c r="E17" s="18">
        <f>IFERROR('Annual Medicaid Cost'!E17/12,"")</f>
        <v>736.08333333333337</v>
      </c>
      <c r="F17" s="18">
        <f>IFERROR('Annual Medicaid Cost'!F17/12,"")</f>
        <v>1572.9166666666667</v>
      </c>
      <c r="G17" s="18">
        <f>IFERROR('Annual Medicaid Cost'!G17/12,"")</f>
        <v>1520.4166666666667</v>
      </c>
      <c r="H17" s="18">
        <f>IFERROR('Annual Medicaid Cost'!H17/12,"")</f>
        <v>839.33333333333337</v>
      </c>
    </row>
    <row r="18" spans="1:8" x14ac:dyDescent="0.3">
      <c r="A18" t="str">
        <f>'Annual Medicaid Cost'!A18</f>
        <v>Iowa</v>
      </c>
      <c r="B18" t="str">
        <f>'Annual Medicaid Cost'!B18</f>
        <v>Medium concern</v>
      </c>
      <c r="C18" s="18">
        <f>IFERROR('Annual Medicaid Cost'!C18/12,"")</f>
        <v>741.41666666666663</v>
      </c>
      <c r="D18" s="18">
        <f>IFERROR('Annual Medicaid Cost'!D18/12,"")</f>
        <v>273</v>
      </c>
      <c r="E18" s="18">
        <f>IFERROR('Annual Medicaid Cost'!E18/12,"")</f>
        <v>638.91666666666663</v>
      </c>
      <c r="F18" s="18">
        <f>IFERROR('Annual Medicaid Cost'!F18/12,"")</f>
        <v>1882.3333333333333</v>
      </c>
      <c r="G18" s="18">
        <f>IFERROR('Annual Medicaid Cost'!G18/12,"")</f>
        <v>2103.5</v>
      </c>
      <c r="H18" s="18">
        <f>IFERROR('Annual Medicaid Cost'!H18/12,"")</f>
        <v>555.5</v>
      </c>
    </row>
    <row r="19" spans="1:8" x14ac:dyDescent="0.3">
      <c r="A19" t="str">
        <f>'Annual Medicaid Cost'!A19</f>
        <v>Kansas</v>
      </c>
      <c r="B19" t="str">
        <f>'Annual Medicaid Cost'!B19</f>
        <v>Medium concern</v>
      </c>
      <c r="C19" s="18">
        <f>IFERROR('Annual Medicaid Cost'!C19/12,"")</f>
        <v>828.66666666666663</v>
      </c>
      <c r="D19" s="18">
        <f>IFERROR('Annual Medicaid Cost'!D19/12,"")</f>
        <v>341.33333333333331</v>
      </c>
      <c r="E19" s="18">
        <f>IFERROR('Annual Medicaid Cost'!E19/12,"")</f>
        <v>1342.4166666666667</v>
      </c>
      <c r="F19" s="18">
        <f>IFERROR('Annual Medicaid Cost'!F19/12,"")</f>
        <v>1924.75</v>
      </c>
      <c r="G19" s="18">
        <f>IFERROR('Annual Medicaid Cost'!G19/12,"")</f>
        <v>1334.9166666666667</v>
      </c>
      <c r="H19" s="18" t="str">
        <f>IFERROR('Annual Medicaid Cost'!H19/12,"")</f>
        <v/>
      </c>
    </row>
    <row r="20" spans="1:8" x14ac:dyDescent="0.3">
      <c r="A20" t="str">
        <f>'Annual Medicaid Cost'!A20</f>
        <v>Kentucky</v>
      </c>
      <c r="B20" t="str">
        <f>'Annual Medicaid Cost'!B20</f>
        <v>High concern</v>
      </c>
      <c r="C20" s="18">
        <f>IFERROR('Annual Medicaid Cost'!C20/12,"")</f>
        <v>568.91666666666663</v>
      </c>
      <c r="D20" s="18">
        <f>IFERROR('Annual Medicaid Cost'!D20/12,"")</f>
        <v>296.33333333333331</v>
      </c>
      <c r="E20" s="18">
        <f>IFERROR('Annual Medicaid Cost'!E20/12,"")</f>
        <v>537.58333333333337</v>
      </c>
      <c r="F20" s="18">
        <f>IFERROR('Annual Medicaid Cost'!F20/12,"")</f>
        <v>821.5</v>
      </c>
      <c r="G20" s="18">
        <f>IFERROR('Annual Medicaid Cost'!G20/12,"")</f>
        <v>1204.5</v>
      </c>
      <c r="H20" s="18">
        <f>IFERROR('Annual Medicaid Cost'!H20/12,"")</f>
        <v>503.83333333333331</v>
      </c>
    </row>
    <row r="21" spans="1:8" x14ac:dyDescent="0.3">
      <c r="A21" t="str">
        <f>'Annual Medicaid Cost'!A21</f>
        <v>Louisiana</v>
      </c>
      <c r="B21" t="str">
        <f>'Annual Medicaid Cost'!B21</f>
        <v>Low concern</v>
      </c>
      <c r="C21" s="18">
        <f>IFERROR('Annual Medicaid Cost'!C21/12,"")</f>
        <v>583.75</v>
      </c>
      <c r="D21" s="18">
        <f>IFERROR('Annual Medicaid Cost'!D21/12,"")</f>
        <v>293.58333333333331</v>
      </c>
      <c r="E21" s="18">
        <f>IFERROR('Annual Medicaid Cost'!E21/12,"")</f>
        <v>502.41666666666669</v>
      </c>
      <c r="F21" s="18">
        <f>IFERROR('Annual Medicaid Cost'!F21/12,"")</f>
        <v>907.75</v>
      </c>
      <c r="G21" s="18">
        <f>IFERROR('Annual Medicaid Cost'!G21/12,"")</f>
        <v>1197.1666666666667</v>
      </c>
      <c r="H21" s="18">
        <f>IFERROR('Annual Medicaid Cost'!H21/12,"")</f>
        <v>550.91666666666663</v>
      </c>
    </row>
    <row r="22" spans="1:8" x14ac:dyDescent="0.3">
      <c r="A22" t="str">
        <f>'Annual Medicaid Cost'!A22</f>
        <v>Maine</v>
      </c>
      <c r="B22" t="str">
        <f>'Annual Medicaid Cost'!B22</f>
        <v>Medium concern</v>
      </c>
      <c r="C22" s="18">
        <f>IFERROR('Annual Medicaid Cost'!C22/12,"")</f>
        <v>891</v>
      </c>
      <c r="D22" s="18">
        <f>IFERROR('Annual Medicaid Cost'!D22/12,"")</f>
        <v>375.33333333333331</v>
      </c>
      <c r="E22" s="18">
        <f>IFERROR('Annual Medicaid Cost'!E22/12,"")</f>
        <v>406.5</v>
      </c>
      <c r="F22" s="18">
        <f>IFERROR('Annual Medicaid Cost'!F22/12,"")</f>
        <v>1143.1666666666667</v>
      </c>
      <c r="G22" s="18">
        <f>IFERROR('Annual Medicaid Cost'!G22/12,"")</f>
        <v>1932.1666666666667</v>
      </c>
      <c r="H22" s="18">
        <f>IFERROR('Annual Medicaid Cost'!H22/12,"")</f>
        <v>559.91666666666663</v>
      </c>
    </row>
    <row r="23" spans="1:8" x14ac:dyDescent="0.3">
      <c r="A23" t="str">
        <f>'Annual Medicaid Cost'!A23</f>
        <v>Maryland</v>
      </c>
      <c r="B23" t="str">
        <f>'Annual Medicaid Cost'!B23</f>
        <v>Low concern</v>
      </c>
      <c r="C23" s="18">
        <f>IFERROR('Annual Medicaid Cost'!C23/12,"")</f>
        <v>779.91666666666663</v>
      </c>
      <c r="D23" s="18">
        <f>IFERROR('Annual Medicaid Cost'!D23/12,"")</f>
        <v>312.16666666666669</v>
      </c>
      <c r="E23" s="18">
        <f>IFERROR('Annual Medicaid Cost'!E23/12,"")</f>
        <v>630.5</v>
      </c>
      <c r="F23" s="18">
        <f>IFERROR('Annual Medicaid Cost'!F23/12,"")</f>
        <v>1588</v>
      </c>
      <c r="G23" s="18">
        <f>IFERROR('Annual Medicaid Cost'!G23/12,"")</f>
        <v>2137.3333333333335</v>
      </c>
      <c r="H23" s="18">
        <f>IFERROR('Annual Medicaid Cost'!H23/12,"")</f>
        <v>739.66666666666663</v>
      </c>
    </row>
    <row r="24" spans="1:8" x14ac:dyDescent="0.3">
      <c r="A24" t="str">
        <f>'Annual Medicaid Cost'!A24</f>
        <v>Massachusetts</v>
      </c>
      <c r="B24" t="str">
        <f>'Annual Medicaid Cost'!B24</f>
        <v>Medium concern</v>
      </c>
      <c r="C24" s="18">
        <f>IFERROR('Annual Medicaid Cost'!C24/12,"")</f>
        <v>857.33333333333337</v>
      </c>
      <c r="D24" s="18">
        <f>IFERROR('Annual Medicaid Cost'!D24/12,"")</f>
        <v>297</v>
      </c>
      <c r="E24" s="18">
        <f>IFERROR('Annual Medicaid Cost'!E24/12,"")</f>
        <v>331.16666666666669</v>
      </c>
      <c r="F24" s="18">
        <f>IFERROR('Annual Medicaid Cost'!F24/12,"")</f>
        <v>2007.6666666666667</v>
      </c>
      <c r="G24" s="18">
        <f>IFERROR('Annual Medicaid Cost'!G24/12,"")</f>
        <v>1676.5833333333333</v>
      </c>
      <c r="H24" s="18">
        <f>IFERROR('Annual Medicaid Cost'!H24/12,"")</f>
        <v>561.25</v>
      </c>
    </row>
    <row r="25" spans="1:8" x14ac:dyDescent="0.3">
      <c r="A25" t="str">
        <f>'Annual Medicaid Cost'!A25</f>
        <v>Michigan</v>
      </c>
      <c r="B25" t="str">
        <f>'Annual Medicaid Cost'!B25</f>
        <v>High concern</v>
      </c>
      <c r="C25" s="18">
        <f>IFERROR('Annual Medicaid Cost'!C25/12,"")</f>
        <v>634</v>
      </c>
      <c r="D25" s="18">
        <f>IFERROR('Annual Medicaid Cost'!D25/12,"")</f>
        <v>262.83333333333331</v>
      </c>
      <c r="E25" s="18">
        <f>IFERROR('Annual Medicaid Cost'!E25/12,"")</f>
        <v>479.5</v>
      </c>
      <c r="F25" s="18">
        <f>IFERROR('Annual Medicaid Cost'!F25/12,"")</f>
        <v>1721.5</v>
      </c>
      <c r="G25" s="18">
        <f>IFERROR('Annual Medicaid Cost'!G25/12,"")</f>
        <v>1561.25</v>
      </c>
      <c r="H25" s="18">
        <f>IFERROR('Annual Medicaid Cost'!H25/12,"")</f>
        <v>469</v>
      </c>
    </row>
    <row r="26" spans="1:8" x14ac:dyDescent="0.3">
      <c r="A26" t="str">
        <f>'Annual Medicaid Cost'!A26</f>
        <v>Minnesota</v>
      </c>
      <c r="B26" t="str">
        <f>'Annual Medicaid Cost'!B26</f>
        <v>Low concern</v>
      </c>
      <c r="C26" s="18">
        <f>IFERROR('Annual Medicaid Cost'!C26/12,"")</f>
        <v>985.75</v>
      </c>
      <c r="D26" s="18">
        <f>IFERROR('Annual Medicaid Cost'!D26/12,"")</f>
        <v>317.91666666666669</v>
      </c>
      <c r="E26" s="18">
        <f>IFERROR('Annual Medicaid Cost'!E26/12,"")</f>
        <v>560.91666666666663</v>
      </c>
      <c r="F26" s="18">
        <f>IFERROR('Annual Medicaid Cost'!F26/12,"")</f>
        <v>2737.8333333333335</v>
      </c>
      <c r="G26" s="18">
        <f>IFERROR('Annual Medicaid Cost'!G26/12,"")</f>
        <v>3597.5833333333335</v>
      </c>
      <c r="H26" s="18">
        <f>IFERROR('Annual Medicaid Cost'!H26/12,"")</f>
        <v>826.75</v>
      </c>
    </row>
    <row r="27" spans="1:8" x14ac:dyDescent="0.3">
      <c r="A27" t="str">
        <f>'Annual Medicaid Cost'!A27</f>
        <v>Mississippi</v>
      </c>
      <c r="B27" t="str">
        <f>'Annual Medicaid Cost'!B27</f>
        <v>Medium concern</v>
      </c>
      <c r="C27" s="18">
        <f>IFERROR('Annual Medicaid Cost'!C27/12,"")</f>
        <v>662.83333333333337</v>
      </c>
      <c r="D27" s="18">
        <f>IFERROR('Annual Medicaid Cost'!D27/12,"")</f>
        <v>335.83333333333331</v>
      </c>
      <c r="E27" s="18">
        <f>IFERROR('Annual Medicaid Cost'!E27/12,"")</f>
        <v>432.66666666666669</v>
      </c>
      <c r="F27" s="18">
        <f>IFERROR('Annual Medicaid Cost'!F27/12,"")</f>
        <v>1099.8333333333333</v>
      </c>
      <c r="G27" s="18">
        <f>IFERROR('Annual Medicaid Cost'!G27/12,"")</f>
        <v>1206.25</v>
      </c>
      <c r="H27" s="18" t="str">
        <f>IFERROR('Annual Medicaid Cost'!H27/12,"")</f>
        <v/>
      </c>
    </row>
    <row r="28" spans="1:8" x14ac:dyDescent="0.3">
      <c r="A28" t="str">
        <f>'Annual Medicaid Cost'!A28</f>
        <v>Missouri</v>
      </c>
      <c r="B28" t="str">
        <f>'Annual Medicaid Cost'!B28</f>
        <v>Medium concern</v>
      </c>
      <c r="C28" s="18">
        <f>IFERROR('Annual Medicaid Cost'!C28/12,"")</f>
        <v>883.91666666666663</v>
      </c>
      <c r="D28" s="18">
        <f>IFERROR('Annual Medicaid Cost'!D28/12,"")</f>
        <v>386.83333333333331</v>
      </c>
      <c r="E28" s="18">
        <f>IFERROR('Annual Medicaid Cost'!E28/12,"")</f>
        <v>558</v>
      </c>
      <c r="F28" s="18">
        <f>IFERROR('Annual Medicaid Cost'!F28/12,"")</f>
        <v>1693.75</v>
      </c>
      <c r="G28" s="18">
        <f>IFERROR('Annual Medicaid Cost'!G28/12,"")</f>
        <v>2221</v>
      </c>
      <c r="H28" s="18" t="str">
        <f>IFERROR('Annual Medicaid Cost'!H28/12,"")</f>
        <v/>
      </c>
    </row>
    <row r="29" spans="1:8" x14ac:dyDescent="0.3">
      <c r="A29" t="str">
        <f>'Annual Medicaid Cost'!A29</f>
        <v>Montana</v>
      </c>
      <c r="B29" t="str">
        <f>'Annual Medicaid Cost'!B29</f>
        <v>Medium concern</v>
      </c>
      <c r="C29" s="18">
        <f>IFERROR('Annual Medicaid Cost'!C29/12,"")</f>
        <v>642.33333333333337</v>
      </c>
      <c r="D29" s="18">
        <f>IFERROR('Annual Medicaid Cost'!D29/12,"")</f>
        <v>358.66666666666669</v>
      </c>
      <c r="E29" s="18">
        <f>IFERROR('Annual Medicaid Cost'!E29/12,"")</f>
        <v>499.58333333333331</v>
      </c>
      <c r="F29" s="18">
        <f>IFERROR('Annual Medicaid Cost'!F29/12,"")</f>
        <v>1476.5833333333333</v>
      </c>
      <c r="G29" s="18">
        <f>IFERROR('Annual Medicaid Cost'!G29/12,"")</f>
        <v>1543.25</v>
      </c>
      <c r="H29" s="18">
        <f>IFERROR('Annual Medicaid Cost'!H29/12,"")</f>
        <v>591.41666666666663</v>
      </c>
    </row>
    <row r="30" spans="1:8" x14ac:dyDescent="0.3">
      <c r="A30" t="str">
        <f>'Annual Medicaid Cost'!A30</f>
        <v>Nebraska</v>
      </c>
      <c r="B30" t="str">
        <f>'Annual Medicaid Cost'!B30</f>
        <v>High concern</v>
      </c>
      <c r="C30" s="18">
        <f>IFERROR('Annual Medicaid Cost'!C30/12,"")</f>
        <v>813.25</v>
      </c>
      <c r="D30" s="18">
        <f>IFERROR('Annual Medicaid Cost'!D30/12,"")</f>
        <v>384.58333333333331</v>
      </c>
      <c r="E30" s="18">
        <f>IFERROR('Annual Medicaid Cost'!E30/12,"")</f>
        <v>764.16666666666663</v>
      </c>
      <c r="F30" s="18">
        <f>IFERROR('Annual Medicaid Cost'!F30/12,"")</f>
        <v>2028.5</v>
      </c>
      <c r="G30" s="18">
        <f>IFERROR('Annual Medicaid Cost'!G30/12,"")</f>
        <v>1607.9166666666667</v>
      </c>
      <c r="H30" s="18" t="str">
        <f>IFERROR('Annual Medicaid Cost'!H30/12,"")</f>
        <v/>
      </c>
    </row>
    <row r="31" spans="1:8" x14ac:dyDescent="0.3">
      <c r="A31" t="str">
        <f>'Annual Medicaid Cost'!A31</f>
        <v>Nevada</v>
      </c>
      <c r="B31" t="str">
        <f>'Annual Medicaid Cost'!B31</f>
        <v>Medium concern</v>
      </c>
      <c r="C31" s="18">
        <f>IFERROR('Annual Medicaid Cost'!C31/12,"")</f>
        <v>531.16666666666663</v>
      </c>
      <c r="D31" s="18">
        <f>IFERROR('Annual Medicaid Cost'!D31/12,"")</f>
        <v>236.16666666666666</v>
      </c>
      <c r="E31" s="18">
        <f>IFERROR('Annual Medicaid Cost'!E31/12,"")</f>
        <v>479</v>
      </c>
      <c r="F31" s="18">
        <f>IFERROR('Annual Medicaid Cost'!F31/12,"")</f>
        <v>739.75</v>
      </c>
      <c r="G31" s="18">
        <f>IFERROR('Annual Medicaid Cost'!G31/12,"")</f>
        <v>1527.0833333333333</v>
      </c>
      <c r="H31" s="18">
        <f>IFERROR('Annual Medicaid Cost'!H31/12,"")</f>
        <v>576.5</v>
      </c>
    </row>
    <row r="32" spans="1:8" x14ac:dyDescent="0.3">
      <c r="A32" t="str">
        <f>'Annual Medicaid Cost'!A32</f>
        <v>New Hampshire</v>
      </c>
      <c r="B32" t="str">
        <f>'Annual Medicaid Cost'!B32</f>
        <v>Low concern</v>
      </c>
      <c r="C32" s="18">
        <f>IFERROR('Annual Medicaid Cost'!C32/12,"")</f>
        <v>774.75</v>
      </c>
      <c r="D32" s="18">
        <f>IFERROR('Annual Medicaid Cost'!D32/12,"")</f>
        <v>351</v>
      </c>
      <c r="E32" s="18">
        <f>IFERROR('Annual Medicaid Cost'!E32/12,"")</f>
        <v>1228.8333333333333</v>
      </c>
      <c r="F32" s="18">
        <f>IFERROR('Annual Medicaid Cost'!F32/12,"")</f>
        <v>2052.6666666666665</v>
      </c>
      <c r="G32" s="18">
        <f>IFERROR('Annual Medicaid Cost'!G32/12,"")</f>
        <v>1575.5</v>
      </c>
      <c r="H32" s="18">
        <f>IFERROR('Annual Medicaid Cost'!H32/12,"")</f>
        <v>545.91666666666663</v>
      </c>
    </row>
    <row r="33" spans="1:8" x14ac:dyDescent="0.3">
      <c r="A33" t="str">
        <f>'Annual Medicaid Cost'!A33</f>
        <v>New Jersey</v>
      </c>
      <c r="B33" t="str">
        <f>'Annual Medicaid Cost'!B33</f>
        <v>Low concern</v>
      </c>
      <c r="C33" s="18">
        <f>IFERROR('Annual Medicaid Cost'!C33/12,"")</f>
        <v>838.83333333333337</v>
      </c>
      <c r="D33" s="18">
        <f>IFERROR('Annual Medicaid Cost'!D33/12,"")</f>
        <v>276.5</v>
      </c>
      <c r="E33" s="18">
        <f>IFERROR('Annual Medicaid Cost'!E33/12,"")</f>
        <v>806.5</v>
      </c>
      <c r="F33" s="18">
        <f>IFERROR('Annual Medicaid Cost'!F33/12,"")</f>
        <v>2116.8333333333335</v>
      </c>
      <c r="G33" s="18">
        <f>IFERROR('Annual Medicaid Cost'!G33/12,"")</f>
        <v>2604</v>
      </c>
      <c r="H33" s="18">
        <f>IFERROR('Annual Medicaid Cost'!H33/12,"")</f>
        <v>559.08333333333337</v>
      </c>
    </row>
    <row r="34" spans="1:8" x14ac:dyDescent="0.3">
      <c r="A34" t="str">
        <f>'Annual Medicaid Cost'!A34</f>
        <v>New Mexico</v>
      </c>
      <c r="B34" t="str">
        <f>'Annual Medicaid Cost'!B34</f>
        <v>Low concern</v>
      </c>
      <c r="C34" s="18">
        <f>IFERROR('Annual Medicaid Cost'!C34/12,"")</f>
        <v>559.33333333333337</v>
      </c>
      <c r="D34" s="18">
        <f>IFERROR('Annual Medicaid Cost'!D34/12,"")</f>
        <v>326.75</v>
      </c>
      <c r="E34" s="18">
        <f>IFERROR('Annual Medicaid Cost'!E34/12,"")</f>
        <v>352.25</v>
      </c>
      <c r="F34" s="18">
        <f>IFERROR('Annual Medicaid Cost'!F34/12,"")</f>
        <v>918.41666666666663</v>
      </c>
      <c r="G34" s="18">
        <f>IFERROR('Annual Medicaid Cost'!G34/12,"")</f>
        <v>1922.1666666666667</v>
      </c>
      <c r="H34" s="18">
        <f>IFERROR('Annual Medicaid Cost'!H34/12,"")</f>
        <v>494.25</v>
      </c>
    </row>
    <row r="35" spans="1:8" x14ac:dyDescent="0.3">
      <c r="A35" t="str">
        <f>'Annual Medicaid Cost'!A35</f>
        <v>New York</v>
      </c>
      <c r="B35" t="str">
        <f>'Annual Medicaid Cost'!B35</f>
        <v>High concern</v>
      </c>
      <c r="C35" s="18">
        <f>IFERROR('Annual Medicaid Cost'!C35/12,"")</f>
        <v>813.5</v>
      </c>
      <c r="D35" s="18">
        <f>IFERROR('Annual Medicaid Cost'!D35/12,"")</f>
        <v>286</v>
      </c>
      <c r="E35" s="18">
        <f>IFERROR('Annual Medicaid Cost'!E35/12,"")</f>
        <v>561.25</v>
      </c>
      <c r="F35" s="18">
        <f>IFERROR('Annual Medicaid Cost'!F35/12,"")</f>
        <v>1822.8333333333333</v>
      </c>
      <c r="G35" s="18">
        <f>IFERROR('Annual Medicaid Cost'!G35/12,"")</f>
        <v>2270.1666666666665</v>
      </c>
      <c r="H35" s="18">
        <f>IFERROR('Annual Medicaid Cost'!H35/12,"")</f>
        <v>528.66666666666663</v>
      </c>
    </row>
    <row r="36" spans="1:8" x14ac:dyDescent="0.3">
      <c r="A36" t="str">
        <f>'Annual Medicaid Cost'!A36</f>
        <v>North Carolina</v>
      </c>
      <c r="B36" t="str">
        <f>'Annual Medicaid Cost'!B36</f>
        <v>Medium concern</v>
      </c>
      <c r="C36" s="18">
        <f>IFERROR('Annual Medicaid Cost'!C36/12,"")</f>
        <v>568.33333333333337</v>
      </c>
      <c r="D36" s="18">
        <f>IFERROR('Annual Medicaid Cost'!D36/12,"")</f>
        <v>262.91666666666669</v>
      </c>
      <c r="E36" s="18">
        <f>IFERROR('Annual Medicaid Cost'!E36/12,"")</f>
        <v>221.08333333333334</v>
      </c>
      <c r="F36" s="18">
        <f>IFERROR('Annual Medicaid Cost'!F36/12,"")</f>
        <v>1199.4166666666667</v>
      </c>
      <c r="G36" s="18">
        <f>IFERROR('Annual Medicaid Cost'!G36/12,"")</f>
        <v>1591.4166666666667</v>
      </c>
      <c r="H36" s="18" t="str">
        <f>IFERROR('Annual Medicaid Cost'!H36/12,"")</f>
        <v/>
      </c>
    </row>
    <row r="37" spans="1:8" x14ac:dyDescent="0.3">
      <c r="A37" t="str">
        <f>'Annual Medicaid Cost'!A37</f>
        <v>North Dakota</v>
      </c>
      <c r="B37" t="str">
        <f>'Annual Medicaid Cost'!B37</f>
        <v>Medium concern</v>
      </c>
      <c r="C37" s="18">
        <f>IFERROR('Annual Medicaid Cost'!C37/12,"")</f>
        <v>1150.9166666666667</v>
      </c>
      <c r="D37" s="18">
        <f>IFERROR('Annual Medicaid Cost'!D37/12,"")</f>
        <v>391.16666666666669</v>
      </c>
      <c r="E37" s="18">
        <f>IFERROR('Annual Medicaid Cost'!E37/12,"")</f>
        <v>482.16666666666669</v>
      </c>
      <c r="F37" s="18">
        <f>IFERROR('Annual Medicaid Cost'!F37/12,"")</f>
        <v>2927</v>
      </c>
      <c r="G37" s="18">
        <f>IFERROR('Annual Medicaid Cost'!G37/12,"")</f>
        <v>2807.0833333333335</v>
      </c>
      <c r="H37" s="18">
        <f>IFERROR('Annual Medicaid Cost'!H37/12,"")</f>
        <v>1163.8333333333333</v>
      </c>
    </row>
    <row r="38" spans="1:8" x14ac:dyDescent="0.3">
      <c r="A38" t="str">
        <f>'Annual Medicaid Cost'!A38</f>
        <v>Ohio</v>
      </c>
      <c r="B38" t="str">
        <f>'Annual Medicaid Cost'!B38</f>
        <v>Low concern</v>
      </c>
      <c r="C38" s="18">
        <f>IFERROR('Annual Medicaid Cost'!C38/12,"")</f>
        <v>711.16666666666663</v>
      </c>
      <c r="D38" s="18">
        <f>IFERROR('Annual Medicaid Cost'!D38/12,"")</f>
        <v>289.16666666666669</v>
      </c>
      <c r="E38" s="18">
        <f>IFERROR('Annual Medicaid Cost'!E38/12,"")</f>
        <v>487.83333333333331</v>
      </c>
      <c r="F38" s="18">
        <f>IFERROR('Annual Medicaid Cost'!F38/12,"")</f>
        <v>1753.25</v>
      </c>
      <c r="G38" s="18">
        <f>IFERROR('Annual Medicaid Cost'!G38/12,"")</f>
        <v>1572.8333333333333</v>
      </c>
      <c r="H38" s="18">
        <f>IFERROR('Annual Medicaid Cost'!H38/12,"")</f>
        <v>621.33333333333337</v>
      </c>
    </row>
    <row r="39" spans="1:8" x14ac:dyDescent="0.3">
      <c r="A39" t="str">
        <f>'Annual Medicaid Cost'!A39</f>
        <v>Oklahoma</v>
      </c>
      <c r="B39" t="str">
        <f>'Annual Medicaid Cost'!B39</f>
        <v>Medium concern</v>
      </c>
      <c r="C39" s="18">
        <f>IFERROR('Annual Medicaid Cost'!C39/12,"")</f>
        <v>639.25</v>
      </c>
      <c r="D39" s="18">
        <f>IFERROR('Annual Medicaid Cost'!D39/12,"")</f>
        <v>348.91666666666669</v>
      </c>
      <c r="E39" s="18">
        <f>IFERROR('Annual Medicaid Cost'!E39/12,"")</f>
        <v>433.08333333333331</v>
      </c>
      <c r="F39" s="18">
        <f>IFERROR('Annual Medicaid Cost'!F39/12,"")</f>
        <v>1322.0833333333333</v>
      </c>
      <c r="G39" s="18">
        <f>IFERROR('Annual Medicaid Cost'!G39/12,"")</f>
        <v>1541.1666666666667</v>
      </c>
      <c r="H39" s="18" t="str">
        <f>IFERROR('Annual Medicaid Cost'!H39/12,"")</f>
        <v/>
      </c>
    </row>
    <row r="40" spans="1:8" x14ac:dyDescent="0.3">
      <c r="A40" t="str">
        <f>'Annual Medicaid Cost'!A40</f>
        <v>Oregon</v>
      </c>
      <c r="B40" t="str">
        <f>'Annual Medicaid Cost'!B40</f>
        <v>High concern</v>
      </c>
      <c r="C40" s="18">
        <f>IFERROR('Annual Medicaid Cost'!C40/12,"")</f>
        <v>815.58333333333337</v>
      </c>
      <c r="D40" s="18">
        <f>IFERROR('Annual Medicaid Cost'!D40/12,"")</f>
        <v>443.83333333333331</v>
      </c>
      <c r="E40" s="18">
        <f>IFERROR('Annual Medicaid Cost'!E40/12,"")</f>
        <v>989.33333333333337</v>
      </c>
      <c r="F40" s="18">
        <f>IFERROR('Annual Medicaid Cost'!F40/12,"")</f>
        <v>1550.8333333333333</v>
      </c>
      <c r="G40" s="18">
        <f>IFERROR('Annual Medicaid Cost'!G40/12,"")</f>
        <v>1556.1666666666667</v>
      </c>
      <c r="H40" s="18">
        <f>IFERROR('Annual Medicaid Cost'!H40/12,"")</f>
        <v>791</v>
      </c>
    </row>
    <row r="41" spans="1:8" x14ac:dyDescent="0.3">
      <c r="A41" t="str">
        <f>'Annual Medicaid Cost'!A41</f>
        <v>Pennsylvania</v>
      </c>
      <c r="B41" t="str">
        <f>'Annual Medicaid Cost'!B41</f>
        <v>High concern</v>
      </c>
      <c r="C41" s="18">
        <f>IFERROR('Annual Medicaid Cost'!C41/12,"")</f>
        <v>1021.75</v>
      </c>
      <c r="D41" s="18">
        <f>IFERROR('Annual Medicaid Cost'!D41/12,"")</f>
        <v>268.5</v>
      </c>
      <c r="E41" s="18">
        <f>IFERROR('Annual Medicaid Cost'!E41/12,"")</f>
        <v>527.75</v>
      </c>
      <c r="F41" s="18">
        <f>IFERROR('Annual Medicaid Cost'!F41/12,"")</f>
        <v>3073.4166666666665</v>
      </c>
      <c r="G41" s="18">
        <f>IFERROR('Annual Medicaid Cost'!G41/12,"")</f>
        <v>2173.25</v>
      </c>
      <c r="H41" s="18">
        <f>IFERROR('Annual Medicaid Cost'!H41/12,"")</f>
        <v>418.41666666666669</v>
      </c>
    </row>
    <row r="42" spans="1:8" x14ac:dyDescent="0.3">
      <c r="A42" t="str">
        <f>'Annual Medicaid Cost'!A42</f>
        <v>Puerto Rico</v>
      </c>
      <c r="B42" t="str">
        <f>'Annual Medicaid Cost'!B42</f>
        <v>High concern</v>
      </c>
      <c r="C42" s="18">
        <f>IFERROR('Annual Medicaid Cost'!C42/12,"")</f>
        <v>178.5</v>
      </c>
      <c r="D42" s="18">
        <f>IFERROR('Annual Medicaid Cost'!D42/12,"")</f>
        <v>120.5</v>
      </c>
      <c r="E42" s="18">
        <f>IFERROR('Annual Medicaid Cost'!E42/12,"")</f>
        <v>191.58333333333334</v>
      </c>
      <c r="F42" s="18">
        <f>IFERROR('Annual Medicaid Cost'!F42/12,"")</f>
        <v>126.33333333333333</v>
      </c>
      <c r="G42" s="18">
        <f>IFERROR('Annual Medicaid Cost'!G42/12,"")</f>
        <v>166.75</v>
      </c>
      <c r="H42" s="18">
        <f>IFERROR('Annual Medicaid Cost'!H42/12,"")</f>
        <v>246.33333333333334</v>
      </c>
    </row>
    <row r="43" spans="1:8" x14ac:dyDescent="0.3">
      <c r="A43" t="str">
        <f>'Annual Medicaid Cost'!A43</f>
        <v>Rhode Island</v>
      </c>
      <c r="B43" t="str">
        <f>'Annual Medicaid Cost'!B43</f>
        <v>High concern</v>
      </c>
      <c r="C43" s="18">
        <f>IFERROR('Annual Medicaid Cost'!C43/12,"")</f>
        <v>1038.0833333333333</v>
      </c>
      <c r="D43" s="18">
        <f>IFERROR('Annual Medicaid Cost'!D43/12,"")</f>
        <v>379.83333333333331</v>
      </c>
      <c r="E43" s="18">
        <f>IFERROR('Annual Medicaid Cost'!E43/12,"")</f>
        <v>649.58333333333337</v>
      </c>
      <c r="F43" s="18">
        <f>IFERROR('Annual Medicaid Cost'!F43/12,"")</f>
        <v>2293.4166666666665</v>
      </c>
      <c r="G43" s="18">
        <f>IFERROR('Annual Medicaid Cost'!G43/12,"")</f>
        <v>1781</v>
      </c>
      <c r="H43" s="18">
        <f>IFERROR('Annual Medicaid Cost'!H43/12,"")</f>
        <v>755.66666666666663</v>
      </c>
    </row>
    <row r="44" spans="1:8" x14ac:dyDescent="0.3">
      <c r="A44" t="str">
        <f>'Annual Medicaid Cost'!A44</f>
        <v>South Carolina</v>
      </c>
      <c r="B44" t="str">
        <f>'Annual Medicaid Cost'!B44</f>
        <v>Low concern</v>
      </c>
      <c r="C44" s="18">
        <f>IFERROR('Annual Medicaid Cost'!C44/12,"")</f>
        <v>419</v>
      </c>
      <c r="D44" s="18">
        <f>IFERROR('Annual Medicaid Cost'!D44/12,"")</f>
        <v>215.58333333333334</v>
      </c>
      <c r="E44" s="18">
        <f>IFERROR('Annual Medicaid Cost'!E44/12,"")</f>
        <v>221.58333333333334</v>
      </c>
      <c r="F44" s="18">
        <f>IFERROR('Annual Medicaid Cost'!F44/12,"")</f>
        <v>983.58333333333337</v>
      </c>
      <c r="G44" s="18">
        <f>IFERROR('Annual Medicaid Cost'!G44/12,"")</f>
        <v>1216.1666666666667</v>
      </c>
      <c r="H44" s="18" t="str">
        <f>IFERROR('Annual Medicaid Cost'!H44/12,"")</f>
        <v/>
      </c>
    </row>
    <row r="45" spans="1:8" x14ac:dyDescent="0.3">
      <c r="A45" t="str">
        <f>'Annual Medicaid Cost'!A45</f>
        <v>South Dakota</v>
      </c>
      <c r="B45" t="str">
        <f>'Annual Medicaid Cost'!B45</f>
        <v>Low concern</v>
      </c>
      <c r="C45" s="18">
        <f>IFERROR('Annual Medicaid Cost'!C45/12,"")</f>
        <v>713.41666666666663</v>
      </c>
      <c r="D45" s="18">
        <f>IFERROR('Annual Medicaid Cost'!D45/12,"")</f>
        <v>271.41666666666669</v>
      </c>
      <c r="E45" s="18">
        <f>IFERROR('Annual Medicaid Cost'!E45/12,"")</f>
        <v>566</v>
      </c>
      <c r="F45" s="18">
        <f>IFERROR('Annual Medicaid Cost'!F45/12,"")</f>
        <v>1497.1666666666667</v>
      </c>
      <c r="G45" s="18">
        <f>IFERROR('Annual Medicaid Cost'!G45/12,"")</f>
        <v>1782.0833333333333</v>
      </c>
      <c r="H45" s="18" t="str">
        <f>IFERROR('Annual Medicaid Cost'!H45/12,"")</f>
        <v/>
      </c>
    </row>
    <row r="46" spans="1:8" x14ac:dyDescent="0.3">
      <c r="A46" t="str">
        <f>'Annual Medicaid Cost'!A46</f>
        <v>Tennessee</v>
      </c>
      <c r="B46" t="str">
        <f>'Annual Medicaid Cost'!B46</f>
        <v>High concern</v>
      </c>
      <c r="C46" s="18">
        <f>IFERROR('Annual Medicaid Cost'!C46/12,"")</f>
        <v>596.16666666666663</v>
      </c>
      <c r="D46" s="18">
        <f>IFERROR('Annual Medicaid Cost'!D46/12,"")</f>
        <v>332.08333333333331</v>
      </c>
      <c r="E46" s="18">
        <f>IFERROR('Annual Medicaid Cost'!E46/12,"")</f>
        <v>402.16666666666669</v>
      </c>
      <c r="F46" s="18">
        <f>IFERROR('Annual Medicaid Cost'!F46/12,"")</f>
        <v>1218.6666666666667</v>
      </c>
      <c r="G46" s="18">
        <f>IFERROR('Annual Medicaid Cost'!G46/12,"")</f>
        <v>1342.0833333333333</v>
      </c>
      <c r="H46" s="18" t="str">
        <f>IFERROR('Annual Medicaid Cost'!H46/12,"")</f>
        <v/>
      </c>
    </row>
    <row r="47" spans="1:8" x14ac:dyDescent="0.3">
      <c r="A47" t="str">
        <f>'Annual Medicaid Cost'!A47</f>
        <v>Texas</v>
      </c>
      <c r="B47" t="str">
        <f>'Annual Medicaid Cost'!B47</f>
        <v>Medium concern</v>
      </c>
      <c r="C47" s="18">
        <f>IFERROR('Annual Medicaid Cost'!C47/12,"")</f>
        <v>757</v>
      </c>
      <c r="D47" s="18">
        <f>IFERROR('Annual Medicaid Cost'!D47/12,"")</f>
        <v>344.75</v>
      </c>
      <c r="E47" s="18">
        <f>IFERROR('Annual Medicaid Cost'!E47/12,"")</f>
        <v>711.33333333333337</v>
      </c>
      <c r="F47" s="18">
        <f>IFERROR('Annual Medicaid Cost'!F47/12,"")</f>
        <v>1366.3333333333333</v>
      </c>
      <c r="G47" s="18">
        <f>IFERROR('Annual Medicaid Cost'!G47/12,"")</f>
        <v>2012.5833333333333</v>
      </c>
      <c r="H47" s="18" t="str">
        <f>IFERROR('Annual Medicaid Cost'!H47/12,"")</f>
        <v/>
      </c>
    </row>
    <row r="48" spans="1:8" x14ac:dyDescent="0.3">
      <c r="A48" t="str">
        <f>'Annual Medicaid Cost'!A48</f>
        <v>Utah</v>
      </c>
      <c r="B48" t="str">
        <f>'Annual Medicaid Cost'!B48</f>
        <v>Low concern</v>
      </c>
      <c r="C48" s="18">
        <f>IFERROR('Annual Medicaid Cost'!C48/12,"")</f>
        <v>860.16666666666663</v>
      </c>
      <c r="D48" s="18">
        <f>IFERROR('Annual Medicaid Cost'!D48/12,"")</f>
        <v>370.5</v>
      </c>
      <c r="E48" s="18">
        <f>IFERROR('Annual Medicaid Cost'!E48/12,"")</f>
        <v>812.16666666666663</v>
      </c>
      <c r="F48" s="18">
        <f>IFERROR('Annual Medicaid Cost'!F48/12,"")</f>
        <v>1562.3333333333333</v>
      </c>
      <c r="G48" s="18">
        <f>IFERROR('Annual Medicaid Cost'!G48/12,"")</f>
        <v>2384.3333333333335</v>
      </c>
      <c r="H48" s="18" t="str">
        <f>IFERROR('Annual Medicaid Cost'!H48/12,"")</f>
        <v/>
      </c>
    </row>
    <row r="49" spans="1:8" x14ac:dyDescent="0.3">
      <c r="A49" t="str">
        <f>'Annual Medicaid Cost'!A49</f>
        <v>Vermont</v>
      </c>
      <c r="B49" t="str">
        <f>'Annual Medicaid Cost'!B49</f>
        <v>High concern</v>
      </c>
      <c r="C49" s="18">
        <f>IFERROR('Annual Medicaid Cost'!C49/12,"")</f>
        <v>810.08333333333337</v>
      </c>
      <c r="D49" s="18">
        <f>IFERROR('Annual Medicaid Cost'!D49/12,"")</f>
        <v>508.58333333333331</v>
      </c>
      <c r="E49" s="18">
        <f>IFERROR('Annual Medicaid Cost'!E49/12,"")</f>
        <v>624.08333333333337</v>
      </c>
      <c r="F49" s="18">
        <f>IFERROR('Annual Medicaid Cost'!F49/12,"")</f>
        <v>1378.75</v>
      </c>
      <c r="G49" s="18">
        <f>IFERROR('Annual Medicaid Cost'!G49/12,"")</f>
        <v>1911.0833333333333</v>
      </c>
      <c r="H49" s="18">
        <f>IFERROR('Annual Medicaid Cost'!H49/12,"")</f>
        <v>555.58333333333337</v>
      </c>
    </row>
    <row r="50" spans="1:8" x14ac:dyDescent="0.3">
      <c r="A50" t="str">
        <f>'Annual Medicaid Cost'!A50</f>
        <v>Virgin Islands</v>
      </c>
      <c r="B50" t="str">
        <f>'Annual Medicaid Cost'!B50</f>
        <v>High concern</v>
      </c>
      <c r="C50" s="18">
        <f>IFERROR('Annual Medicaid Cost'!C50/12,"")</f>
        <v>688.66666666666663</v>
      </c>
      <c r="D50" s="18">
        <f>IFERROR('Annual Medicaid Cost'!D50/12,"")</f>
        <v>306.91666666666669</v>
      </c>
      <c r="E50" s="18">
        <f>IFERROR('Annual Medicaid Cost'!E50/12,"")</f>
        <v>616.83333333333337</v>
      </c>
      <c r="F50" s="18">
        <f>IFERROR('Annual Medicaid Cost'!F50/12,"")</f>
        <v>640.33333333333337</v>
      </c>
      <c r="G50" s="18">
        <f>IFERROR('Annual Medicaid Cost'!G50/12,"")</f>
        <v>1320.4166666666667</v>
      </c>
      <c r="H50" s="18">
        <f>IFERROR('Annual Medicaid Cost'!H50/12,"")</f>
        <v>745.16666666666663</v>
      </c>
    </row>
    <row r="51" spans="1:8" x14ac:dyDescent="0.3">
      <c r="A51" t="str">
        <f>'Annual Medicaid Cost'!A51</f>
        <v>Virginia</v>
      </c>
      <c r="B51" t="str">
        <f>'Annual Medicaid Cost'!B51</f>
        <v>Low concern</v>
      </c>
      <c r="C51" s="18">
        <f>IFERROR('Annual Medicaid Cost'!C51/12,"")</f>
        <v>779.08333333333337</v>
      </c>
      <c r="D51" s="18">
        <f>IFERROR('Annual Medicaid Cost'!D51/12,"")</f>
        <v>303.91666666666669</v>
      </c>
      <c r="E51" s="18">
        <f>IFERROR('Annual Medicaid Cost'!E51/12,"")</f>
        <v>634.83333333333337</v>
      </c>
      <c r="F51" s="18">
        <f>IFERROR('Annual Medicaid Cost'!F51/12,"")</f>
        <v>1609</v>
      </c>
      <c r="G51" s="18">
        <f>IFERROR('Annual Medicaid Cost'!G51/12,"")</f>
        <v>2094.6666666666665</v>
      </c>
      <c r="H51" s="18" t="str">
        <f>IFERROR('Annual Medicaid Cost'!H51/12,"")</f>
        <v/>
      </c>
    </row>
    <row r="52" spans="1:8" x14ac:dyDescent="0.3">
      <c r="A52" t="str">
        <f>'Annual Medicaid Cost'!A52</f>
        <v>Washington</v>
      </c>
      <c r="B52" t="str">
        <f>'Annual Medicaid Cost'!B52</f>
        <v>High concern</v>
      </c>
      <c r="C52" s="18">
        <f>IFERROR('Annual Medicaid Cost'!C52/12,"")</f>
        <v>699.08333333333337</v>
      </c>
      <c r="D52" s="18">
        <f>IFERROR('Annual Medicaid Cost'!D52/12,"")</f>
        <v>268.58333333333331</v>
      </c>
      <c r="E52" s="18">
        <f>IFERROR('Annual Medicaid Cost'!E52/12,"")</f>
        <v>738.91666666666663</v>
      </c>
      <c r="F52" s="18">
        <f>IFERROR('Annual Medicaid Cost'!F52/12,"")</f>
        <v>1768.9166666666667</v>
      </c>
      <c r="G52" s="18">
        <f>IFERROR('Annual Medicaid Cost'!G52/12,"")</f>
        <v>2066.9166666666665</v>
      </c>
      <c r="H52" s="18">
        <f>IFERROR('Annual Medicaid Cost'!H52/12,"")</f>
        <v>620.16666666666663</v>
      </c>
    </row>
    <row r="53" spans="1:8" x14ac:dyDescent="0.3">
      <c r="A53" t="str">
        <f>'Annual Medicaid Cost'!A53</f>
        <v>West Virginia</v>
      </c>
      <c r="B53" t="str">
        <f>'Annual Medicaid Cost'!B53</f>
        <v>Medium concern</v>
      </c>
      <c r="C53" s="18">
        <f>IFERROR('Annual Medicaid Cost'!C53/12,"")</f>
        <v>619</v>
      </c>
      <c r="D53" s="18">
        <f>IFERROR('Annual Medicaid Cost'!D53/12,"")</f>
        <v>255.25</v>
      </c>
      <c r="E53" s="18">
        <f>IFERROR('Annual Medicaid Cost'!E53/12,"")</f>
        <v>475.25</v>
      </c>
      <c r="F53" s="18">
        <f>IFERROR('Annual Medicaid Cost'!F53/12,"")</f>
        <v>1776.3333333333333</v>
      </c>
      <c r="G53" s="18">
        <f>IFERROR('Annual Medicaid Cost'!G53/12,"")</f>
        <v>1159.6666666666667</v>
      </c>
      <c r="H53" s="18">
        <f>IFERROR('Annual Medicaid Cost'!H53/12,"")</f>
        <v>445.33333333333331</v>
      </c>
    </row>
    <row r="54" spans="1:8" x14ac:dyDescent="0.3">
      <c r="A54" t="str">
        <f>'Annual Medicaid Cost'!A54</f>
        <v>Wisconsin</v>
      </c>
      <c r="B54" t="str">
        <f>'Annual Medicaid Cost'!B54</f>
        <v>High concern</v>
      </c>
      <c r="C54" s="18">
        <f>IFERROR('Annual Medicaid Cost'!C54/12,"")</f>
        <v>703</v>
      </c>
      <c r="D54" s="18">
        <f>IFERROR('Annual Medicaid Cost'!D54/12,"")</f>
        <v>291.66666666666669</v>
      </c>
      <c r="E54" s="18">
        <f>IFERROR('Annual Medicaid Cost'!E54/12,"")</f>
        <v>569.83333333333337</v>
      </c>
      <c r="F54" s="18">
        <f>IFERROR('Annual Medicaid Cost'!F54/12,"")</f>
        <v>929.33333333333337</v>
      </c>
      <c r="G54" s="18">
        <f>IFERROR('Annual Medicaid Cost'!G54/12,"")</f>
        <v>1734.8333333333333</v>
      </c>
      <c r="H54" s="18" t="str">
        <f>IFERROR('Annual Medicaid Cost'!H54/12,"")</f>
        <v/>
      </c>
    </row>
    <row r="55" spans="1:8" x14ac:dyDescent="0.3">
      <c r="A55" t="str">
        <f>'Annual Medicaid Cost'!A55</f>
        <v>Wyoming</v>
      </c>
      <c r="B55" t="str">
        <f>'Annual Medicaid Cost'!B55</f>
        <v>Medium concern</v>
      </c>
      <c r="C55" s="18">
        <f>IFERROR('Annual Medicaid Cost'!C55/12,"")</f>
        <v>825.08333333333337</v>
      </c>
      <c r="D55" s="18">
        <f>IFERROR('Annual Medicaid Cost'!D55/12,"")</f>
        <v>328.75</v>
      </c>
      <c r="E55" s="18">
        <f>IFERROR('Annual Medicaid Cost'!E55/12,"")</f>
        <v>652.58333333333337</v>
      </c>
      <c r="F55" s="18">
        <f>IFERROR('Annual Medicaid Cost'!F55/12,"")</f>
        <v>1685.5833333333333</v>
      </c>
      <c r="G55" s="18">
        <f>IFERROR('Annual Medicaid Cost'!G55/12,"")</f>
        <v>1999.25</v>
      </c>
      <c r="H55" s="18" t="str">
        <f>IFERROR('Annual Medicaid Cost'!H55/12,"")</f>
        <v/>
      </c>
    </row>
    <row r="56" spans="1:8" x14ac:dyDescent="0.3">
      <c r="A56" t="str">
        <f>'Annual Medicaid Cost'!A56</f>
        <v>Min</v>
      </c>
      <c r="B56" t="str">
        <f>'Annual Medicaid Cost'!B56</f>
        <v>-</v>
      </c>
      <c r="C56" s="18">
        <f>IFERROR('Annual Medicaid Cost'!C56/12,"")</f>
        <v>178.5</v>
      </c>
      <c r="D56" s="18">
        <f>IFERROR('Annual Medicaid Cost'!D56/12,"")</f>
        <v>120.5</v>
      </c>
      <c r="E56" s="18">
        <f>IFERROR('Annual Medicaid Cost'!E56/12,"")</f>
        <v>129.58333333333334</v>
      </c>
      <c r="F56" s="18">
        <f>IFERROR('Annual Medicaid Cost'!F56/12,"")</f>
        <v>126.33333333333333</v>
      </c>
      <c r="G56" s="18">
        <f>IFERROR('Annual Medicaid Cost'!G56/12,"")</f>
        <v>166.75</v>
      </c>
      <c r="H56" s="18">
        <f>IFERROR('Annual Medicaid Cost'!H56/12,"")</f>
        <v>137.25</v>
      </c>
    </row>
    <row r="57" spans="1:8" x14ac:dyDescent="0.3">
      <c r="A57" t="str">
        <f>'Annual Medicaid Cost'!A57</f>
        <v>Median</v>
      </c>
      <c r="B57" t="str">
        <f>'Annual Medicaid Cost'!B57</f>
        <v>-</v>
      </c>
      <c r="C57" s="18">
        <f>IFERROR('Annual Medicaid Cost'!C57/12,"")</f>
        <v>703</v>
      </c>
      <c r="D57" s="18">
        <f>IFERROR('Annual Medicaid Cost'!D57/12,"")</f>
        <v>296.33333333333331</v>
      </c>
      <c r="E57" s="18">
        <f>IFERROR('Annual Medicaid Cost'!E57/12,"")</f>
        <v>537.58333333333337</v>
      </c>
      <c r="F57" s="18">
        <f>IFERROR('Annual Medicaid Cost'!F57/12,"")</f>
        <v>1550.8333333333333</v>
      </c>
      <c r="G57" s="18">
        <f>IFERROR('Annual Medicaid Cost'!G57/12,"")</f>
        <v>1781</v>
      </c>
      <c r="H57" s="18">
        <f>IFERROR('Annual Medicaid Cost'!H57/12,"")</f>
        <v>559.08333333333337</v>
      </c>
    </row>
    <row r="58" spans="1:8" x14ac:dyDescent="0.3">
      <c r="A58" t="str">
        <f>'Annual Medicaid Cost'!A58</f>
        <v>Max</v>
      </c>
      <c r="B58" t="str">
        <f>'Annual Medicaid Cost'!B58</f>
        <v>-</v>
      </c>
      <c r="C58" s="18">
        <f>IFERROR('Annual Medicaid Cost'!C58/12,"")</f>
        <v>1150.9166666666667</v>
      </c>
      <c r="D58" s="18">
        <f>IFERROR('Annual Medicaid Cost'!D58/12,"")</f>
        <v>508.58333333333331</v>
      </c>
      <c r="E58" s="18">
        <f>IFERROR('Annual Medicaid Cost'!E58/12,"")</f>
        <v>1342.4166666666667</v>
      </c>
      <c r="F58" s="18">
        <f>IFERROR('Annual Medicaid Cost'!F58/12,"")</f>
        <v>3073.4166666666665</v>
      </c>
      <c r="G58" s="18">
        <f>IFERROR('Annual Medicaid Cost'!G58/12,"")</f>
        <v>3597.5833333333335</v>
      </c>
      <c r="H58" s="18">
        <f>IFERROR('Annual Medicaid Cost'!H58/12,"")</f>
        <v>1163.8333333333333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Medicaid Cost</vt:lpstr>
      <vt:lpstr>Monthly Medicaid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Packer</dc:creator>
  <cp:lastModifiedBy>Raymond Packer</cp:lastModifiedBy>
  <dcterms:created xsi:type="dcterms:W3CDTF">2022-03-11T18:44:07Z</dcterms:created>
  <dcterms:modified xsi:type="dcterms:W3CDTF">2022-08-25T16:50:50Z</dcterms:modified>
</cp:coreProperties>
</file>