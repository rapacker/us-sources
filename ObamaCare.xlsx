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Medicaid and CHIP\"/>
    </mc:Choice>
  </mc:AlternateContent>
  <xr:revisionPtr revIDLastSave="0" documentId="8_{49874A4A-A3C5-463C-B14D-148C29E9BF72}" xr6:coauthVersionLast="47" xr6:coauthVersionMax="47" xr10:uidLastSave="{00000000-0000-0000-0000-000000000000}"/>
  <bookViews>
    <workbookView xWindow="630" yWindow="160" windowWidth="16880" windowHeight="9800" activeTab="5" xr2:uid="{00000000-000D-0000-FFFF-FFFF00000000}"/>
  </bookViews>
  <sheets>
    <sheet name="ByCounty" sheetId="1" r:id="rId1"/>
    <sheet name="ByArea" sheetId="7" r:id="rId2"/>
    <sheet name="2014" sheetId="2" r:id="rId3"/>
    <sheet name="2014&amp;2019 Data" sheetId="10" r:id="rId4"/>
    <sheet name="CostAnalysis" sheetId="11" r:id="rId5"/>
    <sheet name="InsurersAnalysis" sheetId="12" r:id="rId6"/>
    <sheet name="2015" sheetId="5" r:id="rId7"/>
    <sheet name="2016(p)" sheetId="9" r:id="rId8"/>
    <sheet name="2015_HIXCOMPARE" sheetId="6" r:id="rId9"/>
    <sheet name="2016_HIXCOMPARE" sheetId="8" r:id="rId10"/>
    <sheet name="Weight" sheetId="3" r:id="rId11"/>
    <sheet name="AgeFactors" sheetId="4" r:id="rId12"/>
  </sheets>
  <definedNames>
    <definedName name="_2016_HIXCOMPAREclean">'2016_HIXCOMPARE'!$B$2:$J$667</definedName>
    <definedName name="_AMO_UniqueIdentifier" hidden="1">"'1c642f2b-b2db-4f5a-a777-68efa8e80c1c'"</definedName>
    <definedName name="_xlnm._FilterDatabase" localSheetId="2" hidden="1">'2014'!$C$2:$J$166</definedName>
    <definedName name="_xlnm._FilterDatabase" localSheetId="6" hidden="1">'2015'!$C$2:$J$166</definedName>
    <definedName name="_xlnm._FilterDatabase" localSheetId="8" hidden="1">'2015_HIXCOMPARE'!#REF!</definedName>
    <definedName name="_xlnm._FilterDatabase" localSheetId="7" hidden="1">'2016(p)'!$C$2:$J$166</definedName>
    <definedName name="_xlnm._FilterDatabase" localSheetId="9" hidden="1">'2016_HIXCOMPARE'!#REF!</definedName>
    <definedName name="AgeFactors">AgeFactors!$D$18:$E$25</definedName>
    <definedName name="AREA">'2014&amp;2019 Data'!$F$3:$F$2233</definedName>
    <definedName name="Carrier">'2014&amp;2019 Data'!$G$3:$G$2233</definedName>
    <definedName name="Metal">'2014&amp;2019 Data'!$I$3:$I$2233</definedName>
    <definedName name="PERMI2C30">'2014&amp;2019 Data'!$N$3:$N$2233</definedName>
    <definedName name="PREMC2CA30">'2014&amp;2019 Data'!$O$3:$O$2233</definedName>
    <definedName name="PREMI27">'2014&amp;2019 Data'!$L$3:$L$2233</definedName>
    <definedName name="PREMI50">'2014&amp;2019 Data'!$M$3:$M$2233</definedName>
    <definedName name="Silverplans" localSheetId="6">'2015'!$A$3:$J$6486</definedName>
    <definedName name="Silverplans" localSheetId="7">'2016(p)'!$A$3:$J$6486</definedName>
    <definedName name="Silverplans">'2014'!$A$3:$J$6486</definedName>
    <definedName name="State">'2014&amp;2019 Data'!$E$3:$E$2233</definedName>
    <definedName name="Weight">Weight!$D$3:$G$504</definedName>
    <definedName name="YEAR">'2014&amp;2019 Data'!$B$3:$B$2233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2" l="1"/>
  <c r="G19" i="12"/>
  <c r="G18" i="12"/>
  <c r="G17" i="12"/>
  <c r="G11" i="12"/>
  <c r="G8" i="12"/>
  <c r="G7" i="12"/>
  <c r="G6" i="12"/>
  <c r="G5" i="12"/>
  <c r="I20" i="1"/>
  <c r="I19" i="1"/>
  <c r="I18" i="1"/>
  <c r="I17" i="1"/>
  <c r="I16" i="1"/>
  <c r="G16" i="12" s="1"/>
  <c r="I15" i="1"/>
  <c r="G15" i="12" s="1"/>
  <c r="I14" i="1"/>
  <c r="G14" i="12" s="1"/>
  <c r="I13" i="1"/>
  <c r="G13" i="12" s="1"/>
  <c r="I12" i="1"/>
  <c r="G12" i="12" s="1"/>
  <c r="I11" i="1"/>
  <c r="I10" i="1"/>
  <c r="G10" i="12" s="1"/>
  <c r="I9" i="1"/>
  <c r="G9" i="12" s="1"/>
  <c r="I8" i="1"/>
  <c r="I7" i="1"/>
  <c r="I6" i="1"/>
  <c r="I5" i="1"/>
  <c r="CN21" i="12"/>
  <c r="CM21" i="12"/>
  <c r="CL21" i="12"/>
  <c r="CK21" i="12"/>
  <c r="CJ21" i="12"/>
  <c r="CH21" i="12"/>
  <c r="CG21" i="12"/>
  <c r="CF21" i="12"/>
  <c r="CE21" i="12"/>
  <c r="CD21" i="12"/>
  <c r="CI21" i="12" s="1"/>
  <c r="M21" i="12" s="1"/>
  <c r="CN20" i="12"/>
  <c r="CM20" i="12"/>
  <c r="CL20" i="12"/>
  <c r="CK20" i="12"/>
  <c r="CJ20" i="12"/>
  <c r="CH20" i="12"/>
  <c r="CG20" i="12"/>
  <c r="CF20" i="12"/>
  <c r="CE20" i="12"/>
  <c r="CD20" i="12"/>
  <c r="CN19" i="12"/>
  <c r="CM19" i="12"/>
  <c r="CL19" i="12"/>
  <c r="CK19" i="12"/>
  <c r="CJ19" i="12"/>
  <c r="CH19" i="12"/>
  <c r="CG19" i="12"/>
  <c r="CF19" i="12"/>
  <c r="CE19" i="12"/>
  <c r="CD19" i="12"/>
  <c r="CN18" i="12"/>
  <c r="CM18" i="12"/>
  <c r="CL18" i="12"/>
  <c r="CK18" i="12"/>
  <c r="CJ18" i="12"/>
  <c r="CH18" i="12"/>
  <c r="CG18" i="12"/>
  <c r="CF18" i="12"/>
  <c r="CE18" i="12"/>
  <c r="CD18" i="12"/>
  <c r="CN17" i="12"/>
  <c r="CM17" i="12"/>
  <c r="CL17" i="12"/>
  <c r="CK17" i="12"/>
  <c r="CJ17" i="12"/>
  <c r="CH17" i="12"/>
  <c r="CG17" i="12"/>
  <c r="CF17" i="12"/>
  <c r="CE17" i="12"/>
  <c r="CD17" i="12"/>
  <c r="CN16" i="12"/>
  <c r="CM16" i="12"/>
  <c r="CL16" i="12"/>
  <c r="CK16" i="12"/>
  <c r="CJ16" i="12"/>
  <c r="CH16" i="12"/>
  <c r="CG16" i="12"/>
  <c r="CF16" i="12"/>
  <c r="CE16" i="12"/>
  <c r="CD16" i="12"/>
  <c r="CN15" i="12"/>
  <c r="CM15" i="12"/>
  <c r="CL15" i="12"/>
  <c r="CK15" i="12"/>
  <c r="CJ15" i="12"/>
  <c r="CH15" i="12"/>
  <c r="CG15" i="12"/>
  <c r="CF15" i="12"/>
  <c r="CE15" i="12"/>
  <c r="CD15" i="12"/>
  <c r="CN14" i="12"/>
  <c r="CM14" i="12"/>
  <c r="CL14" i="12"/>
  <c r="CK14" i="12"/>
  <c r="CJ14" i="12"/>
  <c r="CH14" i="12"/>
  <c r="CG14" i="12"/>
  <c r="CF14" i="12"/>
  <c r="CE14" i="12"/>
  <c r="CD14" i="12"/>
  <c r="CN13" i="12"/>
  <c r="CM13" i="12"/>
  <c r="CL13" i="12"/>
  <c r="CK13" i="12"/>
  <c r="CJ13" i="12"/>
  <c r="CH13" i="12"/>
  <c r="CG13" i="12"/>
  <c r="CF13" i="12"/>
  <c r="CE13" i="12"/>
  <c r="CD13" i="12"/>
  <c r="CN12" i="12"/>
  <c r="CM12" i="12"/>
  <c r="CL12" i="12"/>
  <c r="CK12" i="12"/>
  <c r="CJ12" i="12"/>
  <c r="CH12" i="12"/>
  <c r="CG12" i="12"/>
  <c r="CF12" i="12"/>
  <c r="CE12" i="12"/>
  <c r="CD12" i="12"/>
  <c r="CN11" i="12"/>
  <c r="CM11" i="12"/>
  <c r="CL11" i="12"/>
  <c r="CK11" i="12"/>
  <c r="CJ11" i="12"/>
  <c r="CH11" i="12"/>
  <c r="CG11" i="12"/>
  <c r="CF11" i="12"/>
  <c r="CE11" i="12"/>
  <c r="CD11" i="12"/>
  <c r="CN10" i="12"/>
  <c r="CM10" i="12"/>
  <c r="CL10" i="12"/>
  <c r="CK10" i="12"/>
  <c r="CJ10" i="12"/>
  <c r="CH10" i="12"/>
  <c r="CG10" i="12"/>
  <c r="CF10" i="12"/>
  <c r="CE10" i="12"/>
  <c r="CD10" i="12"/>
  <c r="CN9" i="12"/>
  <c r="CM9" i="12"/>
  <c r="CL9" i="12"/>
  <c r="CK9" i="12"/>
  <c r="CJ9" i="12"/>
  <c r="CH9" i="12"/>
  <c r="CG9" i="12"/>
  <c r="CF9" i="12"/>
  <c r="CE9" i="12"/>
  <c r="CD9" i="12"/>
  <c r="CN8" i="12"/>
  <c r="CM8" i="12"/>
  <c r="CL8" i="12"/>
  <c r="CK8" i="12"/>
  <c r="CJ8" i="12"/>
  <c r="CH8" i="12"/>
  <c r="CG8" i="12"/>
  <c r="CF8" i="12"/>
  <c r="CE8" i="12"/>
  <c r="CD8" i="12"/>
  <c r="CN7" i="12"/>
  <c r="CM7" i="12"/>
  <c r="CL7" i="12"/>
  <c r="CK7" i="12"/>
  <c r="CJ7" i="12"/>
  <c r="CH7" i="12"/>
  <c r="CG7" i="12"/>
  <c r="CF7" i="12"/>
  <c r="CE7" i="12"/>
  <c r="CD7" i="12"/>
  <c r="CN6" i="12"/>
  <c r="CM6" i="12"/>
  <c r="CL6" i="12"/>
  <c r="CK6" i="12"/>
  <c r="CJ6" i="12"/>
  <c r="CH6" i="12"/>
  <c r="CG6" i="12"/>
  <c r="CF6" i="12"/>
  <c r="CE6" i="12"/>
  <c r="CD6" i="12"/>
  <c r="CN5" i="12"/>
  <c r="CM5" i="12"/>
  <c r="CL5" i="12"/>
  <c r="CK5" i="12"/>
  <c r="CJ5" i="12"/>
  <c r="CH5" i="12"/>
  <c r="CG5" i="12"/>
  <c r="CF5" i="12"/>
  <c r="CE5" i="12"/>
  <c r="CD5" i="12"/>
  <c r="CB21" i="12"/>
  <c r="CA21" i="12"/>
  <c r="BZ21" i="12"/>
  <c r="BY21" i="12"/>
  <c r="BX21" i="12"/>
  <c r="BV21" i="12"/>
  <c r="BU21" i="12"/>
  <c r="BT21" i="12"/>
  <c r="BS21" i="12"/>
  <c r="BR21" i="12"/>
  <c r="BW21" i="12" s="1"/>
  <c r="L21" i="12" s="1"/>
  <c r="CB20" i="12"/>
  <c r="CA20" i="12"/>
  <c r="BZ20" i="12"/>
  <c r="BY20" i="12"/>
  <c r="BX20" i="12"/>
  <c r="BV20" i="12"/>
  <c r="BU20" i="12"/>
  <c r="BT20" i="12"/>
  <c r="BS20" i="12"/>
  <c r="BR20" i="12"/>
  <c r="CB19" i="12"/>
  <c r="CA19" i="12"/>
  <c r="BZ19" i="12"/>
  <c r="BY19" i="12"/>
  <c r="BX19" i="12"/>
  <c r="BV19" i="12"/>
  <c r="BU19" i="12"/>
  <c r="BT19" i="12"/>
  <c r="BS19" i="12"/>
  <c r="BR19" i="12"/>
  <c r="CB18" i="12"/>
  <c r="CA18" i="12"/>
  <c r="BZ18" i="12"/>
  <c r="BY18" i="12"/>
  <c r="BX18" i="12"/>
  <c r="BV18" i="12"/>
  <c r="BU18" i="12"/>
  <c r="BT18" i="12"/>
  <c r="BS18" i="12"/>
  <c r="BR18" i="12"/>
  <c r="CB17" i="12"/>
  <c r="CA17" i="12"/>
  <c r="BZ17" i="12"/>
  <c r="BY17" i="12"/>
  <c r="BX17" i="12"/>
  <c r="BV17" i="12"/>
  <c r="BU17" i="12"/>
  <c r="BT17" i="12"/>
  <c r="BS17" i="12"/>
  <c r="BR17" i="12"/>
  <c r="CB16" i="12"/>
  <c r="CA16" i="12"/>
  <c r="BZ16" i="12"/>
  <c r="BY16" i="12"/>
  <c r="BX16" i="12"/>
  <c r="BV16" i="12"/>
  <c r="BU16" i="12"/>
  <c r="BT16" i="12"/>
  <c r="BS16" i="12"/>
  <c r="BR16" i="12"/>
  <c r="CB15" i="12"/>
  <c r="CA15" i="12"/>
  <c r="BZ15" i="12"/>
  <c r="BY15" i="12"/>
  <c r="BX15" i="12"/>
  <c r="BV15" i="12"/>
  <c r="BU15" i="12"/>
  <c r="BT15" i="12"/>
  <c r="BS15" i="12"/>
  <c r="BR15" i="12"/>
  <c r="CB14" i="12"/>
  <c r="CA14" i="12"/>
  <c r="BZ14" i="12"/>
  <c r="BY14" i="12"/>
  <c r="BX14" i="12"/>
  <c r="BV14" i="12"/>
  <c r="BU14" i="12"/>
  <c r="BT14" i="12"/>
  <c r="BS14" i="12"/>
  <c r="BR14" i="12"/>
  <c r="CB13" i="12"/>
  <c r="CA13" i="12"/>
  <c r="BZ13" i="12"/>
  <c r="BY13" i="12"/>
  <c r="BX13" i="12"/>
  <c r="BV13" i="12"/>
  <c r="BU13" i="12"/>
  <c r="BT13" i="12"/>
  <c r="BS13" i="12"/>
  <c r="BR13" i="12"/>
  <c r="CB12" i="12"/>
  <c r="CA12" i="12"/>
  <c r="BZ12" i="12"/>
  <c r="BY12" i="12"/>
  <c r="BX12" i="12"/>
  <c r="BV12" i="12"/>
  <c r="BU12" i="12"/>
  <c r="BT12" i="12"/>
  <c r="BS12" i="12"/>
  <c r="BR12" i="12"/>
  <c r="CB11" i="12"/>
  <c r="CA11" i="12"/>
  <c r="BZ11" i="12"/>
  <c r="BY11" i="12"/>
  <c r="BX11" i="12"/>
  <c r="BV11" i="12"/>
  <c r="BU11" i="12"/>
  <c r="BT11" i="12"/>
  <c r="BS11" i="12"/>
  <c r="BR11" i="12"/>
  <c r="CB10" i="12"/>
  <c r="CA10" i="12"/>
  <c r="BZ10" i="12"/>
  <c r="BY10" i="12"/>
  <c r="BX10" i="12"/>
  <c r="BV10" i="12"/>
  <c r="BU10" i="12"/>
  <c r="BT10" i="12"/>
  <c r="BS10" i="12"/>
  <c r="BR10" i="12"/>
  <c r="CB9" i="12"/>
  <c r="CA9" i="12"/>
  <c r="BZ9" i="12"/>
  <c r="BY9" i="12"/>
  <c r="BX9" i="12"/>
  <c r="BV9" i="12"/>
  <c r="BU9" i="12"/>
  <c r="BT9" i="12"/>
  <c r="BS9" i="12"/>
  <c r="BR9" i="12"/>
  <c r="CB8" i="12"/>
  <c r="CA8" i="12"/>
  <c r="BZ8" i="12"/>
  <c r="BY8" i="12"/>
  <c r="BX8" i="12"/>
  <c r="BV8" i="12"/>
  <c r="BU8" i="12"/>
  <c r="BT8" i="12"/>
  <c r="BS8" i="12"/>
  <c r="BR8" i="12"/>
  <c r="CB7" i="12"/>
  <c r="CA7" i="12"/>
  <c r="BZ7" i="12"/>
  <c r="BY7" i="12"/>
  <c r="BX7" i="12"/>
  <c r="BV7" i="12"/>
  <c r="BU7" i="12"/>
  <c r="BT7" i="12"/>
  <c r="BS7" i="12"/>
  <c r="BR7" i="12"/>
  <c r="CB6" i="12"/>
  <c r="CA6" i="12"/>
  <c r="BZ6" i="12"/>
  <c r="BY6" i="12"/>
  <c r="BX6" i="12"/>
  <c r="BV6" i="12"/>
  <c r="BU6" i="12"/>
  <c r="BT6" i="12"/>
  <c r="BS6" i="12"/>
  <c r="BR6" i="12"/>
  <c r="CB5" i="12"/>
  <c r="CA5" i="12"/>
  <c r="BZ5" i="12"/>
  <c r="BY5" i="12"/>
  <c r="BX5" i="12"/>
  <c r="BV5" i="12"/>
  <c r="BU5" i="12"/>
  <c r="BT5" i="12"/>
  <c r="BS5" i="12"/>
  <c r="BR5" i="12"/>
  <c r="BP21" i="12"/>
  <c r="BO21" i="12"/>
  <c r="BN21" i="12"/>
  <c r="BM21" i="12"/>
  <c r="BL21" i="12"/>
  <c r="BQ21" i="12" s="1"/>
  <c r="Q21" i="12" s="1"/>
  <c r="BJ21" i="12"/>
  <c r="BI21" i="12"/>
  <c r="BH21" i="12"/>
  <c r="BG21" i="12"/>
  <c r="BF21" i="12"/>
  <c r="BP20" i="12"/>
  <c r="BO20" i="12"/>
  <c r="BN20" i="12"/>
  <c r="BM20" i="12"/>
  <c r="BL20" i="12"/>
  <c r="BJ20" i="12"/>
  <c r="BI20" i="12"/>
  <c r="BH20" i="12"/>
  <c r="BG20" i="12"/>
  <c r="BF20" i="12"/>
  <c r="BP19" i="12"/>
  <c r="BO19" i="12"/>
  <c r="BN19" i="12"/>
  <c r="BM19" i="12"/>
  <c r="BL19" i="12"/>
  <c r="BJ19" i="12"/>
  <c r="BI19" i="12"/>
  <c r="BH19" i="12"/>
  <c r="BG19" i="12"/>
  <c r="BF19" i="12"/>
  <c r="BP18" i="12"/>
  <c r="BO18" i="12"/>
  <c r="BN18" i="12"/>
  <c r="BM18" i="12"/>
  <c r="BL18" i="12"/>
  <c r="BJ18" i="12"/>
  <c r="BI18" i="12"/>
  <c r="BH18" i="12"/>
  <c r="BG18" i="12"/>
  <c r="BF18" i="12"/>
  <c r="BP17" i="12"/>
  <c r="BO17" i="12"/>
  <c r="BN17" i="12"/>
  <c r="BM17" i="12"/>
  <c r="BL17" i="12"/>
  <c r="BJ17" i="12"/>
  <c r="BI17" i="12"/>
  <c r="BH17" i="12"/>
  <c r="BG17" i="12"/>
  <c r="BF17" i="12"/>
  <c r="BP16" i="12"/>
  <c r="BO16" i="12"/>
  <c r="BN16" i="12"/>
  <c r="BM16" i="12"/>
  <c r="BL16" i="12"/>
  <c r="BJ16" i="12"/>
  <c r="BI16" i="12"/>
  <c r="BH16" i="12"/>
  <c r="BG16" i="12"/>
  <c r="BF16" i="12"/>
  <c r="BP15" i="12"/>
  <c r="BO15" i="12"/>
  <c r="BN15" i="12"/>
  <c r="BM15" i="12"/>
  <c r="BL15" i="12"/>
  <c r="BJ15" i="12"/>
  <c r="BI15" i="12"/>
  <c r="BH15" i="12"/>
  <c r="BG15" i="12"/>
  <c r="BF15" i="12"/>
  <c r="BP14" i="12"/>
  <c r="BO14" i="12"/>
  <c r="BN14" i="12"/>
  <c r="BM14" i="12"/>
  <c r="BL14" i="12"/>
  <c r="BJ14" i="12"/>
  <c r="BI14" i="12"/>
  <c r="BH14" i="12"/>
  <c r="BG14" i="12"/>
  <c r="BF14" i="12"/>
  <c r="BP13" i="12"/>
  <c r="BO13" i="12"/>
  <c r="BN13" i="12"/>
  <c r="BM13" i="12"/>
  <c r="BL13" i="12"/>
  <c r="BJ13" i="12"/>
  <c r="BI13" i="12"/>
  <c r="BH13" i="12"/>
  <c r="BG13" i="12"/>
  <c r="BF13" i="12"/>
  <c r="BP12" i="12"/>
  <c r="BO12" i="12"/>
  <c r="BN12" i="12"/>
  <c r="BM12" i="12"/>
  <c r="BL12" i="12"/>
  <c r="BJ12" i="12"/>
  <c r="BI12" i="12"/>
  <c r="BH12" i="12"/>
  <c r="BG12" i="12"/>
  <c r="BF12" i="12"/>
  <c r="BP11" i="12"/>
  <c r="BO11" i="12"/>
  <c r="BN11" i="12"/>
  <c r="BM11" i="12"/>
  <c r="BL11" i="12"/>
  <c r="BJ11" i="12"/>
  <c r="BI11" i="12"/>
  <c r="BH11" i="12"/>
  <c r="BG11" i="12"/>
  <c r="BF11" i="12"/>
  <c r="BP10" i="12"/>
  <c r="BO10" i="12"/>
  <c r="BN10" i="12"/>
  <c r="BM10" i="12"/>
  <c r="BL10" i="12"/>
  <c r="BJ10" i="12"/>
  <c r="BI10" i="12"/>
  <c r="BH10" i="12"/>
  <c r="BG10" i="12"/>
  <c r="BF10" i="12"/>
  <c r="BP9" i="12"/>
  <c r="BO9" i="12"/>
  <c r="BN9" i="12"/>
  <c r="BM9" i="12"/>
  <c r="BL9" i="12"/>
  <c r="BJ9" i="12"/>
  <c r="BI9" i="12"/>
  <c r="BH9" i="12"/>
  <c r="BG9" i="12"/>
  <c r="BF9" i="12"/>
  <c r="BP8" i="12"/>
  <c r="BO8" i="12"/>
  <c r="BN8" i="12"/>
  <c r="BM8" i="12"/>
  <c r="BL8" i="12"/>
  <c r="BJ8" i="12"/>
  <c r="BI8" i="12"/>
  <c r="BH8" i="12"/>
  <c r="BG8" i="12"/>
  <c r="BF8" i="12"/>
  <c r="BP7" i="12"/>
  <c r="BO7" i="12"/>
  <c r="BN7" i="12"/>
  <c r="BM7" i="12"/>
  <c r="BL7" i="12"/>
  <c r="BJ7" i="12"/>
  <c r="BI7" i="12"/>
  <c r="BH7" i="12"/>
  <c r="BG7" i="12"/>
  <c r="BF7" i="12"/>
  <c r="BP6" i="12"/>
  <c r="BO6" i="12"/>
  <c r="BN6" i="12"/>
  <c r="BM6" i="12"/>
  <c r="BL6" i="12"/>
  <c r="BJ6" i="12"/>
  <c r="BI6" i="12"/>
  <c r="BH6" i="12"/>
  <c r="BG6" i="12"/>
  <c r="BF6" i="12"/>
  <c r="BP5" i="12"/>
  <c r="BO5" i="12"/>
  <c r="BN5" i="12"/>
  <c r="BM5" i="12"/>
  <c r="BL5" i="12"/>
  <c r="BJ5" i="12"/>
  <c r="BI5" i="12"/>
  <c r="BH5" i="12"/>
  <c r="BG5" i="12"/>
  <c r="BF5" i="12"/>
  <c r="BD21" i="12"/>
  <c r="BC21" i="12"/>
  <c r="BB21" i="12"/>
  <c r="BA21" i="12"/>
  <c r="AZ21" i="12"/>
  <c r="AX21" i="12"/>
  <c r="AW21" i="12"/>
  <c r="AV21" i="12"/>
  <c r="AU21" i="12"/>
  <c r="AT21" i="12"/>
  <c r="AY21" i="12" s="1"/>
  <c r="J21" i="12" s="1"/>
  <c r="BD20" i="12"/>
  <c r="BC20" i="12"/>
  <c r="BB20" i="12"/>
  <c r="BA20" i="12"/>
  <c r="AZ20" i="12"/>
  <c r="AX20" i="12"/>
  <c r="AW20" i="12"/>
  <c r="AV20" i="12"/>
  <c r="AU20" i="12"/>
  <c r="AT20" i="12"/>
  <c r="BD19" i="12"/>
  <c r="BC19" i="12"/>
  <c r="BB19" i="12"/>
  <c r="BA19" i="12"/>
  <c r="AZ19" i="12"/>
  <c r="AX19" i="12"/>
  <c r="AW19" i="12"/>
  <c r="AV19" i="12"/>
  <c r="AU19" i="12"/>
  <c r="AT19" i="12"/>
  <c r="BD18" i="12"/>
  <c r="BC18" i="12"/>
  <c r="BB18" i="12"/>
  <c r="BA18" i="12"/>
  <c r="AZ18" i="12"/>
  <c r="AX18" i="12"/>
  <c r="AW18" i="12"/>
  <c r="AV18" i="12"/>
  <c r="AU18" i="12"/>
  <c r="AT18" i="12"/>
  <c r="BD17" i="12"/>
  <c r="BC17" i="12"/>
  <c r="BB17" i="12"/>
  <c r="BA17" i="12"/>
  <c r="AZ17" i="12"/>
  <c r="AX17" i="12"/>
  <c r="AW17" i="12"/>
  <c r="AV17" i="12"/>
  <c r="AU17" i="12"/>
  <c r="AT17" i="12"/>
  <c r="BD16" i="12"/>
  <c r="BC16" i="12"/>
  <c r="BB16" i="12"/>
  <c r="BA16" i="12"/>
  <c r="AZ16" i="12"/>
  <c r="AX16" i="12"/>
  <c r="AW16" i="12"/>
  <c r="AV16" i="12"/>
  <c r="AU16" i="12"/>
  <c r="AT16" i="12"/>
  <c r="BD15" i="12"/>
  <c r="BC15" i="12"/>
  <c r="BB15" i="12"/>
  <c r="BA15" i="12"/>
  <c r="AZ15" i="12"/>
  <c r="AX15" i="12"/>
  <c r="AW15" i="12"/>
  <c r="AV15" i="12"/>
  <c r="AU15" i="12"/>
  <c r="AT15" i="12"/>
  <c r="BD14" i="12"/>
  <c r="BC14" i="12"/>
  <c r="BB14" i="12"/>
  <c r="BA14" i="12"/>
  <c r="AZ14" i="12"/>
  <c r="AX14" i="12"/>
  <c r="AW14" i="12"/>
  <c r="AV14" i="12"/>
  <c r="AU14" i="12"/>
  <c r="AT14" i="12"/>
  <c r="BD13" i="12"/>
  <c r="BC13" i="12"/>
  <c r="BB13" i="12"/>
  <c r="BA13" i="12"/>
  <c r="AZ13" i="12"/>
  <c r="AX13" i="12"/>
  <c r="AW13" i="12"/>
  <c r="AV13" i="12"/>
  <c r="AU13" i="12"/>
  <c r="AT13" i="12"/>
  <c r="BD12" i="12"/>
  <c r="BC12" i="12"/>
  <c r="BB12" i="12"/>
  <c r="BA12" i="12"/>
  <c r="AZ12" i="12"/>
  <c r="AX12" i="12"/>
  <c r="AW12" i="12"/>
  <c r="AV12" i="12"/>
  <c r="AU12" i="12"/>
  <c r="AT12" i="12"/>
  <c r="BD11" i="12"/>
  <c r="BC11" i="12"/>
  <c r="BB11" i="12"/>
  <c r="BA11" i="12"/>
  <c r="AZ11" i="12"/>
  <c r="AX11" i="12"/>
  <c r="AW11" i="12"/>
  <c r="AV11" i="12"/>
  <c r="AU11" i="12"/>
  <c r="AT11" i="12"/>
  <c r="BD10" i="12"/>
  <c r="BC10" i="12"/>
  <c r="BB10" i="12"/>
  <c r="BA10" i="12"/>
  <c r="AZ10" i="12"/>
  <c r="AX10" i="12"/>
  <c r="AW10" i="12"/>
  <c r="AV10" i="12"/>
  <c r="AU10" i="12"/>
  <c r="AT10" i="12"/>
  <c r="BD9" i="12"/>
  <c r="BC9" i="12"/>
  <c r="BB9" i="12"/>
  <c r="BA9" i="12"/>
  <c r="AZ9" i="12"/>
  <c r="AX9" i="12"/>
  <c r="AW9" i="12"/>
  <c r="AV9" i="12"/>
  <c r="AU9" i="12"/>
  <c r="AT9" i="12"/>
  <c r="BD8" i="12"/>
  <c r="BC8" i="12"/>
  <c r="BB8" i="12"/>
  <c r="BA8" i="12"/>
  <c r="AZ8" i="12"/>
  <c r="AX8" i="12"/>
  <c r="AW8" i="12"/>
  <c r="AV8" i="12"/>
  <c r="AU8" i="12"/>
  <c r="AT8" i="12"/>
  <c r="BD7" i="12"/>
  <c r="BC7" i="12"/>
  <c r="BB7" i="12"/>
  <c r="BA7" i="12"/>
  <c r="AZ7" i="12"/>
  <c r="AX7" i="12"/>
  <c r="AW7" i="12"/>
  <c r="AV7" i="12"/>
  <c r="AU7" i="12"/>
  <c r="AT7" i="12"/>
  <c r="BD6" i="12"/>
  <c r="BC6" i="12"/>
  <c r="BB6" i="12"/>
  <c r="BA6" i="12"/>
  <c r="AZ6" i="12"/>
  <c r="AX6" i="12"/>
  <c r="AW6" i="12"/>
  <c r="AV6" i="12"/>
  <c r="AU6" i="12"/>
  <c r="AT6" i="12"/>
  <c r="BD5" i="12"/>
  <c r="BC5" i="12"/>
  <c r="BB5" i="12"/>
  <c r="BA5" i="12"/>
  <c r="AZ5" i="12"/>
  <c r="AX5" i="12"/>
  <c r="AW5" i="12"/>
  <c r="AV5" i="12"/>
  <c r="AU5" i="12"/>
  <c r="AT5" i="12"/>
  <c r="AR21" i="12"/>
  <c r="AQ21" i="12"/>
  <c r="AP21" i="12"/>
  <c r="AO21" i="12"/>
  <c r="AN21" i="12"/>
  <c r="AR20" i="12"/>
  <c r="AQ20" i="12"/>
  <c r="AP20" i="12"/>
  <c r="AO20" i="12"/>
  <c r="AN20" i="12"/>
  <c r="AR19" i="12"/>
  <c r="AQ19" i="12"/>
  <c r="AP19" i="12"/>
  <c r="AO19" i="12"/>
  <c r="AN19" i="12"/>
  <c r="AR18" i="12"/>
  <c r="AQ18" i="12"/>
  <c r="AP18" i="12"/>
  <c r="AO18" i="12"/>
  <c r="AN18" i="12"/>
  <c r="AR17" i="12"/>
  <c r="AQ17" i="12"/>
  <c r="AP17" i="12"/>
  <c r="AO17" i="12"/>
  <c r="AN17" i="12"/>
  <c r="AR16" i="12"/>
  <c r="AQ16" i="12"/>
  <c r="AP16" i="12"/>
  <c r="AO16" i="12"/>
  <c r="AN16" i="12"/>
  <c r="AR15" i="12"/>
  <c r="AQ15" i="12"/>
  <c r="AP15" i="12"/>
  <c r="AO15" i="12"/>
  <c r="AN15" i="12"/>
  <c r="AR14" i="12"/>
  <c r="AQ14" i="12"/>
  <c r="AP14" i="12"/>
  <c r="AO14" i="12"/>
  <c r="AN14" i="12"/>
  <c r="AR13" i="12"/>
  <c r="AQ13" i="12"/>
  <c r="AP13" i="12"/>
  <c r="AO13" i="12"/>
  <c r="AN13" i="12"/>
  <c r="AR12" i="12"/>
  <c r="AQ12" i="12"/>
  <c r="AP12" i="12"/>
  <c r="AO12" i="12"/>
  <c r="AN12" i="12"/>
  <c r="AR11" i="12"/>
  <c r="AQ11" i="12"/>
  <c r="AP11" i="12"/>
  <c r="AO11" i="12"/>
  <c r="AN11" i="12"/>
  <c r="AR10" i="12"/>
  <c r="AQ10" i="12"/>
  <c r="AP10" i="12"/>
  <c r="AO10" i="12"/>
  <c r="AN10" i="12"/>
  <c r="AR9" i="12"/>
  <c r="AQ9" i="12"/>
  <c r="AP9" i="12"/>
  <c r="AO9" i="12"/>
  <c r="AN9" i="12"/>
  <c r="AR8" i="12"/>
  <c r="AQ8" i="12"/>
  <c r="AP8" i="12"/>
  <c r="AO8" i="12"/>
  <c r="AN8" i="12"/>
  <c r="AR7" i="12"/>
  <c r="AQ7" i="12"/>
  <c r="AP7" i="12"/>
  <c r="AO7" i="12"/>
  <c r="AN7" i="12"/>
  <c r="AR6" i="12"/>
  <c r="AQ6" i="12"/>
  <c r="AP6" i="12"/>
  <c r="AO6" i="12"/>
  <c r="AN6" i="12"/>
  <c r="AR5" i="12"/>
  <c r="AQ5" i="12"/>
  <c r="AP5" i="12"/>
  <c r="AO5" i="12"/>
  <c r="AN5" i="12"/>
  <c r="AL21" i="12"/>
  <c r="AK21" i="12"/>
  <c r="AJ21" i="12"/>
  <c r="AI21" i="12"/>
  <c r="AH21" i="12"/>
  <c r="AL20" i="12"/>
  <c r="AK20" i="12"/>
  <c r="AJ20" i="12"/>
  <c r="AI20" i="12"/>
  <c r="AH20" i="12"/>
  <c r="AL19" i="12"/>
  <c r="AK19" i="12"/>
  <c r="AJ19" i="12"/>
  <c r="AI19" i="12"/>
  <c r="AH19" i="12"/>
  <c r="AL18" i="12"/>
  <c r="AK18" i="12"/>
  <c r="AJ18" i="12"/>
  <c r="AI18" i="12"/>
  <c r="AH18" i="12"/>
  <c r="AL17" i="12"/>
  <c r="AK17" i="12"/>
  <c r="AJ17" i="12"/>
  <c r="AI17" i="12"/>
  <c r="AH17" i="12"/>
  <c r="AL16" i="12"/>
  <c r="AK16" i="12"/>
  <c r="AJ16" i="12"/>
  <c r="AI16" i="12"/>
  <c r="AH16" i="12"/>
  <c r="AL15" i="12"/>
  <c r="AK15" i="12"/>
  <c r="AJ15" i="12"/>
  <c r="AI15" i="12"/>
  <c r="AH15" i="12"/>
  <c r="AL14" i="12"/>
  <c r="AK14" i="12"/>
  <c r="AJ14" i="12"/>
  <c r="AI14" i="12"/>
  <c r="AH14" i="12"/>
  <c r="AL13" i="12"/>
  <c r="AK13" i="12"/>
  <c r="AJ13" i="12"/>
  <c r="AI13" i="12"/>
  <c r="AH13" i="12"/>
  <c r="AL12" i="12"/>
  <c r="AK12" i="12"/>
  <c r="AJ12" i="12"/>
  <c r="AI12" i="12"/>
  <c r="AH12" i="12"/>
  <c r="AL11" i="12"/>
  <c r="AK11" i="12"/>
  <c r="AJ11" i="12"/>
  <c r="AI11" i="12"/>
  <c r="AH11" i="12"/>
  <c r="AL10" i="12"/>
  <c r="AK10" i="12"/>
  <c r="AJ10" i="12"/>
  <c r="AI10" i="12"/>
  <c r="AH10" i="12"/>
  <c r="AL9" i="12"/>
  <c r="AK9" i="12"/>
  <c r="AJ9" i="12"/>
  <c r="AI9" i="12"/>
  <c r="AH9" i="12"/>
  <c r="AL8" i="12"/>
  <c r="AK8" i="12"/>
  <c r="AJ8" i="12"/>
  <c r="AI8" i="12"/>
  <c r="AH8" i="12"/>
  <c r="AL7" i="12"/>
  <c r="AK7" i="12"/>
  <c r="AJ7" i="12"/>
  <c r="AI7" i="12"/>
  <c r="AH7" i="12"/>
  <c r="AL6" i="12"/>
  <c r="AK6" i="12"/>
  <c r="AJ6" i="12"/>
  <c r="AI6" i="12"/>
  <c r="AH6" i="12"/>
  <c r="AL5" i="12"/>
  <c r="AK5" i="12"/>
  <c r="AJ5" i="12"/>
  <c r="AI5" i="12"/>
  <c r="AH5" i="12"/>
  <c r="AF21" i="12"/>
  <c r="AE21" i="12"/>
  <c r="AD21" i="12"/>
  <c r="AC21" i="12"/>
  <c r="AB21" i="12"/>
  <c r="Z21" i="12"/>
  <c r="Y21" i="12"/>
  <c r="X21" i="12"/>
  <c r="W21" i="12"/>
  <c r="V21" i="12"/>
  <c r="AF20" i="12"/>
  <c r="AE20" i="12"/>
  <c r="AD20" i="12"/>
  <c r="AC20" i="12"/>
  <c r="AB20" i="12"/>
  <c r="AF19" i="12"/>
  <c r="AE19" i="12"/>
  <c r="AD19" i="12"/>
  <c r="AC19" i="12"/>
  <c r="AB19" i="12"/>
  <c r="AF18" i="12"/>
  <c r="AE18" i="12"/>
  <c r="AD18" i="12"/>
  <c r="AC18" i="12"/>
  <c r="AB18" i="12"/>
  <c r="AF17" i="12"/>
  <c r="AE17" i="12"/>
  <c r="AD17" i="12"/>
  <c r="AC17" i="12"/>
  <c r="AB17" i="12"/>
  <c r="AF16" i="12"/>
  <c r="AE16" i="12"/>
  <c r="AD16" i="12"/>
  <c r="AC16" i="12"/>
  <c r="AB16" i="12"/>
  <c r="AF15" i="12"/>
  <c r="AE15" i="12"/>
  <c r="AD15" i="12"/>
  <c r="AC15" i="12"/>
  <c r="AB15" i="12"/>
  <c r="AF14" i="12"/>
  <c r="AE14" i="12"/>
  <c r="AD14" i="12"/>
  <c r="AC14" i="12"/>
  <c r="AB14" i="12"/>
  <c r="AF13" i="12"/>
  <c r="AE13" i="12"/>
  <c r="AD13" i="12"/>
  <c r="AC13" i="12"/>
  <c r="AB13" i="12"/>
  <c r="AF12" i="12"/>
  <c r="AE12" i="12"/>
  <c r="AD12" i="12"/>
  <c r="AC12" i="12"/>
  <c r="AB12" i="12"/>
  <c r="AF11" i="12"/>
  <c r="AE11" i="12"/>
  <c r="AD11" i="12"/>
  <c r="AC11" i="12"/>
  <c r="AB11" i="12"/>
  <c r="AF10" i="12"/>
  <c r="AE10" i="12"/>
  <c r="AD10" i="12"/>
  <c r="AC10" i="12"/>
  <c r="AB10" i="12"/>
  <c r="AF9" i="12"/>
  <c r="AE9" i="12"/>
  <c r="AD9" i="12"/>
  <c r="AC9" i="12"/>
  <c r="AB9" i="12"/>
  <c r="AF8" i="12"/>
  <c r="AE8" i="12"/>
  <c r="AD8" i="12"/>
  <c r="AC8" i="12"/>
  <c r="AB8" i="12"/>
  <c r="AF7" i="12"/>
  <c r="AE7" i="12"/>
  <c r="AD7" i="12"/>
  <c r="AC7" i="12"/>
  <c r="AB7" i="12"/>
  <c r="AF6" i="12"/>
  <c r="AE6" i="12"/>
  <c r="AD6" i="12"/>
  <c r="AC6" i="12"/>
  <c r="AB6" i="12"/>
  <c r="AF5" i="12"/>
  <c r="AE5" i="12"/>
  <c r="AD5" i="12"/>
  <c r="AC5" i="12"/>
  <c r="AB5" i="12"/>
  <c r="Z20" i="12"/>
  <c r="Y20" i="12"/>
  <c r="X20" i="12"/>
  <c r="W20" i="12"/>
  <c r="V20" i="12"/>
  <c r="Z19" i="12"/>
  <c r="Y19" i="12"/>
  <c r="X19" i="12"/>
  <c r="W19" i="12"/>
  <c r="V19" i="12"/>
  <c r="Z18" i="12"/>
  <c r="Y18" i="12"/>
  <c r="X18" i="12"/>
  <c r="W18" i="12"/>
  <c r="V18" i="12"/>
  <c r="Z17" i="12"/>
  <c r="Y17" i="12"/>
  <c r="X17" i="12"/>
  <c r="W17" i="12"/>
  <c r="V17" i="12"/>
  <c r="Z16" i="12"/>
  <c r="Y16" i="12"/>
  <c r="X16" i="12"/>
  <c r="W16" i="12"/>
  <c r="V16" i="12"/>
  <c r="Z15" i="12"/>
  <c r="Y15" i="12"/>
  <c r="X15" i="12"/>
  <c r="W15" i="12"/>
  <c r="V15" i="12"/>
  <c r="Z14" i="12"/>
  <c r="Y14" i="12"/>
  <c r="X14" i="12"/>
  <c r="W14" i="12"/>
  <c r="V14" i="12"/>
  <c r="Z13" i="12"/>
  <c r="Y13" i="12"/>
  <c r="X13" i="12"/>
  <c r="W13" i="12"/>
  <c r="V13" i="12"/>
  <c r="Z12" i="12"/>
  <c r="Y12" i="12"/>
  <c r="X12" i="12"/>
  <c r="W12" i="12"/>
  <c r="V12" i="12"/>
  <c r="Z11" i="12"/>
  <c r="Y11" i="12"/>
  <c r="X11" i="12"/>
  <c r="W11" i="12"/>
  <c r="V11" i="12"/>
  <c r="Z10" i="12"/>
  <c r="Y10" i="12"/>
  <c r="X10" i="12"/>
  <c r="W10" i="12"/>
  <c r="V10" i="12"/>
  <c r="Z9" i="12"/>
  <c r="Y9" i="12"/>
  <c r="X9" i="12"/>
  <c r="W9" i="12"/>
  <c r="V9" i="12"/>
  <c r="Z8" i="12"/>
  <c r="Y8" i="12"/>
  <c r="X8" i="12"/>
  <c r="W8" i="12"/>
  <c r="V8" i="12"/>
  <c r="Z7" i="12"/>
  <c r="Y7" i="12"/>
  <c r="X7" i="12"/>
  <c r="W7" i="12"/>
  <c r="V7" i="12"/>
  <c r="Z6" i="12"/>
  <c r="Y6" i="12"/>
  <c r="X6" i="12"/>
  <c r="W6" i="12"/>
  <c r="V6" i="12"/>
  <c r="Z5" i="12"/>
  <c r="Y5" i="12"/>
  <c r="X5" i="12"/>
  <c r="W5" i="12"/>
  <c r="V5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G21" i="12" l="1"/>
  <c r="BE21" i="12"/>
  <c r="P21" i="12" s="1"/>
  <c r="AA21" i="12"/>
  <c r="N21" i="12" s="1"/>
  <c r="CC21" i="12"/>
  <c r="R21" i="12" s="1"/>
  <c r="CO21" i="12"/>
  <c r="S21" i="12" s="1"/>
  <c r="AG21" i="12"/>
  <c r="T21" i="12" s="1"/>
  <c r="AM21" i="12"/>
  <c r="I21" i="12" s="1"/>
  <c r="BK21" i="12"/>
  <c r="K21" i="12" s="1"/>
  <c r="AS21" i="12"/>
  <c r="O21" i="12" s="1"/>
  <c r="AS5" i="12"/>
  <c r="O5" i="12" s="1"/>
  <c r="BE8" i="12"/>
  <c r="P8" i="12" s="1"/>
  <c r="BE12" i="12"/>
  <c r="P12" i="12" s="1"/>
  <c r="BE16" i="12"/>
  <c r="P16" i="12" s="1"/>
  <c r="BE20" i="12"/>
  <c r="P20" i="12" s="1"/>
  <c r="AA11" i="12"/>
  <c r="N11" i="12" s="1"/>
  <c r="AA19" i="12"/>
  <c r="N19" i="12" s="1"/>
  <c r="AG11" i="12"/>
  <c r="T11" i="12" s="1"/>
  <c r="AG19" i="12"/>
  <c r="T19" i="12" s="1"/>
  <c r="AM10" i="12"/>
  <c r="I10" i="12" s="1"/>
  <c r="AM18" i="12"/>
  <c r="I18" i="12" s="1"/>
  <c r="BW19" i="12"/>
  <c r="L19" i="12" s="1"/>
  <c r="CI6" i="12"/>
  <c r="M6" i="12" s="1"/>
  <c r="CI10" i="12"/>
  <c r="M10" i="12" s="1"/>
  <c r="CI14" i="12"/>
  <c r="M14" i="12" s="1"/>
  <c r="CI18" i="12"/>
  <c r="M18" i="12" s="1"/>
  <c r="AA10" i="12"/>
  <c r="N10" i="12" s="1"/>
  <c r="AA18" i="12"/>
  <c r="N18" i="12" s="1"/>
  <c r="AG10" i="12"/>
  <c r="T10" i="12" s="1"/>
  <c r="AA8" i="12"/>
  <c r="N8" i="12" s="1"/>
  <c r="AA16" i="12"/>
  <c r="N16" i="12" s="1"/>
  <c r="AG8" i="12"/>
  <c r="T8" i="12" s="1"/>
  <c r="AG16" i="12"/>
  <c r="T16" i="12" s="1"/>
  <c r="AA5" i="12"/>
  <c r="N5" i="12" s="1"/>
  <c r="AA13" i="12"/>
  <c r="N13" i="12" s="1"/>
  <c r="AG5" i="12"/>
  <c r="T5" i="12" s="1"/>
  <c r="AG13" i="12"/>
  <c r="T13" i="12" s="1"/>
  <c r="CI7" i="12"/>
  <c r="M7" i="12" s="1"/>
  <c r="CI11" i="12"/>
  <c r="M11" i="12" s="1"/>
  <c r="CI15" i="12"/>
  <c r="M15" i="12" s="1"/>
  <c r="CI19" i="12"/>
  <c r="M19" i="12" s="1"/>
  <c r="AM12" i="12"/>
  <c r="I12" i="12" s="1"/>
  <c r="AM20" i="12"/>
  <c r="I20" i="12" s="1"/>
  <c r="AS10" i="12"/>
  <c r="O10" i="12" s="1"/>
  <c r="AS13" i="12"/>
  <c r="O13" i="12" s="1"/>
  <c r="AA12" i="12"/>
  <c r="N12" i="12" s="1"/>
  <c r="AA20" i="12"/>
  <c r="N20" i="12" s="1"/>
  <c r="AG12" i="12"/>
  <c r="T12" i="12" s="1"/>
  <c r="AG20" i="12"/>
  <c r="T20" i="12" s="1"/>
  <c r="AS7" i="12"/>
  <c r="O7" i="12" s="1"/>
  <c r="AA7" i="12"/>
  <c r="N7" i="12" s="1"/>
  <c r="AA9" i="12"/>
  <c r="N9" i="12" s="1"/>
  <c r="AA15" i="12"/>
  <c r="N15" i="12" s="1"/>
  <c r="AA17" i="12"/>
  <c r="N17" i="12" s="1"/>
  <c r="AG7" i="12"/>
  <c r="T7" i="12" s="1"/>
  <c r="AG9" i="12"/>
  <c r="T9" i="12" s="1"/>
  <c r="AG15" i="12"/>
  <c r="T15" i="12" s="1"/>
  <c r="AG17" i="12"/>
  <c r="T17" i="12" s="1"/>
  <c r="AG18" i="12"/>
  <c r="T18" i="12" s="1"/>
  <c r="AM8" i="12"/>
  <c r="I8" i="12" s="1"/>
  <c r="AM13" i="12"/>
  <c r="I13" i="12" s="1"/>
  <c r="AM16" i="12"/>
  <c r="I16" i="12" s="1"/>
  <c r="AA6" i="12"/>
  <c r="N6" i="12" s="1"/>
  <c r="AA14" i="12"/>
  <c r="N14" i="12" s="1"/>
  <c r="AG6" i="12"/>
  <c r="T6" i="12" s="1"/>
  <c r="AG14" i="12"/>
  <c r="T14" i="12" s="1"/>
  <c r="AS9" i="12"/>
  <c r="O9" i="12" s="1"/>
  <c r="AS17" i="12"/>
  <c r="O17" i="12" s="1"/>
  <c r="AS16" i="12"/>
  <c r="O16" i="12" s="1"/>
  <c r="AS19" i="12"/>
  <c r="O19" i="12" s="1"/>
  <c r="BE7" i="12"/>
  <c r="P7" i="12" s="1"/>
  <c r="BE11" i="12"/>
  <c r="P11" i="12" s="1"/>
  <c r="CC5" i="12"/>
  <c r="R5" i="12" s="1"/>
  <c r="CC9" i="12"/>
  <c r="R9" i="12" s="1"/>
  <c r="CC13" i="12"/>
  <c r="R13" i="12" s="1"/>
  <c r="CC17" i="12"/>
  <c r="R17" i="12" s="1"/>
  <c r="AM6" i="12"/>
  <c r="I6" i="12" s="1"/>
  <c r="AM11" i="12"/>
  <c r="I11" i="12" s="1"/>
  <c r="AM14" i="12"/>
  <c r="I14" i="12" s="1"/>
  <c r="AM17" i="12"/>
  <c r="I17" i="12" s="1"/>
  <c r="AM19" i="12"/>
  <c r="I19" i="12" s="1"/>
  <c r="AY6" i="12"/>
  <c r="J6" i="12" s="1"/>
  <c r="AY10" i="12"/>
  <c r="J10" i="12" s="1"/>
  <c r="AY14" i="12"/>
  <c r="J14" i="12" s="1"/>
  <c r="AY18" i="12"/>
  <c r="J18" i="12" s="1"/>
  <c r="BQ5" i="12"/>
  <c r="Q5" i="12" s="1"/>
  <c r="BQ9" i="12"/>
  <c r="Q9" i="12" s="1"/>
  <c r="CO9" i="12"/>
  <c r="S9" i="12" s="1"/>
  <c r="CO13" i="12"/>
  <c r="S13" i="12" s="1"/>
  <c r="AM7" i="12"/>
  <c r="I7" i="12" s="1"/>
  <c r="AM15" i="12"/>
  <c r="I15" i="12" s="1"/>
  <c r="AS12" i="12"/>
  <c r="O12" i="12" s="1"/>
  <c r="AS15" i="12"/>
  <c r="O15" i="12" s="1"/>
  <c r="AS18" i="12"/>
  <c r="O18" i="12" s="1"/>
  <c r="AY7" i="12"/>
  <c r="J7" i="12" s="1"/>
  <c r="AY11" i="12"/>
  <c r="J11" i="12" s="1"/>
  <c r="AY15" i="12"/>
  <c r="J15" i="12" s="1"/>
  <c r="AY19" i="12"/>
  <c r="J19" i="12" s="1"/>
  <c r="BK6" i="12"/>
  <c r="K6" i="12" s="1"/>
  <c r="BK10" i="12"/>
  <c r="K10" i="12" s="1"/>
  <c r="BK14" i="12"/>
  <c r="K14" i="12" s="1"/>
  <c r="BK18" i="12"/>
  <c r="K18" i="12" s="1"/>
  <c r="AS6" i="12"/>
  <c r="O6" i="12" s="1"/>
  <c r="AM9" i="12"/>
  <c r="I9" i="12" s="1"/>
  <c r="AS20" i="12"/>
  <c r="O20" i="12" s="1"/>
  <c r="BK7" i="12"/>
  <c r="K7" i="12" s="1"/>
  <c r="BK11" i="12"/>
  <c r="K11" i="12" s="1"/>
  <c r="BK15" i="12"/>
  <c r="K15" i="12" s="1"/>
  <c r="BK19" i="12"/>
  <c r="K19" i="12" s="1"/>
  <c r="BW6" i="12"/>
  <c r="L6" i="12" s="1"/>
  <c r="BW10" i="12"/>
  <c r="L10" i="12" s="1"/>
  <c r="BW13" i="12"/>
  <c r="L13" i="12" s="1"/>
  <c r="BW14" i="12"/>
  <c r="L14" i="12" s="1"/>
  <c r="BW17" i="12"/>
  <c r="L17" i="12" s="1"/>
  <c r="BW18" i="12"/>
  <c r="L18" i="12" s="1"/>
  <c r="AS8" i="12"/>
  <c r="O8" i="12" s="1"/>
  <c r="AS11" i="12"/>
  <c r="O11" i="12" s="1"/>
  <c r="AS14" i="12"/>
  <c r="O14" i="12" s="1"/>
  <c r="CC20" i="12"/>
  <c r="R20" i="12" s="1"/>
  <c r="CO8" i="12"/>
  <c r="S8" i="12" s="1"/>
  <c r="CO12" i="12"/>
  <c r="S12" i="12" s="1"/>
  <c r="CO16" i="12"/>
  <c r="S16" i="12" s="1"/>
  <c r="CO20" i="12"/>
  <c r="S20" i="12" s="1"/>
  <c r="CO17" i="12"/>
  <c r="S17" i="12" s="1"/>
  <c r="CO5" i="12"/>
  <c r="S5" i="12" s="1"/>
  <c r="CI8" i="12"/>
  <c r="M8" i="12" s="1"/>
  <c r="CI12" i="12"/>
  <c r="M12" i="12" s="1"/>
  <c r="CI16" i="12"/>
  <c r="M16" i="12" s="1"/>
  <c r="CI20" i="12"/>
  <c r="M20" i="12" s="1"/>
  <c r="CO6" i="12"/>
  <c r="S6" i="12" s="1"/>
  <c r="CO10" i="12"/>
  <c r="S10" i="12" s="1"/>
  <c r="CO14" i="12"/>
  <c r="S14" i="12" s="1"/>
  <c r="CO18" i="12"/>
  <c r="S18" i="12" s="1"/>
  <c r="CI9" i="12"/>
  <c r="M9" i="12" s="1"/>
  <c r="CI13" i="12"/>
  <c r="M13" i="12" s="1"/>
  <c r="CI17" i="12"/>
  <c r="M17" i="12" s="1"/>
  <c r="CI5" i="12"/>
  <c r="M5" i="12" s="1"/>
  <c r="CO7" i="12"/>
  <c r="S7" i="12" s="1"/>
  <c r="CO11" i="12"/>
  <c r="S11" i="12" s="1"/>
  <c r="CO15" i="12"/>
  <c r="S15" i="12" s="1"/>
  <c r="CO19" i="12"/>
  <c r="S19" i="12" s="1"/>
  <c r="CC8" i="12"/>
  <c r="R8" i="12" s="1"/>
  <c r="CC12" i="12"/>
  <c r="R12" i="12" s="1"/>
  <c r="CC16" i="12"/>
  <c r="R16" i="12" s="1"/>
  <c r="BW7" i="12"/>
  <c r="L7" i="12" s="1"/>
  <c r="BW11" i="12"/>
  <c r="L11" i="12" s="1"/>
  <c r="BW8" i="12"/>
  <c r="L8" i="12" s="1"/>
  <c r="BW12" i="12"/>
  <c r="L12" i="12" s="1"/>
  <c r="BW15" i="12"/>
  <c r="L15" i="12" s="1"/>
  <c r="BW16" i="12"/>
  <c r="L16" i="12" s="1"/>
  <c r="BW20" i="12"/>
  <c r="L20" i="12" s="1"/>
  <c r="CC6" i="12"/>
  <c r="R6" i="12" s="1"/>
  <c r="CC10" i="12"/>
  <c r="R10" i="12" s="1"/>
  <c r="CC14" i="12"/>
  <c r="R14" i="12" s="1"/>
  <c r="CC18" i="12"/>
  <c r="R18" i="12" s="1"/>
  <c r="BW5" i="12"/>
  <c r="L5" i="12" s="1"/>
  <c r="BW9" i="12"/>
  <c r="L9" i="12" s="1"/>
  <c r="CC7" i="12"/>
  <c r="R7" i="12" s="1"/>
  <c r="CC11" i="12"/>
  <c r="R11" i="12" s="1"/>
  <c r="CC15" i="12"/>
  <c r="R15" i="12" s="1"/>
  <c r="CC19" i="12"/>
  <c r="R19" i="12" s="1"/>
  <c r="BQ8" i="12"/>
  <c r="Q8" i="12" s="1"/>
  <c r="BQ12" i="12"/>
  <c r="Q12" i="12" s="1"/>
  <c r="BQ16" i="12"/>
  <c r="Q16" i="12" s="1"/>
  <c r="BQ20" i="12"/>
  <c r="Q20" i="12" s="1"/>
  <c r="BQ7" i="12"/>
  <c r="Q7" i="12" s="1"/>
  <c r="BQ11" i="12"/>
  <c r="Q11" i="12" s="1"/>
  <c r="BQ15" i="12"/>
  <c r="Q15" i="12" s="1"/>
  <c r="BQ19" i="12"/>
  <c r="Q19" i="12" s="1"/>
  <c r="BK8" i="12"/>
  <c r="K8" i="12" s="1"/>
  <c r="BK12" i="12"/>
  <c r="K12" i="12" s="1"/>
  <c r="BK16" i="12"/>
  <c r="K16" i="12" s="1"/>
  <c r="BK20" i="12"/>
  <c r="K20" i="12" s="1"/>
  <c r="BQ6" i="12"/>
  <c r="Q6" i="12" s="1"/>
  <c r="BQ10" i="12"/>
  <c r="Q10" i="12" s="1"/>
  <c r="BQ14" i="12"/>
  <c r="Q14" i="12" s="1"/>
  <c r="BQ18" i="12"/>
  <c r="Q18" i="12" s="1"/>
  <c r="BK5" i="12"/>
  <c r="K5" i="12" s="1"/>
  <c r="BK9" i="12"/>
  <c r="K9" i="12" s="1"/>
  <c r="BK13" i="12"/>
  <c r="K13" i="12" s="1"/>
  <c r="BK17" i="12"/>
  <c r="K17" i="12" s="1"/>
  <c r="BQ13" i="12"/>
  <c r="Q13" i="12" s="1"/>
  <c r="BQ17" i="12"/>
  <c r="Q17" i="12" s="1"/>
  <c r="BE5" i="12"/>
  <c r="P5" i="12" s="1"/>
  <c r="BE9" i="12"/>
  <c r="P9" i="12" s="1"/>
  <c r="BE13" i="12"/>
  <c r="P13" i="12" s="1"/>
  <c r="BE17" i="12"/>
  <c r="P17" i="12" s="1"/>
  <c r="AY8" i="12"/>
  <c r="J8" i="12" s="1"/>
  <c r="AY12" i="12"/>
  <c r="J12" i="12" s="1"/>
  <c r="AY16" i="12"/>
  <c r="J16" i="12" s="1"/>
  <c r="AY20" i="12"/>
  <c r="J20" i="12" s="1"/>
  <c r="BE6" i="12"/>
  <c r="P6" i="12" s="1"/>
  <c r="BE10" i="12"/>
  <c r="P10" i="12" s="1"/>
  <c r="BE14" i="12"/>
  <c r="P14" i="12" s="1"/>
  <c r="BE18" i="12"/>
  <c r="P18" i="12" s="1"/>
  <c r="AY5" i="12"/>
  <c r="J5" i="12" s="1"/>
  <c r="AY9" i="12"/>
  <c r="J9" i="12" s="1"/>
  <c r="AY13" i="12"/>
  <c r="J13" i="12" s="1"/>
  <c r="AY17" i="12"/>
  <c r="J17" i="12" s="1"/>
  <c r="BE15" i="12"/>
  <c r="P15" i="12" s="1"/>
  <c r="BE19" i="12"/>
  <c r="P19" i="12" s="1"/>
  <c r="AM5" i="12"/>
  <c r="I5" i="12" s="1"/>
  <c r="AD20" i="11"/>
  <c r="AC20" i="11"/>
  <c r="AH20" i="11" s="1"/>
  <c r="AB20" i="11"/>
  <c r="AA20" i="11"/>
  <c r="Z20" i="11"/>
  <c r="Y20" i="11"/>
  <c r="X20" i="11"/>
  <c r="W20" i="11"/>
  <c r="V20" i="11"/>
  <c r="U20" i="11"/>
  <c r="AP20" i="11" s="1"/>
  <c r="AD19" i="11"/>
  <c r="AC19" i="11"/>
  <c r="AB19" i="11"/>
  <c r="AA19" i="11"/>
  <c r="Z19" i="11"/>
  <c r="Y19" i="11"/>
  <c r="X19" i="11"/>
  <c r="W19" i="11"/>
  <c r="V19" i="11"/>
  <c r="U19" i="11"/>
  <c r="AP19" i="11" s="1"/>
  <c r="AD18" i="11"/>
  <c r="AC18" i="11"/>
  <c r="AB18" i="11"/>
  <c r="AG18" i="11" s="1"/>
  <c r="AA18" i="11"/>
  <c r="Z18" i="11"/>
  <c r="Y18" i="11"/>
  <c r="X18" i="11"/>
  <c r="W18" i="11"/>
  <c r="V18" i="11"/>
  <c r="U18" i="11"/>
  <c r="AP18" i="11" s="1"/>
  <c r="AD17" i="11"/>
  <c r="AC17" i="11"/>
  <c r="AH17" i="11" s="1"/>
  <c r="AB17" i="11"/>
  <c r="AA17" i="11"/>
  <c r="Z17" i="11"/>
  <c r="Y17" i="11"/>
  <c r="X17" i="11"/>
  <c r="W17" i="11"/>
  <c r="V17" i="11"/>
  <c r="U17" i="11"/>
  <c r="AP17" i="11" s="1"/>
  <c r="AD16" i="11"/>
  <c r="AI16" i="11" s="1"/>
  <c r="AC16" i="11"/>
  <c r="AB16" i="11"/>
  <c r="AA16" i="11"/>
  <c r="Z16" i="11"/>
  <c r="Y16" i="11"/>
  <c r="X16" i="11"/>
  <c r="W16" i="11"/>
  <c r="V16" i="11"/>
  <c r="U16" i="11"/>
  <c r="AP16" i="11" s="1"/>
  <c r="AD15" i="11"/>
  <c r="AC15" i="11"/>
  <c r="AB15" i="11"/>
  <c r="AA15" i="11"/>
  <c r="Z15" i="11"/>
  <c r="Y15" i="11"/>
  <c r="X15" i="11"/>
  <c r="W15" i="11"/>
  <c r="V15" i="11"/>
  <c r="U15" i="11"/>
  <c r="AP15" i="11" s="1"/>
  <c r="AD14" i="11"/>
  <c r="AC14" i="11"/>
  <c r="AB14" i="11"/>
  <c r="AA14" i="11"/>
  <c r="AF14" i="11" s="1"/>
  <c r="Z14" i="11"/>
  <c r="AE14" i="11" s="1"/>
  <c r="Y14" i="11"/>
  <c r="X14" i="11"/>
  <c r="W14" i="11"/>
  <c r="V14" i="11"/>
  <c r="U14" i="11"/>
  <c r="AP14" i="11" s="1"/>
  <c r="AD13" i="11"/>
  <c r="AC13" i="11"/>
  <c r="AB13" i="11"/>
  <c r="AA13" i="11"/>
  <c r="Z13" i="11"/>
  <c r="AE13" i="11" s="1"/>
  <c r="Y13" i="11"/>
  <c r="X13" i="11"/>
  <c r="W13" i="11"/>
  <c r="V13" i="11"/>
  <c r="U13" i="11"/>
  <c r="AP13" i="11" s="1"/>
  <c r="AD12" i="11"/>
  <c r="AC12" i="11"/>
  <c r="AB12" i="11"/>
  <c r="AA12" i="11"/>
  <c r="Z12" i="11"/>
  <c r="Y12" i="11"/>
  <c r="X12" i="11"/>
  <c r="W12" i="11"/>
  <c r="V12" i="11"/>
  <c r="U12" i="11"/>
  <c r="AP12" i="11" s="1"/>
  <c r="AD11" i="11"/>
  <c r="AC11" i="11"/>
  <c r="AH11" i="11" s="1"/>
  <c r="AB11" i="11"/>
  <c r="AA11" i="11"/>
  <c r="Z11" i="11"/>
  <c r="Y11" i="11"/>
  <c r="X11" i="11"/>
  <c r="W11" i="11"/>
  <c r="V11" i="11"/>
  <c r="U11" i="11"/>
  <c r="AP11" i="11" s="1"/>
  <c r="AD10" i="11"/>
  <c r="AC10" i="11"/>
  <c r="AB10" i="11"/>
  <c r="AA10" i="11"/>
  <c r="Z10" i="11"/>
  <c r="Y10" i="11"/>
  <c r="X10" i="11"/>
  <c r="W10" i="11"/>
  <c r="V10" i="11"/>
  <c r="U10" i="11"/>
  <c r="AP10" i="11" s="1"/>
  <c r="AD9" i="11"/>
  <c r="AI9" i="11" s="1"/>
  <c r="AO9" i="11" s="1"/>
  <c r="AC9" i="11"/>
  <c r="AH9" i="11" s="1"/>
  <c r="AB9" i="11"/>
  <c r="AA9" i="11"/>
  <c r="Z9" i="11"/>
  <c r="Y9" i="11"/>
  <c r="X9" i="11"/>
  <c r="W9" i="11"/>
  <c r="V9" i="11"/>
  <c r="U9" i="11"/>
  <c r="AP9" i="11" s="1"/>
  <c r="AD8" i="11"/>
  <c r="AC8" i="11"/>
  <c r="AB8" i="11"/>
  <c r="AA8" i="11"/>
  <c r="Z8" i="11"/>
  <c r="Y8" i="11"/>
  <c r="AI8" i="11" s="1"/>
  <c r="X8" i="11"/>
  <c r="W8" i="11"/>
  <c r="V8" i="11"/>
  <c r="U8" i="11"/>
  <c r="AD7" i="11"/>
  <c r="AC7" i="11"/>
  <c r="AB7" i="11"/>
  <c r="AA7" i="11"/>
  <c r="Z7" i="11"/>
  <c r="Y7" i="11"/>
  <c r="X7" i="11"/>
  <c r="W7" i="11"/>
  <c r="V7" i="11"/>
  <c r="U7" i="11"/>
  <c r="AP7" i="11" s="1"/>
  <c r="AD6" i="11"/>
  <c r="AC6" i="11"/>
  <c r="AB6" i="11"/>
  <c r="AG6" i="11" s="1"/>
  <c r="AA6" i="11"/>
  <c r="Z6" i="11"/>
  <c r="Y6" i="11"/>
  <c r="X6" i="11"/>
  <c r="W6" i="11"/>
  <c r="V6" i="11"/>
  <c r="U6" i="11"/>
  <c r="AP6" i="11" s="1"/>
  <c r="AD5" i="11"/>
  <c r="AC5" i="11"/>
  <c r="AB5" i="11"/>
  <c r="AA5" i="11"/>
  <c r="Z5" i="11"/>
  <c r="Y5" i="11"/>
  <c r="X5" i="11"/>
  <c r="W5" i="11"/>
  <c r="V5" i="11"/>
  <c r="U5" i="11"/>
  <c r="AP5" i="11" s="1"/>
  <c r="AD4" i="11"/>
  <c r="AC4" i="11"/>
  <c r="AB4" i="11"/>
  <c r="AA4" i="11"/>
  <c r="AA21" i="11" s="1"/>
  <c r="Z4" i="11"/>
  <c r="Y4" i="11"/>
  <c r="X4" i="11"/>
  <c r="W4" i="11"/>
  <c r="W21" i="11" s="1"/>
  <c r="V4" i="11"/>
  <c r="U4" i="11"/>
  <c r="T13" i="11"/>
  <c r="T9" i="11"/>
  <c r="Q20" i="11"/>
  <c r="S19" i="11"/>
  <c r="Q17" i="11"/>
  <c r="Q14" i="11"/>
  <c r="R11" i="11"/>
  <c r="Q11" i="11"/>
  <c r="Q5" i="11"/>
  <c r="O20" i="11"/>
  <c r="T20" i="11" s="1"/>
  <c r="N20" i="11"/>
  <c r="S20" i="11" s="1"/>
  <c r="M20" i="11"/>
  <c r="L20" i="11"/>
  <c r="K20" i="11"/>
  <c r="P20" i="11" s="1"/>
  <c r="O19" i="11"/>
  <c r="N19" i="11"/>
  <c r="M19" i="11"/>
  <c r="L19" i="11"/>
  <c r="Q19" i="11" s="1"/>
  <c r="K19" i="11"/>
  <c r="P19" i="11" s="1"/>
  <c r="O18" i="11"/>
  <c r="T18" i="11" s="1"/>
  <c r="N18" i="11"/>
  <c r="S18" i="11" s="1"/>
  <c r="M18" i="11"/>
  <c r="R18" i="11" s="1"/>
  <c r="L18" i="11"/>
  <c r="Q18" i="11" s="1"/>
  <c r="K18" i="11"/>
  <c r="O17" i="11"/>
  <c r="T17" i="11" s="1"/>
  <c r="N17" i="11"/>
  <c r="S17" i="11" s="1"/>
  <c r="M17" i="11"/>
  <c r="L17" i="11"/>
  <c r="K17" i="11"/>
  <c r="O16" i="11"/>
  <c r="N16" i="11"/>
  <c r="S16" i="11" s="1"/>
  <c r="M16" i="11"/>
  <c r="R16" i="11" s="1"/>
  <c r="L16" i="11"/>
  <c r="Q16" i="11" s="1"/>
  <c r="K16" i="11"/>
  <c r="P16" i="11" s="1"/>
  <c r="O15" i="11"/>
  <c r="T15" i="11" s="1"/>
  <c r="N15" i="11"/>
  <c r="S15" i="11" s="1"/>
  <c r="M15" i="11"/>
  <c r="R15" i="11" s="1"/>
  <c r="L15" i="11"/>
  <c r="K15" i="11"/>
  <c r="O14" i="11"/>
  <c r="T14" i="11" s="1"/>
  <c r="N14" i="11"/>
  <c r="M14" i="11"/>
  <c r="L14" i="11"/>
  <c r="K14" i="11"/>
  <c r="P14" i="11" s="1"/>
  <c r="O13" i="11"/>
  <c r="N13" i="11"/>
  <c r="S13" i="11" s="1"/>
  <c r="M13" i="11"/>
  <c r="R13" i="11" s="1"/>
  <c r="L13" i="11"/>
  <c r="Q13" i="11" s="1"/>
  <c r="K13" i="11"/>
  <c r="P13" i="11" s="1"/>
  <c r="O12" i="11"/>
  <c r="N12" i="11"/>
  <c r="S12" i="11" s="1"/>
  <c r="M12" i="11"/>
  <c r="R12" i="11" s="1"/>
  <c r="L12" i="11"/>
  <c r="K12" i="11"/>
  <c r="O11" i="11"/>
  <c r="T11" i="11" s="1"/>
  <c r="N11" i="11"/>
  <c r="S11" i="11" s="1"/>
  <c r="M11" i="11"/>
  <c r="L11" i="11"/>
  <c r="K11" i="11"/>
  <c r="P11" i="11" s="1"/>
  <c r="O10" i="11"/>
  <c r="N10" i="11"/>
  <c r="S10" i="11" s="1"/>
  <c r="M10" i="11"/>
  <c r="R10" i="11" s="1"/>
  <c r="L10" i="11"/>
  <c r="Q10" i="11" s="1"/>
  <c r="K10" i="11"/>
  <c r="P10" i="11" s="1"/>
  <c r="O9" i="11"/>
  <c r="N9" i="11"/>
  <c r="S9" i="11" s="1"/>
  <c r="M9" i="11"/>
  <c r="R9" i="11" s="1"/>
  <c r="L9" i="11"/>
  <c r="Q9" i="11" s="1"/>
  <c r="K9" i="11"/>
  <c r="O8" i="11"/>
  <c r="T8" i="11" s="1"/>
  <c r="N8" i="11"/>
  <c r="S8" i="11" s="1"/>
  <c r="M8" i="11"/>
  <c r="L8" i="11"/>
  <c r="K8" i="11"/>
  <c r="P8" i="11" s="1"/>
  <c r="O7" i="11"/>
  <c r="N7" i="11"/>
  <c r="S7" i="11" s="1"/>
  <c r="M7" i="11"/>
  <c r="L7" i="11"/>
  <c r="Q7" i="11" s="1"/>
  <c r="K7" i="11"/>
  <c r="P7" i="11" s="1"/>
  <c r="O6" i="11"/>
  <c r="T6" i="11" s="1"/>
  <c r="N6" i="11"/>
  <c r="S6" i="11" s="1"/>
  <c r="M6" i="11"/>
  <c r="R6" i="11" s="1"/>
  <c r="L6" i="11"/>
  <c r="Q6" i="11" s="1"/>
  <c r="K6" i="11"/>
  <c r="O5" i="11"/>
  <c r="T5" i="11" s="1"/>
  <c r="N5" i="11"/>
  <c r="S5" i="11" s="1"/>
  <c r="M5" i="11"/>
  <c r="R5" i="11" s="1"/>
  <c r="L5" i="11"/>
  <c r="L21" i="11" s="1"/>
  <c r="K5" i="11"/>
  <c r="O4" i="11"/>
  <c r="O21" i="11" s="1"/>
  <c r="N4" i="11"/>
  <c r="S4" i="11" s="1"/>
  <c r="M4" i="11"/>
  <c r="R4" i="11" s="1"/>
  <c r="L4" i="11"/>
  <c r="Q4" i="11" s="1"/>
  <c r="K4" i="11"/>
  <c r="P4" i="11" s="1"/>
  <c r="J20" i="11"/>
  <c r="J19" i="11"/>
  <c r="T19" i="11" s="1"/>
  <c r="J18" i="11"/>
  <c r="J17" i="11"/>
  <c r="J16" i="11"/>
  <c r="T16" i="11" s="1"/>
  <c r="J15" i="11"/>
  <c r="J14" i="11"/>
  <c r="J13" i="11"/>
  <c r="J12" i="11"/>
  <c r="T12" i="11" s="1"/>
  <c r="J11" i="11"/>
  <c r="J10" i="11"/>
  <c r="T10" i="11" s="1"/>
  <c r="J9" i="11"/>
  <c r="J8" i="11"/>
  <c r="J7" i="11"/>
  <c r="T7" i="11" s="1"/>
  <c r="J6" i="11"/>
  <c r="J5" i="11"/>
  <c r="J4" i="11"/>
  <c r="T4" i="11" s="1"/>
  <c r="I20" i="11"/>
  <c r="I19" i="11"/>
  <c r="I18" i="11"/>
  <c r="I17" i="11"/>
  <c r="I16" i="11"/>
  <c r="I15" i="11"/>
  <c r="I14" i="11"/>
  <c r="S14" i="11" s="1"/>
  <c r="I13" i="11"/>
  <c r="I12" i="11"/>
  <c r="I11" i="11"/>
  <c r="I10" i="11"/>
  <c r="I9" i="11"/>
  <c r="I8" i="11"/>
  <c r="I7" i="11"/>
  <c r="I6" i="11"/>
  <c r="I5" i="11"/>
  <c r="I4" i="11"/>
  <c r="H20" i="11"/>
  <c r="R20" i="11" s="1"/>
  <c r="H19" i="11"/>
  <c r="R19" i="11" s="1"/>
  <c r="H18" i="11"/>
  <c r="H17" i="11"/>
  <c r="R17" i="11" s="1"/>
  <c r="H16" i="11"/>
  <c r="H15" i="11"/>
  <c r="H14" i="11"/>
  <c r="R14" i="11" s="1"/>
  <c r="H13" i="11"/>
  <c r="H12" i="11"/>
  <c r="H11" i="11"/>
  <c r="H10" i="11"/>
  <c r="H9" i="11"/>
  <c r="H8" i="11"/>
  <c r="R8" i="11" s="1"/>
  <c r="H7" i="11"/>
  <c r="R7" i="11" s="1"/>
  <c r="H6" i="11"/>
  <c r="H5" i="11"/>
  <c r="H4" i="11"/>
  <c r="G19" i="11"/>
  <c r="G18" i="11"/>
  <c r="G17" i="11"/>
  <c r="G16" i="11"/>
  <c r="G15" i="11"/>
  <c r="Q15" i="11" s="1"/>
  <c r="G14" i="11"/>
  <c r="G13" i="11"/>
  <c r="G12" i="11"/>
  <c r="Q12" i="11" s="1"/>
  <c r="G11" i="11"/>
  <c r="G10" i="11"/>
  <c r="G9" i="11"/>
  <c r="G8" i="11"/>
  <c r="Q8" i="11" s="1"/>
  <c r="G7" i="11"/>
  <c r="G6" i="11"/>
  <c r="G5" i="11"/>
  <c r="G4" i="11"/>
  <c r="F19" i="11"/>
  <c r="F18" i="11"/>
  <c r="P18" i="11" s="1"/>
  <c r="F17" i="11"/>
  <c r="P17" i="11" s="1"/>
  <c r="F16" i="11"/>
  <c r="F15" i="11"/>
  <c r="P15" i="11" s="1"/>
  <c r="F14" i="11"/>
  <c r="F13" i="11"/>
  <c r="F12" i="11"/>
  <c r="P12" i="11" s="1"/>
  <c r="F11" i="11"/>
  <c r="F10" i="11"/>
  <c r="F9" i="11"/>
  <c r="P9" i="11" s="1"/>
  <c r="F8" i="11"/>
  <c r="F7" i="11"/>
  <c r="F6" i="11"/>
  <c r="P6" i="11" s="1"/>
  <c r="F5" i="11"/>
  <c r="P5" i="11" s="1"/>
  <c r="F4" i="11"/>
  <c r="G20" i="11"/>
  <c r="F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U21" i="11" l="1"/>
  <c r="AP21" i="11" s="1"/>
  <c r="AP4" i="11"/>
  <c r="AN20" i="11"/>
  <c r="L26" i="12"/>
  <c r="L30" i="12"/>
  <c r="L29" i="12"/>
  <c r="L28" i="12"/>
  <c r="L27" i="12"/>
  <c r="K21" i="11"/>
  <c r="V21" i="11"/>
  <c r="AG13" i="11"/>
  <c r="AM13" i="11" s="1"/>
  <c r="AI14" i="11"/>
  <c r="AO14" i="11" s="1"/>
  <c r="AI20" i="11"/>
  <c r="AO20" i="11" s="1"/>
  <c r="I21" i="11"/>
  <c r="AH13" i="11"/>
  <c r="AN13" i="11" s="1"/>
  <c r="AH19" i="11"/>
  <c r="AN19" i="11" s="1"/>
  <c r="K26" i="12"/>
  <c r="K30" i="12"/>
  <c r="K29" i="12"/>
  <c r="K28" i="12"/>
  <c r="K27" i="12"/>
  <c r="M21" i="11"/>
  <c r="X21" i="11"/>
  <c r="AM6" i="11"/>
  <c r="AM18" i="11"/>
  <c r="N21" i="11"/>
  <c r="S21" i="11" s="1"/>
  <c r="AH6" i="11"/>
  <c r="AN6" i="11" s="1"/>
  <c r="AE8" i="11"/>
  <c r="AK8" i="11" s="1"/>
  <c r="AP8" i="11"/>
  <c r="AF17" i="11"/>
  <c r="AL17" i="11" s="1"/>
  <c r="AH18" i="11"/>
  <c r="AN18" i="11" s="1"/>
  <c r="AK13" i="11"/>
  <c r="Y21" i="11"/>
  <c r="G21" i="11"/>
  <c r="Q21" i="11" s="1"/>
  <c r="Z21" i="11"/>
  <c r="AI6" i="11"/>
  <c r="AO6" i="11" s="1"/>
  <c r="AI12" i="11"/>
  <c r="AO12" i="11" s="1"/>
  <c r="AE16" i="11"/>
  <c r="AK16" i="11" s="1"/>
  <c r="AN11" i="11"/>
  <c r="AN17" i="11"/>
  <c r="J21" i="11"/>
  <c r="T21" i="11" s="1"/>
  <c r="AI5" i="11"/>
  <c r="AO5" i="11" s="1"/>
  <c r="AG10" i="11"/>
  <c r="AM10" i="11" s="1"/>
  <c r="AO8" i="11"/>
  <c r="AF9" i="11"/>
  <c r="AL9" i="11" s="1"/>
  <c r="AH10" i="11"/>
  <c r="AN10" i="11" s="1"/>
  <c r="AH16" i="11"/>
  <c r="AN16" i="11" s="1"/>
  <c r="AD21" i="11"/>
  <c r="AK14" i="11"/>
  <c r="AO16" i="11"/>
  <c r="H21" i="11"/>
  <c r="AN9" i="11"/>
  <c r="AL14" i="11"/>
  <c r="AH4" i="11"/>
  <c r="AN4" i="11" s="1"/>
  <c r="AH7" i="11"/>
  <c r="AN7" i="11" s="1"/>
  <c r="AF8" i="11"/>
  <c r="AL8" i="11" s="1"/>
  <c r="AI18" i="11"/>
  <c r="AO18" i="11" s="1"/>
  <c r="AF19" i="11"/>
  <c r="AL19" i="11" s="1"/>
  <c r="AF5" i="11"/>
  <c r="AL5" i="11" s="1"/>
  <c r="AI7" i="11"/>
  <c r="AO7" i="11" s="1"/>
  <c r="AG8" i="11"/>
  <c r="AM8" i="11" s="1"/>
  <c r="AI10" i="11"/>
  <c r="AO10" i="11" s="1"/>
  <c r="AF11" i="11"/>
  <c r="AL11" i="11" s="1"/>
  <c r="AG19" i="11"/>
  <c r="AM19" i="11" s="1"/>
  <c r="AI4" i="11"/>
  <c r="AO4" i="11" s="1"/>
  <c r="AG5" i="11"/>
  <c r="AM5" i="11" s="1"/>
  <c r="AH8" i="11"/>
  <c r="AN8" i="11" s="1"/>
  <c r="AG11" i="11"/>
  <c r="AM11" i="11" s="1"/>
  <c r="AI13" i="11"/>
  <c r="AO13" i="11" s="1"/>
  <c r="AG14" i="11"/>
  <c r="AM14" i="11" s="1"/>
  <c r="AH5" i="11"/>
  <c r="AN5" i="11" s="1"/>
  <c r="AF6" i="11"/>
  <c r="AL6" i="11" s="1"/>
  <c r="AG9" i="11"/>
  <c r="AM9" i="11" s="1"/>
  <c r="AH14" i="11"/>
  <c r="AN14" i="11" s="1"/>
  <c r="AG17" i="11"/>
  <c r="AM17" i="11" s="1"/>
  <c r="AI19" i="11"/>
  <c r="AO19" i="11" s="1"/>
  <c r="AF20" i="11"/>
  <c r="AL20" i="11" s="1"/>
  <c r="AI11" i="11"/>
  <c r="AO11" i="11" s="1"/>
  <c r="AF12" i="11"/>
  <c r="AL12" i="11" s="1"/>
  <c r="AF15" i="11"/>
  <c r="AL15" i="11" s="1"/>
  <c r="AG20" i="11"/>
  <c r="AM20" i="11" s="1"/>
  <c r="AG12" i="11"/>
  <c r="AM12" i="11" s="1"/>
  <c r="AG15" i="11"/>
  <c r="AM15" i="11" s="1"/>
  <c r="AI17" i="11"/>
  <c r="AO17" i="11" s="1"/>
  <c r="AF18" i="11"/>
  <c r="AL18" i="11" s="1"/>
  <c r="AF7" i="11"/>
  <c r="AL7" i="11" s="1"/>
  <c r="AF10" i="11"/>
  <c r="AL10" i="11" s="1"/>
  <c r="AH12" i="11"/>
  <c r="AN12" i="11" s="1"/>
  <c r="AH15" i="11"/>
  <c r="AN15" i="11" s="1"/>
  <c r="AF16" i="11"/>
  <c r="AL16" i="11" s="1"/>
  <c r="AG4" i="11"/>
  <c r="AM4" i="11" s="1"/>
  <c r="AG7" i="11"/>
  <c r="AM7" i="11" s="1"/>
  <c r="AF13" i="11"/>
  <c r="AL13" i="11" s="1"/>
  <c r="AI15" i="11"/>
  <c r="AO15" i="11" s="1"/>
  <c r="AG16" i="11"/>
  <c r="AM16" i="11" s="1"/>
  <c r="AE5" i="11"/>
  <c r="AK5" i="11" s="1"/>
  <c r="AE11" i="11"/>
  <c r="AK11" i="11" s="1"/>
  <c r="AE9" i="11"/>
  <c r="AK9" i="11" s="1"/>
  <c r="AE17" i="11"/>
  <c r="AK17" i="11" s="1"/>
  <c r="AE6" i="11"/>
  <c r="AK6" i="11" s="1"/>
  <c r="AE20" i="11"/>
  <c r="AK20" i="11" s="1"/>
  <c r="AE12" i="11"/>
  <c r="AK12" i="11" s="1"/>
  <c r="AE15" i="11"/>
  <c r="AK15" i="11" s="1"/>
  <c r="AE18" i="11"/>
  <c r="AK18" i="11" s="1"/>
  <c r="AE7" i="11"/>
  <c r="AK7" i="11" s="1"/>
  <c r="AE10" i="11"/>
  <c r="AK10" i="11" s="1"/>
  <c r="AE19" i="11"/>
  <c r="AK19" i="11" s="1"/>
  <c r="AF21" i="11"/>
  <c r="AC21" i="11"/>
  <c r="AH21" i="11" s="1"/>
  <c r="AN21" i="11" s="1"/>
  <c r="AE4" i="11"/>
  <c r="AK4" i="11" s="1"/>
  <c r="AF4" i="11"/>
  <c r="AL4" i="11" s="1"/>
  <c r="AB21" i="11"/>
  <c r="AG21" i="11" s="1"/>
  <c r="F21" i="11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M18" i="9"/>
  <c r="W18" i="9" s="1"/>
  <c r="B18" i="9"/>
  <c r="M17" i="9"/>
  <c r="W17" i="9" s="1"/>
  <c r="B17" i="9"/>
  <c r="M16" i="9"/>
  <c r="W16" i="9" s="1"/>
  <c r="B16" i="9"/>
  <c r="M15" i="9"/>
  <c r="W15" i="9" s="1"/>
  <c r="B15" i="9"/>
  <c r="M14" i="9"/>
  <c r="W14" i="9" s="1"/>
  <c r="X14" i="9" s="1"/>
  <c r="B14" i="9"/>
  <c r="M13" i="9"/>
  <c r="W13" i="9" s="1"/>
  <c r="B13" i="9"/>
  <c r="M12" i="9"/>
  <c r="W12" i="9" s="1"/>
  <c r="B12" i="9"/>
  <c r="M11" i="9"/>
  <c r="W11" i="9" s="1"/>
  <c r="B11" i="9"/>
  <c r="M10" i="9"/>
  <c r="W10" i="9" s="1"/>
  <c r="X10" i="9" s="1"/>
  <c r="B10" i="9"/>
  <c r="M9" i="9"/>
  <c r="W9" i="9" s="1"/>
  <c r="B9" i="9"/>
  <c r="M8" i="9"/>
  <c r="W8" i="9" s="1"/>
  <c r="B8" i="9"/>
  <c r="M7" i="9"/>
  <c r="W7" i="9" s="1"/>
  <c r="B7" i="9"/>
  <c r="M6" i="9"/>
  <c r="W6" i="9" s="1"/>
  <c r="X6" i="9" s="1"/>
  <c r="B6" i="9"/>
  <c r="M5" i="9"/>
  <c r="W5" i="9" s="1"/>
  <c r="X5" i="9" s="1"/>
  <c r="B5" i="9"/>
  <c r="M4" i="9"/>
  <c r="W4" i="9" s="1"/>
  <c r="X4" i="9" s="1"/>
  <c r="B4" i="9"/>
  <c r="M3" i="9"/>
  <c r="W3" i="9" s="1"/>
  <c r="X3" i="9" s="1"/>
  <c r="B3" i="9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AM21" i="11" l="1"/>
  <c r="R21" i="11"/>
  <c r="P21" i="11"/>
  <c r="L31" i="12"/>
  <c r="M26" i="12" s="1"/>
  <c r="AL21" i="11"/>
  <c r="K31" i="12"/>
  <c r="AE21" i="11"/>
  <c r="AK21" i="11" s="1"/>
  <c r="AI21" i="11"/>
  <c r="AO21" i="11" s="1"/>
  <c r="R4" i="9"/>
  <c r="T4" i="9" s="1"/>
  <c r="R3" i="9"/>
  <c r="T3" i="9" s="1"/>
  <c r="Q7" i="9"/>
  <c r="Q18" i="9"/>
  <c r="Q11" i="9"/>
  <c r="Q5" i="9"/>
  <c r="Q15" i="9"/>
  <c r="Q3" i="9"/>
  <c r="X13" i="9"/>
  <c r="X12" i="9"/>
  <c r="X18" i="9"/>
  <c r="X9" i="9"/>
  <c r="X17" i="9"/>
  <c r="X8" i="9"/>
  <c r="X16" i="9"/>
  <c r="Q4" i="9"/>
  <c r="R5" i="9"/>
  <c r="R6" i="9"/>
  <c r="Q9" i="9"/>
  <c r="R10" i="9"/>
  <c r="Q13" i="9"/>
  <c r="R14" i="9"/>
  <c r="Q17" i="9"/>
  <c r="R18" i="9"/>
  <c r="S3" i="9"/>
  <c r="X7" i="9"/>
  <c r="R9" i="9"/>
  <c r="X11" i="9"/>
  <c r="Q12" i="9"/>
  <c r="R13" i="9"/>
  <c r="X15" i="9"/>
  <c r="Q16" i="9"/>
  <c r="R17" i="9"/>
  <c r="S4" i="9"/>
  <c r="Q8" i="9"/>
  <c r="R8" i="9"/>
  <c r="R12" i="9"/>
  <c r="R16" i="9"/>
  <c r="Q6" i="9"/>
  <c r="R7" i="9"/>
  <c r="Q10" i="9"/>
  <c r="R11" i="9"/>
  <c r="Q14" i="9"/>
  <c r="R15" i="9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M18" i="5"/>
  <c r="B18" i="5"/>
  <c r="M17" i="5"/>
  <c r="B17" i="5"/>
  <c r="M16" i="5"/>
  <c r="W16" i="5" s="1"/>
  <c r="B16" i="5"/>
  <c r="M15" i="5"/>
  <c r="B15" i="5"/>
  <c r="M14" i="5"/>
  <c r="B14" i="5"/>
  <c r="M13" i="5"/>
  <c r="B13" i="5"/>
  <c r="M12" i="5"/>
  <c r="W12" i="5" s="1"/>
  <c r="B12" i="5"/>
  <c r="M11" i="5"/>
  <c r="B11" i="5"/>
  <c r="U10" i="5"/>
  <c r="M10" i="5"/>
  <c r="B10" i="5"/>
  <c r="M9" i="5"/>
  <c r="B9" i="5"/>
  <c r="M8" i="5"/>
  <c r="W8" i="5" s="1"/>
  <c r="B8" i="5"/>
  <c r="M7" i="5"/>
  <c r="W7" i="5" s="1"/>
  <c r="B7" i="5"/>
  <c r="M6" i="5"/>
  <c r="B6" i="5"/>
  <c r="M5" i="5"/>
  <c r="B5" i="5"/>
  <c r="M4" i="5"/>
  <c r="B4" i="5"/>
  <c r="M3" i="5"/>
  <c r="B3" i="5"/>
  <c r="E25" i="4"/>
  <c r="U16" i="5" s="1"/>
  <c r="E24" i="4"/>
  <c r="E23" i="4"/>
  <c r="E22" i="4"/>
  <c r="E21" i="4"/>
  <c r="E20" i="4"/>
  <c r="E19" i="4"/>
  <c r="E18" i="4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M18" i="2"/>
  <c r="U17" i="2"/>
  <c r="M17" i="2"/>
  <c r="U16" i="2"/>
  <c r="M16" i="2"/>
  <c r="M15" i="2"/>
  <c r="M14" i="2"/>
  <c r="U13" i="2"/>
  <c r="M13" i="2"/>
  <c r="U12" i="2"/>
  <c r="M12" i="2"/>
  <c r="M11" i="2"/>
  <c r="M10" i="2"/>
  <c r="U9" i="2"/>
  <c r="M9" i="2"/>
  <c r="U8" i="2"/>
  <c r="M8" i="2"/>
  <c r="M7" i="2"/>
  <c r="M6" i="2"/>
  <c r="U5" i="2"/>
  <c r="M5" i="2"/>
  <c r="U4" i="2"/>
  <c r="M4" i="2"/>
  <c r="M3" i="2"/>
  <c r="M27" i="12" l="1"/>
  <c r="R12" i="5"/>
  <c r="S12" i="5" s="1"/>
  <c r="Q12" i="5"/>
  <c r="U14" i="5"/>
  <c r="R5" i="2"/>
  <c r="S5" i="2" s="1"/>
  <c r="Q5" i="2"/>
  <c r="R9" i="2"/>
  <c r="S9" i="2" s="1"/>
  <c r="Q9" i="2"/>
  <c r="R13" i="2"/>
  <c r="S13" i="2" s="1"/>
  <c r="Q13" i="2"/>
  <c r="R17" i="2"/>
  <c r="S17" i="2" s="1"/>
  <c r="Q17" i="2"/>
  <c r="U5" i="5"/>
  <c r="W10" i="5"/>
  <c r="R10" i="5"/>
  <c r="S10" i="5" s="1"/>
  <c r="Q10" i="5"/>
  <c r="U12" i="5"/>
  <c r="Q18" i="2"/>
  <c r="R18" i="2"/>
  <c r="S18" i="2" s="1"/>
  <c r="U3" i="5"/>
  <c r="W6" i="5"/>
  <c r="R6" i="5"/>
  <c r="S6" i="5" s="1"/>
  <c r="Q6" i="5"/>
  <c r="U8" i="5"/>
  <c r="U15" i="5"/>
  <c r="U17" i="5"/>
  <c r="Q15" i="5"/>
  <c r="R15" i="5"/>
  <c r="S15" i="5" s="1"/>
  <c r="Q10" i="2"/>
  <c r="R10" i="2"/>
  <c r="S10" i="2" s="1"/>
  <c r="U18" i="2"/>
  <c r="U6" i="5"/>
  <c r="Q11" i="5"/>
  <c r="R11" i="5"/>
  <c r="S11" i="5" s="1"/>
  <c r="W13" i="5"/>
  <c r="R13" i="5"/>
  <c r="S13" i="5" s="1"/>
  <c r="Q13" i="5"/>
  <c r="W15" i="5"/>
  <c r="R6" i="2"/>
  <c r="S6" i="2" s="1"/>
  <c r="Q6" i="2"/>
  <c r="U6" i="2"/>
  <c r="W3" i="2"/>
  <c r="Q3" i="2"/>
  <c r="R3" i="2"/>
  <c r="Q7" i="2"/>
  <c r="R7" i="2"/>
  <c r="S7" i="2" s="1"/>
  <c r="Q11" i="2"/>
  <c r="R11" i="2"/>
  <c r="S11" i="2" s="1"/>
  <c r="R15" i="2"/>
  <c r="S15" i="2" s="1"/>
  <c r="Q15" i="2"/>
  <c r="W4" i="5"/>
  <c r="R4" i="5"/>
  <c r="S4" i="5" s="1"/>
  <c r="Q4" i="5"/>
  <c r="U11" i="5"/>
  <c r="U13" i="5"/>
  <c r="W18" i="5"/>
  <c r="X18" i="5" s="1"/>
  <c r="Q18" i="5"/>
  <c r="R18" i="5"/>
  <c r="S18" i="5" s="1"/>
  <c r="W3" i="5"/>
  <c r="R3" i="5"/>
  <c r="S3" i="5" s="1"/>
  <c r="Q3" i="5"/>
  <c r="R8" i="5"/>
  <c r="S8" i="5" s="1"/>
  <c r="Q8" i="5"/>
  <c r="W17" i="5"/>
  <c r="Q17" i="5"/>
  <c r="R17" i="5"/>
  <c r="S17" i="5" s="1"/>
  <c r="Q14" i="2"/>
  <c r="R14" i="2"/>
  <c r="S14" i="2" s="1"/>
  <c r="U10" i="2"/>
  <c r="U3" i="2"/>
  <c r="U7" i="2"/>
  <c r="U11" i="2"/>
  <c r="U15" i="2"/>
  <c r="U4" i="5"/>
  <c r="R7" i="5"/>
  <c r="S7" i="5" s="1"/>
  <c r="Q7" i="5"/>
  <c r="W9" i="5"/>
  <c r="R9" i="5"/>
  <c r="S9" i="5" s="1"/>
  <c r="Q9" i="5"/>
  <c r="W11" i="5"/>
  <c r="X11" i="5" s="1"/>
  <c r="R16" i="5"/>
  <c r="S16" i="5" s="1"/>
  <c r="Q16" i="5"/>
  <c r="U18" i="5"/>
  <c r="X20" i="9"/>
  <c r="U14" i="2"/>
  <c r="Q4" i="2"/>
  <c r="R4" i="2"/>
  <c r="S4" i="2" s="1"/>
  <c r="R8" i="2"/>
  <c r="S8" i="2" s="1"/>
  <c r="Q8" i="2"/>
  <c r="R12" i="2"/>
  <c r="S12" i="2" s="1"/>
  <c r="Q12" i="2"/>
  <c r="R16" i="2"/>
  <c r="S16" i="2" s="1"/>
  <c r="Q16" i="2"/>
  <c r="U7" i="5"/>
  <c r="U9" i="5"/>
  <c r="W14" i="5"/>
  <c r="X14" i="5" s="1"/>
  <c r="Q14" i="5"/>
  <c r="R14" i="5"/>
  <c r="S14" i="5" s="1"/>
  <c r="U17" i="9"/>
  <c r="U12" i="9"/>
  <c r="U10" i="9"/>
  <c r="U16" i="9"/>
  <c r="U14" i="9"/>
  <c r="U7" i="9"/>
  <c r="U5" i="9"/>
  <c r="U3" i="9"/>
  <c r="V3" i="9" s="1"/>
  <c r="U9" i="9"/>
  <c r="U8" i="9"/>
  <c r="U18" i="9"/>
  <c r="U11" i="9"/>
  <c r="U15" i="9"/>
  <c r="U4" i="9"/>
  <c r="V4" i="9" s="1"/>
  <c r="U13" i="9"/>
  <c r="U6" i="9"/>
  <c r="W5" i="5"/>
  <c r="Q5" i="5"/>
  <c r="R5" i="5"/>
  <c r="S5" i="5" s="1"/>
  <c r="T18" i="9"/>
  <c r="V18" i="9" s="1"/>
  <c r="S18" i="9"/>
  <c r="T10" i="9"/>
  <c r="V10" i="9" s="1"/>
  <c r="S10" i="9"/>
  <c r="S16" i="9"/>
  <c r="T16" i="9"/>
  <c r="V16" i="9" s="1"/>
  <c r="S12" i="9"/>
  <c r="T12" i="9"/>
  <c r="T13" i="9"/>
  <c r="V13" i="9" s="1"/>
  <c r="S13" i="9"/>
  <c r="T14" i="9"/>
  <c r="S14" i="9"/>
  <c r="T6" i="9"/>
  <c r="V6" i="9" s="1"/>
  <c r="S6" i="9"/>
  <c r="T11" i="9"/>
  <c r="V11" i="9" s="1"/>
  <c r="S11" i="9"/>
  <c r="T9" i="9"/>
  <c r="V9" i="9" s="1"/>
  <c r="S9" i="9"/>
  <c r="T15" i="9"/>
  <c r="S15" i="9"/>
  <c r="T7" i="9"/>
  <c r="S7" i="9"/>
  <c r="S8" i="9"/>
  <c r="T8" i="9"/>
  <c r="V8" i="9" s="1"/>
  <c r="T17" i="9"/>
  <c r="V17" i="9" s="1"/>
  <c r="S17" i="9"/>
  <c r="T5" i="9"/>
  <c r="S5" i="9"/>
  <c r="W14" i="2"/>
  <c r="W18" i="2"/>
  <c r="X18" i="2" s="1"/>
  <c r="W6" i="2"/>
  <c r="X6" i="2" s="1"/>
  <c r="W5" i="2"/>
  <c r="X5" i="2" s="1"/>
  <c r="W9" i="2"/>
  <c r="X9" i="2" s="1"/>
  <c r="W11" i="2"/>
  <c r="X11" i="2" s="1"/>
  <c r="W17" i="2"/>
  <c r="X17" i="2" s="1"/>
  <c r="W10" i="2"/>
  <c r="X10" i="2" s="1"/>
  <c r="W7" i="2"/>
  <c r="X7" i="2" s="1"/>
  <c r="W13" i="2"/>
  <c r="X13" i="2" s="1"/>
  <c r="W15" i="2"/>
  <c r="X15" i="2" s="1"/>
  <c r="T3" i="5"/>
  <c r="V3" i="5" s="1"/>
  <c r="T7" i="5"/>
  <c r="X3" i="5"/>
  <c r="X13" i="5"/>
  <c r="X4" i="5"/>
  <c r="X5" i="5"/>
  <c r="X6" i="5"/>
  <c r="X10" i="5"/>
  <c r="T8" i="5"/>
  <c r="X9" i="5"/>
  <c r="X17" i="5"/>
  <c r="X8" i="5"/>
  <c r="X12" i="5"/>
  <c r="X16" i="5"/>
  <c r="X7" i="5"/>
  <c r="X15" i="5"/>
  <c r="X3" i="2"/>
  <c r="W8" i="2"/>
  <c r="W16" i="2"/>
  <c r="W4" i="2"/>
  <c r="W12" i="2"/>
  <c r="X14" i="2"/>
  <c r="T14" i="5" l="1"/>
  <c r="V14" i="5" s="1"/>
  <c r="F14" i="7" s="1"/>
  <c r="T12" i="5"/>
  <c r="V12" i="5" s="1"/>
  <c r="F12" i="7" s="1"/>
  <c r="V12" i="9"/>
  <c r="Y12" i="9" s="1"/>
  <c r="V7" i="5"/>
  <c r="T11" i="5"/>
  <c r="V11" i="5" s="1"/>
  <c r="Y4" i="9"/>
  <c r="G4" i="7"/>
  <c r="G3" i="7"/>
  <c r="Y3" i="9"/>
  <c r="V8" i="5"/>
  <c r="Y8" i="5" s="1"/>
  <c r="V7" i="9"/>
  <c r="V5" i="9"/>
  <c r="G5" i="7" s="1"/>
  <c r="V15" i="9"/>
  <c r="Y15" i="9" s="1"/>
  <c r="V14" i="9"/>
  <c r="T3" i="2"/>
  <c r="V3" i="2" s="1"/>
  <c r="E3" i="7" s="1"/>
  <c r="S3" i="2"/>
  <c r="Y16" i="9"/>
  <c r="G16" i="7"/>
  <c r="Y7" i="9"/>
  <c r="G7" i="7"/>
  <c r="Y6" i="9"/>
  <c r="G6" i="7"/>
  <c r="Y18" i="9"/>
  <c r="G18" i="7"/>
  <c r="Y17" i="9"/>
  <c r="G17" i="7"/>
  <c r="Y9" i="9"/>
  <c r="G9" i="7"/>
  <c r="Y13" i="9"/>
  <c r="G13" i="7"/>
  <c r="Y8" i="9"/>
  <c r="G8" i="7"/>
  <c r="Y11" i="9"/>
  <c r="G11" i="7"/>
  <c r="Y14" i="9"/>
  <c r="G14" i="7"/>
  <c r="Y10" i="9"/>
  <c r="G10" i="7"/>
  <c r="Y11" i="5"/>
  <c r="F11" i="7"/>
  <c r="Y14" i="5"/>
  <c r="Y7" i="5"/>
  <c r="F7" i="7"/>
  <c r="Y3" i="5"/>
  <c r="F3" i="7"/>
  <c r="T16" i="5"/>
  <c r="V16" i="5" s="1"/>
  <c r="T10" i="5"/>
  <c r="V10" i="5" s="1"/>
  <c r="T6" i="5"/>
  <c r="V6" i="5" s="1"/>
  <c r="T9" i="5"/>
  <c r="V9" i="5" s="1"/>
  <c r="T15" i="5"/>
  <c r="V15" i="5" s="1"/>
  <c r="T5" i="5"/>
  <c r="V5" i="5" s="1"/>
  <c r="X20" i="5"/>
  <c r="T13" i="5"/>
  <c r="V13" i="5" s="1"/>
  <c r="T4" i="5"/>
  <c r="V4" i="5" s="1"/>
  <c r="F4" i="7" s="1"/>
  <c r="T17" i="5"/>
  <c r="V17" i="5" s="1"/>
  <c r="T18" i="5"/>
  <c r="V18" i="5" s="1"/>
  <c r="T4" i="2"/>
  <c r="V4" i="2" s="1"/>
  <c r="T13" i="2"/>
  <c r="V13" i="2" s="1"/>
  <c r="T9" i="2"/>
  <c r="V9" i="2" s="1"/>
  <c r="X16" i="2"/>
  <c r="T10" i="2"/>
  <c r="V10" i="2" s="1"/>
  <c r="T12" i="2"/>
  <c r="V12" i="2" s="1"/>
  <c r="X4" i="2"/>
  <c r="T17" i="2"/>
  <c r="V17" i="2" s="1"/>
  <c r="T15" i="2"/>
  <c r="V15" i="2" s="1"/>
  <c r="T11" i="2"/>
  <c r="V11" i="2" s="1"/>
  <c r="T18" i="2"/>
  <c r="V18" i="2" s="1"/>
  <c r="X12" i="2"/>
  <c r="T6" i="2"/>
  <c r="V6" i="2" s="1"/>
  <c r="T8" i="2"/>
  <c r="V8" i="2" s="1"/>
  <c r="T14" i="2"/>
  <c r="V14" i="2" s="1"/>
  <c r="T5" i="2"/>
  <c r="V5" i="2" s="1"/>
  <c r="T7" i="2"/>
  <c r="V7" i="2" s="1"/>
  <c r="T16" i="2"/>
  <c r="V16" i="2" s="1"/>
  <c r="X8" i="2"/>
  <c r="Y12" i="5" l="1"/>
  <c r="F8" i="7"/>
  <c r="G15" i="7"/>
  <c r="G12" i="7"/>
  <c r="V19" i="9"/>
  <c r="V20" i="9"/>
  <c r="Y5" i="9"/>
  <c r="Y20" i="9" s="1"/>
  <c r="V21" i="9" s="1"/>
  <c r="AB4" i="9"/>
  <c r="G19" i="7"/>
  <c r="V22" i="9"/>
  <c r="V23" i="9"/>
  <c r="Y7" i="2"/>
  <c r="E7" i="7"/>
  <c r="Y6" i="2"/>
  <c r="E6" i="7"/>
  <c r="Y15" i="2"/>
  <c r="E15" i="7"/>
  <c r="Y10" i="2"/>
  <c r="E10" i="7"/>
  <c r="Y13" i="2"/>
  <c r="E13" i="7"/>
  <c r="Y5" i="2"/>
  <c r="E5" i="7"/>
  <c r="Y17" i="2"/>
  <c r="E17" i="7"/>
  <c r="Y4" i="2"/>
  <c r="E4" i="7"/>
  <c r="Y14" i="2"/>
  <c r="E14" i="7"/>
  <c r="Y18" i="2"/>
  <c r="E18" i="7"/>
  <c r="Y16" i="2"/>
  <c r="E16" i="7"/>
  <c r="Y8" i="2"/>
  <c r="E8" i="7"/>
  <c r="Y11" i="2"/>
  <c r="E11" i="7"/>
  <c r="Y12" i="2"/>
  <c r="E12" i="7"/>
  <c r="Y9" i="2"/>
  <c r="E9" i="7"/>
  <c r="Y15" i="5"/>
  <c r="F15" i="7"/>
  <c r="Y16" i="5"/>
  <c r="F16" i="7"/>
  <c r="Y13" i="5"/>
  <c r="F13" i="7"/>
  <c r="Y9" i="5"/>
  <c r="F9" i="7"/>
  <c r="Y18" i="5"/>
  <c r="F18" i="7"/>
  <c r="Y6" i="5"/>
  <c r="F6" i="7"/>
  <c r="Y17" i="5"/>
  <c r="F17" i="7"/>
  <c r="Y5" i="5"/>
  <c r="F5" i="7"/>
  <c r="Y10" i="5"/>
  <c r="F10" i="7"/>
  <c r="Y3" i="2"/>
  <c r="V22" i="2"/>
  <c r="V23" i="2"/>
  <c r="V22" i="5"/>
  <c r="V23" i="5"/>
  <c r="V20" i="5"/>
  <c r="Y4" i="5"/>
  <c r="V19" i="5"/>
  <c r="X20" i="2"/>
  <c r="V19" i="2"/>
  <c r="V20" i="2"/>
  <c r="AB4" i="2" l="1"/>
  <c r="E19" i="7"/>
  <c r="Y20" i="5"/>
  <c r="V21" i="5" s="1"/>
  <c r="AB5" i="5"/>
  <c r="F20" i="7"/>
  <c r="AB4" i="5"/>
  <c r="F19" i="7"/>
  <c r="AB3" i="9"/>
  <c r="G21" i="7"/>
  <c r="AB5" i="2"/>
  <c r="E20" i="7"/>
  <c r="AB5" i="9"/>
  <c r="G20" i="7"/>
  <c r="Y20" i="2"/>
  <c r="V21" i="2" s="1"/>
  <c r="AB3" i="2" l="1"/>
  <c r="E21" i="7"/>
  <c r="AB3" i="5"/>
  <c r="F21" i="7"/>
</calcChain>
</file>

<file path=xl/sharedStrings.xml><?xml version="1.0" encoding="utf-8"?>
<sst xmlns="http://schemas.openxmlformats.org/spreadsheetml/2006/main" count="26970" uniqueCount="2232">
  <si>
    <t>Rating Area ID</t>
  </si>
  <si>
    <t>(for federal systems)</t>
  </si>
  <si>
    <t>County Name</t>
  </si>
  <si>
    <t>Rating Area 1</t>
  </si>
  <si>
    <t>Baker</t>
  </si>
  <si>
    <t>Calhoun</t>
  </si>
  <si>
    <t>Clay</t>
  </si>
  <si>
    <t>Crisp</t>
  </si>
  <si>
    <t>Dougherty</t>
  </si>
  <si>
    <t>Lee</t>
  </si>
  <si>
    <t>Mitchell</t>
  </si>
  <si>
    <t>Randolph</t>
  </si>
  <si>
    <t>Schley</t>
  </si>
  <si>
    <t>Sumter</t>
  </si>
  <si>
    <t>Terrell</t>
  </si>
  <si>
    <t>Worth</t>
  </si>
  <si>
    <t>Rating Area 2</t>
  </si>
  <si>
    <t>Barrow</t>
  </si>
  <si>
    <t>Clarke</t>
  </si>
  <si>
    <t>Elbert</t>
  </si>
  <si>
    <t>Greene</t>
  </si>
  <si>
    <t>Jackson</t>
  </si>
  <si>
    <t>Madison</t>
  </si>
  <si>
    <t>Morgan</t>
  </si>
  <si>
    <t>Oconee</t>
  </si>
  <si>
    <t>Oglethorpe</t>
  </si>
  <si>
    <t>Rating Area 3</t>
  </si>
  <si>
    <t>Bartow</t>
  </si>
  <si>
    <t>Butts</t>
  </si>
  <si>
    <t>Cherokee</t>
  </si>
  <si>
    <t>Clayton</t>
  </si>
  <si>
    <t>Cobb</t>
  </si>
  <si>
    <t>Coweta</t>
  </si>
  <si>
    <t>DeKalb</t>
  </si>
  <si>
    <t>Douglas</t>
  </si>
  <si>
    <t>Fayette</t>
  </si>
  <si>
    <t>Forsyth</t>
  </si>
  <si>
    <t>Fulton</t>
  </si>
  <si>
    <t>Gwinnett</t>
  </si>
  <si>
    <t>Henry</t>
  </si>
  <si>
    <t>Jasper</t>
  </si>
  <si>
    <t>Lamar</t>
  </si>
  <si>
    <t>Newton</t>
  </si>
  <si>
    <t>Paulding</t>
  </si>
  <si>
    <t>Pike</t>
  </si>
  <si>
    <t>Rockdale</t>
  </si>
  <si>
    <t>Spalding</t>
  </si>
  <si>
    <t>Walton</t>
  </si>
  <si>
    <t>Rating Area 4</t>
  </si>
  <si>
    <t>Carroll</t>
  </si>
  <si>
    <t>Heralson</t>
  </si>
  <si>
    <t>Heard</t>
  </si>
  <si>
    <t>Rating Area 5</t>
  </si>
  <si>
    <t>Burke</t>
  </si>
  <si>
    <t>Columbia</t>
  </si>
  <si>
    <t>Emanuel</t>
  </si>
  <si>
    <t>Glascock</t>
  </si>
  <si>
    <t>Jefferson</t>
  </si>
  <si>
    <t>Jenkins</t>
  </si>
  <si>
    <t>Lincoln</t>
  </si>
  <si>
    <t>McDuffie</t>
  </si>
  <si>
    <t>Richmond</t>
  </si>
  <si>
    <t>Taliaferro</t>
  </si>
  <si>
    <t>Warren</t>
  </si>
  <si>
    <t>Wilkes</t>
  </si>
  <si>
    <t>Rating Area 6</t>
  </si>
  <si>
    <t>Bacon</t>
  </si>
  <si>
    <t>Brantley</t>
  </si>
  <si>
    <t>Camden</t>
  </si>
  <si>
    <t>Charlton</t>
  </si>
  <si>
    <t>Glynn</t>
  </si>
  <si>
    <t>McIntosh</t>
  </si>
  <si>
    <t>Pierce</t>
  </si>
  <si>
    <t>Ware</t>
  </si>
  <si>
    <t>Wayne</t>
  </si>
  <si>
    <t>Rating Area 7</t>
  </si>
  <si>
    <t>Catoosa</t>
  </si>
  <si>
    <t>Dade</t>
  </si>
  <si>
    <t>Walker</t>
  </si>
  <si>
    <t>Rating Area 8</t>
  </si>
  <si>
    <t>Chattahoochee</t>
  </si>
  <si>
    <t>Harris</t>
  </si>
  <si>
    <t>Macon</t>
  </si>
  <si>
    <t>Marion</t>
  </si>
  <si>
    <t>Meriwether</t>
  </si>
  <si>
    <t>Muscogee</t>
  </si>
  <si>
    <t>Quitman</t>
  </si>
  <si>
    <t>Stewart</t>
  </si>
  <si>
    <t>Talbot</t>
  </si>
  <si>
    <t>Taylor</t>
  </si>
  <si>
    <t>Troup</t>
  </si>
  <si>
    <t>Upson</t>
  </si>
  <si>
    <t>Webster</t>
  </si>
  <si>
    <t>Rating Area 9</t>
  </si>
  <si>
    <t>Fannin</t>
  </si>
  <si>
    <t>Murray</t>
  </si>
  <si>
    <t>Whitfield</t>
  </si>
  <si>
    <t>Rating Area 10</t>
  </si>
  <si>
    <t>Banks</t>
  </si>
  <si>
    <t>Dawson</t>
  </si>
  <si>
    <t>Franklin</t>
  </si>
  <si>
    <t>Habersham</t>
  </si>
  <si>
    <t>Hall</t>
  </si>
  <si>
    <t>Hart</t>
  </si>
  <si>
    <t>Lumpkin</t>
  </si>
  <si>
    <t>Rabun</t>
  </si>
  <si>
    <t>Stephens</t>
  </si>
  <si>
    <t>Towns</t>
  </si>
  <si>
    <t>Union</t>
  </si>
  <si>
    <t>White</t>
  </si>
  <si>
    <t>Rating Area 11</t>
  </si>
  <si>
    <t>Atkinson</t>
  </si>
  <si>
    <t>Coffee</t>
  </si>
  <si>
    <t>Jeff Davis</t>
  </si>
  <si>
    <t>Johnson</t>
  </si>
  <si>
    <t>Laurens</t>
  </si>
  <si>
    <t>Montgomery</t>
  </si>
  <si>
    <t>Telfair</t>
  </si>
  <si>
    <t>Toombs</t>
  </si>
  <si>
    <t>Treutlen</t>
  </si>
  <si>
    <t>Wheeler</t>
  </si>
  <si>
    <t>Rating Area 12</t>
  </si>
  <si>
    <t>Bibb</t>
  </si>
  <si>
    <t>Bleckley</t>
  </si>
  <si>
    <t>Crawford</t>
  </si>
  <si>
    <t>Dodge</t>
  </si>
  <si>
    <t>Dooly</t>
  </si>
  <si>
    <t>Houston</t>
  </si>
  <si>
    <t>Jones</t>
  </si>
  <si>
    <t>Monroe</t>
  </si>
  <si>
    <t>Peach</t>
  </si>
  <si>
    <t>Pulaski</t>
  </si>
  <si>
    <t>Putnam</t>
  </si>
  <si>
    <t>Twiggs</t>
  </si>
  <si>
    <t>Wilcox</t>
  </si>
  <si>
    <t>Rating Area 13</t>
  </si>
  <si>
    <t>Chattooga</t>
  </si>
  <si>
    <t>Floyd</t>
  </si>
  <si>
    <t>Gilmer</t>
  </si>
  <si>
    <t>Gordon</t>
  </si>
  <si>
    <t>Pickens</t>
  </si>
  <si>
    <t>Polk</t>
  </si>
  <si>
    <t>Rating Area 14</t>
  </si>
  <si>
    <t>Appling</t>
  </si>
  <si>
    <t>Bryan</t>
  </si>
  <si>
    <t>Bulloch</t>
  </si>
  <si>
    <t>Candler</t>
  </si>
  <si>
    <t>Chatham</t>
  </si>
  <si>
    <t>Effingham</t>
  </si>
  <si>
    <t>Evans</t>
  </si>
  <si>
    <t>Liberty</t>
  </si>
  <si>
    <t>Long</t>
  </si>
  <si>
    <t>Screven</t>
  </si>
  <si>
    <t>Tattnall</t>
  </si>
  <si>
    <t>Rating Area 15</t>
  </si>
  <si>
    <t>Ben Hill</t>
  </si>
  <si>
    <t>Berrien</t>
  </si>
  <si>
    <t>Brooks</t>
  </si>
  <si>
    <t>Clinch</t>
  </si>
  <si>
    <t>Colquitt</t>
  </si>
  <si>
    <t>Cook</t>
  </si>
  <si>
    <t>Decatur</t>
  </si>
  <si>
    <t>Early</t>
  </si>
  <si>
    <t>Echols</t>
  </si>
  <si>
    <t>Grady</t>
  </si>
  <si>
    <t>Irwin</t>
  </si>
  <si>
    <t>Lanier</t>
  </si>
  <si>
    <t>Lowndes</t>
  </si>
  <si>
    <t>Miller</t>
  </si>
  <si>
    <t>Seminole</t>
  </si>
  <si>
    <t>Thomas</t>
  </si>
  <si>
    <t>Tift</t>
  </si>
  <si>
    <t>Turner</t>
  </si>
  <si>
    <t>Rating Area 16</t>
  </si>
  <si>
    <t>Baldwin</t>
  </si>
  <si>
    <t>Hancock</t>
  </si>
  <si>
    <t>Washington</t>
  </si>
  <si>
    <t>Wilkinson</t>
  </si>
  <si>
    <t>Rating Area</t>
  </si>
  <si>
    <t xml:space="preserve">Source: </t>
  </si>
  <si>
    <t>Original Data</t>
  </si>
  <si>
    <t>Calculations</t>
  </si>
  <si>
    <t>State</t>
  </si>
  <si>
    <t>Issuer Name</t>
  </si>
  <si>
    <t>Plan ID - Standard Component</t>
  </si>
  <si>
    <t>Plan Marketing Name</t>
  </si>
  <si>
    <t>Plan Type</t>
  </si>
  <si>
    <t>Premium Adult Individual Age 27</t>
  </si>
  <si>
    <t>Code</t>
  </si>
  <si>
    <t>Rating Area #</t>
  </si>
  <si>
    <t>Number of Silver Plans</t>
  </si>
  <si>
    <t>Find Rowin Table</t>
  </si>
  <si>
    <t>Second Lowest Silver Plan</t>
  </si>
  <si>
    <t>Alternative Lookup</t>
  </si>
  <si>
    <t>Age Factor</t>
  </si>
  <si>
    <t>Age 21 Premium</t>
  </si>
  <si>
    <t>Weight</t>
  </si>
  <si>
    <t>Weight with no NA</t>
  </si>
  <si>
    <t>Age21 x Weight</t>
  </si>
  <si>
    <t>See below "Calculations" to check below formulae</t>
  </si>
  <si>
    <t>AK</t>
  </si>
  <si>
    <t>PPO</t>
  </si>
  <si>
    <t>weighted average</t>
  </si>
  <si>
    <t>Median</t>
  </si>
  <si>
    <t>simple average</t>
  </si>
  <si>
    <t>AL</t>
  </si>
  <si>
    <t>AR</t>
  </si>
  <si>
    <t>AZ</t>
  </si>
  <si>
    <t>CA</t>
  </si>
  <si>
    <t>DC</t>
  </si>
  <si>
    <t>DE</t>
  </si>
  <si>
    <t>POS</t>
  </si>
  <si>
    <t>FL</t>
  </si>
  <si>
    <t>Ambetter Silver 1</t>
  </si>
  <si>
    <t>Ambetter Silver 1 + Vision</t>
  </si>
  <si>
    <t>Ambetter Silver 1 + Vision + Adult Dental</t>
  </si>
  <si>
    <t>HMO</t>
  </si>
  <si>
    <t>Cigna Health and Life Insurance Company</t>
  </si>
  <si>
    <t>myCigna Health Savings 3400</t>
  </si>
  <si>
    <t>GA</t>
  </si>
  <si>
    <t>IA</t>
  </si>
  <si>
    <t>IL</t>
  </si>
  <si>
    <t>IN</t>
  </si>
  <si>
    <t>KS</t>
  </si>
  <si>
    <t>Humana Connect Silver 4600/6300 Plan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</si>
  <si>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</si>
  <si>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</si>
  <si>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</si>
  <si>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</si>
  <si>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</si>
  <si>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</si>
  <si>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</si>
  <si>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</si>
  <si>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</si>
  <si>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</si>
  <si>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</si>
  <si>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</si>
  <si>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</si>
  <si>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</si>
  <si>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</si>
  <si>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</si>
  <si>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</si>
  <si>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</si>
  <si>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</si>
  <si>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</si>
  <si>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Kaiser Permanente</t>
  </si>
  <si>
    <t>PA</t>
  </si>
  <si>
    <t>SC</t>
  </si>
  <si>
    <t>SD</t>
  </si>
  <si>
    <t>TN</t>
  </si>
  <si>
    <t>TX</t>
  </si>
  <si>
    <t>UT</t>
  </si>
  <si>
    <t>VA</t>
  </si>
  <si>
    <t>VT</t>
  </si>
  <si>
    <t>WI</t>
  </si>
  <si>
    <t>WV</t>
  </si>
  <si>
    <t>WY</t>
  </si>
  <si>
    <t>median</t>
  </si>
  <si>
    <t>mean</t>
  </si>
  <si>
    <t>weight average</t>
  </si>
  <si>
    <t>UnitedHealthcare</t>
  </si>
  <si>
    <t>Ambetter Silver 5</t>
  </si>
  <si>
    <t>Ambetter Silver 3</t>
  </si>
  <si>
    <t>Ambetter Silver 5 + Vision</t>
  </si>
  <si>
    <t>Ambetter Silver 3 + Vision</t>
  </si>
  <si>
    <t>Ambetter Silver 4</t>
  </si>
  <si>
    <t>Ambetter Silver 5 + Vision + Adult Dental</t>
  </si>
  <si>
    <t>Ambetter Silver 3 + Vision + Adult Dental</t>
  </si>
  <si>
    <t>Ambetter Silver 4 + Vision</t>
  </si>
  <si>
    <t>Ambetter Silver 4 + Vision + Adult Dental</t>
  </si>
  <si>
    <t>Anthem Blue Cross and Blue Shield</t>
  </si>
  <si>
    <t>49046GA0410007</t>
  </si>
  <si>
    <t>BCBSHP Silver DirectAccess w/HSA - cbbg</t>
  </si>
  <si>
    <t>49046GA0410010</t>
  </si>
  <si>
    <t>BCBSHP Silver DirectAccess - cbds</t>
  </si>
  <si>
    <t>49046GA0410009</t>
  </si>
  <si>
    <t>BCBSHP Silver DirectAccess - cbiq</t>
  </si>
  <si>
    <t>49046GA0610001</t>
  </si>
  <si>
    <t>Blue Cross and Blue Shield Healthcare Plan of Georgia Silver DirectAccess, a Multi-State Plan</t>
  </si>
  <si>
    <t>49046GA0410008</t>
  </si>
  <si>
    <t>BCBSHP Silver DirectAccess - cbaa</t>
  </si>
  <si>
    <t>Ambetter from Peach State Health Plan</t>
  </si>
  <si>
    <t>45495GA0010009</t>
  </si>
  <si>
    <t>45495GA0010007</t>
  </si>
  <si>
    <t>45495GA0020009</t>
  </si>
  <si>
    <t>45495GA0020007</t>
  </si>
  <si>
    <t>45495GA0010008</t>
  </si>
  <si>
    <t>45495GA0030009</t>
  </si>
  <si>
    <t>45495GA0010005</t>
  </si>
  <si>
    <t>45495GA0030007</t>
  </si>
  <si>
    <t>45495GA0020008</t>
  </si>
  <si>
    <t>45495GA0020005</t>
  </si>
  <si>
    <t>45495GA0030008</t>
  </si>
  <si>
    <t>45495GA0030005</t>
  </si>
  <si>
    <t>Humana Employers Health Plan of Georgia, Inc.</t>
  </si>
  <si>
    <t>93332GA0720004</t>
  </si>
  <si>
    <t>Humana National Preferred Silver 4250/6250 Plan</t>
  </si>
  <si>
    <t>Kaiser Foundation Health Plan of Georgia</t>
  </si>
  <si>
    <t>89942GA0050006</t>
  </si>
  <si>
    <t>KP GA Silver 1750/25%/HSA</t>
  </si>
  <si>
    <t>89942GA0050005</t>
  </si>
  <si>
    <t>KP GA Silver 2500/30</t>
  </si>
  <si>
    <t>89942GA0050004</t>
  </si>
  <si>
    <t>KP GA Silver 1500/30</t>
  </si>
  <si>
    <t>Alliant Health Plans</t>
  </si>
  <si>
    <t>83761GA0040015</t>
  </si>
  <si>
    <t>SoloCare</t>
  </si>
  <si>
    <t>83761GA0040010</t>
  </si>
  <si>
    <t>93332GA0710004</t>
  </si>
  <si>
    <t>93332GA0710018</t>
  </si>
  <si>
    <t>Silver</t>
  </si>
  <si>
    <t>Copied and Pasted from Weighting Exercise</t>
  </si>
  <si>
    <t>AK1</t>
  </si>
  <si>
    <t>AK2</t>
  </si>
  <si>
    <t>AK3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</si>
  <si>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</si>
  <si>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</si>
  <si>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</si>
  <si>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</si>
  <si>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</si>
  <si>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</si>
  <si>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</si>
  <si>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</si>
  <si>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</si>
  <si>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AL10</t>
  </si>
  <si>
    <t>AL11</t>
  </si>
  <si>
    <t>AL12</t>
  </si>
  <si>
    <t>AL13</t>
  </si>
  <si>
    <t>AR1</t>
  </si>
  <si>
    <t>AR2</t>
  </si>
  <si>
    <t>AR3</t>
  </si>
  <si>
    <t>AR4</t>
  </si>
  <si>
    <t>AR5</t>
  </si>
  <si>
    <t>AR6</t>
  </si>
  <si>
    <t>AR7</t>
  </si>
  <si>
    <t>AZ1</t>
  </si>
  <si>
    <t>AZ2</t>
  </si>
  <si>
    <t>AZ3</t>
  </si>
  <si>
    <t>AZ4</t>
  </si>
  <si>
    <t>AZ5</t>
  </si>
  <si>
    <t>AZ6</t>
  </si>
  <si>
    <t>AZ7</t>
  </si>
  <si>
    <t>CA1</t>
  </si>
  <si>
    <t>DE1</t>
  </si>
  <si>
    <t>CA2</t>
  </si>
  <si>
    <t>FL1</t>
  </si>
  <si>
    <t>CA3</t>
  </si>
  <si>
    <t>FL2</t>
  </si>
  <si>
    <t>CA4</t>
  </si>
  <si>
    <t>FL3</t>
  </si>
  <si>
    <t>CA5</t>
  </si>
  <si>
    <t>FL4</t>
  </si>
  <si>
    <t>CA6</t>
  </si>
  <si>
    <t>FL5</t>
  </si>
  <si>
    <t>CA7</t>
  </si>
  <si>
    <t>FL6</t>
  </si>
  <si>
    <t>CA8</t>
  </si>
  <si>
    <t>FL7</t>
  </si>
  <si>
    <t>CA9</t>
  </si>
  <si>
    <t>FL8</t>
  </si>
  <si>
    <t>CA10</t>
  </si>
  <si>
    <t>FL9</t>
  </si>
  <si>
    <t>CA11</t>
  </si>
  <si>
    <t>FL10</t>
  </si>
  <si>
    <t>CA12</t>
  </si>
  <si>
    <t>FL11</t>
  </si>
  <si>
    <t>CA13</t>
  </si>
  <si>
    <t>FL12</t>
  </si>
  <si>
    <t>CA14</t>
  </si>
  <si>
    <t>FL13</t>
  </si>
  <si>
    <t>CA15</t>
  </si>
  <si>
    <t>FL14</t>
  </si>
  <si>
    <t>CA16</t>
  </si>
  <si>
    <t>FL15</t>
  </si>
  <si>
    <t>CA17</t>
  </si>
  <si>
    <t>FL16</t>
  </si>
  <si>
    <t>CA18</t>
  </si>
  <si>
    <t>FL17</t>
  </si>
  <si>
    <t>CA19</t>
  </si>
  <si>
    <t>FL18</t>
  </si>
  <si>
    <t>CO1</t>
  </si>
  <si>
    <t>FL19</t>
  </si>
  <si>
    <t>CO2</t>
  </si>
  <si>
    <t>FL20</t>
  </si>
  <si>
    <t>CO3</t>
  </si>
  <si>
    <t>FL21</t>
  </si>
  <si>
    <t>CO4</t>
  </si>
  <si>
    <t>FL22</t>
  </si>
  <si>
    <t>CO5</t>
  </si>
  <si>
    <t>FL23</t>
  </si>
  <si>
    <t>CO6</t>
  </si>
  <si>
    <t>FL24</t>
  </si>
  <si>
    <t>CO7</t>
  </si>
  <si>
    <t>FL25</t>
  </si>
  <si>
    <t>CO8</t>
  </si>
  <si>
    <t>FL26</t>
  </si>
  <si>
    <t>CO9</t>
  </si>
  <si>
    <t>FL27</t>
  </si>
  <si>
    <t>CO10</t>
  </si>
  <si>
    <t>FL28</t>
  </si>
  <si>
    <t>CO11</t>
  </si>
  <si>
    <t>FL29</t>
  </si>
  <si>
    <t>CT1</t>
  </si>
  <si>
    <t>FL30</t>
  </si>
  <si>
    <t>CT2</t>
  </si>
  <si>
    <t>FL31</t>
  </si>
  <si>
    <t>CT3</t>
  </si>
  <si>
    <t>FL32</t>
  </si>
  <si>
    <t>CT4</t>
  </si>
  <si>
    <t>FL33</t>
  </si>
  <si>
    <t>CT5</t>
  </si>
  <si>
    <t>FL34</t>
  </si>
  <si>
    <t>CT6</t>
  </si>
  <si>
    <t>FL35</t>
  </si>
  <si>
    <t>CT7</t>
  </si>
  <si>
    <t>FL36</t>
  </si>
  <si>
    <t>CT8</t>
  </si>
  <si>
    <t>FL37</t>
  </si>
  <si>
    <t>DC1</t>
  </si>
  <si>
    <t>FL38</t>
  </si>
  <si>
    <t>FL39</t>
  </si>
  <si>
    <t>FL40</t>
  </si>
  <si>
    <t>FL41</t>
  </si>
  <si>
    <t>FL42</t>
  </si>
  <si>
    <t>FL43</t>
  </si>
  <si>
    <t>FL44</t>
  </si>
  <si>
    <t>FL45</t>
  </si>
  <si>
    <t>FL46</t>
  </si>
  <si>
    <t>FL47</t>
  </si>
  <si>
    <t>FL48</t>
  </si>
  <si>
    <t>FL49</t>
  </si>
  <si>
    <t>FL50</t>
  </si>
  <si>
    <t>FL51</t>
  </si>
  <si>
    <t>FL52</t>
  </si>
  <si>
    <t>FL53</t>
  </si>
  <si>
    <t>FL54</t>
  </si>
  <si>
    <t>FL55</t>
  </si>
  <si>
    <t>FL56</t>
  </si>
  <si>
    <t>FL57</t>
  </si>
  <si>
    <t>FL58</t>
  </si>
  <si>
    <t>FL59</t>
  </si>
  <si>
    <t>FL60</t>
  </si>
  <si>
    <t>FL61</t>
  </si>
  <si>
    <t>FL62</t>
  </si>
  <si>
    <t>FL63</t>
  </si>
  <si>
    <t>FL64</t>
  </si>
  <si>
    <t>FL65</t>
  </si>
  <si>
    <t>FL66</t>
  </si>
  <si>
    <t>FL67</t>
  </si>
  <si>
    <t>GA1</t>
  </si>
  <si>
    <t>GA2</t>
  </si>
  <si>
    <t>GA3</t>
  </si>
  <si>
    <t>GA4</t>
  </si>
  <si>
    <t>GA5</t>
  </si>
  <si>
    <t>GA6</t>
  </si>
  <si>
    <t>GA7</t>
  </si>
  <si>
    <t>GA8</t>
  </si>
  <si>
    <t>GA9</t>
  </si>
  <si>
    <t>GA10</t>
  </si>
  <si>
    <t>GA11</t>
  </si>
  <si>
    <t>GA12</t>
  </si>
  <si>
    <t>GA13</t>
  </si>
  <si>
    <t>GA14</t>
  </si>
  <si>
    <t>GA15</t>
  </si>
  <si>
    <t>GA16</t>
  </si>
  <si>
    <t>IA1</t>
  </si>
  <si>
    <t>IA2</t>
  </si>
  <si>
    <t>IA3</t>
  </si>
  <si>
    <t>IA4</t>
  </si>
  <si>
    <t>IA5</t>
  </si>
  <si>
    <t>IA6</t>
  </si>
  <si>
    <t>IA7</t>
  </si>
  <si>
    <t>IL1</t>
  </si>
  <si>
    <t>IL2</t>
  </si>
  <si>
    <t>IL3</t>
  </si>
  <si>
    <t>IL4</t>
  </si>
  <si>
    <t>IL5</t>
  </si>
  <si>
    <t>IL6</t>
  </si>
  <si>
    <t>IL7</t>
  </si>
  <si>
    <t>IL8</t>
  </si>
  <si>
    <t>IL9</t>
  </si>
  <si>
    <t>IL10</t>
  </si>
  <si>
    <t>IL11</t>
  </si>
  <si>
    <t>IL12</t>
  </si>
  <si>
    <t>IL13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</si>
  <si>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</si>
  <si>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</si>
  <si>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</si>
  <si>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</si>
  <si>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</si>
  <si>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</si>
  <si>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</si>
  <si>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</si>
  <si>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</si>
  <si>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</si>
  <si>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</si>
  <si>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</si>
  <si>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</si>
  <si>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</si>
  <si>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</si>
  <si>
    <t>IN16</t>
  </si>
  <si>
    <t>IN17</t>
  </si>
  <si>
    <t>KS1</t>
  </si>
  <si>
    <t>KS2</t>
  </si>
  <si>
    <t>HI1</t>
  </si>
  <si>
    <t>KS3</t>
  </si>
  <si>
    <t>KS4</t>
  </si>
  <si>
    <t>KS5</t>
  </si>
  <si>
    <t>KS6</t>
  </si>
  <si>
    <t>KS7</t>
  </si>
  <si>
    <t>LA1</t>
  </si>
  <si>
    <t>LA2</t>
  </si>
  <si>
    <t>LA3</t>
  </si>
  <si>
    <t>ID1</t>
  </si>
  <si>
    <t>LA4</t>
  </si>
  <si>
    <t>ID2</t>
  </si>
  <si>
    <t>LA5</t>
  </si>
  <si>
    <t>ID3</t>
  </si>
  <si>
    <t>LA6</t>
  </si>
  <si>
    <t>ID4</t>
  </si>
  <si>
    <t>LA7</t>
  </si>
  <si>
    <t>ID5</t>
  </si>
  <si>
    <t>LA8</t>
  </si>
  <si>
    <t>ID6</t>
  </si>
  <si>
    <t>ME1</t>
  </si>
  <si>
    <t>ID7</t>
  </si>
  <si>
    <t>ME2</t>
  </si>
  <si>
    <t>ME3</t>
  </si>
  <si>
    <t>ME4</t>
  </si>
  <si>
    <t>MI1</t>
  </si>
  <si>
    <t>MI2</t>
  </si>
  <si>
    <t>MI3</t>
  </si>
  <si>
    <t>MI4</t>
  </si>
  <si>
    <t>MI5</t>
  </si>
  <si>
    <t>MI6</t>
  </si>
  <si>
    <t>MI7</t>
  </si>
  <si>
    <t>MI8</t>
  </si>
  <si>
    <t>MI9</t>
  </si>
  <si>
    <t>MI10</t>
  </si>
  <si>
    <t>MI11</t>
  </si>
  <si>
    <t>MI12</t>
  </si>
  <si>
    <t>MI13</t>
  </si>
  <si>
    <t>MI14</t>
  </si>
  <si>
    <t>MI15</t>
  </si>
  <si>
    <t>MI16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</si>
  <si>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</si>
  <si>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</si>
  <si>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</si>
  <si>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</si>
  <si>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</si>
  <si>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</si>
  <si>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</si>
  <si>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</si>
  <si>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</si>
  <si>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MO10</t>
  </si>
  <si>
    <t>MS1</t>
  </si>
  <si>
    <t>MS2</t>
  </si>
  <si>
    <t>MS3</t>
  </si>
  <si>
    <t>MS4</t>
  </si>
  <si>
    <t>MS5</t>
  </si>
  <si>
    <t>MS6</t>
  </si>
  <si>
    <t>MT1</t>
  </si>
  <si>
    <t>MT2</t>
  </si>
  <si>
    <t>MT3</t>
  </si>
  <si>
    <t>KY1</t>
  </si>
  <si>
    <t>MT4</t>
  </si>
  <si>
    <t>KY2</t>
  </si>
  <si>
    <t>NC1</t>
  </si>
  <si>
    <t>KY3</t>
  </si>
  <si>
    <t>NC2</t>
  </si>
  <si>
    <t>KY4</t>
  </si>
  <si>
    <t>NC3</t>
  </si>
  <si>
    <t>KY5</t>
  </si>
  <si>
    <t>NC4</t>
  </si>
  <si>
    <t>KY6</t>
  </si>
  <si>
    <t>NC5</t>
  </si>
  <si>
    <t>KY7</t>
  </si>
  <si>
    <t>NC6</t>
  </si>
  <si>
    <t>KY8</t>
  </si>
  <si>
    <t>NC7</t>
  </si>
  <si>
    <t>NC8</t>
  </si>
  <si>
    <t>NC9</t>
  </si>
  <si>
    <t>NC10</t>
  </si>
  <si>
    <t>NC11</t>
  </si>
  <si>
    <t>NC12</t>
  </si>
  <si>
    <t>NC13</t>
  </si>
  <si>
    <t>NC14</t>
  </si>
  <si>
    <t>NC15</t>
  </si>
  <si>
    <t>MA1</t>
  </si>
  <si>
    <t>NC16</t>
  </si>
  <si>
    <t>MA2</t>
  </si>
  <si>
    <t>ND1</t>
  </si>
  <si>
    <t>MA3</t>
  </si>
  <si>
    <t>ND2</t>
  </si>
  <si>
    <t>MA4</t>
  </si>
  <si>
    <t>ND3</t>
  </si>
  <si>
    <t>MA5</t>
  </si>
  <si>
    <t>ND4</t>
  </si>
  <si>
    <t>MA6</t>
  </si>
  <si>
    <t>NE1</t>
  </si>
  <si>
    <t>MA7</t>
  </si>
  <si>
    <t>NE2</t>
  </si>
  <si>
    <t>MD1</t>
  </si>
  <si>
    <t>NE3</t>
  </si>
  <si>
    <t>MD2</t>
  </si>
  <si>
    <t>NE4</t>
  </si>
  <si>
    <t>MD3</t>
  </si>
  <si>
    <t>NH1</t>
  </si>
  <si>
    <t>MD4</t>
  </si>
  <si>
    <t>NJ1</t>
  </si>
  <si>
    <t>NM1</t>
  </si>
  <si>
    <t>NM2</t>
  </si>
  <si>
    <t>NM3</t>
  </si>
  <si>
    <t>NM4</t>
  </si>
  <si>
    <t>NM5</t>
  </si>
  <si>
    <t>NV1</t>
  </si>
  <si>
    <t>NV2</t>
  </si>
  <si>
    <t>NV3</t>
  </si>
  <si>
    <t>NV4</t>
  </si>
  <si>
    <t>OH1</t>
  </si>
  <si>
    <t>OH2</t>
  </si>
  <si>
    <t>OH3</t>
  </si>
  <si>
    <t>OH4</t>
  </si>
  <si>
    <t>OH5</t>
  </si>
  <si>
    <t>OH6</t>
  </si>
  <si>
    <t>OH7</t>
  </si>
  <si>
    <t>OH8</t>
  </si>
  <si>
    <t>OH9</t>
  </si>
  <si>
    <t>OH10</t>
  </si>
  <si>
    <t>OH11</t>
  </si>
  <si>
    <t>MN1</t>
  </si>
  <si>
    <t>OH12</t>
  </si>
  <si>
    <t>MN2</t>
  </si>
  <si>
    <t>OH13</t>
  </si>
  <si>
    <t>MN3</t>
  </si>
  <si>
    <t>OH14</t>
  </si>
  <si>
    <t>MN4</t>
  </si>
  <si>
    <t>OH15</t>
  </si>
  <si>
    <t>MN5</t>
  </si>
  <si>
    <t>OH16</t>
  </si>
  <si>
    <t>MN6</t>
  </si>
  <si>
    <t>OH17</t>
  </si>
  <si>
    <t>MN7</t>
  </si>
  <si>
    <t>OK1</t>
  </si>
  <si>
    <t>MN8</t>
  </si>
  <si>
    <t>OK2</t>
  </si>
  <si>
    <t>MN9</t>
  </si>
  <si>
    <t>OK3</t>
  </si>
  <si>
    <t>OK4</t>
  </si>
  <si>
    <t>OK5</t>
  </si>
  <si>
    <t>OR1</t>
  </si>
  <si>
    <t>OR2</t>
  </si>
  <si>
    <t>OR3</t>
  </si>
  <si>
    <t>OR4</t>
  </si>
  <si>
    <t>OR5</t>
  </si>
  <si>
    <t>OR6</t>
  </si>
  <si>
    <t>OR7</t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</si>
  <si>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</si>
  <si>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</si>
  <si>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</si>
  <si>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</si>
  <si>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</si>
  <si>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</si>
  <si>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</si>
  <si>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</si>
  <si>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</si>
  <si>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</si>
  <si>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</si>
  <si>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</si>
  <si>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</si>
  <si>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</si>
  <si>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</si>
  <si>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</si>
  <si>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</si>
  <si>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</si>
  <si>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</si>
  <si>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</si>
  <si>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</si>
  <si>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</si>
  <si>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</si>
  <si>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</si>
  <si>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</si>
  <si>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</si>
  <si>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</si>
  <si>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</si>
  <si>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</si>
  <si>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</si>
  <si>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</si>
  <si>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</si>
  <si>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</si>
  <si>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</si>
  <si>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SC26</t>
  </si>
  <si>
    <t>SC27</t>
  </si>
  <si>
    <t>SC28</t>
  </si>
  <si>
    <t>SC29</t>
  </si>
  <si>
    <t>SC30</t>
  </si>
  <si>
    <t>SC31</t>
  </si>
  <si>
    <t>SC32</t>
  </si>
  <si>
    <t>SC33</t>
  </si>
  <si>
    <t>SC34</t>
  </si>
  <si>
    <t>SC35</t>
  </si>
  <si>
    <t>SC36</t>
  </si>
  <si>
    <t>SC37</t>
  </si>
  <si>
    <t>NY1</t>
  </si>
  <si>
    <t>SC38</t>
  </si>
  <si>
    <t>NY2</t>
  </si>
  <si>
    <t>SC39</t>
  </si>
  <si>
    <t>NY3</t>
  </si>
  <si>
    <t>SC40</t>
  </si>
  <si>
    <t>NY4</t>
  </si>
  <si>
    <t>SC41</t>
  </si>
  <si>
    <t>NY5</t>
  </si>
  <si>
    <t>SC42</t>
  </si>
  <si>
    <t>NY6</t>
  </si>
  <si>
    <t>SC43</t>
  </si>
  <si>
    <t>NY7</t>
  </si>
  <si>
    <t>SC44</t>
  </si>
  <si>
    <t>NY8</t>
  </si>
  <si>
    <t>SC45</t>
  </si>
  <si>
    <t>SC46</t>
  </si>
  <si>
    <t>SD1</t>
  </si>
  <si>
    <t>SD2</t>
  </si>
  <si>
    <t>SD3</t>
  </si>
  <si>
    <t>SD4</t>
  </si>
  <si>
    <t>TN1</t>
  </si>
  <si>
    <t>TN2</t>
  </si>
  <si>
    <t>TN3</t>
  </si>
  <si>
    <t>TN4</t>
  </si>
  <si>
    <t>TN5</t>
  </si>
  <si>
    <t>TN6</t>
  </si>
  <si>
    <t>TN7</t>
  </si>
  <si>
    <t>TN8</t>
  </si>
  <si>
    <t>TX1</t>
  </si>
  <si>
    <t>TX2</t>
  </si>
  <si>
    <t>TX3</t>
  </si>
  <si>
    <t>TX4</t>
  </si>
  <si>
    <t>TX5</t>
  </si>
  <si>
    <t>TX6</t>
  </si>
  <si>
    <t>TX7</t>
  </si>
  <si>
    <t>TX8</t>
  </si>
  <si>
    <t>TX9</t>
  </si>
  <si>
    <t>TX10</t>
  </si>
  <si>
    <t>TX11</t>
  </si>
  <si>
    <t>TX12</t>
  </si>
  <si>
    <t>TX13</t>
  </si>
  <si>
    <t>TX14</t>
  </si>
  <si>
    <t>TX15</t>
  </si>
  <si>
    <t>TX16</t>
  </si>
  <si>
    <t>TX17</t>
  </si>
  <si>
    <t>TX18</t>
  </si>
  <si>
    <t>TX19</t>
  </si>
  <si>
    <t>TX20</t>
  </si>
  <si>
    <t>TX21</t>
  </si>
  <si>
    <t>TX22</t>
  </si>
  <si>
    <t>TX23</t>
  </si>
  <si>
    <t>TX24</t>
  </si>
  <si>
    <t>TX25</t>
  </si>
  <si>
    <t>TX26</t>
  </si>
  <si>
    <t>RI1</t>
  </si>
  <si>
    <t>UT1</t>
  </si>
  <si>
    <t>UT2</t>
  </si>
  <si>
    <t>UT3</t>
  </si>
  <si>
    <t>UT4</t>
  </si>
  <si>
    <t>UT5</t>
  </si>
  <si>
    <t>UT6</t>
  </si>
  <si>
    <t>VA1</t>
  </si>
  <si>
    <t>VA2</t>
  </si>
  <si>
    <t>VA3</t>
  </si>
  <si>
    <t>VA4</t>
  </si>
  <si>
    <t>VA5</t>
  </si>
  <si>
    <t>VA6</t>
  </si>
  <si>
    <t>VA7</t>
  </si>
  <si>
    <t>VA8</t>
  </si>
  <si>
    <t>VA9</t>
  </si>
  <si>
    <t>VA10</t>
  </si>
  <si>
    <t>VA11</t>
  </si>
  <si>
    <t>VA12</t>
  </si>
  <si>
    <t>WI1</t>
  </si>
  <si>
    <t>WI2</t>
  </si>
  <si>
    <t>WI3</t>
  </si>
  <si>
    <t>WI4</t>
  </si>
  <si>
    <t>WI5</t>
  </si>
  <si>
    <t>WI6</t>
  </si>
  <si>
    <t>WI7</t>
  </si>
  <si>
    <t>WI8</t>
  </si>
  <si>
    <t>WI9</t>
  </si>
  <si>
    <t>WI10</t>
  </si>
  <si>
    <t>WI11</t>
  </si>
  <si>
    <t>WI12</t>
  </si>
  <si>
    <t>WI13</t>
  </si>
  <si>
    <t>WI14</t>
  </si>
  <si>
    <t>WI15</t>
  </si>
  <si>
    <t>WI16</t>
  </si>
  <si>
    <t>WV1</t>
  </si>
  <si>
    <t>WV2</t>
  </si>
  <si>
    <t>WV3</t>
  </si>
  <si>
    <t>WV4</t>
  </si>
  <si>
    <t>WV5</t>
  </si>
  <si>
    <t>WV6</t>
  </si>
  <si>
    <t>WV7</t>
  </si>
  <si>
    <t>WV8</t>
  </si>
  <si>
    <t>WV9</t>
  </si>
  <si>
    <t>WV10</t>
  </si>
  <si>
    <t>WV11</t>
  </si>
  <si>
    <t>WY1</t>
  </si>
  <si>
    <t>WY2</t>
  </si>
  <si>
    <t>WY3</t>
  </si>
  <si>
    <t>VT1</t>
  </si>
  <si>
    <t>WA1</t>
  </si>
  <si>
    <t>WA2</t>
  </si>
  <si>
    <t>WA3</t>
  </si>
  <si>
    <t>WA4</t>
  </si>
  <si>
    <t>WA5</t>
  </si>
  <si>
    <t>State Specific Age Curve Variations</t>
  </si>
  <si>
    <t>0-20</t>
  </si>
  <si>
    <t>64 and older</t>
  </si>
  <si>
    <t>HHS Default</t>
  </si>
  <si>
    <t>District of Columbia</t>
  </si>
  <si>
    <t>Massachusetts</t>
  </si>
  <si>
    <t>Minnesota</t>
  </si>
  <si>
    <t>Utah</t>
  </si>
  <si>
    <r>
      <rPr>
        <b/>
        <sz val="12"/>
        <color rgb="FF000000"/>
        <rFont val="Calibri"/>
        <family val="2"/>
      </rPr>
      <t>New Jersey</t>
    </r>
    <r>
      <rPr>
        <sz val="12"/>
        <color rgb="FF000000"/>
        <rFont val="Calibri"/>
        <family val="2"/>
      </rPr>
      <t xml:space="preserve"> (Small group only, uses HHS default for individual)</t>
    </r>
  </si>
  <si>
    <t>One Adult</t>
  </si>
  <si>
    <t>Two Adults</t>
  </si>
  <si>
    <t>One Adult and One or More Children</t>
  </si>
  <si>
    <t>Two Adults and One or More Children</t>
  </si>
  <si>
    <t>New York</t>
  </si>
  <si>
    <t>Vermont</t>
  </si>
  <si>
    <t>Other</t>
  </si>
  <si>
    <t>min</t>
  </si>
  <si>
    <t>max</t>
  </si>
  <si>
    <t>UNIQUE</t>
  </si>
  <si>
    <t>YEAR</t>
  </si>
  <si>
    <t>PLANID</t>
  </si>
  <si>
    <t>ST</t>
  </si>
  <si>
    <t>AREA</t>
  </si>
  <si>
    <t>CARRIER</t>
  </si>
  <si>
    <t>PLANNAME</t>
  </si>
  <si>
    <t>METAL</t>
  </si>
  <si>
    <t>PLANTYPE</t>
  </si>
  <si>
    <t>CARRIERTYPE</t>
  </si>
  <si>
    <t>PREMI27</t>
  </si>
  <si>
    <t>Bronze</t>
  </si>
  <si>
    <t>Gold</t>
  </si>
  <si>
    <t>Humana, Inc.</t>
  </si>
  <si>
    <t>UnitedHealthcare Bronze Compass 4200</t>
  </si>
  <si>
    <t>UnitedHealthcare Bronze Compass HSA 6275</t>
  </si>
  <si>
    <t>UnitedHealthcare Gold Compass 1000</t>
  </si>
  <si>
    <t>UnitedHealthcare Gold Compass HSA 1300</t>
  </si>
  <si>
    <t>UnitedHealthcare Silver Compass 2000</t>
  </si>
  <si>
    <t>UnitedHealthcare Silver Compass 5000</t>
  </si>
  <si>
    <t>UnitedHealthcare Silver Compass HSA 3600</t>
  </si>
  <si>
    <t>Ambetter Balanced Care 1</t>
  </si>
  <si>
    <t>Ambetter Balanced Care 1 + Vision</t>
  </si>
  <si>
    <t>Ambetter Balanced Care 1 + Vision + Adult Dental</t>
  </si>
  <si>
    <t>Ambetter Balanced Care 2</t>
  </si>
  <si>
    <t>Ambetter Balanced Care 2 + Vision</t>
  </si>
  <si>
    <t>Ambetter Balanced Care 2 + Vision + Adult Dental</t>
  </si>
  <si>
    <t>Ambetter Essential Care 1</t>
  </si>
  <si>
    <t>Ambetter Essential Care 1 + Vision</t>
  </si>
  <si>
    <t>Ambetter Essential Care 1 + Vision + Adult Dental</t>
  </si>
  <si>
    <t>Cigna Healthcare</t>
  </si>
  <si>
    <t>Ambetter Balanced Care 3</t>
  </si>
  <si>
    <t>Ambetter Balanced Care 3 + Vision</t>
  </si>
  <si>
    <t>Ambetter Balanced Care 3 + Vision + Adult Dental</t>
  </si>
  <si>
    <t>Ambetter Balanced Care 4</t>
  </si>
  <si>
    <t>Ambetter Balanced Care 4 + Vision</t>
  </si>
  <si>
    <t>Ambetter Balanced Care 4 + Vision + Adult Dental</t>
  </si>
  <si>
    <t>Ambetter Balanced Care 5</t>
  </si>
  <si>
    <t>Ambetter Balanced Care 5 + Vision</t>
  </si>
  <si>
    <t>Ambetter Balanced Care 5 + Vision + Adult Dental</t>
  </si>
  <si>
    <t>Ambetter Essential Care 2</t>
  </si>
  <si>
    <t>Ambetter Essential Care 2 + Vision</t>
  </si>
  <si>
    <t>Ambetter Essential Care 2 + Vision + Adult Dental</t>
  </si>
  <si>
    <t>Ambetter Essential Care 3 with 3 Free PCP Visits</t>
  </si>
  <si>
    <t>Ambetter Essential Care 3 with 3 Free PCP Visits + Vision</t>
  </si>
  <si>
    <t>Ambetter Essential Care 3 with 3 Free PCP Visits + Vision + Adult Dental</t>
  </si>
  <si>
    <t>Ambetter Essential Care 4 with 3 Free PCP Visits</t>
  </si>
  <si>
    <t>Ambetter Essential Care 4 with 3 Free PCP Visits + Vision</t>
  </si>
  <si>
    <t>Ambetter Essential Care 4 with 3 Free PCP Visits + Vision + Adult Dental</t>
  </si>
  <si>
    <t>Ambetter Secure Care 1 with 3 Free PCP Visits</t>
  </si>
  <si>
    <t>Ambetter Secure Care 1 with 3 Free PCP Visits + Vision</t>
  </si>
  <si>
    <t>Ambetter Secure Care 1 with 3 Free PCP Visits + Vision + Adult Dental</t>
  </si>
  <si>
    <t>Ambetter Secure Care 2</t>
  </si>
  <si>
    <t>Ambetter Secure Care 2 + Vision</t>
  </si>
  <si>
    <t>Ambetter Secure Care 2 + Vision + Adult Dental</t>
  </si>
  <si>
    <t>myCigna Health Flex 1000</t>
  </si>
  <si>
    <t>myCigna Health Flex 5000 Bronze</t>
  </si>
  <si>
    <t>83761GA0040001</t>
  </si>
  <si>
    <t>SoloCare - 0040001</t>
  </si>
  <si>
    <t>83761GA0040002</t>
  </si>
  <si>
    <t>SoloCare - 0040002</t>
  </si>
  <si>
    <t>83761GA0040003</t>
  </si>
  <si>
    <t>SoloCare - 0040003</t>
  </si>
  <si>
    <t>83761GA0040004</t>
  </si>
  <si>
    <t>SoloCare - 0040004</t>
  </si>
  <si>
    <t>83761GA0040006</t>
  </si>
  <si>
    <t>SoloCare - 0040006</t>
  </si>
  <si>
    <t>83761GA0040007</t>
  </si>
  <si>
    <t>SoloCare - 0040007</t>
  </si>
  <si>
    <t>83761GA0040008</t>
  </si>
  <si>
    <t>SoloCare - 0040008</t>
  </si>
  <si>
    <t>83761GA0040009</t>
  </si>
  <si>
    <t>SoloCare - 0040009</t>
  </si>
  <si>
    <t>SoloCare - 0040010</t>
  </si>
  <si>
    <t>83761GA0040011</t>
  </si>
  <si>
    <t>SoloCare - 0040011</t>
  </si>
  <si>
    <t>83761GA0040012</t>
  </si>
  <si>
    <t>SoloCare - 0040012</t>
  </si>
  <si>
    <t>83761GA0040013</t>
  </si>
  <si>
    <t>SoloCare - 0040013</t>
  </si>
  <si>
    <t>83761GA0040014</t>
  </si>
  <si>
    <t>SoloCare - 0040014</t>
  </si>
  <si>
    <t>SoloCare - 0040015</t>
  </si>
  <si>
    <t>83761GA0040016</t>
  </si>
  <si>
    <t>SoloCare - 0040016</t>
  </si>
  <si>
    <t>83761GA0040017</t>
  </si>
  <si>
    <t>SoloCare - 0040017</t>
  </si>
  <si>
    <t>83761GA0040019</t>
  </si>
  <si>
    <t>SoloCare - 0040019</t>
  </si>
  <si>
    <t>83761GA0040020</t>
  </si>
  <si>
    <t>SoloCare - 0040020</t>
  </si>
  <si>
    <t>83761GA0040021</t>
  </si>
  <si>
    <t>SoloCare - 0040021</t>
  </si>
  <si>
    <t>83761GA0040005</t>
  </si>
  <si>
    <t>SoloCare - 004005</t>
  </si>
  <si>
    <t>45495GA0010015</t>
  </si>
  <si>
    <t>45495GA0020015</t>
  </si>
  <si>
    <t>45495GA0030015</t>
  </si>
  <si>
    <t>45495GA0010014</t>
  </si>
  <si>
    <t>45495GA0020014</t>
  </si>
  <si>
    <t>45495GA0030014</t>
  </si>
  <si>
    <t>45495GA0010017</t>
  </si>
  <si>
    <t>45495GA0020017</t>
  </si>
  <si>
    <t>45495GA0030017</t>
  </si>
  <si>
    <t>45495GA0010016</t>
  </si>
  <si>
    <t>45495GA0020016</t>
  </si>
  <si>
    <t>45495GA0030016</t>
  </si>
  <si>
    <t>45495GA0010012</t>
  </si>
  <si>
    <t>45495GA0020012</t>
  </si>
  <si>
    <t>45495GA0030012</t>
  </si>
  <si>
    <t>45495GA0010013</t>
  </si>
  <si>
    <t>45495GA0020013</t>
  </si>
  <si>
    <t>45495GA0030013</t>
  </si>
  <si>
    <t>45495GA0010004</t>
  </si>
  <si>
    <t>45495GA0020004</t>
  </si>
  <si>
    <t>45495GA0030004</t>
  </si>
  <si>
    <t>45495GA0010002</t>
  </si>
  <si>
    <t>45495GA0020002</t>
  </si>
  <si>
    <t>45495GA0030002</t>
  </si>
  <si>
    <t>49046GA0410015</t>
  </si>
  <si>
    <t>Blue Cross Blue Shield Healthcare Plan of Georgia</t>
  </si>
  <si>
    <t>BCBSHP Bronze Pathway X HMO 0 for HSA</t>
  </si>
  <si>
    <t>49046GA0410016</t>
  </si>
  <si>
    <t>BCBSHP Bronze Pathway X HMO 20 for HSA</t>
  </si>
  <si>
    <t>49046GA0410021</t>
  </si>
  <si>
    <t>BCBSHP Bronze Pathway X HMO 30 for HSA</t>
  </si>
  <si>
    <t>49046GA0410017</t>
  </si>
  <si>
    <t>BCBSHP Bronze Pathway X HMO 4300 20</t>
  </si>
  <si>
    <t>49046GA0410022</t>
  </si>
  <si>
    <t>BCBSHP Bronze Pathway X HMO 5500 40</t>
  </si>
  <si>
    <t>49046GA0410019</t>
  </si>
  <si>
    <t>BCBSHP Silver Pathway X HMO 10 for HSA</t>
  </si>
  <si>
    <t>49046GA0410023</t>
  </si>
  <si>
    <t>BCBSHP Silver Pathway X HMO 2000 25</t>
  </si>
  <si>
    <t>49046GA0410020</t>
  </si>
  <si>
    <t>BCBSHP Silver Pathway X HMO 3000 10</t>
  </si>
  <si>
    <t>49046GA0410018</t>
  </si>
  <si>
    <t>BCBSHP Silver Pathway X HMO 3500 0</t>
  </si>
  <si>
    <t>49046GA0410024</t>
  </si>
  <si>
    <t>BCBSHP Silver Pathway X HMO 3500 25</t>
  </si>
  <si>
    <t>49046GA0610004</t>
  </si>
  <si>
    <t>Blue Cross and Blue Shield Healthcare Plan of Georgia Gold DirectAccess, a Multi-State Plan</t>
  </si>
  <si>
    <t>49046GA0610003</t>
  </si>
  <si>
    <t>50491GA0020006</t>
  </si>
  <si>
    <t>50491GA0020004</t>
  </si>
  <si>
    <t>myCigna Health Flex 2000</t>
  </si>
  <si>
    <t>50491GA0020005</t>
  </si>
  <si>
    <t>myCigna Health Flex 3000</t>
  </si>
  <si>
    <t>50491GA0020002</t>
  </si>
  <si>
    <t>50491GA0020003</t>
  </si>
  <si>
    <t>50491GA0020001</t>
  </si>
  <si>
    <t>myCigna Health Savings 6000</t>
  </si>
  <si>
    <t>47783GA0510001</t>
  </si>
  <si>
    <t>Coventry Health Care of Georgia, Inc.</t>
  </si>
  <si>
    <t>Coventry Bronze $20 Copay HMO Albany</t>
  </si>
  <si>
    <t>47783GA0510002</t>
  </si>
  <si>
    <t>Coventry Bronze $20 Copay HMO Atlanta</t>
  </si>
  <si>
    <t>47783GA0510003</t>
  </si>
  <si>
    <t>Coventry Bronze $20 Copay HMO Columbus</t>
  </si>
  <si>
    <t>47783GA0510004</t>
  </si>
  <si>
    <t>Coventry Bronze $20 Copay HMO Hall</t>
  </si>
  <si>
    <t>47783GA0510005</t>
  </si>
  <si>
    <t>Coventry Bronze $20 Copay HMO Macon</t>
  </si>
  <si>
    <t>47783GA0510006</t>
  </si>
  <si>
    <t>Coventry Bronze $20 Copay HMO Savannah</t>
  </si>
  <si>
    <t>47783GA0510007</t>
  </si>
  <si>
    <t>Coventry Bronze $20 Copay HMO SEGA</t>
  </si>
  <si>
    <t>47783GA0510008</t>
  </si>
  <si>
    <t>Coventry Bronze $20 Copay HMO Valdosta</t>
  </si>
  <si>
    <t>47783GA0510009</t>
  </si>
  <si>
    <t>Coventry Bronze Ded Only HSA Eligible HMO Albany</t>
  </si>
  <si>
    <t>47783GA0510010</t>
  </si>
  <si>
    <t>Coventry Bronze Ded Only HSA Eligible HMO Atlanta</t>
  </si>
  <si>
    <t>47783GA0510011</t>
  </si>
  <si>
    <t>Coventry Bronze Ded Only HSA Eligible HMO Columbus</t>
  </si>
  <si>
    <t>47783GA0510012</t>
  </si>
  <si>
    <t>Coventry Bronze Ded Only HSA Eligible HMO Hall</t>
  </si>
  <si>
    <t>47783GA0510013</t>
  </si>
  <si>
    <t>Coventry Bronze Ded Only HSA Eligible HMO Macon</t>
  </si>
  <si>
    <t>47783GA0510014</t>
  </si>
  <si>
    <t>Coventry Bronze Ded Only HSA Eligible HMO Savannah</t>
  </si>
  <si>
    <t>47783GA0510015</t>
  </si>
  <si>
    <t>Coventry Bronze Ded Only HSA Eligible HMO SEGA</t>
  </si>
  <si>
    <t>47783GA0510016</t>
  </si>
  <si>
    <t>Coventry Bronze Ded Only HSA Eligible HMO Valdosta</t>
  </si>
  <si>
    <t>47783GA0510017</t>
  </si>
  <si>
    <t>Coventry Gold $5 Copay HMO Albany</t>
  </si>
  <si>
    <t>47783GA0510018</t>
  </si>
  <si>
    <t>Coventry Gold $5 Copay HMO Atlanta</t>
  </si>
  <si>
    <t>47783GA0510019</t>
  </si>
  <si>
    <t>Coventry Gold $5 Copay HMO Columbus</t>
  </si>
  <si>
    <t>47783GA0510020</t>
  </si>
  <si>
    <t>Coventry Gold $5 Copay HMO Hall</t>
  </si>
  <si>
    <t>47783GA0510021</t>
  </si>
  <si>
    <t>Coventry Gold $5 Copay HMO Macon</t>
  </si>
  <si>
    <t>47783GA0510022</t>
  </si>
  <si>
    <t>Coventry Gold $5 Copay HMO Savannah</t>
  </si>
  <si>
    <t>47783GA0510023</t>
  </si>
  <si>
    <t>Coventry Gold $5 Copay HMO SEGA</t>
  </si>
  <si>
    <t>47783GA0510024</t>
  </si>
  <si>
    <t>Coventry Gold $5 Copay HMO Valdosta</t>
  </si>
  <si>
    <t>47783GA0510025</t>
  </si>
  <si>
    <t>Coventry Silver $10 Copay HMO Albany</t>
  </si>
  <si>
    <t>47783GA0510026</t>
  </si>
  <si>
    <t>Coventry Silver $10 Copay HMO Atlanta</t>
  </si>
  <si>
    <t>47783GA0510027</t>
  </si>
  <si>
    <t>Coventry Silver $10 Copay HMO Columbus</t>
  </si>
  <si>
    <t>47783GA0510028</t>
  </si>
  <si>
    <t>Coventry Silver $10 Copay HMO Hall</t>
  </si>
  <si>
    <t>47783GA0510029</t>
  </si>
  <si>
    <t>Coventry Silver $10 Copay HMO Macon</t>
  </si>
  <si>
    <t>47783GA0510030</t>
  </si>
  <si>
    <t>Coventry Silver $10 Copay HMO Savannah</t>
  </si>
  <si>
    <t>47783GA0510031</t>
  </si>
  <si>
    <t>Coventry Silver $10 Copay HMO SEGA</t>
  </si>
  <si>
    <t>47783GA0510032</t>
  </si>
  <si>
    <t>Coventry Silver $10 Copay HMO Valdosta</t>
  </si>
  <si>
    <t>47783GA0510033</t>
  </si>
  <si>
    <t>Coventry Silver $5 Copay 2750 HMO Albany</t>
  </si>
  <si>
    <t>47783GA0510034</t>
  </si>
  <si>
    <t>Coventry Silver $5 Copay 2750 HMO Atlanta</t>
  </si>
  <si>
    <t>47783GA0510035</t>
  </si>
  <si>
    <t>Coventry Silver $5 Copay 2750 HMO Columbus</t>
  </si>
  <si>
    <t>47783GA0510036</t>
  </si>
  <si>
    <t>Coventry Silver $5 Copay 2750 HMO Hall</t>
  </si>
  <si>
    <t>47783GA0510037</t>
  </si>
  <si>
    <t>Coventry Silver $5 Copay 2750 HMO Macon</t>
  </si>
  <si>
    <t>47783GA0510038</t>
  </si>
  <si>
    <t>Coventry Silver $5 Copay 2750 HMO Savannah</t>
  </si>
  <si>
    <t>47783GA0510039</t>
  </si>
  <si>
    <t>Coventry Silver $5 Copay 2750 HMO SEGA</t>
  </si>
  <si>
    <t>47783GA0510040</t>
  </si>
  <si>
    <t>Coventry Silver $5 Copay 2750 HMO Valdosta</t>
  </si>
  <si>
    <t>93332GA0710003</t>
  </si>
  <si>
    <t>Humana Bronze 4850/Atlanta HMOx</t>
  </si>
  <si>
    <t>93332GA0710017</t>
  </si>
  <si>
    <t>Humana Bronze 4850/Columbus GA HMOx</t>
  </si>
  <si>
    <t>93332GA0710002</t>
  </si>
  <si>
    <t>Humana Bronze 6300/Atlanta HMOx</t>
  </si>
  <si>
    <t>93332GA0710016</t>
  </si>
  <si>
    <t>Humana Bronze 6300/Columbus GA HMOx</t>
  </si>
  <si>
    <t>93332GA0710040</t>
  </si>
  <si>
    <t>Humana Bronze 6300/Macon HMOx</t>
  </si>
  <si>
    <t>93332GA0720002</t>
  </si>
  <si>
    <t>Humana Bronze 6300/National POS - OpenAccess</t>
  </si>
  <si>
    <t>93332GA0710045</t>
  </si>
  <si>
    <t>Humana Bronze 6300/Savannah HMOx</t>
  </si>
  <si>
    <t>93332GA0710006</t>
  </si>
  <si>
    <t>Humana Gold 2500/Atlanta HMOx</t>
  </si>
  <si>
    <t>93332GA0710020</t>
  </si>
  <si>
    <t>Humana Gold 2500/Columbus GA HMOx</t>
  </si>
  <si>
    <t>93332GA0710042</t>
  </si>
  <si>
    <t>Humana Gold 2500/Macon HMOx</t>
  </si>
  <si>
    <t>93332GA0720006</t>
  </si>
  <si>
    <t>Humana Gold 2500/National POS - OpenAccess</t>
  </si>
  <si>
    <t>93332GA0710047</t>
  </si>
  <si>
    <t>Humana Gold 2500/Savannah HMOx</t>
  </si>
  <si>
    <t>Humana Silver 4250/National POS - OpenAccess</t>
  </si>
  <si>
    <t>Humana Silver 4600/Atlanta HMOx</t>
  </si>
  <si>
    <t>Humana Silver 4600/Columbus GA HMOx</t>
  </si>
  <si>
    <t>93332GA0710041</t>
  </si>
  <si>
    <t>Humana Silver 4600/Macon HMOx</t>
  </si>
  <si>
    <t>93332GA0710046</t>
  </si>
  <si>
    <t>Humana Silver 4600/Savannah HMOx</t>
  </si>
  <si>
    <t>89942GA0050008</t>
  </si>
  <si>
    <t>KP GA Bronze 4500/50/HSA</t>
  </si>
  <si>
    <t>89942GA0050009</t>
  </si>
  <si>
    <t>KP GA Bronze 5000/30%/HSA</t>
  </si>
  <si>
    <t>89942GA0050007</t>
  </si>
  <si>
    <t>KP GA Bronze 5000/50</t>
  </si>
  <si>
    <t>89942GA0050002</t>
  </si>
  <si>
    <t>KP GA Gold 0/20</t>
  </si>
  <si>
    <t>89942GA0050003</t>
  </si>
  <si>
    <t>KP GA Gold 1000/20</t>
  </si>
  <si>
    <t>89942GA0050012</t>
  </si>
  <si>
    <t>KP GA Gold 1500/20</t>
  </si>
  <si>
    <t>43802GA0040007</t>
  </si>
  <si>
    <t>43802GA0040009</t>
  </si>
  <si>
    <t>UnitedHealthcare Bronze Compass HSA 5000</t>
  </si>
  <si>
    <t>43802GA0040008</t>
  </si>
  <si>
    <t>43802GA0040002</t>
  </si>
  <si>
    <t>43802GA0040003</t>
  </si>
  <si>
    <t>43802GA0040004</t>
  </si>
  <si>
    <t>43802GA0040006</t>
  </si>
  <si>
    <t>43802GA0040005</t>
  </si>
  <si>
    <t>Silver Compass 5000</t>
  </si>
  <si>
    <t>Gold Compass 1000</t>
  </si>
  <si>
    <t>Silver Compass 2000</t>
  </si>
  <si>
    <t>Ambetter Balanced Care 1 (2016)</t>
  </si>
  <si>
    <t>Ambetter Balanced Care 1 (2016) + Vision</t>
  </si>
  <si>
    <t>Ambetter Balanced Care 10 (2016)</t>
  </si>
  <si>
    <t>Ambetter Balanced Care 10 (2016) + Vision</t>
  </si>
  <si>
    <t>Ambetter Balanced Care 2 (2016)</t>
  </si>
  <si>
    <t>Ambetter Balanced Care 2 (2016) + Vision</t>
  </si>
  <si>
    <t>Ambetter Essential Care 1 (2016)</t>
  </si>
  <si>
    <t>Ambetter Essential Care 1 (2016) + Vision</t>
  </si>
  <si>
    <t>Bronze Compass 6400</t>
  </si>
  <si>
    <t>Silver Compass HSA 3600</t>
  </si>
  <si>
    <t>Ambetter Balanced Care 1 (2016) + Vision + Adult Dental</t>
  </si>
  <si>
    <t>Ambetter Balanced Care 2 (2016) + Vision + Adult Dental</t>
  </si>
  <si>
    <t>Bronze Compass 4200</t>
  </si>
  <si>
    <t>Gold Compass HSA 1600</t>
  </si>
  <si>
    <t>82824GA0100029</t>
  </si>
  <si>
    <t>Aetna Health Inc. (a GA corp.)</t>
  </si>
  <si>
    <t>Coventry Bronze $15 Copay HMO Albany</t>
  </si>
  <si>
    <t>82824GA0100009</t>
  </si>
  <si>
    <t>Coventry Bronze $15 Copay HMO Atlanta</t>
  </si>
  <si>
    <t>82824GA0100044</t>
  </si>
  <si>
    <t>Coventry Bronze $15 Copay HMO Augusta</t>
  </si>
  <si>
    <t>82824GA0100019</t>
  </si>
  <si>
    <t>Coventry Bronze $15 Copay HMO Columbus</t>
  </si>
  <si>
    <t>82824GA0100004</t>
  </si>
  <si>
    <t>Coventry Bronze $15 Copay HMO Hall</t>
  </si>
  <si>
    <t>82824GA0100034</t>
  </si>
  <si>
    <t>Coventry Bronze $15 Copay HMO Macon</t>
  </si>
  <si>
    <t>82824GA0100039</t>
  </si>
  <si>
    <t>Coventry Bronze $15 Copay HMO SEGA</t>
  </si>
  <si>
    <t>82824GA0100014</t>
  </si>
  <si>
    <t>Coventry Bronze $15 Copay HMO Savannah</t>
  </si>
  <si>
    <t>82824GA0100024</t>
  </si>
  <si>
    <t>Coventry Bronze $15 Copay HMO Valdosta</t>
  </si>
  <si>
    <t>82824GA0100030</t>
  </si>
  <si>
    <t>Coventry Bronze Deductible Only HSA Eligible HMO Albany</t>
  </si>
  <si>
    <t>82824GA0100010</t>
  </si>
  <si>
    <t>Coventry Bronze Deductible Only HSA Eligible HMO Atlanta</t>
  </si>
  <si>
    <t>82824GA0100045</t>
  </si>
  <si>
    <t>Coventry Bronze Deductible Only HSA Eligible HMO Augusta</t>
  </si>
  <si>
    <t>82824GA0100020</t>
  </si>
  <si>
    <t>Coventry Bronze Deductible Only HSA Eligible HMO Columbus</t>
  </si>
  <si>
    <t>82824GA0100005</t>
  </si>
  <si>
    <t>Coventry Bronze Deductible Only HSA Eligible HMO Hall</t>
  </si>
  <si>
    <t>82824GA0100035</t>
  </si>
  <si>
    <t>Coventry Bronze Deductible Only HSA Eligible HMO Macon</t>
  </si>
  <si>
    <t>82824GA0100040</t>
  </si>
  <si>
    <t>Coventry Bronze Deductible Only HSA Eligible HMO SEGA</t>
  </si>
  <si>
    <t>82824GA0100015</t>
  </si>
  <si>
    <t>Coventry Bronze Deductible Only HSA Eligible HMO Savannah</t>
  </si>
  <si>
    <t>82824GA0100025</t>
  </si>
  <si>
    <t>Coventry Bronze Deductible Only HSA Eligible HMO Valdosta</t>
  </si>
  <si>
    <t>82824GA0100026</t>
  </si>
  <si>
    <t>Coventry Gold $10 Copay HMO Albany</t>
  </si>
  <si>
    <t>82824GA0100006</t>
  </si>
  <si>
    <t>Coventry Gold $10 Copay HMO Atlanta</t>
  </si>
  <si>
    <t>82824GA0100041</t>
  </si>
  <si>
    <t>Coventry Gold $10 Copay HMO Augusta</t>
  </si>
  <si>
    <t>82824GA0100016</t>
  </si>
  <si>
    <t>Coventry Gold $10 Copay HMO Columbus</t>
  </si>
  <si>
    <t>82824GA0100001</t>
  </si>
  <si>
    <t>Coventry Gold $10 Copay HMO Hall</t>
  </si>
  <si>
    <t>82824GA0100031</t>
  </si>
  <si>
    <t>Coventry Gold $10 Copay HMO Macon</t>
  </si>
  <si>
    <t>82824GA0100036</t>
  </si>
  <si>
    <t>Coventry Gold $10 Copay HMO SEGA</t>
  </si>
  <si>
    <t>82824GA0100011</t>
  </si>
  <si>
    <t>Coventry Gold $10 Copay HMO Savannah</t>
  </si>
  <si>
    <t>82824GA0100021</t>
  </si>
  <si>
    <t>Coventry Gold $10 Copay HMO Valdosta</t>
  </si>
  <si>
    <t>82824GA0100028</t>
  </si>
  <si>
    <t>Coventry Silver $10 Copay 2750 HMO Albany</t>
  </si>
  <si>
    <t>82824GA0100008</t>
  </si>
  <si>
    <t>Coventry Silver $10 Copay 2750 HMO Atlanta</t>
  </si>
  <si>
    <t>82824GA0100043</t>
  </si>
  <si>
    <t>Coventry Silver $10 Copay 2750 HMO Augusta</t>
  </si>
  <si>
    <t>82824GA0100018</t>
  </si>
  <si>
    <t>Coventry Silver $10 Copay 2750 HMO Columbus</t>
  </si>
  <si>
    <t>82824GA0100003</t>
  </si>
  <si>
    <t>Coventry Silver $10 Copay 2750 HMO Hall</t>
  </si>
  <si>
    <t>82824GA0100033</t>
  </si>
  <si>
    <t>Coventry Silver $10 Copay 2750 HMO Macon</t>
  </si>
  <si>
    <t>82824GA0100038</t>
  </si>
  <si>
    <t>Coventry Silver $10 Copay 2750 HMO SEGA</t>
  </si>
  <si>
    <t>82824GA0100013</t>
  </si>
  <si>
    <t>Coventry Silver $10 Copay 2750 HMO Savannah</t>
  </si>
  <si>
    <t>82824GA0100023</t>
  </si>
  <si>
    <t>Coventry Silver $10 Copay 2750 HMO Valdosta</t>
  </si>
  <si>
    <t>82824GA0100027</t>
  </si>
  <si>
    <t>82824GA0100007</t>
  </si>
  <si>
    <t>82824GA0100042</t>
  </si>
  <si>
    <t>Coventry Silver $10 Copay HMO Augusta</t>
  </si>
  <si>
    <t>82824GA0100017</t>
  </si>
  <si>
    <t>82824GA0100002</t>
  </si>
  <si>
    <t>82824GA0100032</t>
  </si>
  <si>
    <t>82824GA0100037</t>
  </si>
  <si>
    <t>82824GA0100012</t>
  </si>
  <si>
    <t>82824GA0100022</t>
  </si>
  <si>
    <t>70893GA0010002</t>
  </si>
  <si>
    <t>Ambetter of Peach State Inc.</t>
  </si>
  <si>
    <t>70893GA0020001</t>
  </si>
  <si>
    <t>70893GA0030001</t>
  </si>
  <si>
    <t>70893GA0010005</t>
  </si>
  <si>
    <t>70893GA0020003</t>
  </si>
  <si>
    <t>70893GA0030003</t>
  </si>
  <si>
    <t>Ambetter Balanced Care 10 (2016) + Vision + Adult Dental</t>
  </si>
  <si>
    <t>70893GA0010003</t>
  </si>
  <si>
    <t>70893GA0020002</t>
  </si>
  <si>
    <t>70893GA0030002</t>
  </si>
  <si>
    <t>70893GA0010006</t>
  </si>
  <si>
    <t>70893GA0020004</t>
  </si>
  <si>
    <t>70893GA0030004</t>
  </si>
  <si>
    <t>Ambetter Essential Care 1 (2016) + Vision + Adult Dental</t>
  </si>
  <si>
    <t>70893GA0010007</t>
  </si>
  <si>
    <t>Ambetter Essential Care 5 (2016) with 3 Free PCP Visits</t>
  </si>
  <si>
    <t>70893GA0020005</t>
  </si>
  <si>
    <t>Ambetter Essential Care 5 (2016) with 3 Free PCP Visits + Vision</t>
  </si>
  <si>
    <t>70893GA0030005</t>
  </si>
  <si>
    <t>Ambetter Essential Care 5 (2016) with 3 Free PCP Visits + Vision + Adult Dental</t>
  </si>
  <si>
    <t>70893GA0010001</t>
  </si>
  <si>
    <t>Ambetter Secure Care 1 (2016) with 3 Free PCP Visits</t>
  </si>
  <si>
    <t>Blue Cross Blue Shield Healthcare Plan of Georgia,</t>
  </si>
  <si>
    <t>BCBSHP Bronze Pathway X HMO 5200 20</t>
  </si>
  <si>
    <t>Blue Cross and Blue Shield Healthcare Plan of Georgia Gold DirectAccess a Multi State Plan</t>
  </si>
  <si>
    <t>Blue Cross and Blue Shield Healthcare Plan of Georgia Silver DirectAccess a Multi State Plan</t>
  </si>
  <si>
    <t>Cigna Health Flex 1000</t>
  </si>
  <si>
    <t>Cigna Health Flex 2000</t>
  </si>
  <si>
    <t>Cigna Health Flex 4000</t>
  </si>
  <si>
    <t>Cigna Health Flex 6400</t>
  </si>
  <si>
    <t>Cigna Health Savings 3000</t>
  </si>
  <si>
    <t>Cigna Health Savings 6000</t>
  </si>
  <si>
    <t>95852GA0010007</t>
  </si>
  <si>
    <t>Harken Health Insurance Company</t>
  </si>
  <si>
    <t>Care Bronze</t>
  </si>
  <si>
    <t>95852GA0010003</t>
  </si>
  <si>
    <t>Care Gold I</t>
  </si>
  <si>
    <t>95852GA0010004</t>
  </si>
  <si>
    <t>Care Gold II</t>
  </si>
  <si>
    <t>95852GA0010005</t>
  </si>
  <si>
    <t>Care Silver I</t>
  </si>
  <si>
    <t>95852GA0010006</t>
  </si>
  <si>
    <t>Care Silver II</t>
  </si>
  <si>
    <t>Humana Bronze 6450/Atlanta HMOx</t>
  </si>
  <si>
    <t>Humana Bronze 6450/Columbus GA HMOx</t>
  </si>
  <si>
    <t>Humana Bronze 6450/Macon HMOx</t>
  </si>
  <si>
    <t>Humana Bronze 6450/National POS - OpenAccess</t>
  </si>
  <si>
    <t>Humana Bronze 6450/Savannah HMOx</t>
  </si>
  <si>
    <t>Humana Gold 2250/Atlanta HMOx</t>
  </si>
  <si>
    <t>Humana Gold 2250/Columbus GA HMOx</t>
  </si>
  <si>
    <t>Humana Gold 2250/Macon HMOx</t>
  </si>
  <si>
    <t>Humana Gold 2250/National POS - OpenAccess</t>
  </si>
  <si>
    <t>Humana Gold 2250/Savannah HMOx</t>
  </si>
  <si>
    <t>Humana Silver 3800/Atlanta HMOx</t>
  </si>
  <si>
    <t>Humana Silver 3800/Columbus GA HMOx</t>
  </si>
  <si>
    <t>Humana Silver 3800/Macon HMOx</t>
  </si>
  <si>
    <t>Humana Silver 3800/National POS - OpenAccess</t>
  </si>
  <si>
    <t>Humana Silver 3800/Savannah HMOx</t>
  </si>
  <si>
    <t>KP GA Bronze 4000/20</t>
  </si>
  <si>
    <t>89942GA0050013</t>
  </si>
  <si>
    <t>KP GA Bronze 6000/40%/HSA</t>
  </si>
  <si>
    <t>KP GA Gold 500/20</t>
  </si>
  <si>
    <t>KP GA Silver 2750/20%/HSA</t>
  </si>
  <si>
    <t>UnitedHealthcare of Georgia, Inc.</t>
  </si>
  <si>
    <t>Bronze Compass HSA 5200</t>
  </si>
  <si>
    <t>2016 (p)</t>
  </si>
  <si>
    <t>Mean</t>
  </si>
  <si>
    <t>Weighted average</t>
  </si>
  <si>
    <t>Weighted based on 2015 QHP plan selections</t>
  </si>
  <si>
    <t>FINAL 2016 HIX COMPARE CODEBOOK FOR DATA COLLECTED AS OF NOVEMBER 12, 2015</t>
  </si>
  <si>
    <t>DATECAPTURE</t>
  </si>
  <si>
    <t>PREMIC</t>
  </si>
  <si>
    <t>PREMI50</t>
  </si>
  <si>
    <t>PREMI2C30</t>
  </si>
  <si>
    <t>PREMC2C30</t>
  </si>
  <si>
    <t>CSR</t>
  </si>
  <si>
    <t>PLANMARKET</t>
  </si>
  <si>
    <t>CHILDONLY</t>
  </si>
  <si>
    <t>NETWORKID</t>
  </si>
  <si>
    <t>actively_marketed</t>
  </si>
  <si>
    <t>70893GA0020002-04</t>
  </si>
  <si>
    <t>GA07</t>
  </si>
  <si>
    <t>Ambetter</t>
  </si>
  <si>
    <t>Ambetter Balanced Care 2 (2019) + Vision</t>
  </si>
  <si>
    <t>GA03</t>
  </si>
  <si>
    <t>GA09</t>
  </si>
  <si>
    <t>70893GA0020001-06</t>
  </si>
  <si>
    <t>Ambetter Balanced Care 1 (2019) + Vision</t>
  </si>
  <si>
    <t>70893GA0020001-05</t>
  </si>
  <si>
    <t>70893GA0010019-05</t>
  </si>
  <si>
    <t>GA06</t>
  </si>
  <si>
    <t>Ambetter Balanced Care 3 (2019)</t>
  </si>
  <si>
    <t>GA08</t>
  </si>
  <si>
    <t>GA01</t>
  </si>
  <si>
    <t>GA02</t>
  </si>
  <si>
    <t>70893GA0010018-06</t>
  </si>
  <si>
    <t>Ambetter Balanced Care 11 (2019)</t>
  </si>
  <si>
    <t>70893GA0010018-05</t>
  </si>
  <si>
    <t>70893GA0010018</t>
  </si>
  <si>
    <t>70893GA0010017-06</t>
  </si>
  <si>
    <t>70893GA0010017</t>
  </si>
  <si>
    <t>70893GA0010016</t>
  </si>
  <si>
    <t>Ambetter Essential Care 2 HSA (2019)</t>
  </si>
  <si>
    <t>70893GA0010015</t>
  </si>
  <si>
    <t>Ambetter Essential Care 1 (2019)</t>
  </si>
  <si>
    <t>70893GA0010014-05</t>
  </si>
  <si>
    <t>Ambetter Balanced Care 4 (2019)</t>
  </si>
  <si>
    <t>70893GA0010014-04</t>
  </si>
  <si>
    <t>70893GA0010014</t>
  </si>
  <si>
    <t>70893GA0010013-06</t>
  </si>
  <si>
    <t>70893GA0010013-04</t>
  </si>
  <si>
    <t>70893GA0010013</t>
  </si>
  <si>
    <t>70893GA0010012-06</t>
  </si>
  <si>
    <t>Ambetter Balanced Care 2 (2019)</t>
  </si>
  <si>
    <t>70893GA0010012-05</t>
  </si>
  <si>
    <t>70893GA0010012-04</t>
  </si>
  <si>
    <t>70893GA0010011-06</t>
  </si>
  <si>
    <t>Ambetter Balanced Care 1 (2019)</t>
  </si>
  <si>
    <t>70893GA0010011-05</t>
  </si>
  <si>
    <t>70893GA0010011-04</t>
  </si>
  <si>
    <t>70893GA0010011</t>
  </si>
  <si>
    <t>70893GA0010009-06</t>
  </si>
  <si>
    <t>70893GA0010009-05</t>
  </si>
  <si>
    <t>70893GA0010009-04</t>
  </si>
  <si>
    <t>70893GA0010003-06</t>
  </si>
  <si>
    <t>70893GA0010002-06</t>
  </si>
  <si>
    <t>70893GA0010002-04</t>
  </si>
  <si>
    <t>Ambetter Secure Care 1 (2019) with 3 Free PCP Visits</t>
  </si>
  <si>
    <t>70893GA0030010-05</t>
  </si>
  <si>
    <t>Ambetter Balanced Care 3 (2019) + Vision + Adult Dental</t>
  </si>
  <si>
    <t>70893GA0030009-06</t>
  </si>
  <si>
    <t>70893GA0030009-04</t>
  </si>
  <si>
    <t>70893GA0030009</t>
  </si>
  <si>
    <t>70893GA0030008-06</t>
  </si>
  <si>
    <t>Ambetter Balanced Care 2 (2019) + Vision + Adult Dental</t>
  </si>
  <si>
    <t>70893GA0030008-05</t>
  </si>
  <si>
    <t>70893GA0030008-04</t>
  </si>
  <si>
    <t>70893GA0030008</t>
  </si>
  <si>
    <t>70893GA0030007-06</t>
  </si>
  <si>
    <t>Ambetter Balanced Care 1 (2019) + Vision + Adult Dental</t>
  </si>
  <si>
    <t>70893GA0030007-05</t>
  </si>
  <si>
    <t>70893GA0030007-04</t>
  </si>
  <si>
    <t>70893GA0030007</t>
  </si>
  <si>
    <t>70893GA0030002-06</t>
  </si>
  <si>
    <t>70893GA0030002-04</t>
  </si>
  <si>
    <t>70893GA0030001-06</t>
  </si>
  <si>
    <t>70893GA0020010-06</t>
  </si>
  <si>
    <t>Ambetter Balanced Care 3 (2019) + Vision</t>
  </si>
  <si>
    <t>70893GA0030001-05</t>
  </si>
  <si>
    <t>70893GA0020010-04</t>
  </si>
  <si>
    <t>70893GA0020010</t>
  </si>
  <si>
    <t>70893GA0020009-05</t>
  </si>
  <si>
    <t>70893GA0020009-04</t>
  </si>
  <si>
    <t>70893GA0020008-06</t>
  </si>
  <si>
    <t>70893GA0020008-05</t>
  </si>
  <si>
    <t>70893GA0020008-04</t>
  </si>
  <si>
    <t>70893GA0020008</t>
  </si>
  <si>
    <t>70893GA0020007-06</t>
  </si>
  <si>
    <t>70893GA0020007-05</t>
  </si>
  <si>
    <t>70893GA0020007-04</t>
  </si>
  <si>
    <t>70893GA0020007</t>
  </si>
  <si>
    <t>70893GA0020002-06</t>
  </si>
  <si>
    <t>70893GA0020002-05</t>
  </si>
  <si>
    <t>49046GA0410124</t>
  </si>
  <si>
    <t>Anthem</t>
  </si>
  <si>
    <t>Anthem Silver Pathway X Guided Access HMO 2100 Online Plus</t>
  </si>
  <si>
    <t>49046GA0410120</t>
  </si>
  <si>
    <t>Anthem Bronze Pathway X Guided Access HMO 4600 Online Plus</t>
  </si>
  <si>
    <t>49046GA0410118</t>
  </si>
  <si>
    <t>Anthem Silver Pathway X HMO 6000 30</t>
  </si>
  <si>
    <t>49046GA0410116</t>
  </si>
  <si>
    <t>Anthem Silver Pathway X HMO 2100 Online Plus</t>
  </si>
  <si>
    <t>GA05</t>
  </si>
  <si>
    <t>GA04</t>
  </si>
  <si>
    <t>49046GA0410115</t>
  </si>
  <si>
    <t>49046GA0410114</t>
  </si>
  <si>
    <t>Anthem Bronze Pathway X HMO 4600 Online Plus</t>
  </si>
  <si>
    <t>49046GA0410109</t>
  </si>
  <si>
    <t>Anthem Silver Pathway X Guided Access HMO 6000</t>
  </si>
  <si>
    <t>49046GA0410097</t>
  </si>
  <si>
    <t>Anthem Gold Pathway X HMO 1300</t>
  </si>
  <si>
    <t>49046GA0410093</t>
  </si>
  <si>
    <t>Anthem Gold Pathway X Guided Access HMO 1300</t>
  </si>
  <si>
    <t>49046GA0410092</t>
  </si>
  <si>
    <t>49046GA0410088</t>
  </si>
  <si>
    <t>Anthem Silver Pathway X HMO 6000</t>
  </si>
  <si>
    <t>49046GA0410085</t>
  </si>
  <si>
    <t>Anthem Silver Pathway X HMO 4950</t>
  </si>
  <si>
    <t>49046GA0410084</t>
  </si>
  <si>
    <t>Anthem Bronze Pathway X Guided Access HMO 6750</t>
  </si>
  <si>
    <t>49046GA0410083</t>
  </si>
  <si>
    <t>Anthem Bronze Pathway X HMO 6750</t>
  </si>
  <si>
    <t>49046GA0410063</t>
  </si>
  <si>
    <t>Anthem Bronze Pathway X Guided Access HMO 5500</t>
  </si>
  <si>
    <t>49046GA0410047</t>
  </si>
  <si>
    <t>Anthem Bronze Pathway X Guided Access HMO 5200</t>
  </si>
  <si>
    <t>49046GA0410043</t>
  </si>
  <si>
    <t>Anthem Bronze Pathway X Guided Access HMO 0 for HSA</t>
  </si>
  <si>
    <t>49046GA0410036</t>
  </si>
  <si>
    <t>49046GA0410035</t>
  </si>
  <si>
    <t>49046GA0410034</t>
  </si>
  <si>
    <t>Anthem Silver Pathway X Guided Access HMO 5300</t>
  </si>
  <si>
    <t>49046GA0410032</t>
  </si>
  <si>
    <t>Anthem Silver Pathway X HMO 5300</t>
  </si>
  <si>
    <t>49046GA0410031</t>
  </si>
  <si>
    <t>Anthem Silver Pathway X Guided Access HMO 2000</t>
  </si>
  <si>
    <t>Anthem Silver Pathway X HMO 2000</t>
  </si>
  <si>
    <t>Anthem Bronze Pathway X HMO 5500</t>
  </si>
  <si>
    <t>49046GA0410014</t>
  </si>
  <si>
    <t>Anthem Catastrophic Pathway X HMO 7900</t>
  </si>
  <si>
    <t>Catastrophic</t>
  </si>
  <si>
    <t>49046GA0410026</t>
  </si>
  <si>
    <t>49046GA0410128-05</t>
  </si>
  <si>
    <t>Anthem Silver Pathway X Guided Access HMO 6000 30 S05</t>
  </si>
  <si>
    <t>49046GA0410128-06</t>
  </si>
  <si>
    <t>Anthem Silver Pathway X Guided Access HMO 6000 30 S06</t>
  </si>
  <si>
    <t>49046GA0410124-05</t>
  </si>
  <si>
    <t>Anthem Silver Pathway X Guided Access HMO 2100 Online Plus S05</t>
  </si>
  <si>
    <t>49046GA0410124-06</t>
  </si>
  <si>
    <t>Anthem Silver Pathway X Guided Access HMO 2100 Online Plus S06</t>
  </si>
  <si>
    <t>49046GA0410124-04</t>
  </si>
  <si>
    <t>Anthem Silver Pathway X Guided Access HMO 2100 Online Plus S04</t>
  </si>
  <si>
    <t>49046GA0410118-04</t>
  </si>
  <si>
    <t>Anthem Silver Pathway X HMO 6000 30% S04</t>
  </si>
  <si>
    <t>49046GA0410117-06</t>
  </si>
  <si>
    <t>49046GA0410116-06</t>
  </si>
  <si>
    <t>Anthem Silver Pathway X HMO 2100 Online Plus S06</t>
  </si>
  <si>
    <t>49046GA0410117-05</t>
  </si>
  <si>
    <t>49046GA0410117-04</t>
  </si>
  <si>
    <t>49046GA0410116-05</t>
  </si>
  <si>
    <t>Anthem Silver Pathway X HMO 2100 Online Plus S05</t>
  </si>
  <si>
    <t>49046GA0410116-04</t>
  </si>
  <si>
    <t>Anthem Silver Pathway X HMO 2100 Online Plus S04</t>
  </si>
  <si>
    <t>49046GA0410109-04</t>
  </si>
  <si>
    <t>Anthem Silver Pathway X Guided Access HMO 6000 S04</t>
  </si>
  <si>
    <t>49046GA0410109-06</t>
  </si>
  <si>
    <t>Anthem Silver Pathway X Guided Access HMO 6000 S06</t>
  </si>
  <si>
    <t>49046GA0410088-06</t>
  </si>
  <si>
    <t>Anthem Silver Pathway X HMO 6000 S06</t>
  </si>
  <si>
    <t>49046GA0410088-05</t>
  </si>
  <si>
    <t>Anthem Silver Pathway X HMO 6000 S05</t>
  </si>
  <si>
    <t>49046GA0410088-04</t>
  </si>
  <si>
    <t>Anthem Silver Pathway X HMO 6000 S04</t>
  </si>
  <si>
    <t>49046GA0410086-06</t>
  </si>
  <si>
    <t>Anthem Silver Pathway X Guided Access HMO 4950 S06</t>
  </si>
  <si>
    <t>49046GA0410086-04</t>
  </si>
  <si>
    <t>Anthem Silver Pathway X Guided Access HMO 4950 S04</t>
  </si>
  <si>
    <t>49046GA0410086-05</t>
  </si>
  <si>
    <t>Anthem Silver Pathway X Guided Access HMO 4950 S05</t>
  </si>
  <si>
    <t>49046GA0410085-06</t>
  </si>
  <si>
    <t>Anthem Silver Pathway X HMO 4950 S06</t>
  </si>
  <si>
    <t>49046GA0410085-05</t>
  </si>
  <si>
    <t>Anthem Silver Pathway X HMO 4950 S05</t>
  </si>
  <si>
    <t>49046GA0410085-04</t>
  </si>
  <si>
    <t>Anthem Silver Pathway X HMO 4950 S04</t>
  </si>
  <si>
    <t>49046GA0410038-06</t>
  </si>
  <si>
    <t>Anthem Silver Pathway X Guided Access HMO 3000 S06</t>
  </si>
  <si>
    <t>49046GA0410038-05</t>
  </si>
  <si>
    <t>Anthem Silver Pathway X Guided Access HMO 3000 S05</t>
  </si>
  <si>
    <t>49046GA0410038-04</t>
  </si>
  <si>
    <t>Anthem Silver Pathway X Guided Access HMO 3000 S04</t>
  </si>
  <si>
    <t>49046GA0410034-05</t>
  </si>
  <si>
    <t>Anthem Silver Pathway X Guided Access HMO 5300 S05</t>
  </si>
  <si>
    <t>49046GA0410032-06</t>
  </si>
  <si>
    <t>Anthem Silver Pathway X HMO 5300 S06</t>
  </si>
  <si>
    <t>49046GA0410032-05</t>
  </si>
  <si>
    <t>Anthem Silver Pathway X HMO 5300 S05</t>
  </si>
  <si>
    <t>49046GA0410032-04</t>
  </si>
  <si>
    <t>Anthem Silver Pathway X HMO 5300 S04</t>
  </si>
  <si>
    <t>49046GA0410031-05</t>
  </si>
  <si>
    <t>Anthem Silver Pathway X Guided Access HMO 2000 S05</t>
  </si>
  <si>
    <t>49046GA0410031-04</t>
  </si>
  <si>
    <t>Anthem Silver Pathway X Guided Access HMO 2000 S04</t>
  </si>
  <si>
    <t>49046GA0410023-06</t>
  </si>
  <si>
    <t>Anthem Silver Pathway X HMO 2000 S06</t>
  </si>
  <si>
    <t>49046GA0410020-05</t>
  </si>
  <si>
    <t>Anthem Silver Pathway X HMO 3000 S05</t>
  </si>
  <si>
    <t>49046GA0410034-06</t>
  </si>
  <si>
    <t>Anthem Silver Pathway X Guided Access HMO 5300 S06</t>
  </si>
  <si>
    <t>89942GA0070018</t>
  </si>
  <si>
    <t>KP GA Signature Silver 3200/20% HSA</t>
  </si>
  <si>
    <t>89942GA0050017-05</t>
  </si>
  <si>
    <t>KP GA Silver 0/15/87% CSR</t>
  </si>
  <si>
    <t>89942GA0050022</t>
  </si>
  <si>
    <t>KP GA Signature Gold 1500/20</t>
  </si>
  <si>
    <t>89942GA0050017</t>
  </si>
  <si>
    <t>KP GA Signature Silver 3000/30</t>
  </si>
  <si>
    <t>89942GA0070019</t>
  </si>
  <si>
    <t>KP GA Signature Bronze 5000/50</t>
  </si>
  <si>
    <t>89942GA0070012</t>
  </si>
  <si>
    <t>89942GA0050019</t>
  </si>
  <si>
    <t>89942GA0070006</t>
  </si>
  <si>
    <t>KP GA Silver 3200/20% HSA</t>
  </si>
  <si>
    <t>89942GA0050018-04</t>
  </si>
  <si>
    <t>KP GA Silver 1700/20%/73% CSR</t>
  </si>
  <si>
    <t>89942GA0050025-05</t>
  </si>
  <si>
    <t>KP GA Silver 550/15 87% CSR</t>
  </si>
  <si>
    <t>89942GA0050010</t>
  </si>
  <si>
    <t>KP GA Catastrophic 7900/0</t>
  </si>
  <si>
    <t>89942GA0050017-04</t>
  </si>
  <si>
    <t xml:space="preserve"> KP GA Silver 2100/30/73% CSR</t>
  </si>
  <si>
    <t>89942GA0050005-06</t>
  </si>
  <si>
    <t>KP GA Silver 0/5/94% CSR</t>
  </si>
  <si>
    <t>89942GA0050025-04</t>
  </si>
  <si>
    <t>KP GA Silver 2500/35 73% CSR</t>
  </si>
  <si>
    <t>89942GA0070005</t>
  </si>
  <si>
    <t>KP GA Silver 3000/30</t>
  </si>
  <si>
    <t>89942GA0070002</t>
  </si>
  <si>
    <t>89942GA0050024</t>
  </si>
  <si>
    <t>KP GA Silver 4700/35</t>
  </si>
  <si>
    <t>89942GA0050025-06</t>
  </si>
  <si>
    <t>KP GA Silver 150/5 94% CSR</t>
  </si>
  <si>
    <t>89942GA0050024-05</t>
  </si>
  <si>
    <t>89942GA0070024</t>
  </si>
  <si>
    <t>89942GA0050024-04</t>
  </si>
  <si>
    <t>89942GA0050018-06</t>
  </si>
  <si>
    <t>KP GA Silver 100/5%/94% CSR</t>
  </si>
  <si>
    <t>89942GA0050018</t>
  </si>
  <si>
    <t>89942GA0050016</t>
  </si>
  <si>
    <t>KP GA Signature Gold 500/20</t>
  </si>
  <si>
    <t>89942GA0070025</t>
  </si>
  <si>
    <t>KP GA Signature Silver 4700/35</t>
  </si>
  <si>
    <t>89942GA0050018-05</t>
  </si>
  <si>
    <t>KP GA Silver 500/10%/87% CSR</t>
  </si>
  <si>
    <t>89942GA0070009</t>
  </si>
  <si>
    <t>KP GA Bronze 6200/40%/HSA</t>
  </si>
  <si>
    <t>89942GA0070022</t>
  </si>
  <si>
    <t>89942GA0070021</t>
  </si>
  <si>
    <t>KP GA Signature Catastrophic 7900/0</t>
  </si>
  <si>
    <t>89942GA0070017</t>
  </si>
  <si>
    <t>83761GA0040228</t>
  </si>
  <si>
    <t>SoloCare Silver Copay Franklin</t>
  </si>
  <si>
    <t>83761GA0040243-04</t>
  </si>
  <si>
    <t>SoloCare Silver Copay White</t>
  </si>
  <si>
    <t>83761GA0040115-05</t>
  </si>
  <si>
    <t>SoloCare Silver PPO 40017 Hart</t>
  </si>
  <si>
    <t>83761GA0040184</t>
  </si>
  <si>
    <t>SoloCare Platinum Copay Hall/Barrow</t>
  </si>
  <si>
    <t>Platinum</t>
  </si>
  <si>
    <t>83761GA0040240</t>
  </si>
  <si>
    <t>SoloCare Silver Copay Towns</t>
  </si>
  <si>
    <t>83761GA0040123-05</t>
  </si>
  <si>
    <t>SoloCare Silver PPO 40017 Union</t>
  </si>
  <si>
    <t>83761GA0040191</t>
  </si>
  <si>
    <t>SoloCare Platinum Copay Stephens</t>
  </si>
  <si>
    <t>83761GA0040240-06</t>
  </si>
  <si>
    <t>83761GA0040231-04</t>
  </si>
  <si>
    <t>SoloCare Silver Copay Habersham</t>
  </si>
  <si>
    <t>83761GA0040112-05</t>
  </si>
  <si>
    <t>SoloCare Silver PPO 40017 Gilmer</t>
  </si>
  <si>
    <t>83761GA0040123-04</t>
  </si>
  <si>
    <t>83761GA0040243-06</t>
  </si>
  <si>
    <t>83761GA0040214</t>
  </si>
  <si>
    <t>SoloCare Gold Copay Rabun</t>
  </si>
  <si>
    <t>83761GA0040118-05</t>
  </si>
  <si>
    <t>SoloCare Silver PPO 40017 Pickens</t>
  </si>
  <si>
    <t>83761GA0040123</t>
  </si>
  <si>
    <t>83761GA0040233-05</t>
  </si>
  <si>
    <t>SoloCare Silver Copay Hart</t>
  </si>
  <si>
    <t>83761GA0040238</t>
  </si>
  <si>
    <t>SoloCare Silver Copay Rabun</t>
  </si>
  <si>
    <t>83761GA0040233-06</t>
  </si>
  <si>
    <t>83761GA0040236</t>
  </si>
  <si>
    <t>SoloCare Silver Copay Pickens</t>
  </si>
  <si>
    <t>83761GA0040226-05</t>
  </si>
  <si>
    <t>SoloCare Silver Copay Fannin</t>
  </si>
  <si>
    <t>83761GA0040228-05</t>
  </si>
  <si>
    <t>83761GA0040231</t>
  </si>
  <si>
    <t>83761GA0040182</t>
  </si>
  <si>
    <t>SoloCare Platinum Copay Gordon</t>
  </si>
  <si>
    <t>83761GA0040192</t>
  </si>
  <si>
    <t>SoloCare Platinum Copay Towns</t>
  </si>
  <si>
    <t>83761GA0040213</t>
  </si>
  <si>
    <t>SoloCare Gold Copay Polk</t>
  </si>
  <si>
    <t>83761GA0040126</t>
  </si>
  <si>
    <t>SoloCare Silver PPO 40017 Whitfield</t>
  </si>
  <si>
    <t>83761GA0040135</t>
  </si>
  <si>
    <t>SoloCare Bronze HDHP 40031 Gilmer</t>
  </si>
  <si>
    <t>83761GA0040145</t>
  </si>
  <si>
    <t>SoloCare Bronze HDHP 40031 Towns</t>
  </si>
  <si>
    <t>83761GA0040156</t>
  </si>
  <si>
    <t>SoloCare Bronze PPO 40021 Floyd</t>
  </si>
  <si>
    <t>83761GA0040234</t>
  </si>
  <si>
    <t>SoloCare Silver Copay Lumpkin</t>
  </si>
  <si>
    <t>83761GA0040236-04</t>
  </si>
  <si>
    <t>83761GA0040237-05</t>
  </si>
  <si>
    <t>SoloCare Silver Copay Polk</t>
  </si>
  <si>
    <t>83761GA0040239-06</t>
  </si>
  <si>
    <t>SoloCare Silver Copay Stephens</t>
  </si>
  <si>
    <t>83761GA0040241-06</t>
  </si>
  <si>
    <t>SoloCare Silver Copay Union</t>
  </si>
  <si>
    <t>83761GA0040244</t>
  </si>
  <si>
    <t>SoloCare Silver Copay Whitfield</t>
  </si>
  <si>
    <t>83761GA0040225</t>
  </si>
  <si>
    <t>SoloCare Silver Copay Dawson</t>
  </si>
  <si>
    <t>83761GA0040230</t>
  </si>
  <si>
    <t>SoloCare Silver Copay Gordon</t>
  </si>
  <si>
    <t>83761GA0040232-04</t>
  </si>
  <si>
    <t>SoloCare Silver Copay Hall/Barrow</t>
  </si>
  <si>
    <t>83761GA0040173</t>
  </si>
  <si>
    <t>SoloCare Platinum Copay Banks</t>
  </si>
  <si>
    <t>83761GA0040186</t>
  </si>
  <si>
    <t>SoloCare Platinum Copay Lumpkin</t>
  </si>
  <si>
    <t>83761GA0040204</t>
  </si>
  <si>
    <t>SoloCare Gold Copay Franklin</t>
  </si>
  <si>
    <t>83761GA0040234-04</t>
  </si>
  <si>
    <t>83761GA0040239-05</t>
  </si>
  <si>
    <t>83761GA0040241-05</t>
  </si>
  <si>
    <t>83761GA0040237-04</t>
  </si>
  <si>
    <t>83761GA0040221-05</t>
  </si>
  <si>
    <t>SoloCare Silver Copay Banks</t>
  </si>
  <si>
    <t>83761GA0040228-04</t>
  </si>
  <si>
    <t>83761GA0040225-05</t>
  </si>
  <si>
    <t>83761GA0040230-06</t>
  </si>
  <si>
    <t>83761GA0040168</t>
  </si>
  <si>
    <t>SoloCare Bronze PPO 40021 Towns</t>
  </si>
  <si>
    <t>83761GA0040193</t>
  </si>
  <si>
    <t>SoloCare Platinum Copay Union</t>
  </si>
  <si>
    <t>83761GA0040183</t>
  </si>
  <si>
    <t>SoloCare Platinum Copay Habersham</t>
  </si>
  <si>
    <t>83761GA0040202</t>
  </si>
  <si>
    <t>SoloCare Gold Copay Fannin</t>
  </si>
  <si>
    <t>83761GA0040212</t>
  </si>
  <si>
    <t>SoloCare Gold Copay Pickens</t>
  </si>
  <si>
    <t>83761GA0040125-05</t>
  </si>
  <si>
    <t>SoloCare Silver PPO 40017 White</t>
  </si>
  <si>
    <t>83761GA0040142</t>
  </si>
  <si>
    <t>SoloCare Bronze HDHP 40031 Polk</t>
  </si>
  <si>
    <t>83761GA0040132</t>
  </si>
  <si>
    <t>SoloCare Bronze HDHP 40031 Fannin</t>
  </si>
  <si>
    <t>83761GA0040162</t>
  </si>
  <si>
    <t>SoloCare Bronze PPO 40021 Lumpkin</t>
  </si>
  <si>
    <t>83761GA0040114-04</t>
  </si>
  <si>
    <t>SoloCare Silver PPO 40017 Habersham</t>
  </si>
  <si>
    <t>83761GA0040116</t>
  </si>
  <si>
    <t>SoloCare Silver PPO 40017 Lumpkin</t>
  </si>
  <si>
    <t>83761GA0040236-05</t>
  </si>
  <si>
    <t>83761GA0040239-04</t>
  </si>
  <si>
    <t>83761GA0040241-04</t>
  </si>
  <si>
    <t>83761GA0040227-04</t>
  </si>
  <si>
    <t>SoloCare Silver Copay Floyd</t>
  </si>
  <si>
    <t>83761GA0040229-06</t>
  </si>
  <si>
    <t>SoloCare Silver Copay Gilmer</t>
  </si>
  <si>
    <t>83761GA0040231-05</t>
  </si>
  <si>
    <t>83761GA0040197</t>
  </si>
  <si>
    <t>SoloCare Gold Copay Banks</t>
  </si>
  <si>
    <t>83761GA0040208</t>
  </si>
  <si>
    <t>SoloCare Gold Copay Hall/Barrow</t>
  </si>
  <si>
    <t>83761GA0040125-04</t>
  </si>
  <si>
    <t>83761GA0040244-05</t>
  </si>
  <si>
    <t>83761GA0040140</t>
  </si>
  <si>
    <t>SoloCare Bronze HDHP 40031 Murray</t>
  </si>
  <si>
    <t>83761GA0040160</t>
  </si>
  <si>
    <t>SoloCare Bronze PPO 40021 Habersham</t>
  </si>
  <si>
    <t>83761GA0040112-06</t>
  </si>
  <si>
    <t>83761GA0040118-04</t>
  </si>
  <si>
    <t>83761GA0040120-05</t>
  </si>
  <si>
    <t>SoloCare Silver PPO 40017 Rabun</t>
  </si>
  <si>
    <t>83761GA0040234-06</t>
  </si>
  <si>
    <t>83761GA0040237</t>
  </si>
  <si>
    <t>83761GA0040244-06</t>
  </si>
  <si>
    <t>83761GA0040221</t>
  </si>
  <si>
    <t>83761GA0040226-06</t>
  </si>
  <si>
    <t>83761GA0040229-04</t>
  </si>
  <si>
    <t>83761GA0040232</t>
  </si>
  <si>
    <t>83761GA0040181</t>
  </si>
  <si>
    <t>SoloCare Platinum Copay Gilmer</t>
  </si>
  <si>
    <t>83761GA0040209</t>
  </si>
  <si>
    <t>SoloCare Gold Copay Hart</t>
  </si>
  <si>
    <t>83761GA0040139</t>
  </si>
  <si>
    <t>SoloCare Bronze HDHP 40031 Lumpkin</t>
  </si>
  <si>
    <t>83761GA0040149</t>
  </si>
  <si>
    <t>SoloCare Bronze HDHP 40031 Whitfield</t>
  </si>
  <si>
    <t>83761GA0040232-05</t>
  </si>
  <si>
    <t>83761GA0040235</t>
  </si>
  <si>
    <t>SoloCare Silver Copay Murray</t>
  </si>
  <si>
    <t>83761GA0040238-04</t>
  </si>
  <si>
    <t>83761GA0040240-05</t>
  </si>
  <si>
    <t>83761GA0040243</t>
  </si>
  <si>
    <t>83761GA0040227</t>
  </si>
  <si>
    <t>83761GA0040221-04</t>
  </si>
  <si>
    <t>83761GA0040229-05</t>
  </si>
  <si>
    <t>83761GA0040167</t>
  </si>
  <si>
    <t>SoloCare Bronze PPO 40021 Stephens</t>
  </si>
  <si>
    <t>83761GA0040187</t>
  </si>
  <si>
    <t>SoloCare Platinum Copay Murray</t>
  </si>
  <si>
    <t>83761GA0040177</t>
  </si>
  <si>
    <t>SoloCare Platinum Copay Dawson</t>
  </si>
  <si>
    <t>83761GA0040195</t>
  </si>
  <si>
    <t>SoloCare Platinum Copay White</t>
  </si>
  <si>
    <t>83761GA0040206</t>
  </si>
  <si>
    <t>SoloCare Gold Copay Gordon</t>
  </si>
  <si>
    <t>83761GA0040232-06</t>
  </si>
  <si>
    <t>83761GA0040235-06</t>
  </si>
  <si>
    <t>83761GA0040239</t>
  </si>
  <si>
    <t>83761GA0040220</t>
  </si>
  <si>
    <t>SoloCare Gold Copay Whitfield</t>
  </si>
  <si>
    <t>83761GA0040244-04</t>
  </si>
  <si>
    <t>83761GA0040226-04</t>
  </si>
  <si>
    <t>83761GA0040229</t>
  </si>
  <si>
    <t>83761GA0040231-06</t>
  </si>
  <si>
    <t>83761GA0040180</t>
  </si>
  <si>
    <t>SoloCare Platinum Copay Franklin</t>
  </si>
  <si>
    <t>83761GA0040190</t>
  </si>
  <si>
    <t>SoloCare Platinum Copay Rabun</t>
  </si>
  <si>
    <t>83761GA0040210</t>
  </si>
  <si>
    <t>SoloCare Gold Copay Lumpkin</t>
  </si>
  <si>
    <t>83761GA0040136</t>
  </si>
  <si>
    <t>SoloCare Bronze HDHP 40031 Gordon</t>
  </si>
  <si>
    <t>83761GA0040146</t>
  </si>
  <si>
    <t>SoloCare Bronze HDHP 40031 Union</t>
  </si>
  <si>
    <t>83761GA0040157</t>
  </si>
  <si>
    <t>SoloCare Bronze PPO 40021 Franklin</t>
  </si>
  <si>
    <t>83761GA0040113-05</t>
  </si>
  <si>
    <t>SoloCare Silver PPO 40017 Gordon</t>
  </si>
  <si>
    <t>83761GA0040116-06</t>
  </si>
  <si>
    <t>83761GA0040126-04</t>
  </si>
  <si>
    <t>83761GA0040119-04</t>
  </si>
  <si>
    <t>SoloCare Silver PPO 40017 Polk</t>
  </si>
  <si>
    <t>83761GA0040121-06</t>
  </si>
  <si>
    <t>SoloCare Silver PPO 40017 Stephens</t>
  </si>
  <si>
    <t>83761GA0040111-04</t>
  </si>
  <si>
    <t>SoloCare Silver PPO 40017 Franklin</t>
  </si>
  <si>
    <t>83761GA0040108-04</t>
  </si>
  <si>
    <t>SoloCare Silver PPO 40017 Dawson</t>
  </si>
  <si>
    <t>83761GA0040044</t>
  </si>
  <si>
    <t>SoloCare Platinum PPO 40023 Gordon</t>
  </si>
  <si>
    <t>83761GA0040065</t>
  </si>
  <si>
    <t>SoloCare Gold PPO 40002 Franklin</t>
  </si>
  <si>
    <t>83761GA0040074</t>
  </si>
  <si>
    <t>SoloCare Gold PPO 40002 Rabun</t>
  </si>
  <si>
    <t>83761GA0040031</t>
  </si>
  <si>
    <t>SoloCare Bronze HDHP 40031 Hall/Barrow</t>
  </si>
  <si>
    <t>83761GA0040233</t>
  </si>
  <si>
    <t>83761GA0040235-04</t>
  </si>
  <si>
    <t>83761GA0040238-05</t>
  </si>
  <si>
    <t>83761GA0040243-05</t>
  </si>
  <si>
    <t>83761GA0040219</t>
  </si>
  <si>
    <t>SoloCare Gold Copay White</t>
  </si>
  <si>
    <t>83761GA0040226</t>
  </si>
  <si>
    <t>83761GA0040228-06</t>
  </si>
  <si>
    <t>83761GA0040172</t>
  </si>
  <si>
    <t>SoloCare Bronze PPO 40021 Whitfield</t>
  </si>
  <si>
    <t>83761GA0040179</t>
  </si>
  <si>
    <t>SoloCare Platinum Copay Floyd</t>
  </si>
  <si>
    <t>83761GA0040189</t>
  </si>
  <si>
    <t>SoloCare Platinum Copay Polk</t>
  </si>
  <si>
    <t>83761GA0040201</t>
  </si>
  <si>
    <t>SoloCare Gold Copay Dawson</t>
  </si>
  <si>
    <t>83761GA0040126-05</t>
  </si>
  <si>
    <t>83761GA0040211</t>
  </si>
  <si>
    <t>SoloCare Gold Copay Murray</t>
  </si>
  <si>
    <t>83761GA0040134</t>
  </si>
  <si>
    <t>SoloCare Bronze HDHP 40031 Franklin</t>
  </si>
  <si>
    <t>83761GA0040143</t>
  </si>
  <si>
    <t>SoloCare Bronze HDHP 40031 Rabun</t>
  </si>
  <si>
    <t>83761GA0040115</t>
  </si>
  <si>
    <t>83761GA0040120-06</t>
  </si>
  <si>
    <t>83761GA0040118</t>
  </si>
  <si>
    <t>83761GA0040110</t>
  </si>
  <si>
    <t>SoloCare Silver PPO 40017 Floyd</t>
  </si>
  <si>
    <t>83761GA0040049</t>
  </si>
  <si>
    <t>SoloCare Platinum PPO 40023 Pickens</t>
  </si>
  <si>
    <t>83761GA0040063</t>
  </si>
  <si>
    <t>SoloCare Gold PPO 40002 Fannin</t>
  </si>
  <si>
    <t>83761GA0040072</t>
  </si>
  <si>
    <t>SoloCare Gold PPO 40002 Pickens</t>
  </si>
  <si>
    <t>83761GA0040023</t>
  </si>
  <si>
    <t>SoloCare Platinum PPO 40023 Hall/Barrow</t>
  </si>
  <si>
    <t>83761GA0040235-05</t>
  </si>
  <si>
    <t>83761GA0040237-06</t>
  </si>
  <si>
    <t>83761GA0040240-04</t>
  </si>
  <si>
    <t>83761GA0040225-06</t>
  </si>
  <si>
    <t>83761GA0040221-06</t>
  </si>
  <si>
    <t>83761GA0040227-06</t>
  </si>
  <si>
    <t>83761GA0040230-05</t>
  </si>
  <si>
    <t>83761GA0040185</t>
  </si>
  <si>
    <t>SoloCare Platinum Copay Hart</t>
  </si>
  <si>
    <t>83761GA0040207</t>
  </si>
  <si>
    <t>SoloCare Gold Copay Habersham</t>
  </si>
  <si>
    <t>83761GA0040125</t>
  </si>
  <si>
    <t>83761GA0040131</t>
  </si>
  <si>
    <t>SoloCare Bronze HDHP 40031 Dawson</t>
  </si>
  <si>
    <t>83761GA0040141</t>
  </si>
  <si>
    <t>SoloCare Bronze HDHP 40031 Pickens</t>
  </si>
  <si>
    <t>83761GA0040150</t>
  </si>
  <si>
    <t>SoloCare Bronze PPO 40021 Banks</t>
  </si>
  <si>
    <t>83761GA0040161</t>
  </si>
  <si>
    <t>SoloCare Bronze PPO 40021 Hart</t>
  </si>
  <si>
    <t>83761GA0040112</t>
  </si>
  <si>
    <t>83761GA0040114-05</t>
  </si>
  <si>
    <t>83761GA0040117</t>
  </si>
  <si>
    <t>SoloCare Silver PPO 40017 Murray</t>
  </si>
  <si>
    <t>83761GA0040119-05</t>
  </si>
  <si>
    <t>83761GA0040122</t>
  </si>
  <si>
    <t>SoloCare Silver PPO 40017 Towns</t>
  </si>
  <si>
    <t>83761GA0040109</t>
  </si>
  <si>
    <t>SoloCare Silver PPO 40017 Fannin</t>
  </si>
  <si>
    <t>83761GA0040110-06</t>
  </si>
  <si>
    <t>83761GA0040041</t>
  </si>
  <si>
    <t>SoloCare Platinum PPO 40023 Floyd</t>
  </si>
  <si>
    <t>83761GA0040053</t>
  </si>
  <si>
    <t>SoloCare Platinum PPO 40023 Towns</t>
  </si>
  <si>
    <t>83761GA0040069</t>
  </si>
  <si>
    <t>SoloCare Gold PPO 40002 Hart</t>
  </si>
  <si>
    <t>83761GA0040079</t>
  </si>
  <si>
    <t>SoloCare Gold PPO 40002 White</t>
  </si>
  <si>
    <t>SoloCare Silver PPO 40017 Hall/Barrow</t>
  </si>
  <si>
    <t>83761GA0040233-04</t>
  </si>
  <si>
    <t>83761GA0040236-06</t>
  </si>
  <si>
    <t>83761GA0040238-06</t>
  </si>
  <si>
    <t>83761GA0040241</t>
  </si>
  <si>
    <t>83761GA0040225-04</t>
  </si>
  <si>
    <t>83761GA0040217</t>
  </si>
  <si>
    <t>SoloCare Gold Copay Union</t>
  </si>
  <si>
    <t>83761GA0040227-05</t>
  </si>
  <si>
    <t>83761GA0040230-04</t>
  </si>
  <si>
    <t>83761GA0040171</t>
  </si>
  <si>
    <t>SoloCare Bronze PPO 40021 White</t>
  </si>
  <si>
    <t>83761GA0040178</t>
  </si>
  <si>
    <t>SoloCare Platinum Copay Fannin</t>
  </si>
  <si>
    <t>83761GA0040188</t>
  </si>
  <si>
    <t>SoloCare Platinum Copay Pickens</t>
  </si>
  <si>
    <t>83761GA0040205</t>
  </si>
  <si>
    <t>SoloCare Gold Copay Gilmer</t>
  </si>
  <si>
    <t>83761GA0040196</t>
  </si>
  <si>
    <t>SoloCare Platinum Copay Whitfield</t>
  </si>
  <si>
    <t>83761GA0040216</t>
  </si>
  <si>
    <t>SoloCare Gold Copay Towns</t>
  </si>
  <si>
    <t>83761GA0040137</t>
  </si>
  <si>
    <t>SoloCare Bronze HDHP 40031 Habersham</t>
  </si>
  <si>
    <t>83761GA0040154</t>
  </si>
  <si>
    <t>SoloCare Bronze PPO 40021 Dawson</t>
  </si>
  <si>
    <t>83761GA0040163</t>
  </si>
  <si>
    <t>SoloCare Bronze PPO 40021 Murray</t>
  </si>
  <si>
    <t>83761GA0040114-06</t>
  </si>
  <si>
    <t>83761GA0040112-04</t>
  </si>
  <si>
    <t>83761GA0040117-04</t>
  </si>
  <si>
    <t>83761GA0040120</t>
  </si>
  <si>
    <t>83761GA0040122-04</t>
  </si>
  <si>
    <t>83761GA0040104-06</t>
  </si>
  <si>
    <t>SoloCare Silver PPO 40017 Banks</t>
  </si>
  <si>
    <t>83761GA0040047</t>
  </si>
  <si>
    <t>SoloCare Platinum PPO 40023 Lumpkin</t>
  </si>
  <si>
    <t>83761GA0040071</t>
  </si>
  <si>
    <t>SoloCare Gold PPO 40002 Murray</t>
  </si>
  <si>
    <t>83761GA0040109-05</t>
  </si>
  <si>
    <t>83761GA0040017-06</t>
  </si>
  <si>
    <t>83761GA0040215</t>
  </si>
  <si>
    <t>SoloCare Gold Copay Stephens</t>
  </si>
  <si>
    <t>83761GA0040126-06</t>
  </si>
  <si>
    <t>83761GA0040133</t>
  </si>
  <si>
    <t>SoloCare Bronze HDHP 40031 Floyd</t>
  </si>
  <si>
    <t>83761GA0040144</t>
  </si>
  <si>
    <t>SoloCare Bronze HDHP 40031 Stephens</t>
  </si>
  <si>
    <t>83761GA0040155</t>
  </si>
  <si>
    <t>SoloCare Bronze PPO 40021 Fannin</t>
  </si>
  <si>
    <t>83761GA0040165</t>
  </si>
  <si>
    <t>SoloCare Bronze PPO 40021 Polk</t>
  </si>
  <si>
    <t>83761GA0040113-04</t>
  </si>
  <si>
    <t>83761GA0040115-06</t>
  </si>
  <si>
    <t>83761GA0040117-06</t>
  </si>
  <si>
    <t>83761GA0040120-04</t>
  </si>
  <si>
    <t>83761GA0040110-05</t>
  </si>
  <si>
    <t>83761GA0040122-06</t>
  </si>
  <si>
    <t>83761GA0040039</t>
  </si>
  <si>
    <t>SoloCare Platinum PPO 40023 Dawson</t>
  </si>
  <si>
    <t>83761GA0040048</t>
  </si>
  <si>
    <t>SoloCare Platinum PPO 40023 Murray</t>
  </si>
  <si>
    <t>83761GA0040062</t>
  </si>
  <si>
    <t>SoloCare Gold PPO 40002 Dawson</t>
  </si>
  <si>
    <t>83761GA0040073</t>
  </si>
  <si>
    <t>SoloCare Gold PPO 40002 Polk</t>
  </si>
  <si>
    <t>SoloCare Bronze PPO 40021 Hall/Barrow</t>
  </si>
  <si>
    <t>83761GA0040125-06</t>
  </si>
  <si>
    <t>83761GA0040127</t>
  </si>
  <si>
    <t>SoloCare Bronze HDHP 40031 Banks</t>
  </si>
  <si>
    <t>83761GA0040138</t>
  </si>
  <si>
    <t>SoloCare Bronze HDHP 40031 Hart</t>
  </si>
  <si>
    <t>83761GA0040148</t>
  </si>
  <si>
    <t>SoloCare Bronze HDHP 40031 White</t>
  </si>
  <si>
    <t>83761GA0040158</t>
  </si>
  <si>
    <t>SoloCare Bronze PPO 40021 Gilmer</t>
  </si>
  <si>
    <t>83761GA0040166</t>
  </si>
  <si>
    <t>SoloCare Bronze PPO 40021 Rabun</t>
  </si>
  <si>
    <t>83761GA0040113-06</t>
  </si>
  <si>
    <t>83761GA0040115-04</t>
  </si>
  <si>
    <t>83761GA0040117-05</t>
  </si>
  <si>
    <t>83761GA0040119-06</t>
  </si>
  <si>
    <t>83761GA0040122-05</t>
  </si>
  <si>
    <t>83761GA0040108-06</t>
  </si>
  <si>
    <t>83761GA0040110-04</t>
  </si>
  <si>
    <t>83761GA0040052</t>
  </si>
  <si>
    <t>SoloCare Platinum PPO 40023 Stephens</t>
  </si>
  <si>
    <t>83761GA0040043</t>
  </si>
  <si>
    <t>SoloCare Platinum PPO 40023 Gilmer</t>
  </si>
  <si>
    <t>83761GA0040058</t>
  </si>
  <si>
    <t>SoloCare Gold PPO 40002 Banks</t>
  </si>
  <si>
    <t>83761GA0040068</t>
  </si>
  <si>
    <t>SoloCare Gold PPO 40002 Habersham</t>
  </si>
  <si>
    <t>83761GA0040076</t>
  </si>
  <si>
    <t>SoloCare Gold PPO 40002 Towns</t>
  </si>
  <si>
    <t>SoloCare Silver PPO 40007 Hall</t>
  </si>
  <si>
    <t>83761GA0040159</t>
  </si>
  <si>
    <t>SoloCare Bronze PPO 40021 Gordon</t>
  </si>
  <si>
    <t>83761GA0040113</t>
  </si>
  <si>
    <t>83761GA0040116-05</t>
  </si>
  <si>
    <t>83761GA0040118-06</t>
  </si>
  <si>
    <t>83761GA0040121-05</t>
  </si>
  <si>
    <t>83761GA0040123-06</t>
  </si>
  <si>
    <t>83761GA0040108-05</t>
  </si>
  <si>
    <t>83761GA0040111-06</t>
  </si>
  <si>
    <t>83761GA0040104-04</t>
  </si>
  <si>
    <t>83761GA0040054</t>
  </si>
  <si>
    <t>SoloCare Platinum PPO 40023 Union</t>
  </si>
  <si>
    <t>83761GA0040045</t>
  </si>
  <si>
    <t>SoloCare Platinum PPO 40023 Habersham</t>
  </si>
  <si>
    <t>83761GA0040064</t>
  </si>
  <si>
    <t>SoloCare Gold PPO 40002 Floyd</t>
  </si>
  <si>
    <t>83761GA0040075</t>
  </si>
  <si>
    <t>SoloCare Gold PPO 40002 Stephens</t>
  </si>
  <si>
    <t>83761GA0040035</t>
  </si>
  <si>
    <t>SoloCare Platinum PPO 40023 Banks</t>
  </si>
  <si>
    <t>83761GA0040164</t>
  </si>
  <si>
    <t>SoloCare Bronze PPO 40021 Pickens</t>
  </si>
  <si>
    <t>83761GA0040114</t>
  </si>
  <si>
    <t>83761GA0040116-04</t>
  </si>
  <si>
    <t>83761GA0040119</t>
  </si>
  <si>
    <t>83761GA0040104</t>
  </si>
  <si>
    <t>83761GA0040121-04</t>
  </si>
  <si>
    <t>83761GA0040109-04</t>
  </si>
  <si>
    <t>83761GA0040111-05</t>
  </si>
  <si>
    <t>83761GA0040042</t>
  </si>
  <si>
    <t>SoloCare Platinum PPO 40023 Franklin</t>
  </si>
  <si>
    <t>83761GA0040051</t>
  </si>
  <si>
    <t>SoloCare Platinum PPO 40023 Rabun</t>
  </si>
  <si>
    <t>83761GA0040070</t>
  </si>
  <si>
    <t>SoloCare Gold PPO 40002 Lumpkin</t>
  </si>
  <si>
    <t>83761GA0040080</t>
  </si>
  <si>
    <t>SoloCare Gold PPO 40002 Whitfield</t>
  </si>
  <si>
    <t>83761GA0040017-05</t>
  </si>
  <si>
    <t>83761GA0040121</t>
  </si>
  <si>
    <t>83761GA0040104-05</t>
  </si>
  <si>
    <t>83761GA0040108</t>
  </si>
  <si>
    <t>83761GA0040111</t>
  </si>
  <si>
    <t>83761GA0040040</t>
  </si>
  <si>
    <t>SoloCare Platinum PPO 40023 Fannin</t>
  </si>
  <si>
    <t>83761GA0040050</t>
  </si>
  <si>
    <t>SoloCare Platinum PPO 40023 Polk</t>
  </si>
  <si>
    <t>83761GA0040057</t>
  </si>
  <si>
    <t>SoloCare Platinum PPO 40023 Whitfield</t>
  </si>
  <si>
    <t>83761GA0040067</t>
  </si>
  <si>
    <t>SoloCare Gold PPO 40002 Gordon</t>
  </si>
  <si>
    <t>83761GA0040077</t>
  </si>
  <si>
    <t>SoloCare Gold PPO 40002 Union</t>
  </si>
  <si>
    <t>SoloCare Gold PPO 40002 Hall/Barrow</t>
  </si>
  <si>
    <t>83761GA0040109-06</t>
  </si>
  <si>
    <t>83761GA0040046</t>
  </si>
  <si>
    <t>SoloCare Platinum PPO 40023 Hart</t>
  </si>
  <si>
    <t>83761GA0040056</t>
  </si>
  <si>
    <t>SoloCare Platinum PPO 40023 White</t>
  </si>
  <si>
    <t>83761GA0040066</t>
  </si>
  <si>
    <t>SoloCare Gold PPO 40002 Gilmer</t>
  </si>
  <si>
    <t>83761GA0040017-04</t>
  </si>
  <si>
    <t>83761GA0040090</t>
  </si>
  <si>
    <t>SoloCare Silver PPO 40007 Gordon</t>
  </si>
  <si>
    <t>83761GA0040098</t>
  </si>
  <si>
    <t>SoloCare Silver PPO 40007 Stephens</t>
  </si>
  <si>
    <t>83761GA0040093</t>
  </si>
  <si>
    <t>SoloCare Silver PPO 40007 Lumpkin</t>
  </si>
  <si>
    <t>83761GA0040102</t>
  </si>
  <si>
    <t>SoloCare Silver PPO 40007 White</t>
  </si>
  <si>
    <t>83761GA0040089</t>
  </si>
  <si>
    <t>SoloCare Silver PPO 40007 Gilmer</t>
  </si>
  <si>
    <t>83761GA0040100</t>
  </si>
  <si>
    <t>SoloCare Silver PPO 40007 Union</t>
  </si>
  <si>
    <t>83761GA0040095</t>
  </si>
  <si>
    <t>SoloCare Silver PPO 40007 Pickens</t>
  </si>
  <si>
    <t>83761GA0040087</t>
  </si>
  <si>
    <t>SoloCare Silver PPO 40007 Floyd</t>
  </si>
  <si>
    <t>83761GA0040097</t>
  </si>
  <si>
    <t>SoloCare Silver PPO 40007 Rabun</t>
  </si>
  <si>
    <t>83761GA0040081</t>
  </si>
  <si>
    <t>SoloCare Silver PPO 40007 Banks</t>
  </si>
  <si>
    <t>83761GA0040099</t>
  </si>
  <si>
    <t>SoloCare Silver PPO 40007 Towns</t>
  </si>
  <si>
    <t>83761GA0040088</t>
  </si>
  <si>
    <t>SoloCare Silver PPO 40007 Franklin</t>
  </si>
  <si>
    <t>83761GA0040103</t>
  </si>
  <si>
    <t>SoloCare Silver PPO 40007 Whitfield</t>
  </si>
  <si>
    <t>83761GA0040094</t>
  </si>
  <si>
    <t>SoloCare Silver PPO 40007 Murray</t>
  </si>
  <si>
    <t>83761GA0040091</t>
  </si>
  <si>
    <t>SoloCare Silver PPO 40007 Habersham</t>
  </si>
  <si>
    <t>83761GA0040085</t>
  </si>
  <si>
    <t>SoloCare Silver PPO 40007 Dawson</t>
  </si>
  <si>
    <t>83761GA0040092</t>
  </si>
  <si>
    <t>SoloCare Silver PPO 40007 Hart</t>
  </si>
  <si>
    <t>83761GA0040086</t>
  </si>
  <si>
    <t>SoloCare Silver PPO 40007 Fannin</t>
  </si>
  <si>
    <t>83761GA0040096</t>
  </si>
  <si>
    <t>SoloCare Silver PPO 40007 Polk</t>
  </si>
  <si>
    <t>70893GA0020001-04</t>
  </si>
  <si>
    <t>70893GA0010051</t>
  </si>
  <si>
    <t>70893GA0010019-06</t>
  </si>
  <si>
    <t>70893GA0010019-04</t>
  </si>
  <si>
    <t>70893GA0010019</t>
  </si>
  <si>
    <t>70893GA0010018-04</t>
  </si>
  <si>
    <t>70893GA0010017-05</t>
  </si>
  <si>
    <t>70893GA0010017-04</t>
  </si>
  <si>
    <t>70893GA0010014-06</t>
  </si>
  <si>
    <t>70893GA0010013-05</t>
  </si>
  <si>
    <t>70893GA0010012</t>
  </si>
  <si>
    <t>70893GA0010009</t>
  </si>
  <si>
    <t>70893GA0010003-05</t>
  </si>
  <si>
    <t>70893GA0010003-04</t>
  </si>
  <si>
    <t>70893GA0010002-05</t>
  </si>
  <si>
    <t>70893GA0030010-06</t>
  </si>
  <si>
    <t>70893GA0030010-04</t>
  </si>
  <si>
    <t>70893GA0030010</t>
  </si>
  <si>
    <t>70893GA0030009-05</t>
  </si>
  <si>
    <t>70893GA0030002-05</t>
  </si>
  <si>
    <t>70893GA0030001-04</t>
  </si>
  <si>
    <t>70893GA0020010-05</t>
  </si>
  <si>
    <t>70893GA0020009-06</t>
  </si>
  <si>
    <t>70893GA0020009</t>
  </si>
  <si>
    <t>49046GA0410128</t>
  </si>
  <si>
    <t>Anthem Silver Pathway X Guided Access HMO 6000 30</t>
  </si>
  <si>
    <t>49046GA0410100</t>
  </si>
  <si>
    <t>49046GA0410086</t>
  </si>
  <si>
    <t>Anthem Silver Pathway X Guided Access HMO 4950</t>
  </si>
  <si>
    <t>49046GA0410039</t>
  </si>
  <si>
    <t>Anthem Catastrophic Pathway X Guided Access HMO 7900</t>
  </si>
  <si>
    <t>49046GA0410038</t>
  </si>
  <si>
    <t>Anthem Silver Pathway X Guided Access HMO 3000</t>
  </si>
  <si>
    <t>49046GA0410037</t>
  </si>
  <si>
    <t>49046GA0410117</t>
  </si>
  <si>
    <t>Anthem Silver Pathway X HMO 3000</t>
  </si>
  <si>
    <t>Anthem Bronze Pathway X HMO 5200</t>
  </si>
  <si>
    <t>Anthem Bronze Pathway X HMO 0 for HSA</t>
  </si>
  <si>
    <t>49046GA0410128-04</t>
  </si>
  <si>
    <t>Anthem Silver Pathway X Guided Access HMO 6000 30 S04</t>
  </si>
  <si>
    <t>49046GA0410118-06</t>
  </si>
  <si>
    <t>Anthem Silver Pathway X HMO 6000 30% S06</t>
  </si>
  <si>
    <t>49046GA0410118-05</t>
  </si>
  <si>
    <t>Anthem Silver Pathway X HMO 6000 30% S05</t>
  </si>
  <si>
    <t>49046GA0410109-05</t>
  </si>
  <si>
    <t>Anthem Silver Pathway X Guided Access HMO 6000 S05</t>
  </si>
  <si>
    <t>49046GA0410034-04</t>
  </si>
  <si>
    <t>Anthem Silver Pathway X Guided Access HMO 5300 S04</t>
  </si>
  <si>
    <t>49046GA0410031-06</t>
  </si>
  <si>
    <t>Anthem Silver Pathway X Guided Access HMO 2000 S06</t>
  </si>
  <si>
    <t>49046GA0410023-05</t>
  </si>
  <si>
    <t>Anthem Silver Pathway X HMO 2000 S05</t>
  </si>
  <si>
    <t>49046GA0410023-04</t>
  </si>
  <si>
    <t>Anthem Silver Pathway X HMO 2000 S04</t>
  </si>
  <si>
    <t>49046GA0410020-06</t>
  </si>
  <si>
    <t>Anthem Silver Pathway X HMO 3000 S06</t>
  </si>
  <si>
    <t>49046GA0410020-04</t>
  </si>
  <si>
    <t>Anthem Silver Pathway X HMO 3000 S04</t>
  </si>
  <si>
    <t>89942GA0050005-04</t>
  </si>
  <si>
    <t>KP GA Silver 2100/30/73% CSR</t>
  </si>
  <si>
    <t>89942GA0050006-05</t>
  </si>
  <si>
    <t>89942GA0050020</t>
  </si>
  <si>
    <t xml:space="preserve">KP GA Signature Bronze 6200/40%/HSA  </t>
  </si>
  <si>
    <t>89942GA0070007</t>
  </si>
  <si>
    <t>89942GA0050006-06</t>
  </si>
  <si>
    <t>89942GA0050017-06</t>
  </si>
  <si>
    <t>89942GA0070010</t>
  </si>
  <si>
    <t>89942GA0050021</t>
  </si>
  <si>
    <t>89942GA0050025</t>
  </si>
  <si>
    <t>89942GA0050024-06</t>
  </si>
  <si>
    <t>89942GA0050005-05</t>
  </si>
  <si>
    <t>89942GA0050006-04</t>
  </si>
  <si>
    <t>89942GA0070020</t>
  </si>
  <si>
    <t>89942GA0070016</t>
  </si>
  <si>
    <t>83761GA0040169</t>
  </si>
  <si>
    <t>SoloCare Bronze PPO 40021 Union</t>
  </si>
  <si>
    <t>83761GA0040203</t>
  </si>
  <si>
    <t>SoloCare Gold Copay Floyd</t>
  </si>
  <si>
    <t>83761GA0040234-05</t>
  </si>
  <si>
    <t>45495GA0030007-06</t>
  </si>
  <si>
    <t>93332GA0710007</t>
  </si>
  <si>
    <t>Humana</t>
  </si>
  <si>
    <t>Humana Connect Platinum 1000/1500 Plan</t>
  </si>
  <si>
    <t>93332GA0710004-06</t>
  </si>
  <si>
    <t>83761GA0040010-05</t>
  </si>
  <si>
    <t>Humana National Preferred Gold 2500/3500 Plan</t>
  </si>
  <si>
    <t>93332GA0720004-04</t>
  </si>
  <si>
    <t>93332GA0710018-05</t>
  </si>
  <si>
    <t>93332GA0710018-04</t>
  </si>
  <si>
    <t>Humana Connect Bronze 6300/6300 Plan</t>
  </si>
  <si>
    <t>49046GA0410011</t>
  </si>
  <si>
    <t>BCBSHP Gold DirectAccess - ccab</t>
  </si>
  <si>
    <t>93332GA0710001</t>
  </si>
  <si>
    <t>Humana Connect Basic 6350/6350 Plan</t>
  </si>
  <si>
    <t>49046GA0610001-06</t>
  </si>
  <si>
    <t>45495GA0010008-04</t>
  </si>
  <si>
    <t>49046GA0410013</t>
  </si>
  <si>
    <t>BCBSHP Catastrophic DirectAccess</t>
  </si>
  <si>
    <t>49046GA0410009-06</t>
  </si>
  <si>
    <t>49046GA0410007-05</t>
  </si>
  <si>
    <t>49046GA0410002</t>
  </si>
  <si>
    <t>BCBSHP Bronze DirectAccess - cabr</t>
  </si>
  <si>
    <t>89942GA0050004-06</t>
  </si>
  <si>
    <t>89942GA0050004-04</t>
  </si>
  <si>
    <t>49046GA0410010-04</t>
  </si>
  <si>
    <t>93332GA0710021</t>
  </si>
  <si>
    <t>45495GA0030009-04</t>
  </si>
  <si>
    <t>45495GA0030008-06</t>
  </si>
  <si>
    <t>45495GA0030008-04</t>
  </si>
  <si>
    <t>45495GA0030007-05</t>
  </si>
  <si>
    <t>45495GA0030005-06</t>
  </si>
  <si>
    <t>Ambetter Gold 4 + Vision + Adult Dental</t>
  </si>
  <si>
    <t>Ambetter Gold 2 + Vision + Adult Dental</t>
  </si>
  <si>
    <t>45495GA0020009-06</t>
  </si>
  <si>
    <t>45495GA0020007-05</t>
  </si>
  <si>
    <t>45495GA0020005-06</t>
  </si>
  <si>
    <t>45495GA0020005-04</t>
  </si>
  <si>
    <t>Ambetter Gold 4 + Vision</t>
  </si>
  <si>
    <t>Ambetter Gold 2 + Vision</t>
  </si>
  <si>
    <t>Ambetter Bronze 4</t>
  </si>
  <si>
    <t>45495GA0010010</t>
  </si>
  <si>
    <t>Ambetter Bronze 1</t>
  </si>
  <si>
    <t>45495GA0010009-06</t>
  </si>
  <si>
    <t>45495GA0010009-05</t>
  </si>
  <si>
    <t>45495GA0010008-06</t>
  </si>
  <si>
    <t>45495GA0010007-06</t>
  </si>
  <si>
    <t>45495GA0010007-05</t>
  </si>
  <si>
    <t>45495GA0010007-04</t>
  </si>
  <si>
    <t>45495GA0010005-06</t>
  </si>
  <si>
    <t>45495GA0010005-05</t>
  </si>
  <si>
    <t>45495GA0010005-04</t>
  </si>
  <si>
    <t>Ambetter Gold 4</t>
  </si>
  <si>
    <t>45495GA0020005-05</t>
  </si>
  <si>
    <t>45495GA0020010</t>
  </si>
  <si>
    <t>Ambetter Bronze 1 + Vision</t>
  </si>
  <si>
    <t>Ambetter Bronze 4 + Vision + Adult Dental</t>
  </si>
  <si>
    <t>Ambetter Bronze 3 + Vision</t>
  </si>
  <si>
    <t>49046GA0410008-04</t>
  </si>
  <si>
    <t>Ambetter Bronze 3</t>
  </si>
  <si>
    <t>49046GA0410006</t>
  </si>
  <si>
    <t>BCBSHP Bronze DirectAccess w/Child Dental - cdae</t>
  </si>
  <si>
    <t>45495GA0030009-06</t>
  </si>
  <si>
    <t>49046GA0410010-06</t>
  </si>
  <si>
    <t>45495GA0010009-04</t>
  </si>
  <si>
    <t>45495GA0010008-05</t>
  </si>
  <si>
    <t>93332GA0710004-04</t>
  </si>
  <si>
    <t>49046GA0610001-05</t>
  </si>
  <si>
    <t>45495GA0020007-06</t>
  </si>
  <si>
    <t>93332GA0720004-06</t>
  </si>
  <si>
    <t>49046GA0410004</t>
  </si>
  <si>
    <t>BCBSHP Bronze DirectAccess w/HSA - cabp</t>
  </si>
  <si>
    <t>89942GA0050004-05</t>
  </si>
  <si>
    <t>Humana Connect Bronze 4850/6350 Plan</t>
  </si>
  <si>
    <t>93332GA0720007</t>
  </si>
  <si>
    <t>Humana National Preferred Platinum 1000/1500 Plan</t>
  </si>
  <si>
    <t>45495GA0020008-05</t>
  </si>
  <si>
    <t>83761GA0040010-04</t>
  </si>
  <si>
    <t>83761GA0040015-05</t>
  </si>
  <si>
    <t>83761GA0040015-04</t>
  </si>
  <si>
    <t>45495GA0030008-05</t>
  </si>
  <si>
    <t>93332GA0720004-05</t>
  </si>
  <si>
    <t>Humana National Preferred Bronze 6300/6300 Plan</t>
  </si>
  <si>
    <t>93332GA0720001</t>
  </si>
  <si>
    <t>Humana National Preferred Basic 6350/6350 Plan</t>
  </si>
  <si>
    <t>93332GA0710018-06</t>
  </si>
  <si>
    <t>93332GA0710015</t>
  </si>
  <si>
    <t>Humana Connect Gold 2500/3500 Plan</t>
  </si>
  <si>
    <t>93332GA0710004-05</t>
  </si>
  <si>
    <t>49046GA0410008-05</t>
  </si>
  <si>
    <t>49046GA0610001-04</t>
  </si>
  <si>
    <t>49046GA0610002</t>
  </si>
  <si>
    <t>49046GA0410010-05</t>
  </si>
  <si>
    <t>49046GA0410007-06</t>
  </si>
  <si>
    <t>49046GA0410007-04</t>
  </si>
  <si>
    <t>49046GA0410005</t>
  </si>
  <si>
    <t>BCBSHP Bronze DirectAccess - caaw</t>
  </si>
  <si>
    <t>49046GA0410001</t>
  </si>
  <si>
    <t>BCBSHP Bronze DirectAccess w/HSA - caar</t>
  </si>
  <si>
    <t>KP GA Catastrophic 6350/0</t>
  </si>
  <si>
    <t>45495GA0030010</t>
  </si>
  <si>
    <t>Ambetter Bronze 1 + Vision + Adult Dental</t>
  </si>
  <si>
    <t>49046GA0410012</t>
  </si>
  <si>
    <t>BCBSHP Gold DirectAccess w/Child Dental - cdcp</t>
  </si>
  <si>
    <t>49046GA0410003</t>
  </si>
  <si>
    <t>BCBSHP Bronze DirectAccess - caae</t>
  </si>
  <si>
    <t>49046GA0410009-04</t>
  </si>
  <si>
    <t>Ambetter Bronze 3 + Vision + Adult Dental</t>
  </si>
  <si>
    <t>45495GA0030009-05</t>
  </si>
  <si>
    <t>45495GA0030005-04</t>
  </si>
  <si>
    <t>45495GA0020009-05</t>
  </si>
  <si>
    <t>45495GA0020009-04</t>
  </si>
  <si>
    <t>45495GA0020008-04</t>
  </si>
  <si>
    <t>45495GA0020007-04</t>
  </si>
  <si>
    <t>49046GA0410008-06</t>
  </si>
  <si>
    <t>83761GA0040015-06</t>
  </si>
  <si>
    <t>49046GA0410009-05</t>
  </si>
  <si>
    <t>45495GA0030005-05</t>
  </si>
  <si>
    <t>Ambetter Bronze 4 + Vision</t>
  </si>
  <si>
    <t>45495GA0030007-04</t>
  </si>
  <si>
    <t>Ambetter Gold 2</t>
  </si>
  <si>
    <t>45495GA0020008-06</t>
  </si>
  <si>
    <t>83761GA0040010-06</t>
  </si>
  <si>
    <t>Family of Four</t>
  </si>
  <si>
    <t>Total</t>
  </si>
  <si>
    <t>Check Math</t>
  </si>
  <si>
    <t>Number of Plans</t>
  </si>
  <si>
    <t>Sum of Premiums for Family of Four</t>
  </si>
  <si>
    <t>Average Premium for Family of Four</t>
  </si>
  <si>
    <t>overall</t>
  </si>
  <si>
    <t>count</t>
  </si>
  <si>
    <t>Any</t>
  </si>
  <si>
    <t># counties</t>
  </si>
  <si>
    <t>Price increases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</si>
</sst>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0.000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9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0" fontId="3" fillId="0" borderId="0" xfId="0" applyFont="1" applyAlignment="1">
      <alignment horizontal="right"/>
    </xf>
    <xf numFmtId="8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  <xf numFmtId="0" fontId="4" fillId="0" borderId="0" xfId="1"/>
    <xf numFmtId="0" fontId="5" fillId="0" borderId="0" xfId="1" applyFont="1"/>
    <xf numFmtId="0" fontId="7" fillId="0" borderId="0" xfId="2" applyFont="1" applyAlignment="1">
      <alignment horizontal="center"/>
    </xf>
    <xf numFmtId="0" fontId="6" fillId="0" borderId="0" xfId="2"/>
    <xf numFmtId="0" fontId="8" fillId="0" borderId="0" xfId="2" applyFont="1" applyAlignment="1">
      <alignment horizontal="left"/>
    </xf>
    <xf numFmtId="0" fontId="6" fillId="0" borderId="0" xfId="2" applyAlignment="1">
      <alignment horizontal="right"/>
    </xf>
    <xf numFmtId="0" fontId="8" fillId="0" borderId="0" xfId="2" applyFont="1" applyAlignment="1">
      <alignment horizontal="center"/>
    </xf>
    <xf numFmtId="1" fontId="8" fillId="0" borderId="0" xfId="2" applyNumberFormat="1" applyFont="1" applyAlignment="1">
      <alignment horizontal="center"/>
    </xf>
    <xf numFmtId="165" fontId="8" fillId="0" borderId="0" xfId="2" applyNumberFormat="1" applyFont="1" applyAlignment="1">
      <alignment horizontal="left"/>
    </xf>
    <xf numFmtId="165" fontId="6" fillId="0" borderId="0" xfId="2" applyNumberFormat="1" applyAlignment="1">
      <alignment horizontal="right"/>
    </xf>
    <xf numFmtId="165" fontId="6" fillId="0" borderId="0" xfId="2" applyNumberFormat="1" applyAlignment="1">
      <alignment horizontal="left"/>
    </xf>
    <xf numFmtId="165" fontId="6" fillId="0" borderId="0" xfId="2" applyNumberFormat="1" applyAlignment="1">
      <alignment horizontal="left" wrapText="1"/>
    </xf>
    <xf numFmtId="165" fontId="8" fillId="0" borderId="0" xfId="2" applyNumberFormat="1" applyFont="1" applyAlignment="1">
      <alignment horizontal="center"/>
    </xf>
    <xf numFmtId="165" fontId="8" fillId="0" borderId="0" xfId="2" applyNumberFormat="1" applyFont="1" applyAlignment="1">
      <alignment horizontal="center" wrapText="1"/>
    </xf>
    <xf numFmtId="0" fontId="8" fillId="0" borderId="0" xfId="2" applyFont="1" applyAlignment="1">
      <alignment horizontal="center" wrapText="1"/>
    </xf>
    <xf numFmtId="1" fontId="6" fillId="0" borderId="0" xfId="2" applyNumberFormat="1" applyAlignment="1">
      <alignment horizontal="right"/>
    </xf>
    <xf numFmtId="2" fontId="6" fillId="0" borderId="0" xfId="2" applyNumberFormat="1" applyAlignment="1">
      <alignment horizontal="right"/>
    </xf>
    <xf numFmtId="1" fontId="6" fillId="0" borderId="0" xfId="2" applyNumberFormat="1"/>
    <xf numFmtId="2" fontId="6" fillId="0" borderId="0" xfId="2" applyNumberFormat="1"/>
    <xf numFmtId="165" fontId="6" fillId="0" borderId="0" xfId="2" applyNumberFormat="1"/>
    <xf numFmtId="2" fontId="0" fillId="0" borderId="0" xfId="0" applyNumberFormat="1"/>
    <xf numFmtId="0" fontId="0" fillId="0" borderId="0" xfId="0" applyAlignment="1">
      <alignment horizontal="left" wrapText="1"/>
    </xf>
    <xf numFmtId="4" fontId="0" fillId="0" borderId="0" xfId="0" applyNumberFormat="1"/>
    <xf numFmtId="2" fontId="0" fillId="0" borderId="0" xfId="0" applyNumberFormat="1" applyAlignment="1">
      <alignment vertical="center"/>
    </xf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6" fontId="0" fillId="0" borderId="0" xfId="3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">
    <cellStyle name="Normal" xfId="0" builtinId="0"/>
    <cellStyle name="Normal 2" xfId="2" xr:uid="{00000000-0005-0000-0000-000001000000}"/>
    <cellStyle name="Normal 4" xfId="1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165"/>
  <sheetViews>
    <sheetView topLeftCell="A4" workbookViewId="0">
      <selection activeCell="I5" sqref="I5"/>
    </sheetView>
  </sheetViews>
  <sheetFormatPr defaultRowHeight="14.5" x14ac:dyDescent="0.35"/>
  <cols>
    <col min="3" max="3" width="22.1796875" bestFit="1" customWidth="1"/>
    <col min="4" max="4" width="15.26953125" bestFit="1" customWidth="1"/>
  </cols>
  <sheetData>
    <row r="3" spans="3:9" ht="15" customHeight="1" x14ac:dyDescent="0.35">
      <c r="C3" s="1" t="s">
        <v>0</v>
      </c>
      <c r="D3" s="51" t="s">
        <v>2</v>
      </c>
      <c r="E3" s="51" t="s">
        <v>178</v>
      </c>
    </row>
    <row r="4" spans="3:9" x14ac:dyDescent="0.35">
      <c r="C4" s="2" t="s">
        <v>1</v>
      </c>
      <c r="D4" s="52"/>
      <c r="E4" s="52"/>
    </row>
    <row r="5" spans="3:9" x14ac:dyDescent="0.35">
      <c r="C5" s="3" t="s">
        <v>3</v>
      </c>
      <c r="D5" s="3" t="s">
        <v>4</v>
      </c>
      <c r="E5" s="4">
        <v>1</v>
      </c>
      <c r="H5" s="4">
        <v>1</v>
      </c>
      <c r="I5">
        <f>COUNTIF(E5:E163,H5)</f>
        <v>12</v>
      </c>
    </row>
    <row r="6" spans="3:9" x14ac:dyDescent="0.35">
      <c r="C6" s="3" t="s">
        <v>3</v>
      </c>
      <c r="D6" s="3" t="s">
        <v>5</v>
      </c>
      <c r="E6" s="4">
        <v>1</v>
      </c>
      <c r="H6" s="4">
        <v>2</v>
      </c>
      <c r="I6">
        <f t="shared" ref="I6:I20" si="0">COUNTIF(E6:E164,H6)</f>
        <v>9</v>
      </c>
    </row>
    <row r="7" spans="3:9" x14ac:dyDescent="0.35">
      <c r="C7" s="3" t="s">
        <v>3</v>
      </c>
      <c r="D7" s="3" t="s">
        <v>6</v>
      </c>
      <c r="E7" s="4">
        <v>1</v>
      </c>
      <c r="H7" s="4">
        <v>3</v>
      </c>
      <c r="I7">
        <f t="shared" si="0"/>
        <v>21</v>
      </c>
    </row>
    <row r="8" spans="3:9" x14ac:dyDescent="0.35">
      <c r="C8" s="3" t="s">
        <v>3</v>
      </c>
      <c r="D8" s="3" t="s">
        <v>7</v>
      </c>
      <c r="E8" s="4">
        <v>1</v>
      </c>
      <c r="H8" s="4">
        <v>4</v>
      </c>
      <c r="I8">
        <f t="shared" si="0"/>
        <v>3</v>
      </c>
    </row>
    <row r="9" spans="3:9" x14ac:dyDescent="0.35">
      <c r="C9" s="3" t="s">
        <v>3</v>
      </c>
      <c r="D9" s="3" t="s">
        <v>8</v>
      </c>
      <c r="E9" s="4">
        <v>1</v>
      </c>
      <c r="H9" s="4">
        <v>5</v>
      </c>
      <c r="I9">
        <f t="shared" si="0"/>
        <v>12</v>
      </c>
    </row>
    <row r="10" spans="3:9" x14ac:dyDescent="0.35">
      <c r="C10" s="3" t="s">
        <v>3</v>
      </c>
      <c r="D10" s="3" t="s">
        <v>9</v>
      </c>
      <c r="E10" s="4">
        <v>1</v>
      </c>
      <c r="H10" s="4">
        <v>6</v>
      </c>
      <c r="I10">
        <f t="shared" si="0"/>
        <v>9</v>
      </c>
    </row>
    <row r="11" spans="3:9" x14ac:dyDescent="0.35">
      <c r="C11" s="3" t="s">
        <v>3</v>
      </c>
      <c r="D11" s="3" t="s">
        <v>10</v>
      </c>
      <c r="E11" s="4">
        <v>1</v>
      </c>
      <c r="H11" s="4">
        <v>7</v>
      </c>
      <c r="I11">
        <f t="shared" si="0"/>
        <v>3</v>
      </c>
    </row>
    <row r="12" spans="3:9" x14ac:dyDescent="0.35">
      <c r="C12" s="3" t="s">
        <v>3</v>
      </c>
      <c r="D12" s="3" t="s">
        <v>11</v>
      </c>
      <c r="E12" s="4">
        <v>1</v>
      </c>
      <c r="H12" s="4">
        <v>8</v>
      </c>
      <c r="I12">
        <f t="shared" si="0"/>
        <v>13</v>
      </c>
    </row>
    <row r="13" spans="3:9" x14ac:dyDescent="0.35">
      <c r="C13" s="3" t="s">
        <v>3</v>
      </c>
      <c r="D13" s="3" t="s">
        <v>12</v>
      </c>
      <c r="E13" s="4">
        <v>1</v>
      </c>
      <c r="H13" s="4">
        <v>9</v>
      </c>
      <c r="I13">
        <f t="shared" si="0"/>
        <v>3</v>
      </c>
    </row>
    <row r="14" spans="3:9" x14ac:dyDescent="0.35">
      <c r="C14" s="3" t="s">
        <v>3</v>
      </c>
      <c r="D14" s="3" t="s">
        <v>13</v>
      </c>
      <c r="E14" s="4">
        <v>1</v>
      </c>
      <c r="H14" s="4">
        <v>10</v>
      </c>
      <c r="I14">
        <f t="shared" si="0"/>
        <v>12</v>
      </c>
    </row>
    <row r="15" spans="3:9" x14ac:dyDescent="0.35">
      <c r="C15" s="3" t="s">
        <v>3</v>
      </c>
      <c r="D15" s="3" t="s">
        <v>14</v>
      </c>
      <c r="E15" s="4">
        <v>1</v>
      </c>
      <c r="H15" s="4">
        <v>11</v>
      </c>
      <c r="I15">
        <f t="shared" si="0"/>
        <v>10</v>
      </c>
    </row>
    <row r="16" spans="3:9" x14ac:dyDescent="0.35">
      <c r="C16" s="3" t="s">
        <v>3</v>
      </c>
      <c r="D16" s="3" t="s">
        <v>15</v>
      </c>
      <c r="E16" s="4">
        <v>1</v>
      </c>
      <c r="H16" s="4">
        <v>12</v>
      </c>
      <c r="I16">
        <f t="shared" si="0"/>
        <v>13</v>
      </c>
    </row>
    <row r="17" spans="3:9" x14ac:dyDescent="0.35">
      <c r="C17" s="3" t="s">
        <v>16</v>
      </c>
      <c r="D17" s="3" t="s">
        <v>17</v>
      </c>
      <c r="E17" s="4">
        <v>2</v>
      </c>
      <c r="H17" s="4">
        <v>13</v>
      </c>
      <c r="I17">
        <f t="shared" si="0"/>
        <v>6</v>
      </c>
    </row>
    <row r="18" spans="3:9" x14ac:dyDescent="0.35">
      <c r="C18" s="3" t="s">
        <v>16</v>
      </c>
      <c r="D18" s="3" t="s">
        <v>18</v>
      </c>
      <c r="E18" s="4">
        <v>2</v>
      </c>
      <c r="H18" s="4">
        <v>14</v>
      </c>
      <c r="I18">
        <f t="shared" si="0"/>
        <v>11</v>
      </c>
    </row>
    <row r="19" spans="3:9" x14ac:dyDescent="0.35">
      <c r="C19" s="3" t="s">
        <v>16</v>
      </c>
      <c r="D19" s="3" t="s">
        <v>19</v>
      </c>
      <c r="E19" s="4">
        <v>2</v>
      </c>
      <c r="H19" s="4">
        <v>15</v>
      </c>
      <c r="I19">
        <f t="shared" si="0"/>
        <v>18</v>
      </c>
    </row>
    <row r="20" spans="3:9" x14ac:dyDescent="0.35">
      <c r="C20" s="3" t="s">
        <v>16</v>
      </c>
      <c r="D20" s="3" t="s">
        <v>20</v>
      </c>
      <c r="E20" s="4">
        <v>2</v>
      </c>
      <c r="H20" s="4">
        <v>16</v>
      </c>
      <c r="I20">
        <f t="shared" si="0"/>
        <v>4</v>
      </c>
    </row>
    <row r="21" spans="3:9" x14ac:dyDescent="0.35">
      <c r="C21" s="3" t="s">
        <v>16</v>
      </c>
      <c r="D21" s="3" t="s">
        <v>21</v>
      </c>
      <c r="E21" s="4">
        <v>2</v>
      </c>
    </row>
    <row r="22" spans="3:9" x14ac:dyDescent="0.35">
      <c r="C22" s="3" t="s">
        <v>16</v>
      </c>
      <c r="D22" s="3" t="s">
        <v>22</v>
      </c>
      <c r="E22" s="4">
        <v>2</v>
      </c>
    </row>
    <row r="23" spans="3:9" x14ac:dyDescent="0.35">
      <c r="C23" s="3" t="s">
        <v>16</v>
      </c>
      <c r="D23" s="3" t="s">
        <v>23</v>
      </c>
      <c r="E23" s="4">
        <v>2</v>
      </c>
    </row>
    <row r="24" spans="3:9" x14ac:dyDescent="0.35">
      <c r="C24" s="3" t="s">
        <v>16</v>
      </c>
      <c r="D24" s="3" t="s">
        <v>24</v>
      </c>
      <c r="E24" s="4">
        <v>2</v>
      </c>
    </row>
    <row r="25" spans="3:9" x14ac:dyDescent="0.35">
      <c r="C25" s="3" t="s">
        <v>16</v>
      </c>
      <c r="D25" s="3" t="s">
        <v>25</v>
      </c>
      <c r="E25" s="4">
        <v>2</v>
      </c>
    </row>
    <row r="26" spans="3:9" x14ac:dyDescent="0.35">
      <c r="C26" s="3" t="s">
        <v>26</v>
      </c>
      <c r="D26" s="3" t="s">
        <v>27</v>
      </c>
      <c r="E26" s="4">
        <v>3</v>
      </c>
    </row>
    <row r="27" spans="3:9" x14ac:dyDescent="0.35">
      <c r="C27" s="3" t="s">
        <v>26</v>
      </c>
      <c r="D27" s="3" t="s">
        <v>28</v>
      </c>
      <c r="E27" s="4">
        <v>3</v>
      </c>
    </row>
    <row r="28" spans="3:9" x14ac:dyDescent="0.35">
      <c r="C28" s="3" t="s">
        <v>26</v>
      </c>
      <c r="D28" s="3" t="s">
        <v>29</v>
      </c>
      <c r="E28" s="4">
        <v>3</v>
      </c>
    </row>
    <row r="29" spans="3:9" x14ac:dyDescent="0.35">
      <c r="C29" s="3" t="s">
        <v>26</v>
      </c>
      <c r="D29" s="3" t="s">
        <v>30</v>
      </c>
      <c r="E29" s="4">
        <v>3</v>
      </c>
    </row>
    <row r="30" spans="3:9" x14ac:dyDescent="0.35">
      <c r="C30" s="3" t="s">
        <v>26</v>
      </c>
      <c r="D30" s="3" t="s">
        <v>31</v>
      </c>
      <c r="E30" s="4">
        <v>3</v>
      </c>
    </row>
    <row r="31" spans="3:9" x14ac:dyDescent="0.35">
      <c r="C31" s="3" t="s">
        <v>26</v>
      </c>
      <c r="D31" s="3" t="s">
        <v>32</v>
      </c>
      <c r="E31" s="4">
        <v>3</v>
      </c>
    </row>
    <row r="32" spans="3:9" x14ac:dyDescent="0.35">
      <c r="C32" s="3" t="s">
        <v>26</v>
      </c>
      <c r="D32" s="3" t="s">
        <v>33</v>
      </c>
      <c r="E32" s="4">
        <v>3</v>
      </c>
    </row>
    <row r="33" spans="3:5" x14ac:dyDescent="0.35">
      <c r="C33" s="3" t="s">
        <v>26</v>
      </c>
      <c r="D33" s="3" t="s">
        <v>34</v>
      </c>
      <c r="E33" s="4">
        <v>3</v>
      </c>
    </row>
    <row r="34" spans="3:5" x14ac:dyDescent="0.35">
      <c r="C34" s="3" t="s">
        <v>26</v>
      </c>
      <c r="D34" s="3" t="s">
        <v>35</v>
      </c>
      <c r="E34" s="4">
        <v>3</v>
      </c>
    </row>
    <row r="35" spans="3:5" x14ac:dyDescent="0.35">
      <c r="C35" s="3" t="s">
        <v>26</v>
      </c>
      <c r="D35" s="3" t="s">
        <v>36</v>
      </c>
      <c r="E35" s="4">
        <v>3</v>
      </c>
    </row>
    <row r="36" spans="3:5" x14ac:dyDescent="0.35">
      <c r="C36" s="3" t="s">
        <v>26</v>
      </c>
      <c r="D36" s="3" t="s">
        <v>37</v>
      </c>
      <c r="E36" s="4">
        <v>3</v>
      </c>
    </row>
    <row r="37" spans="3:5" x14ac:dyDescent="0.35">
      <c r="C37" s="3" t="s">
        <v>26</v>
      </c>
      <c r="D37" s="3" t="s">
        <v>38</v>
      </c>
      <c r="E37" s="4">
        <v>3</v>
      </c>
    </row>
    <row r="38" spans="3:5" x14ac:dyDescent="0.35">
      <c r="C38" s="3" t="s">
        <v>26</v>
      </c>
      <c r="D38" s="3" t="s">
        <v>39</v>
      </c>
      <c r="E38" s="4">
        <v>3</v>
      </c>
    </row>
    <row r="39" spans="3:5" x14ac:dyDescent="0.35">
      <c r="C39" s="3" t="s">
        <v>26</v>
      </c>
      <c r="D39" s="3" t="s">
        <v>40</v>
      </c>
      <c r="E39" s="4">
        <v>3</v>
      </c>
    </row>
    <row r="40" spans="3:5" x14ac:dyDescent="0.35">
      <c r="C40" s="3" t="s">
        <v>26</v>
      </c>
      <c r="D40" s="3" t="s">
        <v>41</v>
      </c>
      <c r="E40" s="4">
        <v>3</v>
      </c>
    </row>
    <row r="41" spans="3:5" x14ac:dyDescent="0.35">
      <c r="C41" s="3" t="s">
        <v>26</v>
      </c>
      <c r="D41" s="3" t="s">
        <v>42</v>
      </c>
      <c r="E41" s="4">
        <v>3</v>
      </c>
    </row>
    <row r="42" spans="3:5" x14ac:dyDescent="0.35">
      <c r="C42" s="3" t="s">
        <v>26</v>
      </c>
      <c r="D42" s="3" t="s">
        <v>43</v>
      </c>
      <c r="E42" s="4">
        <v>3</v>
      </c>
    </row>
    <row r="43" spans="3:5" x14ac:dyDescent="0.35">
      <c r="C43" s="3" t="s">
        <v>26</v>
      </c>
      <c r="D43" s="3" t="s">
        <v>44</v>
      </c>
      <c r="E43" s="4">
        <v>3</v>
      </c>
    </row>
    <row r="44" spans="3:5" x14ac:dyDescent="0.35">
      <c r="C44" s="3" t="s">
        <v>26</v>
      </c>
      <c r="D44" s="3" t="s">
        <v>45</v>
      </c>
      <c r="E44" s="4">
        <v>3</v>
      </c>
    </row>
    <row r="45" spans="3:5" x14ac:dyDescent="0.35">
      <c r="C45" s="3" t="s">
        <v>26</v>
      </c>
      <c r="D45" s="3" t="s">
        <v>46</v>
      </c>
      <c r="E45" s="4">
        <v>3</v>
      </c>
    </row>
    <row r="46" spans="3:5" x14ac:dyDescent="0.35">
      <c r="C46" s="3" t="s">
        <v>26</v>
      </c>
      <c r="D46" s="3" t="s">
        <v>47</v>
      </c>
      <c r="E46" s="4">
        <v>3</v>
      </c>
    </row>
    <row r="47" spans="3:5" x14ac:dyDescent="0.35">
      <c r="C47" s="3" t="s">
        <v>48</v>
      </c>
      <c r="D47" s="3" t="s">
        <v>49</v>
      </c>
      <c r="E47" s="4">
        <v>4</v>
      </c>
    </row>
    <row r="48" spans="3:5" x14ac:dyDescent="0.35">
      <c r="C48" s="3" t="s">
        <v>48</v>
      </c>
      <c r="D48" s="3" t="s">
        <v>50</v>
      </c>
      <c r="E48" s="4">
        <v>4</v>
      </c>
    </row>
    <row r="49" spans="3:5" x14ac:dyDescent="0.35">
      <c r="C49" s="3" t="s">
        <v>48</v>
      </c>
      <c r="D49" s="3" t="s">
        <v>51</v>
      </c>
      <c r="E49" s="4">
        <v>4</v>
      </c>
    </row>
    <row r="50" spans="3:5" x14ac:dyDescent="0.35">
      <c r="C50" s="3" t="s">
        <v>52</v>
      </c>
      <c r="D50" s="3" t="s">
        <v>53</v>
      </c>
      <c r="E50" s="4">
        <v>5</v>
      </c>
    </row>
    <row r="51" spans="3:5" x14ac:dyDescent="0.35">
      <c r="C51" s="3" t="s">
        <v>52</v>
      </c>
      <c r="D51" s="3" t="s">
        <v>54</v>
      </c>
      <c r="E51" s="4">
        <v>5</v>
      </c>
    </row>
    <row r="52" spans="3:5" x14ac:dyDescent="0.35">
      <c r="C52" s="3" t="s">
        <v>52</v>
      </c>
      <c r="D52" s="3" t="s">
        <v>55</v>
      </c>
      <c r="E52" s="4">
        <v>5</v>
      </c>
    </row>
    <row r="53" spans="3:5" x14ac:dyDescent="0.35">
      <c r="C53" s="3" t="s">
        <v>52</v>
      </c>
      <c r="D53" s="3" t="s">
        <v>56</v>
      </c>
      <c r="E53" s="4">
        <v>5</v>
      </c>
    </row>
    <row r="54" spans="3:5" x14ac:dyDescent="0.35">
      <c r="C54" s="3" t="s">
        <v>52</v>
      </c>
      <c r="D54" s="3" t="s">
        <v>57</v>
      </c>
      <c r="E54" s="4">
        <v>5</v>
      </c>
    </row>
    <row r="55" spans="3:5" x14ac:dyDescent="0.35">
      <c r="C55" s="3" t="s">
        <v>52</v>
      </c>
      <c r="D55" s="3" t="s">
        <v>58</v>
      </c>
      <c r="E55" s="4">
        <v>5</v>
      </c>
    </row>
    <row r="56" spans="3:5" x14ac:dyDescent="0.35">
      <c r="C56" s="3" t="s">
        <v>52</v>
      </c>
      <c r="D56" s="3" t="s">
        <v>59</v>
      </c>
      <c r="E56" s="4">
        <v>5</v>
      </c>
    </row>
    <row r="57" spans="3:5" x14ac:dyDescent="0.35">
      <c r="C57" s="3" t="s">
        <v>52</v>
      </c>
      <c r="D57" s="3" t="s">
        <v>60</v>
      </c>
      <c r="E57" s="4">
        <v>5</v>
      </c>
    </row>
    <row r="58" spans="3:5" x14ac:dyDescent="0.35">
      <c r="C58" s="3" t="s">
        <v>52</v>
      </c>
      <c r="D58" s="3" t="s">
        <v>61</v>
      </c>
      <c r="E58" s="4">
        <v>5</v>
      </c>
    </row>
    <row r="59" spans="3:5" x14ac:dyDescent="0.35">
      <c r="C59" s="3" t="s">
        <v>52</v>
      </c>
      <c r="D59" s="3" t="s">
        <v>62</v>
      </c>
      <c r="E59" s="4">
        <v>5</v>
      </c>
    </row>
    <row r="60" spans="3:5" x14ac:dyDescent="0.35">
      <c r="C60" s="3" t="s">
        <v>52</v>
      </c>
      <c r="D60" s="3" t="s">
        <v>63</v>
      </c>
      <c r="E60" s="4">
        <v>5</v>
      </c>
    </row>
    <row r="61" spans="3:5" x14ac:dyDescent="0.35">
      <c r="C61" s="3" t="s">
        <v>52</v>
      </c>
      <c r="D61" s="3" t="s">
        <v>64</v>
      </c>
      <c r="E61" s="4">
        <v>5</v>
      </c>
    </row>
    <row r="62" spans="3:5" x14ac:dyDescent="0.35">
      <c r="C62" s="3" t="s">
        <v>65</v>
      </c>
      <c r="D62" s="3" t="s">
        <v>66</v>
      </c>
      <c r="E62" s="4">
        <v>6</v>
      </c>
    </row>
    <row r="63" spans="3:5" x14ac:dyDescent="0.35">
      <c r="C63" s="3" t="s">
        <v>65</v>
      </c>
      <c r="D63" s="3" t="s">
        <v>67</v>
      </c>
      <c r="E63" s="4">
        <v>6</v>
      </c>
    </row>
    <row r="64" spans="3:5" x14ac:dyDescent="0.35">
      <c r="C64" s="3" t="s">
        <v>65</v>
      </c>
      <c r="D64" s="3" t="s">
        <v>68</v>
      </c>
      <c r="E64" s="4">
        <v>6</v>
      </c>
    </row>
    <row r="65" spans="3:5" x14ac:dyDescent="0.35">
      <c r="C65" s="3" t="s">
        <v>65</v>
      </c>
      <c r="D65" s="3" t="s">
        <v>69</v>
      </c>
      <c r="E65" s="4">
        <v>6</v>
      </c>
    </row>
    <row r="66" spans="3:5" x14ac:dyDescent="0.35">
      <c r="C66" s="3" t="s">
        <v>65</v>
      </c>
      <c r="D66" s="3" t="s">
        <v>70</v>
      </c>
      <c r="E66" s="4">
        <v>6</v>
      </c>
    </row>
    <row r="67" spans="3:5" x14ac:dyDescent="0.35">
      <c r="C67" s="3" t="s">
        <v>65</v>
      </c>
      <c r="D67" s="3" t="s">
        <v>71</v>
      </c>
      <c r="E67" s="4">
        <v>6</v>
      </c>
    </row>
    <row r="68" spans="3:5" x14ac:dyDescent="0.35">
      <c r="C68" s="3" t="s">
        <v>65</v>
      </c>
      <c r="D68" s="3" t="s">
        <v>72</v>
      </c>
      <c r="E68" s="4">
        <v>6</v>
      </c>
    </row>
    <row r="69" spans="3:5" x14ac:dyDescent="0.35">
      <c r="C69" s="3" t="s">
        <v>65</v>
      </c>
      <c r="D69" s="3" t="s">
        <v>73</v>
      </c>
      <c r="E69" s="4">
        <v>6</v>
      </c>
    </row>
    <row r="70" spans="3:5" x14ac:dyDescent="0.35">
      <c r="C70" s="3" t="s">
        <v>65</v>
      </c>
      <c r="D70" s="3" t="s">
        <v>74</v>
      </c>
      <c r="E70" s="4">
        <v>6</v>
      </c>
    </row>
    <row r="71" spans="3:5" x14ac:dyDescent="0.35">
      <c r="C71" s="3" t="s">
        <v>75</v>
      </c>
      <c r="D71" s="3" t="s">
        <v>76</v>
      </c>
      <c r="E71" s="4">
        <v>7</v>
      </c>
    </row>
    <row r="72" spans="3:5" x14ac:dyDescent="0.35">
      <c r="C72" s="3" t="s">
        <v>75</v>
      </c>
      <c r="D72" s="3" t="s">
        <v>77</v>
      </c>
      <c r="E72" s="4">
        <v>7</v>
      </c>
    </row>
    <row r="73" spans="3:5" x14ac:dyDescent="0.35">
      <c r="C73" s="3" t="s">
        <v>75</v>
      </c>
      <c r="D73" s="3" t="s">
        <v>78</v>
      </c>
      <c r="E73" s="4">
        <v>7</v>
      </c>
    </row>
    <row r="74" spans="3:5" x14ac:dyDescent="0.35">
      <c r="C74" s="3" t="s">
        <v>79</v>
      </c>
      <c r="D74" s="3" t="s">
        <v>80</v>
      </c>
      <c r="E74" s="4">
        <v>8</v>
      </c>
    </row>
    <row r="75" spans="3:5" x14ac:dyDescent="0.35">
      <c r="C75" s="3" t="s">
        <v>79</v>
      </c>
      <c r="D75" s="3" t="s">
        <v>81</v>
      </c>
      <c r="E75" s="4">
        <v>8</v>
      </c>
    </row>
    <row r="76" spans="3:5" x14ac:dyDescent="0.35">
      <c r="C76" s="3" t="s">
        <v>79</v>
      </c>
      <c r="D76" s="3" t="s">
        <v>82</v>
      </c>
      <c r="E76" s="4">
        <v>8</v>
      </c>
    </row>
    <row r="77" spans="3:5" x14ac:dyDescent="0.35">
      <c r="C77" s="3" t="s">
        <v>79</v>
      </c>
      <c r="D77" s="3" t="s">
        <v>83</v>
      </c>
      <c r="E77" s="4">
        <v>8</v>
      </c>
    </row>
    <row r="78" spans="3:5" x14ac:dyDescent="0.35">
      <c r="C78" s="3" t="s">
        <v>79</v>
      </c>
      <c r="D78" s="3" t="s">
        <v>84</v>
      </c>
      <c r="E78" s="4">
        <v>8</v>
      </c>
    </row>
    <row r="79" spans="3:5" x14ac:dyDescent="0.35">
      <c r="C79" s="3" t="s">
        <v>79</v>
      </c>
      <c r="D79" s="3" t="s">
        <v>85</v>
      </c>
      <c r="E79" s="4">
        <v>8</v>
      </c>
    </row>
    <row r="80" spans="3:5" x14ac:dyDescent="0.35">
      <c r="C80" s="3" t="s">
        <v>79</v>
      </c>
      <c r="D80" s="3" t="s">
        <v>86</v>
      </c>
      <c r="E80" s="4">
        <v>8</v>
      </c>
    </row>
    <row r="81" spans="3:5" x14ac:dyDescent="0.35">
      <c r="C81" s="3" t="s">
        <v>79</v>
      </c>
      <c r="D81" s="3" t="s">
        <v>87</v>
      </c>
      <c r="E81" s="4">
        <v>8</v>
      </c>
    </row>
    <row r="82" spans="3:5" x14ac:dyDescent="0.35">
      <c r="C82" s="3" t="s">
        <v>79</v>
      </c>
      <c r="D82" s="3" t="s">
        <v>88</v>
      </c>
      <c r="E82" s="4">
        <v>8</v>
      </c>
    </row>
    <row r="83" spans="3:5" x14ac:dyDescent="0.35">
      <c r="C83" s="3" t="s">
        <v>79</v>
      </c>
      <c r="D83" s="3" t="s">
        <v>89</v>
      </c>
      <c r="E83" s="4">
        <v>8</v>
      </c>
    </row>
    <row r="84" spans="3:5" x14ac:dyDescent="0.35">
      <c r="C84" s="3" t="s">
        <v>79</v>
      </c>
      <c r="D84" s="3" t="s">
        <v>90</v>
      </c>
      <c r="E84" s="4">
        <v>8</v>
      </c>
    </row>
    <row r="85" spans="3:5" x14ac:dyDescent="0.35">
      <c r="C85" s="3" t="s">
        <v>79</v>
      </c>
      <c r="D85" s="3" t="s">
        <v>91</v>
      </c>
      <c r="E85" s="4">
        <v>8</v>
      </c>
    </row>
    <row r="86" spans="3:5" x14ac:dyDescent="0.35">
      <c r="C86" s="3" t="s">
        <v>79</v>
      </c>
      <c r="D86" s="3" t="s">
        <v>92</v>
      </c>
      <c r="E86" s="4">
        <v>8</v>
      </c>
    </row>
    <row r="87" spans="3:5" x14ac:dyDescent="0.35">
      <c r="C87" s="3" t="s">
        <v>93</v>
      </c>
      <c r="D87" s="3" t="s">
        <v>94</v>
      </c>
      <c r="E87" s="4">
        <v>9</v>
      </c>
    </row>
    <row r="88" spans="3:5" x14ac:dyDescent="0.35">
      <c r="C88" s="3" t="s">
        <v>93</v>
      </c>
      <c r="D88" s="3" t="s">
        <v>95</v>
      </c>
      <c r="E88" s="4">
        <v>9</v>
      </c>
    </row>
    <row r="89" spans="3:5" x14ac:dyDescent="0.35">
      <c r="C89" s="3" t="s">
        <v>93</v>
      </c>
      <c r="D89" s="3" t="s">
        <v>96</v>
      </c>
      <c r="E89" s="4">
        <v>9</v>
      </c>
    </row>
    <row r="90" spans="3:5" x14ac:dyDescent="0.35">
      <c r="C90" s="3" t="s">
        <v>97</v>
      </c>
      <c r="D90" s="3" t="s">
        <v>98</v>
      </c>
      <c r="E90" s="4">
        <v>10</v>
      </c>
    </row>
    <row r="91" spans="3:5" x14ac:dyDescent="0.35">
      <c r="C91" s="3" t="s">
        <v>97</v>
      </c>
      <c r="D91" s="3" t="s">
        <v>99</v>
      </c>
      <c r="E91" s="4">
        <v>10</v>
      </c>
    </row>
    <row r="92" spans="3:5" x14ac:dyDescent="0.35">
      <c r="C92" s="3" t="s">
        <v>97</v>
      </c>
      <c r="D92" s="3" t="s">
        <v>100</v>
      </c>
      <c r="E92" s="4">
        <v>10</v>
      </c>
    </row>
    <row r="93" spans="3:5" x14ac:dyDescent="0.35">
      <c r="C93" s="3" t="s">
        <v>97</v>
      </c>
      <c r="D93" s="3" t="s">
        <v>101</v>
      </c>
      <c r="E93" s="4">
        <v>10</v>
      </c>
    </row>
    <row r="94" spans="3:5" x14ac:dyDescent="0.35">
      <c r="C94" s="3" t="s">
        <v>97</v>
      </c>
      <c r="D94" s="3" t="s">
        <v>102</v>
      </c>
      <c r="E94" s="4">
        <v>10</v>
      </c>
    </row>
    <row r="95" spans="3:5" x14ac:dyDescent="0.35">
      <c r="C95" s="3" t="s">
        <v>97</v>
      </c>
      <c r="D95" s="3" t="s">
        <v>103</v>
      </c>
      <c r="E95" s="4">
        <v>10</v>
      </c>
    </row>
    <row r="96" spans="3:5" x14ac:dyDescent="0.35">
      <c r="C96" s="3" t="s">
        <v>97</v>
      </c>
      <c r="D96" s="3" t="s">
        <v>104</v>
      </c>
      <c r="E96" s="4">
        <v>10</v>
      </c>
    </row>
    <row r="97" spans="3:5" x14ac:dyDescent="0.35">
      <c r="C97" s="3" t="s">
        <v>97</v>
      </c>
      <c r="D97" s="3" t="s">
        <v>105</v>
      </c>
      <c r="E97" s="4">
        <v>10</v>
      </c>
    </row>
    <row r="98" spans="3:5" x14ac:dyDescent="0.35">
      <c r="C98" s="3" t="s">
        <v>97</v>
      </c>
      <c r="D98" s="3" t="s">
        <v>106</v>
      </c>
      <c r="E98" s="4">
        <v>10</v>
      </c>
    </row>
    <row r="99" spans="3:5" x14ac:dyDescent="0.35">
      <c r="C99" s="3" t="s">
        <v>97</v>
      </c>
      <c r="D99" s="3" t="s">
        <v>107</v>
      </c>
      <c r="E99" s="4">
        <v>10</v>
      </c>
    </row>
    <row r="100" spans="3:5" x14ac:dyDescent="0.35">
      <c r="C100" s="3" t="s">
        <v>97</v>
      </c>
      <c r="D100" s="3" t="s">
        <v>108</v>
      </c>
      <c r="E100" s="4">
        <v>10</v>
      </c>
    </row>
    <row r="101" spans="3:5" x14ac:dyDescent="0.35">
      <c r="C101" s="3" t="s">
        <v>97</v>
      </c>
      <c r="D101" s="3" t="s">
        <v>109</v>
      </c>
      <c r="E101" s="4">
        <v>10</v>
      </c>
    </row>
    <row r="102" spans="3:5" x14ac:dyDescent="0.35">
      <c r="C102" s="3" t="s">
        <v>110</v>
      </c>
      <c r="D102" s="3" t="s">
        <v>111</v>
      </c>
      <c r="E102" s="4">
        <v>11</v>
      </c>
    </row>
    <row r="103" spans="3:5" x14ac:dyDescent="0.35">
      <c r="C103" s="3" t="s">
        <v>110</v>
      </c>
      <c r="D103" s="3" t="s">
        <v>112</v>
      </c>
      <c r="E103" s="4">
        <v>11</v>
      </c>
    </row>
    <row r="104" spans="3:5" x14ac:dyDescent="0.35">
      <c r="C104" s="3" t="s">
        <v>110</v>
      </c>
      <c r="D104" s="3" t="s">
        <v>113</v>
      </c>
      <c r="E104" s="4">
        <v>11</v>
      </c>
    </row>
    <row r="105" spans="3:5" x14ac:dyDescent="0.35">
      <c r="C105" s="3" t="s">
        <v>110</v>
      </c>
      <c r="D105" s="3" t="s">
        <v>114</v>
      </c>
      <c r="E105" s="4">
        <v>11</v>
      </c>
    </row>
    <row r="106" spans="3:5" x14ac:dyDescent="0.35">
      <c r="C106" s="3" t="s">
        <v>110</v>
      </c>
      <c r="D106" s="3" t="s">
        <v>115</v>
      </c>
      <c r="E106" s="4">
        <v>11</v>
      </c>
    </row>
    <row r="107" spans="3:5" x14ac:dyDescent="0.35">
      <c r="C107" s="3" t="s">
        <v>110</v>
      </c>
      <c r="D107" s="3" t="s">
        <v>116</v>
      </c>
      <c r="E107" s="4">
        <v>11</v>
      </c>
    </row>
    <row r="108" spans="3:5" x14ac:dyDescent="0.35">
      <c r="C108" s="3" t="s">
        <v>110</v>
      </c>
      <c r="D108" s="3" t="s">
        <v>117</v>
      </c>
      <c r="E108" s="4">
        <v>11</v>
      </c>
    </row>
    <row r="109" spans="3:5" x14ac:dyDescent="0.35">
      <c r="C109" s="3" t="s">
        <v>110</v>
      </c>
      <c r="D109" s="3" t="s">
        <v>118</v>
      </c>
      <c r="E109" s="4">
        <v>11</v>
      </c>
    </row>
    <row r="110" spans="3:5" x14ac:dyDescent="0.35">
      <c r="C110" s="3" t="s">
        <v>110</v>
      </c>
      <c r="D110" s="3" t="s">
        <v>119</v>
      </c>
      <c r="E110" s="4">
        <v>11</v>
      </c>
    </row>
    <row r="111" spans="3:5" x14ac:dyDescent="0.35">
      <c r="C111" s="3" t="s">
        <v>110</v>
      </c>
      <c r="D111" s="3" t="s">
        <v>120</v>
      </c>
      <c r="E111" s="4">
        <v>11</v>
      </c>
    </row>
    <row r="112" spans="3:5" x14ac:dyDescent="0.35">
      <c r="C112" s="3" t="s">
        <v>121</v>
      </c>
      <c r="D112" s="3" t="s">
        <v>122</v>
      </c>
      <c r="E112" s="4">
        <v>12</v>
      </c>
    </row>
    <row r="113" spans="3:5" x14ac:dyDescent="0.35">
      <c r="C113" s="3" t="s">
        <v>121</v>
      </c>
      <c r="D113" s="3" t="s">
        <v>123</v>
      </c>
      <c r="E113" s="4">
        <v>12</v>
      </c>
    </row>
    <row r="114" spans="3:5" x14ac:dyDescent="0.35">
      <c r="C114" s="3" t="s">
        <v>121</v>
      </c>
      <c r="D114" s="3" t="s">
        <v>124</v>
      </c>
      <c r="E114" s="4">
        <v>12</v>
      </c>
    </row>
    <row r="115" spans="3:5" x14ac:dyDescent="0.35">
      <c r="C115" s="3" t="s">
        <v>121</v>
      </c>
      <c r="D115" s="3" t="s">
        <v>125</v>
      </c>
      <c r="E115" s="4">
        <v>12</v>
      </c>
    </row>
    <row r="116" spans="3:5" x14ac:dyDescent="0.35">
      <c r="C116" s="3" t="s">
        <v>121</v>
      </c>
      <c r="D116" s="3" t="s">
        <v>126</v>
      </c>
      <c r="E116" s="4">
        <v>12</v>
      </c>
    </row>
    <row r="117" spans="3:5" x14ac:dyDescent="0.35">
      <c r="C117" s="3" t="s">
        <v>121</v>
      </c>
      <c r="D117" s="3" t="s">
        <v>127</v>
      </c>
      <c r="E117" s="4">
        <v>12</v>
      </c>
    </row>
    <row r="118" spans="3:5" x14ac:dyDescent="0.35">
      <c r="C118" s="3" t="s">
        <v>121</v>
      </c>
      <c r="D118" s="3" t="s">
        <v>128</v>
      </c>
      <c r="E118" s="4">
        <v>12</v>
      </c>
    </row>
    <row r="119" spans="3:5" x14ac:dyDescent="0.35">
      <c r="C119" s="3" t="s">
        <v>121</v>
      </c>
      <c r="D119" s="3" t="s">
        <v>129</v>
      </c>
      <c r="E119" s="4">
        <v>12</v>
      </c>
    </row>
    <row r="120" spans="3:5" x14ac:dyDescent="0.35">
      <c r="C120" s="3" t="s">
        <v>121</v>
      </c>
      <c r="D120" s="3" t="s">
        <v>130</v>
      </c>
      <c r="E120" s="4">
        <v>12</v>
      </c>
    </row>
    <row r="121" spans="3:5" x14ac:dyDescent="0.35">
      <c r="C121" s="3" t="s">
        <v>121</v>
      </c>
      <c r="D121" s="3" t="s">
        <v>131</v>
      </c>
      <c r="E121" s="4">
        <v>12</v>
      </c>
    </row>
    <row r="122" spans="3:5" x14ac:dyDescent="0.35">
      <c r="C122" s="3" t="s">
        <v>121</v>
      </c>
      <c r="D122" s="3" t="s">
        <v>132</v>
      </c>
      <c r="E122" s="4">
        <v>12</v>
      </c>
    </row>
    <row r="123" spans="3:5" x14ac:dyDescent="0.35">
      <c r="C123" s="3" t="s">
        <v>121</v>
      </c>
      <c r="D123" s="3" t="s">
        <v>133</v>
      </c>
      <c r="E123" s="4">
        <v>12</v>
      </c>
    </row>
    <row r="124" spans="3:5" x14ac:dyDescent="0.35">
      <c r="C124" s="3" t="s">
        <v>121</v>
      </c>
      <c r="D124" s="3" t="s">
        <v>134</v>
      </c>
      <c r="E124" s="4">
        <v>12</v>
      </c>
    </row>
    <row r="125" spans="3:5" x14ac:dyDescent="0.35">
      <c r="C125" s="3" t="s">
        <v>135</v>
      </c>
      <c r="D125" s="3" t="s">
        <v>136</v>
      </c>
      <c r="E125" s="4">
        <v>13</v>
      </c>
    </row>
    <row r="126" spans="3:5" x14ac:dyDescent="0.35">
      <c r="C126" s="3" t="s">
        <v>135</v>
      </c>
      <c r="D126" s="3" t="s">
        <v>137</v>
      </c>
      <c r="E126" s="4">
        <v>13</v>
      </c>
    </row>
    <row r="127" spans="3:5" x14ac:dyDescent="0.35">
      <c r="C127" s="3" t="s">
        <v>135</v>
      </c>
      <c r="D127" s="3" t="s">
        <v>138</v>
      </c>
      <c r="E127" s="4">
        <v>13</v>
      </c>
    </row>
    <row r="128" spans="3:5" x14ac:dyDescent="0.35">
      <c r="C128" s="3" t="s">
        <v>135</v>
      </c>
      <c r="D128" s="3" t="s">
        <v>139</v>
      </c>
      <c r="E128" s="4">
        <v>13</v>
      </c>
    </row>
    <row r="129" spans="3:5" x14ac:dyDescent="0.35">
      <c r="C129" s="3" t="s">
        <v>135</v>
      </c>
      <c r="D129" s="3" t="s">
        <v>140</v>
      </c>
      <c r="E129" s="4">
        <v>13</v>
      </c>
    </row>
    <row r="130" spans="3:5" x14ac:dyDescent="0.35">
      <c r="C130" s="3" t="s">
        <v>135</v>
      </c>
      <c r="D130" s="3" t="s">
        <v>141</v>
      </c>
      <c r="E130" s="4">
        <v>13</v>
      </c>
    </row>
    <row r="131" spans="3:5" x14ac:dyDescent="0.35">
      <c r="C131" s="3" t="s">
        <v>142</v>
      </c>
      <c r="D131" s="3" t="s">
        <v>143</v>
      </c>
      <c r="E131" s="4">
        <v>14</v>
      </c>
    </row>
    <row r="132" spans="3:5" x14ac:dyDescent="0.35">
      <c r="C132" s="3" t="s">
        <v>142</v>
      </c>
      <c r="D132" s="3" t="s">
        <v>144</v>
      </c>
      <c r="E132" s="4">
        <v>14</v>
      </c>
    </row>
    <row r="133" spans="3:5" x14ac:dyDescent="0.35">
      <c r="C133" s="3" t="s">
        <v>142</v>
      </c>
      <c r="D133" s="3" t="s">
        <v>145</v>
      </c>
      <c r="E133" s="4">
        <v>14</v>
      </c>
    </row>
    <row r="134" spans="3:5" x14ac:dyDescent="0.35">
      <c r="C134" s="3" t="s">
        <v>142</v>
      </c>
      <c r="D134" s="3" t="s">
        <v>146</v>
      </c>
      <c r="E134" s="4">
        <v>14</v>
      </c>
    </row>
    <row r="135" spans="3:5" x14ac:dyDescent="0.35">
      <c r="C135" s="3" t="s">
        <v>142</v>
      </c>
      <c r="D135" s="3" t="s">
        <v>147</v>
      </c>
      <c r="E135" s="4">
        <v>14</v>
      </c>
    </row>
    <row r="136" spans="3:5" x14ac:dyDescent="0.35">
      <c r="C136" s="3" t="s">
        <v>142</v>
      </c>
      <c r="D136" s="3" t="s">
        <v>148</v>
      </c>
      <c r="E136" s="4">
        <v>14</v>
      </c>
    </row>
    <row r="137" spans="3:5" x14ac:dyDescent="0.35">
      <c r="C137" s="3" t="s">
        <v>142</v>
      </c>
      <c r="D137" s="3" t="s">
        <v>149</v>
      </c>
      <c r="E137" s="4">
        <v>14</v>
      </c>
    </row>
    <row r="138" spans="3:5" x14ac:dyDescent="0.35">
      <c r="C138" s="3" t="s">
        <v>142</v>
      </c>
      <c r="D138" s="3" t="s">
        <v>150</v>
      </c>
      <c r="E138" s="4">
        <v>14</v>
      </c>
    </row>
    <row r="139" spans="3:5" x14ac:dyDescent="0.35">
      <c r="C139" s="3" t="s">
        <v>142</v>
      </c>
      <c r="D139" s="3" t="s">
        <v>151</v>
      </c>
      <c r="E139" s="4">
        <v>14</v>
      </c>
    </row>
    <row r="140" spans="3:5" x14ac:dyDescent="0.35">
      <c r="C140" s="3" t="s">
        <v>142</v>
      </c>
      <c r="D140" s="3" t="s">
        <v>152</v>
      </c>
      <c r="E140" s="4">
        <v>14</v>
      </c>
    </row>
    <row r="141" spans="3:5" x14ac:dyDescent="0.35">
      <c r="C141" s="3" t="s">
        <v>142</v>
      </c>
      <c r="D141" s="3" t="s">
        <v>153</v>
      </c>
      <c r="E141" s="4">
        <v>14</v>
      </c>
    </row>
    <row r="142" spans="3:5" x14ac:dyDescent="0.35">
      <c r="C142" s="3" t="s">
        <v>154</v>
      </c>
      <c r="D142" s="3" t="s">
        <v>155</v>
      </c>
      <c r="E142" s="4">
        <v>15</v>
      </c>
    </row>
    <row r="143" spans="3:5" x14ac:dyDescent="0.35">
      <c r="C143" s="3" t="s">
        <v>154</v>
      </c>
      <c r="D143" s="3" t="s">
        <v>156</v>
      </c>
      <c r="E143" s="4">
        <v>15</v>
      </c>
    </row>
    <row r="144" spans="3:5" x14ac:dyDescent="0.35">
      <c r="C144" s="3" t="s">
        <v>154</v>
      </c>
      <c r="D144" s="3" t="s">
        <v>157</v>
      </c>
      <c r="E144" s="4">
        <v>15</v>
      </c>
    </row>
    <row r="145" spans="3:5" x14ac:dyDescent="0.35">
      <c r="C145" s="3" t="s">
        <v>154</v>
      </c>
      <c r="D145" s="3" t="s">
        <v>158</v>
      </c>
      <c r="E145" s="4">
        <v>15</v>
      </c>
    </row>
    <row r="146" spans="3:5" x14ac:dyDescent="0.35">
      <c r="C146" s="3" t="s">
        <v>154</v>
      </c>
      <c r="D146" s="3" t="s">
        <v>159</v>
      </c>
      <c r="E146" s="4">
        <v>15</v>
      </c>
    </row>
    <row r="147" spans="3:5" x14ac:dyDescent="0.35">
      <c r="C147" s="3" t="s">
        <v>154</v>
      </c>
      <c r="D147" s="3" t="s">
        <v>160</v>
      </c>
      <c r="E147" s="4">
        <v>15</v>
      </c>
    </row>
    <row r="148" spans="3:5" x14ac:dyDescent="0.35">
      <c r="C148" s="3" t="s">
        <v>154</v>
      </c>
      <c r="D148" s="3" t="s">
        <v>161</v>
      </c>
      <c r="E148" s="4">
        <v>15</v>
      </c>
    </row>
    <row r="149" spans="3:5" x14ac:dyDescent="0.35">
      <c r="C149" s="3" t="s">
        <v>154</v>
      </c>
      <c r="D149" s="3" t="s">
        <v>162</v>
      </c>
      <c r="E149" s="4">
        <v>15</v>
      </c>
    </row>
    <row r="150" spans="3:5" x14ac:dyDescent="0.35">
      <c r="C150" s="3" t="s">
        <v>154</v>
      </c>
      <c r="D150" s="3" t="s">
        <v>163</v>
      </c>
      <c r="E150" s="4">
        <v>15</v>
      </c>
    </row>
    <row r="151" spans="3:5" x14ac:dyDescent="0.35">
      <c r="C151" s="3" t="s">
        <v>154</v>
      </c>
      <c r="D151" s="3" t="s">
        <v>164</v>
      </c>
      <c r="E151" s="4">
        <v>15</v>
      </c>
    </row>
    <row r="152" spans="3:5" x14ac:dyDescent="0.35">
      <c r="C152" s="3" t="s">
        <v>154</v>
      </c>
      <c r="D152" s="3" t="s">
        <v>165</v>
      </c>
      <c r="E152" s="4">
        <v>15</v>
      </c>
    </row>
    <row r="153" spans="3:5" x14ac:dyDescent="0.35">
      <c r="C153" s="3" t="s">
        <v>154</v>
      </c>
      <c r="D153" s="3" t="s">
        <v>166</v>
      </c>
      <c r="E153" s="4">
        <v>15</v>
      </c>
    </row>
    <row r="154" spans="3:5" x14ac:dyDescent="0.35">
      <c r="C154" s="3" t="s">
        <v>154</v>
      </c>
      <c r="D154" s="3" t="s">
        <v>167</v>
      </c>
      <c r="E154" s="4">
        <v>15</v>
      </c>
    </row>
    <row r="155" spans="3:5" x14ac:dyDescent="0.35">
      <c r="C155" s="3" t="s">
        <v>154</v>
      </c>
      <c r="D155" s="3" t="s">
        <v>168</v>
      </c>
      <c r="E155" s="4">
        <v>15</v>
      </c>
    </row>
    <row r="156" spans="3:5" x14ac:dyDescent="0.35">
      <c r="C156" s="3" t="s">
        <v>154</v>
      </c>
      <c r="D156" s="3" t="s">
        <v>169</v>
      </c>
      <c r="E156" s="4">
        <v>15</v>
      </c>
    </row>
    <row r="157" spans="3:5" x14ac:dyDescent="0.35">
      <c r="C157" s="3" t="s">
        <v>154</v>
      </c>
      <c r="D157" s="3" t="s">
        <v>170</v>
      </c>
      <c r="E157" s="4">
        <v>15</v>
      </c>
    </row>
    <row r="158" spans="3:5" x14ac:dyDescent="0.35">
      <c r="C158" s="3" t="s">
        <v>154</v>
      </c>
      <c r="D158" s="3" t="s">
        <v>171</v>
      </c>
      <c r="E158" s="4">
        <v>15</v>
      </c>
    </row>
    <row r="159" spans="3:5" x14ac:dyDescent="0.35">
      <c r="C159" s="3" t="s">
        <v>154</v>
      </c>
      <c r="D159" s="3" t="s">
        <v>172</v>
      </c>
      <c r="E159" s="4">
        <v>15</v>
      </c>
    </row>
    <row r="160" spans="3:5" x14ac:dyDescent="0.35">
      <c r="C160" s="3" t="s">
        <v>173</v>
      </c>
      <c r="D160" s="3" t="s">
        <v>174</v>
      </c>
      <c r="E160" s="4">
        <v>16</v>
      </c>
    </row>
    <row r="161" spans="3:5" x14ac:dyDescent="0.35">
      <c r="C161" s="3" t="s">
        <v>173</v>
      </c>
      <c r="D161" s="3" t="s">
        <v>175</v>
      </c>
      <c r="E161" s="4">
        <v>16</v>
      </c>
    </row>
    <row r="162" spans="3:5" x14ac:dyDescent="0.35">
      <c r="C162" s="3" t="s">
        <v>173</v>
      </c>
      <c r="D162" s="3" t="s">
        <v>176</v>
      </c>
      <c r="E162" s="4">
        <v>16</v>
      </c>
    </row>
    <row r="163" spans="3:5" x14ac:dyDescent="0.35">
      <c r="C163" s="3" t="s">
        <v>173</v>
      </c>
      <c r="D163" s="3" t="s">
        <v>177</v>
      </c>
      <c r="E163" s="4">
        <v>16</v>
      </c>
    </row>
    <row r="165" spans="3:5" x14ac:dyDescent="0.35">
      <c r="C165" t="s">
        <v>179</v>
      </c>
    </row>
  </sheetData>
  <mergeCells count="2">
    <mergeCell ref="D3:D4"/>
    <mergeCell ref="E3:E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G23"/>
  <sheetViews>
    <sheetView workbookViewId="0">
      <selection activeCell="E8" sqref="E8"/>
    </sheetView>
  </sheetViews>
  <sheetFormatPr defaultRowHeight="14.5" x14ac:dyDescent="0.35"/>
  <cols>
    <col min="3" max="3" width="13.7265625" bestFit="1" customWidth="1"/>
    <col min="4" max="4" width="3" bestFit="1" customWidth="1"/>
  </cols>
  <sheetData>
    <row r="2" spans="3:7" x14ac:dyDescent="0.35">
      <c r="E2">
        <v>2014</v>
      </c>
      <c r="F2">
        <v>2015</v>
      </c>
      <c r="G2" t="s">
        <v>1282</v>
      </c>
    </row>
    <row r="3" spans="3:7" x14ac:dyDescent="0.35">
      <c r="C3" s="5" t="s">
        <v>3</v>
      </c>
      <c r="D3" s="5">
        <v>1</v>
      </c>
      <c r="E3" s="39">
        <f>'2014'!V3</f>
        <v>376.54580152671753</v>
      </c>
      <c r="F3" s="39">
        <f>'2015'!V3</f>
        <v>291.82251908396944</v>
      </c>
      <c r="G3" s="39">
        <f>'2016(p)'!V3</f>
        <v>320.29580152671758</v>
      </c>
    </row>
    <row r="4" spans="3:7" x14ac:dyDescent="0.35">
      <c r="C4" s="5" t="s">
        <v>16</v>
      </c>
      <c r="D4" s="5">
        <v>2</v>
      </c>
      <c r="E4" s="39">
        <f>'2014'!V4</f>
        <v>189.92366412213738</v>
      </c>
      <c r="F4" s="39">
        <f>'2015'!V4</f>
        <v>182.29007633587784</v>
      </c>
      <c r="G4" s="39">
        <f>'2016(p)'!V4</f>
        <v>206.55534351145036</v>
      </c>
    </row>
    <row r="5" spans="3:7" x14ac:dyDescent="0.35">
      <c r="C5" s="5" t="s">
        <v>26</v>
      </c>
      <c r="D5" s="5">
        <v>3</v>
      </c>
      <c r="E5" s="39">
        <f>'2014'!V5</f>
        <v>195.97328244274809</v>
      </c>
      <c r="F5" s="39">
        <f>'2015'!V5</f>
        <v>199.81870229007632</v>
      </c>
      <c r="G5" s="39">
        <f>'2016(p)'!V5</f>
        <v>198.90267175572518</v>
      </c>
    </row>
    <row r="6" spans="3:7" x14ac:dyDescent="0.35">
      <c r="C6" s="5" t="s">
        <v>48</v>
      </c>
      <c r="D6" s="5">
        <v>4</v>
      </c>
      <c r="E6" s="39">
        <f>'2014'!V6</f>
        <v>231.87022900763358</v>
      </c>
      <c r="F6" s="39">
        <f>'2015'!V6</f>
        <v>249.45610687022901</v>
      </c>
      <c r="G6" s="39">
        <f>'2016(p)'!V6</f>
        <v>251.43129770992365</v>
      </c>
    </row>
    <row r="7" spans="3:7" x14ac:dyDescent="0.35">
      <c r="C7" s="5" t="s">
        <v>52</v>
      </c>
      <c r="D7" s="5">
        <v>5</v>
      </c>
      <c r="E7" s="39">
        <f>'2014'!V7</f>
        <v>251.29770992366412</v>
      </c>
      <c r="F7" s="39">
        <f>'2015'!V7</f>
        <v>199.16984732824426</v>
      </c>
      <c r="G7" s="39">
        <f>'2016(p)'!V7</f>
        <v>224.34160305343511</v>
      </c>
    </row>
    <row r="8" spans="3:7" x14ac:dyDescent="0.35">
      <c r="C8" s="5" t="s">
        <v>65</v>
      </c>
      <c r="D8" s="5">
        <v>6</v>
      </c>
      <c r="E8" s="39">
        <f>'2014'!V8</f>
        <v>318.4064885496183</v>
      </c>
      <c r="F8" s="39">
        <f>'2015'!V8</f>
        <v>238.15839694656489</v>
      </c>
      <c r="G8" s="39">
        <f>'2016(p)'!V8</f>
        <v>274.19847328244276</v>
      </c>
    </row>
    <row r="9" spans="3:7" x14ac:dyDescent="0.35">
      <c r="C9" s="5" t="s">
        <v>75</v>
      </c>
      <c r="D9" s="5">
        <v>7</v>
      </c>
      <c r="E9" s="39">
        <f>'2014'!V9</f>
        <v>273.6354961832061</v>
      </c>
      <c r="F9" s="39">
        <f>'2015'!V9</f>
        <v>221.4790076335878</v>
      </c>
      <c r="G9" s="39">
        <f>'2016(p)'!V9</f>
        <v>254.35114503816794</v>
      </c>
    </row>
    <row r="10" spans="3:7" x14ac:dyDescent="0.35">
      <c r="C10" s="5" t="s">
        <v>79</v>
      </c>
      <c r="D10" s="5">
        <v>8</v>
      </c>
      <c r="E10" s="39">
        <f>'2014'!V10</f>
        <v>199.55152671755724</v>
      </c>
      <c r="F10" s="39">
        <f>'2015'!V10</f>
        <v>203.81679389312976</v>
      </c>
      <c r="G10" s="39">
        <f>'2016(p)'!V10</f>
        <v>226.50763358778624</v>
      </c>
    </row>
    <row r="11" spans="3:7" x14ac:dyDescent="0.35">
      <c r="C11" s="5" t="s">
        <v>93</v>
      </c>
      <c r="D11" s="5">
        <v>9</v>
      </c>
      <c r="E11" s="39">
        <f>'2014'!V11</f>
        <v>262.5858778625954</v>
      </c>
      <c r="F11" s="39">
        <f>'2015'!V11</f>
        <v>218.0820610687023</v>
      </c>
      <c r="G11" s="39">
        <f>'2016(p)'!V11</f>
        <v>258.59732824427476</v>
      </c>
    </row>
    <row r="12" spans="3:7" x14ac:dyDescent="0.35">
      <c r="C12" s="5" t="s">
        <v>97</v>
      </c>
      <c r="D12" s="5">
        <v>10</v>
      </c>
      <c r="E12" s="39">
        <f>'2014'!V12</f>
        <v>191.65076335877862</v>
      </c>
      <c r="F12" s="39">
        <f>'2015'!V12</f>
        <v>207.75763358778624</v>
      </c>
      <c r="G12" s="39">
        <f>'2016(p)'!V12</f>
        <v>245.33396946564886</v>
      </c>
    </row>
    <row r="13" spans="3:7" x14ac:dyDescent="0.35">
      <c r="C13" s="5" t="s">
        <v>110</v>
      </c>
      <c r="D13" s="5">
        <v>11</v>
      </c>
      <c r="E13" s="39">
        <f>'2014'!V13</f>
        <v>297.51908396946567</v>
      </c>
      <c r="F13" s="39">
        <f>'2015'!V13</f>
        <v>233.23473282442748</v>
      </c>
      <c r="G13" s="39">
        <f>'2016(p)'!V13</f>
        <v>278.2919847328244</v>
      </c>
    </row>
    <row r="14" spans="3:7" x14ac:dyDescent="0.35">
      <c r="C14" s="5" t="s">
        <v>121</v>
      </c>
      <c r="D14" s="5">
        <v>12</v>
      </c>
      <c r="E14" s="39">
        <f>'2014'!V14</f>
        <v>246.46946564885496</v>
      </c>
      <c r="F14" s="39">
        <f>'2015'!V14</f>
        <v>219.11259541984731</v>
      </c>
      <c r="G14" s="39">
        <f>'2016(p)'!V14</f>
        <v>255.65839694656489</v>
      </c>
    </row>
    <row r="15" spans="3:7" x14ac:dyDescent="0.35">
      <c r="C15" s="5" t="s">
        <v>135</v>
      </c>
      <c r="D15" s="5">
        <v>13</v>
      </c>
      <c r="E15" s="39">
        <f>'2014'!V15</f>
        <v>209.13167938931295</v>
      </c>
      <c r="F15" s="39">
        <f>'2015'!V15</f>
        <v>229.34160305343511</v>
      </c>
      <c r="G15" s="39">
        <f>'2016(p)'!V15</f>
        <v>251.43129770992365</v>
      </c>
    </row>
    <row r="16" spans="3:7" x14ac:dyDescent="0.35">
      <c r="C16" s="5" t="s">
        <v>142</v>
      </c>
      <c r="D16" s="5">
        <v>14</v>
      </c>
      <c r="E16" s="39">
        <f>'2014'!V16</f>
        <v>267.67175572519079</v>
      </c>
      <c r="F16" s="39">
        <f>'2015'!V16</f>
        <v>186.4885496183206</v>
      </c>
      <c r="G16" s="39">
        <f>'2016(p)'!V16</f>
        <v>182.37595419847327</v>
      </c>
    </row>
    <row r="17" spans="3:7" x14ac:dyDescent="0.35">
      <c r="C17" s="5" t="s">
        <v>154</v>
      </c>
      <c r="D17" s="5">
        <v>15</v>
      </c>
      <c r="E17" s="39">
        <f>'2014'!V17</f>
        <v>345.14312977099235</v>
      </c>
      <c r="F17" s="39">
        <f>'2015'!V17</f>
        <v>261.35496183206101</v>
      </c>
      <c r="G17" s="39">
        <f>'2016(p)'!V17</f>
        <v>326.45992366412213</v>
      </c>
    </row>
    <row r="18" spans="3:7" x14ac:dyDescent="0.35">
      <c r="C18" s="5" t="s">
        <v>173</v>
      </c>
      <c r="D18" s="5">
        <v>16</v>
      </c>
      <c r="E18" s="39">
        <f>'2014'!V18</f>
        <v>248.6354961832061</v>
      </c>
      <c r="F18" s="39">
        <f>'2015'!V18</f>
        <v>210.6679389312977</v>
      </c>
      <c r="G18" s="39">
        <f>'2016(p)'!V18</f>
        <v>259.4274809160305</v>
      </c>
    </row>
    <row r="19" spans="3:7" x14ac:dyDescent="0.35">
      <c r="C19" t="s">
        <v>203</v>
      </c>
      <c r="E19" s="39">
        <f>'2014'!V19</f>
        <v>249.96660305343511</v>
      </c>
      <c r="F19" s="39">
        <f>'2015'!V19</f>
        <v>218.59732824427482</v>
      </c>
      <c r="G19" s="39">
        <f>'2016(p)'!V19</f>
        <v>252.89122137404581</v>
      </c>
    </row>
    <row r="20" spans="3:7" x14ac:dyDescent="0.35">
      <c r="C20" t="s">
        <v>1283</v>
      </c>
      <c r="E20" s="39">
        <f>'2014'!V20</f>
        <v>256.62571564885496</v>
      </c>
      <c r="F20" s="39">
        <f>'2015'!V20</f>
        <v>222.00322041984731</v>
      </c>
      <c r="G20" s="39">
        <f>'2016(p)'!V20</f>
        <v>250.88501908396944</v>
      </c>
    </row>
    <row r="21" spans="3:7" x14ac:dyDescent="0.35">
      <c r="C21" t="s">
        <v>1284</v>
      </c>
      <c r="E21" s="39">
        <f>'2014'!V21</f>
        <v>217.9964417768349</v>
      </c>
      <c r="F21" s="39">
        <f>'2015'!V21</f>
        <v>205.87128933280349</v>
      </c>
      <c r="G21" s="39">
        <f>'2016(p)'!V21</f>
        <v>215.1259292708512</v>
      </c>
    </row>
    <row r="23" spans="3:7" x14ac:dyDescent="0.35">
      <c r="C23" t="s">
        <v>1285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896"/>
  <sheetViews>
    <sheetView topLeftCell="G1" zoomScale="70" zoomScaleNormal="70" zoomScalePageLayoutView="70" workbookViewId="0">
      <selection activeCell="M2" sqref="M2:P18"/>
    </sheetView>
  </sheetViews>
  <sheetFormatPr defaultColWidth="8.81640625" defaultRowHeight="14.5" x14ac:dyDescent="0.35"/>
  <cols>
    <col min="1" max="1" width="8.81640625" style="5"/>
    <col min="2" max="2" width="8.81640625" style="5" customWidth="1"/>
    <col min="3" max="3" width="8.81640625" style="5"/>
    <col min="4" max="4" width="32" style="6" customWidth="1"/>
    <col min="5" max="5" width="26.1796875" style="5" customWidth="1"/>
    <col min="6" max="6" width="36.1796875" style="6" customWidth="1"/>
    <col min="7" max="7" width="23.7265625" style="5" bestFit="1" customWidth="1"/>
    <col min="8" max="8" width="15.7265625" style="5" bestFit="1" customWidth="1"/>
    <col min="9" max="9" width="7.7265625" style="5" customWidth="1"/>
    <col min="10" max="10" width="20.81640625" style="5" bestFit="1" customWidth="1"/>
    <col min="11" max="14" width="8.81640625" style="5"/>
    <col min="15" max="15" width="15.26953125" style="5" bestFit="1" customWidth="1"/>
    <col min="16" max="16" width="8.81640625" style="5"/>
    <col min="17" max="17" width="12.1796875" style="5" customWidth="1"/>
    <col min="18" max="19" width="16.26953125" style="5" bestFit="1" customWidth="1"/>
    <col min="20" max="20" width="11.453125" style="5" bestFit="1" customWidth="1"/>
    <col min="21" max="21" width="8.81640625" style="5"/>
    <col min="22" max="22" width="10.453125" style="5" customWidth="1"/>
    <col min="23" max="23" width="9.26953125" style="5" bestFit="1" customWidth="1"/>
    <col min="24" max="24" width="14.81640625" style="5" bestFit="1" customWidth="1"/>
    <col min="25" max="25" width="15" style="5" bestFit="1" customWidth="1"/>
    <col min="26" max="26" width="8.81640625" style="5"/>
    <col min="27" max="27" width="17.7265625" style="5" bestFit="1" customWidth="1"/>
    <col min="28" max="16384" width="8.81640625" style="5"/>
  </cols>
  <sheetData>
    <row r="1" spans="1:28" x14ac:dyDescent="0.35">
      <c r="C1" s="53" t="s">
        <v>180</v>
      </c>
      <c r="D1" s="53"/>
      <c r="E1" s="53"/>
      <c r="F1" s="53"/>
      <c r="G1" s="53"/>
      <c r="H1" s="53"/>
      <c r="I1" s="53"/>
      <c r="J1" s="53"/>
      <c r="M1" s="54" t="s">
        <v>181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8" s="4" customFormat="1" ht="39.75" customHeight="1" x14ac:dyDescent="0.35">
      <c r="C2" s="4" t="s">
        <v>182</v>
      </c>
      <c r="D2" s="6" t="s">
        <v>183</v>
      </c>
      <c r="E2" s="4" t="s">
        <v>184</v>
      </c>
      <c r="F2" s="6" t="s">
        <v>185</v>
      </c>
      <c r="G2" s="4" t="s">
        <v>186</v>
      </c>
      <c r="H2" s="4" t="s">
        <v>178</v>
      </c>
      <c r="I2" s="4" t="s">
        <v>178</v>
      </c>
      <c r="J2" s="7" t="s">
        <v>187</v>
      </c>
      <c r="M2" s="4" t="s">
        <v>188</v>
      </c>
      <c r="N2" s="4" t="s">
        <v>182</v>
      </c>
      <c r="P2" s="8" t="s">
        <v>189</v>
      </c>
      <c r="Q2" s="8" t="s">
        <v>190</v>
      </c>
      <c r="R2" s="8" t="s">
        <v>191</v>
      </c>
      <c r="S2" s="8" t="s">
        <v>192</v>
      </c>
      <c r="T2" s="8" t="s">
        <v>193</v>
      </c>
      <c r="U2" s="8" t="s">
        <v>194</v>
      </c>
      <c r="V2" s="8" t="s">
        <v>195</v>
      </c>
      <c r="W2" s="8" t="s">
        <v>196</v>
      </c>
      <c r="X2" s="8" t="s">
        <v>197</v>
      </c>
      <c r="Y2" s="8" t="s">
        <v>198</v>
      </c>
      <c r="AA2" s="6" t="s">
        <v>199</v>
      </c>
    </row>
    <row r="3" spans="1:28" x14ac:dyDescent="0.35">
      <c r="A3" s="5">
        <v>1</v>
      </c>
      <c r="B3" s="5" t="str">
        <f t="shared" ref="B3:B17" si="0">CONCATENATE(C3,I3)</f>
        <v>GA1</v>
      </c>
      <c r="C3" s="5" t="s">
        <v>219</v>
      </c>
      <c r="D3" s="6" t="s">
        <v>270</v>
      </c>
      <c r="E3" s="5" t="s">
        <v>271</v>
      </c>
      <c r="F3" s="6" t="s">
        <v>272</v>
      </c>
      <c r="G3" s="5" t="s">
        <v>216</v>
      </c>
      <c r="H3" s="5" t="s">
        <v>3</v>
      </c>
      <c r="I3" s="5">
        <v>1</v>
      </c>
      <c r="J3" s="11">
        <v>377.92</v>
      </c>
      <c r="M3" s="5" t="str">
        <f t="shared" ref="M3:M18" si="1">CONCATENATE(N3,P3)</f>
        <v>GA1</v>
      </c>
      <c r="N3" s="5" t="s">
        <v>219</v>
      </c>
      <c r="O3" s="5" t="s">
        <v>3</v>
      </c>
      <c r="P3" s="5">
        <v>1</v>
      </c>
      <c r="Q3" s="4">
        <f>COUNTIF(B$3:B$343,M3)</f>
        <v>5</v>
      </c>
      <c r="R3" s="5">
        <f>MATCH(M3,B$3:B$343,0)</f>
        <v>1</v>
      </c>
      <c r="S3" s="5">
        <f>INDEX(J$3:J$343,R3+1)</f>
        <v>394.62</v>
      </c>
      <c r="T3" s="5">
        <f>VLOOKUP(R3+1,Silverplans,10,FALSE)</f>
        <v>394.62</v>
      </c>
      <c r="U3" s="5">
        <f>_xlfn.IFNA(VLOOKUP(N3,AgeFactors,2,FALSE),AgeFactors!$E$25)</f>
        <v>1.048</v>
      </c>
      <c r="V3" s="9">
        <f t="shared" ref="V3:V18" si="2">T3/U3</f>
        <v>376.54580152671753</v>
      </c>
      <c r="W3" s="10">
        <f t="shared" ref="W3:W18" si="3">VLOOKUP(M3,Weight,4,FALSE)</f>
        <v>9027</v>
      </c>
      <c r="X3" s="10">
        <f t="shared" ref="X3:X18" si="4">_xlfn.IFNA(W3,0)</f>
        <v>9027</v>
      </c>
      <c r="Y3" s="10">
        <f t="shared" ref="Y3:Y18" si="5">_xlfn.IFNA(W3*V3,0)</f>
        <v>3399078.950381679</v>
      </c>
      <c r="AA3" s="5" t="s">
        <v>202</v>
      </c>
      <c r="AB3" s="5">
        <f>V21</f>
        <v>217.9964417768349</v>
      </c>
    </row>
    <row r="4" spans="1:28" x14ac:dyDescent="0.35">
      <c r="A4" s="5">
        <v>2</v>
      </c>
      <c r="B4" s="5" t="str">
        <f t="shared" si="0"/>
        <v>GA1</v>
      </c>
      <c r="C4" s="5" t="s">
        <v>219</v>
      </c>
      <c r="D4" s="6" t="s">
        <v>270</v>
      </c>
      <c r="E4" s="5" t="s">
        <v>273</v>
      </c>
      <c r="F4" s="6" t="s">
        <v>274</v>
      </c>
      <c r="G4" s="5" t="s">
        <v>216</v>
      </c>
      <c r="H4" s="5" t="s">
        <v>3</v>
      </c>
      <c r="I4" s="5">
        <v>1</v>
      </c>
      <c r="J4" s="11">
        <v>394.62</v>
      </c>
      <c r="M4" s="5" t="str">
        <f t="shared" si="1"/>
        <v>GA2</v>
      </c>
      <c r="N4" s="5" t="s">
        <v>219</v>
      </c>
      <c r="O4" s="5" t="s">
        <v>16</v>
      </c>
      <c r="P4" s="5">
        <v>2</v>
      </c>
      <c r="Q4" s="4">
        <f t="shared" ref="Q4:Q18" si="6">COUNTIF(B$3:B$343,M4)</f>
        <v>23</v>
      </c>
      <c r="R4" s="5">
        <f t="shared" ref="R4:R18" si="7">MATCH(M4,B$3:B$343,0)</f>
        <v>6</v>
      </c>
      <c r="S4" s="5">
        <f t="shared" ref="S4:S18" si="8">INDEX(J$3:J$343,R4+1)</f>
        <v>199.04</v>
      </c>
      <c r="T4" s="5">
        <f t="shared" ref="T4:T18" si="9">VLOOKUP(R4+1,Silverplans,10,FALSE)</f>
        <v>199.04</v>
      </c>
      <c r="U4" s="5">
        <f>_xlfn.IFNA(VLOOKUP(N4,AgeFactors,2,FALSE),AgeFactors!$E$25)</f>
        <v>1.048</v>
      </c>
      <c r="V4" s="9">
        <f t="shared" si="2"/>
        <v>189.92366412213738</v>
      </c>
      <c r="W4" s="10">
        <f t="shared" si="3"/>
        <v>14591</v>
      </c>
      <c r="X4" s="10">
        <f t="shared" si="4"/>
        <v>14591</v>
      </c>
      <c r="Y4" s="10">
        <f t="shared" si="5"/>
        <v>2771176.1832061065</v>
      </c>
      <c r="AA4" s="5" t="s">
        <v>203</v>
      </c>
      <c r="AB4" s="9">
        <f>V19</f>
        <v>249.96660305343511</v>
      </c>
    </row>
    <row r="5" spans="1:28" x14ac:dyDescent="0.35">
      <c r="A5" s="5">
        <v>3</v>
      </c>
      <c r="B5" s="5" t="str">
        <f t="shared" si="0"/>
        <v>GA1</v>
      </c>
      <c r="C5" s="5" t="s">
        <v>219</v>
      </c>
      <c r="D5" s="6" t="s">
        <v>270</v>
      </c>
      <c r="E5" s="5" t="s">
        <v>275</v>
      </c>
      <c r="F5" s="6" t="s">
        <v>276</v>
      </c>
      <c r="G5" s="5" t="s">
        <v>216</v>
      </c>
      <c r="H5" s="5" t="s">
        <v>3</v>
      </c>
      <c r="I5" s="5">
        <v>1</v>
      </c>
      <c r="J5" s="11">
        <v>405.62</v>
      </c>
      <c r="M5" s="5" t="str">
        <f t="shared" si="1"/>
        <v>GA3</v>
      </c>
      <c r="N5" s="5" t="s">
        <v>219</v>
      </c>
      <c r="O5" s="5" t="s">
        <v>26</v>
      </c>
      <c r="P5" s="5">
        <v>3</v>
      </c>
      <c r="Q5" s="4">
        <f t="shared" si="6"/>
        <v>24</v>
      </c>
      <c r="R5" s="5">
        <f t="shared" si="7"/>
        <v>29</v>
      </c>
      <c r="S5" s="5">
        <f t="shared" si="8"/>
        <v>205.38</v>
      </c>
      <c r="T5" s="5">
        <f t="shared" si="9"/>
        <v>205.38</v>
      </c>
      <c r="U5" s="5">
        <f>_xlfn.IFNA(VLOOKUP(N5,AgeFactors,2,FALSE),AgeFactors!$E$25)</f>
        <v>1.048</v>
      </c>
      <c r="V5" s="9">
        <f t="shared" si="2"/>
        <v>195.97328244274809</v>
      </c>
      <c r="W5" s="10">
        <f t="shared" si="3"/>
        <v>341300</v>
      </c>
      <c r="X5" s="10">
        <f t="shared" si="4"/>
        <v>341300</v>
      </c>
      <c r="Y5" s="10">
        <f t="shared" si="5"/>
        <v>66885681.29770992</v>
      </c>
      <c r="AA5" s="5" t="s">
        <v>204</v>
      </c>
      <c r="AB5" s="9">
        <f>V20</f>
        <v>256.62571564885496</v>
      </c>
    </row>
    <row r="6" spans="1:28" x14ac:dyDescent="0.35">
      <c r="A6" s="5">
        <v>4</v>
      </c>
      <c r="B6" s="5" t="str">
        <f t="shared" si="0"/>
        <v>GA1</v>
      </c>
      <c r="C6" s="5" t="s">
        <v>219</v>
      </c>
      <c r="D6" s="6" t="s">
        <v>270</v>
      </c>
      <c r="E6" s="5" t="s">
        <v>277</v>
      </c>
      <c r="F6" s="6" t="s">
        <v>278</v>
      </c>
      <c r="G6" s="5" t="s">
        <v>216</v>
      </c>
      <c r="H6" s="5" t="s">
        <v>3</v>
      </c>
      <c r="I6" s="5">
        <v>1</v>
      </c>
      <c r="J6" s="11">
        <v>405.62</v>
      </c>
      <c r="M6" s="5" t="str">
        <f t="shared" si="1"/>
        <v>GA4</v>
      </c>
      <c r="N6" s="5" t="s">
        <v>219</v>
      </c>
      <c r="O6" s="5" t="s">
        <v>48</v>
      </c>
      <c r="P6" s="5">
        <v>4</v>
      </c>
      <c r="Q6" s="4">
        <f t="shared" si="6"/>
        <v>11</v>
      </c>
      <c r="R6" s="5">
        <f t="shared" si="7"/>
        <v>53</v>
      </c>
      <c r="S6" s="5">
        <f t="shared" si="8"/>
        <v>243</v>
      </c>
      <c r="T6" s="5">
        <f t="shared" si="9"/>
        <v>243</v>
      </c>
      <c r="U6" s="5">
        <f>_xlfn.IFNA(VLOOKUP(N6,AgeFactors,2,FALSE),AgeFactors!$E$25)</f>
        <v>1.048</v>
      </c>
      <c r="V6" s="9">
        <f t="shared" si="2"/>
        <v>231.87022900763358</v>
      </c>
      <c r="W6" s="10">
        <f t="shared" si="3"/>
        <v>7945</v>
      </c>
      <c r="X6" s="10">
        <f t="shared" si="4"/>
        <v>7945</v>
      </c>
      <c r="Y6" s="10">
        <f t="shared" si="5"/>
        <v>1842208.9694656488</v>
      </c>
    </row>
    <row r="7" spans="1:28" x14ac:dyDescent="0.35">
      <c r="A7" s="5">
        <v>5</v>
      </c>
      <c r="B7" s="5" t="str">
        <f t="shared" si="0"/>
        <v>GA1</v>
      </c>
      <c r="C7" s="5" t="s">
        <v>219</v>
      </c>
      <c r="D7" s="6" t="s">
        <v>270</v>
      </c>
      <c r="E7" s="5" t="s">
        <v>279</v>
      </c>
      <c r="F7" s="6" t="s">
        <v>280</v>
      </c>
      <c r="G7" s="5" t="s">
        <v>216</v>
      </c>
      <c r="H7" s="5" t="s">
        <v>3</v>
      </c>
      <c r="I7" s="5">
        <v>1</v>
      </c>
      <c r="J7" s="11">
        <v>410.15</v>
      </c>
      <c r="M7" s="5" t="str">
        <f t="shared" si="1"/>
        <v>GA5</v>
      </c>
      <c r="N7" s="5" t="s">
        <v>219</v>
      </c>
      <c r="O7" s="5" t="s">
        <v>52</v>
      </c>
      <c r="P7" s="5">
        <v>5</v>
      </c>
      <c r="Q7" s="4">
        <f t="shared" si="6"/>
        <v>6</v>
      </c>
      <c r="R7" s="5">
        <f t="shared" si="7"/>
        <v>64</v>
      </c>
      <c r="S7" s="5">
        <f t="shared" si="8"/>
        <v>263.36</v>
      </c>
      <c r="T7" s="5">
        <f t="shared" si="9"/>
        <v>263.36</v>
      </c>
      <c r="U7" s="5">
        <f>_xlfn.IFNA(VLOOKUP(N7,AgeFactors,2,FALSE),AgeFactors!$E$25)</f>
        <v>1.048</v>
      </c>
      <c r="V7" s="9">
        <f t="shared" si="2"/>
        <v>251.29770992366412</v>
      </c>
      <c r="W7" s="10">
        <f t="shared" si="3"/>
        <v>22577</v>
      </c>
      <c r="X7" s="10">
        <f t="shared" si="4"/>
        <v>22577</v>
      </c>
      <c r="Y7" s="10">
        <f t="shared" si="5"/>
        <v>5673548.3969465643</v>
      </c>
    </row>
    <row r="8" spans="1:28" x14ac:dyDescent="0.35">
      <c r="A8" s="5">
        <v>6</v>
      </c>
      <c r="B8" s="5" t="str">
        <f t="shared" si="0"/>
        <v>GA2</v>
      </c>
      <c r="C8" s="5" t="s">
        <v>219</v>
      </c>
      <c r="D8" s="6" t="s">
        <v>281</v>
      </c>
      <c r="E8" s="5" t="s">
        <v>282</v>
      </c>
      <c r="F8" s="6" t="s">
        <v>261</v>
      </c>
      <c r="G8" s="5" t="s">
        <v>216</v>
      </c>
      <c r="H8" s="5" t="s">
        <v>16</v>
      </c>
      <c r="I8" s="5">
        <v>2</v>
      </c>
      <c r="J8" s="11">
        <v>196.57</v>
      </c>
      <c r="M8" s="5" t="str">
        <f t="shared" si="1"/>
        <v>GA6</v>
      </c>
      <c r="N8" s="5" t="s">
        <v>219</v>
      </c>
      <c r="O8" s="5" t="s">
        <v>65</v>
      </c>
      <c r="P8" s="5">
        <v>6</v>
      </c>
      <c r="Q8" s="4">
        <f t="shared" si="6"/>
        <v>6</v>
      </c>
      <c r="R8" s="5">
        <f t="shared" si="7"/>
        <v>70</v>
      </c>
      <c r="S8" s="5">
        <f t="shared" si="8"/>
        <v>333.69</v>
      </c>
      <c r="T8" s="5">
        <f t="shared" si="9"/>
        <v>333.69</v>
      </c>
      <c r="U8" s="5">
        <f>_xlfn.IFNA(VLOOKUP(N8,AgeFactors,2,FALSE),AgeFactors!$E$25)</f>
        <v>1.048</v>
      </c>
      <c r="V8" s="9">
        <f t="shared" si="2"/>
        <v>318.4064885496183</v>
      </c>
      <c r="W8" s="10">
        <f t="shared" si="3"/>
        <v>12955</v>
      </c>
      <c r="X8" s="10">
        <f t="shared" si="4"/>
        <v>12955</v>
      </c>
      <c r="Y8" s="10">
        <f t="shared" si="5"/>
        <v>4124956.0591603052</v>
      </c>
    </row>
    <row r="9" spans="1:28" x14ac:dyDescent="0.35">
      <c r="A9" s="5">
        <v>7</v>
      </c>
      <c r="B9" s="5" t="str">
        <f t="shared" si="0"/>
        <v>GA2</v>
      </c>
      <c r="C9" s="5" t="s">
        <v>219</v>
      </c>
      <c r="D9" s="6" t="s">
        <v>281</v>
      </c>
      <c r="E9" s="5" t="s">
        <v>283</v>
      </c>
      <c r="F9" s="6" t="s">
        <v>262</v>
      </c>
      <c r="G9" s="5" t="s">
        <v>216</v>
      </c>
      <c r="H9" s="5" t="s">
        <v>16</v>
      </c>
      <c r="I9" s="5">
        <v>2</v>
      </c>
      <c r="J9" s="11">
        <v>199.04</v>
      </c>
      <c r="M9" s="5" t="str">
        <f t="shared" si="1"/>
        <v>GA7</v>
      </c>
      <c r="N9" s="5" t="s">
        <v>219</v>
      </c>
      <c r="O9" s="5" t="s">
        <v>75</v>
      </c>
      <c r="P9" s="5">
        <v>7</v>
      </c>
      <c r="Q9" s="4">
        <f t="shared" si="6"/>
        <v>7</v>
      </c>
      <c r="R9" s="5">
        <f t="shared" si="7"/>
        <v>76</v>
      </c>
      <c r="S9" s="5">
        <f t="shared" si="8"/>
        <v>286.77</v>
      </c>
      <c r="T9" s="5">
        <f t="shared" si="9"/>
        <v>286.77</v>
      </c>
      <c r="U9" s="5">
        <f>_xlfn.IFNA(VLOOKUP(N9,AgeFactors,2,FALSE),AgeFactors!$E$25)</f>
        <v>1.048</v>
      </c>
      <c r="V9" s="9">
        <f t="shared" si="2"/>
        <v>273.6354961832061</v>
      </c>
      <c r="W9" s="10">
        <f t="shared" si="3"/>
        <v>5220</v>
      </c>
      <c r="X9" s="10">
        <f t="shared" si="4"/>
        <v>5220</v>
      </c>
      <c r="Y9" s="10">
        <f t="shared" si="5"/>
        <v>1428377.2900763359</v>
      </c>
    </row>
    <row r="10" spans="1:28" x14ac:dyDescent="0.35">
      <c r="A10" s="5">
        <v>8</v>
      </c>
      <c r="B10" s="5" t="str">
        <f t="shared" si="0"/>
        <v>GA2</v>
      </c>
      <c r="C10" s="5" t="s">
        <v>219</v>
      </c>
      <c r="D10" s="6" t="s">
        <v>281</v>
      </c>
      <c r="E10" s="5" t="s">
        <v>284</v>
      </c>
      <c r="F10" s="6" t="s">
        <v>263</v>
      </c>
      <c r="G10" s="5" t="s">
        <v>216</v>
      </c>
      <c r="H10" s="5" t="s">
        <v>16</v>
      </c>
      <c r="I10" s="5">
        <v>2</v>
      </c>
      <c r="J10" s="11">
        <v>200.25</v>
      </c>
      <c r="M10" s="5" t="str">
        <f t="shared" si="1"/>
        <v>GA8</v>
      </c>
      <c r="N10" s="5" t="s">
        <v>219</v>
      </c>
      <c r="O10" s="5" t="s">
        <v>79</v>
      </c>
      <c r="P10" s="5">
        <v>8</v>
      </c>
      <c r="Q10" s="4">
        <f t="shared" si="6"/>
        <v>22</v>
      </c>
      <c r="R10" s="5">
        <f t="shared" si="7"/>
        <v>83</v>
      </c>
      <c r="S10" s="5">
        <f t="shared" si="8"/>
        <v>209.13</v>
      </c>
      <c r="T10" s="5">
        <f t="shared" si="9"/>
        <v>209.13</v>
      </c>
      <c r="U10" s="5">
        <f>_xlfn.IFNA(VLOOKUP(N10,AgeFactors,2,FALSE),AgeFactors!$E$25)</f>
        <v>1.048</v>
      </c>
      <c r="V10" s="9">
        <f t="shared" si="2"/>
        <v>199.55152671755724</v>
      </c>
      <c r="W10" s="10">
        <f t="shared" si="3"/>
        <v>13483</v>
      </c>
      <c r="X10" s="10">
        <f t="shared" si="4"/>
        <v>13483</v>
      </c>
      <c r="Y10" s="10">
        <f t="shared" si="5"/>
        <v>2690553.2347328244</v>
      </c>
    </row>
    <row r="11" spans="1:28" x14ac:dyDescent="0.35">
      <c r="A11" s="5">
        <v>9</v>
      </c>
      <c r="B11" s="5" t="str">
        <f t="shared" si="0"/>
        <v>GA2</v>
      </c>
      <c r="C11" s="5" t="s">
        <v>219</v>
      </c>
      <c r="D11" s="6" t="s">
        <v>281</v>
      </c>
      <c r="E11" s="5" t="s">
        <v>285</v>
      </c>
      <c r="F11" s="6" t="s">
        <v>264</v>
      </c>
      <c r="G11" s="5" t="s">
        <v>216</v>
      </c>
      <c r="H11" s="5" t="s">
        <v>16</v>
      </c>
      <c r="I11" s="5">
        <v>2</v>
      </c>
      <c r="J11" s="11">
        <v>202.77</v>
      </c>
      <c r="M11" s="5" t="str">
        <f t="shared" si="1"/>
        <v>GA9</v>
      </c>
      <c r="N11" s="5" t="s">
        <v>219</v>
      </c>
      <c r="O11" s="5" t="s">
        <v>93</v>
      </c>
      <c r="P11" s="5">
        <v>9</v>
      </c>
      <c r="Q11" s="4">
        <f t="shared" si="6"/>
        <v>7</v>
      </c>
      <c r="R11" s="5">
        <f t="shared" si="7"/>
        <v>105</v>
      </c>
      <c r="S11" s="5">
        <f t="shared" si="8"/>
        <v>275.19</v>
      </c>
      <c r="T11" s="5">
        <f t="shared" si="9"/>
        <v>275.19</v>
      </c>
      <c r="U11" s="5">
        <f>_xlfn.IFNA(VLOOKUP(N11,AgeFactors,2,FALSE),AgeFactors!$E$25)</f>
        <v>1.048</v>
      </c>
      <c r="V11" s="9">
        <f t="shared" si="2"/>
        <v>262.5858778625954</v>
      </c>
      <c r="W11" s="10">
        <f t="shared" si="3"/>
        <v>5564</v>
      </c>
      <c r="X11" s="10">
        <f t="shared" si="4"/>
        <v>5564</v>
      </c>
      <c r="Y11" s="10">
        <f t="shared" si="5"/>
        <v>1461027.8244274808</v>
      </c>
    </row>
    <row r="12" spans="1:28" x14ac:dyDescent="0.35">
      <c r="A12" s="5">
        <v>10</v>
      </c>
      <c r="B12" s="5" t="str">
        <f t="shared" si="0"/>
        <v>GA2</v>
      </c>
      <c r="C12" s="5" t="s">
        <v>219</v>
      </c>
      <c r="D12" s="6" t="s">
        <v>281</v>
      </c>
      <c r="E12" s="5" t="s">
        <v>286</v>
      </c>
      <c r="F12" s="6" t="s">
        <v>265</v>
      </c>
      <c r="G12" s="5" t="s">
        <v>216</v>
      </c>
      <c r="H12" s="5" t="s">
        <v>16</v>
      </c>
      <c r="I12" s="5">
        <v>2</v>
      </c>
      <c r="J12" s="11">
        <v>206.25</v>
      </c>
      <c r="M12" s="5" t="str">
        <f t="shared" si="1"/>
        <v>GA10</v>
      </c>
      <c r="N12" s="5" t="s">
        <v>219</v>
      </c>
      <c r="O12" s="5" t="s">
        <v>97</v>
      </c>
      <c r="P12" s="5">
        <v>10</v>
      </c>
      <c r="Q12" s="4">
        <f t="shared" si="6"/>
        <v>12</v>
      </c>
      <c r="R12" s="5">
        <f t="shared" si="7"/>
        <v>112</v>
      </c>
      <c r="S12" s="5">
        <f t="shared" si="8"/>
        <v>200.85</v>
      </c>
      <c r="T12" s="5">
        <f t="shared" si="9"/>
        <v>200.85</v>
      </c>
      <c r="U12" s="5">
        <f>_xlfn.IFNA(VLOOKUP(N12,AgeFactors,2,FALSE),AgeFactors!$E$25)</f>
        <v>1.048</v>
      </c>
      <c r="V12" s="9">
        <f t="shared" si="2"/>
        <v>191.65076335877862</v>
      </c>
      <c r="W12" s="10">
        <f t="shared" si="3"/>
        <v>20614</v>
      </c>
      <c r="X12" s="10">
        <f t="shared" si="4"/>
        <v>20614</v>
      </c>
      <c r="Y12" s="10">
        <f t="shared" si="5"/>
        <v>3950688.8358778623</v>
      </c>
    </row>
    <row r="13" spans="1:28" x14ac:dyDescent="0.35">
      <c r="A13" s="5">
        <v>11</v>
      </c>
      <c r="B13" s="5" t="str">
        <f t="shared" si="0"/>
        <v>GA2</v>
      </c>
      <c r="C13" s="5" t="s">
        <v>219</v>
      </c>
      <c r="D13" s="6" t="s">
        <v>281</v>
      </c>
      <c r="E13" s="5" t="s">
        <v>287</v>
      </c>
      <c r="F13" s="6" t="s">
        <v>266</v>
      </c>
      <c r="G13" s="5" t="s">
        <v>216</v>
      </c>
      <c r="H13" s="5" t="s">
        <v>16</v>
      </c>
      <c r="I13" s="5">
        <v>2</v>
      </c>
      <c r="J13" s="11">
        <v>207.26</v>
      </c>
      <c r="M13" s="5" t="str">
        <f t="shared" si="1"/>
        <v>GA11</v>
      </c>
      <c r="N13" s="5" t="s">
        <v>219</v>
      </c>
      <c r="O13" s="5" t="s">
        <v>110</v>
      </c>
      <c r="P13" s="5">
        <v>11</v>
      </c>
      <c r="Q13" s="4">
        <f t="shared" si="6"/>
        <v>6</v>
      </c>
      <c r="R13" s="5">
        <f t="shared" si="7"/>
        <v>124</v>
      </c>
      <c r="S13" s="5">
        <f t="shared" si="8"/>
        <v>311.8</v>
      </c>
      <c r="T13" s="5">
        <f t="shared" si="9"/>
        <v>311.8</v>
      </c>
      <c r="U13" s="5">
        <f>_xlfn.IFNA(VLOOKUP(N13,AgeFactors,2,FALSE),AgeFactors!$E$25)</f>
        <v>1.048</v>
      </c>
      <c r="V13" s="9">
        <f t="shared" si="2"/>
        <v>297.51908396946567</v>
      </c>
      <c r="W13" s="10">
        <f t="shared" si="3"/>
        <v>6195</v>
      </c>
      <c r="X13" s="10">
        <f t="shared" si="4"/>
        <v>6195</v>
      </c>
      <c r="Y13" s="10">
        <f t="shared" si="5"/>
        <v>1843130.7251908397</v>
      </c>
    </row>
    <row r="14" spans="1:28" x14ac:dyDescent="0.35">
      <c r="A14" s="5">
        <v>12</v>
      </c>
      <c r="B14" s="5" t="str">
        <f t="shared" si="0"/>
        <v>GA2</v>
      </c>
      <c r="C14" s="5" t="s">
        <v>219</v>
      </c>
      <c r="D14" s="6" t="s">
        <v>281</v>
      </c>
      <c r="E14" s="5" t="s">
        <v>288</v>
      </c>
      <c r="F14" s="6" t="s">
        <v>213</v>
      </c>
      <c r="G14" s="5" t="s">
        <v>216</v>
      </c>
      <c r="H14" s="5" t="s">
        <v>16</v>
      </c>
      <c r="I14" s="5">
        <v>2</v>
      </c>
      <c r="J14" s="11">
        <v>209.13</v>
      </c>
      <c r="M14" s="5" t="str">
        <f t="shared" si="1"/>
        <v>GA12</v>
      </c>
      <c r="N14" s="5" t="s">
        <v>219</v>
      </c>
      <c r="O14" s="5" t="s">
        <v>121</v>
      </c>
      <c r="P14" s="5">
        <v>12</v>
      </c>
      <c r="Q14" s="4">
        <f t="shared" si="6"/>
        <v>6</v>
      </c>
      <c r="R14" s="5">
        <f t="shared" si="7"/>
        <v>130</v>
      </c>
      <c r="S14" s="5">
        <f t="shared" si="8"/>
        <v>258.3</v>
      </c>
      <c r="T14" s="5">
        <f t="shared" si="9"/>
        <v>258.3</v>
      </c>
      <c r="U14" s="5">
        <f>_xlfn.IFNA(VLOOKUP(N14,AgeFactors,2,FALSE),AgeFactors!$E$25)</f>
        <v>1.048</v>
      </c>
      <c r="V14" s="9">
        <f t="shared" si="2"/>
        <v>246.46946564885496</v>
      </c>
      <c r="W14" s="10">
        <f t="shared" si="3"/>
        <v>18563</v>
      </c>
      <c r="X14" s="10">
        <f t="shared" si="4"/>
        <v>18563</v>
      </c>
      <c r="Y14" s="10">
        <f t="shared" si="5"/>
        <v>4575212.6908396948</v>
      </c>
    </row>
    <row r="15" spans="1:28" x14ac:dyDescent="0.35">
      <c r="A15" s="5">
        <v>13</v>
      </c>
      <c r="B15" s="5" t="str">
        <f t="shared" si="0"/>
        <v>GA2</v>
      </c>
      <c r="C15" s="5" t="s">
        <v>219</v>
      </c>
      <c r="D15" s="6" t="s">
        <v>281</v>
      </c>
      <c r="E15" s="5" t="s">
        <v>289</v>
      </c>
      <c r="F15" s="6" t="s">
        <v>267</v>
      </c>
      <c r="G15" s="5" t="s">
        <v>216</v>
      </c>
      <c r="H15" s="5" t="s">
        <v>16</v>
      </c>
      <c r="I15" s="5">
        <v>2</v>
      </c>
      <c r="J15" s="11">
        <v>209.86</v>
      </c>
      <c r="M15" s="5" t="str">
        <f t="shared" si="1"/>
        <v>GA13</v>
      </c>
      <c r="N15" s="5" t="s">
        <v>219</v>
      </c>
      <c r="O15" s="5" t="s">
        <v>135</v>
      </c>
      <c r="P15" s="5">
        <v>13</v>
      </c>
      <c r="Q15" s="4">
        <f t="shared" si="6"/>
        <v>12</v>
      </c>
      <c r="R15" s="5">
        <f t="shared" si="7"/>
        <v>136</v>
      </c>
      <c r="S15" s="5">
        <f t="shared" si="8"/>
        <v>219.17</v>
      </c>
      <c r="T15" s="5">
        <f t="shared" si="9"/>
        <v>219.17</v>
      </c>
      <c r="U15" s="5">
        <f>_xlfn.IFNA(VLOOKUP(N15,AgeFactors,2,FALSE),AgeFactors!$E$25)</f>
        <v>1.048</v>
      </c>
      <c r="V15" s="9">
        <f t="shared" si="2"/>
        <v>209.13167938931295</v>
      </c>
      <c r="W15" s="10">
        <f t="shared" si="3"/>
        <v>11235</v>
      </c>
      <c r="X15" s="10">
        <f t="shared" si="4"/>
        <v>11235</v>
      </c>
      <c r="Y15" s="10">
        <f t="shared" si="5"/>
        <v>2349594.4179389309</v>
      </c>
    </row>
    <row r="16" spans="1:28" x14ac:dyDescent="0.35">
      <c r="A16" s="5">
        <v>14</v>
      </c>
      <c r="B16" s="5" t="str">
        <f t="shared" si="0"/>
        <v>GA2</v>
      </c>
      <c r="C16" s="5" t="s">
        <v>219</v>
      </c>
      <c r="D16" s="6" t="s">
        <v>281</v>
      </c>
      <c r="E16" s="5" t="s">
        <v>290</v>
      </c>
      <c r="F16" s="6" t="s">
        <v>268</v>
      </c>
      <c r="G16" s="5" t="s">
        <v>216</v>
      </c>
      <c r="H16" s="5" t="s">
        <v>16</v>
      </c>
      <c r="I16" s="5">
        <v>2</v>
      </c>
      <c r="J16" s="11">
        <v>210.11</v>
      </c>
      <c r="M16" s="5" t="str">
        <f t="shared" si="1"/>
        <v>GA14</v>
      </c>
      <c r="N16" s="5" t="s">
        <v>219</v>
      </c>
      <c r="O16" s="5" t="s">
        <v>142</v>
      </c>
      <c r="P16" s="5">
        <v>14</v>
      </c>
      <c r="Q16" s="4">
        <f t="shared" si="6"/>
        <v>6</v>
      </c>
      <c r="R16" s="5">
        <f t="shared" si="7"/>
        <v>148</v>
      </c>
      <c r="S16" s="5">
        <f t="shared" si="8"/>
        <v>280.52</v>
      </c>
      <c r="T16" s="5">
        <f t="shared" si="9"/>
        <v>280.52</v>
      </c>
      <c r="U16" s="5">
        <f>_xlfn.IFNA(VLOOKUP(N16,AgeFactors,2,FALSE),AgeFactors!$E$25)</f>
        <v>1.048</v>
      </c>
      <c r="V16" s="9">
        <f t="shared" si="2"/>
        <v>267.67175572519079</v>
      </c>
      <c r="W16" s="10">
        <f t="shared" si="3"/>
        <v>33895</v>
      </c>
      <c r="X16" s="10">
        <f t="shared" si="4"/>
        <v>33895</v>
      </c>
      <c r="Y16" s="10">
        <f t="shared" si="5"/>
        <v>9072734.1603053417</v>
      </c>
    </row>
    <row r="17" spans="1:25" x14ac:dyDescent="0.35">
      <c r="A17" s="5">
        <v>15</v>
      </c>
      <c r="B17" s="5" t="str">
        <f t="shared" si="0"/>
        <v>GA2</v>
      </c>
      <c r="C17" s="5" t="s">
        <v>219</v>
      </c>
      <c r="D17" s="6" t="s">
        <v>281</v>
      </c>
      <c r="E17" s="5" t="s">
        <v>291</v>
      </c>
      <c r="F17" s="6" t="s">
        <v>214</v>
      </c>
      <c r="G17" s="5" t="s">
        <v>216</v>
      </c>
      <c r="H17" s="5" t="s">
        <v>16</v>
      </c>
      <c r="I17" s="5">
        <v>2</v>
      </c>
      <c r="J17" s="11">
        <v>213.04</v>
      </c>
      <c r="M17" s="5" t="str">
        <f t="shared" si="1"/>
        <v>GA15</v>
      </c>
      <c r="N17" s="5" t="s">
        <v>219</v>
      </c>
      <c r="O17" s="5" t="s">
        <v>154</v>
      </c>
      <c r="P17" s="5">
        <v>15</v>
      </c>
      <c r="Q17" s="4">
        <f t="shared" si="6"/>
        <v>5</v>
      </c>
      <c r="R17" s="5">
        <f t="shared" si="7"/>
        <v>154</v>
      </c>
      <c r="S17" s="5">
        <f t="shared" si="8"/>
        <v>361.71</v>
      </c>
      <c r="T17" s="5">
        <f t="shared" si="9"/>
        <v>361.71</v>
      </c>
      <c r="U17" s="5">
        <f>_xlfn.IFNA(VLOOKUP(N17,AgeFactors,2,FALSE),AgeFactors!$E$25)</f>
        <v>1.048</v>
      </c>
      <c r="V17" s="9">
        <f t="shared" si="2"/>
        <v>345.14312977099235</v>
      </c>
      <c r="W17" s="10">
        <f t="shared" si="3"/>
        <v>14843</v>
      </c>
      <c r="X17" s="10">
        <f t="shared" si="4"/>
        <v>14843</v>
      </c>
      <c r="Y17" s="10">
        <f t="shared" si="5"/>
        <v>5122959.4751908397</v>
      </c>
    </row>
    <row r="18" spans="1:25" x14ac:dyDescent="0.35">
      <c r="A18" s="5">
        <v>16</v>
      </c>
      <c r="B18" s="5" t="str">
        <f t="shared" ref="B18:B81" si="10">CONCATENATE(C18,I18)</f>
        <v>GA2</v>
      </c>
      <c r="C18" s="5" t="s">
        <v>219</v>
      </c>
      <c r="D18" s="6" t="s">
        <v>281</v>
      </c>
      <c r="E18" s="5" t="s">
        <v>292</v>
      </c>
      <c r="F18" s="6" t="s">
        <v>269</v>
      </c>
      <c r="G18" s="5" t="s">
        <v>216</v>
      </c>
      <c r="H18" s="5" t="s">
        <v>16</v>
      </c>
      <c r="I18" s="5">
        <v>2</v>
      </c>
      <c r="J18" s="11">
        <v>217.46</v>
      </c>
      <c r="M18" s="5" t="str">
        <f t="shared" si="1"/>
        <v>GA16</v>
      </c>
      <c r="N18" s="5" t="s">
        <v>219</v>
      </c>
      <c r="O18" s="5" t="s">
        <v>173</v>
      </c>
      <c r="P18" s="5">
        <v>16</v>
      </c>
      <c r="Q18" s="4">
        <f t="shared" si="6"/>
        <v>6</v>
      </c>
      <c r="R18" s="5">
        <f t="shared" si="7"/>
        <v>159</v>
      </c>
      <c r="S18" s="5">
        <f t="shared" si="8"/>
        <v>260.57</v>
      </c>
      <c r="T18" s="5">
        <f t="shared" si="9"/>
        <v>260.57</v>
      </c>
      <c r="U18" s="5">
        <f>_xlfn.IFNA(VLOOKUP(N18,AgeFactors,2,FALSE),AgeFactors!$E$25)</f>
        <v>1.048</v>
      </c>
      <c r="V18" s="9">
        <f t="shared" si="2"/>
        <v>248.6354961832061</v>
      </c>
      <c r="W18" s="10">
        <f t="shared" si="3"/>
        <v>3025</v>
      </c>
      <c r="X18" s="10">
        <f t="shared" si="4"/>
        <v>3025</v>
      </c>
      <c r="Y18" s="10">
        <f t="shared" si="5"/>
        <v>752122.37595419842</v>
      </c>
    </row>
    <row r="19" spans="1:25" x14ac:dyDescent="0.35">
      <c r="A19" s="5">
        <v>17</v>
      </c>
      <c r="B19" s="5" t="str">
        <f t="shared" si="10"/>
        <v>GA2</v>
      </c>
      <c r="C19" s="5" t="s">
        <v>219</v>
      </c>
      <c r="D19" s="6" t="s">
        <v>281</v>
      </c>
      <c r="E19" s="5" t="s">
        <v>293</v>
      </c>
      <c r="F19" s="6" t="s">
        <v>215</v>
      </c>
      <c r="G19" s="5" t="s">
        <v>216</v>
      </c>
      <c r="H19" s="5" t="s">
        <v>16</v>
      </c>
      <c r="I19" s="5">
        <v>2</v>
      </c>
      <c r="J19" s="11">
        <v>220.5</v>
      </c>
      <c r="N19"/>
      <c r="O19"/>
      <c r="U19" s="5" t="s">
        <v>257</v>
      </c>
      <c r="V19" s="9">
        <f>MEDIAN(V3:V18)</f>
        <v>249.96660305343511</v>
      </c>
      <c r="W19" s="10"/>
      <c r="X19" s="10"/>
      <c r="Y19" s="10"/>
    </row>
    <row r="20" spans="1:25" x14ac:dyDescent="0.35">
      <c r="A20" s="5">
        <v>18</v>
      </c>
      <c r="B20" s="5" t="str">
        <f t="shared" si="10"/>
        <v>GA2</v>
      </c>
      <c r="C20" s="5" t="s">
        <v>219</v>
      </c>
      <c r="D20" s="6" t="s">
        <v>294</v>
      </c>
      <c r="E20" s="5" t="s">
        <v>295</v>
      </c>
      <c r="F20" s="6" t="s">
        <v>296</v>
      </c>
      <c r="G20" s="5" t="s">
        <v>211</v>
      </c>
      <c r="H20" s="5" t="s">
        <v>16</v>
      </c>
      <c r="I20" s="5">
        <v>2</v>
      </c>
      <c r="J20" s="11">
        <v>227.95</v>
      </c>
      <c r="N20"/>
      <c r="O20"/>
      <c r="U20" s="5" t="s">
        <v>258</v>
      </c>
      <c r="V20" s="9">
        <f>AVERAGE(V3:V18)</f>
        <v>256.62571564885496</v>
      </c>
      <c r="W20" s="10"/>
      <c r="X20" s="12">
        <f>SUM(X3:X18)</f>
        <v>541032</v>
      </c>
      <c r="Y20" s="12">
        <f>SUM(Y3:Y18)</f>
        <v>117943050.88740455</v>
      </c>
    </row>
    <row r="21" spans="1:25" x14ac:dyDescent="0.35">
      <c r="A21" s="5">
        <v>19</v>
      </c>
      <c r="B21" s="5" t="str">
        <f t="shared" si="10"/>
        <v>GA2</v>
      </c>
      <c r="C21" s="5" t="s">
        <v>219</v>
      </c>
      <c r="D21" s="6" t="s">
        <v>297</v>
      </c>
      <c r="E21" s="5" t="s">
        <v>298</v>
      </c>
      <c r="F21" s="6" t="s">
        <v>299</v>
      </c>
      <c r="G21" s="5" t="s">
        <v>216</v>
      </c>
      <c r="H21" s="5" t="s">
        <v>16</v>
      </c>
      <c r="I21" s="5">
        <v>2</v>
      </c>
      <c r="J21" s="11">
        <v>243</v>
      </c>
      <c r="N21"/>
      <c r="O21"/>
      <c r="U21" s="13" t="s">
        <v>259</v>
      </c>
      <c r="V21" s="13">
        <f>Y20/X20</f>
        <v>217.9964417768349</v>
      </c>
    </row>
    <row r="22" spans="1:25" x14ac:dyDescent="0.35">
      <c r="A22" s="5">
        <v>20</v>
      </c>
      <c r="B22" s="5" t="str">
        <f t="shared" si="10"/>
        <v>GA2</v>
      </c>
      <c r="C22" s="5" t="s">
        <v>219</v>
      </c>
      <c r="D22" s="6" t="s">
        <v>270</v>
      </c>
      <c r="E22" s="5" t="s">
        <v>271</v>
      </c>
      <c r="F22" s="6" t="s">
        <v>272</v>
      </c>
      <c r="G22" s="5" t="s">
        <v>216</v>
      </c>
      <c r="H22" s="5" t="s">
        <v>16</v>
      </c>
      <c r="I22" s="5">
        <v>2</v>
      </c>
      <c r="J22" s="11">
        <v>254.56</v>
      </c>
      <c r="N22"/>
      <c r="O22"/>
      <c r="U22" s="5" t="s">
        <v>829</v>
      </c>
      <c r="V22" s="9">
        <f>MIN(V3:V18)</f>
        <v>189.92366412213738</v>
      </c>
    </row>
    <row r="23" spans="1:25" x14ac:dyDescent="0.35">
      <c r="A23" s="5">
        <v>21</v>
      </c>
      <c r="B23" s="5" t="str">
        <f t="shared" si="10"/>
        <v>GA2</v>
      </c>
      <c r="C23" s="5" t="s">
        <v>219</v>
      </c>
      <c r="D23" s="6" t="s">
        <v>297</v>
      </c>
      <c r="E23" s="5" t="s">
        <v>300</v>
      </c>
      <c r="F23" s="6" t="s">
        <v>301</v>
      </c>
      <c r="G23" s="5" t="s">
        <v>216</v>
      </c>
      <c r="H23" s="5" t="s">
        <v>16</v>
      </c>
      <c r="I23" s="5">
        <v>2</v>
      </c>
      <c r="J23" s="11">
        <v>258</v>
      </c>
      <c r="N23"/>
      <c r="O23"/>
      <c r="U23" s="5" t="s">
        <v>830</v>
      </c>
      <c r="V23" s="9">
        <f>MAX(V3:V18)</f>
        <v>376.54580152671753</v>
      </c>
    </row>
    <row r="24" spans="1:25" x14ac:dyDescent="0.35">
      <c r="A24" s="5">
        <v>22</v>
      </c>
      <c r="B24" s="5" t="str">
        <f t="shared" si="10"/>
        <v>GA2</v>
      </c>
      <c r="C24" s="5" t="s">
        <v>219</v>
      </c>
      <c r="D24" s="6" t="s">
        <v>270</v>
      </c>
      <c r="E24" s="5" t="s">
        <v>273</v>
      </c>
      <c r="F24" s="6" t="s">
        <v>274</v>
      </c>
      <c r="G24" s="5" t="s">
        <v>216</v>
      </c>
      <c r="H24" s="5" t="s">
        <v>16</v>
      </c>
      <c r="I24" s="5">
        <v>2</v>
      </c>
      <c r="J24" s="11">
        <v>265.81</v>
      </c>
      <c r="N24"/>
      <c r="O24"/>
    </row>
    <row r="25" spans="1:25" x14ac:dyDescent="0.35">
      <c r="A25" s="5">
        <v>23</v>
      </c>
      <c r="B25" s="5" t="str">
        <f t="shared" si="10"/>
        <v>GA2</v>
      </c>
      <c r="C25" s="5" t="s">
        <v>219</v>
      </c>
      <c r="D25" s="6" t="s">
        <v>297</v>
      </c>
      <c r="E25" s="5" t="s">
        <v>302</v>
      </c>
      <c r="F25" s="6" t="s">
        <v>303</v>
      </c>
      <c r="G25" s="5" t="s">
        <v>216</v>
      </c>
      <c r="H25" s="5" t="s">
        <v>16</v>
      </c>
      <c r="I25" s="5">
        <v>2</v>
      </c>
      <c r="J25" s="11">
        <v>273</v>
      </c>
      <c r="N25"/>
      <c r="O25"/>
    </row>
    <row r="26" spans="1:25" x14ac:dyDescent="0.35">
      <c r="A26" s="5">
        <v>24</v>
      </c>
      <c r="B26" s="5" t="str">
        <f t="shared" si="10"/>
        <v>GA2</v>
      </c>
      <c r="C26" s="5" t="s">
        <v>219</v>
      </c>
      <c r="D26" s="6" t="s">
        <v>270</v>
      </c>
      <c r="E26" s="5" t="s">
        <v>275</v>
      </c>
      <c r="F26" s="6" t="s">
        <v>276</v>
      </c>
      <c r="G26" s="5" t="s">
        <v>216</v>
      </c>
      <c r="H26" s="5" t="s">
        <v>16</v>
      </c>
      <c r="I26" s="5">
        <v>2</v>
      </c>
      <c r="J26" s="11">
        <v>273.2</v>
      </c>
      <c r="N26"/>
      <c r="O26"/>
    </row>
    <row r="27" spans="1:25" x14ac:dyDescent="0.35">
      <c r="A27" s="5">
        <v>25</v>
      </c>
      <c r="B27" s="5" t="str">
        <f t="shared" si="10"/>
        <v>GA2</v>
      </c>
      <c r="C27" s="5" t="s">
        <v>219</v>
      </c>
      <c r="D27" s="6" t="s">
        <v>270</v>
      </c>
      <c r="E27" s="5" t="s">
        <v>277</v>
      </c>
      <c r="F27" s="6" t="s">
        <v>278</v>
      </c>
      <c r="G27" s="5" t="s">
        <v>216</v>
      </c>
      <c r="H27" s="5" t="s">
        <v>16</v>
      </c>
      <c r="I27" s="5">
        <v>2</v>
      </c>
      <c r="J27" s="11">
        <v>273.2</v>
      </c>
      <c r="N27"/>
      <c r="O27"/>
    </row>
    <row r="28" spans="1:25" x14ac:dyDescent="0.35">
      <c r="A28" s="5">
        <v>26</v>
      </c>
      <c r="B28" s="5" t="str">
        <f t="shared" si="10"/>
        <v>GA2</v>
      </c>
      <c r="C28" s="5" t="s">
        <v>219</v>
      </c>
      <c r="D28" s="6" t="s">
        <v>270</v>
      </c>
      <c r="E28" s="5" t="s">
        <v>279</v>
      </c>
      <c r="F28" s="6" t="s">
        <v>280</v>
      </c>
      <c r="G28" s="5" t="s">
        <v>216</v>
      </c>
      <c r="H28" s="5" t="s">
        <v>16</v>
      </c>
      <c r="I28" s="5">
        <v>2</v>
      </c>
      <c r="J28" s="11">
        <v>276.27</v>
      </c>
      <c r="N28"/>
      <c r="O28"/>
    </row>
    <row r="29" spans="1:25" x14ac:dyDescent="0.35">
      <c r="A29" s="5">
        <v>27</v>
      </c>
      <c r="B29" s="5" t="str">
        <f t="shared" si="10"/>
        <v>GA2</v>
      </c>
      <c r="C29" s="5" t="s">
        <v>219</v>
      </c>
      <c r="D29" s="6" t="s">
        <v>304</v>
      </c>
      <c r="E29" s="5" t="s">
        <v>305</v>
      </c>
      <c r="F29" s="6" t="s">
        <v>306</v>
      </c>
      <c r="G29" s="5" t="s">
        <v>201</v>
      </c>
      <c r="H29" s="5" t="s">
        <v>16</v>
      </c>
      <c r="I29" s="5">
        <v>2</v>
      </c>
      <c r="J29" s="11">
        <v>288.95</v>
      </c>
      <c r="N29"/>
      <c r="O29"/>
    </row>
    <row r="30" spans="1:25" x14ac:dyDescent="0.35">
      <c r="A30" s="5">
        <v>28</v>
      </c>
      <c r="B30" s="5" t="str">
        <f t="shared" si="10"/>
        <v>GA2</v>
      </c>
      <c r="C30" s="5" t="s">
        <v>219</v>
      </c>
      <c r="D30" s="6" t="s">
        <v>304</v>
      </c>
      <c r="E30" s="5" t="s">
        <v>307</v>
      </c>
      <c r="F30" s="6" t="s">
        <v>306</v>
      </c>
      <c r="G30" s="5" t="s">
        <v>201</v>
      </c>
      <c r="H30" s="5" t="s">
        <v>16</v>
      </c>
      <c r="I30" s="5">
        <v>2</v>
      </c>
      <c r="J30" s="11">
        <v>301.12</v>
      </c>
      <c r="N30"/>
      <c r="O30"/>
    </row>
    <row r="31" spans="1:25" x14ac:dyDescent="0.35">
      <c r="A31" s="5">
        <v>29</v>
      </c>
      <c r="B31" s="5" t="str">
        <f t="shared" si="10"/>
        <v>GA3</v>
      </c>
      <c r="C31" s="5" t="s">
        <v>219</v>
      </c>
      <c r="D31" s="6" t="s">
        <v>294</v>
      </c>
      <c r="E31" s="5" t="s">
        <v>308</v>
      </c>
      <c r="F31" s="6" t="s">
        <v>224</v>
      </c>
      <c r="G31" s="5" t="s">
        <v>216</v>
      </c>
      <c r="H31" s="5" t="s">
        <v>26</v>
      </c>
      <c r="I31" s="5">
        <v>3</v>
      </c>
      <c r="J31" s="11">
        <v>187.8</v>
      </c>
      <c r="N31"/>
      <c r="O31"/>
    </row>
    <row r="32" spans="1:25" x14ac:dyDescent="0.35">
      <c r="A32" s="5">
        <v>30</v>
      </c>
      <c r="B32" s="5" t="str">
        <f t="shared" si="10"/>
        <v>GA3</v>
      </c>
      <c r="C32" s="5" t="s">
        <v>219</v>
      </c>
      <c r="D32" s="6" t="s">
        <v>294</v>
      </c>
      <c r="E32" s="5" t="s">
        <v>295</v>
      </c>
      <c r="F32" s="6" t="s">
        <v>296</v>
      </c>
      <c r="G32" s="5" t="s">
        <v>211</v>
      </c>
      <c r="H32" s="5" t="s">
        <v>26</v>
      </c>
      <c r="I32" s="5">
        <v>3</v>
      </c>
      <c r="J32" s="11">
        <v>205.38</v>
      </c>
      <c r="N32"/>
      <c r="O32"/>
    </row>
    <row r="33" spans="1:15" x14ac:dyDescent="0.35">
      <c r="A33" s="5">
        <v>31</v>
      </c>
      <c r="B33" s="5" t="str">
        <f t="shared" si="10"/>
        <v>GA3</v>
      </c>
      <c r="C33" s="5" t="s">
        <v>219</v>
      </c>
      <c r="D33" s="6" t="s">
        <v>297</v>
      </c>
      <c r="E33" s="5" t="s">
        <v>298</v>
      </c>
      <c r="F33" s="6" t="s">
        <v>299</v>
      </c>
      <c r="G33" s="5" t="s">
        <v>216</v>
      </c>
      <c r="H33" s="5" t="s">
        <v>26</v>
      </c>
      <c r="I33" s="5">
        <v>3</v>
      </c>
      <c r="J33" s="11">
        <v>243</v>
      </c>
      <c r="N33"/>
      <c r="O33"/>
    </row>
    <row r="34" spans="1:15" x14ac:dyDescent="0.35">
      <c r="A34" s="5">
        <v>32</v>
      </c>
      <c r="B34" s="5" t="str">
        <f t="shared" si="10"/>
        <v>GA3</v>
      </c>
      <c r="C34" s="5" t="s">
        <v>219</v>
      </c>
      <c r="D34" s="6" t="s">
        <v>281</v>
      </c>
      <c r="E34" s="5" t="s">
        <v>282</v>
      </c>
      <c r="F34" s="6" t="s">
        <v>261</v>
      </c>
      <c r="G34" s="5" t="s">
        <v>216</v>
      </c>
      <c r="H34" s="5" t="s">
        <v>26</v>
      </c>
      <c r="I34" s="5">
        <v>3</v>
      </c>
      <c r="J34" s="11">
        <v>247.03</v>
      </c>
      <c r="N34"/>
      <c r="O34"/>
    </row>
    <row r="35" spans="1:15" x14ac:dyDescent="0.35">
      <c r="A35" s="5">
        <v>33</v>
      </c>
      <c r="B35" s="5" t="str">
        <f t="shared" si="10"/>
        <v>GA3</v>
      </c>
      <c r="C35" s="5" t="s">
        <v>219</v>
      </c>
      <c r="D35" s="6" t="s">
        <v>304</v>
      </c>
      <c r="E35" s="5" t="s">
        <v>305</v>
      </c>
      <c r="F35" s="6" t="s">
        <v>306</v>
      </c>
      <c r="G35" s="5" t="s">
        <v>201</v>
      </c>
      <c r="H35" s="5" t="s">
        <v>26</v>
      </c>
      <c r="I35" s="5">
        <v>3</v>
      </c>
      <c r="J35" s="11">
        <v>247.67</v>
      </c>
      <c r="N35"/>
      <c r="O35"/>
    </row>
    <row r="36" spans="1:15" x14ac:dyDescent="0.35">
      <c r="A36" s="5">
        <v>34</v>
      </c>
      <c r="B36" s="5" t="str">
        <f t="shared" si="10"/>
        <v>GA3</v>
      </c>
      <c r="C36" s="5" t="s">
        <v>219</v>
      </c>
      <c r="D36" s="6" t="s">
        <v>281</v>
      </c>
      <c r="E36" s="5" t="s">
        <v>283</v>
      </c>
      <c r="F36" s="6" t="s">
        <v>262</v>
      </c>
      <c r="G36" s="5" t="s">
        <v>216</v>
      </c>
      <c r="H36" s="5" t="s">
        <v>26</v>
      </c>
      <c r="I36" s="5">
        <v>3</v>
      </c>
      <c r="J36" s="11">
        <v>250.14</v>
      </c>
      <c r="N36"/>
      <c r="O36"/>
    </row>
    <row r="37" spans="1:15" x14ac:dyDescent="0.35">
      <c r="A37" s="5">
        <v>35</v>
      </c>
      <c r="B37" s="5" t="str">
        <f t="shared" si="10"/>
        <v>GA3</v>
      </c>
      <c r="C37" s="5" t="s">
        <v>219</v>
      </c>
      <c r="D37" s="6" t="s">
        <v>281</v>
      </c>
      <c r="E37" s="5" t="s">
        <v>284</v>
      </c>
      <c r="F37" s="6" t="s">
        <v>263</v>
      </c>
      <c r="G37" s="5" t="s">
        <v>216</v>
      </c>
      <c r="H37" s="5" t="s">
        <v>26</v>
      </c>
      <c r="I37" s="5">
        <v>3</v>
      </c>
      <c r="J37" s="11">
        <v>251.65</v>
      </c>
      <c r="N37"/>
      <c r="O37"/>
    </row>
    <row r="38" spans="1:15" x14ac:dyDescent="0.35">
      <c r="A38" s="5">
        <v>36</v>
      </c>
      <c r="B38" s="5" t="str">
        <f t="shared" si="10"/>
        <v>GA3</v>
      </c>
      <c r="C38" s="5" t="s">
        <v>219</v>
      </c>
      <c r="D38" s="6" t="s">
        <v>281</v>
      </c>
      <c r="E38" s="5" t="s">
        <v>285</v>
      </c>
      <c r="F38" s="6" t="s">
        <v>264</v>
      </c>
      <c r="G38" s="5" t="s">
        <v>216</v>
      </c>
      <c r="H38" s="5" t="s">
        <v>26</v>
      </c>
      <c r="I38" s="5">
        <v>3</v>
      </c>
      <c r="J38" s="11">
        <v>254.82</v>
      </c>
      <c r="N38"/>
      <c r="O38"/>
    </row>
    <row r="39" spans="1:15" x14ac:dyDescent="0.35">
      <c r="A39" s="5">
        <v>37</v>
      </c>
      <c r="B39" s="5" t="str">
        <f t="shared" si="10"/>
        <v>GA3</v>
      </c>
      <c r="C39" s="5" t="s">
        <v>219</v>
      </c>
      <c r="D39" s="6" t="s">
        <v>270</v>
      </c>
      <c r="E39" s="5" t="s">
        <v>271</v>
      </c>
      <c r="F39" s="6" t="s">
        <v>272</v>
      </c>
      <c r="G39" s="5" t="s">
        <v>216</v>
      </c>
      <c r="H39" s="5" t="s">
        <v>26</v>
      </c>
      <c r="I39" s="5">
        <v>3</v>
      </c>
      <c r="J39" s="11">
        <v>254.95</v>
      </c>
      <c r="N39"/>
      <c r="O39"/>
    </row>
    <row r="40" spans="1:15" x14ac:dyDescent="0.35">
      <c r="A40" s="5">
        <v>38</v>
      </c>
      <c r="B40" s="5" t="str">
        <f t="shared" si="10"/>
        <v>GA3</v>
      </c>
      <c r="C40" s="5" t="s">
        <v>219</v>
      </c>
      <c r="D40" s="6" t="s">
        <v>297</v>
      </c>
      <c r="E40" s="5" t="s">
        <v>300</v>
      </c>
      <c r="F40" s="6" t="s">
        <v>301</v>
      </c>
      <c r="G40" s="5" t="s">
        <v>216</v>
      </c>
      <c r="H40" s="5" t="s">
        <v>26</v>
      </c>
      <c r="I40" s="5">
        <v>3</v>
      </c>
      <c r="J40" s="11">
        <v>258</v>
      </c>
      <c r="N40"/>
      <c r="O40"/>
    </row>
    <row r="41" spans="1:15" x14ac:dyDescent="0.35">
      <c r="A41" s="5">
        <v>39</v>
      </c>
      <c r="B41" s="5" t="str">
        <f t="shared" si="10"/>
        <v>GA3</v>
      </c>
      <c r="C41" s="5" t="s">
        <v>219</v>
      </c>
      <c r="D41" s="6" t="s">
        <v>304</v>
      </c>
      <c r="E41" s="5" t="s">
        <v>307</v>
      </c>
      <c r="F41" s="6" t="s">
        <v>306</v>
      </c>
      <c r="G41" s="5" t="s">
        <v>201</v>
      </c>
      <c r="H41" s="5" t="s">
        <v>26</v>
      </c>
      <c r="I41" s="5">
        <v>3</v>
      </c>
      <c r="J41" s="11">
        <v>258.10000000000002</v>
      </c>
      <c r="N41"/>
      <c r="O41"/>
    </row>
    <row r="42" spans="1:15" x14ac:dyDescent="0.35">
      <c r="A42" s="5">
        <v>40</v>
      </c>
      <c r="B42" s="5" t="str">
        <f t="shared" si="10"/>
        <v>GA3</v>
      </c>
      <c r="C42" s="5" t="s">
        <v>219</v>
      </c>
      <c r="D42" s="6" t="s">
        <v>281</v>
      </c>
      <c r="E42" s="5" t="s">
        <v>286</v>
      </c>
      <c r="F42" s="6" t="s">
        <v>265</v>
      </c>
      <c r="G42" s="5" t="s">
        <v>216</v>
      </c>
      <c r="H42" s="5" t="s">
        <v>26</v>
      </c>
      <c r="I42" s="5">
        <v>3</v>
      </c>
      <c r="J42" s="11">
        <v>259.19</v>
      </c>
      <c r="N42"/>
      <c r="O42"/>
    </row>
    <row r="43" spans="1:15" x14ac:dyDescent="0.35">
      <c r="A43" s="5">
        <v>41</v>
      </c>
      <c r="B43" s="5" t="str">
        <f t="shared" si="10"/>
        <v>GA3</v>
      </c>
      <c r="C43" s="5" t="s">
        <v>219</v>
      </c>
      <c r="D43" s="6" t="s">
        <v>281</v>
      </c>
      <c r="E43" s="5" t="s">
        <v>287</v>
      </c>
      <c r="F43" s="6" t="s">
        <v>266</v>
      </c>
      <c r="G43" s="5" t="s">
        <v>216</v>
      </c>
      <c r="H43" s="5" t="s">
        <v>26</v>
      </c>
      <c r="I43" s="5">
        <v>3</v>
      </c>
      <c r="J43" s="11">
        <v>260.45</v>
      </c>
      <c r="N43"/>
      <c r="O43"/>
    </row>
    <row r="44" spans="1:15" x14ac:dyDescent="0.35">
      <c r="A44" s="5">
        <v>42</v>
      </c>
      <c r="B44" s="5" t="str">
        <f t="shared" si="10"/>
        <v>GA3</v>
      </c>
      <c r="C44" s="5" t="s">
        <v>219</v>
      </c>
      <c r="D44" s="6" t="s">
        <v>281</v>
      </c>
      <c r="E44" s="5" t="s">
        <v>288</v>
      </c>
      <c r="F44" s="6" t="s">
        <v>213</v>
      </c>
      <c r="G44" s="5" t="s">
        <v>216</v>
      </c>
      <c r="H44" s="5" t="s">
        <v>26</v>
      </c>
      <c r="I44" s="5">
        <v>3</v>
      </c>
      <c r="J44" s="11">
        <v>262.81</v>
      </c>
      <c r="N44"/>
      <c r="O44"/>
    </row>
    <row r="45" spans="1:15" x14ac:dyDescent="0.35">
      <c r="A45" s="5">
        <v>43</v>
      </c>
      <c r="B45" s="5" t="str">
        <f t="shared" si="10"/>
        <v>GA3</v>
      </c>
      <c r="C45" s="5" t="s">
        <v>219</v>
      </c>
      <c r="D45" s="6" t="s">
        <v>281</v>
      </c>
      <c r="E45" s="5" t="s">
        <v>289</v>
      </c>
      <c r="F45" s="6" t="s">
        <v>267</v>
      </c>
      <c r="G45" s="5" t="s">
        <v>216</v>
      </c>
      <c r="H45" s="5" t="s">
        <v>26</v>
      </c>
      <c r="I45" s="5">
        <v>3</v>
      </c>
      <c r="J45" s="11">
        <v>263.74</v>
      </c>
      <c r="N45"/>
      <c r="O45"/>
    </row>
    <row r="46" spans="1:15" x14ac:dyDescent="0.35">
      <c r="A46" s="5">
        <v>44</v>
      </c>
      <c r="B46" s="5" t="str">
        <f t="shared" si="10"/>
        <v>GA3</v>
      </c>
      <c r="C46" s="5" t="s">
        <v>219</v>
      </c>
      <c r="D46" s="6" t="s">
        <v>281</v>
      </c>
      <c r="E46" s="5" t="s">
        <v>290</v>
      </c>
      <c r="F46" s="6" t="s">
        <v>268</v>
      </c>
      <c r="G46" s="5" t="s">
        <v>216</v>
      </c>
      <c r="H46" s="5" t="s">
        <v>26</v>
      </c>
      <c r="I46" s="5">
        <v>3</v>
      </c>
      <c r="J46" s="11">
        <v>264.04000000000002</v>
      </c>
      <c r="N46"/>
      <c r="O46"/>
    </row>
    <row r="47" spans="1:15" x14ac:dyDescent="0.35">
      <c r="A47" s="5">
        <v>45</v>
      </c>
      <c r="B47" s="5" t="str">
        <f t="shared" si="10"/>
        <v>GA3</v>
      </c>
      <c r="C47" s="5" t="s">
        <v>219</v>
      </c>
      <c r="D47" s="6" t="s">
        <v>270</v>
      </c>
      <c r="E47" s="5" t="s">
        <v>273</v>
      </c>
      <c r="F47" s="6" t="s">
        <v>274</v>
      </c>
      <c r="G47" s="5" t="s">
        <v>216</v>
      </c>
      <c r="H47" s="5" t="s">
        <v>26</v>
      </c>
      <c r="I47" s="5">
        <v>3</v>
      </c>
      <c r="J47" s="11">
        <v>266.2</v>
      </c>
      <c r="N47"/>
      <c r="O47"/>
    </row>
    <row r="48" spans="1:15" x14ac:dyDescent="0.35">
      <c r="A48" s="5">
        <v>46</v>
      </c>
      <c r="B48" s="5" t="str">
        <f t="shared" si="10"/>
        <v>GA3</v>
      </c>
      <c r="C48" s="5" t="s">
        <v>219</v>
      </c>
      <c r="D48" s="6" t="s">
        <v>281</v>
      </c>
      <c r="E48" s="5" t="s">
        <v>291</v>
      </c>
      <c r="F48" s="6" t="s">
        <v>214</v>
      </c>
      <c r="G48" s="5" t="s">
        <v>216</v>
      </c>
      <c r="H48" s="5" t="s">
        <v>26</v>
      </c>
      <c r="I48" s="5">
        <v>3</v>
      </c>
      <c r="J48" s="11">
        <v>267.73</v>
      </c>
      <c r="N48"/>
      <c r="O48"/>
    </row>
    <row r="49" spans="1:15" x14ac:dyDescent="0.35">
      <c r="A49" s="5">
        <v>47</v>
      </c>
      <c r="B49" s="5" t="str">
        <f t="shared" si="10"/>
        <v>GA3</v>
      </c>
      <c r="C49" s="5" t="s">
        <v>219</v>
      </c>
      <c r="D49" s="6" t="s">
        <v>297</v>
      </c>
      <c r="E49" s="5" t="s">
        <v>302</v>
      </c>
      <c r="F49" s="6" t="s">
        <v>303</v>
      </c>
      <c r="G49" s="5" t="s">
        <v>216</v>
      </c>
      <c r="H49" s="5" t="s">
        <v>26</v>
      </c>
      <c r="I49" s="5">
        <v>3</v>
      </c>
      <c r="J49" s="11">
        <v>273</v>
      </c>
      <c r="N49"/>
      <c r="O49"/>
    </row>
    <row r="50" spans="1:15" x14ac:dyDescent="0.35">
      <c r="A50" s="5">
        <v>48</v>
      </c>
      <c r="B50" s="5" t="str">
        <f t="shared" si="10"/>
        <v>GA3</v>
      </c>
      <c r="C50" s="5" t="s">
        <v>219</v>
      </c>
      <c r="D50" s="6" t="s">
        <v>281</v>
      </c>
      <c r="E50" s="5" t="s">
        <v>292</v>
      </c>
      <c r="F50" s="6" t="s">
        <v>269</v>
      </c>
      <c r="G50" s="5" t="s">
        <v>216</v>
      </c>
      <c r="H50" s="5" t="s">
        <v>26</v>
      </c>
      <c r="I50" s="5">
        <v>3</v>
      </c>
      <c r="J50" s="11">
        <v>273.27</v>
      </c>
      <c r="N50"/>
      <c r="O50"/>
    </row>
    <row r="51" spans="1:15" x14ac:dyDescent="0.35">
      <c r="A51" s="5">
        <v>49</v>
      </c>
      <c r="B51" s="5" t="str">
        <f t="shared" si="10"/>
        <v>GA3</v>
      </c>
      <c r="C51" s="5" t="s">
        <v>219</v>
      </c>
      <c r="D51" s="6" t="s">
        <v>270</v>
      </c>
      <c r="E51" s="5" t="s">
        <v>275</v>
      </c>
      <c r="F51" s="6" t="s">
        <v>276</v>
      </c>
      <c r="G51" s="5" t="s">
        <v>216</v>
      </c>
      <c r="H51" s="5" t="s">
        <v>26</v>
      </c>
      <c r="I51" s="5">
        <v>3</v>
      </c>
      <c r="J51" s="11">
        <v>273.62</v>
      </c>
      <c r="N51"/>
      <c r="O51"/>
    </row>
    <row r="52" spans="1:15" x14ac:dyDescent="0.35">
      <c r="A52" s="5">
        <v>50</v>
      </c>
      <c r="B52" s="5" t="str">
        <f t="shared" si="10"/>
        <v>GA3</v>
      </c>
      <c r="C52" s="5" t="s">
        <v>219</v>
      </c>
      <c r="D52" s="6" t="s">
        <v>270</v>
      </c>
      <c r="E52" s="5" t="s">
        <v>277</v>
      </c>
      <c r="F52" s="6" t="s">
        <v>278</v>
      </c>
      <c r="G52" s="5" t="s">
        <v>216</v>
      </c>
      <c r="H52" s="5" t="s">
        <v>26</v>
      </c>
      <c r="I52" s="5">
        <v>3</v>
      </c>
      <c r="J52" s="11">
        <v>273.62</v>
      </c>
      <c r="N52"/>
      <c r="O52"/>
    </row>
    <row r="53" spans="1:15" x14ac:dyDescent="0.35">
      <c r="A53" s="5">
        <v>51</v>
      </c>
      <c r="B53" s="5" t="str">
        <f t="shared" si="10"/>
        <v>GA3</v>
      </c>
      <c r="C53" s="5" t="s">
        <v>219</v>
      </c>
      <c r="D53" s="6" t="s">
        <v>270</v>
      </c>
      <c r="E53" s="5" t="s">
        <v>279</v>
      </c>
      <c r="F53" s="6" t="s">
        <v>280</v>
      </c>
      <c r="G53" s="5" t="s">
        <v>216</v>
      </c>
      <c r="H53" s="5" t="s">
        <v>26</v>
      </c>
      <c r="I53" s="5">
        <v>3</v>
      </c>
      <c r="J53" s="11">
        <v>276.68</v>
      </c>
      <c r="N53"/>
      <c r="O53"/>
    </row>
    <row r="54" spans="1:15" x14ac:dyDescent="0.35">
      <c r="A54" s="5">
        <v>52</v>
      </c>
      <c r="B54" s="5" t="str">
        <f t="shared" si="10"/>
        <v>GA3</v>
      </c>
      <c r="C54" s="5" t="s">
        <v>219</v>
      </c>
      <c r="D54" s="6" t="s">
        <v>281</v>
      </c>
      <c r="E54" s="5" t="s">
        <v>293</v>
      </c>
      <c r="F54" s="6" t="s">
        <v>215</v>
      </c>
      <c r="G54" s="5" t="s">
        <v>216</v>
      </c>
      <c r="H54" s="5" t="s">
        <v>26</v>
      </c>
      <c r="I54" s="5">
        <v>3</v>
      </c>
      <c r="J54" s="11">
        <v>277.10000000000002</v>
      </c>
      <c r="N54"/>
      <c r="O54"/>
    </row>
    <row r="55" spans="1:15" x14ac:dyDescent="0.35">
      <c r="A55" s="5">
        <v>53</v>
      </c>
      <c r="B55" s="5" t="str">
        <f t="shared" si="10"/>
        <v>GA4</v>
      </c>
      <c r="C55" s="5" t="s">
        <v>219</v>
      </c>
      <c r="D55" s="6" t="s">
        <v>294</v>
      </c>
      <c r="E55" s="5" t="s">
        <v>295</v>
      </c>
      <c r="F55" s="6" t="s">
        <v>296</v>
      </c>
      <c r="G55" s="5" t="s">
        <v>211</v>
      </c>
      <c r="H55" s="5" t="s">
        <v>48</v>
      </c>
      <c r="I55" s="5">
        <v>4</v>
      </c>
      <c r="J55" s="11">
        <v>213.74</v>
      </c>
      <c r="N55"/>
      <c r="O55"/>
    </row>
    <row r="56" spans="1:15" x14ac:dyDescent="0.35">
      <c r="A56" s="5">
        <v>54</v>
      </c>
      <c r="B56" s="5" t="str">
        <f t="shared" si="10"/>
        <v>GA4</v>
      </c>
      <c r="C56" s="5" t="s">
        <v>219</v>
      </c>
      <c r="D56" s="6" t="s">
        <v>297</v>
      </c>
      <c r="E56" s="5" t="s">
        <v>298</v>
      </c>
      <c r="F56" s="6" t="s">
        <v>299</v>
      </c>
      <c r="G56" s="5" t="s">
        <v>216</v>
      </c>
      <c r="H56" s="5" t="s">
        <v>48</v>
      </c>
      <c r="I56" s="5">
        <v>4</v>
      </c>
      <c r="J56" s="11">
        <v>243</v>
      </c>
      <c r="N56"/>
      <c r="O56"/>
    </row>
    <row r="57" spans="1:15" x14ac:dyDescent="0.35">
      <c r="A57" s="5">
        <v>55</v>
      </c>
      <c r="B57" s="5" t="str">
        <f t="shared" si="10"/>
        <v>GA4</v>
      </c>
      <c r="C57" s="5" t="s">
        <v>219</v>
      </c>
      <c r="D57" s="6" t="s">
        <v>297</v>
      </c>
      <c r="E57" s="5" t="s">
        <v>300</v>
      </c>
      <c r="F57" s="6" t="s">
        <v>301</v>
      </c>
      <c r="G57" s="5" t="s">
        <v>216</v>
      </c>
      <c r="H57" s="5" t="s">
        <v>48</v>
      </c>
      <c r="I57" s="5">
        <v>4</v>
      </c>
      <c r="J57" s="11">
        <v>258</v>
      </c>
      <c r="N57"/>
      <c r="O57"/>
    </row>
    <row r="58" spans="1:15" x14ac:dyDescent="0.35">
      <c r="A58" s="5">
        <v>56</v>
      </c>
      <c r="B58" s="5" t="str">
        <f t="shared" si="10"/>
        <v>GA4</v>
      </c>
      <c r="C58" s="5" t="s">
        <v>219</v>
      </c>
      <c r="D58" s="6" t="s">
        <v>297</v>
      </c>
      <c r="E58" s="5" t="s">
        <v>302</v>
      </c>
      <c r="F58" s="6" t="s">
        <v>303</v>
      </c>
      <c r="G58" s="5" t="s">
        <v>216</v>
      </c>
      <c r="H58" s="5" t="s">
        <v>48</v>
      </c>
      <c r="I58" s="5">
        <v>4</v>
      </c>
      <c r="J58" s="11">
        <v>273</v>
      </c>
      <c r="N58"/>
      <c r="O58"/>
    </row>
    <row r="59" spans="1:15" x14ac:dyDescent="0.35">
      <c r="A59" s="5">
        <v>57</v>
      </c>
      <c r="B59" s="5" t="str">
        <f t="shared" si="10"/>
        <v>GA4</v>
      </c>
      <c r="C59" s="5" t="s">
        <v>219</v>
      </c>
      <c r="D59" s="6" t="s">
        <v>304</v>
      </c>
      <c r="E59" s="5" t="s">
        <v>305</v>
      </c>
      <c r="F59" s="6" t="s">
        <v>306</v>
      </c>
      <c r="G59" s="5" t="s">
        <v>201</v>
      </c>
      <c r="H59" s="5" t="s">
        <v>48</v>
      </c>
      <c r="I59" s="5">
        <v>4</v>
      </c>
      <c r="J59" s="11">
        <v>294.45</v>
      </c>
      <c r="N59"/>
      <c r="O59"/>
    </row>
    <row r="60" spans="1:15" x14ac:dyDescent="0.35">
      <c r="A60" s="5">
        <v>58</v>
      </c>
      <c r="B60" s="5" t="str">
        <f t="shared" si="10"/>
        <v>GA4</v>
      </c>
      <c r="C60" s="5" t="s">
        <v>219</v>
      </c>
      <c r="D60" s="6" t="s">
        <v>304</v>
      </c>
      <c r="E60" s="5" t="s">
        <v>307</v>
      </c>
      <c r="F60" s="6" t="s">
        <v>306</v>
      </c>
      <c r="G60" s="5" t="s">
        <v>201</v>
      </c>
      <c r="H60" s="5" t="s">
        <v>48</v>
      </c>
      <c r="I60" s="5">
        <v>4</v>
      </c>
      <c r="J60" s="11">
        <v>306.85000000000002</v>
      </c>
      <c r="N60"/>
      <c r="O60"/>
    </row>
    <row r="61" spans="1:15" x14ac:dyDescent="0.35">
      <c r="A61" s="5">
        <v>59</v>
      </c>
      <c r="B61" s="5" t="str">
        <f t="shared" si="10"/>
        <v>GA4</v>
      </c>
      <c r="C61" s="5" t="s">
        <v>219</v>
      </c>
      <c r="D61" s="6" t="s">
        <v>270</v>
      </c>
      <c r="E61" s="5" t="s">
        <v>271</v>
      </c>
      <c r="F61" s="6" t="s">
        <v>272</v>
      </c>
      <c r="G61" s="5" t="s">
        <v>216</v>
      </c>
      <c r="H61" s="5" t="s">
        <v>48</v>
      </c>
      <c r="I61" s="5">
        <v>4</v>
      </c>
      <c r="J61" s="11">
        <v>317.92</v>
      </c>
      <c r="N61"/>
      <c r="O61"/>
    </row>
    <row r="62" spans="1:15" x14ac:dyDescent="0.35">
      <c r="A62" s="5">
        <v>60</v>
      </c>
      <c r="B62" s="5" t="str">
        <f t="shared" si="10"/>
        <v>GA4</v>
      </c>
      <c r="C62" s="5" t="s">
        <v>219</v>
      </c>
      <c r="D62" s="6" t="s">
        <v>270</v>
      </c>
      <c r="E62" s="5" t="s">
        <v>273</v>
      </c>
      <c r="F62" s="6" t="s">
        <v>274</v>
      </c>
      <c r="G62" s="5" t="s">
        <v>216</v>
      </c>
      <c r="H62" s="5" t="s">
        <v>48</v>
      </c>
      <c r="I62" s="5">
        <v>4</v>
      </c>
      <c r="J62" s="11">
        <v>331.97</v>
      </c>
      <c r="N62"/>
      <c r="O62"/>
    </row>
    <row r="63" spans="1:15" x14ac:dyDescent="0.35">
      <c r="A63" s="5">
        <v>61</v>
      </c>
      <c r="B63" s="5" t="str">
        <f t="shared" si="10"/>
        <v>GA4</v>
      </c>
      <c r="C63" s="5" t="s">
        <v>219</v>
      </c>
      <c r="D63" s="6" t="s">
        <v>270</v>
      </c>
      <c r="E63" s="5" t="s">
        <v>275</v>
      </c>
      <c r="F63" s="6" t="s">
        <v>276</v>
      </c>
      <c r="G63" s="5" t="s">
        <v>216</v>
      </c>
      <c r="H63" s="5" t="s">
        <v>48</v>
      </c>
      <c r="I63" s="5">
        <v>4</v>
      </c>
      <c r="J63" s="11">
        <v>341.22</v>
      </c>
      <c r="N63"/>
      <c r="O63"/>
    </row>
    <row r="64" spans="1:15" x14ac:dyDescent="0.35">
      <c r="A64" s="5">
        <v>62</v>
      </c>
      <c r="B64" s="5" t="str">
        <f t="shared" si="10"/>
        <v>GA4</v>
      </c>
      <c r="C64" s="5" t="s">
        <v>219</v>
      </c>
      <c r="D64" s="6" t="s">
        <v>270</v>
      </c>
      <c r="E64" s="5" t="s">
        <v>277</v>
      </c>
      <c r="F64" s="6" t="s">
        <v>278</v>
      </c>
      <c r="G64" s="5" t="s">
        <v>216</v>
      </c>
      <c r="H64" s="5" t="s">
        <v>48</v>
      </c>
      <c r="I64" s="5">
        <v>4</v>
      </c>
      <c r="J64" s="11">
        <v>341.22</v>
      </c>
      <c r="N64"/>
      <c r="O64"/>
    </row>
    <row r="65" spans="1:15" x14ac:dyDescent="0.35">
      <c r="A65" s="5">
        <v>63</v>
      </c>
      <c r="B65" s="5" t="str">
        <f t="shared" si="10"/>
        <v>GA4</v>
      </c>
      <c r="C65" s="5" t="s">
        <v>219</v>
      </c>
      <c r="D65" s="6" t="s">
        <v>270</v>
      </c>
      <c r="E65" s="5" t="s">
        <v>279</v>
      </c>
      <c r="F65" s="6" t="s">
        <v>280</v>
      </c>
      <c r="G65" s="5" t="s">
        <v>216</v>
      </c>
      <c r="H65" s="5" t="s">
        <v>48</v>
      </c>
      <c r="I65" s="5">
        <v>4</v>
      </c>
      <c r="J65" s="11">
        <v>345.03</v>
      </c>
      <c r="N65"/>
      <c r="O65"/>
    </row>
    <row r="66" spans="1:15" x14ac:dyDescent="0.35">
      <c r="A66" s="5">
        <v>64</v>
      </c>
      <c r="B66" s="5" t="str">
        <f t="shared" si="10"/>
        <v>GA5</v>
      </c>
      <c r="C66" s="5" t="s">
        <v>219</v>
      </c>
      <c r="D66" s="6" t="s">
        <v>294</v>
      </c>
      <c r="E66" s="5" t="s">
        <v>295</v>
      </c>
      <c r="F66" s="6" t="s">
        <v>296</v>
      </c>
      <c r="G66" s="5" t="s">
        <v>211</v>
      </c>
      <c r="H66" s="5" t="s">
        <v>52</v>
      </c>
      <c r="I66" s="5">
        <v>5</v>
      </c>
      <c r="J66" s="11">
        <v>208.11</v>
      </c>
      <c r="N66"/>
      <c r="O66"/>
    </row>
    <row r="67" spans="1:15" x14ac:dyDescent="0.35">
      <c r="A67" s="5">
        <v>65</v>
      </c>
      <c r="B67" s="5" t="str">
        <f t="shared" si="10"/>
        <v>GA5</v>
      </c>
      <c r="C67" s="5" t="s">
        <v>219</v>
      </c>
      <c r="D67" s="6" t="s">
        <v>270</v>
      </c>
      <c r="E67" s="5" t="s">
        <v>271</v>
      </c>
      <c r="F67" s="6" t="s">
        <v>272</v>
      </c>
      <c r="G67" s="5" t="s">
        <v>216</v>
      </c>
      <c r="H67" s="5" t="s">
        <v>52</v>
      </c>
      <c r="I67" s="5">
        <v>5</v>
      </c>
      <c r="J67" s="11">
        <v>263.36</v>
      </c>
      <c r="N67"/>
      <c r="O67"/>
    </row>
    <row r="68" spans="1:15" x14ac:dyDescent="0.35">
      <c r="A68" s="5">
        <v>66</v>
      </c>
      <c r="B68" s="5" t="str">
        <f t="shared" si="10"/>
        <v>GA5</v>
      </c>
      <c r="C68" s="5" t="s">
        <v>219</v>
      </c>
      <c r="D68" s="6" t="s">
        <v>270</v>
      </c>
      <c r="E68" s="5" t="s">
        <v>273</v>
      </c>
      <c r="F68" s="6" t="s">
        <v>274</v>
      </c>
      <c r="G68" s="5" t="s">
        <v>216</v>
      </c>
      <c r="H68" s="5" t="s">
        <v>52</v>
      </c>
      <c r="I68" s="5">
        <v>5</v>
      </c>
      <c r="J68" s="11">
        <v>275</v>
      </c>
      <c r="N68"/>
      <c r="O68"/>
    </row>
    <row r="69" spans="1:15" x14ac:dyDescent="0.35">
      <c r="A69" s="5">
        <v>67</v>
      </c>
      <c r="B69" s="5" t="str">
        <f t="shared" si="10"/>
        <v>GA5</v>
      </c>
      <c r="C69" s="5" t="s">
        <v>219</v>
      </c>
      <c r="D69" s="6" t="s">
        <v>270</v>
      </c>
      <c r="E69" s="5" t="s">
        <v>275</v>
      </c>
      <c r="F69" s="6" t="s">
        <v>276</v>
      </c>
      <c r="G69" s="5" t="s">
        <v>216</v>
      </c>
      <c r="H69" s="5" t="s">
        <v>52</v>
      </c>
      <c r="I69" s="5">
        <v>5</v>
      </c>
      <c r="J69" s="11">
        <v>282.66000000000003</v>
      </c>
      <c r="N69"/>
      <c r="O69"/>
    </row>
    <row r="70" spans="1:15" x14ac:dyDescent="0.35">
      <c r="A70" s="5">
        <v>68</v>
      </c>
      <c r="B70" s="5" t="str">
        <f t="shared" si="10"/>
        <v>GA5</v>
      </c>
      <c r="C70" s="5" t="s">
        <v>219</v>
      </c>
      <c r="D70" s="6" t="s">
        <v>270</v>
      </c>
      <c r="E70" s="5" t="s">
        <v>277</v>
      </c>
      <c r="F70" s="6" t="s">
        <v>278</v>
      </c>
      <c r="G70" s="5" t="s">
        <v>216</v>
      </c>
      <c r="H70" s="5" t="s">
        <v>52</v>
      </c>
      <c r="I70" s="5">
        <v>5</v>
      </c>
      <c r="J70" s="11">
        <v>282.66000000000003</v>
      </c>
      <c r="N70"/>
      <c r="O70"/>
    </row>
    <row r="71" spans="1:15" x14ac:dyDescent="0.35">
      <c r="A71" s="5">
        <v>69</v>
      </c>
      <c r="B71" s="5" t="str">
        <f t="shared" si="10"/>
        <v>GA5</v>
      </c>
      <c r="C71" s="5" t="s">
        <v>219</v>
      </c>
      <c r="D71" s="6" t="s">
        <v>270</v>
      </c>
      <c r="E71" s="5" t="s">
        <v>279</v>
      </c>
      <c r="F71" s="6" t="s">
        <v>280</v>
      </c>
      <c r="G71" s="5" t="s">
        <v>216</v>
      </c>
      <c r="H71" s="5" t="s">
        <v>52</v>
      </c>
      <c r="I71" s="5">
        <v>5</v>
      </c>
      <c r="J71" s="11">
        <v>285.82</v>
      </c>
      <c r="N71"/>
      <c r="O71"/>
    </row>
    <row r="72" spans="1:15" x14ac:dyDescent="0.35">
      <c r="A72" s="5">
        <v>70</v>
      </c>
      <c r="B72" s="5" t="str">
        <f t="shared" si="10"/>
        <v>GA6</v>
      </c>
      <c r="C72" s="5" t="s">
        <v>219</v>
      </c>
      <c r="D72" s="6" t="s">
        <v>294</v>
      </c>
      <c r="E72" s="5" t="s">
        <v>295</v>
      </c>
      <c r="F72" s="6" t="s">
        <v>296</v>
      </c>
      <c r="G72" s="5" t="s">
        <v>211</v>
      </c>
      <c r="H72" s="5" t="s">
        <v>65</v>
      </c>
      <c r="I72" s="5">
        <v>6</v>
      </c>
      <c r="J72" s="11">
        <v>198.65</v>
      </c>
      <c r="N72"/>
      <c r="O72"/>
    </row>
    <row r="73" spans="1:15" x14ac:dyDescent="0.35">
      <c r="A73" s="5">
        <v>71</v>
      </c>
      <c r="B73" s="5" t="str">
        <f t="shared" si="10"/>
        <v>GA6</v>
      </c>
      <c r="C73" s="5" t="s">
        <v>219</v>
      </c>
      <c r="D73" s="6" t="s">
        <v>270</v>
      </c>
      <c r="E73" s="5" t="s">
        <v>271</v>
      </c>
      <c r="F73" s="6" t="s">
        <v>272</v>
      </c>
      <c r="G73" s="5" t="s">
        <v>216</v>
      </c>
      <c r="H73" s="5" t="s">
        <v>65</v>
      </c>
      <c r="I73" s="5">
        <v>6</v>
      </c>
      <c r="J73" s="11">
        <v>333.69</v>
      </c>
      <c r="N73"/>
      <c r="O73"/>
    </row>
    <row r="74" spans="1:15" x14ac:dyDescent="0.35">
      <c r="A74" s="5">
        <v>72</v>
      </c>
      <c r="B74" s="5" t="str">
        <f t="shared" si="10"/>
        <v>GA6</v>
      </c>
      <c r="C74" s="5" t="s">
        <v>219</v>
      </c>
      <c r="D74" s="6" t="s">
        <v>270</v>
      </c>
      <c r="E74" s="5" t="s">
        <v>273</v>
      </c>
      <c r="F74" s="6" t="s">
        <v>274</v>
      </c>
      <c r="G74" s="5" t="s">
        <v>216</v>
      </c>
      <c r="H74" s="5" t="s">
        <v>65</v>
      </c>
      <c r="I74" s="5">
        <v>6</v>
      </c>
      <c r="J74" s="11">
        <v>348.45</v>
      </c>
      <c r="N74"/>
      <c r="O74"/>
    </row>
    <row r="75" spans="1:15" x14ac:dyDescent="0.35">
      <c r="A75" s="5">
        <v>73</v>
      </c>
      <c r="B75" s="5" t="str">
        <f t="shared" si="10"/>
        <v>GA6</v>
      </c>
      <c r="C75" s="5" t="s">
        <v>219</v>
      </c>
      <c r="D75" s="6" t="s">
        <v>270</v>
      </c>
      <c r="E75" s="5" t="s">
        <v>275</v>
      </c>
      <c r="F75" s="6" t="s">
        <v>276</v>
      </c>
      <c r="G75" s="5" t="s">
        <v>216</v>
      </c>
      <c r="H75" s="5" t="s">
        <v>65</v>
      </c>
      <c r="I75" s="5">
        <v>6</v>
      </c>
      <c r="J75" s="11">
        <v>358.15</v>
      </c>
      <c r="N75"/>
      <c r="O75"/>
    </row>
    <row r="76" spans="1:15" x14ac:dyDescent="0.35">
      <c r="A76" s="5">
        <v>74</v>
      </c>
      <c r="B76" s="5" t="str">
        <f t="shared" si="10"/>
        <v>GA6</v>
      </c>
      <c r="C76" s="5" t="s">
        <v>219</v>
      </c>
      <c r="D76" s="6" t="s">
        <v>270</v>
      </c>
      <c r="E76" s="5" t="s">
        <v>277</v>
      </c>
      <c r="F76" s="6" t="s">
        <v>278</v>
      </c>
      <c r="G76" s="5" t="s">
        <v>216</v>
      </c>
      <c r="H76" s="5" t="s">
        <v>65</v>
      </c>
      <c r="I76" s="5">
        <v>6</v>
      </c>
      <c r="J76" s="11">
        <v>358.15</v>
      </c>
      <c r="N76"/>
      <c r="O76"/>
    </row>
    <row r="77" spans="1:15" x14ac:dyDescent="0.35">
      <c r="A77" s="5">
        <v>75</v>
      </c>
      <c r="B77" s="5" t="str">
        <f t="shared" si="10"/>
        <v>GA6</v>
      </c>
      <c r="C77" s="5" t="s">
        <v>219</v>
      </c>
      <c r="D77" s="6" t="s">
        <v>270</v>
      </c>
      <c r="E77" s="5" t="s">
        <v>279</v>
      </c>
      <c r="F77" s="6" t="s">
        <v>280</v>
      </c>
      <c r="G77" s="5" t="s">
        <v>216</v>
      </c>
      <c r="H77" s="5" t="s">
        <v>65</v>
      </c>
      <c r="I77" s="5">
        <v>6</v>
      </c>
      <c r="J77" s="11">
        <v>362.16</v>
      </c>
      <c r="N77"/>
      <c r="O77"/>
    </row>
    <row r="78" spans="1:15" x14ac:dyDescent="0.35">
      <c r="A78" s="5">
        <v>76</v>
      </c>
      <c r="B78" s="5" t="str">
        <f t="shared" si="10"/>
        <v>GA7</v>
      </c>
      <c r="C78" s="5" t="s">
        <v>219</v>
      </c>
      <c r="D78" s="6" t="s">
        <v>304</v>
      </c>
      <c r="E78" s="5" t="s">
        <v>305</v>
      </c>
      <c r="F78" s="6" t="s">
        <v>306</v>
      </c>
      <c r="G78" s="5" t="s">
        <v>201</v>
      </c>
      <c r="H78" s="5" t="s">
        <v>75</v>
      </c>
      <c r="I78" s="5">
        <v>7</v>
      </c>
      <c r="J78" s="11">
        <v>275.19</v>
      </c>
      <c r="N78"/>
      <c r="O78"/>
    </row>
    <row r="79" spans="1:15" x14ac:dyDescent="0.35">
      <c r="A79" s="5">
        <v>77</v>
      </c>
      <c r="B79" s="5" t="str">
        <f t="shared" si="10"/>
        <v>GA7</v>
      </c>
      <c r="C79" s="5" t="s">
        <v>219</v>
      </c>
      <c r="D79" s="6" t="s">
        <v>304</v>
      </c>
      <c r="E79" s="5" t="s">
        <v>307</v>
      </c>
      <c r="F79" s="6" t="s">
        <v>306</v>
      </c>
      <c r="G79" s="5" t="s">
        <v>201</v>
      </c>
      <c r="H79" s="5" t="s">
        <v>75</v>
      </c>
      <c r="I79" s="5">
        <v>7</v>
      </c>
      <c r="J79" s="11">
        <v>286.77</v>
      </c>
      <c r="N79"/>
      <c r="O79"/>
    </row>
    <row r="80" spans="1:15" x14ac:dyDescent="0.35">
      <c r="A80" s="5">
        <v>78</v>
      </c>
      <c r="B80" s="5" t="str">
        <f t="shared" si="10"/>
        <v>GA7</v>
      </c>
      <c r="C80" s="5" t="s">
        <v>219</v>
      </c>
      <c r="D80" s="6" t="s">
        <v>270</v>
      </c>
      <c r="E80" s="5" t="s">
        <v>271</v>
      </c>
      <c r="F80" s="6" t="s">
        <v>272</v>
      </c>
      <c r="G80" s="5" t="s">
        <v>216</v>
      </c>
      <c r="H80" s="5" t="s">
        <v>75</v>
      </c>
      <c r="I80" s="5">
        <v>7</v>
      </c>
      <c r="J80" s="11">
        <v>292.02</v>
      </c>
      <c r="N80"/>
      <c r="O80"/>
    </row>
    <row r="81" spans="1:15" x14ac:dyDescent="0.35">
      <c r="A81" s="5">
        <v>79</v>
      </c>
      <c r="B81" s="5" t="str">
        <f t="shared" si="10"/>
        <v>GA7</v>
      </c>
      <c r="C81" s="5" t="s">
        <v>219</v>
      </c>
      <c r="D81" s="6" t="s">
        <v>270</v>
      </c>
      <c r="E81" s="5" t="s">
        <v>273</v>
      </c>
      <c r="F81" s="6" t="s">
        <v>274</v>
      </c>
      <c r="G81" s="5" t="s">
        <v>216</v>
      </c>
      <c r="H81" s="5" t="s">
        <v>75</v>
      </c>
      <c r="I81" s="5">
        <v>7</v>
      </c>
      <c r="J81" s="11">
        <v>304.93</v>
      </c>
      <c r="N81"/>
      <c r="O81"/>
    </row>
    <row r="82" spans="1:15" x14ac:dyDescent="0.35">
      <c r="A82" s="5">
        <v>80</v>
      </c>
      <c r="B82" s="5" t="str">
        <f t="shared" ref="B82:B145" si="11">CONCATENATE(C82,I82)</f>
        <v>GA7</v>
      </c>
      <c r="C82" s="5" t="s">
        <v>219</v>
      </c>
      <c r="D82" s="6" t="s">
        <v>270</v>
      </c>
      <c r="E82" s="5" t="s">
        <v>275</v>
      </c>
      <c r="F82" s="6" t="s">
        <v>276</v>
      </c>
      <c r="G82" s="5" t="s">
        <v>216</v>
      </c>
      <c r="H82" s="5" t="s">
        <v>75</v>
      </c>
      <c r="I82" s="5">
        <v>7</v>
      </c>
      <c r="J82" s="11">
        <v>313.41000000000003</v>
      </c>
      <c r="N82"/>
      <c r="O82"/>
    </row>
    <row r="83" spans="1:15" x14ac:dyDescent="0.35">
      <c r="A83" s="5">
        <v>81</v>
      </c>
      <c r="B83" s="5" t="str">
        <f t="shared" si="11"/>
        <v>GA7</v>
      </c>
      <c r="C83" s="5" t="s">
        <v>219</v>
      </c>
      <c r="D83" s="6" t="s">
        <v>270</v>
      </c>
      <c r="E83" s="5" t="s">
        <v>277</v>
      </c>
      <c r="F83" s="6" t="s">
        <v>278</v>
      </c>
      <c r="G83" s="5" t="s">
        <v>216</v>
      </c>
      <c r="H83" s="5" t="s">
        <v>75</v>
      </c>
      <c r="I83" s="5">
        <v>7</v>
      </c>
      <c r="J83" s="11">
        <v>313.41000000000003</v>
      </c>
      <c r="N83"/>
      <c r="O83"/>
    </row>
    <row r="84" spans="1:15" x14ac:dyDescent="0.35">
      <c r="A84" s="5">
        <v>82</v>
      </c>
      <c r="B84" s="5" t="str">
        <f t="shared" si="11"/>
        <v>GA7</v>
      </c>
      <c r="C84" s="5" t="s">
        <v>219</v>
      </c>
      <c r="D84" s="6" t="s">
        <v>270</v>
      </c>
      <c r="E84" s="5" t="s">
        <v>279</v>
      </c>
      <c r="F84" s="6" t="s">
        <v>280</v>
      </c>
      <c r="G84" s="5" t="s">
        <v>216</v>
      </c>
      <c r="H84" s="5" t="s">
        <v>75</v>
      </c>
      <c r="I84" s="5">
        <v>7</v>
      </c>
      <c r="J84" s="11">
        <v>316.93</v>
      </c>
      <c r="N84"/>
      <c r="O84"/>
    </row>
    <row r="85" spans="1:15" x14ac:dyDescent="0.35">
      <c r="A85" s="5">
        <v>83</v>
      </c>
      <c r="B85" s="5" t="str">
        <f t="shared" si="11"/>
        <v>GA8</v>
      </c>
      <c r="C85" s="5" t="s">
        <v>219</v>
      </c>
      <c r="D85" s="6" t="s">
        <v>294</v>
      </c>
      <c r="E85" s="5" t="s">
        <v>309</v>
      </c>
      <c r="F85" s="6" t="s">
        <v>224</v>
      </c>
      <c r="G85" s="5" t="s">
        <v>216</v>
      </c>
      <c r="H85" s="5" t="s">
        <v>79</v>
      </c>
      <c r="I85" s="5">
        <v>8</v>
      </c>
      <c r="J85" s="11">
        <v>198.15</v>
      </c>
      <c r="N85"/>
      <c r="O85"/>
    </row>
    <row r="86" spans="1:15" x14ac:dyDescent="0.35">
      <c r="A86" s="5">
        <v>84</v>
      </c>
      <c r="B86" s="5" t="str">
        <f t="shared" si="11"/>
        <v>GA8</v>
      </c>
      <c r="C86" s="5" t="s">
        <v>219</v>
      </c>
      <c r="D86" s="6" t="s">
        <v>294</v>
      </c>
      <c r="E86" s="5" t="s">
        <v>295</v>
      </c>
      <c r="F86" s="6" t="s">
        <v>296</v>
      </c>
      <c r="G86" s="5" t="s">
        <v>211</v>
      </c>
      <c r="H86" s="5" t="s">
        <v>79</v>
      </c>
      <c r="I86" s="5">
        <v>8</v>
      </c>
      <c r="J86" s="11">
        <v>209.13</v>
      </c>
      <c r="N86"/>
      <c r="O86"/>
    </row>
    <row r="87" spans="1:15" x14ac:dyDescent="0.35">
      <c r="A87" s="5">
        <v>85</v>
      </c>
      <c r="B87" s="5" t="str">
        <f t="shared" si="11"/>
        <v>GA8</v>
      </c>
      <c r="C87" s="5" t="s">
        <v>219</v>
      </c>
      <c r="D87" s="6" t="s">
        <v>281</v>
      </c>
      <c r="E87" s="5" t="s">
        <v>282</v>
      </c>
      <c r="F87" s="6" t="s">
        <v>261</v>
      </c>
      <c r="G87" s="5" t="s">
        <v>216</v>
      </c>
      <c r="H87" s="5" t="s">
        <v>79</v>
      </c>
      <c r="I87" s="5">
        <v>8</v>
      </c>
      <c r="J87" s="11">
        <v>216.66</v>
      </c>
      <c r="N87"/>
      <c r="O87"/>
    </row>
    <row r="88" spans="1:15" x14ac:dyDescent="0.35">
      <c r="A88" s="5">
        <v>86</v>
      </c>
      <c r="B88" s="5" t="str">
        <f t="shared" si="11"/>
        <v>GA8</v>
      </c>
      <c r="C88" s="5" t="s">
        <v>219</v>
      </c>
      <c r="D88" s="6" t="s">
        <v>281</v>
      </c>
      <c r="E88" s="5" t="s">
        <v>283</v>
      </c>
      <c r="F88" s="6" t="s">
        <v>262</v>
      </c>
      <c r="G88" s="5" t="s">
        <v>216</v>
      </c>
      <c r="H88" s="5" t="s">
        <v>79</v>
      </c>
      <c r="I88" s="5">
        <v>8</v>
      </c>
      <c r="J88" s="11">
        <v>219.38</v>
      </c>
      <c r="N88"/>
      <c r="O88"/>
    </row>
    <row r="89" spans="1:15" x14ac:dyDescent="0.35">
      <c r="A89" s="5">
        <v>87</v>
      </c>
      <c r="B89" s="5" t="str">
        <f t="shared" si="11"/>
        <v>GA8</v>
      </c>
      <c r="C89" s="5" t="s">
        <v>219</v>
      </c>
      <c r="D89" s="6" t="s">
        <v>281</v>
      </c>
      <c r="E89" s="5" t="s">
        <v>284</v>
      </c>
      <c r="F89" s="6" t="s">
        <v>263</v>
      </c>
      <c r="G89" s="5" t="s">
        <v>216</v>
      </c>
      <c r="H89" s="5" t="s">
        <v>79</v>
      </c>
      <c r="I89" s="5">
        <v>8</v>
      </c>
      <c r="J89" s="11">
        <v>220.71</v>
      </c>
      <c r="N89"/>
      <c r="O89"/>
    </row>
    <row r="90" spans="1:15" x14ac:dyDescent="0.35">
      <c r="A90" s="5">
        <v>88</v>
      </c>
      <c r="B90" s="5" t="str">
        <f t="shared" si="11"/>
        <v>GA8</v>
      </c>
      <c r="C90" s="5" t="s">
        <v>219</v>
      </c>
      <c r="D90" s="6" t="s">
        <v>281</v>
      </c>
      <c r="E90" s="5" t="s">
        <v>285</v>
      </c>
      <c r="F90" s="6" t="s">
        <v>264</v>
      </c>
      <c r="G90" s="5" t="s">
        <v>216</v>
      </c>
      <c r="H90" s="5" t="s">
        <v>79</v>
      </c>
      <c r="I90" s="5">
        <v>8</v>
      </c>
      <c r="J90" s="11">
        <v>223.49</v>
      </c>
      <c r="N90"/>
      <c r="O90"/>
    </row>
    <row r="91" spans="1:15" x14ac:dyDescent="0.35">
      <c r="A91" s="5">
        <v>89</v>
      </c>
      <c r="B91" s="5" t="str">
        <f t="shared" si="11"/>
        <v>GA8</v>
      </c>
      <c r="C91" s="5" t="s">
        <v>219</v>
      </c>
      <c r="D91" s="6" t="s">
        <v>281</v>
      </c>
      <c r="E91" s="5" t="s">
        <v>286</v>
      </c>
      <c r="F91" s="6" t="s">
        <v>265</v>
      </c>
      <c r="G91" s="5" t="s">
        <v>216</v>
      </c>
      <c r="H91" s="5" t="s">
        <v>79</v>
      </c>
      <c r="I91" s="5">
        <v>8</v>
      </c>
      <c r="J91" s="11">
        <v>227.32</v>
      </c>
      <c r="N91"/>
      <c r="O91"/>
    </row>
    <row r="92" spans="1:15" x14ac:dyDescent="0.35">
      <c r="A92" s="5">
        <v>90</v>
      </c>
      <c r="B92" s="5" t="str">
        <f t="shared" si="11"/>
        <v>GA8</v>
      </c>
      <c r="C92" s="5" t="s">
        <v>219</v>
      </c>
      <c r="D92" s="6" t="s">
        <v>281</v>
      </c>
      <c r="E92" s="5" t="s">
        <v>287</v>
      </c>
      <c r="F92" s="6" t="s">
        <v>266</v>
      </c>
      <c r="G92" s="5" t="s">
        <v>216</v>
      </c>
      <c r="H92" s="5" t="s">
        <v>79</v>
      </c>
      <c r="I92" s="5">
        <v>8</v>
      </c>
      <c r="J92" s="11">
        <v>228.44</v>
      </c>
      <c r="N92"/>
      <c r="O92"/>
    </row>
    <row r="93" spans="1:15" x14ac:dyDescent="0.35">
      <c r="A93" s="5">
        <v>91</v>
      </c>
      <c r="B93" s="5" t="str">
        <f t="shared" si="11"/>
        <v>GA8</v>
      </c>
      <c r="C93" s="5" t="s">
        <v>219</v>
      </c>
      <c r="D93" s="6" t="s">
        <v>281</v>
      </c>
      <c r="E93" s="5" t="s">
        <v>288</v>
      </c>
      <c r="F93" s="6" t="s">
        <v>213</v>
      </c>
      <c r="G93" s="5" t="s">
        <v>216</v>
      </c>
      <c r="H93" s="5" t="s">
        <v>79</v>
      </c>
      <c r="I93" s="5">
        <v>8</v>
      </c>
      <c r="J93" s="11">
        <v>230.5</v>
      </c>
      <c r="N93"/>
      <c r="O93"/>
    </row>
    <row r="94" spans="1:15" x14ac:dyDescent="0.35">
      <c r="A94" s="5">
        <v>92</v>
      </c>
      <c r="B94" s="5" t="str">
        <f t="shared" si="11"/>
        <v>GA8</v>
      </c>
      <c r="C94" s="5" t="s">
        <v>219</v>
      </c>
      <c r="D94" s="6" t="s">
        <v>281</v>
      </c>
      <c r="E94" s="5" t="s">
        <v>289</v>
      </c>
      <c r="F94" s="6" t="s">
        <v>267</v>
      </c>
      <c r="G94" s="5" t="s">
        <v>216</v>
      </c>
      <c r="H94" s="5" t="s">
        <v>79</v>
      </c>
      <c r="I94" s="5">
        <v>8</v>
      </c>
      <c r="J94" s="11">
        <v>231.31</v>
      </c>
      <c r="N94"/>
      <c r="O94"/>
    </row>
    <row r="95" spans="1:15" x14ac:dyDescent="0.35">
      <c r="A95" s="5">
        <v>93</v>
      </c>
      <c r="B95" s="5" t="str">
        <f t="shared" si="11"/>
        <v>GA8</v>
      </c>
      <c r="C95" s="5" t="s">
        <v>219</v>
      </c>
      <c r="D95" s="6" t="s">
        <v>281</v>
      </c>
      <c r="E95" s="5" t="s">
        <v>290</v>
      </c>
      <c r="F95" s="6" t="s">
        <v>268</v>
      </c>
      <c r="G95" s="5" t="s">
        <v>216</v>
      </c>
      <c r="H95" s="5" t="s">
        <v>79</v>
      </c>
      <c r="I95" s="5">
        <v>8</v>
      </c>
      <c r="J95" s="11">
        <v>231.58</v>
      </c>
      <c r="N95"/>
      <c r="O95"/>
    </row>
    <row r="96" spans="1:15" x14ac:dyDescent="0.35">
      <c r="A96" s="5">
        <v>94</v>
      </c>
      <c r="B96" s="5" t="str">
        <f t="shared" si="11"/>
        <v>GA8</v>
      </c>
      <c r="C96" s="5" t="s">
        <v>219</v>
      </c>
      <c r="D96" s="6" t="s">
        <v>281</v>
      </c>
      <c r="E96" s="5" t="s">
        <v>291</v>
      </c>
      <c r="F96" s="6" t="s">
        <v>214</v>
      </c>
      <c r="G96" s="5" t="s">
        <v>216</v>
      </c>
      <c r="H96" s="5" t="s">
        <v>79</v>
      </c>
      <c r="I96" s="5">
        <v>8</v>
      </c>
      <c r="J96" s="11">
        <v>234.81</v>
      </c>
      <c r="N96"/>
      <c r="O96"/>
    </row>
    <row r="97" spans="1:15" x14ac:dyDescent="0.35">
      <c r="A97" s="5">
        <v>95</v>
      </c>
      <c r="B97" s="5" t="str">
        <f t="shared" si="11"/>
        <v>GA8</v>
      </c>
      <c r="C97" s="5" t="s">
        <v>219</v>
      </c>
      <c r="D97" s="6" t="s">
        <v>281</v>
      </c>
      <c r="E97" s="5" t="s">
        <v>292</v>
      </c>
      <c r="F97" s="6" t="s">
        <v>269</v>
      </c>
      <c r="G97" s="5" t="s">
        <v>216</v>
      </c>
      <c r="H97" s="5" t="s">
        <v>79</v>
      </c>
      <c r="I97" s="5">
        <v>8</v>
      </c>
      <c r="J97" s="11">
        <v>239.68</v>
      </c>
      <c r="N97"/>
      <c r="O97"/>
    </row>
    <row r="98" spans="1:15" x14ac:dyDescent="0.35">
      <c r="A98" s="5">
        <v>96</v>
      </c>
      <c r="B98" s="5" t="str">
        <f t="shared" si="11"/>
        <v>GA8</v>
      </c>
      <c r="C98" s="5" t="s">
        <v>219</v>
      </c>
      <c r="D98" s="6" t="s">
        <v>297</v>
      </c>
      <c r="E98" s="5" t="s">
        <v>298</v>
      </c>
      <c r="F98" s="6" t="s">
        <v>299</v>
      </c>
      <c r="G98" s="5" t="s">
        <v>216</v>
      </c>
      <c r="H98" s="5" t="s">
        <v>79</v>
      </c>
      <c r="I98" s="5">
        <v>8</v>
      </c>
      <c r="J98" s="11">
        <v>243</v>
      </c>
      <c r="N98"/>
      <c r="O98"/>
    </row>
    <row r="99" spans="1:15" x14ac:dyDescent="0.35">
      <c r="A99" s="5">
        <v>97</v>
      </c>
      <c r="B99" s="5" t="str">
        <f t="shared" si="11"/>
        <v>GA8</v>
      </c>
      <c r="C99" s="5" t="s">
        <v>219</v>
      </c>
      <c r="D99" s="6" t="s">
        <v>281</v>
      </c>
      <c r="E99" s="5" t="s">
        <v>293</v>
      </c>
      <c r="F99" s="6" t="s">
        <v>215</v>
      </c>
      <c r="G99" s="5" t="s">
        <v>216</v>
      </c>
      <c r="H99" s="5" t="s">
        <v>79</v>
      </c>
      <c r="I99" s="5">
        <v>8</v>
      </c>
      <c r="J99" s="11">
        <v>243.03</v>
      </c>
      <c r="N99"/>
      <c r="O99"/>
    </row>
    <row r="100" spans="1:15" x14ac:dyDescent="0.35">
      <c r="A100" s="5">
        <v>98</v>
      </c>
      <c r="B100" s="5" t="str">
        <f t="shared" si="11"/>
        <v>GA8</v>
      </c>
      <c r="C100" s="5" t="s">
        <v>219</v>
      </c>
      <c r="D100" s="6" t="s">
        <v>297</v>
      </c>
      <c r="E100" s="5" t="s">
        <v>300</v>
      </c>
      <c r="F100" s="6" t="s">
        <v>301</v>
      </c>
      <c r="G100" s="5" t="s">
        <v>216</v>
      </c>
      <c r="H100" s="5" t="s">
        <v>79</v>
      </c>
      <c r="I100" s="5">
        <v>8</v>
      </c>
      <c r="J100" s="11">
        <v>258</v>
      </c>
      <c r="N100"/>
      <c r="O100"/>
    </row>
    <row r="101" spans="1:15" x14ac:dyDescent="0.35">
      <c r="A101" s="5">
        <v>99</v>
      </c>
      <c r="B101" s="5" t="str">
        <f t="shared" si="11"/>
        <v>GA8</v>
      </c>
      <c r="C101" s="5" t="s">
        <v>219</v>
      </c>
      <c r="D101" s="6" t="s">
        <v>270</v>
      </c>
      <c r="E101" s="5" t="s">
        <v>271</v>
      </c>
      <c r="F101" s="6" t="s">
        <v>272</v>
      </c>
      <c r="G101" s="5" t="s">
        <v>216</v>
      </c>
      <c r="H101" s="5" t="s">
        <v>79</v>
      </c>
      <c r="I101" s="5">
        <v>8</v>
      </c>
      <c r="J101" s="11">
        <v>263.25</v>
      </c>
      <c r="N101"/>
      <c r="O101"/>
    </row>
    <row r="102" spans="1:15" x14ac:dyDescent="0.35">
      <c r="A102" s="5">
        <v>100</v>
      </c>
      <c r="B102" s="5" t="str">
        <f t="shared" si="11"/>
        <v>GA8</v>
      </c>
      <c r="C102" s="5" t="s">
        <v>219</v>
      </c>
      <c r="D102" s="6" t="s">
        <v>297</v>
      </c>
      <c r="E102" s="5" t="s">
        <v>302</v>
      </c>
      <c r="F102" s="6" t="s">
        <v>303</v>
      </c>
      <c r="G102" s="5" t="s">
        <v>216</v>
      </c>
      <c r="H102" s="5" t="s">
        <v>79</v>
      </c>
      <c r="I102" s="5">
        <v>8</v>
      </c>
      <c r="J102" s="11">
        <v>273</v>
      </c>
      <c r="N102"/>
      <c r="O102"/>
    </row>
    <row r="103" spans="1:15" x14ac:dyDescent="0.35">
      <c r="A103" s="5">
        <v>101</v>
      </c>
      <c r="B103" s="5" t="str">
        <f t="shared" si="11"/>
        <v>GA8</v>
      </c>
      <c r="C103" s="5" t="s">
        <v>219</v>
      </c>
      <c r="D103" s="6" t="s">
        <v>270</v>
      </c>
      <c r="E103" s="5" t="s">
        <v>273</v>
      </c>
      <c r="F103" s="6" t="s">
        <v>274</v>
      </c>
      <c r="G103" s="5" t="s">
        <v>216</v>
      </c>
      <c r="H103" s="5" t="s">
        <v>79</v>
      </c>
      <c r="I103" s="5">
        <v>8</v>
      </c>
      <c r="J103" s="11">
        <v>274.89</v>
      </c>
      <c r="N103"/>
      <c r="O103"/>
    </row>
    <row r="104" spans="1:15" x14ac:dyDescent="0.35">
      <c r="A104" s="5">
        <v>102</v>
      </c>
      <c r="B104" s="5" t="str">
        <f t="shared" si="11"/>
        <v>GA8</v>
      </c>
      <c r="C104" s="5" t="s">
        <v>219</v>
      </c>
      <c r="D104" s="6" t="s">
        <v>270</v>
      </c>
      <c r="E104" s="5" t="s">
        <v>275</v>
      </c>
      <c r="F104" s="6" t="s">
        <v>276</v>
      </c>
      <c r="G104" s="5" t="s">
        <v>216</v>
      </c>
      <c r="H104" s="5" t="s">
        <v>79</v>
      </c>
      <c r="I104" s="5">
        <v>8</v>
      </c>
      <c r="J104" s="11">
        <v>282.54000000000002</v>
      </c>
      <c r="N104"/>
      <c r="O104"/>
    </row>
    <row r="105" spans="1:15" x14ac:dyDescent="0.35">
      <c r="A105" s="5">
        <v>103</v>
      </c>
      <c r="B105" s="5" t="str">
        <f t="shared" si="11"/>
        <v>GA8</v>
      </c>
      <c r="C105" s="5" t="s">
        <v>219</v>
      </c>
      <c r="D105" s="6" t="s">
        <v>270</v>
      </c>
      <c r="E105" s="5" t="s">
        <v>277</v>
      </c>
      <c r="F105" s="6" t="s">
        <v>278</v>
      </c>
      <c r="G105" s="5" t="s">
        <v>216</v>
      </c>
      <c r="H105" s="5" t="s">
        <v>79</v>
      </c>
      <c r="I105" s="5">
        <v>8</v>
      </c>
      <c r="J105" s="11">
        <v>282.54000000000002</v>
      </c>
      <c r="N105"/>
      <c r="O105"/>
    </row>
    <row r="106" spans="1:15" x14ac:dyDescent="0.35">
      <c r="A106" s="5">
        <v>104</v>
      </c>
      <c r="B106" s="5" t="str">
        <f t="shared" si="11"/>
        <v>GA8</v>
      </c>
      <c r="C106" s="5" t="s">
        <v>219</v>
      </c>
      <c r="D106" s="6" t="s">
        <v>270</v>
      </c>
      <c r="E106" s="5" t="s">
        <v>279</v>
      </c>
      <c r="F106" s="6" t="s">
        <v>280</v>
      </c>
      <c r="G106" s="5" t="s">
        <v>216</v>
      </c>
      <c r="H106" s="5" t="s">
        <v>79</v>
      </c>
      <c r="I106" s="5">
        <v>8</v>
      </c>
      <c r="J106" s="11">
        <v>285.7</v>
      </c>
      <c r="N106"/>
      <c r="O106"/>
    </row>
    <row r="107" spans="1:15" x14ac:dyDescent="0.35">
      <c r="A107" s="5">
        <v>105</v>
      </c>
      <c r="B107" s="5" t="str">
        <f t="shared" si="11"/>
        <v>GA9</v>
      </c>
      <c r="C107" s="5" t="s">
        <v>219</v>
      </c>
      <c r="D107" s="6" t="s">
        <v>270</v>
      </c>
      <c r="E107" s="5" t="s">
        <v>271</v>
      </c>
      <c r="F107" s="6" t="s">
        <v>272</v>
      </c>
      <c r="G107" s="5" t="s">
        <v>216</v>
      </c>
      <c r="H107" s="5" t="s">
        <v>93</v>
      </c>
      <c r="I107" s="5">
        <v>9</v>
      </c>
      <c r="J107" s="11">
        <v>270.29000000000002</v>
      </c>
      <c r="N107"/>
      <c r="O107"/>
    </row>
    <row r="108" spans="1:15" x14ac:dyDescent="0.35">
      <c r="A108" s="5">
        <v>106</v>
      </c>
      <c r="B108" s="5" t="str">
        <f t="shared" si="11"/>
        <v>GA9</v>
      </c>
      <c r="C108" s="5" t="s">
        <v>219</v>
      </c>
      <c r="D108" s="6" t="s">
        <v>304</v>
      </c>
      <c r="E108" s="5" t="s">
        <v>305</v>
      </c>
      <c r="F108" s="6" t="s">
        <v>306</v>
      </c>
      <c r="G108" s="5" t="s">
        <v>201</v>
      </c>
      <c r="H108" s="5" t="s">
        <v>93</v>
      </c>
      <c r="I108" s="5">
        <v>9</v>
      </c>
      <c r="J108" s="11">
        <v>275.19</v>
      </c>
      <c r="N108"/>
      <c r="O108"/>
    </row>
    <row r="109" spans="1:15" x14ac:dyDescent="0.35">
      <c r="A109" s="5">
        <v>107</v>
      </c>
      <c r="B109" s="5" t="str">
        <f t="shared" si="11"/>
        <v>GA9</v>
      </c>
      <c r="C109" s="5" t="s">
        <v>219</v>
      </c>
      <c r="D109" s="6" t="s">
        <v>270</v>
      </c>
      <c r="E109" s="5" t="s">
        <v>273</v>
      </c>
      <c r="F109" s="6" t="s">
        <v>274</v>
      </c>
      <c r="G109" s="5" t="s">
        <v>216</v>
      </c>
      <c r="H109" s="5" t="s">
        <v>93</v>
      </c>
      <c r="I109" s="5">
        <v>9</v>
      </c>
      <c r="J109" s="11">
        <v>282.24</v>
      </c>
      <c r="N109"/>
      <c r="O109"/>
    </row>
    <row r="110" spans="1:15" x14ac:dyDescent="0.35">
      <c r="A110" s="5">
        <v>108</v>
      </c>
      <c r="B110" s="5" t="str">
        <f t="shared" si="11"/>
        <v>GA9</v>
      </c>
      <c r="C110" s="5" t="s">
        <v>219</v>
      </c>
      <c r="D110" s="6" t="s">
        <v>304</v>
      </c>
      <c r="E110" s="5" t="s">
        <v>307</v>
      </c>
      <c r="F110" s="6" t="s">
        <v>306</v>
      </c>
      <c r="G110" s="5" t="s">
        <v>201</v>
      </c>
      <c r="H110" s="5" t="s">
        <v>93</v>
      </c>
      <c r="I110" s="5">
        <v>9</v>
      </c>
      <c r="J110" s="11">
        <v>286.77</v>
      </c>
      <c r="N110"/>
      <c r="O110"/>
    </row>
    <row r="111" spans="1:15" x14ac:dyDescent="0.35">
      <c r="A111" s="5">
        <v>109</v>
      </c>
      <c r="B111" s="5" t="str">
        <f t="shared" si="11"/>
        <v>GA9</v>
      </c>
      <c r="C111" s="5" t="s">
        <v>219</v>
      </c>
      <c r="D111" s="6" t="s">
        <v>270</v>
      </c>
      <c r="E111" s="5" t="s">
        <v>275</v>
      </c>
      <c r="F111" s="6" t="s">
        <v>276</v>
      </c>
      <c r="G111" s="5" t="s">
        <v>216</v>
      </c>
      <c r="H111" s="5" t="s">
        <v>93</v>
      </c>
      <c r="I111" s="5">
        <v>9</v>
      </c>
      <c r="J111" s="11">
        <v>290.10000000000002</v>
      </c>
      <c r="N111"/>
      <c r="O111"/>
    </row>
    <row r="112" spans="1:15" x14ac:dyDescent="0.35">
      <c r="A112" s="5">
        <v>110</v>
      </c>
      <c r="B112" s="5" t="str">
        <f t="shared" si="11"/>
        <v>GA9</v>
      </c>
      <c r="C112" s="5" t="s">
        <v>219</v>
      </c>
      <c r="D112" s="6" t="s">
        <v>270</v>
      </c>
      <c r="E112" s="5" t="s">
        <v>277</v>
      </c>
      <c r="F112" s="6" t="s">
        <v>278</v>
      </c>
      <c r="G112" s="5" t="s">
        <v>216</v>
      </c>
      <c r="H112" s="5" t="s">
        <v>93</v>
      </c>
      <c r="I112" s="5">
        <v>9</v>
      </c>
      <c r="J112" s="11">
        <v>290.10000000000002</v>
      </c>
      <c r="N112"/>
      <c r="O112"/>
    </row>
    <row r="113" spans="1:15" x14ac:dyDescent="0.35">
      <c r="A113" s="5">
        <v>111</v>
      </c>
      <c r="B113" s="5" t="str">
        <f t="shared" si="11"/>
        <v>GA9</v>
      </c>
      <c r="C113" s="5" t="s">
        <v>219</v>
      </c>
      <c r="D113" s="6" t="s">
        <v>270</v>
      </c>
      <c r="E113" s="5" t="s">
        <v>279</v>
      </c>
      <c r="F113" s="6" t="s">
        <v>280</v>
      </c>
      <c r="G113" s="5" t="s">
        <v>216</v>
      </c>
      <c r="H113" s="5" t="s">
        <v>93</v>
      </c>
      <c r="I113" s="5">
        <v>9</v>
      </c>
      <c r="J113" s="11">
        <v>293.33</v>
      </c>
      <c r="N113"/>
      <c r="O113"/>
    </row>
    <row r="114" spans="1:15" x14ac:dyDescent="0.35">
      <c r="A114" s="5">
        <v>112</v>
      </c>
      <c r="B114" s="5" t="str">
        <f t="shared" si="11"/>
        <v>GA10</v>
      </c>
      <c r="C114" s="5" t="s">
        <v>219</v>
      </c>
      <c r="D114" s="6" t="s">
        <v>294</v>
      </c>
      <c r="E114" s="5" t="s">
        <v>308</v>
      </c>
      <c r="F114" s="6" t="s">
        <v>224</v>
      </c>
      <c r="G114" s="5" t="s">
        <v>216</v>
      </c>
      <c r="H114" s="5" t="s">
        <v>97</v>
      </c>
      <c r="I114" s="5">
        <v>10</v>
      </c>
      <c r="J114" s="11">
        <v>187.8</v>
      </c>
      <c r="N114"/>
      <c r="O114"/>
    </row>
    <row r="115" spans="1:15" x14ac:dyDescent="0.35">
      <c r="A115" s="5">
        <v>113</v>
      </c>
      <c r="B115" s="5" t="str">
        <f t="shared" si="11"/>
        <v>GA10</v>
      </c>
      <c r="C115" s="5" t="s">
        <v>219</v>
      </c>
      <c r="D115" s="6" t="s">
        <v>294</v>
      </c>
      <c r="E115" s="5" t="s">
        <v>295</v>
      </c>
      <c r="F115" s="6" t="s">
        <v>296</v>
      </c>
      <c r="G115" s="5" t="s">
        <v>211</v>
      </c>
      <c r="H115" s="5" t="s">
        <v>97</v>
      </c>
      <c r="I115" s="5">
        <v>10</v>
      </c>
      <c r="J115" s="11">
        <v>200.85</v>
      </c>
      <c r="N115"/>
      <c r="O115"/>
    </row>
    <row r="116" spans="1:15" x14ac:dyDescent="0.35">
      <c r="A116" s="5">
        <v>114</v>
      </c>
      <c r="B116" s="5" t="str">
        <f t="shared" si="11"/>
        <v>GA10</v>
      </c>
      <c r="C116" s="5" t="s">
        <v>219</v>
      </c>
      <c r="D116" s="6" t="s">
        <v>270</v>
      </c>
      <c r="E116" s="5" t="s">
        <v>271</v>
      </c>
      <c r="F116" s="6" t="s">
        <v>272</v>
      </c>
      <c r="G116" s="5" t="s">
        <v>216</v>
      </c>
      <c r="H116" s="5" t="s">
        <v>97</v>
      </c>
      <c r="I116" s="5">
        <v>10</v>
      </c>
      <c r="J116" s="11">
        <v>242.06</v>
      </c>
      <c r="N116"/>
      <c r="O116"/>
    </row>
    <row r="117" spans="1:15" x14ac:dyDescent="0.35">
      <c r="A117" s="5">
        <v>115</v>
      </c>
      <c r="B117" s="5" t="str">
        <f t="shared" si="11"/>
        <v>GA10</v>
      </c>
      <c r="C117" s="5" t="s">
        <v>219</v>
      </c>
      <c r="D117" s="6" t="s">
        <v>297</v>
      </c>
      <c r="E117" s="5" t="s">
        <v>298</v>
      </c>
      <c r="F117" s="6" t="s">
        <v>299</v>
      </c>
      <c r="G117" s="5" t="s">
        <v>216</v>
      </c>
      <c r="H117" s="5" t="s">
        <v>97</v>
      </c>
      <c r="I117" s="5">
        <v>10</v>
      </c>
      <c r="J117" s="11">
        <v>243</v>
      </c>
      <c r="N117"/>
      <c r="O117"/>
    </row>
    <row r="118" spans="1:15" x14ac:dyDescent="0.35">
      <c r="A118" s="5">
        <v>116</v>
      </c>
      <c r="B118" s="5" t="str">
        <f t="shared" si="11"/>
        <v>GA10</v>
      </c>
      <c r="C118" s="5" t="s">
        <v>219</v>
      </c>
      <c r="D118" s="6" t="s">
        <v>270</v>
      </c>
      <c r="E118" s="5" t="s">
        <v>273</v>
      </c>
      <c r="F118" s="6" t="s">
        <v>274</v>
      </c>
      <c r="G118" s="5" t="s">
        <v>216</v>
      </c>
      <c r="H118" s="5" t="s">
        <v>97</v>
      </c>
      <c r="I118" s="5">
        <v>10</v>
      </c>
      <c r="J118" s="11">
        <v>252.76</v>
      </c>
      <c r="N118"/>
      <c r="O118"/>
    </row>
    <row r="119" spans="1:15" x14ac:dyDescent="0.35">
      <c r="A119" s="5">
        <v>117</v>
      </c>
      <c r="B119" s="5" t="str">
        <f t="shared" si="11"/>
        <v>GA10</v>
      </c>
      <c r="C119" s="5" t="s">
        <v>219</v>
      </c>
      <c r="D119" s="6" t="s">
        <v>297</v>
      </c>
      <c r="E119" s="5" t="s">
        <v>300</v>
      </c>
      <c r="F119" s="6" t="s">
        <v>301</v>
      </c>
      <c r="G119" s="5" t="s">
        <v>216</v>
      </c>
      <c r="H119" s="5" t="s">
        <v>97</v>
      </c>
      <c r="I119" s="5">
        <v>10</v>
      </c>
      <c r="J119" s="11">
        <v>258</v>
      </c>
      <c r="N119"/>
      <c r="O119"/>
    </row>
    <row r="120" spans="1:15" x14ac:dyDescent="0.35">
      <c r="A120" s="5">
        <v>118</v>
      </c>
      <c r="B120" s="5" t="str">
        <f t="shared" si="11"/>
        <v>GA10</v>
      </c>
      <c r="C120" s="5" t="s">
        <v>219</v>
      </c>
      <c r="D120" s="6" t="s">
        <v>270</v>
      </c>
      <c r="E120" s="5" t="s">
        <v>275</v>
      </c>
      <c r="F120" s="6" t="s">
        <v>276</v>
      </c>
      <c r="G120" s="5" t="s">
        <v>216</v>
      </c>
      <c r="H120" s="5" t="s">
        <v>97</v>
      </c>
      <c r="I120" s="5">
        <v>10</v>
      </c>
      <c r="J120" s="11">
        <v>259.8</v>
      </c>
      <c r="N120"/>
      <c r="O120"/>
    </row>
    <row r="121" spans="1:15" x14ac:dyDescent="0.35">
      <c r="A121" s="5">
        <v>119</v>
      </c>
      <c r="B121" s="5" t="str">
        <f t="shared" si="11"/>
        <v>GA10</v>
      </c>
      <c r="C121" s="5" t="s">
        <v>219</v>
      </c>
      <c r="D121" s="6" t="s">
        <v>270</v>
      </c>
      <c r="E121" s="5" t="s">
        <v>277</v>
      </c>
      <c r="F121" s="6" t="s">
        <v>278</v>
      </c>
      <c r="G121" s="5" t="s">
        <v>216</v>
      </c>
      <c r="H121" s="5" t="s">
        <v>97</v>
      </c>
      <c r="I121" s="5">
        <v>10</v>
      </c>
      <c r="J121" s="11">
        <v>259.8</v>
      </c>
      <c r="N121"/>
      <c r="O121"/>
    </row>
    <row r="122" spans="1:15" x14ac:dyDescent="0.35">
      <c r="A122" s="5">
        <v>120</v>
      </c>
      <c r="B122" s="5" t="str">
        <f t="shared" si="11"/>
        <v>GA10</v>
      </c>
      <c r="C122" s="5" t="s">
        <v>219</v>
      </c>
      <c r="D122" s="6" t="s">
        <v>304</v>
      </c>
      <c r="E122" s="5" t="s">
        <v>305</v>
      </c>
      <c r="F122" s="6" t="s">
        <v>306</v>
      </c>
      <c r="G122" s="5" t="s">
        <v>201</v>
      </c>
      <c r="H122" s="5" t="s">
        <v>97</v>
      </c>
      <c r="I122" s="5">
        <v>10</v>
      </c>
      <c r="J122" s="11">
        <v>261.43</v>
      </c>
      <c r="N122"/>
      <c r="O122"/>
    </row>
    <row r="123" spans="1:15" x14ac:dyDescent="0.35">
      <c r="A123" s="5">
        <v>121</v>
      </c>
      <c r="B123" s="5" t="str">
        <f t="shared" si="11"/>
        <v>GA10</v>
      </c>
      <c r="C123" s="5" t="s">
        <v>219</v>
      </c>
      <c r="D123" s="6" t="s">
        <v>270</v>
      </c>
      <c r="E123" s="5" t="s">
        <v>279</v>
      </c>
      <c r="F123" s="6" t="s">
        <v>280</v>
      </c>
      <c r="G123" s="5" t="s">
        <v>216</v>
      </c>
      <c r="H123" s="5" t="s">
        <v>97</v>
      </c>
      <c r="I123" s="5">
        <v>10</v>
      </c>
      <c r="J123" s="11">
        <v>262.7</v>
      </c>
      <c r="N123"/>
      <c r="O123"/>
    </row>
    <row r="124" spans="1:15" x14ac:dyDescent="0.35">
      <c r="A124" s="5">
        <v>122</v>
      </c>
      <c r="B124" s="5" t="str">
        <f t="shared" si="11"/>
        <v>GA10</v>
      </c>
      <c r="C124" s="5" t="s">
        <v>219</v>
      </c>
      <c r="D124" s="6" t="s">
        <v>304</v>
      </c>
      <c r="E124" s="5" t="s">
        <v>307</v>
      </c>
      <c r="F124" s="6" t="s">
        <v>306</v>
      </c>
      <c r="G124" s="5" t="s">
        <v>201</v>
      </c>
      <c r="H124" s="5" t="s">
        <v>97</v>
      </c>
      <c r="I124" s="5">
        <v>10</v>
      </c>
      <c r="J124" s="11">
        <v>272.44</v>
      </c>
      <c r="N124"/>
      <c r="O124"/>
    </row>
    <row r="125" spans="1:15" x14ac:dyDescent="0.35">
      <c r="A125" s="5">
        <v>123</v>
      </c>
      <c r="B125" s="5" t="str">
        <f t="shared" si="11"/>
        <v>GA10</v>
      </c>
      <c r="C125" s="5" t="s">
        <v>219</v>
      </c>
      <c r="D125" s="6" t="s">
        <v>297</v>
      </c>
      <c r="E125" s="5" t="s">
        <v>302</v>
      </c>
      <c r="F125" s="6" t="s">
        <v>303</v>
      </c>
      <c r="G125" s="5" t="s">
        <v>216</v>
      </c>
      <c r="H125" s="5" t="s">
        <v>97</v>
      </c>
      <c r="I125" s="5">
        <v>10</v>
      </c>
      <c r="J125" s="11">
        <v>273</v>
      </c>
      <c r="N125"/>
      <c r="O125"/>
    </row>
    <row r="126" spans="1:15" x14ac:dyDescent="0.35">
      <c r="A126" s="5">
        <v>124</v>
      </c>
      <c r="B126" s="5" t="str">
        <f t="shared" si="11"/>
        <v>GA11</v>
      </c>
      <c r="C126" s="5" t="s">
        <v>219</v>
      </c>
      <c r="D126" s="6" t="s">
        <v>294</v>
      </c>
      <c r="E126" s="5" t="s">
        <v>295</v>
      </c>
      <c r="F126" s="6" t="s">
        <v>296</v>
      </c>
      <c r="G126" s="5" t="s">
        <v>211</v>
      </c>
      <c r="H126" s="5" t="s">
        <v>110</v>
      </c>
      <c r="I126" s="5">
        <v>11</v>
      </c>
      <c r="J126" s="11">
        <v>195.68</v>
      </c>
      <c r="N126"/>
      <c r="O126"/>
    </row>
    <row r="127" spans="1:15" x14ac:dyDescent="0.35">
      <c r="A127" s="5">
        <v>125</v>
      </c>
      <c r="B127" s="5" t="str">
        <f t="shared" si="11"/>
        <v>GA11</v>
      </c>
      <c r="C127" s="5" t="s">
        <v>219</v>
      </c>
      <c r="D127" s="6" t="s">
        <v>270</v>
      </c>
      <c r="E127" s="5" t="s">
        <v>271</v>
      </c>
      <c r="F127" s="6" t="s">
        <v>272</v>
      </c>
      <c r="G127" s="5" t="s">
        <v>216</v>
      </c>
      <c r="H127" s="5" t="s">
        <v>110</v>
      </c>
      <c r="I127" s="5">
        <v>11</v>
      </c>
      <c r="J127" s="11">
        <v>311.8</v>
      </c>
      <c r="N127"/>
      <c r="O127"/>
    </row>
    <row r="128" spans="1:15" x14ac:dyDescent="0.35">
      <c r="A128" s="5">
        <v>126</v>
      </c>
      <c r="B128" s="5" t="str">
        <f t="shared" si="11"/>
        <v>GA11</v>
      </c>
      <c r="C128" s="5" t="s">
        <v>219</v>
      </c>
      <c r="D128" s="6" t="s">
        <v>270</v>
      </c>
      <c r="E128" s="5" t="s">
        <v>273</v>
      </c>
      <c r="F128" s="6" t="s">
        <v>274</v>
      </c>
      <c r="G128" s="5" t="s">
        <v>216</v>
      </c>
      <c r="H128" s="5" t="s">
        <v>110</v>
      </c>
      <c r="I128" s="5">
        <v>11</v>
      </c>
      <c r="J128" s="11">
        <v>325.58</v>
      </c>
      <c r="N128"/>
      <c r="O128"/>
    </row>
    <row r="129" spans="1:15" x14ac:dyDescent="0.35">
      <c r="A129" s="5">
        <v>127</v>
      </c>
      <c r="B129" s="5" t="str">
        <f t="shared" si="11"/>
        <v>GA11</v>
      </c>
      <c r="C129" s="5" t="s">
        <v>219</v>
      </c>
      <c r="D129" s="6" t="s">
        <v>270</v>
      </c>
      <c r="E129" s="5" t="s">
        <v>275</v>
      </c>
      <c r="F129" s="6" t="s">
        <v>276</v>
      </c>
      <c r="G129" s="5" t="s">
        <v>216</v>
      </c>
      <c r="H129" s="5" t="s">
        <v>110</v>
      </c>
      <c r="I129" s="5">
        <v>11</v>
      </c>
      <c r="J129" s="11">
        <v>334.66</v>
      </c>
      <c r="N129"/>
      <c r="O129"/>
    </row>
    <row r="130" spans="1:15" x14ac:dyDescent="0.35">
      <c r="A130" s="5">
        <v>128</v>
      </c>
      <c r="B130" s="5" t="str">
        <f t="shared" si="11"/>
        <v>GA11</v>
      </c>
      <c r="C130" s="5" t="s">
        <v>219</v>
      </c>
      <c r="D130" s="6" t="s">
        <v>270</v>
      </c>
      <c r="E130" s="5" t="s">
        <v>277</v>
      </c>
      <c r="F130" s="6" t="s">
        <v>278</v>
      </c>
      <c r="G130" s="5" t="s">
        <v>216</v>
      </c>
      <c r="H130" s="5" t="s">
        <v>110</v>
      </c>
      <c r="I130" s="5">
        <v>11</v>
      </c>
      <c r="J130" s="11">
        <v>334.66</v>
      </c>
      <c r="N130"/>
      <c r="O130"/>
    </row>
    <row r="131" spans="1:15" x14ac:dyDescent="0.35">
      <c r="A131" s="5">
        <v>129</v>
      </c>
      <c r="B131" s="5" t="str">
        <f t="shared" si="11"/>
        <v>GA11</v>
      </c>
      <c r="C131" s="5" t="s">
        <v>219</v>
      </c>
      <c r="D131" s="6" t="s">
        <v>270</v>
      </c>
      <c r="E131" s="5" t="s">
        <v>279</v>
      </c>
      <c r="F131" s="6" t="s">
        <v>280</v>
      </c>
      <c r="G131" s="5" t="s">
        <v>216</v>
      </c>
      <c r="H131" s="5" t="s">
        <v>110</v>
      </c>
      <c r="I131" s="5">
        <v>11</v>
      </c>
      <c r="J131" s="11">
        <v>338.39</v>
      </c>
      <c r="N131"/>
      <c r="O131"/>
    </row>
    <row r="132" spans="1:15" x14ac:dyDescent="0.35">
      <c r="A132" s="5">
        <v>130</v>
      </c>
      <c r="B132" s="5" t="str">
        <f t="shared" si="11"/>
        <v>GA12</v>
      </c>
      <c r="C132" s="5" t="s">
        <v>219</v>
      </c>
      <c r="D132" s="6" t="s">
        <v>294</v>
      </c>
      <c r="E132" s="5" t="s">
        <v>295</v>
      </c>
      <c r="F132" s="6" t="s">
        <v>296</v>
      </c>
      <c r="G132" s="5" t="s">
        <v>211</v>
      </c>
      <c r="H132" s="5" t="s">
        <v>121</v>
      </c>
      <c r="I132" s="5">
        <v>12</v>
      </c>
      <c r="J132" s="11">
        <v>245.48</v>
      </c>
      <c r="N132"/>
      <c r="O132"/>
    </row>
    <row r="133" spans="1:15" x14ac:dyDescent="0.35">
      <c r="A133" s="5">
        <v>131</v>
      </c>
      <c r="B133" s="5" t="str">
        <f t="shared" si="11"/>
        <v>GA12</v>
      </c>
      <c r="C133" s="5" t="s">
        <v>219</v>
      </c>
      <c r="D133" s="6" t="s">
        <v>270</v>
      </c>
      <c r="E133" s="5" t="s">
        <v>271</v>
      </c>
      <c r="F133" s="6" t="s">
        <v>272</v>
      </c>
      <c r="G133" s="5" t="s">
        <v>216</v>
      </c>
      <c r="H133" s="5" t="s">
        <v>121</v>
      </c>
      <c r="I133" s="5">
        <v>12</v>
      </c>
      <c r="J133" s="11">
        <v>258.3</v>
      </c>
      <c r="N133"/>
      <c r="O133"/>
    </row>
    <row r="134" spans="1:15" x14ac:dyDescent="0.35">
      <c r="A134" s="5">
        <v>132</v>
      </c>
      <c r="B134" s="5" t="str">
        <f t="shared" si="11"/>
        <v>GA12</v>
      </c>
      <c r="C134" s="5" t="s">
        <v>219</v>
      </c>
      <c r="D134" s="6" t="s">
        <v>270</v>
      </c>
      <c r="E134" s="5" t="s">
        <v>273</v>
      </c>
      <c r="F134" s="6" t="s">
        <v>274</v>
      </c>
      <c r="G134" s="5" t="s">
        <v>216</v>
      </c>
      <c r="H134" s="5" t="s">
        <v>121</v>
      </c>
      <c r="I134" s="5">
        <v>12</v>
      </c>
      <c r="J134" s="11">
        <v>269.7</v>
      </c>
      <c r="N134"/>
      <c r="O134"/>
    </row>
    <row r="135" spans="1:15" x14ac:dyDescent="0.35">
      <c r="A135" s="5">
        <v>133</v>
      </c>
      <c r="B135" s="5" t="str">
        <f t="shared" si="11"/>
        <v>GA12</v>
      </c>
      <c r="C135" s="5" t="s">
        <v>219</v>
      </c>
      <c r="D135" s="6" t="s">
        <v>270</v>
      </c>
      <c r="E135" s="5" t="s">
        <v>275</v>
      </c>
      <c r="F135" s="6" t="s">
        <v>276</v>
      </c>
      <c r="G135" s="5" t="s">
        <v>216</v>
      </c>
      <c r="H135" s="5" t="s">
        <v>121</v>
      </c>
      <c r="I135" s="5">
        <v>12</v>
      </c>
      <c r="J135" s="11">
        <v>277.23</v>
      </c>
      <c r="N135"/>
      <c r="O135"/>
    </row>
    <row r="136" spans="1:15" x14ac:dyDescent="0.35">
      <c r="A136" s="5">
        <v>134</v>
      </c>
      <c r="B136" s="5" t="str">
        <f t="shared" si="11"/>
        <v>GA12</v>
      </c>
      <c r="C136" s="5" t="s">
        <v>219</v>
      </c>
      <c r="D136" s="6" t="s">
        <v>270</v>
      </c>
      <c r="E136" s="5" t="s">
        <v>277</v>
      </c>
      <c r="F136" s="6" t="s">
        <v>278</v>
      </c>
      <c r="G136" s="5" t="s">
        <v>216</v>
      </c>
      <c r="H136" s="5" t="s">
        <v>121</v>
      </c>
      <c r="I136" s="5">
        <v>12</v>
      </c>
      <c r="J136" s="11">
        <v>277.23</v>
      </c>
      <c r="N136"/>
      <c r="O136"/>
    </row>
    <row r="137" spans="1:15" x14ac:dyDescent="0.35">
      <c r="A137" s="5">
        <v>135</v>
      </c>
      <c r="B137" s="5" t="str">
        <f t="shared" si="11"/>
        <v>GA12</v>
      </c>
      <c r="C137" s="5" t="s">
        <v>219</v>
      </c>
      <c r="D137" s="6" t="s">
        <v>270</v>
      </c>
      <c r="E137" s="5" t="s">
        <v>279</v>
      </c>
      <c r="F137" s="6" t="s">
        <v>280</v>
      </c>
      <c r="G137" s="5" t="s">
        <v>216</v>
      </c>
      <c r="H137" s="5" t="s">
        <v>121</v>
      </c>
      <c r="I137" s="5">
        <v>12</v>
      </c>
      <c r="J137" s="11">
        <v>280.32</v>
      </c>
      <c r="N137"/>
      <c r="O137"/>
    </row>
    <row r="138" spans="1:15" x14ac:dyDescent="0.35">
      <c r="A138" s="5">
        <v>136</v>
      </c>
      <c r="B138" s="5" t="str">
        <f t="shared" si="11"/>
        <v>GA13</v>
      </c>
      <c r="C138" s="5" t="s">
        <v>219</v>
      </c>
      <c r="D138" s="6" t="s">
        <v>294</v>
      </c>
      <c r="E138" s="5" t="s">
        <v>308</v>
      </c>
      <c r="F138" s="6" t="s">
        <v>224</v>
      </c>
      <c r="G138" s="5" t="s">
        <v>216</v>
      </c>
      <c r="H138" s="5" t="s">
        <v>135</v>
      </c>
      <c r="I138" s="5">
        <v>13</v>
      </c>
      <c r="J138" s="11">
        <v>187.8</v>
      </c>
      <c r="N138"/>
      <c r="O138"/>
    </row>
    <row r="139" spans="1:15" x14ac:dyDescent="0.35">
      <c r="A139" s="5">
        <v>137</v>
      </c>
      <c r="B139" s="5" t="str">
        <f t="shared" si="11"/>
        <v>GA13</v>
      </c>
      <c r="C139" s="5" t="s">
        <v>219</v>
      </c>
      <c r="D139" s="6" t="s">
        <v>294</v>
      </c>
      <c r="E139" s="5" t="s">
        <v>295</v>
      </c>
      <c r="F139" s="6" t="s">
        <v>296</v>
      </c>
      <c r="G139" s="5" t="s">
        <v>211</v>
      </c>
      <c r="H139" s="5" t="s">
        <v>135</v>
      </c>
      <c r="I139" s="5">
        <v>13</v>
      </c>
      <c r="J139" s="11">
        <v>219.17</v>
      </c>
      <c r="N139"/>
      <c r="O139"/>
    </row>
    <row r="140" spans="1:15" x14ac:dyDescent="0.35">
      <c r="A140" s="5">
        <v>138</v>
      </c>
      <c r="B140" s="5" t="str">
        <f t="shared" si="11"/>
        <v>GA13</v>
      </c>
      <c r="C140" s="5" t="s">
        <v>219</v>
      </c>
      <c r="D140" s="6" t="s">
        <v>297</v>
      </c>
      <c r="E140" s="5" t="s">
        <v>298</v>
      </c>
      <c r="F140" s="6" t="s">
        <v>299</v>
      </c>
      <c r="G140" s="5" t="s">
        <v>216</v>
      </c>
      <c r="H140" s="5" t="s">
        <v>135</v>
      </c>
      <c r="I140" s="5">
        <v>13</v>
      </c>
      <c r="J140" s="11">
        <v>243</v>
      </c>
      <c r="N140"/>
      <c r="O140"/>
    </row>
    <row r="141" spans="1:15" x14ac:dyDescent="0.35">
      <c r="A141" s="5">
        <v>139</v>
      </c>
      <c r="B141" s="5" t="str">
        <f t="shared" si="11"/>
        <v>GA13</v>
      </c>
      <c r="C141" s="5" t="s">
        <v>219</v>
      </c>
      <c r="D141" s="6" t="s">
        <v>297</v>
      </c>
      <c r="E141" s="5" t="s">
        <v>300</v>
      </c>
      <c r="F141" s="6" t="s">
        <v>301</v>
      </c>
      <c r="G141" s="5" t="s">
        <v>216</v>
      </c>
      <c r="H141" s="5" t="s">
        <v>135</v>
      </c>
      <c r="I141" s="5">
        <v>13</v>
      </c>
      <c r="J141" s="11">
        <v>258</v>
      </c>
      <c r="N141"/>
      <c r="O141"/>
    </row>
    <row r="142" spans="1:15" x14ac:dyDescent="0.35">
      <c r="A142" s="5">
        <v>140</v>
      </c>
      <c r="B142" s="5" t="str">
        <f t="shared" si="11"/>
        <v>GA13</v>
      </c>
      <c r="C142" s="5" t="s">
        <v>219</v>
      </c>
      <c r="D142" s="6" t="s">
        <v>297</v>
      </c>
      <c r="E142" s="5" t="s">
        <v>302</v>
      </c>
      <c r="F142" s="6" t="s">
        <v>303</v>
      </c>
      <c r="G142" s="5" t="s">
        <v>216</v>
      </c>
      <c r="H142" s="5" t="s">
        <v>135</v>
      </c>
      <c r="I142" s="5">
        <v>13</v>
      </c>
      <c r="J142" s="11">
        <v>273</v>
      </c>
      <c r="N142"/>
      <c r="O142"/>
    </row>
    <row r="143" spans="1:15" x14ac:dyDescent="0.35">
      <c r="A143" s="5">
        <v>141</v>
      </c>
      <c r="B143" s="5" t="str">
        <f t="shared" si="11"/>
        <v>GA13</v>
      </c>
      <c r="C143" s="5" t="s">
        <v>219</v>
      </c>
      <c r="D143" s="6" t="s">
        <v>304</v>
      </c>
      <c r="E143" s="5" t="s">
        <v>305</v>
      </c>
      <c r="F143" s="6" t="s">
        <v>306</v>
      </c>
      <c r="G143" s="5" t="s">
        <v>201</v>
      </c>
      <c r="H143" s="5" t="s">
        <v>135</v>
      </c>
      <c r="I143" s="5">
        <v>13</v>
      </c>
      <c r="J143" s="11">
        <v>302.7</v>
      </c>
      <c r="N143"/>
      <c r="O143"/>
    </row>
    <row r="144" spans="1:15" x14ac:dyDescent="0.35">
      <c r="A144" s="5">
        <v>142</v>
      </c>
      <c r="B144" s="5" t="str">
        <f t="shared" si="11"/>
        <v>GA13</v>
      </c>
      <c r="C144" s="5" t="s">
        <v>219</v>
      </c>
      <c r="D144" s="6" t="s">
        <v>270</v>
      </c>
      <c r="E144" s="5" t="s">
        <v>271</v>
      </c>
      <c r="F144" s="6" t="s">
        <v>272</v>
      </c>
      <c r="G144" s="5" t="s">
        <v>216</v>
      </c>
      <c r="H144" s="5" t="s">
        <v>135</v>
      </c>
      <c r="I144" s="5">
        <v>13</v>
      </c>
      <c r="J144" s="11">
        <v>303.36</v>
      </c>
      <c r="N144"/>
      <c r="O144"/>
    </row>
    <row r="145" spans="1:15" x14ac:dyDescent="0.35">
      <c r="A145" s="5">
        <v>143</v>
      </c>
      <c r="B145" s="5" t="str">
        <f t="shared" si="11"/>
        <v>GA13</v>
      </c>
      <c r="C145" s="5" t="s">
        <v>219</v>
      </c>
      <c r="D145" s="6" t="s">
        <v>304</v>
      </c>
      <c r="E145" s="5" t="s">
        <v>307</v>
      </c>
      <c r="F145" s="6" t="s">
        <v>306</v>
      </c>
      <c r="G145" s="5" t="s">
        <v>201</v>
      </c>
      <c r="H145" s="5" t="s">
        <v>135</v>
      </c>
      <c r="I145" s="5">
        <v>13</v>
      </c>
      <c r="J145" s="11">
        <v>315.45</v>
      </c>
      <c r="N145"/>
      <c r="O145"/>
    </row>
    <row r="146" spans="1:15" x14ac:dyDescent="0.35">
      <c r="A146" s="5">
        <v>144</v>
      </c>
      <c r="B146" s="5" t="str">
        <f t="shared" ref="B146:B166" si="12">CONCATENATE(C146,I146)</f>
        <v>GA13</v>
      </c>
      <c r="C146" s="5" t="s">
        <v>219</v>
      </c>
      <c r="D146" s="6" t="s">
        <v>270</v>
      </c>
      <c r="E146" s="5" t="s">
        <v>273</v>
      </c>
      <c r="F146" s="6" t="s">
        <v>274</v>
      </c>
      <c r="G146" s="5" t="s">
        <v>216</v>
      </c>
      <c r="H146" s="5" t="s">
        <v>135</v>
      </c>
      <c r="I146" s="5">
        <v>13</v>
      </c>
      <c r="J146" s="11">
        <v>316.77</v>
      </c>
      <c r="N146"/>
      <c r="O146"/>
    </row>
    <row r="147" spans="1:15" x14ac:dyDescent="0.35">
      <c r="A147" s="5">
        <v>145</v>
      </c>
      <c r="B147" s="5" t="str">
        <f t="shared" si="12"/>
        <v>GA13</v>
      </c>
      <c r="C147" s="5" t="s">
        <v>219</v>
      </c>
      <c r="D147" s="6" t="s">
        <v>270</v>
      </c>
      <c r="E147" s="5" t="s">
        <v>275</v>
      </c>
      <c r="F147" s="6" t="s">
        <v>276</v>
      </c>
      <c r="G147" s="5" t="s">
        <v>216</v>
      </c>
      <c r="H147" s="5" t="s">
        <v>135</v>
      </c>
      <c r="I147" s="5">
        <v>13</v>
      </c>
      <c r="J147" s="11">
        <v>325.58</v>
      </c>
      <c r="N147"/>
      <c r="O147"/>
    </row>
    <row r="148" spans="1:15" x14ac:dyDescent="0.35">
      <c r="A148" s="5">
        <v>146</v>
      </c>
      <c r="B148" s="5" t="str">
        <f t="shared" si="12"/>
        <v>GA13</v>
      </c>
      <c r="C148" s="5" t="s">
        <v>219</v>
      </c>
      <c r="D148" s="6" t="s">
        <v>270</v>
      </c>
      <c r="E148" s="5" t="s">
        <v>277</v>
      </c>
      <c r="F148" s="6" t="s">
        <v>278</v>
      </c>
      <c r="G148" s="5" t="s">
        <v>216</v>
      </c>
      <c r="H148" s="5" t="s">
        <v>135</v>
      </c>
      <c r="I148" s="5">
        <v>13</v>
      </c>
      <c r="J148" s="11">
        <v>325.58</v>
      </c>
      <c r="N148"/>
      <c r="O148"/>
    </row>
    <row r="149" spans="1:15" x14ac:dyDescent="0.35">
      <c r="A149" s="5">
        <v>147</v>
      </c>
      <c r="B149" s="5" t="str">
        <f t="shared" si="12"/>
        <v>GA13</v>
      </c>
      <c r="C149" s="5" t="s">
        <v>219</v>
      </c>
      <c r="D149" s="6" t="s">
        <v>270</v>
      </c>
      <c r="E149" s="5" t="s">
        <v>279</v>
      </c>
      <c r="F149" s="6" t="s">
        <v>280</v>
      </c>
      <c r="G149" s="5" t="s">
        <v>216</v>
      </c>
      <c r="H149" s="5" t="s">
        <v>135</v>
      </c>
      <c r="I149" s="5">
        <v>13</v>
      </c>
      <c r="J149" s="11">
        <v>329.23</v>
      </c>
      <c r="N149"/>
      <c r="O149"/>
    </row>
    <row r="150" spans="1:15" x14ac:dyDescent="0.35">
      <c r="A150" s="5">
        <v>148</v>
      </c>
      <c r="B150" s="5" t="str">
        <f t="shared" si="12"/>
        <v>GA14</v>
      </c>
      <c r="C150" s="5" t="s">
        <v>219</v>
      </c>
      <c r="D150" s="6" t="s">
        <v>294</v>
      </c>
      <c r="E150" s="5" t="s">
        <v>295</v>
      </c>
      <c r="F150" s="6" t="s">
        <v>296</v>
      </c>
      <c r="G150" s="5" t="s">
        <v>211</v>
      </c>
      <c r="H150" s="5" t="s">
        <v>142</v>
      </c>
      <c r="I150" s="5">
        <v>14</v>
      </c>
      <c r="J150" s="11">
        <v>201.63</v>
      </c>
      <c r="N150"/>
      <c r="O150"/>
    </row>
    <row r="151" spans="1:15" x14ac:dyDescent="0.35">
      <c r="A151" s="5">
        <v>149</v>
      </c>
      <c r="B151" s="5" t="str">
        <f t="shared" si="12"/>
        <v>GA14</v>
      </c>
      <c r="C151" s="5" t="s">
        <v>219</v>
      </c>
      <c r="D151" s="6" t="s">
        <v>270</v>
      </c>
      <c r="E151" s="5" t="s">
        <v>271</v>
      </c>
      <c r="F151" s="6" t="s">
        <v>272</v>
      </c>
      <c r="G151" s="5" t="s">
        <v>216</v>
      </c>
      <c r="H151" s="5" t="s">
        <v>142</v>
      </c>
      <c r="I151" s="5">
        <v>14</v>
      </c>
      <c r="J151" s="11">
        <v>280.52</v>
      </c>
      <c r="N151"/>
      <c r="O151"/>
    </row>
    <row r="152" spans="1:15" x14ac:dyDescent="0.35">
      <c r="A152" s="5">
        <v>150</v>
      </c>
      <c r="B152" s="5" t="str">
        <f t="shared" si="12"/>
        <v>GA14</v>
      </c>
      <c r="C152" s="5" t="s">
        <v>219</v>
      </c>
      <c r="D152" s="6" t="s">
        <v>270</v>
      </c>
      <c r="E152" s="5" t="s">
        <v>273</v>
      </c>
      <c r="F152" s="6" t="s">
        <v>274</v>
      </c>
      <c r="G152" s="5" t="s">
        <v>216</v>
      </c>
      <c r="H152" s="5" t="s">
        <v>142</v>
      </c>
      <c r="I152" s="5">
        <v>14</v>
      </c>
      <c r="J152" s="11">
        <v>292.92</v>
      </c>
      <c r="N152"/>
      <c r="O152"/>
    </row>
    <row r="153" spans="1:15" x14ac:dyDescent="0.35">
      <c r="A153" s="5">
        <v>151</v>
      </c>
      <c r="B153" s="5" t="str">
        <f t="shared" si="12"/>
        <v>GA14</v>
      </c>
      <c r="C153" s="5" t="s">
        <v>219</v>
      </c>
      <c r="D153" s="6" t="s">
        <v>270</v>
      </c>
      <c r="E153" s="5" t="s">
        <v>275</v>
      </c>
      <c r="F153" s="6" t="s">
        <v>276</v>
      </c>
      <c r="G153" s="5" t="s">
        <v>216</v>
      </c>
      <c r="H153" s="5" t="s">
        <v>142</v>
      </c>
      <c r="I153" s="5">
        <v>14</v>
      </c>
      <c r="J153" s="11">
        <v>301.08</v>
      </c>
      <c r="N153"/>
      <c r="O153"/>
    </row>
    <row r="154" spans="1:15" x14ac:dyDescent="0.35">
      <c r="A154" s="5">
        <v>152</v>
      </c>
      <c r="B154" s="5" t="str">
        <f t="shared" si="12"/>
        <v>GA14</v>
      </c>
      <c r="C154" s="5" t="s">
        <v>219</v>
      </c>
      <c r="D154" s="6" t="s">
        <v>270</v>
      </c>
      <c r="E154" s="5" t="s">
        <v>277</v>
      </c>
      <c r="F154" s="6" t="s">
        <v>278</v>
      </c>
      <c r="G154" s="5" t="s">
        <v>216</v>
      </c>
      <c r="H154" s="5" t="s">
        <v>142</v>
      </c>
      <c r="I154" s="5">
        <v>14</v>
      </c>
      <c r="J154" s="11">
        <v>301.08</v>
      </c>
      <c r="N154"/>
      <c r="O154"/>
    </row>
    <row r="155" spans="1:15" x14ac:dyDescent="0.35">
      <c r="A155" s="5">
        <v>153</v>
      </c>
      <c r="B155" s="5" t="str">
        <f t="shared" si="12"/>
        <v>GA14</v>
      </c>
      <c r="C155" s="5" t="s">
        <v>219</v>
      </c>
      <c r="D155" s="6" t="s">
        <v>270</v>
      </c>
      <c r="E155" s="5" t="s">
        <v>279</v>
      </c>
      <c r="F155" s="6" t="s">
        <v>280</v>
      </c>
      <c r="G155" s="5" t="s">
        <v>216</v>
      </c>
      <c r="H155" s="5" t="s">
        <v>142</v>
      </c>
      <c r="I155" s="5">
        <v>14</v>
      </c>
      <c r="J155" s="11">
        <v>304.43</v>
      </c>
      <c r="N155"/>
      <c r="O155"/>
    </row>
    <row r="156" spans="1:15" x14ac:dyDescent="0.35">
      <c r="A156" s="5">
        <v>154</v>
      </c>
      <c r="B156" s="5" t="str">
        <f t="shared" si="12"/>
        <v>GA15</v>
      </c>
      <c r="C156" s="5" t="s">
        <v>219</v>
      </c>
      <c r="D156" s="6" t="s">
        <v>270</v>
      </c>
      <c r="E156" s="5" t="s">
        <v>271</v>
      </c>
      <c r="F156" s="6" t="s">
        <v>272</v>
      </c>
      <c r="G156" s="5" t="s">
        <v>216</v>
      </c>
      <c r="H156" s="5" t="s">
        <v>154</v>
      </c>
      <c r="I156" s="5">
        <v>15</v>
      </c>
      <c r="J156" s="11">
        <v>346.4</v>
      </c>
      <c r="N156"/>
      <c r="O156"/>
    </row>
    <row r="157" spans="1:15" x14ac:dyDescent="0.35">
      <c r="A157" s="5">
        <v>155</v>
      </c>
      <c r="B157" s="5" t="str">
        <f t="shared" si="12"/>
        <v>GA15</v>
      </c>
      <c r="C157" s="5" t="s">
        <v>219</v>
      </c>
      <c r="D157" s="6" t="s">
        <v>270</v>
      </c>
      <c r="E157" s="5" t="s">
        <v>273</v>
      </c>
      <c r="F157" s="6" t="s">
        <v>274</v>
      </c>
      <c r="G157" s="5" t="s">
        <v>216</v>
      </c>
      <c r="H157" s="5" t="s">
        <v>154</v>
      </c>
      <c r="I157" s="5">
        <v>15</v>
      </c>
      <c r="J157" s="11">
        <v>361.71</v>
      </c>
      <c r="N157"/>
      <c r="O157"/>
    </row>
    <row r="158" spans="1:15" x14ac:dyDescent="0.35">
      <c r="A158" s="5">
        <v>156</v>
      </c>
      <c r="B158" s="5" t="str">
        <f t="shared" si="12"/>
        <v>GA15</v>
      </c>
      <c r="C158" s="5" t="s">
        <v>219</v>
      </c>
      <c r="D158" s="6" t="s">
        <v>270</v>
      </c>
      <c r="E158" s="5" t="s">
        <v>275</v>
      </c>
      <c r="F158" s="6" t="s">
        <v>276</v>
      </c>
      <c r="G158" s="5" t="s">
        <v>216</v>
      </c>
      <c r="H158" s="5" t="s">
        <v>154</v>
      </c>
      <c r="I158" s="5">
        <v>15</v>
      </c>
      <c r="J158" s="11">
        <v>371.78</v>
      </c>
      <c r="N158"/>
      <c r="O158"/>
    </row>
    <row r="159" spans="1:15" x14ac:dyDescent="0.35">
      <c r="A159" s="5">
        <v>157</v>
      </c>
      <c r="B159" s="5" t="str">
        <f t="shared" si="12"/>
        <v>GA15</v>
      </c>
      <c r="C159" s="5" t="s">
        <v>219</v>
      </c>
      <c r="D159" s="6" t="s">
        <v>270</v>
      </c>
      <c r="E159" s="5" t="s">
        <v>277</v>
      </c>
      <c r="F159" s="6" t="s">
        <v>278</v>
      </c>
      <c r="G159" s="5" t="s">
        <v>216</v>
      </c>
      <c r="H159" s="5" t="s">
        <v>154</v>
      </c>
      <c r="I159" s="5">
        <v>15</v>
      </c>
      <c r="J159" s="11">
        <v>371.78</v>
      </c>
      <c r="N159"/>
      <c r="O159"/>
    </row>
    <row r="160" spans="1:15" x14ac:dyDescent="0.35">
      <c r="A160" s="5">
        <v>158</v>
      </c>
      <c r="B160" s="5" t="str">
        <f t="shared" si="12"/>
        <v>GA15</v>
      </c>
      <c r="C160" s="5" t="s">
        <v>219</v>
      </c>
      <c r="D160" s="6" t="s">
        <v>270</v>
      </c>
      <c r="E160" s="5" t="s">
        <v>279</v>
      </c>
      <c r="F160" s="6" t="s">
        <v>280</v>
      </c>
      <c r="G160" s="5" t="s">
        <v>216</v>
      </c>
      <c r="H160" s="5" t="s">
        <v>154</v>
      </c>
      <c r="I160" s="5">
        <v>15</v>
      </c>
      <c r="J160" s="11">
        <v>375.93</v>
      </c>
      <c r="N160"/>
      <c r="O160"/>
    </row>
    <row r="161" spans="1:15" x14ac:dyDescent="0.35">
      <c r="A161" s="5">
        <v>159</v>
      </c>
      <c r="B161" s="5" t="str">
        <f t="shared" si="12"/>
        <v>GA16</v>
      </c>
      <c r="C161" s="5" t="s">
        <v>219</v>
      </c>
      <c r="D161" s="6" t="s">
        <v>294</v>
      </c>
      <c r="E161" s="5" t="s">
        <v>295</v>
      </c>
      <c r="F161" s="6" t="s">
        <v>296</v>
      </c>
      <c r="G161" s="5" t="s">
        <v>211</v>
      </c>
      <c r="H161" s="5" t="s">
        <v>173</v>
      </c>
      <c r="I161" s="5">
        <v>16</v>
      </c>
      <c r="J161" s="11">
        <v>205.16</v>
      </c>
      <c r="N161"/>
      <c r="O161"/>
    </row>
    <row r="162" spans="1:15" x14ac:dyDescent="0.35">
      <c r="A162" s="5">
        <v>160</v>
      </c>
      <c r="B162" s="5" t="str">
        <f t="shared" si="12"/>
        <v>GA16</v>
      </c>
      <c r="C162" s="5" t="s">
        <v>219</v>
      </c>
      <c r="D162" s="6" t="s">
        <v>270</v>
      </c>
      <c r="E162" s="5" t="s">
        <v>271</v>
      </c>
      <c r="F162" s="6" t="s">
        <v>272</v>
      </c>
      <c r="G162" s="5" t="s">
        <v>216</v>
      </c>
      <c r="H162" s="5" t="s">
        <v>173</v>
      </c>
      <c r="I162" s="5">
        <v>16</v>
      </c>
      <c r="J162" s="11">
        <v>260.57</v>
      </c>
      <c r="N162"/>
      <c r="O162"/>
    </row>
    <row r="163" spans="1:15" x14ac:dyDescent="0.35">
      <c r="A163" s="5">
        <v>161</v>
      </c>
      <c r="B163" s="5" t="str">
        <f t="shared" si="12"/>
        <v>GA16</v>
      </c>
      <c r="C163" s="5" t="s">
        <v>219</v>
      </c>
      <c r="D163" s="6" t="s">
        <v>270</v>
      </c>
      <c r="E163" s="5" t="s">
        <v>273</v>
      </c>
      <c r="F163" s="6" t="s">
        <v>274</v>
      </c>
      <c r="G163" s="5" t="s">
        <v>216</v>
      </c>
      <c r="H163" s="5" t="s">
        <v>173</v>
      </c>
      <c r="I163" s="5">
        <v>16</v>
      </c>
      <c r="J163" s="11">
        <v>272.08</v>
      </c>
      <c r="N163"/>
      <c r="O163"/>
    </row>
    <row r="164" spans="1:15" x14ac:dyDescent="0.35">
      <c r="A164" s="5">
        <v>162</v>
      </c>
      <c r="B164" s="5" t="str">
        <f t="shared" si="12"/>
        <v>GA16</v>
      </c>
      <c r="C164" s="5" t="s">
        <v>219</v>
      </c>
      <c r="D164" s="6" t="s">
        <v>270</v>
      </c>
      <c r="E164" s="5" t="s">
        <v>275</v>
      </c>
      <c r="F164" s="6" t="s">
        <v>276</v>
      </c>
      <c r="G164" s="5" t="s">
        <v>216</v>
      </c>
      <c r="H164" s="5" t="s">
        <v>173</v>
      </c>
      <c r="I164" s="5">
        <v>16</v>
      </c>
      <c r="J164" s="11">
        <v>279.67</v>
      </c>
      <c r="N164"/>
      <c r="O164"/>
    </row>
    <row r="165" spans="1:15" x14ac:dyDescent="0.35">
      <c r="A165" s="5">
        <v>163</v>
      </c>
      <c r="B165" s="5" t="str">
        <f t="shared" si="12"/>
        <v>GA16</v>
      </c>
      <c r="C165" s="5" t="s">
        <v>219</v>
      </c>
      <c r="D165" s="6" t="s">
        <v>270</v>
      </c>
      <c r="E165" s="5" t="s">
        <v>277</v>
      </c>
      <c r="F165" s="6" t="s">
        <v>278</v>
      </c>
      <c r="G165" s="5" t="s">
        <v>216</v>
      </c>
      <c r="H165" s="5" t="s">
        <v>173</v>
      </c>
      <c r="I165" s="5">
        <v>16</v>
      </c>
      <c r="J165" s="11">
        <v>279.67</v>
      </c>
      <c r="N165"/>
      <c r="O165"/>
    </row>
    <row r="166" spans="1:15" x14ac:dyDescent="0.35">
      <c r="A166" s="5">
        <v>164</v>
      </c>
      <c r="B166" s="5" t="str">
        <f t="shared" si="12"/>
        <v>GA16</v>
      </c>
      <c r="C166" s="5" t="s">
        <v>219</v>
      </c>
      <c r="D166" s="6" t="s">
        <v>270</v>
      </c>
      <c r="E166" s="5" t="s">
        <v>279</v>
      </c>
      <c r="F166" s="6" t="s">
        <v>280</v>
      </c>
      <c r="G166" s="5" t="s">
        <v>216</v>
      </c>
      <c r="H166" s="5" t="s">
        <v>173</v>
      </c>
      <c r="I166" s="5">
        <v>16</v>
      </c>
      <c r="J166" s="11">
        <v>282.79000000000002</v>
      </c>
      <c r="N166"/>
      <c r="O166"/>
    </row>
    <row r="167" spans="1:15" x14ac:dyDescent="0.35">
      <c r="N167"/>
      <c r="O167"/>
    </row>
    <row r="168" spans="1:15" x14ac:dyDescent="0.35">
      <c r="N168"/>
      <c r="O168"/>
    </row>
    <row r="169" spans="1:15" x14ac:dyDescent="0.35">
      <c r="N169"/>
      <c r="O169"/>
    </row>
    <row r="170" spans="1:15" x14ac:dyDescent="0.35">
      <c r="N170"/>
      <c r="O170"/>
    </row>
    <row r="171" spans="1:15" x14ac:dyDescent="0.35">
      <c r="N171"/>
      <c r="O171"/>
    </row>
    <row r="172" spans="1:15" x14ac:dyDescent="0.35">
      <c r="N172"/>
      <c r="O172"/>
    </row>
    <row r="173" spans="1:15" x14ac:dyDescent="0.35">
      <c r="N173"/>
      <c r="O173"/>
    </row>
    <row r="174" spans="1:15" x14ac:dyDescent="0.35">
      <c r="N174"/>
      <c r="O174"/>
    </row>
    <row r="175" spans="1:15" x14ac:dyDescent="0.35">
      <c r="N175"/>
      <c r="O175"/>
    </row>
    <row r="176" spans="1:15" x14ac:dyDescent="0.35">
      <c r="N176"/>
      <c r="O176"/>
    </row>
    <row r="177" spans="14:15" x14ac:dyDescent="0.35">
      <c r="N177"/>
      <c r="O177"/>
    </row>
    <row r="178" spans="14:15" x14ac:dyDescent="0.35">
      <c r="N178"/>
      <c r="O178"/>
    </row>
    <row r="179" spans="14:15" x14ac:dyDescent="0.35">
      <c r="N179"/>
      <c r="O179"/>
    </row>
    <row r="180" spans="14:15" x14ac:dyDescent="0.35">
      <c r="N180"/>
      <c r="O180"/>
    </row>
    <row r="181" spans="14:15" x14ac:dyDescent="0.35">
      <c r="N181"/>
      <c r="O181"/>
    </row>
    <row r="182" spans="14:15" x14ac:dyDescent="0.35">
      <c r="N182"/>
      <c r="O182"/>
    </row>
    <row r="183" spans="14:15" x14ac:dyDescent="0.35">
      <c r="N183"/>
      <c r="O183"/>
    </row>
    <row r="184" spans="14:15" x14ac:dyDescent="0.35">
      <c r="N184"/>
      <c r="O184"/>
    </row>
    <row r="185" spans="14:15" x14ac:dyDescent="0.35">
      <c r="N185"/>
      <c r="O185"/>
    </row>
    <row r="186" spans="14:15" x14ac:dyDescent="0.35">
      <c r="N186"/>
      <c r="O186"/>
    </row>
    <row r="187" spans="14:15" x14ac:dyDescent="0.35">
      <c r="N187"/>
      <c r="O187"/>
    </row>
    <row r="188" spans="14:15" x14ac:dyDescent="0.35">
      <c r="N188"/>
      <c r="O188"/>
    </row>
    <row r="189" spans="14:15" x14ac:dyDescent="0.35">
      <c r="N189"/>
      <c r="O189"/>
    </row>
    <row r="190" spans="14:15" x14ac:dyDescent="0.35">
      <c r="N190"/>
      <c r="O190"/>
    </row>
    <row r="191" spans="14:15" x14ac:dyDescent="0.35">
      <c r="N191"/>
      <c r="O191"/>
    </row>
    <row r="192" spans="14:15" x14ac:dyDescent="0.35">
      <c r="N192"/>
      <c r="O192"/>
    </row>
    <row r="193" spans="14:15" x14ac:dyDescent="0.35">
      <c r="N193"/>
      <c r="O193"/>
    </row>
    <row r="194" spans="14:15" x14ac:dyDescent="0.35">
      <c r="N194"/>
      <c r="O194"/>
    </row>
    <row r="195" spans="14:15" x14ac:dyDescent="0.35">
      <c r="N195"/>
      <c r="O195"/>
    </row>
    <row r="196" spans="14:15" x14ac:dyDescent="0.35">
      <c r="N196"/>
      <c r="O196"/>
    </row>
    <row r="197" spans="14:15" x14ac:dyDescent="0.35">
      <c r="N197"/>
      <c r="O197"/>
    </row>
    <row r="198" spans="14:15" x14ac:dyDescent="0.35">
      <c r="N198"/>
      <c r="O198"/>
    </row>
    <row r="199" spans="14:15" x14ac:dyDescent="0.35">
      <c r="N199"/>
      <c r="O199"/>
    </row>
    <row r="200" spans="14:15" x14ac:dyDescent="0.35">
      <c r="N200"/>
      <c r="O200"/>
    </row>
    <row r="201" spans="14:15" x14ac:dyDescent="0.35">
      <c r="N201"/>
      <c r="O201"/>
    </row>
    <row r="202" spans="14:15" x14ac:dyDescent="0.35">
      <c r="N202"/>
      <c r="O202"/>
    </row>
    <row r="203" spans="14:15" x14ac:dyDescent="0.35">
      <c r="N203"/>
      <c r="O203"/>
    </row>
    <row r="204" spans="14:15" x14ac:dyDescent="0.35">
      <c r="N204"/>
      <c r="O204"/>
    </row>
    <row r="205" spans="14:15" x14ac:dyDescent="0.35">
      <c r="N205"/>
      <c r="O205"/>
    </row>
    <row r="206" spans="14:15" x14ac:dyDescent="0.35">
      <c r="N206"/>
      <c r="O206"/>
    </row>
    <row r="207" spans="14:15" x14ac:dyDescent="0.35">
      <c r="N207"/>
      <c r="O207"/>
    </row>
    <row r="208" spans="14:15" x14ac:dyDescent="0.35">
      <c r="N208"/>
      <c r="O208"/>
    </row>
    <row r="209" spans="14:15" x14ac:dyDescent="0.35">
      <c r="N209"/>
      <c r="O209"/>
    </row>
    <row r="210" spans="14:15" x14ac:dyDescent="0.35">
      <c r="N210"/>
      <c r="O210"/>
    </row>
    <row r="211" spans="14:15" x14ac:dyDescent="0.35">
      <c r="N211"/>
      <c r="O211"/>
    </row>
    <row r="212" spans="14:15" x14ac:dyDescent="0.35">
      <c r="N212"/>
      <c r="O212"/>
    </row>
    <row r="213" spans="14:15" x14ac:dyDescent="0.35">
      <c r="N213"/>
      <c r="O213"/>
    </row>
    <row r="214" spans="14:15" x14ac:dyDescent="0.35">
      <c r="N214"/>
      <c r="O214"/>
    </row>
    <row r="215" spans="14:15" x14ac:dyDescent="0.35">
      <c r="N215"/>
      <c r="O215"/>
    </row>
    <row r="216" spans="14:15" x14ac:dyDescent="0.35">
      <c r="N216"/>
      <c r="O216"/>
    </row>
    <row r="217" spans="14:15" x14ac:dyDescent="0.35">
      <c r="N217"/>
      <c r="O217"/>
    </row>
    <row r="218" spans="14:15" x14ac:dyDescent="0.35">
      <c r="N218"/>
      <c r="O218"/>
    </row>
    <row r="219" spans="14:15" x14ac:dyDescent="0.35">
      <c r="N219"/>
      <c r="O219"/>
    </row>
    <row r="220" spans="14:15" x14ac:dyDescent="0.35">
      <c r="N220"/>
      <c r="O220"/>
    </row>
    <row r="221" spans="14:15" x14ac:dyDescent="0.35">
      <c r="N221"/>
      <c r="O221"/>
    </row>
    <row r="222" spans="14:15" x14ac:dyDescent="0.35">
      <c r="N222"/>
      <c r="O222"/>
    </row>
    <row r="223" spans="14:15" x14ac:dyDescent="0.35">
      <c r="N223"/>
      <c r="O223"/>
    </row>
    <row r="224" spans="14:15" x14ac:dyDescent="0.35">
      <c r="N224"/>
      <c r="O224"/>
    </row>
    <row r="225" spans="14:15" x14ac:dyDescent="0.35">
      <c r="N225"/>
      <c r="O225"/>
    </row>
    <row r="226" spans="14:15" x14ac:dyDescent="0.35">
      <c r="N226"/>
      <c r="O226"/>
    </row>
    <row r="227" spans="14:15" x14ac:dyDescent="0.35">
      <c r="N227"/>
      <c r="O227"/>
    </row>
    <row r="228" spans="14:15" x14ac:dyDescent="0.35">
      <c r="N228"/>
      <c r="O228"/>
    </row>
    <row r="229" spans="14:15" x14ac:dyDescent="0.35">
      <c r="N229"/>
      <c r="O229"/>
    </row>
    <row r="230" spans="14:15" x14ac:dyDescent="0.35">
      <c r="N230"/>
      <c r="O230"/>
    </row>
    <row r="231" spans="14:15" x14ac:dyDescent="0.35">
      <c r="N231"/>
      <c r="O231"/>
    </row>
    <row r="232" spans="14:15" x14ac:dyDescent="0.35">
      <c r="N232"/>
      <c r="O232"/>
    </row>
    <row r="233" spans="14:15" x14ac:dyDescent="0.35">
      <c r="N233"/>
      <c r="O233"/>
    </row>
    <row r="234" spans="14:15" x14ac:dyDescent="0.35">
      <c r="N234"/>
      <c r="O234"/>
    </row>
    <row r="235" spans="14:15" x14ac:dyDescent="0.35">
      <c r="N235"/>
      <c r="O235"/>
    </row>
    <row r="236" spans="14:15" x14ac:dyDescent="0.35">
      <c r="N236"/>
      <c r="O236"/>
    </row>
    <row r="237" spans="14:15" x14ac:dyDescent="0.35">
      <c r="N237"/>
      <c r="O237"/>
    </row>
    <row r="238" spans="14:15" x14ac:dyDescent="0.35">
      <c r="N238"/>
      <c r="O238"/>
    </row>
    <row r="239" spans="14:15" x14ac:dyDescent="0.35">
      <c r="N239"/>
      <c r="O239"/>
    </row>
    <row r="240" spans="14:15" x14ac:dyDescent="0.35">
      <c r="N240"/>
      <c r="O240"/>
    </row>
    <row r="241" spans="14:15" x14ac:dyDescent="0.35">
      <c r="N241"/>
      <c r="O241"/>
    </row>
    <row r="242" spans="14:15" x14ac:dyDescent="0.35">
      <c r="N242"/>
      <c r="O242"/>
    </row>
    <row r="243" spans="14:15" x14ac:dyDescent="0.35">
      <c r="N243"/>
      <c r="O243"/>
    </row>
    <row r="244" spans="14:15" x14ac:dyDescent="0.35">
      <c r="N244"/>
      <c r="O244"/>
    </row>
    <row r="245" spans="14:15" x14ac:dyDescent="0.35">
      <c r="N245"/>
      <c r="O245"/>
    </row>
    <row r="246" spans="14:15" x14ac:dyDescent="0.35">
      <c r="N246"/>
      <c r="O246"/>
    </row>
    <row r="247" spans="14:15" x14ac:dyDescent="0.35">
      <c r="N247"/>
      <c r="O247"/>
    </row>
    <row r="248" spans="14:15" x14ac:dyDescent="0.35">
      <c r="N248"/>
      <c r="O248"/>
    </row>
    <row r="249" spans="14:15" x14ac:dyDescent="0.35">
      <c r="N249"/>
      <c r="O249"/>
    </row>
    <row r="250" spans="14:15" x14ac:dyDescent="0.35">
      <c r="N250"/>
      <c r="O250"/>
    </row>
    <row r="251" spans="14:15" x14ac:dyDescent="0.35">
      <c r="N251"/>
      <c r="O251"/>
    </row>
    <row r="252" spans="14:15" x14ac:dyDescent="0.35">
      <c r="N252"/>
      <c r="O252"/>
    </row>
    <row r="253" spans="14:15" x14ac:dyDescent="0.35">
      <c r="N253"/>
      <c r="O253"/>
    </row>
    <row r="254" spans="14:15" x14ac:dyDescent="0.35">
      <c r="N254"/>
      <c r="O254"/>
    </row>
    <row r="255" spans="14:15" x14ac:dyDescent="0.35">
      <c r="N255"/>
      <c r="O255"/>
    </row>
    <row r="256" spans="14:15" x14ac:dyDescent="0.35">
      <c r="N256"/>
      <c r="O256"/>
    </row>
    <row r="257" spans="14:15" x14ac:dyDescent="0.35">
      <c r="N257"/>
      <c r="O257"/>
    </row>
    <row r="258" spans="14:15" x14ac:dyDescent="0.35">
      <c r="N258"/>
      <c r="O258"/>
    </row>
    <row r="259" spans="14:15" x14ac:dyDescent="0.35">
      <c r="N259"/>
      <c r="O259"/>
    </row>
    <row r="260" spans="14:15" x14ac:dyDescent="0.35">
      <c r="N260"/>
      <c r="O260"/>
    </row>
    <row r="261" spans="14:15" x14ac:dyDescent="0.35">
      <c r="N261"/>
      <c r="O261"/>
    </row>
    <row r="262" spans="14:15" x14ac:dyDescent="0.35">
      <c r="N262"/>
      <c r="O262"/>
    </row>
    <row r="263" spans="14:15" x14ac:dyDescent="0.35">
      <c r="N263"/>
      <c r="O263"/>
    </row>
    <row r="264" spans="14:15" x14ac:dyDescent="0.35">
      <c r="N264"/>
      <c r="O264"/>
    </row>
    <row r="265" spans="14:15" x14ac:dyDescent="0.35">
      <c r="N265"/>
      <c r="O265"/>
    </row>
    <row r="266" spans="14:15" x14ac:dyDescent="0.35">
      <c r="N266"/>
      <c r="O266"/>
    </row>
    <row r="267" spans="14:15" x14ac:dyDescent="0.35">
      <c r="N267"/>
      <c r="O267"/>
    </row>
    <row r="268" spans="14:15" x14ac:dyDescent="0.35">
      <c r="N268"/>
      <c r="O268"/>
    </row>
    <row r="269" spans="14:15" x14ac:dyDescent="0.35">
      <c r="N269"/>
      <c r="O269"/>
    </row>
    <row r="270" spans="14:15" x14ac:dyDescent="0.35">
      <c r="N270"/>
      <c r="O270"/>
    </row>
    <row r="271" spans="14:15" x14ac:dyDescent="0.35">
      <c r="N271"/>
      <c r="O271"/>
    </row>
    <row r="272" spans="14:15" x14ac:dyDescent="0.35">
      <c r="N272"/>
      <c r="O272"/>
    </row>
    <row r="273" spans="14:15" x14ac:dyDescent="0.35">
      <c r="N273"/>
      <c r="O273"/>
    </row>
    <row r="274" spans="14:15" x14ac:dyDescent="0.35">
      <c r="N274"/>
      <c r="O274"/>
    </row>
    <row r="275" spans="14:15" x14ac:dyDescent="0.35">
      <c r="N275"/>
      <c r="O275"/>
    </row>
    <row r="276" spans="14:15" x14ac:dyDescent="0.35">
      <c r="N276"/>
      <c r="O276"/>
    </row>
    <row r="277" spans="14:15" x14ac:dyDescent="0.35">
      <c r="N277"/>
      <c r="O277"/>
    </row>
    <row r="278" spans="14:15" x14ac:dyDescent="0.35">
      <c r="N278"/>
      <c r="O278"/>
    </row>
    <row r="279" spans="14:15" x14ac:dyDescent="0.35">
      <c r="N279"/>
      <c r="O279"/>
    </row>
    <row r="280" spans="14:15" x14ac:dyDescent="0.35">
      <c r="N280"/>
      <c r="O280"/>
    </row>
    <row r="281" spans="14:15" x14ac:dyDescent="0.35">
      <c r="N281"/>
      <c r="O281"/>
    </row>
    <row r="282" spans="14:15" x14ac:dyDescent="0.35">
      <c r="N282"/>
      <c r="O282"/>
    </row>
    <row r="283" spans="14:15" x14ac:dyDescent="0.35">
      <c r="N283"/>
      <c r="O283"/>
    </row>
    <row r="284" spans="14:15" x14ac:dyDescent="0.35">
      <c r="N284"/>
      <c r="O284"/>
    </row>
    <row r="285" spans="14:15" x14ac:dyDescent="0.35">
      <c r="N285"/>
      <c r="O285"/>
    </row>
    <row r="286" spans="14:15" x14ac:dyDescent="0.35">
      <c r="N286"/>
      <c r="O286"/>
    </row>
    <row r="287" spans="14:15" x14ac:dyDescent="0.35">
      <c r="N287"/>
      <c r="O287"/>
    </row>
    <row r="288" spans="14:15" x14ac:dyDescent="0.35">
      <c r="N288"/>
      <c r="O288"/>
    </row>
    <row r="289" spans="14:15" x14ac:dyDescent="0.35">
      <c r="N289"/>
      <c r="O289"/>
    </row>
    <row r="290" spans="14:15" x14ac:dyDescent="0.35">
      <c r="N290"/>
      <c r="O290"/>
    </row>
    <row r="291" spans="14:15" x14ac:dyDescent="0.35">
      <c r="N291"/>
      <c r="O291"/>
    </row>
    <row r="292" spans="14:15" x14ac:dyDescent="0.35">
      <c r="N292"/>
      <c r="O292"/>
    </row>
    <row r="293" spans="14:15" x14ac:dyDescent="0.35">
      <c r="N293"/>
      <c r="O293"/>
    </row>
    <row r="294" spans="14:15" x14ac:dyDescent="0.35">
      <c r="N294"/>
      <c r="O294"/>
    </row>
    <row r="295" spans="14:15" x14ac:dyDescent="0.35">
      <c r="N295"/>
      <c r="O295"/>
    </row>
    <row r="296" spans="14:15" x14ac:dyDescent="0.35">
      <c r="N296"/>
      <c r="O296"/>
    </row>
    <row r="297" spans="14:15" x14ac:dyDescent="0.35">
      <c r="N297"/>
      <c r="O297"/>
    </row>
    <row r="298" spans="14:15" x14ac:dyDescent="0.35">
      <c r="N298"/>
      <c r="O298"/>
    </row>
    <row r="299" spans="14:15" x14ac:dyDescent="0.35">
      <c r="N299"/>
      <c r="O299"/>
    </row>
    <row r="300" spans="14:15" x14ac:dyDescent="0.35">
      <c r="N300"/>
      <c r="O300"/>
    </row>
    <row r="301" spans="14:15" x14ac:dyDescent="0.35">
      <c r="N301"/>
      <c r="O301"/>
    </row>
    <row r="302" spans="14:15" x14ac:dyDescent="0.35">
      <c r="N302"/>
      <c r="O302"/>
    </row>
    <row r="303" spans="14:15" x14ac:dyDescent="0.35">
      <c r="N303"/>
      <c r="O303"/>
    </row>
    <row r="304" spans="14:15" x14ac:dyDescent="0.35">
      <c r="N304"/>
      <c r="O304"/>
    </row>
    <row r="305" spans="14:15" x14ac:dyDescent="0.35">
      <c r="N305"/>
      <c r="O305"/>
    </row>
    <row r="306" spans="14:15" x14ac:dyDescent="0.35">
      <c r="N306"/>
      <c r="O306"/>
    </row>
    <row r="307" spans="14:15" x14ac:dyDescent="0.35">
      <c r="N307"/>
      <c r="O307"/>
    </row>
    <row r="308" spans="14:15" x14ac:dyDescent="0.35">
      <c r="N308"/>
      <c r="O308"/>
    </row>
    <row r="309" spans="14:15" x14ac:dyDescent="0.35">
      <c r="N309"/>
      <c r="O309"/>
    </row>
    <row r="310" spans="14:15" x14ac:dyDescent="0.35">
      <c r="N310"/>
      <c r="O310"/>
    </row>
    <row r="311" spans="14:15" x14ac:dyDescent="0.35">
      <c r="N311"/>
      <c r="O311"/>
    </row>
    <row r="312" spans="14:15" x14ac:dyDescent="0.35">
      <c r="N312"/>
      <c r="O312"/>
    </row>
    <row r="313" spans="14:15" x14ac:dyDescent="0.35">
      <c r="N313"/>
      <c r="O313"/>
    </row>
    <row r="314" spans="14:15" x14ac:dyDescent="0.35">
      <c r="N314"/>
      <c r="O314"/>
    </row>
    <row r="315" spans="14:15" x14ac:dyDescent="0.35">
      <c r="N315"/>
      <c r="O315"/>
    </row>
    <row r="316" spans="14:15" x14ac:dyDescent="0.35">
      <c r="N316"/>
      <c r="O316"/>
    </row>
    <row r="317" spans="14:15" x14ac:dyDescent="0.35">
      <c r="N317"/>
      <c r="O317"/>
    </row>
    <row r="318" spans="14:15" x14ac:dyDescent="0.35">
      <c r="N318"/>
      <c r="O318"/>
    </row>
    <row r="319" spans="14:15" x14ac:dyDescent="0.35">
      <c r="N319"/>
      <c r="O319"/>
    </row>
    <row r="320" spans="14:15" x14ac:dyDescent="0.35">
      <c r="N320"/>
      <c r="O320"/>
    </row>
    <row r="321" spans="14:15" x14ac:dyDescent="0.35">
      <c r="N321"/>
      <c r="O321"/>
    </row>
    <row r="322" spans="14:15" x14ac:dyDescent="0.35">
      <c r="N322"/>
      <c r="O322"/>
    </row>
    <row r="323" spans="14:15" x14ac:dyDescent="0.35">
      <c r="N323"/>
      <c r="O323"/>
    </row>
    <row r="324" spans="14:15" x14ac:dyDescent="0.35">
      <c r="N324"/>
      <c r="O324"/>
    </row>
    <row r="325" spans="14:15" x14ac:dyDescent="0.35">
      <c r="N325"/>
      <c r="O325"/>
    </row>
    <row r="326" spans="14:15" x14ac:dyDescent="0.35">
      <c r="N326"/>
      <c r="O326"/>
    </row>
    <row r="327" spans="14:15" x14ac:dyDescent="0.35">
      <c r="N327"/>
      <c r="O327"/>
    </row>
    <row r="328" spans="14:15" x14ac:dyDescent="0.35">
      <c r="N328"/>
      <c r="O328"/>
    </row>
    <row r="329" spans="14:15" x14ac:dyDescent="0.35">
      <c r="N329"/>
      <c r="O329"/>
    </row>
    <row r="330" spans="14:15" x14ac:dyDescent="0.35">
      <c r="N330"/>
      <c r="O330"/>
    </row>
    <row r="331" spans="14:15" x14ac:dyDescent="0.35">
      <c r="N331"/>
      <c r="O331"/>
    </row>
    <row r="332" spans="14:15" x14ac:dyDescent="0.35">
      <c r="N332"/>
      <c r="O332"/>
    </row>
    <row r="333" spans="14:15" x14ac:dyDescent="0.35">
      <c r="N333"/>
      <c r="O333"/>
    </row>
    <row r="334" spans="14:15" x14ac:dyDescent="0.35">
      <c r="N334"/>
      <c r="O334"/>
    </row>
    <row r="335" spans="14:15" x14ac:dyDescent="0.35">
      <c r="N335"/>
      <c r="O335"/>
    </row>
    <row r="336" spans="14:15" x14ac:dyDescent="0.35">
      <c r="N336"/>
      <c r="O336"/>
    </row>
    <row r="337" spans="14:15" x14ac:dyDescent="0.35">
      <c r="N337"/>
      <c r="O337"/>
    </row>
    <row r="338" spans="14:15" x14ac:dyDescent="0.35">
      <c r="N338"/>
      <c r="O338"/>
    </row>
    <row r="339" spans="14:15" x14ac:dyDescent="0.35">
      <c r="N339"/>
      <c r="O339"/>
    </row>
    <row r="340" spans="14:15" x14ac:dyDescent="0.35">
      <c r="N340"/>
      <c r="O340"/>
    </row>
    <row r="341" spans="14:15" x14ac:dyDescent="0.35">
      <c r="N341"/>
      <c r="O341"/>
    </row>
    <row r="342" spans="14:15" x14ac:dyDescent="0.35">
      <c r="N342"/>
      <c r="O342"/>
    </row>
    <row r="343" spans="14:15" x14ac:dyDescent="0.35">
      <c r="N343"/>
      <c r="O343"/>
    </row>
    <row r="344" spans="14:15" x14ac:dyDescent="0.35">
      <c r="N344"/>
      <c r="O344"/>
    </row>
    <row r="345" spans="14:15" x14ac:dyDescent="0.35">
      <c r="N345"/>
      <c r="O345"/>
    </row>
    <row r="346" spans="14:15" x14ac:dyDescent="0.35">
      <c r="N346"/>
      <c r="O346"/>
    </row>
    <row r="347" spans="14:15" x14ac:dyDescent="0.35">
      <c r="N347"/>
      <c r="O347"/>
    </row>
    <row r="348" spans="14:15" x14ac:dyDescent="0.35">
      <c r="N348"/>
      <c r="O348"/>
    </row>
    <row r="349" spans="14:15" x14ac:dyDescent="0.35">
      <c r="N349"/>
      <c r="O349"/>
    </row>
    <row r="350" spans="14:15" x14ac:dyDescent="0.35">
      <c r="N350"/>
      <c r="O350"/>
    </row>
    <row r="351" spans="14:15" x14ac:dyDescent="0.35">
      <c r="N351"/>
      <c r="O351"/>
    </row>
    <row r="352" spans="14:15" x14ac:dyDescent="0.35">
      <c r="N352"/>
      <c r="O352"/>
    </row>
    <row r="353" spans="14:15" x14ac:dyDescent="0.35">
      <c r="N353"/>
      <c r="O353"/>
    </row>
    <row r="354" spans="14:15" x14ac:dyDescent="0.35">
      <c r="N354"/>
      <c r="O354"/>
    </row>
    <row r="355" spans="14:15" x14ac:dyDescent="0.35">
      <c r="N355"/>
      <c r="O355"/>
    </row>
    <row r="356" spans="14:15" x14ac:dyDescent="0.35">
      <c r="N356"/>
      <c r="O356"/>
    </row>
    <row r="357" spans="14:15" x14ac:dyDescent="0.35">
      <c r="N357"/>
      <c r="O357"/>
    </row>
    <row r="358" spans="14:15" x14ac:dyDescent="0.35">
      <c r="N358"/>
      <c r="O358"/>
    </row>
    <row r="359" spans="14:15" x14ac:dyDescent="0.35">
      <c r="N359"/>
      <c r="O359"/>
    </row>
    <row r="360" spans="14:15" x14ac:dyDescent="0.35">
      <c r="N360"/>
      <c r="O360"/>
    </row>
    <row r="361" spans="14:15" x14ac:dyDescent="0.35">
      <c r="N361"/>
      <c r="O361"/>
    </row>
    <row r="362" spans="14:15" x14ac:dyDescent="0.35">
      <c r="N362"/>
      <c r="O362"/>
    </row>
    <row r="363" spans="14:15" x14ac:dyDescent="0.35">
      <c r="N363"/>
      <c r="O363"/>
    </row>
    <row r="364" spans="14:15" x14ac:dyDescent="0.35">
      <c r="N364"/>
      <c r="O364"/>
    </row>
    <row r="365" spans="14:15" x14ac:dyDescent="0.35">
      <c r="N365"/>
      <c r="O365"/>
    </row>
    <row r="366" spans="14:15" x14ac:dyDescent="0.35">
      <c r="N366"/>
      <c r="O366"/>
    </row>
    <row r="367" spans="14:15" x14ac:dyDescent="0.35">
      <c r="N367"/>
      <c r="O367"/>
    </row>
    <row r="368" spans="14:15" x14ac:dyDescent="0.35">
      <c r="N368"/>
      <c r="O368"/>
    </row>
    <row r="369" spans="14:15" x14ac:dyDescent="0.35">
      <c r="N369"/>
      <c r="O369"/>
    </row>
    <row r="370" spans="14:15" x14ac:dyDescent="0.35">
      <c r="N370"/>
      <c r="O370"/>
    </row>
    <row r="371" spans="14:15" x14ac:dyDescent="0.35">
      <c r="N371"/>
      <c r="O371"/>
    </row>
    <row r="372" spans="14:15" x14ac:dyDescent="0.35">
      <c r="N372"/>
      <c r="O372"/>
    </row>
    <row r="373" spans="14:15" x14ac:dyDescent="0.35">
      <c r="N373"/>
      <c r="O373"/>
    </row>
    <row r="374" spans="14:15" x14ac:dyDescent="0.35">
      <c r="N374"/>
      <c r="O374"/>
    </row>
    <row r="375" spans="14:15" x14ac:dyDescent="0.35">
      <c r="N375"/>
      <c r="O375"/>
    </row>
    <row r="376" spans="14:15" x14ac:dyDescent="0.35">
      <c r="N376"/>
      <c r="O376"/>
    </row>
    <row r="377" spans="14:15" x14ac:dyDescent="0.35">
      <c r="N377"/>
      <c r="O377"/>
    </row>
    <row r="378" spans="14:15" x14ac:dyDescent="0.35">
      <c r="N378"/>
      <c r="O378"/>
    </row>
    <row r="379" spans="14:15" x14ac:dyDescent="0.35">
      <c r="N379"/>
      <c r="O379"/>
    </row>
    <row r="380" spans="14:15" x14ac:dyDescent="0.35">
      <c r="N380"/>
      <c r="O380"/>
    </row>
    <row r="381" spans="14:15" x14ac:dyDescent="0.35">
      <c r="N381"/>
      <c r="O381"/>
    </row>
    <row r="382" spans="14:15" x14ac:dyDescent="0.35">
      <c r="N382"/>
      <c r="O382"/>
    </row>
    <row r="383" spans="14:15" x14ac:dyDescent="0.35">
      <c r="N383"/>
      <c r="O383"/>
    </row>
    <row r="384" spans="14:15" x14ac:dyDescent="0.35">
      <c r="N384"/>
      <c r="O384"/>
    </row>
    <row r="385" spans="14:15" x14ac:dyDescent="0.35">
      <c r="N385"/>
      <c r="O385"/>
    </row>
    <row r="386" spans="14:15" x14ac:dyDescent="0.35">
      <c r="N386"/>
      <c r="O386"/>
    </row>
    <row r="387" spans="14:15" x14ac:dyDescent="0.35">
      <c r="N387"/>
      <c r="O387"/>
    </row>
    <row r="388" spans="14:15" x14ac:dyDescent="0.35">
      <c r="N388"/>
      <c r="O388"/>
    </row>
    <row r="389" spans="14:15" x14ac:dyDescent="0.35">
      <c r="N389"/>
      <c r="O389"/>
    </row>
    <row r="390" spans="14:15" x14ac:dyDescent="0.35">
      <c r="N390"/>
      <c r="O390"/>
    </row>
    <row r="391" spans="14:15" x14ac:dyDescent="0.35">
      <c r="N391"/>
      <c r="O391"/>
    </row>
    <row r="392" spans="14:15" x14ac:dyDescent="0.35">
      <c r="N392"/>
      <c r="O392"/>
    </row>
    <row r="393" spans="14:15" x14ac:dyDescent="0.35">
      <c r="N393"/>
      <c r="O393"/>
    </row>
    <row r="394" spans="14:15" x14ac:dyDescent="0.35">
      <c r="N394"/>
      <c r="O394"/>
    </row>
    <row r="395" spans="14:15" x14ac:dyDescent="0.35">
      <c r="N395"/>
      <c r="O395"/>
    </row>
    <row r="396" spans="14:15" x14ac:dyDescent="0.35">
      <c r="N396"/>
      <c r="O396"/>
    </row>
    <row r="397" spans="14:15" x14ac:dyDescent="0.35">
      <c r="N397"/>
      <c r="O397"/>
    </row>
    <row r="398" spans="14:15" x14ac:dyDescent="0.35">
      <c r="N398"/>
      <c r="O398"/>
    </row>
    <row r="399" spans="14:15" x14ac:dyDescent="0.35">
      <c r="N399"/>
      <c r="O399"/>
    </row>
    <row r="400" spans="14:15" x14ac:dyDescent="0.35">
      <c r="N400"/>
      <c r="O400"/>
    </row>
    <row r="401" spans="14:15" x14ac:dyDescent="0.35">
      <c r="N401"/>
      <c r="O401"/>
    </row>
    <row r="402" spans="14:15" x14ac:dyDescent="0.35">
      <c r="N402"/>
      <c r="O402"/>
    </row>
    <row r="403" spans="14:15" x14ac:dyDescent="0.35">
      <c r="N403"/>
      <c r="O403"/>
    </row>
    <row r="404" spans="14:15" x14ac:dyDescent="0.35">
      <c r="N404"/>
      <c r="O404"/>
    </row>
    <row r="405" spans="14:15" x14ac:dyDescent="0.35">
      <c r="N405"/>
      <c r="O405"/>
    </row>
    <row r="406" spans="14:15" x14ac:dyDescent="0.35">
      <c r="N406"/>
      <c r="O406"/>
    </row>
    <row r="407" spans="14:15" x14ac:dyDescent="0.35">
      <c r="N407"/>
      <c r="O407"/>
    </row>
    <row r="408" spans="14:15" x14ac:dyDescent="0.35">
      <c r="N408"/>
      <c r="O408"/>
    </row>
    <row r="409" spans="14:15" x14ac:dyDescent="0.35">
      <c r="N409"/>
      <c r="O409"/>
    </row>
    <row r="410" spans="14:15" x14ac:dyDescent="0.35">
      <c r="N410"/>
      <c r="O410"/>
    </row>
    <row r="411" spans="14:15" x14ac:dyDescent="0.35">
      <c r="N411"/>
      <c r="O411"/>
    </row>
    <row r="412" spans="14:15" x14ac:dyDescent="0.35">
      <c r="N412"/>
      <c r="O412"/>
    </row>
    <row r="413" spans="14:15" x14ac:dyDescent="0.35">
      <c r="N413"/>
      <c r="O413"/>
    </row>
    <row r="414" spans="14:15" x14ac:dyDescent="0.35">
      <c r="N414"/>
      <c r="O414"/>
    </row>
    <row r="415" spans="14:15" x14ac:dyDescent="0.35">
      <c r="N415"/>
      <c r="O415"/>
    </row>
    <row r="416" spans="14:15" x14ac:dyDescent="0.35">
      <c r="N416"/>
      <c r="O416"/>
    </row>
    <row r="417" spans="14:15" x14ac:dyDescent="0.35">
      <c r="N417"/>
      <c r="O417"/>
    </row>
    <row r="418" spans="14:15" x14ac:dyDescent="0.35">
      <c r="N418"/>
      <c r="O418"/>
    </row>
    <row r="419" spans="14:15" x14ac:dyDescent="0.35">
      <c r="N419"/>
      <c r="O419"/>
    </row>
    <row r="420" spans="14:15" x14ac:dyDescent="0.35">
      <c r="N420"/>
      <c r="O420"/>
    </row>
    <row r="421" spans="14:15" x14ac:dyDescent="0.35">
      <c r="N421"/>
      <c r="O421"/>
    </row>
    <row r="422" spans="14:15" x14ac:dyDescent="0.35">
      <c r="N422"/>
      <c r="O422"/>
    </row>
    <row r="423" spans="14:15" x14ac:dyDescent="0.35">
      <c r="N423"/>
      <c r="O423"/>
    </row>
    <row r="424" spans="14:15" x14ac:dyDescent="0.35">
      <c r="N424"/>
      <c r="O424"/>
    </row>
    <row r="425" spans="14:15" x14ac:dyDescent="0.35">
      <c r="N425"/>
      <c r="O425"/>
    </row>
    <row r="426" spans="14:15" x14ac:dyDescent="0.35">
      <c r="N426"/>
      <c r="O426"/>
    </row>
    <row r="427" spans="14:15" x14ac:dyDescent="0.35">
      <c r="N427"/>
      <c r="O427"/>
    </row>
    <row r="428" spans="14:15" x14ac:dyDescent="0.35">
      <c r="N428"/>
      <c r="O428"/>
    </row>
    <row r="429" spans="14:15" x14ac:dyDescent="0.35">
      <c r="N429"/>
      <c r="O429"/>
    </row>
    <row r="430" spans="14:15" x14ac:dyDescent="0.35">
      <c r="N430"/>
      <c r="O430"/>
    </row>
    <row r="431" spans="14:15" x14ac:dyDescent="0.35">
      <c r="N431"/>
      <c r="O431"/>
    </row>
    <row r="432" spans="14:15" x14ac:dyDescent="0.35">
      <c r="N432"/>
      <c r="O432"/>
    </row>
    <row r="433" spans="14:15" x14ac:dyDescent="0.35">
      <c r="N433"/>
      <c r="O433"/>
    </row>
    <row r="434" spans="14:15" x14ac:dyDescent="0.35">
      <c r="N434"/>
      <c r="O434"/>
    </row>
    <row r="435" spans="14:15" x14ac:dyDescent="0.35">
      <c r="N435"/>
      <c r="O435"/>
    </row>
    <row r="436" spans="14:15" x14ac:dyDescent="0.35">
      <c r="N436"/>
      <c r="O436"/>
    </row>
    <row r="437" spans="14:15" x14ac:dyDescent="0.35">
      <c r="N437"/>
      <c r="O437"/>
    </row>
    <row r="438" spans="14:15" x14ac:dyDescent="0.35">
      <c r="N438"/>
      <c r="O438"/>
    </row>
    <row r="439" spans="14:15" x14ac:dyDescent="0.35">
      <c r="N439"/>
      <c r="O439"/>
    </row>
    <row r="440" spans="14:15" x14ac:dyDescent="0.35">
      <c r="N440"/>
      <c r="O440"/>
    </row>
    <row r="441" spans="14:15" x14ac:dyDescent="0.35">
      <c r="N441"/>
      <c r="O441"/>
    </row>
    <row r="442" spans="14:15" x14ac:dyDescent="0.35">
      <c r="N442"/>
      <c r="O442"/>
    </row>
    <row r="443" spans="14:15" x14ac:dyDescent="0.35">
      <c r="N443"/>
      <c r="O443"/>
    </row>
    <row r="444" spans="14:15" x14ac:dyDescent="0.35">
      <c r="N444"/>
      <c r="O444"/>
    </row>
    <row r="445" spans="14:15" x14ac:dyDescent="0.35">
      <c r="N445"/>
      <c r="O445"/>
    </row>
    <row r="446" spans="14:15" x14ac:dyDescent="0.35">
      <c r="N446"/>
      <c r="O446"/>
    </row>
    <row r="447" spans="14:15" x14ac:dyDescent="0.35">
      <c r="N447"/>
      <c r="O447"/>
    </row>
    <row r="448" spans="14:15" x14ac:dyDescent="0.35">
      <c r="N448"/>
      <c r="O448"/>
    </row>
    <row r="449" spans="14:15" x14ac:dyDescent="0.35">
      <c r="N449"/>
      <c r="O449"/>
    </row>
    <row r="450" spans="14:15" x14ac:dyDescent="0.35">
      <c r="N450"/>
      <c r="O450"/>
    </row>
    <row r="451" spans="14:15" x14ac:dyDescent="0.35">
      <c r="N451"/>
      <c r="O451"/>
    </row>
    <row r="452" spans="14:15" x14ac:dyDescent="0.35">
      <c r="N452"/>
      <c r="O452"/>
    </row>
    <row r="453" spans="14:15" x14ac:dyDescent="0.35">
      <c r="N453"/>
      <c r="O453"/>
    </row>
    <row r="454" spans="14:15" x14ac:dyDescent="0.35">
      <c r="N454"/>
      <c r="O454"/>
    </row>
    <row r="455" spans="14:15" x14ac:dyDescent="0.35">
      <c r="N455"/>
      <c r="O455"/>
    </row>
    <row r="456" spans="14:15" x14ac:dyDescent="0.35">
      <c r="N456"/>
      <c r="O456"/>
    </row>
    <row r="457" spans="14:15" x14ac:dyDescent="0.35">
      <c r="N457"/>
      <c r="O457"/>
    </row>
    <row r="458" spans="14:15" x14ac:dyDescent="0.35">
      <c r="N458"/>
      <c r="O458"/>
    </row>
    <row r="459" spans="14:15" x14ac:dyDescent="0.35">
      <c r="N459"/>
      <c r="O459"/>
    </row>
    <row r="460" spans="14:15" x14ac:dyDescent="0.35">
      <c r="N460"/>
      <c r="O460"/>
    </row>
    <row r="461" spans="14:15" x14ac:dyDescent="0.35">
      <c r="N461"/>
      <c r="O461"/>
    </row>
    <row r="462" spans="14:15" x14ac:dyDescent="0.35">
      <c r="N462"/>
      <c r="O462"/>
    </row>
    <row r="463" spans="14:15" x14ac:dyDescent="0.35">
      <c r="N463"/>
      <c r="O463"/>
    </row>
    <row r="464" spans="14:15" x14ac:dyDescent="0.35">
      <c r="N464"/>
      <c r="O464"/>
    </row>
    <row r="465" spans="14:15" x14ac:dyDescent="0.35">
      <c r="N465"/>
      <c r="O465"/>
    </row>
    <row r="466" spans="14:15" x14ac:dyDescent="0.35">
      <c r="N466"/>
      <c r="O466"/>
    </row>
    <row r="467" spans="14:15" x14ac:dyDescent="0.35">
      <c r="N467"/>
      <c r="O467"/>
    </row>
    <row r="468" spans="14:15" x14ac:dyDescent="0.35">
      <c r="N468"/>
      <c r="O468"/>
    </row>
    <row r="469" spans="14:15" x14ac:dyDescent="0.35">
      <c r="N469"/>
      <c r="O469"/>
    </row>
    <row r="470" spans="14:15" x14ac:dyDescent="0.35">
      <c r="N470"/>
      <c r="O470"/>
    </row>
    <row r="471" spans="14:15" x14ac:dyDescent="0.35">
      <c r="N471"/>
      <c r="O471"/>
    </row>
    <row r="472" spans="14:15" x14ac:dyDescent="0.35">
      <c r="N472"/>
      <c r="O472"/>
    </row>
    <row r="473" spans="14:15" x14ac:dyDescent="0.35">
      <c r="N473"/>
      <c r="O473"/>
    </row>
    <row r="474" spans="14:15" x14ac:dyDescent="0.35">
      <c r="N474"/>
      <c r="O474"/>
    </row>
    <row r="475" spans="14:15" x14ac:dyDescent="0.35">
      <c r="N475"/>
      <c r="O475"/>
    </row>
    <row r="476" spans="14:15" x14ac:dyDescent="0.35">
      <c r="N476"/>
      <c r="O476"/>
    </row>
    <row r="477" spans="14:15" x14ac:dyDescent="0.35">
      <c r="N477"/>
      <c r="O477"/>
    </row>
    <row r="478" spans="14:15" x14ac:dyDescent="0.35">
      <c r="N478"/>
      <c r="O478"/>
    </row>
    <row r="479" spans="14:15" x14ac:dyDescent="0.35">
      <c r="N479"/>
      <c r="O479"/>
    </row>
    <row r="480" spans="14:15" x14ac:dyDescent="0.35">
      <c r="N480"/>
      <c r="O480"/>
    </row>
    <row r="481" spans="14:15" x14ac:dyDescent="0.35">
      <c r="N481"/>
      <c r="O481"/>
    </row>
    <row r="482" spans="14:15" x14ac:dyDescent="0.35">
      <c r="N482"/>
      <c r="O482"/>
    </row>
    <row r="483" spans="14:15" x14ac:dyDescent="0.35">
      <c r="N483"/>
      <c r="O483"/>
    </row>
    <row r="484" spans="14:15" x14ac:dyDescent="0.35">
      <c r="N484"/>
      <c r="O484"/>
    </row>
    <row r="485" spans="14:15" x14ac:dyDescent="0.35">
      <c r="N485"/>
      <c r="O485"/>
    </row>
    <row r="486" spans="14:15" x14ac:dyDescent="0.35">
      <c r="N486"/>
      <c r="O486"/>
    </row>
    <row r="487" spans="14:15" x14ac:dyDescent="0.35">
      <c r="N487"/>
      <c r="O487"/>
    </row>
    <row r="488" spans="14:15" x14ac:dyDescent="0.35">
      <c r="N488"/>
      <c r="O488"/>
    </row>
    <row r="489" spans="14:15" x14ac:dyDescent="0.35">
      <c r="N489"/>
      <c r="O489"/>
    </row>
    <row r="490" spans="14:15" x14ac:dyDescent="0.35">
      <c r="N490"/>
      <c r="O490"/>
    </row>
    <row r="491" spans="14:15" x14ac:dyDescent="0.35">
      <c r="N491"/>
      <c r="O491"/>
    </row>
    <row r="492" spans="14:15" x14ac:dyDescent="0.35">
      <c r="N492"/>
      <c r="O492"/>
    </row>
    <row r="493" spans="14:15" x14ac:dyDescent="0.35">
      <c r="N493"/>
      <c r="O493"/>
    </row>
    <row r="494" spans="14:15" x14ac:dyDescent="0.35">
      <c r="N494"/>
      <c r="O494"/>
    </row>
    <row r="495" spans="14:15" x14ac:dyDescent="0.35">
      <c r="N495"/>
      <c r="O495"/>
    </row>
    <row r="496" spans="14:15" x14ac:dyDescent="0.35">
      <c r="N496"/>
      <c r="O496"/>
    </row>
    <row r="497" spans="14:15" x14ac:dyDescent="0.35">
      <c r="N497"/>
      <c r="O497"/>
    </row>
    <row r="498" spans="14:15" x14ac:dyDescent="0.35">
      <c r="N498"/>
      <c r="O498"/>
    </row>
    <row r="499" spans="14:15" x14ac:dyDescent="0.35">
      <c r="N499"/>
      <c r="O499"/>
    </row>
    <row r="500" spans="14:15" x14ac:dyDescent="0.35">
      <c r="N500"/>
      <c r="O500"/>
    </row>
    <row r="501" spans="14:15" x14ac:dyDescent="0.35">
      <c r="N501"/>
      <c r="O501"/>
    </row>
    <row r="502" spans="14:15" x14ac:dyDescent="0.35">
      <c r="N502"/>
      <c r="O502"/>
    </row>
    <row r="503" spans="14:15" x14ac:dyDescent="0.35">
      <c r="N503"/>
      <c r="O503"/>
    </row>
    <row r="504" spans="14:15" x14ac:dyDescent="0.35">
      <c r="N504"/>
      <c r="O504"/>
    </row>
    <row r="505" spans="14:15" x14ac:dyDescent="0.35">
      <c r="N505"/>
      <c r="O505"/>
    </row>
    <row r="506" spans="14:15" x14ac:dyDescent="0.35">
      <c r="N506"/>
      <c r="O506"/>
    </row>
    <row r="507" spans="14:15" x14ac:dyDescent="0.35">
      <c r="N507"/>
      <c r="O507"/>
    </row>
    <row r="508" spans="14:15" x14ac:dyDescent="0.35">
      <c r="N508"/>
      <c r="O508"/>
    </row>
    <row r="509" spans="14:15" x14ac:dyDescent="0.35">
      <c r="N509"/>
      <c r="O509"/>
    </row>
    <row r="510" spans="14:15" x14ac:dyDescent="0.35">
      <c r="N510"/>
      <c r="O510"/>
    </row>
    <row r="511" spans="14:15" x14ac:dyDescent="0.35">
      <c r="N511"/>
      <c r="O511"/>
    </row>
    <row r="512" spans="14:15" x14ac:dyDescent="0.35">
      <c r="N512"/>
      <c r="O512"/>
    </row>
    <row r="513" spans="14:15" x14ac:dyDescent="0.35">
      <c r="N513"/>
      <c r="O513"/>
    </row>
    <row r="514" spans="14:15" x14ac:dyDescent="0.35">
      <c r="N514"/>
      <c r="O514"/>
    </row>
    <row r="515" spans="14:15" x14ac:dyDescent="0.35">
      <c r="N515"/>
      <c r="O515"/>
    </row>
    <row r="516" spans="14:15" x14ac:dyDescent="0.35">
      <c r="N516"/>
      <c r="O516"/>
    </row>
    <row r="517" spans="14:15" x14ac:dyDescent="0.35">
      <c r="N517"/>
      <c r="O517"/>
    </row>
    <row r="518" spans="14:15" x14ac:dyDescent="0.35">
      <c r="N518"/>
      <c r="O518"/>
    </row>
    <row r="519" spans="14:15" x14ac:dyDescent="0.35">
      <c r="N519"/>
      <c r="O519"/>
    </row>
    <row r="520" spans="14:15" x14ac:dyDescent="0.35">
      <c r="N520"/>
      <c r="O520"/>
    </row>
    <row r="521" spans="14:15" x14ac:dyDescent="0.35">
      <c r="N521"/>
      <c r="O521"/>
    </row>
    <row r="522" spans="14:15" x14ac:dyDescent="0.35">
      <c r="N522"/>
      <c r="O522"/>
    </row>
    <row r="523" spans="14:15" x14ac:dyDescent="0.35">
      <c r="N523"/>
      <c r="O523"/>
    </row>
    <row r="524" spans="14:15" x14ac:dyDescent="0.35">
      <c r="N524"/>
      <c r="O524"/>
    </row>
    <row r="525" spans="14:15" x14ac:dyDescent="0.35">
      <c r="N525"/>
      <c r="O525"/>
    </row>
    <row r="526" spans="14:15" x14ac:dyDescent="0.35">
      <c r="N526"/>
      <c r="O526"/>
    </row>
    <row r="527" spans="14:15" x14ac:dyDescent="0.35">
      <c r="N527"/>
      <c r="O527"/>
    </row>
    <row r="528" spans="14:15" x14ac:dyDescent="0.35">
      <c r="N528"/>
      <c r="O528"/>
    </row>
    <row r="529" spans="14:15" x14ac:dyDescent="0.35">
      <c r="N529"/>
      <c r="O529"/>
    </row>
    <row r="530" spans="14:15" x14ac:dyDescent="0.35">
      <c r="N530"/>
      <c r="O530"/>
    </row>
    <row r="531" spans="14:15" x14ac:dyDescent="0.35">
      <c r="N531"/>
      <c r="O531"/>
    </row>
    <row r="532" spans="14:15" x14ac:dyDescent="0.35">
      <c r="N532"/>
      <c r="O532"/>
    </row>
    <row r="533" spans="14:15" x14ac:dyDescent="0.35">
      <c r="N533"/>
      <c r="O533"/>
    </row>
    <row r="534" spans="14:15" x14ac:dyDescent="0.35">
      <c r="N534"/>
      <c r="O534"/>
    </row>
    <row r="535" spans="14:15" x14ac:dyDescent="0.35">
      <c r="N535"/>
      <c r="O535"/>
    </row>
    <row r="536" spans="14:15" x14ac:dyDescent="0.35">
      <c r="N536"/>
      <c r="O536"/>
    </row>
    <row r="537" spans="14:15" x14ac:dyDescent="0.35">
      <c r="N537"/>
      <c r="O537"/>
    </row>
    <row r="538" spans="14:15" x14ac:dyDescent="0.35">
      <c r="N538"/>
      <c r="O538"/>
    </row>
    <row r="539" spans="14:15" x14ac:dyDescent="0.35">
      <c r="N539"/>
      <c r="O539"/>
    </row>
    <row r="540" spans="14:15" x14ac:dyDescent="0.35">
      <c r="N540"/>
      <c r="O540"/>
    </row>
    <row r="541" spans="14:15" x14ac:dyDescent="0.35">
      <c r="N541"/>
      <c r="O541"/>
    </row>
    <row r="542" spans="14:15" x14ac:dyDescent="0.35">
      <c r="N542"/>
      <c r="O542"/>
    </row>
    <row r="543" spans="14:15" x14ac:dyDescent="0.35">
      <c r="N543"/>
      <c r="O543"/>
    </row>
    <row r="544" spans="14:15" x14ac:dyDescent="0.35">
      <c r="N544"/>
      <c r="O544"/>
    </row>
    <row r="545" spans="14:15" x14ac:dyDescent="0.35">
      <c r="N545"/>
      <c r="O545"/>
    </row>
    <row r="546" spans="14:15" x14ac:dyDescent="0.35">
      <c r="N546"/>
      <c r="O546"/>
    </row>
    <row r="547" spans="14:15" x14ac:dyDescent="0.35">
      <c r="N547"/>
      <c r="O547"/>
    </row>
    <row r="548" spans="14:15" x14ac:dyDescent="0.35">
      <c r="N548"/>
      <c r="O548"/>
    </row>
    <row r="549" spans="14:15" x14ac:dyDescent="0.35">
      <c r="N549"/>
      <c r="O549"/>
    </row>
    <row r="550" spans="14:15" x14ac:dyDescent="0.35">
      <c r="N550"/>
      <c r="O550"/>
    </row>
    <row r="551" spans="14:15" x14ac:dyDescent="0.35">
      <c r="N551"/>
      <c r="O551"/>
    </row>
    <row r="552" spans="14:15" x14ac:dyDescent="0.35">
      <c r="N552"/>
      <c r="O552"/>
    </row>
    <row r="553" spans="14:15" x14ac:dyDescent="0.35">
      <c r="N553"/>
      <c r="O553"/>
    </row>
    <row r="554" spans="14:15" x14ac:dyDescent="0.35">
      <c r="N554"/>
      <c r="O554"/>
    </row>
    <row r="555" spans="14:15" x14ac:dyDescent="0.35">
      <c r="N555"/>
      <c r="O555"/>
    </row>
    <row r="556" spans="14:15" x14ac:dyDescent="0.35">
      <c r="N556"/>
      <c r="O556"/>
    </row>
    <row r="557" spans="14:15" x14ac:dyDescent="0.35">
      <c r="N557"/>
      <c r="O557"/>
    </row>
    <row r="558" spans="14:15" x14ac:dyDescent="0.35">
      <c r="N558"/>
      <c r="O558"/>
    </row>
    <row r="559" spans="14:15" x14ac:dyDescent="0.35">
      <c r="N559"/>
      <c r="O559"/>
    </row>
    <row r="560" spans="14:15" x14ac:dyDescent="0.35">
      <c r="N560"/>
      <c r="O560"/>
    </row>
    <row r="561" spans="14:15" x14ac:dyDescent="0.35">
      <c r="N561"/>
      <c r="O561"/>
    </row>
    <row r="562" spans="14:15" x14ac:dyDescent="0.35">
      <c r="N562"/>
      <c r="O562"/>
    </row>
    <row r="563" spans="14:15" x14ac:dyDescent="0.35">
      <c r="N563"/>
      <c r="O563"/>
    </row>
    <row r="564" spans="14:15" x14ac:dyDescent="0.35">
      <c r="N564"/>
      <c r="O564"/>
    </row>
    <row r="565" spans="14:15" x14ac:dyDescent="0.35">
      <c r="N565"/>
      <c r="O565"/>
    </row>
    <row r="566" spans="14:15" x14ac:dyDescent="0.35">
      <c r="N566"/>
      <c r="O566"/>
    </row>
    <row r="567" spans="14:15" x14ac:dyDescent="0.35">
      <c r="N567"/>
      <c r="O567"/>
    </row>
    <row r="568" spans="14:15" x14ac:dyDescent="0.35">
      <c r="N568"/>
      <c r="O568"/>
    </row>
    <row r="569" spans="14:15" x14ac:dyDescent="0.35">
      <c r="N569"/>
      <c r="O569"/>
    </row>
    <row r="570" spans="14:15" x14ac:dyDescent="0.35">
      <c r="N570"/>
      <c r="O570"/>
    </row>
    <row r="571" spans="14:15" x14ac:dyDescent="0.35">
      <c r="N571"/>
      <c r="O571"/>
    </row>
    <row r="572" spans="14:15" x14ac:dyDescent="0.35">
      <c r="N572"/>
      <c r="O572"/>
    </row>
    <row r="573" spans="14:15" x14ac:dyDescent="0.35">
      <c r="N573"/>
      <c r="O573"/>
    </row>
    <row r="574" spans="14:15" x14ac:dyDescent="0.35">
      <c r="N574"/>
      <c r="O574"/>
    </row>
    <row r="575" spans="14:15" x14ac:dyDescent="0.35">
      <c r="N575"/>
      <c r="O575"/>
    </row>
    <row r="576" spans="14:15" x14ac:dyDescent="0.35">
      <c r="N576"/>
      <c r="O576"/>
    </row>
    <row r="577" spans="14:15" x14ac:dyDescent="0.35">
      <c r="N577"/>
      <c r="O577"/>
    </row>
    <row r="578" spans="14:15" x14ac:dyDescent="0.35">
      <c r="N578"/>
      <c r="O578"/>
    </row>
    <row r="579" spans="14:15" x14ac:dyDescent="0.35">
      <c r="N579"/>
      <c r="O579"/>
    </row>
    <row r="580" spans="14:15" x14ac:dyDescent="0.35">
      <c r="N580"/>
      <c r="O580"/>
    </row>
    <row r="581" spans="14:15" x14ac:dyDescent="0.35">
      <c r="N581"/>
      <c r="O581"/>
    </row>
    <row r="582" spans="14:15" x14ac:dyDescent="0.35">
      <c r="N582"/>
      <c r="O582"/>
    </row>
    <row r="583" spans="14:15" x14ac:dyDescent="0.35">
      <c r="N583"/>
      <c r="O583"/>
    </row>
    <row r="584" spans="14:15" x14ac:dyDescent="0.35">
      <c r="N584"/>
      <c r="O584"/>
    </row>
    <row r="585" spans="14:15" x14ac:dyDescent="0.35">
      <c r="N585"/>
      <c r="O585"/>
    </row>
    <row r="586" spans="14:15" x14ac:dyDescent="0.35">
      <c r="N586"/>
      <c r="O586"/>
    </row>
    <row r="587" spans="14:15" x14ac:dyDescent="0.35">
      <c r="N587"/>
      <c r="O587"/>
    </row>
    <row r="588" spans="14:15" x14ac:dyDescent="0.35">
      <c r="N588"/>
      <c r="O588"/>
    </row>
    <row r="589" spans="14:15" x14ac:dyDescent="0.35">
      <c r="N589"/>
      <c r="O589"/>
    </row>
    <row r="590" spans="14:15" x14ac:dyDescent="0.35">
      <c r="N590"/>
      <c r="O590"/>
    </row>
    <row r="591" spans="14:15" x14ac:dyDescent="0.35">
      <c r="N591"/>
      <c r="O591"/>
    </row>
    <row r="592" spans="14:15" x14ac:dyDescent="0.35">
      <c r="N592"/>
      <c r="O592"/>
    </row>
    <row r="593" spans="14:15" x14ac:dyDescent="0.35">
      <c r="N593"/>
      <c r="O593"/>
    </row>
    <row r="594" spans="14:15" x14ac:dyDescent="0.35">
      <c r="N594"/>
      <c r="O594"/>
    </row>
    <row r="595" spans="14:15" x14ac:dyDescent="0.35">
      <c r="N595"/>
      <c r="O595"/>
    </row>
    <row r="596" spans="14:15" x14ac:dyDescent="0.35">
      <c r="N596"/>
      <c r="O596"/>
    </row>
    <row r="597" spans="14:15" x14ac:dyDescent="0.35">
      <c r="N597"/>
      <c r="O597"/>
    </row>
    <row r="598" spans="14:15" x14ac:dyDescent="0.35">
      <c r="N598"/>
      <c r="O598"/>
    </row>
    <row r="599" spans="14:15" x14ac:dyDescent="0.35">
      <c r="N599"/>
      <c r="O599"/>
    </row>
    <row r="600" spans="14:15" x14ac:dyDescent="0.35">
      <c r="N600"/>
      <c r="O600"/>
    </row>
    <row r="601" spans="14:15" x14ac:dyDescent="0.35">
      <c r="N601"/>
      <c r="O601"/>
    </row>
    <row r="602" spans="14:15" x14ac:dyDescent="0.35">
      <c r="N602"/>
      <c r="O602"/>
    </row>
    <row r="603" spans="14:15" x14ac:dyDescent="0.35">
      <c r="N603"/>
      <c r="O603"/>
    </row>
    <row r="604" spans="14:15" x14ac:dyDescent="0.35">
      <c r="N604"/>
      <c r="O604"/>
    </row>
    <row r="605" spans="14:15" x14ac:dyDescent="0.35">
      <c r="N605"/>
      <c r="O605"/>
    </row>
    <row r="606" spans="14:15" x14ac:dyDescent="0.35">
      <c r="N606"/>
      <c r="O606"/>
    </row>
    <row r="607" spans="14:15" x14ac:dyDescent="0.35">
      <c r="N607"/>
      <c r="O607"/>
    </row>
    <row r="608" spans="14:15" x14ac:dyDescent="0.35">
      <c r="N608"/>
      <c r="O608"/>
    </row>
    <row r="609" spans="14:15" x14ac:dyDescent="0.35">
      <c r="N609"/>
      <c r="O609"/>
    </row>
    <row r="610" spans="14:15" x14ac:dyDescent="0.35">
      <c r="N610"/>
      <c r="O610"/>
    </row>
    <row r="611" spans="14:15" x14ac:dyDescent="0.35">
      <c r="N611"/>
      <c r="O611"/>
    </row>
    <row r="612" spans="14:15" x14ac:dyDescent="0.35">
      <c r="N612"/>
      <c r="O612"/>
    </row>
    <row r="613" spans="14:15" x14ac:dyDescent="0.35">
      <c r="N613"/>
      <c r="O613"/>
    </row>
    <row r="614" spans="14:15" x14ac:dyDescent="0.35">
      <c r="N614"/>
      <c r="O614"/>
    </row>
    <row r="615" spans="14:15" x14ac:dyDescent="0.35">
      <c r="N615"/>
      <c r="O615"/>
    </row>
    <row r="616" spans="14:15" x14ac:dyDescent="0.35">
      <c r="N616"/>
      <c r="O616"/>
    </row>
    <row r="617" spans="14:15" x14ac:dyDescent="0.35">
      <c r="N617"/>
      <c r="O617"/>
    </row>
    <row r="618" spans="14:15" x14ac:dyDescent="0.35">
      <c r="N618"/>
      <c r="O618"/>
    </row>
    <row r="619" spans="14:15" x14ac:dyDescent="0.35">
      <c r="N619"/>
      <c r="O619"/>
    </row>
    <row r="620" spans="14:15" x14ac:dyDescent="0.35">
      <c r="N620"/>
      <c r="O620"/>
    </row>
    <row r="621" spans="14:15" x14ac:dyDescent="0.35">
      <c r="N621"/>
      <c r="O621"/>
    </row>
    <row r="622" spans="14:15" x14ac:dyDescent="0.35">
      <c r="N622"/>
      <c r="O622"/>
    </row>
    <row r="623" spans="14:15" x14ac:dyDescent="0.35">
      <c r="N623"/>
      <c r="O623"/>
    </row>
    <row r="624" spans="14:15" x14ac:dyDescent="0.35">
      <c r="N624"/>
      <c r="O624"/>
    </row>
    <row r="625" spans="14:15" x14ac:dyDescent="0.35">
      <c r="N625"/>
      <c r="O625"/>
    </row>
    <row r="626" spans="14:15" x14ac:dyDescent="0.35">
      <c r="N626"/>
      <c r="O626"/>
    </row>
    <row r="627" spans="14:15" x14ac:dyDescent="0.35">
      <c r="N627"/>
      <c r="O627"/>
    </row>
    <row r="628" spans="14:15" x14ac:dyDescent="0.35">
      <c r="N628"/>
      <c r="O628"/>
    </row>
    <row r="629" spans="14:15" x14ac:dyDescent="0.35">
      <c r="N629"/>
      <c r="O629"/>
    </row>
    <row r="630" spans="14:15" x14ac:dyDescent="0.35">
      <c r="N630"/>
      <c r="O630"/>
    </row>
    <row r="631" spans="14:15" x14ac:dyDescent="0.35">
      <c r="N631"/>
      <c r="O631"/>
    </row>
    <row r="632" spans="14:15" x14ac:dyDescent="0.35">
      <c r="N632"/>
      <c r="O632"/>
    </row>
    <row r="633" spans="14:15" x14ac:dyDescent="0.35">
      <c r="N633"/>
      <c r="O633"/>
    </row>
    <row r="634" spans="14:15" x14ac:dyDescent="0.35">
      <c r="N634"/>
      <c r="O634"/>
    </row>
    <row r="635" spans="14:15" x14ac:dyDescent="0.35">
      <c r="N635"/>
      <c r="O635"/>
    </row>
    <row r="636" spans="14:15" x14ac:dyDescent="0.35">
      <c r="N636"/>
      <c r="O636"/>
    </row>
    <row r="637" spans="14:15" x14ac:dyDescent="0.35">
      <c r="N637"/>
      <c r="O637"/>
    </row>
    <row r="638" spans="14:15" x14ac:dyDescent="0.35">
      <c r="N638"/>
      <c r="O638"/>
    </row>
    <row r="639" spans="14:15" x14ac:dyDescent="0.35">
      <c r="N639"/>
      <c r="O639"/>
    </row>
    <row r="640" spans="14:15" x14ac:dyDescent="0.35">
      <c r="N640"/>
      <c r="O640"/>
    </row>
    <row r="641" spans="14:15" x14ac:dyDescent="0.35">
      <c r="N641"/>
      <c r="O641"/>
    </row>
    <row r="642" spans="14:15" x14ac:dyDescent="0.35">
      <c r="N642"/>
      <c r="O642"/>
    </row>
    <row r="643" spans="14:15" x14ac:dyDescent="0.35">
      <c r="N643"/>
      <c r="O643"/>
    </row>
    <row r="644" spans="14:15" x14ac:dyDescent="0.35">
      <c r="N644"/>
      <c r="O644"/>
    </row>
    <row r="645" spans="14:15" x14ac:dyDescent="0.35">
      <c r="N645"/>
      <c r="O645"/>
    </row>
    <row r="646" spans="14:15" x14ac:dyDescent="0.35">
      <c r="N646"/>
      <c r="O646"/>
    </row>
    <row r="647" spans="14:15" x14ac:dyDescent="0.35">
      <c r="N647"/>
      <c r="O647"/>
    </row>
    <row r="648" spans="14:15" x14ac:dyDescent="0.35">
      <c r="N648"/>
      <c r="O648"/>
    </row>
    <row r="649" spans="14:15" x14ac:dyDescent="0.35">
      <c r="N649"/>
      <c r="O649"/>
    </row>
    <row r="650" spans="14:15" x14ac:dyDescent="0.35">
      <c r="N650"/>
      <c r="O650"/>
    </row>
    <row r="651" spans="14:15" x14ac:dyDescent="0.35">
      <c r="N651"/>
      <c r="O651"/>
    </row>
    <row r="652" spans="14:15" x14ac:dyDescent="0.35">
      <c r="N652"/>
      <c r="O652"/>
    </row>
    <row r="653" spans="14:15" x14ac:dyDescent="0.35">
      <c r="N653"/>
      <c r="O653"/>
    </row>
    <row r="654" spans="14:15" x14ac:dyDescent="0.35">
      <c r="N654"/>
      <c r="O654"/>
    </row>
    <row r="655" spans="14:15" x14ac:dyDescent="0.35">
      <c r="N655"/>
      <c r="O655"/>
    </row>
    <row r="656" spans="14:15" x14ac:dyDescent="0.35">
      <c r="N656"/>
      <c r="O656"/>
    </row>
    <row r="657" spans="14:15" x14ac:dyDescent="0.35">
      <c r="N657"/>
      <c r="O657"/>
    </row>
    <row r="658" spans="14:15" x14ac:dyDescent="0.35">
      <c r="N658"/>
      <c r="O658"/>
    </row>
    <row r="659" spans="14:15" x14ac:dyDescent="0.35">
      <c r="N659"/>
      <c r="O659"/>
    </row>
    <row r="660" spans="14:15" x14ac:dyDescent="0.35">
      <c r="N660"/>
      <c r="O660"/>
    </row>
    <row r="661" spans="14:15" x14ac:dyDescent="0.35">
      <c r="N661"/>
      <c r="O661"/>
    </row>
    <row r="662" spans="14:15" x14ac:dyDescent="0.35">
      <c r="N662"/>
      <c r="O662"/>
    </row>
    <row r="663" spans="14:15" x14ac:dyDescent="0.35">
      <c r="N663"/>
      <c r="O663"/>
    </row>
    <row r="664" spans="14:15" x14ac:dyDescent="0.35">
      <c r="N664"/>
      <c r="O664"/>
    </row>
    <row r="665" spans="14:15" x14ac:dyDescent="0.35">
      <c r="N665"/>
      <c r="O665"/>
    </row>
    <row r="666" spans="14:15" x14ac:dyDescent="0.35">
      <c r="N666"/>
      <c r="O666"/>
    </row>
    <row r="667" spans="14:15" x14ac:dyDescent="0.35">
      <c r="N667"/>
      <c r="O667"/>
    </row>
    <row r="668" spans="14:15" x14ac:dyDescent="0.35">
      <c r="N668"/>
      <c r="O668"/>
    </row>
    <row r="669" spans="14:15" x14ac:dyDescent="0.35">
      <c r="N669"/>
      <c r="O669"/>
    </row>
    <row r="670" spans="14:15" x14ac:dyDescent="0.35">
      <c r="N670"/>
      <c r="O670"/>
    </row>
    <row r="671" spans="14:15" x14ac:dyDescent="0.35">
      <c r="N671"/>
      <c r="O671"/>
    </row>
    <row r="672" spans="14:15" x14ac:dyDescent="0.35">
      <c r="N672"/>
      <c r="O672"/>
    </row>
    <row r="673" spans="14:15" x14ac:dyDescent="0.35">
      <c r="N673"/>
      <c r="O673"/>
    </row>
    <row r="674" spans="14:15" x14ac:dyDescent="0.35">
      <c r="N674"/>
      <c r="O674"/>
    </row>
    <row r="675" spans="14:15" x14ac:dyDescent="0.35">
      <c r="N675"/>
      <c r="O675"/>
    </row>
    <row r="676" spans="14:15" x14ac:dyDescent="0.35">
      <c r="N676"/>
      <c r="O676"/>
    </row>
    <row r="677" spans="14:15" x14ac:dyDescent="0.35">
      <c r="N677"/>
      <c r="O677"/>
    </row>
    <row r="678" spans="14:15" x14ac:dyDescent="0.35">
      <c r="N678"/>
      <c r="O678"/>
    </row>
    <row r="679" spans="14:15" x14ac:dyDescent="0.35">
      <c r="N679"/>
      <c r="O679"/>
    </row>
    <row r="680" spans="14:15" x14ac:dyDescent="0.35">
      <c r="N680"/>
      <c r="O680"/>
    </row>
    <row r="681" spans="14:15" x14ac:dyDescent="0.35">
      <c r="N681"/>
      <c r="O681"/>
    </row>
    <row r="682" spans="14:15" x14ac:dyDescent="0.35">
      <c r="N682"/>
      <c r="O682"/>
    </row>
    <row r="683" spans="14:15" x14ac:dyDescent="0.35">
      <c r="N683"/>
      <c r="O683"/>
    </row>
    <row r="684" spans="14:15" x14ac:dyDescent="0.35">
      <c r="N684"/>
      <c r="O684"/>
    </row>
    <row r="685" spans="14:15" x14ac:dyDescent="0.35">
      <c r="N685"/>
      <c r="O685"/>
    </row>
    <row r="686" spans="14:15" x14ac:dyDescent="0.35">
      <c r="N686"/>
      <c r="O686"/>
    </row>
    <row r="687" spans="14:15" x14ac:dyDescent="0.35">
      <c r="N687"/>
      <c r="O687"/>
    </row>
    <row r="688" spans="14:15" x14ac:dyDescent="0.35">
      <c r="N688"/>
      <c r="O688"/>
    </row>
    <row r="689" spans="14:15" x14ac:dyDescent="0.35">
      <c r="N689"/>
      <c r="O689"/>
    </row>
    <row r="690" spans="14:15" x14ac:dyDescent="0.35">
      <c r="N690"/>
      <c r="O690"/>
    </row>
    <row r="691" spans="14:15" x14ac:dyDescent="0.35">
      <c r="N691"/>
      <c r="O691"/>
    </row>
    <row r="692" spans="14:15" x14ac:dyDescent="0.35">
      <c r="N692"/>
      <c r="O692"/>
    </row>
    <row r="693" spans="14:15" x14ac:dyDescent="0.35">
      <c r="N693"/>
      <c r="O693"/>
    </row>
    <row r="694" spans="14:15" x14ac:dyDescent="0.35">
      <c r="N694"/>
      <c r="O694"/>
    </row>
    <row r="695" spans="14:15" x14ac:dyDescent="0.35">
      <c r="N695"/>
      <c r="O695"/>
    </row>
    <row r="696" spans="14:15" x14ac:dyDescent="0.35">
      <c r="N696"/>
      <c r="O696"/>
    </row>
    <row r="697" spans="14:15" x14ac:dyDescent="0.35">
      <c r="N697"/>
      <c r="O697"/>
    </row>
    <row r="698" spans="14:15" x14ac:dyDescent="0.35">
      <c r="N698"/>
      <c r="O698"/>
    </row>
    <row r="699" spans="14:15" x14ac:dyDescent="0.35">
      <c r="N699"/>
      <c r="O699"/>
    </row>
    <row r="700" spans="14:15" x14ac:dyDescent="0.35">
      <c r="N700"/>
      <c r="O700"/>
    </row>
    <row r="701" spans="14:15" x14ac:dyDescent="0.35">
      <c r="N701"/>
      <c r="O701"/>
    </row>
    <row r="702" spans="14:15" x14ac:dyDescent="0.35">
      <c r="N702"/>
      <c r="O702"/>
    </row>
    <row r="703" spans="14:15" x14ac:dyDescent="0.35">
      <c r="N703"/>
      <c r="O703"/>
    </row>
    <row r="704" spans="14:15" x14ac:dyDescent="0.35">
      <c r="N704"/>
      <c r="O704"/>
    </row>
    <row r="705" spans="14:15" x14ac:dyDescent="0.35">
      <c r="N705"/>
      <c r="O705"/>
    </row>
    <row r="706" spans="14:15" x14ac:dyDescent="0.35">
      <c r="N706"/>
      <c r="O706"/>
    </row>
    <row r="707" spans="14:15" x14ac:dyDescent="0.35">
      <c r="N707"/>
      <c r="O707"/>
    </row>
    <row r="708" spans="14:15" x14ac:dyDescent="0.35">
      <c r="N708"/>
      <c r="O708"/>
    </row>
    <row r="709" spans="14:15" x14ac:dyDescent="0.35">
      <c r="N709"/>
      <c r="O709"/>
    </row>
    <row r="710" spans="14:15" x14ac:dyDescent="0.35">
      <c r="N710"/>
      <c r="O710"/>
    </row>
    <row r="711" spans="14:15" x14ac:dyDescent="0.35">
      <c r="N711"/>
      <c r="O711"/>
    </row>
    <row r="712" spans="14:15" x14ac:dyDescent="0.35">
      <c r="N712"/>
      <c r="O712"/>
    </row>
    <row r="713" spans="14:15" x14ac:dyDescent="0.35">
      <c r="N713"/>
      <c r="O713"/>
    </row>
    <row r="714" spans="14:15" x14ac:dyDescent="0.35">
      <c r="N714"/>
      <c r="O714"/>
    </row>
    <row r="715" spans="14:15" x14ac:dyDescent="0.35">
      <c r="N715"/>
      <c r="O715"/>
    </row>
    <row r="716" spans="14:15" x14ac:dyDescent="0.35">
      <c r="N716"/>
      <c r="O716"/>
    </row>
    <row r="717" spans="14:15" x14ac:dyDescent="0.35">
      <c r="N717"/>
      <c r="O717"/>
    </row>
    <row r="718" spans="14:15" x14ac:dyDescent="0.35">
      <c r="N718"/>
      <c r="O718"/>
    </row>
    <row r="719" spans="14:15" x14ac:dyDescent="0.35">
      <c r="N719"/>
      <c r="O719"/>
    </row>
    <row r="720" spans="14:15" x14ac:dyDescent="0.35">
      <c r="N720"/>
      <c r="O720"/>
    </row>
    <row r="721" spans="14:15" x14ac:dyDescent="0.35">
      <c r="N721"/>
      <c r="O721"/>
    </row>
    <row r="722" spans="14:15" x14ac:dyDescent="0.35">
      <c r="N722"/>
      <c r="O722"/>
    </row>
    <row r="723" spans="14:15" x14ac:dyDescent="0.35">
      <c r="N723"/>
      <c r="O723"/>
    </row>
    <row r="724" spans="14:15" x14ac:dyDescent="0.35">
      <c r="N724"/>
      <c r="O724"/>
    </row>
    <row r="725" spans="14:15" x14ac:dyDescent="0.35">
      <c r="N725"/>
      <c r="O725"/>
    </row>
    <row r="726" spans="14:15" x14ac:dyDescent="0.35">
      <c r="N726"/>
      <c r="O726"/>
    </row>
    <row r="727" spans="14:15" x14ac:dyDescent="0.35">
      <c r="N727"/>
      <c r="O727"/>
    </row>
    <row r="728" spans="14:15" x14ac:dyDescent="0.35">
      <c r="N728"/>
      <c r="O728"/>
    </row>
    <row r="729" spans="14:15" x14ac:dyDescent="0.35">
      <c r="N729"/>
      <c r="O729"/>
    </row>
    <row r="730" spans="14:15" x14ac:dyDescent="0.35">
      <c r="N730"/>
      <c r="O730"/>
    </row>
    <row r="731" spans="14:15" x14ac:dyDescent="0.35">
      <c r="N731"/>
      <c r="O731"/>
    </row>
    <row r="732" spans="14:15" x14ac:dyDescent="0.35">
      <c r="N732"/>
      <c r="O732"/>
    </row>
    <row r="733" spans="14:15" x14ac:dyDescent="0.35">
      <c r="N733"/>
      <c r="O733"/>
    </row>
    <row r="734" spans="14:15" x14ac:dyDescent="0.35">
      <c r="N734"/>
      <c r="O734"/>
    </row>
    <row r="735" spans="14:15" x14ac:dyDescent="0.35">
      <c r="N735"/>
      <c r="O735"/>
    </row>
    <row r="736" spans="14:15" x14ac:dyDescent="0.35">
      <c r="N736"/>
      <c r="O736"/>
    </row>
    <row r="737" spans="14:15" x14ac:dyDescent="0.35">
      <c r="N737"/>
      <c r="O737"/>
    </row>
    <row r="738" spans="14:15" x14ac:dyDescent="0.35">
      <c r="N738"/>
      <c r="O738"/>
    </row>
    <row r="739" spans="14:15" x14ac:dyDescent="0.35">
      <c r="N739"/>
      <c r="O739"/>
    </row>
    <row r="740" spans="14:15" x14ac:dyDescent="0.35">
      <c r="N740"/>
      <c r="O740"/>
    </row>
    <row r="741" spans="14:15" x14ac:dyDescent="0.35">
      <c r="N741"/>
      <c r="O741"/>
    </row>
    <row r="742" spans="14:15" x14ac:dyDescent="0.35">
      <c r="N742"/>
      <c r="O742"/>
    </row>
    <row r="743" spans="14:15" x14ac:dyDescent="0.35">
      <c r="N743"/>
      <c r="O743"/>
    </row>
    <row r="744" spans="14:15" x14ac:dyDescent="0.35">
      <c r="N744"/>
      <c r="O744"/>
    </row>
    <row r="745" spans="14:15" x14ac:dyDescent="0.35">
      <c r="N745"/>
      <c r="O745"/>
    </row>
    <row r="746" spans="14:15" x14ac:dyDescent="0.35">
      <c r="N746"/>
      <c r="O746"/>
    </row>
    <row r="747" spans="14:15" x14ac:dyDescent="0.35">
      <c r="N747"/>
      <c r="O747"/>
    </row>
    <row r="748" spans="14:15" x14ac:dyDescent="0.35">
      <c r="N748"/>
      <c r="O748"/>
    </row>
    <row r="749" spans="14:15" x14ac:dyDescent="0.35">
      <c r="N749"/>
      <c r="O749"/>
    </row>
    <row r="750" spans="14:15" x14ac:dyDescent="0.35">
      <c r="N750"/>
      <c r="O750"/>
    </row>
    <row r="751" spans="14:15" x14ac:dyDescent="0.35">
      <c r="N751"/>
      <c r="O751"/>
    </row>
    <row r="752" spans="14:15" x14ac:dyDescent="0.35">
      <c r="N752"/>
      <c r="O752"/>
    </row>
    <row r="753" spans="14:15" x14ac:dyDescent="0.35">
      <c r="N753"/>
      <c r="O753"/>
    </row>
    <row r="754" spans="14:15" x14ac:dyDescent="0.35">
      <c r="N754"/>
      <c r="O754"/>
    </row>
    <row r="755" spans="14:15" x14ac:dyDescent="0.35">
      <c r="N755"/>
      <c r="O755"/>
    </row>
    <row r="756" spans="14:15" x14ac:dyDescent="0.35">
      <c r="N756"/>
      <c r="O756"/>
    </row>
    <row r="757" spans="14:15" x14ac:dyDescent="0.35">
      <c r="N757"/>
      <c r="O757"/>
    </row>
    <row r="758" spans="14:15" x14ac:dyDescent="0.35">
      <c r="N758"/>
      <c r="O758"/>
    </row>
    <row r="759" spans="14:15" x14ac:dyDescent="0.35">
      <c r="N759"/>
      <c r="O759"/>
    </row>
    <row r="760" spans="14:15" x14ac:dyDescent="0.35">
      <c r="N760"/>
      <c r="O760"/>
    </row>
    <row r="761" spans="14:15" x14ac:dyDescent="0.35">
      <c r="N761"/>
      <c r="O761"/>
    </row>
    <row r="762" spans="14:15" x14ac:dyDescent="0.35">
      <c r="N762"/>
      <c r="O762"/>
    </row>
    <row r="763" spans="14:15" x14ac:dyDescent="0.35">
      <c r="N763"/>
      <c r="O763"/>
    </row>
    <row r="764" spans="14:15" x14ac:dyDescent="0.35">
      <c r="N764"/>
      <c r="O764"/>
    </row>
    <row r="765" spans="14:15" x14ac:dyDescent="0.35">
      <c r="N765"/>
      <c r="O765"/>
    </row>
    <row r="766" spans="14:15" x14ac:dyDescent="0.35">
      <c r="N766"/>
      <c r="O766"/>
    </row>
    <row r="767" spans="14:15" x14ac:dyDescent="0.35">
      <c r="N767"/>
      <c r="O767"/>
    </row>
    <row r="768" spans="14:15" x14ac:dyDescent="0.35">
      <c r="N768"/>
      <c r="O768"/>
    </row>
    <row r="769" spans="14:15" x14ac:dyDescent="0.35">
      <c r="N769"/>
      <c r="O769"/>
    </row>
    <row r="770" spans="14:15" x14ac:dyDescent="0.35">
      <c r="N770"/>
      <c r="O770"/>
    </row>
    <row r="771" spans="14:15" x14ac:dyDescent="0.35">
      <c r="N771"/>
      <c r="O771"/>
    </row>
    <row r="772" spans="14:15" x14ac:dyDescent="0.35">
      <c r="N772"/>
      <c r="O772"/>
    </row>
    <row r="773" spans="14:15" x14ac:dyDescent="0.35">
      <c r="N773"/>
      <c r="O773"/>
    </row>
    <row r="774" spans="14:15" x14ac:dyDescent="0.35">
      <c r="N774"/>
      <c r="O774"/>
    </row>
    <row r="775" spans="14:15" x14ac:dyDescent="0.35">
      <c r="N775"/>
      <c r="O775"/>
    </row>
    <row r="776" spans="14:15" x14ac:dyDescent="0.35">
      <c r="N776"/>
      <c r="O776"/>
    </row>
    <row r="777" spans="14:15" x14ac:dyDescent="0.35">
      <c r="N777"/>
      <c r="O777"/>
    </row>
    <row r="778" spans="14:15" x14ac:dyDescent="0.35">
      <c r="N778"/>
      <c r="O778"/>
    </row>
    <row r="779" spans="14:15" x14ac:dyDescent="0.35">
      <c r="N779"/>
      <c r="O779"/>
    </row>
    <row r="780" spans="14:15" x14ac:dyDescent="0.35">
      <c r="N780"/>
      <c r="O780"/>
    </row>
    <row r="781" spans="14:15" x14ac:dyDescent="0.35">
      <c r="N781"/>
      <c r="O781"/>
    </row>
    <row r="782" spans="14:15" x14ac:dyDescent="0.35">
      <c r="N782"/>
      <c r="O782"/>
    </row>
    <row r="783" spans="14:15" x14ac:dyDescent="0.35">
      <c r="N783"/>
      <c r="O783"/>
    </row>
    <row r="784" spans="14:15" x14ac:dyDescent="0.35">
      <c r="N784"/>
      <c r="O784"/>
    </row>
    <row r="785" spans="14:15" x14ac:dyDescent="0.35">
      <c r="N785"/>
      <c r="O785"/>
    </row>
    <row r="786" spans="14:15" x14ac:dyDescent="0.35">
      <c r="N786"/>
      <c r="O786"/>
    </row>
    <row r="787" spans="14:15" x14ac:dyDescent="0.35">
      <c r="N787"/>
      <c r="O787"/>
    </row>
    <row r="788" spans="14:15" x14ac:dyDescent="0.35">
      <c r="N788"/>
      <c r="O788"/>
    </row>
    <row r="789" spans="14:15" x14ac:dyDescent="0.35">
      <c r="N789"/>
      <c r="O789"/>
    </row>
    <row r="790" spans="14:15" x14ac:dyDescent="0.35">
      <c r="N790"/>
      <c r="O790"/>
    </row>
    <row r="791" spans="14:15" x14ac:dyDescent="0.35">
      <c r="N791"/>
      <c r="O791"/>
    </row>
    <row r="792" spans="14:15" x14ac:dyDescent="0.35">
      <c r="N792"/>
      <c r="O792"/>
    </row>
    <row r="793" spans="14:15" x14ac:dyDescent="0.35">
      <c r="N793"/>
      <c r="O793"/>
    </row>
    <row r="794" spans="14:15" x14ac:dyDescent="0.35">
      <c r="N794"/>
      <c r="O794"/>
    </row>
    <row r="795" spans="14:15" x14ac:dyDescent="0.35">
      <c r="N795"/>
      <c r="O795"/>
    </row>
    <row r="796" spans="14:15" x14ac:dyDescent="0.35">
      <c r="N796"/>
      <c r="O796"/>
    </row>
    <row r="797" spans="14:15" x14ac:dyDescent="0.35">
      <c r="N797"/>
      <c r="O797"/>
    </row>
    <row r="798" spans="14:15" x14ac:dyDescent="0.35">
      <c r="N798"/>
      <c r="O798"/>
    </row>
    <row r="799" spans="14:15" x14ac:dyDescent="0.35">
      <c r="N799"/>
      <c r="O799"/>
    </row>
    <row r="800" spans="14:15" x14ac:dyDescent="0.35">
      <c r="N800"/>
      <c r="O800"/>
    </row>
    <row r="801" spans="14:15" x14ac:dyDescent="0.35">
      <c r="N801"/>
      <c r="O801"/>
    </row>
    <row r="802" spans="14:15" x14ac:dyDescent="0.35">
      <c r="N802"/>
      <c r="O802"/>
    </row>
    <row r="803" spans="14:15" x14ac:dyDescent="0.35">
      <c r="N803"/>
      <c r="O803"/>
    </row>
    <row r="804" spans="14:15" x14ac:dyDescent="0.35">
      <c r="N804"/>
      <c r="O804"/>
    </row>
    <row r="805" spans="14:15" x14ac:dyDescent="0.35">
      <c r="N805"/>
      <c r="O805"/>
    </row>
    <row r="806" spans="14:15" x14ac:dyDescent="0.35">
      <c r="N806"/>
      <c r="O806"/>
    </row>
    <row r="807" spans="14:15" x14ac:dyDescent="0.35">
      <c r="N807"/>
      <c r="O807"/>
    </row>
    <row r="808" spans="14:15" x14ac:dyDescent="0.35">
      <c r="N808"/>
      <c r="O808"/>
    </row>
    <row r="809" spans="14:15" x14ac:dyDescent="0.35">
      <c r="N809"/>
      <c r="O809"/>
    </row>
    <row r="810" spans="14:15" x14ac:dyDescent="0.35">
      <c r="N810"/>
      <c r="O810"/>
    </row>
    <row r="811" spans="14:15" x14ac:dyDescent="0.35">
      <c r="N811"/>
      <c r="O811"/>
    </row>
    <row r="812" spans="14:15" x14ac:dyDescent="0.35">
      <c r="N812"/>
      <c r="O812"/>
    </row>
    <row r="813" spans="14:15" x14ac:dyDescent="0.35">
      <c r="N813"/>
      <c r="O813"/>
    </row>
    <row r="814" spans="14:15" x14ac:dyDescent="0.35">
      <c r="N814"/>
      <c r="O814"/>
    </row>
    <row r="815" spans="14:15" x14ac:dyDescent="0.35">
      <c r="N815"/>
      <c r="O815"/>
    </row>
    <row r="816" spans="14:15" x14ac:dyDescent="0.35">
      <c r="N816"/>
      <c r="O816"/>
    </row>
    <row r="817" spans="14:15" x14ac:dyDescent="0.35">
      <c r="N817"/>
      <c r="O817"/>
    </row>
    <row r="818" spans="14:15" x14ac:dyDescent="0.35">
      <c r="N818"/>
      <c r="O818"/>
    </row>
    <row r="819" spans="14:15" x14ac:dyDescent="0.35">
      <c r="N819"/>
      <c r="O819"/>
    </row>
    <row r="820" spans="14:15" x14ac:dyDescent="0.35">
      <c r="N820"/>
      <c r="O820"/>
    </row>
    <row r="821" spans="14:15" x14ac:dyDescent="0.35">
      <c r="N821"/>
      <c r="O821"/>
    </row>
    <row r="822" spans="14:15" x14ac:dyDescent="0.35">
      <c r="N822"/>
      <c r="O822"/>
    </row>
    <row r="823" spans="14:15" x14ac:dyDescent="0.35">
      <c r="N823"/>
      <c r="O823"/>
    </row>
    <row r="824" spans="14:15" x14ac:dyDescent="0.35">
      <c r="N824"/>
      <c r="O824"/>
    </row>
    <row r="825" spans="14:15" x14ac:dyDescent="0.35">
      <c r="N825"/>
      <c r="O825"/>
    </row>
    <row r="826" spans="14:15" x14ac:dyDescent="0.35">
      <c r="N826"/>
      <c r="O826"/>
    </row>
    <row r="827" spans="14:15" x14ac:dyDescent="0.35">
      <c r="N827"/>
      <c r="O827"/>
    </row>
    <row r="828" spans="14:15" x14ac:dyDescent="0.35">
      <c r="N828"/>
      <c r="O828"/>
    </row>
    <row r="829" spans="14:15" x14ac:dyDescent="0.35">
      <c r="N829"/>
      <c r="O829"/>
    </row>
    <row r="830" spans="14:15" x14ac:dyDescent="0.35">
      <c r="N830"/>
      <c r="O830"/>
    </row>
    <row r="831" spans="14:15" x14ac:dyDescent="0.35">
      <c r="N831"/>
      <c r="O831"/>
    </row>
    <row r="832" spans="14:15" x14ac:dyDescent="0.35">
      <c r="N832"/>
      <c r="O832"/>
    </row>
    <row r="833" spans="14:15" x14ac:dyDescent="0.35">
      <c r="N833"/>
      <c r="O833"/>
    </row>
    <row r="834" spans="14:15" x14ac:dyDescent="0.35">
      <c r="N834"/>
      <c r="O834"/>
    </row>
    <row r="835" spans="14:15" x14ac:dyDescent="0.35">
      <c r="N835"/>
      <c r="O835"/>
    </row>
    <row r="836" spans="14:15" x14ac:dyDescent="0.35">
      <c r="N836"/>
      <c r="O836"/>
    </row>
    <row r="837" spans="14:15" x14ac:dyDescent="0.35">
      <c r="N837"/>
      <c r="O837"/>
    </row>
    <row r="838" spans="14:15" x14ac:dyDescent="0.35">
      <c r="N838"/>
      <c r="O838"/>
    </row>
    <row r="839" spans="14:15" x14ac:dyDescent="0.35">
      <c r="N839"/>
      <c r="O839"/>
    </row>
    <row r="840" spans="14:15" x14ac:dyDescent="0.35">
      <c r="N840"/>
      <c r="O840"/>
    </row>
    <row r="841" spans="14:15" x14ac:dyDescent="0.35">
      <c r="N841"/>
      <c r="O841"/>
    </row>
    <row r="842" spans="14:15" x14ac:dyDescent="0.35">
      <c r="N842"/>
      <c r="O842"/>
    </row>
    <row r="843" spans="14:15" x14ac:dyDescent="0.35">
      <c r="N843"/>
      <c r="O843"/>
    </row>
    <row r="844" spans="14:15" x14ac:dyDescent="0.35">
      <c r="N844"/>
      <c r="O844"/>
    </row>
    <row r="845" spans="14:15" x14ac:dyDescent="0.35">
      <c r="N845"/>
      <c r="O845"/>
    </row>
    <row r="846" spans="14:15" x14ac:dyDescent="0.35">
      <c r="N846"/>
      <c r="O846"/>
    </row>
    <row r="847" spans="14:15" x14ac:dyDescent="0.35">
      <c r="N847"/>
      <c r="O847"/>
    </row>
    <row r="848" spans="14:15" x14ac:dyDescent="0.35">
      <c r="N848"/>
      <c r="O848"/>
    </row>
    <row r="849" spans="14:15" x14ac:dyDescent="0.35">
      <c r="N849"/>
      <c r="O849"/>
    </row>
    <row r="850" spans="14:15" x14ac:dyDescent="0.35">
      <c r="N850"/>
      <c r="O850"/>
    </row>
    <row r="851" spans="14:15" x14ac:dyDescent="0.35">
      <c r="N851"/>
      <c r="O851"/>
    </row>
    <row r="852" spans="14:15" x14ac:dyDescent="0.35">
      <c r="N852"/>
      <c r="O852"/>
    </row>
    <row r="853" spans="14:15" x14ac:dyDescent="0.35">
      <c r="N853"/>
      <c r="O853"/>
    </row>
    <row r="854" spans="14:15" x14ac:dyDescent="0.35">
      <c r="N854"/>
      <c r="O854"/>
    </row>
    <row r="855" spans="14:15" x14ac:dyDescent="0.35">
      <c r="N855"/>
      <c r="O855"/>
    </row>
    <row r="856" spans="14:15" x14ac:dyDescent="0.35">
      <c r="N856"/>
      <c r="O856"/>
    </row>
    <row r="857" spans="14:15" x14ac:dyDescent="0.35">
      <c r="N857"/>
      <c r="O857"/>
    </row>
    <row r="858" spans="14:15" x14ac:dyDescent="0.35">
      <c r="N858"/>
      <c r="O858"/>
    </row>
    <row r="859" spans="14:15" x14ac:dyDescent="0.35">
      <c r="N859"/>
      <c r="O859"/>
    </row>
    <row r="860" spans="14:15" x14ac:dyDescent="0.35">
      <c r="N860"/>
      <c r="O860"/>
    </row>
    <row r="861" spans="14:15" x14ac:dyDescent="0.35">
      <c r="N861"/>
      <c r="O861"/>
    </row>
    <row r="862" spans="14:15" x14ac:dyDescent="0.35">
      <c r="N862"/>
      <c r="O862"/>
    </row>
    <row r="863" spans="14:15" x14ac:dyDescent="0.35">
      <c r="N863"/>
      <c r="O863"/>
    </row>
    <row r="864" spans="14:15" x14ac:dyDescent="0.35">
      <c r="N864"/>
      <c r="O864"/>
    </row>
    <row r="865" spans="14:15" x14ac:dyDescent="0.35">
      <c r="N865"/>
      <c r="O865"/>
    </row>
    <row r="866" spans="14:15" x14ac:dyDescent="0.35">
      <c r="N866"/>
      <c r="O866"/>
    </row>
    <row r="867" spans="14:15" x14ac:dyDescent="0.35">
      <c r="N867"/>
      <c r="O867"/>
    </row>
    <row r="868" spans="14:15" x14ac:dyDescent="0.35">
      <c r="N868"/>
      <c r="O868"/>
    </row>
    <row r="869" spans="14:15" x14ac:dyDescent="0.35">
      <c r="N869"/>
      <c r="O869"/>
    </row>
    <row r="870" spans="14:15" x14ac:dyDescent="0.35">
      <c r="N870"/>
      <c r="O870"/>
    </row>
    <row r="871" spans="14:15" x14ac:dyDescent="0.35">
      <c r="N871"/>
      <c r="O871"/>
    </row>
    <row r="872" spans="14:15" x14ac:dyDescent="0.35">
      <c r="N872"/>
      <c r="O872"/>
    </row>
    <row r="873" spans="14:15" x14ac:dyDescent="0.35">
      <c r="N873"/>
      <c r="O873"/>
    </row>
    <row r="874" spans="14:15" x14ac:dyDescent="0.35">
      <c r="N874"/>
      <c r="O874"/>
    </row>
    <row r="875" spans="14:15" x14ac:dyDescent="0.35">
      <c r="N875"/>
      <c r="O875"/>
    </row>
    <row r="876" spans="14:15" x14ac:dyDescent="0.35">
      <c r="N876"/>
      <c r="O876"/>
    </row>
    <row r="877" spans="14:15" x14ac:dyDescent="0.35">
      <c r="N877"/>
      <c r="O877"/>
    </row>
    <row r="878" spans="14:15" x14ac:dyDescent="0.35">
      <c r="N878"/>
      <c r="O878"/>
    </row>
    <row r="879" spans="14:15" x14ac:dyDescent="0.35">
      <c r="N879"/>
      <c r="O879"/>
    </row>
    <row r="880" spans="14:15" x14ac:dyDescent="0.35">
      <c r="N880"/>
      <c r="O880"/>
    </row>
    <row r="881" spans="14:15" x14ac:dyDescent="0.35">
      <c r="N881"/>
      <c r="O881"/>
    </row>
    <row r="882" spans="14:15" x14ac:dyDescent="0.35">
      <c r="N882"/>
      <c r="O882"/>
    </row>
    <row r="883" spans="14:15" x14ac:dyDescent="0.35">
      <c r="N883"/>
      <c r="O883"/>
    </row>
    <row r="884" spans="14:15" x14ac:dyDescent="0.35">
      <c r="N884"/>
      <c r="O884"/>
    </row>
    <row r="885" spans="14:15" x14ac:dyDescent="0.35">
      <c r="N885"/>
      <c r="O885"/>
    </row>
    <row r="886" spans="14:15" x14ac:dyDescent="0.35">
      <c r="N886"/>
      <c r="O886"/>
    </row>
    <row r="887" spans="14:15" x14ac:dyDescent="0.35">
      <c r="N887"/>
      <c r="O887"/>
    </row>
    <row r="888" spans="14:15" x14ac:dyDescent="0.35">
      <c r="N888"/>
      <c r="O888"/>
    </row>
    <row r="889" spans="14:15" x14ac:dyDescent="0.35">
      <c r="N889"/>
      <c r="O889"/>
    </row>
    <row r="890" spans="14:15" x14ac:dyDescent="0.35">
      <c r="N890"/>
      <c r="O890"/>
    </row>
    <row r="891" spans="14:15" x14ac:dyDescent="0.35">
      <c r="N891"/>
      <c r="O891"/>
    </row>
    <row r="892" spans="14:15" x14ac:dyDescent="0.35">
      <c r="N892"/>
      <c r="O892"/>
    </row>
    <row r="893" spans="14:15" x14ac:dyDescent="0.35">
      <c r="N893"/>
      <c r="O893"/>
    </row>
    <row r="894" spans="14:15" x14ac:dyDescent="0.35">
      <c r="N894"/>
      <c r="O894"/>
    </row>
    <row r="895" spans="14:15" x14ac:dyDescent="0.35">
      <c r="N895"/>
      <c r="O895"/>
    </row>
    <row r="896" spans="14:15" x14ac:dyDescent="0.35">
      <c r="N896"/>
      <c r="O896"/>
    </row>
    <row r="897" spans="14:15" x14ac:dyDescent="0.35">
      <c r="N897"/>
      <c r="O897"/>
    </row>
    <row r="898" spans="14:15" x14ac:dyDescent="0.35">
      <c r="N898"/>
      <c r="O898"/>
    </row>
    <row r="899" spans="14:15" x14ac:dyDescent="0.35">
      <c r="N899"/>
      <c r="O899"/>
    </row>
    <row r="900" spans="14:15" x14ac:dyDescent="0.35">
      <c r="N900"/>
      <c r="O900"/>
    </row>
    <row r="901" spans="14:15" x14ac:dyDescent="0.35">
      <c r="N901"/>
      <c r="O901"/>
    </row>
    <row r="902" spans="14:15" x14ac:dyDescent="0.35">
      <c r="N902"/>
      <c r="O902"/>
    </row>
    <row r="903" spans="14:15" x14ac:dyDescent="0.35">
      <c r="N903"/>
      <c r="O903"/>
    </row>
    <row r="904" spans="14:15" x14ac:dyDescent="0.35">
      <c r="N904"/>
      <c r="O904"/>
    </row>
    <row r="905" spans="14:15" x14ac:dyDescent="0.35">
      <c r="N905"/>
      <c r="O905"/>
    </row>
    <row r="906" spans="14:15" x14ac:dyDescent="0.35">
      <c r="N906"/>
      <c r="O906"/>
    </row>
    <row r="907" spans="14:15" x14ac:dyDescent="0.35">
      <c r="N907"/>
      <c r="O907"/>
    </row>
    <row r="908" spans="14:15" x14ac:dyDescent="0.35">
      <c r="N908"/>
      <c r="O908"/>
    </row>
    <row r="909" spans="14:15" x14ac:dyDescent="0.35">
      <c r="N909"/>
      <c r="O909"/>
    </row>
    <row r="910" spans="14:15" x14ac:dyDescent="0.35">
      <c r="N910"/>
      <c r="O910"/>
    </row>
    <row r="911" spans="14:15" x14ac:dyDescent="0.35">
      <c r="N911"/>
      <c r="O911"/>
    </row>
    <row r="912" spans="14:15" x14ac:dyDescent="0.35">
      <c r="N912"/>
      <c r="O912"/>
    </row>
    <row r="913" spans="14:15" x14ac:dyDescent="0.35">
      <c r="N913"/>
      <c r="O913"/>
    </row>
    <row r="914" spans="14:15" x14ac:dyDescent="0.35">
      <c r="N914"/>
      <c r="O914"/>
    </row>
    <row r="915" spans="14:15" x14ac:dyDescent="0.35">
      <c r="N915"/>
      <c r="O915"/>
    </row>
    <row r="916" spans="14:15" x14ac:dyDescent="0.35">
      <c r="N916"/>
      <c r="O916"/>
    </row>
    <row r="917" spans="14:15" x14ac:dyDescent="0.35">
      <c r="N917"/>
      <c r="O917"/>
    </row>
    <row r="918" spans="14:15" x14ac:dyDescent="0.35">
      <c r="N918"/>
      <c r="O918"/>
    </row>
    <row r="919" spans="14:15" x14ac:dyDescent="0.35">
      <c r="N919"/>
      <c r="O919"/>
    </row>
    <row r="920" spans="14:15" x14ac:dyDescent="0.35">
      <c r="N920"/>
      <c r="O920"/>
    </row>
    <row r="921" spans="14:15" x14ac:dyDescent="0.35">
      <c r="N921"/>
      <c r="O921"/>
    </row>
    <row r="922" spans="14:15" x14ac:dyDescent="0.35">
      <c r="N922"/>
      <c r="O922"/>
    </row>
    <row r="923" spans="14:15" x14ac:dyDescent="0.35">
      <c r="N923"/>
      <c r="O923"/>
    </row>
    <row r="924" spans="14:15" x14ac:dyDescent="0.35">
      <c r="N924"/>
      <c r="O924"/>
    </row>
    <row r="925" spans="14:15" x14ac:dyDescent="0.35">
      <c r="N925"/>
      <c r="O925"/>
    </row>
    <row r="926" spans="14:15" x14ac:dyDescent="0.35">
      <c r="N926"/>
      <c r="O926"/>
    </row>
    <row r="927" spans="14:15" x14ac:dyDescent="0.35">
      <c r="N927"/>
      <c r="O927"/>
    </row>
    <row r="928" spans="14:15" x14ac:dyDescent="0.35">
      <c r="N928"/>
      <c r="O928"/>
    </row>
    <row r="929" spans="14:15" x14ac:dyDescent="0.35">
      <c r="N929"/>
      <c r="O929"/>
    </row>
    <row r="930" spans="14:15" x14ac:dyDescent="0.35">
      <c r="N930"/>
      <c r="O930"/>
    </row>
    <row r="931" spans="14:15" x14ac:dyDescent="0.35">
      <c r="N931"/>
      <c r="O931"/>
    </row>
    <row r="932" spans="14:15" x14ac:dyDescent="0.35">
      <c r="N932"/>
      <c r="O932"/>
    </row>
    <row r="933" spans="14:15" x14ac:dyDescent="0.35">
      <c r="N933"/>
      <c r="O933"/>
    </row>
    <row r="934" spans="14:15" x14ac:dyDescent="0.35">
      <c r="N934"/>
      <c r="O934"/>
    </row>
    <row r="935" spans="14:15" x14ac:dyDescent="0.35">
      <c r="N935"/>
      <c r="O935"/>
    </row>
    <row r="936" spans="14:15" x14ac:dyDescent="0.35">
      <c r="N936"/>
      <c r="O936"/>
    </row>
    <row r="937" spans="14:15" x14ac:dyDescent="0.35">
      <c r="N937"/>
      <c r="O937"/>
    </row>
    <row r="938" spans="14:15" x14ac:dyDescent="0.35">
      <c r="N938"/>
      <c r="O938"/>
    </row>
    <row r="939" spans="14:15" x14ac:dyDescent="0.35">
      <c r="N939"/>
      <c r="O939"/>
    </row>
    <row r="940" spans="14:15" x14ac:dyDescent="0.35">
      <c r="N940"/>
      <c r="O940"/>
    </row>
    <row r="941" spans="14:15" x14ac:dyDescent="0.35">
      <c r="N941"/>
      <c r="O941"/>
    </row>
    <row r="942" spans="14:15" x14ac:dyDescent="0.35">
      <c r="N942"/>
      <c r="O942"/>
    </row>
    <row r="943" spans="14:15" x14ac:dyDescent="0.35">
      <c r="N943"/>
      <c r="O943"/>
    </row>
    <row r="944" spans="14:15" x14ac:dyDescent="0.35">
      <c r="N944"/>
      <c r="O944"/>
    </row>
    <row r="945" spans="14:15" x14ac:dyDescent="0.35">
      <c r="N945"/>
      <c r="O945"/>
    </row>
    <row r="946" spans="14:15" x14ac:dyDescent="0.35">
      <c r="N946"/>
      <c r="O946"/>
    </row>
    <row r="947" spans="14:15" x14ac:dyDescent="0.35">
      <c r="N947"/>
      <c r="O947"/>
    </row>
    <row r="948" spans="14:15" x14ac:dyDescent="0.35">
      <c r="N948"/>
      <c r="O948"/>
    </row>
    <row r="949" spans="14:15" x14ac:dyDescent="0.35">
      <c r="N949"/>
      <c r="O949"/>
    </row>
    <row r="950" spans="14:15" x14ac:dyDescent="0.35">
      <c r="N950"/>
      <c r="O950"/>
    </row>
    <row r="951" spans="14:15" x14ac:dyDescent="0.35">
      <c r="N951"/>
      <c r="O951"/>
    </row>
    <row r="952" spans="14:15" x14ac:dyDescent="0.35">
      <c r="N952"/>
      <c r="O952"/>
    </row>
    <row r="953" spans="14:15" x14ac:dyDescent="0.35">
      <c r="N953"/>
      <c r="O953"/>
    </row>
    <row r="954" spans="14:15" x14ac:dyDescent="0.35">
      <c r="N954"/>
      <c r="O954"/>
    </row>
    <row r="955" spans="14:15" x14ac:dyDescent="0.35">
      <c r="N955"/>
      <c r="O955"/>
    </row>
    <row r="956" spans="14:15" x14ac:dyDescent="0.35">
      <c r="N956"/>
      <c r="O956"/>
    </row>
    <row r="957" spans="14:15" x14ac:dyDescent="0.35">
      <c r="N957"/>
      <c r="O957"/>
    </row>
    <row r="958" spans="14:15" x14ac:dyDescent="0.35">
      <c r="N958"/>
      <c r="O958"/>
    </row>
    <row r="959" spans="14:15" x14ac:dyDescent="0.35">
      <c r="N959"/>
      <c r="O959"/>
    </row>
    <row r="960" spans="14:15" x14ac:dyDescent="0.35">
      <c r="N960"/>
      <c r="O960"/>
    </row>
    <row r="961" spans="14:15" x14ac:dyDescent="0.35">
      <c r="N961"/>
      <c r="O961"/>
    </row>
    <row r="962" spans="14:15" x14ac:dyDescent="0.35">
      <c r="N962"/>
      <c r="O962"/>
    </row>
    <row r="963" spans="14:15" x14ac:dyDescent="0.35">
      <c r="N963"/>
      <c r="O963"/>
    </row>
    <row r="964" spans="14:15" x14ac:dyDescent="0.35">
      <c r="N964"/>
      <c r="O964"/>
    </row>
    <row r="965" spans="14:15" x14ac:dyDescent="0.35">
      <c r="N965"/>
      <c r="O965"/>
    </row>
    <row r="966" spans="14:15" x14ac:dyDescent="0.35">
      <c r="N966"/>
      <c r="O966"/>
    </row>
    <row r="967" spans="14:15" x14ac:dyDescent="0.35">
      <c r="N967"/>
      <c r="O967"/>
    </row>
    <row r="968" spans="14:15" x14ac:dyDescent="0.35">
      <c r="N968"/>
      <c r="O968"/>
    </row>
    <row r="969" spans="14:15" x14ac:dyDescent="0.35">
      <c r="N969"/>
      <c r="O969"/>
    </row>
    <row r="970" spans="14:15" x14ac:dyDescent="0.35">
      <c r="N970"/>
      <c r="O970"/>
    </row>
    <row r="971" spans="14:15" x14ac:dyDescent="0.35">
      <c r="N971"/>
      <c r="O971"/>
    </row>
    <row r="972" spans="14:15" x14ac:dyDescent="0.35">
      <c r="N972"/>
      <c r="O972"/>
    </row>
    <row r="973" spans="14:15" x14ac:dyDescent="0.35">
      <c r="N973"/>
      <c r="O973"/>
    </row>
    <row r="974" spans="14:15" x14ac:dyDescent="0.35">
      <c r="N974"/>
      <c r="O974"/>
    </row>
    <row r="975" spans="14:15" x14ac:dyDescent="0.35">
      <c r="N975"/>
      <c r="O975"/>
    </row>
    <row r="976" spans="14:15" x14ac:dyDescent="0.35">
      <c r="N976"/>
      <c r="O976"/>
    </row>
    <row r="977" spans="14:15" x14ac:dyDescent="0.35">
      <c r="N977"/>
      <c r="O977"/>
    </row>
    <row r="978" spans="14:15" x14ac:dyDescent="0.35">
      <c r="N978"/>
      <c r="O978"/>
    </row>
    <row r="979" spans="14:15" x14ac:dyDescent="0.35">
      <c r="N979"/>
      <c r="O979"/>
    </row>
    <row r="980" spans="14:15" x14ac:dyDescent="0.35">
      <c r="N980"/>
      <c r="O980"/>
    </row>
    <row r="981" spans="14:15" x14ac:dyDescent="0.35">
      <c r="N981"/>
      <c r="O981"/>
    </row>
    <row r="982" spans="14:15" x14ac:dyDescent="0.35">
      <c r="N982"/>
      <c r="O982"/>
    </row>
    <row r="983" spans="14:15" x14ac:dyDescent="0.35">
      <c r="N983"/>
      <c r="O983"/>
    </row>
    <row r="984" spans="14:15" x14ac:dyDescent="0.35">
      <c r="N984"/>
      <c r="O984"/>
    </row>
    <row r="985" spans="14:15" x14ac:dyDescent="0.35">
      <c r="N985"/>
      <c r="O985"/>
    </row>
    <row r="986" spans="14:15" x14ac:dyDescent="0.35">
      <c r="N986"/>
      <c r="O986"/>
    </row>
    <row r="987" spans="14:15" x14ac:dyDescent="0.35">
      <c r="N987"/>
      <c r="O987"/>
    </row>
    <row r="988" spans="14:15" x14ac:dyDescent="0.35">
      <c r="N988"/>
      <c r="O988"/>
    </row>
    <row r="989" spans="14:15" x14ac:dyDescent="0.35">
      <c r="N989"/>
      <c r="O989"/>
    </row>
    <row r="990" spans="14:15" x14ac:dyDescent="0.35">
      <c r="N990"/>
      <c r="O990"/>
    </row>
    <row r="991" spans="14:15" x14ac:dyDescent="0.35">
      <c r="N991"/>
      <c r="O991"/>
    </row>
    <row r="992" spans="14:15" x14ac:dyDescent="0.35">
      <c r="N992"/>
      <c r="O992"/>
    </row>
    <row r="993" spans="14:15" x14ac:dyDescent="0.35">
      <c r="N993"/>
      <c r="O993"/>
    </row>
    <row r="994" spans="14:15" x14ac:dyDescent="0.35">
      <c r="N994"/>
      <c r="O994"/>
    </row>
    <row r="995" spans="14:15" x14ac:dyDescent="0.35">
      <c r="N995"/>
      <c r="O995"/>
    </row>
    <row r="996" spans="14:15" x14ac:dyDescent="0.35">
      <c r="N996"/>
      <c r="O996"/>
    </row>
    <row r="997" spans="14:15" x14ac:dyDescent="0.35">
      <c r="N997"/>
      <c r="O997"/>
    </row>
    <row r="998" spans="14:15" x14ac:dyDescent="0.35">
      <c r="N998"/>
      <c r="O998"/>
    </row>
    <row r="999" spans="14:15" x14ac:dyDescent="0.35">
      <c r="N999"/>
      <c r="O999"/>
    </row>
    <row r="1000" spans="14:15" x14ac:dyDescent="0.35">
      <c r="N1000"/>
      <c r="O1000"/>
    </row>
    <row r="1001" spans="14:15" x14ac:dyDescent="0.35">
      <c r="N1001"/>
      <c r="O1001"/>
    </row>
    <row r="1002" spans="14:15" x14ac:dyDescent="0.35">
      <c r="N1002"/>
      <c r="O1002"/>
    </row>
    <row r="1003" spans="14:15" x14ac:dyDescent="0.35">
      <c r="N1003"/>
      <c r="O1003"/>
    </row>
    <row r="1004" spans="14:15" x14ac:dyDescent="0.35">
      <c r="N1004"/>
      <c r="O1004"/>
    </row>
    <row r="1005" spans="14:15" x14ac:dyDescent="0.35">
      <c r="N1005"/>
      <c r="O1005"/>
    </row>
    <row r="1006" spans="14:15" x14ac:dyDescent="0.35">
      <c r="N1006"/>
      <c r="O1006"/>
    </row>
    <row r="1007" spans="14:15" x14ac:dyDescent="0.35">
      <c r="N1007"/>
      <c r="O1007"/>
    </row>
    <row r="1008" spans="14:15" x14ac:dyDescent="0.35">
      <c r="N1008"/>
      <c r="O1008"/>
    </row>
    <row r="1009" spans="14:15" x14ac:dyDescent="0.35">
      <c r="N1009"/>
      <c r="O1009"/>
    </row>
    <row r="1010" spans="14:15" x14ac:dyDescent="0.35">
      <c r="N1010"/>
      <c r="O1010"/>
    </row>
    <row r="1011" spans="14:15" x14ac:dyDescent="0.35">
      <c r="N1011"/>
      <c r="O1011"/>
    </row>
    <row r="1012" spans="14:15" x14ac:dyDescent="0.35">
      <c r="N1012"/>
      <c r="O1012"/>
    </row>
    <row r="1013" spans="14:15" x14ac:dyDescent="0.35">
      <c r="N1013"/>
      <c r="O1013"/>
    </row>
    <row r="1014" spans="14:15" x14ac:dyDescent="0.35">
      <c r="N1014"/>
      <c r="O1014"/>
    </row>
    <row r="1015" spans="14:15" x14ac:dyDescent="0.35">
      <c r="N1015"/>
      <c r="O1015"/>
    </row>
    <row r="1016" spans="14:15" x14ac:dyDescent="0.35">
      <c r="N1016"/>
      <c r="O1016"/>
    </row>
    <row r="1017" spans="14:15" x14ac:dyDescent="0.35">
      <c r="N1017"/>
      <c r="O1017"/>
    </row>
    <row r="1018" spans="14:15" x14ac:dyDescent="0.35">
      <c r="N1018"/>
      <c r="O1018"/>
    </row>
    <row r="1019" spans="14:15" x14ac:dyDescent="0.35">
      <c r="N1019"/>
      <c r="O1019"/>
    </row>
    <row r="1020" spans="14:15" x14ac:dyDescent="0.35">
      <c r="N1020"/>
      <c r="O1020"/>
    </row>
    <row r="1021" spans="14:15" x14ac:dyDescent="0.35">
      <c r="N1021"/>
      <c r="O1021"/>
    </row>
    <row r="1022" spans="14:15" x14ac:dyDescent="0.35">
      <c r="N1022"/>
      <c r="O1022"/>
    </row>
    <row r="1023" spans="14:15" x14ac:dyDescent="0.35">
      <c r="N1023"/>
      <c r="O1023"/>
    </row>
    <row r="1024" spans="14:15" x14ac:dyDescent="0.35">
      <c r="N1024"/>
      <c r="O1024"/>
    </row>
    <row r="1025" spans="14:15" x14ac:dyDescent="0.35">
      <c r="N1025"/>
      <c r="O1025"/>
    </row>
    <row r="1026" spans="14:15" x14ac:dyDescent="0.35">
      <c r="N1026"/>
      <c r="O1026"/>
    </row>
    <row r="1027" spans="14:15" x14ac:dyDescent="0.35">
      <c r="N1027"/>
      <c r="O1027"/>
    </row>
    <row r="1028" spans="14:15" x14ac:dyDescent="0.35">
      <c r="N1028"/>
      <c r="O1028"/>
    </row>
    <row r="1029" spans="14:15" x14ac:dyDescent="0.35">
      <c r="N1029"/>
      <c r="O1029"/>
    </row>
    <row r="1030" spans="14:15" x14ac:dyDescent="0.35">
      <c r="N1030"/>
      <c r="O1030"/>
    </row>
    <row r="1031" spans="14:15" x14ac:dyDescent="0.35">
      <c r="N1031"/>
      <c r="O1031"/>
    </row>
    <row r="1032" spans="14:15" x14ac:dyDescent="0.35">
      <c r="N1032"/>
      <c r="O1032"/>
    </row>
    <row r="1033" spans="14:15" x14ac:dyDescent="0.35">
      <c r="N1033"/>
      <c r="O1033"/>
    </row>
    <row r="1034" spans="14:15" x14ac:dyDescent="0.35">
      <c r="N1034"/>
      <c r="O1034"/>
    </row>
    <row r="1035" spans="14:15" x14ac:dyDescent="0.35">
      <c r="N1035"/>
      <c r="O1035"/>
    </row>
    <row r="1036" spans="14:15" x14ac:dyDescent="0.35">
      <c r="N1036"/>
      <c r="O1036"/>
    </row>
    <row r="1037" spans="14:15" x14ac:dyDescent="0.35">
      <c r="N1037"/>
      <c r="O1037"/>
    </row>
    <row r="1038" spans="14:15" x14ac:dyDescent="0.35">
      <c r="N1038"/>
      <c r="O1038"/>
    </row>
    <row r="1039" spans="14:15" x14ac:dyDescent="0.35">
      <c r="N1039"/>
      <c r="O1039"/>
    </row>
    <row r="1040" spans="14:15" x14ac:dyDescent="0.35">
      <c r="N1040"/>
      <c r="O1040"/>
    </row>
    <row r="1041" spans="14:15" x14ac:dyDescent="0.35">
      <c r="N1041"/>
      <c r="O1041"/>
    </row>
    <row r="1042" spans="14:15" x14ac:dyDescent="0.35">
      <c r="N1042"/>
      <c r="O1042"/>
    </row>
    <row r="1043" spans="14:15" x14ac:dyDescent="0.35">
      <c r="N1043"/>
      <c r="O1043"/>
    </row>
    <row r="1044" spans="14:15" x14ac:dyDescent="0.35">
      <c r="N1044"/>
      <c r="O1044"/>
    </row>
    <row r="1045" spans="14:15" x14ac:dyDescent="0.35">
      <c r="N1045"/>
      <c r="O1045"/>
    </row>
    <row r="1046" spans="14:15" x14ac:dyDescent="0.35">
      <c r="N1046"/>
      <c r="O1046"/>
    </row>
    <row r="1047" spans="14:15" x14ac:dyDescent="0.35">
      <c r="N1047"/>
      <c r="O1047"/>
    </row>
    <row r="1048" spans="14:15" x14ac:dyDescent="0.35">
      <c r="N1048"/>
      <c r="O1048"/>
    </row>
    <row r="1049" spans="14:15" x14ac:dyDescent="0.35">
      <c r="N1049"/>
      <c r="O1049"/>
    </row>
    <row r="1050" spans="14:15" x14ac:dyDescent="0.35">
      <c r="N1050"/>
      <c r="O1050"/>
    </row>
    <row r="1051" spans="14:15" x14ac:dyDescent="0.35">
      <c r="N1051"/>
      <c r="O1051"/>
    </row>
    <row r="1052" spans="14:15" x14ac:dyDescent="0.35">
      <c r="N1052"/>
      <c r="O1052"/>
    </row>
    <row r="1053" spans="14:15" x14ac:dyDescent="0.35">
      <c r="N1053"/>
      <c r="O1053"/>
    </row>
    <row r="1054" spans="14:15" x14ac:dyDescent="0.35">
      <c r="N1054"/>
      <c r="O1054"/>
    </row>
    <row r="1055" spans="14:15" x14ac:dyDescent="0.35">
      <c r="N1055"/>
      <c r="O1055"/>
    </row>
    <row r="1056" spans="14:15" x14ac:dyDescent="0.35">
      <c r="N1056"/>
      <c r="O1056"/>
    </row>
    <row r="1057" spans="14:15" x14ac:dyDescent="0.35">
      <c r="N1057"/>
      <c r="O1057"/>
    </row>
    <row r="1058" spans="14:15" x14ac:dyDescent="0.35">
      <c r="N1058"/>
      <c r="O1058"/>
    </row>
    <row r="1059" spans="14:15" x14ac:dyDescent="0.35">
      <c r="N1059"/>
      <c r="O1059"/>
    </row>
    <row r="1060" spans="14:15" x14ac:dyDescent="0.35">
      <c r="N1060"/>
      <c r="O1060"/>
    </row>
    <row r="1061" spans="14:15" x14ac:dyDescent="0.35">
      <c r="N1061"/>
      <c r="O1061"/>
    </row>
    <row r="1062" spans="14:15" x14ac:dyDescent="0.35">
      <c r="N1062"/>
      <c r="O1062"/>
    </row>
    <row r="1063" spans="14:15" x14ac:dyDescent="0.35">
      <c r="N1063"/>
      <c r="O1063"/>
    </row>
    <row r="1064" spans="14:15" x14ac:dyDescent="0.35">
      <c r="N1064"/>
      <c r="O1064"/>
    </row>
    <row r="1065" spans="14:15" x14ac:dyDescent="0.35">
      <c r="N1065"/>
      <c r="O1065"/>
    </row>
    <row r="1066" spans="14:15" x14ac:dyDescent="0.35">
      <c r="N1066"/>
      <c r="O1066"/>
    </row>
    <row r="1067" spans="14:15" x14ac:dyDescent="0.35">
      <c r="N1067"/>
      <c r="O1067"/>
    </row>
    <row r="1068" spans="14:15" x14ac:dyDescent="0.35">
      <c r="N1068"/>
      <c r="O1068"/>
    </row>
    <row r="1069" spans="14:15" x14ac:dyDescent="0.35">
      <c r="N1069"/>
      <c r="O1069"/>
    </row>
    <row r="1070" spans="14:15" x14ac:dyDescent="0.35">
      <c r="N1070"/>
      <c r="O1070"/>
    </row>
    <row r="1071" spans="14:15" x14ac:dyDescent="0.35">
      <c r="N1071"/>
      <c r="O1071"/>
    </row>
    <row r="1072" spans="14:15" x14ac:dyDescent="0.35">
      <c r="N1072"/>
      <c r="O1072"/>
    </row>
    <row r="1073" spans="14:15" x14ac:dyDescent="0.35">
      <c r="N1073"/>
      <c r="O1073"/>
    </row>
    <row r="1074" spans="14:15" x14ac:dyDescent="0.35">
      <c r="N1074"/>
      <c r="O1074"/>
    </row>
    <row r="1075" spans="14:15" x14ac:dyDescent="0.35">
      <c r="N1075"/>
      <c r="O1075"/>
    </row>
    <row r="1076" spans="14:15" x14ac:dyDescent="0.35">
      <c r="N1076"/>
      <c r="O1076"/>
    </row>
    <row r="1077" spans="14:15" x14ac:dyDescent="0.35">
      <c r="N1077"/>
      <c r="O1077"/>
    </row>
    <row r="1078" spans="14:15" x14ac:dyDescent="0.35">
      <c r="N1078"/>
      <c r="O1078"/>
    </row>
    <row r="1079" spans="14:15" x14ac:dyDescent="0.35">
      <c r="N1079"/>
      <c r="O1079"/>
    </row>
    <row r="1080" spans="14:15" x14ac:dyDescent="0.35">
      <c r="N1080"/>
      <c r="O1080"/>
    </row>
    <row r="1081" spans="14:15" x14ac:dyDescent="0.35">
      <c r="N1081"/>
      <c r="O1081"/>
    </row>
    <row r="1082" spans="14:15" x14ac:dyDescent="0.35">
      <c r="N1082"/>
      <c r="O1082"/>
    </row>
    <row r="1083" spans="14:15" x14ac:dyDescent="0.35">
      <c r="N1083"/>
      <c r="O1083"/>
    </row>
    <row r="1084" spans="14:15" x14ac:dyDescent="0.35">
      <c r="N1084"/>
      <c r="O1084"/>
    </row>
    <row r="1085" spans="14:15" x14ac:dyDescent="0.35">
      <c r="N1085"/>
      <c r="O1085"/>
    </row>
    <row r="1086" spans="14:15" x14ac:dyDescent="0.35">
      <c r="N1086"/>
      <c r="O1086"/>
    </row>
    <row r="1087" spans="14:15" x14ac:dyDescent="0.35">
      <c r="N1087"/>
      <c r="O1087"/>
    </row>
    <row r="1088" spans="14:15" x14ac:dyDescent="0.35">
      <c r="N1088"/>
      <c r="O1088"/>
    </row>
    <row r="1089" spans="14:15" x14ac:dyDescent="0.35">
      <c r="N1089"/>
      <c r="O1089"/>
    </row>
    <row r="1090" spans="14:15" x14ac:dyDescent="0.35">
      <c r="N1090"/>
      <c r="O1090"/>
    </row>
    <row r="1091" spans="14:15" x14ac:dyDescent="0.35">
      <c r="N1091"/>
      <c r="O1091"/>
    </row>
    <row r="1092" spans="14:15" x14ac:dyDescent="0.35">
      <c r="N1092"/>
      <c r="O1092"/>
    </row>
    <row r="1093" spans="14:15" x14ac:dyDescent="0.35">
      <c r="N1093"/>
      <c r="O1093"/>
    </row>
    <row r="1094" spans="14:15" x14ac:dyDescent="0.35">
      <c r="N1094"/>
      <c r="O1094"/>
    </row>
    <row r="1095" spans="14:15" x14ac:dyDescent="0.35">
      <c r="N1095"/>
      <c r="O1095"/>
    </row>
    <row r="1096" spans="14:15" x14ac:dyDescent="0.35">
      <c r="N1096"/>
      <c r="O1096"/>
    </row>
    <row r="1097" spans="14:15" x14ac:dyDescent="0.35">
      <c r="N1097"/>
      <c r="O1097"/>
    </row>
    <row r="1098" spans="14:15" x14ac:dyDescent="0.35">
      <c r="N1098"/>
      <c r="O1098"/>
    </row>
    <row r="1099" spans="14:15" x14ac:dyDescent="0.35">
      <c r="N1099"/>
      <c r="O1099"/>
    </row>
    <row r="1100" spans="14:15" x14ac:dyDescent="0.35">
      <c r="N1100"/>
      <c r="O1100"/>
    </row>
    <row r="1101" spans="14:15" x14ac:dyDescent="0.35">
      <c r="N1101"/>
      <c r="O1101"/>
    </row>
    <row r="1102" spans="14:15" x14ac:dyDescent="0.35">
      <c r="N1102"/>
      <c r="O1102"/>
    </row>
    <row r="1103" spans="14:15" x14ac:dyDescent="0.35">
      <c r="N1103"/>
      <c r="O1103"/>
    </row>
    <row r="1104" spans="14:15" x14ac:dyDescent="0.35">
      <c r="N1104"/>
      <c r="O1104"/>
    </row>
    <row r="1105" spans="14:15" x14ac:dyDescent="0.35">
      <c r="N1105"/>
      <c r="O1105"/>
    </row>
    <row r="1106" spans="14:15" x14ac:dyDescent="0.35">
      <c r="N1106"/>
      <c r="O1106"/>
    </row>
    <row r="1107" spans="14:15" x14ac:dyDescent="0.35">
      <c r="N1107"/>
      <c r="O1107"/>
    </row>
    <row r="1108" spans="14:15" x14ac:dyDescent="0.35">
      <c r="N1108"/>
      <c r="O1108"/>
    </row>
    <row r="1109" spans="14:15" x14ac:dyDescent="0.35">
      <c r="N1109"/>
      <c r="O1109"/>
    </row>
    <row r="1110" spans="14:15" x14ac:dyDescent="0.35">
      <c r="N1110"/>
      <c r="O1110"/>
    </row>
    <row r="1111" spans="14:15" x14ac:dyDescent="0.35">
      <c r="N1111"/>
      <c r="O1111"/>
    </row>
    <row r="1112" spans="14:15" x14ac:dyDescent="0.35">
      <c r="N1112"/>
      <c r="O1112"/>
    </row>
    <row r="1113" spans="14:15" x14ac:dyDescent="0.35">
      <c r="N1113"/>
      <c r="O1113"/>
    </row>
    <row r="1114" spans="14:15" x14ac:dyDescent="0.35">
      <c r="N1114"/>
      <c r="O1114"/>
    </row>
    <row r="1115" spans="14:15" x14ac:dyDescent="0.35">
      <c r="N1115"/>
      <c r="O1115"/>
    </row>
    <row r="1116" spans="14:15" x14ac:dyDescent="0.35">
      <c r="N1116"/>
      <c r="O1116"/>
    </row>
    <row r="1117" spans="14:15" x14ac:dyDescent="0.35">
      <c r="N1117"/>
      <c r="O1117"/>
    </row>
    <row r="1118" spans="14:15" x14ac:dyDescent="0.35">
      <c r="N1118"/>
      <c r="O1118"/>
    </row>
    <row r="1119" spans="14:15" x14ac:dyDescent="0.35">
      <c r="N1119"/>
      <c r="O1119"/>
    </row>
    <row r="1120" spans="14:15" x14ac:dyDescent="0.35">
      <c r="N1120"/>
      <c r="O1120"/>
    </row>
    <row r="1121" spans="14:15" x14ac:dyDescent="0.35">
      <c r="N1121"/>
      <c r="O1121"/>
    </row>
    <row r="1122" spans="14:15" x14ac:dyDescent="0.35">
      <c r="N1122"/>
      <c r="O1122"/>
    </row>
    <row r="1123" spans="14:15" x14ac:dyDescent="0.35">
      <c r="N1123"/>
      <c r="O1123"/>
    </row>
    <row r="1124" spans="14:15" x14ac:dyDescent="0.35">
      <c r="N1124"/>
      <c r="O1124"/>
    </row>
    <row r="1125" spans="14:15" x14ac:dyDescent="0.35">
      <c r="N1125"/>
      <c r="O1125"/>
    </row>
    <row r="1126" spans="14:15" x14ac:dyDescent="0.35">
      <c r="N1126"/>
      <c r="O1126"/>
    </row>
    <row r="1127" spans="14:15" x14ac:dyDescent="0.35">
      <c r="N1127"/>
      <c r="O1127"/>
    </row>
    <row r="1128" spans="14:15" x14ac:dyDescent="0.35">
      <c r="N1128"/>
      <c r="O1128"/>
    </row>
    <row r="1129" spans="14:15" x14ac:dyDescent="0.35">
      <c r="N1129"/>
      <c r="O1129"/>
    </row>
    <row r="1130" spans="14:15" x14ac:dyDescent="0.35">
      <c r="N1130"/>
      <c r="O1130"/>
    </row>
    <row r="1131" spans="14:15" x14ac:dyDescent="0.35">
      <c r="N1131"/>
      <c r="O1131"/>
    </row>
    <row r="1132" spans="14:15" x14ac:dyDescent="0.35">
      <c r="N1132"/>
      <c r="O1132"/>
    </row>
    <row r="1133" spans="14:15" x14ac:dyDescent="0.35">
      <c r="N1133"/>
      <c r="O1133"/>
    </row>
    <row r="1134" spans="14:15" x14ac:dyDescent="0.35">
      <c r="N1134"/>
      <c r="O1134"/>
    </row>
    <row r="1135" spans="14:15" x14ac:dyDescent="0.35">
      <c r="N1135"/>
      <c r="O1135"/>
    </row>
    <row r="1136" spans="14:15" x14ac:dyDescent="0.35">
      <c r="N1136"/>
      <c r="O1136"/>
    </row>
    <row r="1137" spans="14:15" x14ac:dyDescent="0.35">
      <c r="N1137"/>
      <c r="O1137"/>
    </row>
    <row r="1138" spans="14:15" x14ac:dyDescent="0.35">
      <c r="N1138"/>
      <c r="O1138"/>
    </row>
    <row r="1139" spans="14:15" x14ac:dyDescent="0.35">
      <c r="N1139"/>
      <c r="O1139"/>
    </row>
    <row r="1140" spans="14:15" x14ac:dyDescent="0.35">
      <c r="N1140"/>
      <c r="O1140"/>
    </row>
    <row r="1141" spans="14:15" x14ac:dyDescent="0.35">
      <c r="N1141"/>
      <c r="O1141"/>
    </row>
    <row r="1142" spans="14:15" x14ac:dyDescent="0.35">
      <c r="N1142"/>
      <c r="O1142"/>
    </row>
    <row r="1143" spans="14:15" x14ac:dyDescent="0.35">
      <c r="N1143"/>
      <c r="O1143"/>
    </row>
    <row r="1144" spans="14:15" x14ac:dyDescent="0.35">
      <c r="N1144"/>
      <c r="O1144"/>
    </row>
    <row r="1145" spans="14:15" x14ac:dyDescent="0.35">
      <c r="N1145"/>
      <c r="O1145"/>
    </row>
    <row r="1146" spans="14:15" x14ac:dyDescent="0.35">
      <c r="N1146"/>
      <c r="O1146"/>
    </row>
    <row r="1147" spans="14:15" x14ac:dyDescent="0.35">
      <c r="N1147"/>
      <c r="O1147"/>
    </row>
    <row r="1148" spans="14:15" x14ac:dyDescent="0.35">
      <c r="N1148"/>
      <c r="O1148"/>
    </row>
    <row r="1149" spans="14:15" x14ac:dyDescent="0.35">
      <c r="N1149"/>
      <c r="O1149"/>
    </row>
    <row r="1150" spans="14:15" x14ac:dyDescent="0.35">
      <c r="N1150"/>
      <c r="O1150"/>
    </row>
    <row r="1151" spans="14:15" x14ac:dyDescent="0.35">
      <c r="N1151"/>
      <c r="O1151"/>
    </row>
    <row r="1152" spans="14:15" x14ac:dyDescent="0.35">
      <c r="N1152"/>
      <c r="O1152"/>
    </row>
    <row r="1153" spans="14:15" x14ac:dyDescent="0.35">
      <c r="N1153"/>
      <c r="O1153"/>
    </row>
    <row r="1154" spans="14:15" x14ac:dyDescent="0.35">
      <c r="N1154"/>
      <c r="O1154"/>
    </row>
    <row r="1155" spans="14:15" x14ac:dyDescent="0.35">
      <c r="N1155"/>
      <c r="O1155"/>
    </row>
    <row r="1156" spans="14:15" x14ac:dyDescent="0.35">
      <c r="N1156"/>
      <c r="O1156"/>
    </row>
    <row r="1157" spans="14:15" x14ac:dyDescent="0.35">
      <c r="N1157"/>
      <c r="O1157"/>
    </row>
    <row r="1158" spans="14:15" x14ac:dyDescent="0.35">
      <c r="N1158"/>
      <c r="O1158"/>
    </row>
    <row r="1159" spans="14:15" x14ac:dyDescent="0.35">
      <c r="N1159"/>
      <c r="O1159"/>
    </row>
    <row r="1160" spans="14:15" x14ac:dyDescent="0.35">
      <c r="N1160"/>
      <c r="O1160"/>
    </row>
    <row r="1161" spans="14:15" x14ac:dyDescent="0.35">
      <c r="N1161"/>
      <c r="O1161"/>
    </row>
    <row r="1162" spans="14:15" x14ac:dyDescent="0.35">
      <c r="N1162"/>
      <c r="O1162"/>
    </row>
    <row r="1163" spans="14:15" x14ac:dyDescent="0.35">
      <c r="N1163"/>
      <c r="O1163"/>
    </row>
    <row r="1164" spans="14:15" x14ac:dyDescent="0.35">
      <c r="N1164"/>
      <c r="O1164"/>
    </row>
    <row r="1165" spans="14:15" x14ac:dyDescent="0.35">
      <c r="N1165"/>
      <c r="O1165"/>
    </row>
    <row r="1166" spans="14:15" x14ac:dyDescent="0.35">
      <c r="N1166"/>
      <c r="O1166"/>
    </row>
    <row r="1167" spans="14:15" x14ac:dyDescent="0.35">
      <c r="N1167"/>
      <c r="O1167"/>
    </row>
    <row r="1168" spans="14:15" x14ac:dyDescent="0.35">
      <c r="N1168"/>
      <c r="O1168"/>
    </row>
    <row r="1169" spans="14:15" x14ac:dyDescent="0.35">
      <c r="N1169"/>
      <c r="O1169"/>
    </row>
    <row r="1170" spans="14:15" x14ac:dyDescent="0.35">
      <c r="N1170"/>
      <c r="O1170"/>
    </row>
    <row r="1171" spans="14:15" x14ac:dyDescent="0.35">
      <c r="N1171"/>
      <c r="O1171"/>
    </row>
    <row r="1172" spans="14:15" x14ac:dyDescent="0.35">
      <c r="N1172"/>
      <c r="O1172"/>
    </row>
    <row r="1173" spans="14:15" x14ac:dyDescent="0.35">
      <c r="N1173"/>
      <c r="O1173"/>
    </row>
    <row r="1174" spans="14:15" x14ac:dyDescent="0.35">
      <c r="N1174"/>
      <c r="O1174"/>
    </row>
    <row r="1175" spans="14:15" x14ac:dyDescent="0.35">
      <c r="N1175"/>
      <c r="O1175"/>
    </row>
    <row r="1176" spans="14:15" x14ac:dyDescent="0.35">
      <c r="N1176"/>
      <c r="O1176"/>
    </row>
    <row r="1177" spans="14:15" x14ac:dyDescent="0.35">
      <c r="N1177"/>
      <c r="O1177"/>
    </row>
    <row r="1178" spans="14:15" x14ac:dyDescent="0.35">
      <c r="N1178"/>
      <c r="O1178"/>
    </row>
    <row r="1179" spans="14:15" x14ac:dyDescent="0.35">
      <c r="N1179"/>
      <c r="O1179"/>
    </row>
    <row r="1180" spans="14:15" x14ac:dyDescent="0.35">
      <c r="N1180"/>
      <c r="O1180"/>
    </row>
    <row r="1181" spans="14:15" x14ac:dyDescent="0.35">
      <c r="N1181"/>
      <c r="O1181"/>
    </row>
    <row r="1182" spans="14:15" x14ac:dyDescent="0.35">
      <c r="N1182"/>
      <c r="O1182"/>
    </row>
    <row r="1183" spans="14:15" x14ac:dyDescent="0.35">
      <c r="N1183"/>
      <c r="O1183"/>
    </row>
    <row r="1184" spans="14:15" x14ac:dyDescent="0.35">
      <c r="N1184"/>
      <c r="O1184"/>
    </row>
    <row r="1185" spans="14:15" x14ac:dyDescent="0.35">
      <c r="N1185"/>
      <c r="O1185"/>
    </row>
    <row r="1186" spans="14:15" x14ac:dyDescent="0.35">
      <c r="N1186"/>
      <c r="O1186"/>
    </row>
    <row r="1187" spans="14:15" x14ac:dyDescent="0.35">
      <c r="N1187"/>
      <c r="O1187"/>
    </row>
    <row r="1188" spans="14:15" x14ac:dyDescent="0.35">
      <c r="N1188"/>
      <c r="O1188"/>
    </row>
    <row r="1189" spans="14:15" x14ac:dyDescent="0.35">
      <c r="N1189"/>
      <c r="O1189"/>
    </row>
    <row r="1190" spans="14:15" x14ac:dyDescent="0.35">
      <c r="N1190"/>
      <c r="O1190"/>
    </row>
    <row r="1191" spans="14:15" x14ac:dyDescent="0.35">
      <c r="N1191"/>
      <c r="O1191"/>
    </row>
    <row r="1192" spans="14:15" x14ac:dyDescent="0.35">
      <c r="N1192"/>
      <c r="O1192"/>
    </row>
    <row r="1193" spans="14:15" x14ac:dyDescent="0.35">
      <c r="N1193"/>
      <c r="O1193"/>
    </row>
    <row r="1194" spans="14:15" x14ac:dyDescent="0.35">
      <c r="N1194"/>
      <c r="O1194"/>
    </row>
    <row r="1195" spans="14:15" x14ac:dyDescent="0.35">
      <c r="N1195"/>
      <c r="O1195"/>
    </row>
    <row r="1196" spans="14:15" x14ac:dyDescent="0.35">
      <c r="N1196"/>
      <c r="O1196"/>
    </row>
    <row r="1197" spans="14:15" x14ac:dyDescent="0.35">
      <c r="N1197"/>
      <c r="O1197"/>
    </row>
    <row r="1198" spans="14:15" x14ac:dyDescent="0.35">
      <c r="N1198"/>
      <c r="O1198"/>
    </row>
    <row r="1199" spans="14:15" x14ac:dyDescent="0.35">
      <c r="N1199"/>
      <c r="O1199"/>
    </row>
    <row r="1200" spans="14:15" x14ac:dyDescent="0.35">
      <c r="N1200"/>
      <c r="O1200"/>
    </row>
    <row r="1201" spans="14:15" x14ac:dyDescent="0.35">
      <c r="N1201"/>
      <c r="O1201"/>
    </row>
    <row r="1202" spans="14:15" x14ac:dyDescent="0.35">
      <c r="N1202"/>
      <c r="O1202"/>
    </row>
    <row r="1203" spans="14:15" x14ac:dyDescent="0.35">
      <c r="N1203"/>
      <c r="O1203"/>
    </row>
    <row r="1204" spans="14:15" x14ac:dyDescent="0.35">
      <c r="N1204"/>
      <c r="O1204"/>
    </row>
    <row r="1205" spans="14:15" x14ac:dyDescent="0.35">
      <c r="N1205"/>
      <c r="O1205"/>
    </row>
    <row r="1206" spans="14:15" x14ac:dyDescent="0.35">
      <c r="N1206"/>
      <c r="O1206"/>
    </row>
    <row r="1207" spans="14:15" x14ac:dyDescent="0.35">
      <c r="N1207"/>
      <c r="O1207"/>
    </row>
    <row r="1208" spans="14:15" x14ac:dyDescent="0.35">
      <c r="N1208"/>
      <c r="O1208"/>
    </row>
    <row r="1209" spans="14:15" x14ac:dyDescent="0.35">
      <c r="N1209"/>
      <c r="O1209"/>
    </row>
    <row r="1210" spans="14:15" x14ac:dyDescent="0.35">
      <c r="N1210"/>
      <c r="O1210"/>
    </row>
    <row r="1211" spans="14:15" x14ac:dyDescent="0.35">
      <c r="N1211"/>
      <c r="O1211"/>
    </row>
    <row r="1212" spans="14:15" x14ac:dyDescent="0.35">
      <c r="N1212"/>
      <c r="O1212"/>
    </row>
    <row r="1213" spans="14:15" x14ac:dyDescent="0.35">
      <c r="N1213"/>
      <c r="O1213"/>
    </row>
    <row r="1214" spans="14:15" x14ac:dyDescent="0.35">
      <c r="N1214"/>
      <c r="O1214"/>
    </row>
    <row r="1215" spans="14:15" x14ac:dyDescent="0.35">
      <c r="N1215"/>
      <c r="O1215"/>
    </row>
    <row r="1216" spans="14:15" x14ac:dyDescent="0.35">
      <c r="N1216"/>
      <c r="O1216"/>
    </row>
    <row r="1217" spans="14:15" x14ac:dyDescent="0.35">
      <c r="N1217"/>
      <c r="O1217"/>
    </row>
    <row r="1218" spans="14:15" x14ac:dyDescent="0.35">
      <c r="N1218"/>
      <c r="O1218"/>
    </row>
    <row r="1219" spans="14:15" x14ac:dyDescent="0.35">
      <c r="N1219"/>
      <c r="O1219"/>
    </row>
    <row r="1220" spans="14:15" x14ac:dyDescent="0.35">
      <c r="N1220"/>
      <c r="O1220"/>
    </row>
    <row r="1221" spans="14:15" x14ac:dyDescent="0.35">
      <c r="N1221"/>
      <c r="O1221"/>
    </row>
    <row r="1222" spans="14:15" x14ac:dyDescent="0.35">
      <c r="N1222"/>
      <c r="O1222"/>
    </row>
    <row r="1223" spans="14:15" x14ac:dyDescent="0.35">
      <c r="N1223"/>
      <c r="O1223"/>
    </row>
    <row r="1224" spans="14:15" x14ac:dyDescent="0.35">
      <c r="N1224"/>
      <c r="O1224"/>
    </row>
    <row r="1225" spans="14:15" x14ac:dyDescent="0.35">
      <c r="N1225"/>
      <c r="O1225"/>
    </row>
    <row r="1226" spans="14:15" x14ac:dyDescent="0.35">
      <c r="N1226"/>
      <c r="O1226"/>
    </row>
    <row r="1227" spans="14:15" x14ac:dyDescent="0.35">
      <c r="N1227"/>
      <c r="O1227"/>
    </row>
    <row r="1228" spans="14:15" x14ac:dyDescent="0.35">
      <c r="N1228"/>
      <c r="O1228"/>
    </row>
    <row r="1229" spans="14:15" x14ac:dyDescent="0.35">
      <c r="N1229"/>
      <c r="O1229"/>
    </row>
    <row r="1230" spans="14:15" x14ac:dyDescent="0.35">
      <c r="N1230"/>
      <c r="O1230"/>
    </row>
    <row r="1231" spans="14:15" x14ac:dyDescent="0.35">
      <c r="N1231"/>
      <c r="O1231"/>
    </row>
    <row r="1232" spans="14:15" x14ac:dyDescent="0.35">
      <c r="N1232"/>
      <c r="O1232"/>
    </row>
    <row r="1233" spans="14:15" x14ac:dyDescent="0.35">
      <c r="N1233"/>
      <c r="O1233"/>
    </row>
    <row r="1234" spans="14:15" x14ac:dyDescent="0.35">
      <c r="N1234"/>
      <c r="O1234"/>
    </row>
    <row r="1235" spans="14:15" x14ac:dyDescent="0.35">
      <c r="N1235"/>
      <c r="O1235"/>
    </row>
    <row r="1236" spans="14:15" x14ac:dyDescent="0.35">
      <c r="N1236"/>
      <c r="O1236"/>
    </row>
    <row r="1237" spans="14:15" x14ac:dyDescent="0.35">
      <c r="N1237"/>
      <c r="O1237"/>
    </row>
    <row r="1238" spans="14:15" x14ac:dyDescent="0.35">
      <c r="N1238"/>
      <c r="O1238"/>
    </row>
    <row r="1239" spans="14:15" x14ac:dyDescent="0.35">
      <c r="N1239"/>
      <c r="O1239"/>
    </row>
    <row r="1240" spans="14:15" x14ac:dyDescent="0.35">
      <c r="N1240"/>
      <c r="O1240"/>
    </row>
    <row r="1241" spans="14:15" x14ac:dyDescent="0.35">
      <c r="N1241"/>
      <c r="O1241"/>
    </row>
    <row r="1242" spans="14:15" x14ac:dyDescent="0.35">
      <c r="N1242"/>
      <c r="O1242"/>
    </row>
    <row r="1243" spans="14:15" x14ac:dyDescent="0.35">
      <c r="N1243"/>
      <c r="O1243"/>
    </row>
    <row r="1244" spans="14:15" x14ac:dyDescent="0.35">
      <c r="N1244"/>
      <c r="O1244"/>
    </row>
    <row r="1245" spans="14:15" x14ac:dyDescent="0.35">
      <c r="N1245"/>
      <c r="O1245"/>
    </row>
    <row r="1246" spans="14:15" x14ac:dyDescent="0.35">
      <c r="N1246"/>
      <c r="O1246"/>
    </row>
    <row r="1247" spans="14:15" x14ac:dyDescent="0.35">
      <c r="N1247"/>
      <c r="O1247"/>
    </row>
    <row r="1248" spans="14:15" x14ac:dyDescent="0.35">
      <c r="N1248"/>
      <c r="O1248"/>
    </row>
    <row r="1249" spans="14:15" x14ac:dyDescent="0.35">
      <c r="N1249"/>
      <c r="O1249"/>
    </row>
    <row r="1250" spans="14:15" x14ac:dyDescent="0.35">
      <c r="N1250"/>
      <c r="O1250"/>
    </row>
    <row r="1251" spans="14:15" x14ac:dyDescent="0.35">
      <c r="N1251"/>
      <c r="O1251"/>
    </row>
    <row r="1252" spans="14:15" x14ac:dyDescent="0.35">
      <c r="N1252"/>
      <c r="O1252"/>
    </row>
    <row r="1253" spans="14:15" x14ac:dyDescent="0.35">
      <c r="N1253"/>
      <c r="O1253"/>
    </row>
    <row r="1254" spans="14:15" x14ac:dyDescent="0.35">
      <c r="N1254"/>
      <c r="O1254"/>
    </row>
    <row r="1255" spans="14:15" x14ac:dyDescent="0.35">
      <c r="N1255"/>
      <c r="O1255"/>
    </row>
    <row r="1256" spans="14:15" x14ac:dyDescent="0.35">
      <c r="N1256"/>
      <c r="O1256"/>
    </row>
    <row r="1257" spans="14:15" x14ac:dyDescent="0.35">
      <c r="N1257"/>
      <c r="O1257"/>
    </row>
    <row r="1258" spans="14:15" x14ac:dyDescent="0.35">
      <c r="N1258"/>
      <c r="O1258"/>
    </row>
    <row r="1259" spans="14:15" x14ac:dyDescent="0.35">
      <c r="N1259"/>
      <c r="O1259"/>
    </row>
    <row r="1260" spans="14:15" x14ac:dyDescent="0.35">
      <c r="N1260"/>
      <c r="O1260"/>
    </row>
    <row r="1261" spans="14:15" x14ac:dyDescent="0.35">
      <c r="N1261"/>
      <c r="O1261"/>
    </row>
    <row r="1262" spans="14:15" x14ac:dyDescent="0.35">
      <c r="N1262"/>
      <c r="O1262"/>
    </row>
    <row r="1263" spans="14:15" x14ac:dyDescent="0.35">
      <c r="N1263"/>
      <c r="O1263"/>
    </row>
    <row r="1264" spans="14:15" x14ac:dyDescent="0.35">
      <c r="N1264"/>
      <c r="O1264"/>
    </row>
    <row r="1265" spans="14:15" x14ac:dyDescent="0.35">
      <c r="N1265"/>
      <c r="O1265"/>
    </row>
    <row r="1266" spans="14:15" x14ac:dyDescent="0.35">
      <c r="N1266"/>
      <c r="O1266"/>
    </row>
    <row r="1267" spans="14:15" x14ac:dyDescent="0.35">
      <c r="N1267"/>
      <c r="O1267"/>
    </row>
    <row r="1268" spans="14:15" x14ac:dyDescent="0.35">
      <c r="N1268"/>
      <c r="O1268"/>
    </row>
    <row r="1269" spans="14:15" x14ac:dyDescent="0.35">
      <c r="N1269"/>
      <c r="O1269"/>
    </row>
    <row r="1270" spans="14:15" x14ac:dyDescent="0.35">
      <c r="N1270"/>
      <c r="O1270"/>
    </row>
    <row r="1271" spans="14:15" x14ac:dyDescent="0.35">
      <c r="N1271"/>
      <c r="O1271"/>
    </row>
    <row r="1272" spans="14:15" x14ac:dyDescent="0.35">
      <c r="N1272"/>
      <c r="O1272"/>
    </row>
    <row r="1273" spans="14:15" x14ac:dyDescent="0.35">
      <c r="N1273"/>
      <c r="O1273"/>
    </row>
    <row r="1274" spans="14:15" x14ac:dyDescent="0.35">
      <c r="N1274"/>
      <c r="O1274"/>
    </row>
    <row r="1275" spans="14:15" x14ac:dyDescent="0.35">
      <c r="N1275"/>
      <c r="O1275"/>
    </row>
    <row r="1276" spans="14:15" x14ac:dyDescent="0.35">
      <c r="N1276"/>
      <c r="O1276"/>
    </row>
    <row r="1277" spans="14:15" x14ac:dyDescent="0.35">
      <c r="N1277"/>
      <c r="O1277"/>
    </row>
    <row r="1278" spans="14:15" x14ac:dyDescent="0.35">
      <c r="N1278"/>
      <c r="O1278"/>
    </row>
    <row r="1279" spans="14:15" x14ac:dyDescent="0.35">
      <c r="N1279"/>
      <c r="O1279"/>
    </row>
    <row r="1280" spans="14:15" x14ac:dyDescent="0.35">
      <c r="N1280"/>
      <c r="O1280"/>
    </row>
    <row r="1281" spans="14:15" x14ac:dyDescent="0.35">
      <c r="N1281"/>
      <c r="O1281"/>
    </row>
    <row r="1282" spans="14:15" x14ac:dyDescent="0.35">
      <c r="N1282"/>
      <c r="O1282"/>
    </row>
    <row r="1283" spans="14:15" x14ac:dyDescent="0.35">
      <c r="N1283"/>
      <c r="O1283"/>
    </row>
    <row r="1284" spans="14:15" x14ac:dyDescent="0.35">
      <c r="N1284"/>
      <c r="O1284"/>
    </row>
    <row r="1285" spans="14:15" x14ac:dyDescent="0.35">
      <c r="N1285"/>
      <c r="O1285"/>
    </row>
    <row r="1286" spans="14:15" x14ac:dyDescent="0.35">
      <c r="N1286"/>
      <c r="O1286"/>
    </row>
    <row r="1287" spans="14:15" x14ac:dyDescent="0.35">
      <c r="N1287"/>
      <c r="O1287"/>
    </row>
    <row r="1288" spans="14:15" x14ac:dyDescent="0.35">
      <c r="N1288"/>
      <c r="O1288"/>
    </row>
    <row r="1289" spans="14:15" x14ac:dyDescent="0.35">
      <c r="N1289"/>
      <c r="O1289"/>
    </row>
    <row r="1290" spans="14:15" x14ac:dyDescent="0.35">
      <c r="N1290"/>
      <c r="O1290"/>
    </row>
    <row r="1291" spans="14:15" x14ac:dyDescent="0.35">
      <c r="N1291"/>
      <c r="O1291"/>
    </row>
    <row r="1292" spans="14:15" x14ac:dyDescent="0.35">
      <c r="N1292"/>
      <c r="O1292"/>
    </row>
    <row r="1293" spans="14:15" x14ac:dyDescent="0.35">
      <c r="N1293"/>
      <c r="O1293"/>
    </row>
    <row r="1294" spans="14:15" x14ac:dyDescent="0.35">
      <c r="N1294"/>
      <c r="O1294"/>
    </row>
    <row r="1295" spans="14:15" x14ac:dyDescent="0.35">
      <c r="N1295"/>
      <c r="O1295"/>
    </row>
    <row r="1296" spans="14:15" x14ac:dyDescent="0.35">
      <c r="N1296"/>
      <c r="O1296"/>
    </row>
    <row r="1297" spans="14:15" x14ac:dyDescent="0.35">
      <c r="N1297"/>
      <c r="O1297"/>
    </row>
    <row r="1298" spans="14:15" x14ac:dyDescent="0.35">
      <c r="N1298"/>
      <c r="O1298"/>
    </row>
    <row r="1299" spans="14:15" x14ac:dyDescent="0.35">
      <c r="N1299"/>
      <c r="O1299"/>
    </row>
    <row r="1300" spans="14:15" x14ac:dyDescent="0.35">
      <c r="N1300"/>
      <c r="O1300"/>
    </row>
    <row r="1301" spans="14:15" x14ac:dyDescent="0.35">
      <c r="N1301"/>
      <c r="O1301"/>
    </row>
    <row r="1302" spans="14:15" x14ac:dyDescent="0.35">
      <c r="N1302"/>
      <c r="O1302"/>
    </row>
    <row r="1303" spans="14:15" x14ac:dyDescent="0.35">
      <c r="N1303"/>
      <c r="O1303"/>
    </row>
    <row r="1304" spans="14:15" x14ac:dyDescent="0.35">
      <c r="N1304"/>
      <c r="O1304"/>
    </row>
    <row r="1305" spans="14:15" x14ac:dyDescent="0.35">
      <c r="N1305"/>
      <c r="O1305"/>
    </row>
    <row r="1306" spans="14:15" x14ac:dyDescent="0.35">
      <c r="N1306"/>
      <c r="O1306"/>
    </row>
    <row r="1307" spans="14:15" x14ac:dyDescent="0.35">
      <c r="N1307"/>
      <c r="O1307"/>
    </row>
    <row r="1308" spans="14:15" x14ac:dyDescent="0.35">
      <c r="N1308"/>
      <c r="O1308"/>
    </row>
    <row r="1309" spans="14:15" x14ac:dyDescent="0.35">
      <c r="N1309"/>
      <c r="O1309"/>
    </row>
    <row r="1310" spans="14:15" x14ac:dyDescent="0.35">
      <c r="N1310"/>
      <c r="O1310"/>
    </row>
    <row r="1311" spans="14:15" x14ac:dyDescent="0.35">
      <c r="N1311"/>
      <c r="O1311"/>
    </row>
    <row r="1312" spans="14:15" x14ac:dyDescent="0.35">
      <c r="N1312"/>
      <c r="O1312"/>
    </row>
    <row r="1313" spans="14:15" x14ac:dyDescent="0.35">
      <c r="N1313"/>
      <c r="O1313"/>
    </row>
    <row r="1314" spans="14:15" x14ac:dyDescent="0.35">
      <c r="N1314"/>
      <c r="O1314"/>
    </row>
    <row r="1315" spans="14:15" x14ac:dyDescent="0.35">
      <c r="N1315"/>
      <c r="O1315"/>
    </row>
    <row r="1316" spans="14:15" x14ac:dyDescent="0.35">
      <c r="N1316"/>
      <c r="O1316"/>
    </row>
    <row r="1317" spans="14:15" x14ac:dyDescent="0.35">
      <c r="N1317"/>
      <c r="O1317"/>
    </row>
    <row r="1318" spans="14:15" x14ac:dyDescent="0.35">
      <c r="N1318"/>
      <c r="O1318"/>
    </row>
    <row r="1319" spans="14:15" x14ac:dyDescent="0.35">
      <c r="N1319"/>
      <c r="O1319"/>
    </row>
    <row r="1320" spans="14:15" x14ac:dyDescent="0.35">
      <c r="N1320"/>
      <c r="O1320"/>
    </row>
    <row r="1321" spans="14:15" x14ac:dyDescent="0.35">
      <c r="N1321"/>
      <c r="O1321"/>
    </row>
    <row r="1322" spans="14:15" x14ac:dyDescent="0.35">
      <c r="N1322"/>
      <c r="O1322"/>
    </row>
    <row r="1323" spans="14:15" x14ac:dyDescent="0.35">
      <c r="N1323"/>
      <c r="O1323"/>
    </row>
    <row r="1324" spans="14:15" x14ac:dyDescent="0.35">
      <c r="N1324"/>
      <c r="O1324"/>
    </row>
    <row r="1325" spans="14:15" x14ac:dyDescent="0.35">
      <c r="N1325"/>
      <c r="O1325"/>
    </row>
    <row r="1326" spans="14:15" x14ac:dyDescent="0.35">
      <c r="N1326"/>
      <c r="O1326"/>
    </row>
    <row r="1327" spans="14:15" x14ac:dyDescent="0.35">
      <c r="N1327"/>
      <c r="O1327"/>
    </row>
    <row r="1328" spans="14:15" x14ac:dyDescent="0.35">
      <c r="N1328"/>
      <c r="O1328"/>
    </row>
    <row r="1329" spans="14:15" x14ac:dyDescent="0.35">
      <c r="N1329"/>
      <c r="O1329"/>
    </row>
    <row r="1330" spans="14:15" x14ac:dyDescent="0.35">
      <c r="N1330"/>
      <c r="O1330"/>
    </row>
    <row r="1331" spans="14:15" x14ac:dyDescent="0.35">
      <c r="N1331"/>
      <c r="O1331"/>
    </row>
    <row r="1332" spans="14:15" x14ac:dyDescent="0.35">
      <c r="N1332"/>
      <c r="O1332"/>
    </row>
    <row r="1333" spans="14:15" x14ac:dyDescent="0.35">
      <c r="N1333"/>
      <c r="O1333"/>
    </row>
    <row r="1334" spans="14:15" x14ac:dyDescent="0.35">
      <c r="N1334"/>
      <c r="O1334"/>
    </row>
    <row r="1335" spans="14:15" x14ac:dyDescent="0.35">
      <c r="N1335"/>
      <c r="O1335"/>
    </row>
    <row r="1336" spans="14:15" x14ac:dyDescent="0.35">
      <c r="N1336"/>
      <c r="O1336"/>
    </row>
    <row r="1337" spans="14:15" x14ac:dyDescent="0.35">
      <c r="N1337"/>
      <c r="O1337"/>
    </row>
    <row r="1338" spans="14:15" x14ac:dyDescent="0.35">
      <c r="N1338"/>
      <c r="O1338"/>
    </row>
    <row r="1339" spans="14:15" x14ac:dyDescent="0.35">
      <c r="N1339"/>
      <c r="O1339"/>
    </row>
    <row r="1340" spans="14:15" x14ac:dyDescent="0.35">
      <c r="N1340"/>
      <c r="O1340"/>
    </row>
    <row r="1341" spans="14:15" x14ac:dyDescent="0.35">
      <c r="N1341"/>
      <c r="O1341"/>
    </row>
    <row r="1342" spans="14:15" x14ac:dyDescent="0.35">
      <c r="N1342"/>
      <c r="O1342"/>
    </row>
    <row r="1343" spans="14:15" x14ac:dyDescent="0.35">
      <c r="N1343"/>
      <c r="O1343"/>
    </row>
    <row r="1344" spans="14:15" x14ac:dyDescent="0.35">
      <c r="N1344"/>
      <c r="O1344"/>
    </row>
    <row r="1345" spans="14:15" x14ac:dyDescent="0.35">
      <c r="N1345"/>
      <c r="O1345"/>
    </row>
    <row r="1346" spans="14:15" x14ac:dyDescent="0.35">
      <c r="N1346"/>
      <c r="O1346"/>
    </row>
    <row r="1347" spans="14:15" x14ac:dyDescent="0.35">
      <c r="N1347"/>
      <c r="O1347"/>
    </row>
    <row r="1348" spans="14:15" x14ac:dyDescent="0.35">
      <c r="N1348"/>
      <c r="O1348"/>
    </row>
    <row r="1349" spans="14:15" x14ac:dyDescent="0.35">
      <c r="N1349"/>
      <c r="O1349"/>
    </row>
    <row r="1350" spans="14:15" x14ac:dyDescent="0.35">
      <c r="N1350"/>
      <c r="O1350"/>
    </row>
    <row r="1351" spans="14:15" x14ac:dyDescent="0.35">
      <c r="N1351"/>
      <c r="O1351"/>
    </row>
    <row r="1352" spans="14:15" x14ac:dyDescent="0.35">
      <c r="N1352"/>
      <c r="O1352"/>
    </row>
    <row r="1353" spans="14:15" x14ac:dyDescent="0.35">
      <c r="N1353"/>
      <c r="O1353"/>
    </row>
    <row r="1354" spans="14:15" x14ac:dyDescent="0.35">
      <c r="N1354"/>
      <c r="O1354"/>
    </row>
    <row r="1355" spans="14:15" x14ac:dyDescent="0.35">
      <c r="N1355"/>
      <c r="O1355"/>
    </row>
    <row r="1356" spans="14:15" x14ac:dyDescent="0.35">
      <c r="N1356"/>
      <c r="O1356"/>
    </row>
    <row r="1357" spans="14:15" x14ac:dyDescent="0.35">
      <c r="N1357"/>
      <c r="O1357"/>
    </row>
    <row r="1358" spans="14:15" x14ac:dyDescent="0.35">
      <c r="N1358"/>
      <c r="O1358"/>
    </row>
    <row r="1359" spans="14:15" x14ac:dyDescent="0.35">
      <c r="N1359"/>
      <c r="O1359"/>
    </row>
    <row r="1360" spans="14:15" x14ac:dyDescent="0.35">
      <c r="N1360"/>
      <c r="O1360"/>
    </row>
    <row r="1361" spans="14:15" x14ac:dyDescent="0.35">
      <c r="N1361"/>
      <c r="O1361"/>
    </row>
    <row r="1362" spans="14:15" x14ac:dyDescent="0.35">
      <c r="N1362"/>
      <c r="O1362"/>
    </row>
    <row r="1363" spans="14:15" x14ac:dyDescent="0.35">
      <c r="N1363"/>
      <c r="O1363"/>
    </row>
    <row r="1364" spans="14:15" x14ac:dyDescent="0.35">
      <c r="N1364"/>
      <c r="O1364"/>
    </row>
    <row r="1365" spans="14:15" x14ac:dyDescent="0.35">
      <c r="N1365"/>
      <c r="O1365"/>
    </row>
    <row r="1366" spans="14:15" x14ac:dyDescent="0.35">
      <c r="N1366"/>
      <c r="O1366"/>
    </row>
    <row r="1367" spans="14:15" x14ac:dyDescent="0.35">
      <c r="N1367"/>
      <c r="O1367"/>
    </row>
    <row r="1368" spans="14:15" x14ac:dyDescent="0.35">
      <c r="N1368"/>
      <c r="O1368"/>
    </row>
    <row r="1369" spans="14:15" x14ac:dyDescent="0.35">
      <c r="N1369"/>
      <c r="O1369"/>
    </row>
    <row r="1370" spans="14:15" x14ac:dyDescent="0.35">
      <c r="N1370"/>
      <c r="O1370"/>
    </row>
    <row r="1371" spans="14:15" x14ac:dyDescent="0.35">
      <c r="N1371"/>
      <c r="O1371"/>
    </row>
    <row r="1372" spans="14:15" x14ac:dyDescent="0.35">
      <c r="N1372"/>
      <c r="O1372"/>
    </row>
    <row r="1373" spans="14:15" x14ac:dyDescent="0.35">
      <c r="N1373"/>
      <c r="O1373"/>
    </row>
    <row r="1374" spans="14:15" x14ac:dyDescent="0.35">
      <c r="N1374"/>
      <c r="O1374"/>
    </row>
    <row r="1375" spans="14:15" x14ac:dyDescent="0.35">
      <c r="N1375"/>
      <c r="O1375"/>
    </row>
    <row r="1376" spans="14:15" x14ac:dyDescent="0.35">
      <c r="N1376"/>
      <c r="O1376"/>
    </row>
    <row r="1377" spans="14:15" x14ac:dyDescent="0.35">
      <c r="N1377"/>
      <c r="O1377"/>
    </row>
    <row r="1378" spans="14:15" x14ac:dyDescent="0.35">
      <c r="N1378"/>
      <c r="O1378"/>
    </row>
    <row r="1379" spans="14:15" x14ac:dyDescent="0.35">
      <c r="N1379"/>
      <c r="O1379"/>
    </row>
    <row r="1380" spans="14:15" x14ac:dyDescent="0.35">
      <c r="N1380"/>
      <c r="O1380"/>
    </row>
    <row r="1381" spans="14:15" x14ac:dyDescent="0.35">
      <c r="N1381"/>
      <c r="O1381"/>
    </row>
    <row r="1382" spans="14:15" x14ac:dyDescent="0.35">
      <c r="N1382"/>
      <c r="O1382"/>
    </row>
    <row r="1383" spans="14:15" x14ac:dyDescent="0.35">
      <c r="N1383"/>
      <c r="O1383"/>
    </row>
    <row r="1384" spans="14:15" x14ac:dyDescent="0.35">
      <c r="N1384"/>
      <c r="O1384"/>
    </row>
    <row r="1385" spans="14:15" x14ac:dyDescent="0.35">
      <c r="N1385"/>
      <c r="O1385"/>
    </row>
    <row r="1386" spans="14:15" x14ac:dyDescent="0.35">
      <c r="N1386"/>
      <c r="O1386"/>
    </row>
    <row r="1387" spans="14:15" x14ac:dyDescent="0.35">
      <c r="N1387"/>
      <c r="O1387"/>
    </row>
    <row r="1388" spans="14:15" x14ac:dyDescent="0.35">
      <c r="N1388"/>
      <c r="O1388"/>
    </row>
    <row r="1389" spans="14:15" x14ac:dyDescent="0.35">
      <c r="N1389"/>
      <c r="O1389"/>
    </row>
    <row r="1390" spans="14:15" x14ac:dyDescent="0.35">
      <c r="N1390"/>
      <c r="O1390"/>
    </row>
    <row r="1391" spans="14:15" x14ac:dyDescent="0.35">
      <c r="N1391"/>
      <c r="O1391"/>
    </row>
    <row r="1392" spans="14:15" x14ac:dyDescent="0.35">
      <c r="N1392"/>
      <c r="O1392"/>
    </row>
    <row r="1393" spans="14:15" x14ac:dyDescent="0.35">
      <c r="N1393"/>
      <c r="O1393"/>
    </row>
    <row r="1394" spans="14:15" x14ac:dyDescent="0.35">
      <c r="N1394"/>
      <c r="O1394"/>
    </row>
    <row r="1395" spans="14:15" x14ac:dyDescent="0.35">
      <c r="N1395"/>
      <c r="O1395"/>
    </row>
    <row r="1396" spans="14:15" x14ac:dyDescent="0.35">
      <c r="N1396"/>
      <c r="O1396"/>
    </row>
    <row r="1397" spans="14:15" x14ac:dyDescent="0.35">
      <c r="N1397"/>
      <c r="O1397"/>
    </row>
    <row r="1398" spans="14:15" x14ac:dyDescent="0.35">
      <c r="N1398"/>
      <c r="O1398"/>
    </row>
    <row r="1399" spans="14:15" x14ac:dyDescent="0.35">
      <c r="N1399"/>
      <c r="O1399"/>
    </row>
    <row r="1400" spans="14:15" x14ac:dyDescent="0.35">
      <c r="N1400"/>
      <c r="O1400"/>
    </row>
    <row r="1401" spans="14:15" x14ac:dyDescent="0.35">
      <c r="N1401"/>
      <c r="O1401"/>
    </row>
    <row r="1402" spans="14:15" x14ac:dyDescent="0.35">
      <c r="N1402"/>
      <c r="O1402"/>
    </row>
    <row r="1403" spans="14:15" x14ac:dyDescent="0.35">
      <c r="N1403"/>
      <c r="O1403"/>
    </row>
    <row r="1404" spans="14:15" x14ac:dyDescent="0.35">
      <c r="N1404"/>
      <c r="O1404"/>
    </row>
    <row r="1405" spans="14:15" x14ac:dyDescent="0.35">
      <c r="N1405"/>
      <c r="O1405"/>
    </row>
    <row r="1406" spans="14:15" x14ac:dyDescent="0.35">
      <c r="N1406"/>
      <c r="O1406"/>
    </row>
    <row r="1407" spans="14:15" x14ac:dyDescent="0.35">
      <c r="N1407"/>
      <c r="O1407"/>
    </row>
    <row r="1408" spans="14:15" x14ac:dyDescent="0.35">
      <c r="N1408"/>
      <c r="O1408"/>
    </row>
    <row r="1409" spans="14:15" x14ac:dyDescent="0.35">
      <c r="N1409"/>
      <c r="O1409"/>
    </row>
    <row r="1410" spans="14:15" x14ac:dyDescent="0.35">
      <c r="N1410"/>
      <c r="O1410"/>
    </row>
    <row r="1411" spans="14:15" x14ac:dyDescent="0.35">
      <c r="N1411"/>
      <c r="O1411"/>
    </row>
    <row r="1412" spans="14:15" x14ac:dyDescent="0.35">
      <c r="N1412"/>
      <c r="O1412"/>
    </row>
    <row r="1413" spans="14:15" x14ac:dyDescent="0.35">
      <c r="N1413"/>
      <c r="O1413"/>
    </row>
    <row r="1414" spans="14:15" x14ac:dyDescent="0.35">
      <c r="N1414"/>
      <c r="O1414"/>
    </row>
    <row r="1415" spans="14:15" x14ac:dyDescent="0.35">
      <c r="N1415"/>
      <c r="O1415"/>
    </row>
    <row r="1416" spans="14:15" x14ac:dyDescent="0.35">
      <c r="N1416"/>
      <c r="O1416"/>
    </row>
    <row r="1417" spans="14:15" x14ac:dyDescent="0.35">
      <c r="N1417"/>
      <c r="O1417"/>
    </row>
    <row r="1418" spans="14:15" x14ac:dyDescent="0.35">
      <c r="N1418"/>
      <c r="O1418"/>
    </row>
    <row r="1419" spans="14:15" x14ac:dyDescent="0.35">
      <c r="N1419"/>
      <c r="O1419"/>
    </row>
    <row r="1420" spans="14:15" x14ac:dyDescent="0.35">
      <c r="N1420"/>
      <c r="O1420"/>
    </row>
    <row r="1421" spans="14:15" x14ac:dyDescent="0.35">
      <c r="N1421"/>
      <c r="O1421"/>
    </row>
    <row r="1422" spans="14:15" x14ac:dyDescent="0.35">
      <c r="N1422"/>
      <c r="O1422"/>
    </row>
    <row r="1423" spans="14:15" x14ac:dyDescent="0.35">
      <c r="N1423"/>
      <c r="O1423"/>
    </row>
    <row r="1424" spans="14:15" x14ac:dyDescent="0.35">
      <c r="N1424"/>
      <c r="O1424"/>
    </row>
    <row r="1425" spans="14:15" x14ac:dyDescent="0.35">
      <c r="N1425"/>
      <c r="O1425"/>
    </row>
    <row r="1426" spans="14:15" x14ac:dyDescent="0.35">
      <c r="N1426"/>
      <c r="O1426"/>
    </row>
    <row r="1427" spans="14:15" x14ac:dyDescent="0.35">
      <c r="N1427"/>
      <c r="O1427"/>
    </row>
    <row r="1428" spans="14:15" x14ac:dyDescent="0.35">
      <c r="N1428"/>
      <c r="O1428"/>
    </row>
    <row r="1429" spans="14:15" x14ac:dyDescent="0.35">
      <c r="N1429"/>
      <c r="O1429"/>
    </row>
    <row r="1430" spans="14:15" x14ac:dyDescent="0.35">
      <c r="N1430"/>
      <c r="O1430"/>
    </row>
    <row r="1431" spans="14:15" x14ac:dyDescent="0.35">
      <c r="N1431"/>
      <c r="O1431"/>
    </row>
    <row r="1432" spans="14:15" x14ac:dyDescent="0.35">
      <c r="N1432"/>
      <c r="O1432"/>
    </row>
    <row r="1433" spans="14:15" x14ac:dyDescent="0.35">
      <c r="N1433"/>
      <c r="O1433"/>
    </row>
    <row r="1434" spans="14:15" x14ac:dyDescent="0.35">
      <c r="N1434"/>
      <c r="O1434"/>
    </row>
    <row r="1435" spans="14:15" x14ac:dyDescent="0.35">
      <c r="N1435"/>
      <c r="O1435"/>
    </row>
    <row r="1436" spans="14:15" x14ac:dyDescent="0.35">
      <c r="N1436"/>
      <c r="O1436"/>
    </row>
    <row r="1437" spans="14:15" x14ac:dyDescent="0.35">
      <c r="N1437"/>
      <c r="O1437"/>
    </row>
    <row r="1438" spans="14:15" x14ac:dyDescent="0.35">
      <c r="N1438"/>
      <c r="O1438"/>
    </row>
    <row r="1439" spans="14:15" x14ac:dyDescent="0.35">
      <c r="N1439"/>
      <c r="O1439"/>
    </row>
    <row r="1440" spans="14:15" x14ac:dyDescent="0.35">
      <c r="N1440"/>
      <c r="O1440"/>
    </row>
    <row r="1441" spans="14:15" x14ac:dyDescent="0.35">
      <c r="N1441"/>
      <c r="O1441"/>
    </row>
    <row r="1442" spans="14:15" x14ac:dyDescent="0.35">
      <c r="N1442"/>
      <c r="O1442"/>
    </row>
    <row r="1443" spans="14:15" x14ac:dyDescent="0.35">
      <c r="N1443"/>
      <c r="O1443"/>
    </row>
    <row r="1444" spans="14:15" x14ac:dyDescent="0.35">
      <c r="N1444"/>
      <c r="O1444"/>
    </row>
    <row r="1445" spans="14:15" x14ac:dyDescent="0.35">
      <c r="N1445"/>
      <c r="O1445"/>
    </row>
    <row r="1446" spans="14:15" x14ac:dyDescent="0.35">
      <c r="N1446"/>
      <c r="O1446"/>
    </row>
    <row r="1447" spans="14:15" x14ac:dyDescent="0.35">
      <c r="N1447"/>
      <c r="O1447"/>
    </row>
    <row r="1448" spans="14:15" x14ac:dyDescent="0.35">
      <c r="N1448"/>
      <c r="O1448"/>
    </row>
    <row r="1449" spans="14:15" x14ac:dyDescent="0.35">
      <c r="N1449"/>
      <c r="O1449"/>
    </row>
    <row r="1450" spans="14:15" x14ac:dyDescent="0.35">
      <c r="N1450"/>
      <c r="O1450"/>
    </row>
    <row r="1451" spans="14:15" x14ac:dyDescent="0.35">
      <c r="N1451"/>
      <c r="O1451"/>
    </row>
    <row r="1452" spans="14:15" x14ac:dyDescent="0.35">
      <c r="N1452"/>
      <c r="O1452"/>
    </row>
    <row r="1453" spans="14:15" x14ac:dyDescent="0.35">
      <c r="N1453"/>
      <c r="O1453"/>
    </row>
    <row r="1454" spans="14:15" x14ac:dyDescent="0.35">
      <c r="N1454"/>
      <c r="O1454"/>
    </row>
    <row r="1455" spans="14:15" x14ac:dyDescent="0.35">
      <c r="N1455"/>
      <c r="O1455"/>
    </row>
    <row r="1456" spans="14:15" x14ac:dyDescent="0.35">
      <c r="N1456"/>
      <c r="O1456"/>
    </row>
    <row r="1457" spans="14:15" x14ac:dyDescent="0.35">
      <c r="N1457"/>
      <c r="O1457"/>
    </row>
    <row r="1458" spans="14:15" x14ac:dyDescent="0.35">
      <c r="N1458"/>
      <c r="O1458"/>
    </row>
    <row r="1459" spans="14:15" x14ac:dyDescent="0.35">
      <c r="N1459"/>
      <c r="O1459"/>
    </row>
    <row r="1460" spans="14:15" x14ac:dyDescent="0.35">
      <c r="N1460"/>
      <c r="O1460"/>
    </row>
    <row r="1461" spans="14:15" x14ac:dyDescent="0.35">
      <c r="N1461"/>
      <c r="O1461"/>
    </row>
    <row r="1462" spans="14:15" x14ac:dyDescent="0.35">
      <c r="N1462"/>
      <c r="O1462"/>
    </row>
    <row r="1463" spans="14:15" x14ac:dyDescent="0.35">
      <c r="N1463"/>
      <c r="O1463"/>
    </row>
    <row r="1464" spans="14:15" x14ac:dyDescent="0.35">
      <c r="N1464"/>
      <c r="O1464"/>
    </row>
    <row r="1465" spans="14:15" x14ac:dyDescent="0.35">
      <c r="N1465"/>
      <c r="O1465"/>
    </row>
    <row r="1466" spans="14:15" x14ac:dyDescent="0.35">
      <c r="N1466"/>
      <c r="O1466"/>
    </row>
    <row r="1467" spans="14:15" x14ac:dyDescent="0.35">
      <c r="N1467"/>
      <c r="O1467"/>
    </row>
    <row r="1468" spans="14:15" x14ac:dyDescent="0.35">
      <c r="N1468"/>
      <c r="O1468"/>
    </row>
    <row r="1469" spans="14:15" x14ac:dyDescent="0.35">
      <c r="N1469"/>
      <c r="O1469"/>
    </row>
    <row r="1470" spans="14:15" x14ac:dyDescent="0.35">
      <c r="N1470"/>
      <c r="O1470"/>
    </row>
    <row r="1471" spans="14:15" x14ac:dyDescent="0.35">
      <c r="N1471"/>
      <c r="O1471"/>
    </row>
    <row r="1472" spans="14:15" x14ac:dyDescent="0.35">
      <c r="N1472"/>
      <c r="O1472"/>
    </row>
    <row r="1473" spans="14:15" x14ac:dyDescent="0.35">
      <c r="N1473"/>
      <c r="O1473"/>
    </row>
    <row r="1474" spans="14:15" x14ac:dyDescent="0.35">
      <c r="N1474"/>
      <c r="O1474"/>
    </row>
    <row r="1475" spans="14:15" x14ac:dyDescent="0.35">
      <c r="N1475"/>
      <c r="O1475"/>
    </row>
    <row r="1476" spans="14:15" x14ac:dyDescent="0.35">
      <c r="N1476"/>
      <c r="O1476"/>
    </row>
    <row r="1477" spans="14:15" x14ac:dyDescent="0.35">
      <c r="N1477"/>
      <c r="O1477"/>
    </row>
    <row r="1478" spans="14:15" x14ac:dyDescent="0.35">
      <c r="N1478"/>
      <c r="O1478"/>
    </row>
    <row r="1479" spans="14:15" x14ac:dyDescent="0.35">
      <c r="N1479"/>
      <c r="O1479"/>
    </row>
    <row r="1480" spans="14:15" x14ac:dyDescent="0.35">
      <c r="N1480"/>
      <c r="O1480"/>
    </row>
    <row r="1481" spans="14:15" x14ac:dyDescent="0.35">
      <c r="N1481"/>
      <c r="O1481"/>
    </row>
    <row r="1482" spans="14:15" x14ac:dyDescent="0.35">
      <c r="N1482"/>
      <c r="O1482"/>
    </row>
    <row r="1483" spans="14:15" x14ac:dyDescent="0.35">
      <c r="N1483"/>
      <c r="O1483"/>
    </row>
    <row r="1484" spans="14:15" x14ac:dyDescent="0.35">
      <c r="N1484"/>
      <c r="O1484"/>
    </row>
    <row r="1485" spans="14:15" x14ac:dyDescent="0.35">
      <c r="N1485"/>
      <c r="O1485"/>
    </row>
    <row r="1486" spans="14:15" x14ac:dyDescent="0.35">
      <c r="N1486"/>
      <c r="O1486"/>
    </row>
    <row r="1487" spans="14:15" x14ac:dyDescent="0.35">
      <c r="N1487"/>
      <c r="O1487"/>
    </row>
    <row r="1488" spans="14:15" x14ac:dyDescent="0.35">
      <c r="N1488"/>
      <c r="O1488"/>
    </row>
    <row r="1489" spans="14:15" x14ac:dyDescent="0.35">
      <c r="N1489"/>
      <c r="O1489"/>
    </row>
    <row r="1490" spans="14:15" x14ac:dyDescent="0.35">
      <c r="N1490"/>
      <c r="O1490"/>
    </row>
    <row r="1491" spans="14:15" x14ac:dyDescent="0.35">
      <c r="N1491"/>
      <c r="O1491"/>
    </row>
    <row r="1492" spans="14:15" x14ac:dyDescent="0.35">
      <c r="N1492"/>
      <c r="O1492"/>
    </row>
    <row r="1493" spans="14:15" x14ac:dyDescent="0.35">
      <c r="N1493"/>
      <c r="O1493"/>
    </row>
    <row r="1494" spans="14:15" x14ac:dyDescent="0.35">
      <c r="N1494"/>
      <c r="O1494"/>
    </row>
    <row r="1495" spans="14:15" x14ac:dyDescent="0.35">
      <c r="N1495"/>
      <c r="O1495"/>
    </row>
    <row r="1496" spans="14:15" x14ac:dyDescent="0.35">
      <c r="N1496"/>
      <c r="O1496"/>
    </row>
    <row r="1497" spans="14:15" x14ac:dyDescent="0.35">
      <c r="N1497"/>
      <c r="O1497"/>
    </row>
    <row r="1498" spans="14:15" x14ac:dyDescent="0.35">
      <c r="N1498"/>
      <c r="O1498"/>
    </row>
    <row r="1499" spans="14:15" x14ac:dyDescent="0.35">
      <c r="N1499"/>
      <c r="O1499"/>
    </row>
    <row r="1500" spans="14:15" x14ac:dyDescent="0.35">
      <c r="N1500"/>
      <c r="O1500"/>
    </row>
    <row r="1501" spans="14:15" x14ac:dyDescent="0.35">
      <c r="N1501"/>
      <c r="O1501"/>
    </row>
    <row r="1502" spans="14:15" x14ac:dyDescent="0.35">
      <c r="N1502"/>
      <c r="O1502"/>
    </row>
    <row r="1503" spans="14:15" x14ac:dyDescent="0.35">
      <c r="N1503"/>
      <c r="O1503"/>
    </row>
    <row r="1504" spans="14:15" x14ac:dyDescent="0.35">
      <c r="N1504"/>
      <c r="O1504"/>
    </row>
    <row r="1505" spans="14:15" x14ac:dyDescent="0.35">
      <c r="N1505"/>
      <c r="O1505"/>
    </row>
    <row r="1506" spans="14:15" x14ac:dyDescent="0.35">
      <c r="N1506"/>
      <c r="O1506"/>
    </row>
    <row r="1507" spans="14:15" x14ac:dyDescent="0.35">
      <c r="N1507"/>
      <c r="O1507"/>
    </row>
    <row r="1508" spans="14:15" x14ac:dyDescent="0.35">
      <c r="N1508"/>
      <c r="O1508"/>
    </row>
    <row r="1509" spans="14:15" x14ac:dyDescent="0.35">
      <c r="N1509"/>
      <c r="O1509"/>
    </row>
    <row r="1510" spans="14:15" x14ac:dyDescent="0.35">
      <c r="N1510"/>
      <c r="O1510"/>
    </row>
    <row r="1511" spans="14:15" x14ac:dyDescent="0.35">
      <c r="N1511"/>
      <c r="O1511"/>
    </row>
    <row r="1512" spans="14:15" x14ac:dyDescent="0.35">
      <c r="N1512"/>
      <c r="O1512"/>
    </row>
    <row r="1513" spans="14:15" x14ac:dyDescent="0.35">
      <c r="N1513"/>
      <c r="O1513"/>
    </row>
    <row r="1514" spans="14:15" x14ac:dyDescent="0.35">
      <c r="N1514"/>
      <c r="O1514"/>
    </row>
    <row r="1515" spans="14:15" x14ac:dyDescent="0.35">
      <c r="N1515"/>
      <c r="O1515"/>
    </row>
    <row r="1516" spans="14:15" x14ac:dyDescent="0.35">
      <c r="N1516"/>
      <c r="O1516"/>
    </row>
    <row r="1517" spans="14:15" x14ac:dyDescent="0.35">
      <c r="N1517"/>
      <c r="O1517"/>
    </row>
    <row r="1518" spans="14:15" x14ac:dyDescent="0.35">
      <c r="N1518"/>
      <c r="O1518"/>
    </row>
    <row r="1519" spans="14:15" x14ac:dyDescent="0.35">
      <c r="N1519"/>
      <c r="O1519"/>
    </row>
    <row r="1520" spans="14:15" x14ac:dyDescent="0.35">
      <c r="N1520"/>
      <c r="O1520"/>
    </row>
    <row r="1521" spans="14:15" x14ac:dyDescent="0.35">
      <c r="N1521"/>
      <c r="O1521"/>
    </row>
    <row r="1522" spans="14:15" x14ac:dyDescent="0.35">
      <c r="N1522"/>
      <c r="O1522"/>
    </row>
    <row r="1523" spans="14:15" x14ac:dyDescent="0.35">
      <c r="N1523"/>
      <c r="O1523"/>
    </row>
    <row r="1524" spans="14:15" x14ac:dyDescent="0.35">
      <c r="N1524"/>
      <c r="O1524"/>
    </row>
    <row r="1525" spans="14:15" x14ac:dyDescent="0.35">
      <c r="N1525"/>
      <c r="O1525"/>
    </row>
    <row r="1526" spans="14:15" x14ac:dyDescent="0.35">
      <c r="N1526"/>
      <c r="O1526"/>
    </row>
    <row r="1527" spans="14:15" x14ac:dyDescent="0.35">
      <c r="N1527"/>
      <c r="O1527"/>
    </row>
    <row r="1528" spans="14:15" x14ac:dyDescent="0.35">
      <c r="N1528"/>
      <c r="O1528"/>
    </row>
    <row r="1529" spans="14:15" x14ac:dyDescent="0.35">
      <c r="N1529"/>
      <c r="O1529"/>
    </row>
    <row r="1530" spans="14:15" x14ac:dyDescent="0.35">
      <c r="N1530"/>
      <c r="O1530"/>
    </row>
    <row r="1531" spans="14:15" x14ac:dyDescent="0.35">
      <c r="N1531"/>
      <c r="O1531"/>
    </row>
    <row r="1532" spans="14:15" x14ac:dyDescent="0.35">
      <c r="N1532"/>
      <c r="O1532"/>
    </row>
    <row r="1533" spans="14:15" x14ac:dyDescent="0.35">
      <c r="N1533"/>
      <c r="O1533"/>
    </row>
    <row r="1534" spans="14:15" x14ac:dyDescent="0.35">
      <c r="N1534"/>
      <c r="O1534"/>
    </row>
    <row r="1535" spans="14:15" x14ac:dyDescent="0.35">
      <c r="N1535"/>
      <c r="O1535"/>
    </row>
    <row r="1536" spans="14:15" x14ac:dyDescent="0.35">
      <c r="N1536"/>
      <c r="O1536"/>
    </row>
    <row r="1537" spans="14:15" x14ac:dyDescent="0.35">
      <c r="N1537"/>
      <c r="O1537"/>
    </row>
    <row r="1538" spans="14:15" x14ac:dyDescent="0.35">
      <c r="N1538"/>
      <c r="O1538"/>
    </row>
    <row r="1539" spans="14:15" x14ac:dyDescent="0.35">
      <c r="N1539"/>
      <c r="O1539"/>
    </row>
    <row r="1540" spans="14:15" x14ac:dyDescent="0.35">
      <c r="N1540"/>
      <c r="O1540"/>
    </row>
    <row r="1541" spans="14:15" x14ac:dyDescent="0.35">
      <c r="N1541"/>
      <c r="O1541"/>
    </row>
    <row r="1542" spans="14:15" x14ac:dyDescent="0.35">
      <c r="N1542"/>
      <c r="O1542"/>
    </row>
    <row r="1543" spans="14:15" x14ac:dyDescent="0.35">
      <c r="N1543"/>
      <c r="O1543"/>
    </row>
    <row r="1544" spans="14:15" x14ac:dyDescent="0.35">
      <c r="N1544"/>
      <c r="O1544"/>
    </row>
    <row r="1545" spans="14:15" x14ac:dyDescent="0.35">
      <c r="N1545"/>
      <c r="O1545"/>
    </row>
    <row r="1546" spans="14:15" x14ac:dyDescent="0.35">
      <c r="N1546"/>
      <c r="O1546"/>
    </row>
    <row r="1547" spans="14:15" x14ac:dyDescent="0.35">
      <c r="N1547"/>
      <c r="O1547"/>
    </row>
    <row r="1548" spans="14:15" x14ac:dyDescent="0.35">
      <c r="N1548"/>
      <c r="O1548"/>
    </row>
    <row r="1549" spans="14:15" x14ac:dyDescent="0.35">
      <c r="N1549"/>
      <c r="O1549"/>
    </row>
    <row r="1550" spans="14:15" x14ac:dyDescent="0.35">
      <c r="N1550"/>
      <c r="O1550"/>
    </row>
    <row r="1551" spans="14:15" x14ac:dyDescent="0.35">
      <c r="N1551"/>
      <c r="O1551"/>
    </row>
    <row r="1552" spans="14:15" x14ac:dyDescent="0.35">
      <c r="N1552"/>
      <c r="O1552"/>
    </row>
    <row r="1553" spans="14:15" x14ac:dyDescent="0.35">
      <c r="N1553"/>
      <c r="O1553"/>
    </row>
    <row r="1554" spans="14:15" x14ac:dyDescent="0.35">
      <c r="N1554"/>
      <c r="O1554"/>
    </row>
    <row r="1555" spans="14:15" x14ac:dyDescent="0.35">
      <c r="N1555"/>
      <c r="O1555"/>
    </row>
    <row r="1556" spans="14:15" x14ac:dyDescent="0.35">
      <c r="N1556"/>
      <c r="O1556"/>
    </row>
    <row r="1557" spans="14:15" x14ac:dyDescent="0.35">
      <c r="N1557"/>
      <c r="O1557"/>
    </row>
    <row r="1558" spans="14:15" x14ac:dyDescent="0.35">
      <c r="N1558"/>
      <c r="O1558"/>
    </row>
    <row r="1559" spans="14:15" x14ac:dyDescent="0.35">
      <c r="N1559"/>
      <c r="O1559"/>
    </row>
    <row r="1560" spans="14:15" x14ac:dyDescent="0.35">
      <c r="N1560"/>
      <c r="O1560"/>
    </row>
    <row r="1561" spans="14:15" x14ac:dyDescent="0.35">
      <c r="N1561"/>
      <c r="O1561"/>
    </row>
    <row r="1562" spans="14:15" x14ac:dyDescent="0.35">
      <c r="N1562"/>
      <c r="O1562"/>
    </row>
    <row r="1563" spans="14:15" x14ac:dyDescent="0.35">
      <c r="N1563"/>
      <c r="O1563"/>
    </row>
    <row r="1564" spans="14:15" x14ac:dyDescent="0.35">
      <c r="N1564"/>
      <c r="O1564"/>
    </row>
    <row r="1565" spans="14:15" x14ac:dyDescent="0.35">
      <c r="N1565"/>
      <c r="O1565"/>
    </row>
    <row r="1566" spans="14:15" x14ac:dyDescent="0.35">
      <c r="N1566"/>
      <c r="O1566"/>
    </row>
    <row r="1567" spans="14:15" x14ac:dyDescent="0.35">
      <c r="N1567"/>
      <c r="O1567"/>
    </row>
    <row r="1568" spans="14:15" x14ac:dyDescent="0.35">
      <c r="N1568"/>
      <c r="O1568"/>
    </row>
    <row r="1569" spans="14:15" x14ac:dyDescent="0.35">
      <c r="N1569"/>
      <c r="O1569"/>
    </row>
    <row r="1570" spans="14:15" x14ac:dyDescent="0.35">
      <c r="N1570"/>
      <c r="O1570"/>
    </row>
    <row r="1571" spans="14:15" x14ac:dyDescent="0.35">
      <c r="N1571"/>
      <c r="O1571"/>
    </row>
    <row r="1572" spans="14:15" x14ac:dyDescent="0.35">
      <c r="N1572"/>
      <c r="O1572"/>
    </row>
    <row r="1573" spans="14:15" x14ac:dyDescent="0.35">
      <c r="N1573"/>
      <c r="O1573"/>
    </row>
    <row r="1574" spans="14:15" x14ac:dyDescent="0.35">
      <c r="N1574"/>
      <c r="O1574"/>
    </row>
    <row r="1575" spans="14:15" x14ac:dyDescent="0.35">
      <c r="N1575"/>
      <c r="O1575"/>
    </row>
    <row r="1576" spans="14:15" x14ac:dyDescent="0.35">
      <c r="N1576"/>
      <c r="O1576"/>
    </row>
    <row r="1577" spans="14:15" x14ac:dyDescent="0.35">
      <c r="N1577"/>
      <c r="O1577"/>
    </row>
    <row r="1578" spans="14:15" x14ac:dyDescent="0.35">
      <c r="N1578"/>
      <c r="O1578"/>
    </row>
    <row r="1579" spans="14:15" x14ac:dyDescent="0.35">
      <c r="N1579"/>
      <c r="O1579"/>
    </row>
    <row r="1580" spans="14:15" x14ac:dyDescent="0.35">
      <c r="N1580"/>
      <c r="O1580"/>
    </row>
    <row r="1581" spans="14:15" x14ac:dyDescent="0.35">
      <c r="N1581"/>
      <c r="O1581"/>
    </row>
    <row r="1582" spans="14:15" x14ac:dyDescent="0.35">
      <c r="N1582"/>
      <c r="O1582"/>
    </row>
    <row r="1583" spans="14:15" x14ac:dyDescent="0.35">
      <c r="N1583"/>
      <c r="O1583"/>
    </row>
    <row r="1584" spans="14:15" x14ac:dyDescent="0.35">
      <c r="N1584"/>
      <c r="O1584"/>
    </row>
    <row r="1585" spans="14:15" x14ac:dyDescent="0.35">
      <c r="N1585"/>
      <c r="O1585"/>
    </row>
    <row r="1586" spans="14:15" x14ac:dyDescent="0.35">
      <c r="N1586"/>
      <c r="O1586"/>
    </row>
    <row r="1587" spans="14:15" x14ac:dyDescent="0.35">
      <c r="N1587"/>
      <c r="O1587"/>
    </row>
    <row r="1588" spans="14:15" x14ac:dyDescent="0.35">
      <c r="N1588"/>
      <c r="O1588"/>
    </row>
    <row r="1589" spans="14:15" x14ac:dyDescent="0.35">
      <c r="N1589"/>
      <c r="O1589"/>
    </row>
    <row r="1590" spans="14:15" x14ac:dyDescent="0.35">
      <c r="N1590"/>
      <c r="O1590"/>
    </row>
    <row r="1591" spans="14:15" x14ac:dyDescent="0.35">
      <c r="N1591"/>
      <c r="O1591"/>
    </row>
    <row r="1592" spans="14:15" x14ac:dyDescent="0.35">
      <c r="N1592"/>
      <c r="O1592"/>
    </row>
    <row r="1593" spans="14:15" x14ac:dyDescent="0.35">
      <c r="N1593"/>
      <c r="O1593"/>
    </row>
    <row r="1594" spans="14:15" x14ac:dyDescent="0.35">
      <c r="N1594"/>
      <c r="O1594"/>
    </row>
    <row r="1595" spans="14:15" x14ac:dyDescent="0.35">
      <c r="N1595"/>
      <c r="O1595"/>
    </row>
    <row r="1596" spans="14:15" x14ac:dyDescent="0.35">
      <c r="N1596"/>
      <c r="O1596"/>
    </row>
    <row r="1597" spans="14:15" x14ac:dyDescent="0.35">
      <c r="N1597"/>
      <c r="O1597"/>
    </row>
    <row r="1598" spans="14:15" x14ac:dyDescent="0.35">
      <c r="N1598"/>
      <c r="O1598"/>
    </row>
    <row r="1599" spans="14:15" x14ac:dyDescent="0.35">
      <c r="N1599"/>
      <c r="O1599"/>
    </row>
    <row r="1600" spans="14:15" x14ac:dyDescent="0.35">
      <c r="N1600"/>
      <c r="O1600"/>
    </row>
    <row r="1601" spans="14:15" x14ac:dyDescent="0.35">
      <c r="N1601"/>
      <c r="O1601"/>
    </row>
    <row r="1602" spans="14:15" x14ac:dyDescent="0.35">
      <c r="N1602"/>
      <c r="O1602"/>
    </row>
    <row r="1603" spans="14:15" x14ac:dyDescent="0.35">
      <c r="N1603"/>
      <c r="O1603"/>
    </row>
    <row r="1604" spans="14:15" x14ac:dyDescent="0.35">
      <c r="N1604"/>
      <c r="O1604"/>
    </row>
    <row r="1605" spans="14:15" x14ac:dyDescent="0.35">
      <c r="N1605"/>
      <c r="O1605"/>
    </row>
    <row r="1606" spans="14:15" x14ac:dyDescent="0.35">
      <c r="N1606"/>
      <c r="O1606"/>
    </row>
    <row r="1607" spans="14:15" x14ac:dyDescent="0.35">
      <c r="N1607"/>
      <c r="O1607"/>
    </row>
    <row r="1608" spans="14:15" x14ac:dyDescent="0.35">
      <c r="N1608"/>
      <c r="O1608"/>
    </row>
    <row r="1609" spans="14:15" x14ac:dyDescent="0.35">
      <c r="N1609"/>
      <c r="O1609"/>
    </row>
    <row r="1610" spans="14:15" x14ac:dyDescent="0.35">
      <c r="N1610"/>
      <c r="O1610"/>
    </row>
    <row r="1611" spans="14:15" x14ac:dyDescent="0.35">
      <c r="N1611"/>
      <c r="O1611"/>
    </row>
    <row r="1612" spans="14:15" x14ac:dyDescent="0.35">
      <c r="N1612"/>
      <c r="O1612"/>
    </row>
    <row r="1613" spans="14:15" x14ac:dyDescent="0.35">
      <c r="N1613"/>
      <c r="O1613"/>
    </row>
    <row r="1614" spans="14:15" x14ac:dyDescent="0.35">
      <c r="N1614"/>
      <c r="O1614"/>
    </row>
    <row r="1615" spans="14:15" x14ac:dyDescent="0.35">
      <c r="N1615"/>
      <c r="O1615"/>
    </row>
    <row r="1616" spans="14:15" x14ac:dyDescent="0.35">
      <c r="N1616"/>
      <c r="O1616"/>
    </row>
    <row r="1617" spans="14:15" x14ac:dyDescent="0.35">
      <c r="N1617"/>
      <c r="O1617"/>
    </row>
    <row r="1618" spans="14:15" x14ac:dyDescent="0.35">
      <c r="N1618"/>
      <c r="O1618"/>
    </row>
    <row r="1619" spans="14:15" x14ac:dyDescent="0.35">
      <c r="N1619"/>
      <c r="O1619"/>
    </row>
    <row r="1620" spans="14:15" x14ac:dyDescent="0.35">
      <c r="N1620"/>
      <c r="O1620"/>
    </row>
    <row r="1621" spans="14:15" x14ac:dyDescent="0.35">
      <c r="N1621"/>
      <c r="O1621"/>
    </row>
    <row r="1622" spans="14:15" x14ac:dyDescent="0.35">
      <c r="N1622"/>
      <c r="O1622"/>
    </row>
    <row r="1623" spans="14:15" x14ac:dyDescent="0.35">
      <c r="N1623"/>
      <c r="O1623"/>
    </row>
    <row r="1624" spans="14:15" x14ac:dyDescent="0.35">
      <c r="N1624"/>
      <c r="O1624"/>
    </row>
    <row r="1625" spans="14:15" x14ac:dyDescent="0.35">
      <c r="N1625"/>
      <c r="O1625"/>
    </row>
    <row r="1626" spans="14:15" x14ac:dyDescent="0.35">
      <c r="N1626"/>
      <c r="O1626"/>
    </row>
    <row r="1627" spans="14:15" x14ac:dyDescent="0.35">
      <c r="N1627"/>
      <c r="O1627"/>
    </row>
    <row r="1628" spans="14:15" x14ac:dyDescent="0.35">
      <c r="N1628"/>
      <c r="O1628"/>
    </row>
    <row r="1629" spans="14:15" x14ac:dyDescent="0.35">
      <c r="N1629"/>
      <c r="O1629"/>
    </row>
    <row r="1630" spans="14:15" x14ac:dyDescent="0.35">
      <c r="N1630"/>
      <c r="O1630"/>
    </row>
    <row r="1631" spans="14:15" x14ac:dyDescent="0.35">
      <c r="N1631"/>
      <c r="O1631"/>
    </row>
    <row r="1632" spans="14:15" x14ac:dyDescent="0.35">
      <c r="N1632"/>
      <c r="O1632"/>
    </row>
    <row r="1633" spans="14:15" x14ac:dyDescent="0.35">
      <c r="N1633"/>
      <c r="O1633"/>
    </row>
    <row r="1634" spans="14:15" x14ac:dyDescent="0.35">
      <c r="N1634"/>
      <c r="O1634"/>
    </row>
    <row r="1635" spans="14:15" x14ac:dyDescent="0.35">
      <c r="N1635"/>
      <c r="O1635"/>
    </row>
    <row r="1636" spans="14:15" x14ac:dyDescent="0.35">
      <c r="N1636"/>
      <c r="O1636"/>
    </row>
    <row r="1637" spans="14:15" x14ac:dyDescent="0.35">
      <c r="N1637"/>
      <c r="O1637"/>
    </row>
    <row r="1638" spans="14:15" x14ac:dyDescent="0.35">
      <c r="N1638"/>
      <c r="O1638"/>
    </row>
    <row r="1639" spans="14:15" x14ac:dyDescent="0.35">
      <c r="N1639"/>
      <c r="O1639"/>
    </row>
    <row r="1640" spans="14:15" x14ac:dyDescent="0.35">
      <c r="N1640"/>
      <c r="O1640"/>
    </row>
    <row r="1641" spans="14:15" x14ac:dyDescent="0.35">
      <c r="N1641"/>
      <c r="O1641"/>
    </row>
    <row r="1642" spans="14:15" x14ac:dyDescent="0.35">
      <c r="N1642"/>
      <c r="O1642"/>
    </row>
    <row r="1643" spans="14:15" x14ac:dyDescent="0.35">
      <c r="N1643"/>
      <c r="O1643"/>
    </row>
    <row r="1644" spans="14:15" x14ac:dyDescent="0.35">
      <c r="N1644"/>
      <c r="O1644"/>
    </row>
    <row r="1645" spans="14:15" x14ac:dyDescent="0.35">
      <c r="N1645"/>
      <c r="O1645"/>
    </row>
    <row r="1646" spans="14:15" x14ac:dyDescent="0.35">
      <c r="N1646"/>
      <c r="O1646"/>
    </row>
    <row r="1647" spans="14:15" x14ac:dyDescent="0.35">
      <c r="N1647"/>
      <c r="O1647"/>
    </row>
    <row r="1648" spans="14:15" x14ac:dyDescent="0.35">
      <c r="N1648"/>
      <c r="O1648"/>
    </row>
    <row r="1649" spans="14:15" x14ac:dyDescent="0.35">
      <c r="N1649"/>
      <c r="O1649"/>
    </row>
    <row r="1650" spans="14:15" x14ac:dyDescent="0.35">
      <c r="N1650"/>
      <c r="O1650"/>
    </row>
    <row r="1651" spans="14:15" x14ac:dyDescent="0.35">
      <c r="N1651"/>
      <c r="O1651"/>
    </row>
    <row r="1652" spans="14:15" x14ac:dyDescent="0.35">
      <c r="N1652"/>
      <c r="O1652"/>
    </row>
    <row r="1653" spans="14:15" x14ac:dyDescent="0.35">
      <c r="N1653"/>
      <c r="O1653"/>
    </row>
    <row r="1654" spans="14:15" x14ac:dyDescent="0.35">
      <c r="N1654"/>
      <c r="O1654"/>
    </row>
    <row r="1655" spans="14:15" x14ac:dyDescent="0.35">
      <c r="N1655"/>
      <c r="O1655"/>
    </row>
    <row r="1656" spans="14:15" x14ac:dyDescent="0.35">
      <c r="N1656"/>
      <c r="O1656"/>
    </row>
    <row r="1657" spans="14:15" x14ac:dyDescent="0.35">
      <c r="N1657"/>
      <c r="O1657"/>
    </row>
    <row r="1658" spans="14:15" x14ac:dyDescent="0.35">
      <c r="N1658"/>
      <c r="O1658"/>
    </row>
    <row r="1659" spans="14:15" x14ac:dyDescent="0.35">
      <c r="N1659"/>
      <c r="O1659"/>
    </row>
    <row r="1660" spans="14:15" x14ac:dyDescent="0.35">
      <c r="N1660"/>
      <c r="O1660"/>
    </row>
    <row r="1661" spans="14:15" x14ac:dyDescent="0.35">
      <c r="N1661"/>
      <c r="O1661"/>
    </row>
    <row r="1662" spans="14:15" x14ac:dyDescent="0.35">
      <c r="N1662"/>
      <c r="O1662"/>
    </row>
    <row r="1663" spans="14:15" x14ac:dyDescent="0.35">
      <c r="N1663"/>
      <c r="O1663"/>
    </row>
    <row r="1664" spans="14:15" x14ac:dyDescent="0.35">
      <c r="N1664"/>
      <c r="O1664"/>
    </row>
    <row r="1665" spans="14:15" x14ac:dyDescent="0.35">
      <c r="N1665"/>
      <c r="O1665"/>
    </row>
    <row r="1666" spans="14:15" x14ac:dyDescent="0.35">
      <c r="N1666"/>
      <c r="O1666"/>
    </row>
    <row r="1667" spans="14:15" x14ac:dyDescent="0.35">
      <c r="N1667"/>
      <c r="O1667"/>
    </row>
    <row r="1668" spans="14:15" x14ac:dyDescent="0.35">
      <c r="N1668"/>
      <c r="O1668"/>
    </row>
    <row r="1669" spans="14:15" x14ac:dyDescent="0.35">
      <c r="N1669"/>
      <c r="O1669"/>
    </row>
    <row r="1670" spans="14:15" x14ac:dyDescent="0.35">
      <c r="N1670"/>
      <c r="O1670"/>
    </row>
    <row r="1671" spans="14:15" x14ac:dyDescent="0.35">
      <c r="N1671"/>
      <c r="O1671"/>
    </row>
    <row r="1672" spans="14:15" x14ac:dyDescent="0.35">
      <c r="N1672"/>
      <c r="O1672"/>
    </row>
    <row r="1673" spans="14:15" x14ac:dyDescent="0.35">
      <c r="N1673"/>
      <c r="O1673"/>
    </row>
    <row r="1674" spans="14:15" x14ac:dyDescent="0.35">
      <c r="N1674"/>
      <c r="O1674"/>
    </row>
    <row r="1675" spans="14:15" x14ac:dyDescent="0.35">
      <c r="N1675"/>
      <c r="O1675"/>
    </row>
    <row r="1676" spans="14:15" x14ac:dyDescent="0.35">
      <c r="N1676"/>
      <c r="O1676"/>
    </row>
    <row r="1677" spans="14:15" x14ac:dyDescent="0.35">
      <c r="N1677"/>
      <c r="O1677"/>
    </row>
    <row r="1678" spans="14:15" x14ac:dyDescent="0.35">
      <c r="N1678"/>
      <c r="O1678"/>
    </row>
    <row r="1679" spans="14:15" x14ac:dyDescent="0.35">
      <c r="N1679"/>
      <c r="O1679"/>
    </row>
    <row r="1680" spans="14:15" x14ac:dyDescent="0.35">
      <c r="N1680"/>
      <c r="O1680"/>
    </row>
    <row r="1681" spans="14:15" x14ac:dyDescent="0.35">
      <c r="N1681"/>
      <c r="O1681"/>
    </row>
    <row r="1682" spans="14:15" x14ac:dyDescent="0.35">
      <c r="N1682"/>
      <c r="O1682"/>
    </row>
    <row r="1683" spans="14:15" x14ac:dyDescent="0.35">
      <c r="N1683"/>
      <c r="O1683"/>
    </row>
    <row r="1684" spans="14:15" x14ac:dyDescent="0.35">
      <c r="N1684"/>
      <c r="O1684"/>
    </row>
    <row r="1685" spans="14:15" x14ac:dyDescent="0.35">
      <c r="N1685"/>
      <c r="O1685"/>
    </row>
    <row r="1686" spans="14:15" x14ac:dyDescent="0.35">
      <c r="N1686"/>
      <c r="O1686"/>
    </row>
    <row r="1687" spans="14:15" x14ac:dyDescent="0.35">
      <c r="N1687"/>
      <c r="O1687"/>
    </row>
    <row r="1688" spans="14:15" x14ac:dyDescent="0.35">
      <c r="N1688"/>
      <c r="O1688"/>
    </row>
    <row r="1689" spans="14:15" x14ac:dyDescent="0.35">
      <c r="N1689"/>
      <c r="O1689"/>
    </row>
    <row r="1690" spans="14:15" x14ac:dyDescent="0.35">
      <c r="N1690"/>
      <c r="O1690"/>
    </row>
    <row r="1691" spans="14:15" x14ac:dyDescent="0.35">
      <c r="N1691"/>
      <c r="O1691"/>
    </row>
    <row r="1692" spans="14:15" x14ac:dyDescent="0.35">
      <c r="N1692"/>
      <c r="O1692"/>
    </row>
    <row r="1693" spans="14:15" x14ac:dyDescent="0.35">
      <c r="N1693"/>
      <c r="O1693"/>
    </row>
    <row r="1694" spans="14:15" x14ac:dyDescent="0.35">
      <c r="N1694"/>
      <c r="O1694"/>
    </row>
    <row r="1695" spans="14:15" x14ac:dyDescent="0.35">
      <c r="N1695"/>
      <c r="O1695"/>
    </row>
    <row r="1696" spans="14:15" x14ac:dyDescent="0.35">
      <c r="N1696"/>
      <c r="O1696"/>
    </row>
    <row r="1697" spans="14:15" x14ac:dyDescent="0.35">
      <c r="N1697"/>
      <c r="O1697"/>
    </row>
    <row r="1698" spans="14:15" x14ac:dyDescent="0.35">
      <c r="N1698"/>
      <c r="O1698"/>
    </row>
    <row r="1699" spans="14:15" x14ac:dyDescent="0.35">
      <c r="N1699"/>
      <c r="O1699"/>
    </row>
    <row r="1700" spans="14:15" x14ac:dyDescent="0.35">
      <c r="N1700"/>
      <c r="O1700"/>
    </row>
    <row r="1701" spans="14:15" x14ac:dyDescent="0.35">
      <c r="N1701"/>
      <c r="O1701"/>
    </row>
    <row r="1702" spans="14:15" x14ac:dyDescent="0.35">
      <c r="N1702"/>
      <c r="O1702"/>
    </row>
    <row r="1703" spans="14:15" x14ac:dyDescent="0.35">
      <c r="N1703"/>
      <c r="O1703"/>
    </row>
    <row r="1704" spans="14:15" x14ac:dyDescent="0.35">
      <c r="N1704"/>
      <c r="O1704"/>
    </row>
    <row r="1705" spans="14:15" x14ac:dyDescent="0.35">
      <c r="N1705"/>
      <c r="O1705"/>
    </row>
    <row r="1706" spans="14:15" x14ac:dyDescent="0.35">
      <c r="N1706"/>
      <c r="O1706"/>
    </row>
    <row r="1707" spans="14:15" x14ac:dyDescent="0.35">
      <c r="N1707"/>
      <c r="O1707"/>
    </row>
    <row r="1708" spans="14:15" x14ac:dyDescent="0.35">
      <c r="N1708"/>
      <c r="O1708"/>
    </row>
    <row r="1709" spans="14:15" x14ac:dyDescent="0.35">
      <c r="N1709"/>
      <c r="O1709"/>
    </row>
    <row r="1710" spans="14:15" x14ac:dyDescent="0.35">
      <c r="N1710"/>
      <c r="O1710"/>
    </row>
    <row r="1711" spans="14:15" x14ac:dyDescent="0.35">
      <c r="N1711"/>
      <c r="O1711"/>
    </row>
    <row r="1712" spans="14:15" x14ac:dyDescent="0.35">
      <c r="N1712"/>
      <c r="O1712"/>
    </row>
    <row r="1713" spans="14:15" x14ac:dyDescent="0.35">
      <c r="N1713"/>
      <c r="O1713"/>
    </row>
    <row r="1714" spans="14:15" x14ac:dyDescent="0.35">
      <c r="N1714"/>
      <c r="O1714"/>
    </row>
    <row r="1715" spans="14:15" x14ac:dyDescent="0.35">
      <c r="N1715"/>
      <c r="O1715"/>
    </row>
    <row r="1716" spans="14:15" x14ac:dyDescent="0.35">
      <c r="N1716"/>
      <c r="O1716"/>
    </row>
    <row r="1717" spans="14:15" x14ac:dyDescent="0.35">
      <c r="N1717"/>
      <c r="O1717"/>
    </row>
    <row r="1718" spans="14:15" x14ac:dyDescent="0.35">
      <c r="N1718"/>
      <c r="O1718"/>
    </row>
    <row r="1719" spans="14:15" x14ac:dyDescent="0.35">
      <c r="N1719"/>
      <c r="O1719"/>
    </row>
    <row r="1720" spans="14:15" x14ac:dyDescent="0.35">
      <c r="N1720"/>
      <c r="O1720"/>
    </row>
    <row r="1721" spans="14:15" x14ac:dyDescent="0.35">
      <c r="N1721"/>
      <c r="O1721"/>
    </row>
    <row r="1722" spans="14:15" x14ac:dyDescent="0.35">
      <c r="N1722"/>
      <c r="O1722"/>
    </row>
    <row r="1723" spans="14:15" x14ac:dyDescent="0.35">
      <c r="N1723"/>
      <c r="O1723"/>
    </row>
    <row r="1724" spans="14:15" x14ac:dyDescent="0.35">
      <c r="N1724"/>
      <c r="O1724"/>
    </row>
    <row r="1725" spans="14:15" x14ac:dyDescent="0.35">
      <c r="N1725"/>
      <c r="O1725"/>
    </row>
    <row r="1726" spans="14:15" x14ac:dyDescent="0.35">
      <c r="N1726"/>
      <c r="O1726"/>
    </row>
    <row r="1727" spans="14:15" x14ac:dyDescent="0.35">
      <c r="N1727"/>
      <c r="O1727"/>
    </row>
    <row r="1728" spans="14:15" x14ac:dyDescent="0.35">
      <c r="N1728"/>
      <c r="O1728"/>
    </row>
    <row r="1729" spans="14:15" x14ac:dyDescent="0.35">
      <c r="N1729"/>
      <c r="O1729"/>
    </row>
    <row r="1730" spans="14:15" x14ac:dyDescent="0.35">
      <c r="N1730"/>
      <c r="O1730"/>
    </row>
    <row r="1731" spans="14:15" x14ac:dyDescent="0.35">
      <c r="N1731"/>
      <c r="O1731"/>
    </row>
    <row r="1732" spans="14:15" x14ac:dyDescent="0.35">
      <c r="N1732"/>
      <c r="O1732"/>
    </row>
    <row r="1733" spans="14:15" x14ac:dyDescent="0.35">
      <c r="N1733"/>
      <c r="O1733"/>
    </row>
    <row r="1734" spans="14:15" x14ac:dyDescent="0.35">
      <c r="N1734"/>
      <c r="O1734"/>
    </row>
    <row r="1735" spans="14:15" x14ac:dyDescent="0.35">
      <c r="N1735"/>
      <c r="O1735"/>
    </row>
    <row r="1736" spans="14:15" x14ac:dyDescent="0.35">
      <c r="N1736"/>
      <c r="O1736"/>
    </row>
    <row r="1737" spans="14:15" x14ac:dyDescent="0.35">
      <c r="N1737"/>
      <c r="O1737"/>
    </row>
    <row r="1738" spans="14:15" x14ac:dyDescent="0.35">
      <c r="N1738"/>
      <c r="O1738"/>
    </row>
    <row r="1739" spans="14:15" x14ac:dyDescent="0.35">
      <c r="N1739"/>
      <c r="O1739"/>
    </row>
    <row r="1740" spans="14:15" x14ac:dyDescent="0.35">
      <c r="N1740"/>
      <c r="O1740"/>
    </row>
    <row r="1741" spans="14:15" x14ac:dyDescent="0.35">
      <c r="N1741"/>
      <c r="O1741"/>
    </row>
    <row r="1742" spans="14:15" x14ac:dyDescent="0.35">
      <c r="N1742"/>
      <c r="O1742"/>
    </row>
    <row r="1743" spans="14:15" x14ac:dyDescent="0.35">
      <c r="N1743"/>
      <c r="O1743"/>
    </row>
    <row r="1744" spans="14:15" x14ac:dyDescent="0.35">
      <c r="N1744"/>
      <c r="O1744"/>
    </row>
    <row r="1745" spans="14:15" x14ac:dyDescent="0.35">
      <c r="N1745"/>
      <c r="O1745"/>
    </row>
    <row r="1746" spans="14:15" x14ac:dyDescent="0.35">
      <c r="N1746"/>
      <c r="O1746"/>
    </row>
    <row r="1747" spans="14:15" x14ac:dyDescent="0.35">
      <c r="N1747"/>
      <c r="O1747"/>
    </row>
    <row r="1748" spans="14:15" x14ac:dyDescent="0.35">
      <c r="N1748"/>
      <c r="O1748"/>
    </row>
    <row r="1749" spans="14:15" x14ac:dyDescent="0.35">
      <c r="N1749"/>
      <c r="O1749"/>
    </row>
    <row r="1750" spans="14:15" x14ac:dyDescent="0.35">
      <c r="N1750"/>
      <c r="O1750"/>
    </row>
    <row r="1751" spans="14:15" x14ac:dyDescent="0.35">
      <c r="N1751"/>
      <c r="O1751"/>
    </row>
    <row r="1752" spans="14:15" x14ac:dyDescent="0.35">
      <c r="N1752"/>
      <c r="O1752"/>
    </row>
    <row r="1753" spans="14:15" x14ac:dyDescent="0.35">
      <c r="N1753"/>
      <c r="O1753"/>
    </row>
    <row r="1754" spans="14:15" x14ac:dyDescent="0.35">
      <c r="N1754"/>
      <c r="O1754"/>
    </row>
    <row r="1755" spans="14:15" x14ac:dyDescent="0.35">
      <c r="N1755"/>
      <c r="O1755"/>
    </row>
    <row r="1756" spans="14:15" x14ac:dyDescent="0.35">
      <c r="N1756"/>
      <c r="O1756"/>
    </row>
    <row r="1757" spans="14:15" x14ac:dyDescent="0.35">
      <c r="N1757"/>
      <c r="O1757"/>
    </row>
    <row r="1758" spans="14:15" x14ac:dyDescent="0.35">
      <c r="N1758"/>
      <c r="O1758"/>
    </row>
    <row r="1759" spans="14:15" x14ac:dyDescent="0.35">
      <c r="N1759"/>
      <c r="O1759"/>
    </row>
    <row r="1760" spans="14:15" x14ac:dyDescent="0.35">
      <c r="N1760"/>
      <c r="O1760"/>
    </row>
    <row r="1761" spans="14:15" x14ac:dyDescent="0.35">
      <c r="N1761"/>
      <c r="O1761"/>
    </row>
    <row r="1762" spans="14:15" x14ac:dyDescent="0.35">
      <c r="N1762"/>
      <c r="O1762"/>
    </row>
    <row r="1763" spans="14:15" x14ac:dyDescent="0.35">
      <c r="N1763"/>
      <c r="O1763"/>
    </row>
    <row r="1764" spans="14:15" x14ac:dyDescent="0.35">
      <c r="N1764"/>
      <c r="O1764"/>
    </row>
    <row r="1765" spans="14:15" x14ac:dyDescent="0.35">
      <c r="N1765"/>
      <c r="O1765"/>
    </row>
    <row r="1766" spans="14:15" x14ac:dyDescent="0.35">
      <c r="N1766"/>
      <c r="O1766"/>
    </row>
    <row r="1767" spans="14:15" x14ac:dyDescent="0.35">
      <c r="N1767"/>
      <c r="O1767"/>
    </row>
    <row r="1768" spans="14:15" x14ac:dyDescent="0.35">
      <c r="N1768"/>
      <c r="O1768"/>
    </row>
    <row r="1769" spans="14:15" x14ac:dyDescent="0.35">
      <c r="N1769"/>
      <c r="O1769"/>
    </row>
    <row r="1770" spans="14:15" x14ac:dyDescent="0.35">
      <c r="N1770"/>
      <c r="O1770"/>
    </row>
    <row r="1771" spans="14:15" x14ac:dyDescent="0.35">
      <c r="N1771"/>
      <c r="O1771"/>
    </row>
    <row r="1772" spans="14:15" x14ac:dyDescent="0.35">
      <c r="N1772"/>
      <c r="O1772"/>
    </row>
    <row r="1773" spans="14:15" x14ac:dyDescent="0.35">
      <c r="N1773"/>
      <c r="O1773"/>
    </row>
    <row r="1774" spans="14:15" x14ac:dyDescent="0.35">
      <c r="N1774"/>
      <c r="O1774"/>
    </row>
    <row r="1775" spans="14:15" x14ac:dyDescent="0.35">
      <c r="N1775"/>
      <c r="O1775"/>
    </row>
    <row r="1776" spans="14:15" x14ac:dyDescent="0.35">
      <c r="N1776"/>
      <c r="O1776"/>
    </row>
    <row r="1777" spans="14:15" x14ac:dyDescent="0.35">
      <c r="N1777"/>
      <c r="O1777"/>
    </row>
    <row r="1778" spans="14:15" x14ac:dyDescent="0.35">
      <c r="N1778"/>
      <c r="O1778"/>
    </row>
    <row r="1779" spans="14:15" x14ac:dyDescent="0.35">
      <c r="N1779"/>
      <c r="O1779"/>
    </row>
    <row r="1780" spans="14:15" x14ac:dyDescent="0.35">
      <c r="N1780"/>
      <c r="O1780"/>
    </row>
    <row r="1781" spans="14:15" x14ac:dyDescent="0.35">
      <c r="N1781"/>
      <c r="O1781"/>
    </row>
    <row r="1782" spans="14:15" x14ac:dyDescent="0.35">
      <c r="N1782"/>
      <c r="O1782"/>
    </row>
    <row r="1783" spans="14:15" x14ac:dyDescent="0.35">
      <c r="N1783"/>
      <c r="O1783"/>
    </row>
    <row r="1784" spans="14:15" x14ac:dyDescent="0.35">
      <c r="N1784"/>
      <c r="O1784"/>
    </row>
    <row r="1785" spans="14:15" x14ac:dyDescent="0.35">
      <c r="N1785"/>
      <c r="O1785"/>
    </row>
    <row r="1786" spans="14:15" x14ac:dyDescent="0.35">
      <c r="N1786"/>
      <c r="O1786"/>
    </row>
    <row r="1787" spans="14:15" x14ac:dyDescent="0.35">
      <c r="N1787"/>
      <c r="O1787"/>
    </row>
    <row r="1788" spans="14:15" x14ac:dyDescent="0.35">
      <c r="N1788"/>
      <c r="O1788"/>
    </row>
    <row r="1789" spans="14:15" x14ac:dyDescent="0.35">
      <c r="N1789"/>
      <c r="O1789"/>
    </row>
    <row r="1790" spans="14:15" x14ac:dyDescent="0.35">
      <c r="N1790"/>
      <c r="O1790"/>
    </row>
    <row r="1791" spans="14:15" x14ac:dyDescent="0.35">
      <c r="N1791"/>
      <c r="O1791"/>
    </row>
    <row r="1792" spans="14:15" x14ac:dyDescent="0.35">
      <c r="N1792"/>
      <c r="O1792"/>
    </row>
    <row r="1793" spans="14:15" x14ac:dyDescent="0.35">
      <c r="N1793"/>
      <c r="O1793"/>
    </row>
    <row r="1794" spans="14:15" x14ac:dyDescent="0.35">
      <c r="N1794"/>
      <c r="O1794"/>
    </row>
    <row r="1795" spans="14:15" x14ac:dyDescent="0.35">
      <c r="N1795"/>
      <c r="O1795"/>
    </row>
    <row r="1796" spans="14:15" x14ac:dyDescent="0.35">
      <c r="N1796"/>
      <c r="O1796"/>
    </row>
    <row r="1797" spans="14:15" x14ac:dyDescent="0.35">
      <c r="N1797"/>
      <c r="O1797"/>
    </row>
    <row r="1798" spans="14:15" x14ac:dyDescent="0.35">
      <c r="N1798"/>
      <c r="O1798"/>
    </row>
    <row r="1799" spans="14:15" x14ac:dyDescent="0.35">
      <c r="N1799"/>
      <c r="O1799"/>
    </row>
    <row r="1800" spans="14:15" x14ac:dyDescent="0.35">
      <c r="N1800"/>
      <c r="O1800"/>
    </row>
    <row r="1801" spans="14:15" x14ac:dyDescent="0.35">
      <c r="N1801"/>
      <c r="O1801"/>
    </row>
    <row r="1802" spans="14:15" x14ac:dyDescent="0.35">
      <c r="N1802"/>
      <c r="O1802"/>
    </row>
    <row r="1803" spans="14:15" x14ac:dyDescent="0.35">
      <c r="N1803"/>
      <c r="O1803"/>
    </row>
    <row r="1804" spans="14:15" x14ac:dyDescent="0.35">
      <c r="N1804"/>
      <c r="O1804"/>
    </row>
    <row r="1805" spans="14:15" x14ac:dyDescent="0.35">
      <c r="N1805"/>
      <c r="O1805"/>
    </row>
    <row r="1806" spans="14:15" x14ac:dyDescent="0.35">
      <c r="N1806"/>
      <c r="O1806"/>
    </row>
    <row r="1807" spans="14:15" x14ac:dyDescent="0.35">
      <c r="N1807"/>
      <c r="O1807"/>
    </row>
    <row r="1808" spans="14:15" x14ac:dyDescent="0.35">
      <c r="N1808"/>
      <c r="O1808"/>
    </row>
    <row r="1809" spans="14:15" x14ac:dyDescent="0.35">
      <c r="N1809"/>
      <c r="O1809"/>
    </row>
    <row r="1810" spans="14:15" x14ac:dyDescent="0.35">
      <c r="N1810"/>
      <c r="O1810"/>
    </row>
    <row r="1811" spans="14:15" x14ac:dyDescent="0.35">
      <c r="N1811"/>
      <c r="O1811"/>
    </row>
    <row r="1812" spans="14:15" x14ac:dyDescent="0.35">
      <c r="N1812"/>
      <c r="O1812"/>
    </row>
    <row r="1813" spans="14:15" x14ac:dyDescent="0.35">
      <c r="N1813"/>
      <c r="O1813"/>
    </row>
    <row r="1814" spans="14:15" x14ac:dyDescent="0.35">
      <c r="N1814"/>
      <c r="O1814"/>
    </row>
    <row r="1815" spans="14:15" x14ac:dyDescent="0.35">
      <c r="N1815"/>
      <c r="O1815"/>
    </row>
    <row r="1816" spans="14:15" x14ac:dyDescent="0.35">
      <c r="N1816"/>
      <c r="O1816"/>
    </row>
    <row r="1817" spans="14:15" x14ac:dyDescent="0.35">
      <c r="N1817"/>
      <c r="O1817"/>
    </row>
    <row r="1818" spans="14:15" x14ac:dyDescent="0.35">
      <c r="N1818"/>
      <c r="O1818"/>
    </row>
    <row r="1819" spans="14:15" x14ac:dyDescent="0.35">
      <c r="N1819"/>
      <c r="O1819"/>
    </row>
    <row r="1820" spans="14:15" x14ac:dyDescent="0.35">
      <c r="N1820"/>
      <c r="O1820"/>
    </row>
    <row r="1821" spans="14:15" x14ac:dyDescent="0.35">
      <c r="N1821"/>
      <c r="O1821"/>
    </row>
    <row r="1822" spans="14:15" x14ac:dyDescent="0.35">
      <c r="N1822"/>
      <c r="O1822"/>
    </row>
    <row r="1823" spans="14:15" x14ac:dyDescent="0.35">
      <c r="N1823"/>
      <c r="O1823"/>
    </row>
    <row r="1824" spans="14:15" x14ac:dyDescent="0.35">
      <c r="N1824"/>
      <c r="O1824"/>
    </row>
    <row r="1825" spans="14:15" x14ac:dyDescent="0.35">
      <c r="N1825"/>
      <c r="O1825"/>
    </row>
    <row r="1826" spans="14:15" x14ac:dyDescent="0.35">
      <c r="N1826"/>
      <c r="O1826"/>
    </row>
    <row r="1827" spans="14:15" x14ac:dyDescent="0.35">
      <c r="N1827"/>
      <c r="O1827"/>
    </row>
    <row r="1828" spans="14:15" x14ac:dyDescent="0.35">
      <c r="N1828"/>
      <c r="O1828"/>
    </row>
    <row r="1829" spans="14:15" x14ac:dyDescent="0.35">
      <c r="N1829"/>
      <c r="O1829"/>
    </row>
    <row r="1830" spans="14:15" x14ac:dyDescent="0.35">
      <c r="N1830"/>
      <c r="O1830"/>
    </row>
    <row r="1831" spans="14:15" x14ac:dyDescent="0.35">
      <c r="N1831"/>
      <c r="O1831"/>
    </row>
    <row r="1832" spans="14:15" x14ac:dyDescent="0.35">
      <c r="N1832"/>
      <c r="O1832"/>
    </row>
    <row r="1833" spans="14:15" x14ac:dyDescent="0.35">
      <c r="N1833"/>
      <c r="O1833"/>
    </row>
    <row r="1834" spans="14:15" x14ac:dyDescent="0.35">
      <c r="N1834"/>
      <c r="O1834"/>
    </row>
    <row r="1835" spans="14:15" x14ac:dyDescent="0.35">
      <c r="N1835"/>
      <c r="O1835"/>
    </row>
    <row r="1836" spans="14:15" x14ac:dyDescent="0.35">
      <c r="N1836"/>
      <c r="O1836"/>
    </row>
    <row r="1837" spans="14:15" x14ac:dyDescent="0.35">
      <c r="N1837"/>
      <c r="O1837"/>
    </row>
    <row r="1838" spans="14:15" x14ac:dyDescent="0.35">
      <c r="N1838"/>
      <c r="O1838"/>
    </row>
    <row r="1839" spans="14:15" x14ac:dyDescent="0.35">
      <c r="N1839"/>
      <c r="O1839"/>
    </row>
    <row r="1840" spans="14:15" x14ac:dyDescent="0.35">
      <c r="N1840"/>
      <c r="O1840"/>
    </row>
    <row r="1841" spans="14:15" x14ac:dyDescent="0.35">
      <c r="N1841"/>
      <c r="O1841"/>
    </row>
    <row r="1842" spans="14:15" x14ac:dyDescent="0.35">
      <c r="N1842"/>
      <c r="O1842"/>
    </row>
    <row r="1843" spans="14:15" x14ac:dyDescent="0.35">
      <c r="N1843"/>
      <c r="O1843"/>
    </row>
    <row r="1844" spans="14:15" x14ac:dyDescent="0.35">
      <c r="N1844"/>
      <c r="O1844"/>
    </row>
    <row r="1845" spans="14:15" x14ac:dyDescent="0.35">
      <c r="N1845"/>
      <c r="O1845"/>
    </row>
    <row r="1846" spans="14:15" x14ac:dyDescent="0.35">
      <c r="N1846"/>
      <c r="O1846"/>
    </row>
    <row r="1847" spans="14:15" x14ac:dyDescent="0.35">
      <c r="N1847"/>
      <c r="O1847"/>
    </row>
    <row r="1848" spans="14:15" x14ac:dyDescent="0.35">
      <c r="N1848"/>
      <c r="O1848"/>
    </row>
    <row r="1849" spans="14:15" x14ac:dyDescent="0.35">
      <c r="N1849"/>
      <c r="O1849"/>
    </row>
    <row r="1850" spans="14:15" x14ac:dyDescent="0.35">
      <c r="N1850"/>
      <c r="O1850"/>
    </row>
    <row r="1851" spans="14:15" x14ac:dyDescent="0.35">
      <c r="N1851"/>
      <c r="O1851"/>
    </row>
    <row r="1852" spans="14:15" x14ac:dyDescent="0.35">
      <c r="N1852"/>
      <c r="O1852"/>
    </row>
    <row r="1853" spans="14:15" x14ac:dyDescent="0.35">
      <c r="N1853"/>
      <c r="O1853"/>
    </row>
    <row r="1854" spans="14:15" x14ac:dyDescent="0.35">
      <c r="N1854"/>
      <c r="O1854"/>
    </row>
    <row r="1855" spans="14:15" x14ac:dyDescent="0.35">
      <c r="N1855"/>
      <c r="O1855"/>
    </row>
    <row r="1856" spans="14:15" x14ac:dyDescent="0.35">
      <c r="N1856"/>
      <c r="O1856"/>
    </row>
    <row r="1857" spans="14:15" x14ac:dyDescent="0.35">
      <c r="N1857"/>
      <c r="O1857"/>
    </row>
    <row r="1858" spans="14:15" x14ac:dyDescent="0.35">
      <c r="N1858"/>
      <c r="O1858"/>
    </row>
    <row r="1859" spans="14:15" x14ac:dyDescent="0.35">
      <c r="N1859"/>
      <c r="O1859"/>
    </row>
    <row r="1860" spans="14:15" x14ac:dyDescent="0.35">
      <c r="N1860"/>
      <c r="O1860"/>
    </row>
    <row r="1861" spans="14:15" x14ac:dyDescent="0.35">
      <c r="N1861"/>
      <c r="O1861"/>
    </row>
    <row r="1862" spans="14:15" x14ac:dyDescent="0.35">
      <c r="N1862"/>
      <c r="O1862"/>
    </row>
    <row r="1863" spans="14:15" x14ac:dyDescent="0.35">
      <c r="N1863"/>
      <c r="O1863"/>
    </row>
    <row r="1864" spans="14:15" x14ac:dyDescent="0.35">
      <c r="N1864"/>
      <c r="O1864"/>
    </row>
    <row r="1865" spans="14:15" x14ac:dyDescent="0.35">
      <c r="N1865"/>
      <c r="O1865"/>
    </row>
    <row r="1866" spans="14:15" x14ac:dyDescent="0.35">
      <c r="N1866"/>
      <c r="O1866"/>
    </row>
    <row r="1867" spans="14:15" x14ac:dyDescent="0.35">
      <c r="N1867"/>
      <c r="O1867"/>
    </row>
    <row r="1868" spans="14:15" x14ac:dyDescent="0.35">
      <c r="N1868"/>
      <c r="O1868"/>
    </row>
    <row r="1869" spans="14:15" x14ac:dyDescent="0.35">
      <c r="N1869"/>
      <c r="O1869"/>
    </row>
    <row r="1870" spans="14:15" x14ac:dyDescent="0.35">
      <c r="N1870"/>
      <c r="O1870"/>
    </row>
    <row r="1871" spans="14:15" x14ac:dyDescent="0.35">
      <c r="N1871"/>
      <c r="O1871"/>
    </row>
    <row r="1872" spans="14:15" x14ac:dyDescent="0.35">
      <c r="N1872"/>
      <c r="O1872"/>
    </row>
    <row r="1873" spans="14:15" x14ac:dyDescent="0.35">
      <c r="N1873"/>
      <c r="O1873"/>
    </row>
    <row r="1874" spans="14:15" x14ac:dyDescent="0.35">
      <c r="N1874"/>
      <c r="O1874"/>
    </row>
    <row r="1875" spans="14:15" x14ac:dyDescent="0.35">
      <c r="N1875"/>
      <c r="O1875"/>
    </row>
    <row r="1876" spans="14:15" x14ac:dyDescent="0.35">
      <c r="N1876"/>
      <c r="O1876"/>
    </row>
    <row r="1877" spans="14:15" x14ac:dyDescent="0.35">
      <c r="N1877"/>
      <c r="O1877"/>
    </row>
    <row r="1878" spans="14:15" x14ac:dyDescent="0.35">
      <c r="N1878"/>
      <c r="O1878"/>
    </row>
    <row r="1879" spans="14:15" x14ac:dyDescent="0.35">
      <c r="N1879"/>
      <c r="O1879"/>
    </row>
    <row r="1880" spans="14:15" x14ac:dyDescent="0.35">
      <c r="N1880"/>
      <c r="O1880"/>
    </row>
    <row r="1881" spans="14:15" x14ac:dyDescent="0.35">
      <c r="N1881"/>
      <c r="O1881"/>
    </row>
    <row r="1882" spans="14:15" x14ac:dyDescent="0.35">
      <c r="N1882"/>
      <c r="O1882"/>
    </row>
    <row r="1883" spans="14:15" x14ac:dyDescent="0.35">
      <c r="N1883"/>
      <c r="O1883"/>
    </row>
    <row r="1884" spans="14:15" x14ac:dyDescent="0.35">
      <c r="N1884"/>
      <c r="O1884"/>
    </row>
    <row r="1885" spans="14:15" x14ac:dyDescent="0.35">
      <c r="N1885"/>
      <c r="O1885"/>
    </row>
    <row r="1886" spans="14:15" x14ac:dyDescent="0.35">
      <c r="N1886"/>
      <c r="O1886"/>
    </row>
    <row r="1887" spans="14:15" x14ac:dyDescent="0.35">
      <c r="N1887"/>
      <c r="O1887"/>
    </row>
    <row r="1888" spans="14:15" x14ac:dyDescent="0.35">
      <c r="N1888"/>
      <c r="O1888"/>
    </row>
    <row r="1889" spans="14:15" x14ac:dyDescent="0.35">
      <c r="N1889"/>
      <c r="O1889"/>
    </row>
    <row r="1890" spans="14:15" x14ac:dyDescent="0.35">
      <c r="N1890"/>
      <c r="O1890"/>
    </row>
    <row r="1891" spans="14:15" x14ac:dyDescent="0.35">
      <c r="N1891"/>
      <c r="O1891"/>
    </row>
    <row r="1892" spans="14:15" x14ac:dyDescent="0.35">
      <c r="N1892"/>
      <c r="O1892"/>
    </row>
    <row r="1893" spans="14:15" x14ac:dyDescent="0.35">
      <c r="N1893"/>
      <c r="O1893"/>
    </row>
    <row r="1894" spans="14:15" x14ac:dyDescent="0.35">
      <c r="N1894"/>
      <c r="O1894"/>
    </row>
    <row r="1895" spans="14:15" x14ac:dyDescent="0.35">
      <c r="N1895"/>
      <c r="O1895"/>
    </row>
    <row r="1896" spans="14:15" x14ac:dyDescent="0.35">
      <c r="N1896"/>
      <c r="O1896"/>
    </row>
    <row r="1897" spans="14:15" x14ac:dyDescent="0.35">
      <c r="N1897"/>
      <c r="O1897"/>
    </row>
    <row r="1898" spans="14:15" x14ac:dyDescent="0.35">
      <c r="N1898"/>
      <c r="O1898"/>
    </row>
    <row r="1899" spans="14:15" x14ac:dyDescent="0.35">
      <c r="N1899"/>
      <c r="O1899"/>
    </row>
    <row r="1900" spans="14:15" x14ac:dyDescent="0.35">
      <c r="N1900"/>
      <c r="O1900"/>
    </row>
    <row r="1901" spans="14:15" x14ac:dyDescent="0.35">
      <c r="N1901"/>
      <c r="O1901"/>
    </row>
    <row r="1902" spans="14:15" x14ac:dyDescent="0.35">
      <c r="N1902"/>
      <c r="O1902"/>
    </row>
    <row r="1903" spans="14:15" x14ac:dyDescent="0.35">
      <c r="N1903"/>
      <c r="O1903"/>
    </row>
    <row r="1904" spans="14:15" x14ac:dyDescent="0.35">
      <c r="N1904"/>
      <c r="O1904"/>
    </row>
    <row r="1905" spans="14:15" x14ac:dyDescent="0.35">
      <c r="N1905"/>
      <c r="O1905"/>
    </row>
    <row r="1906" spans="14:15" x14ac:dyDescent="0.35">
      <c r="N1906"/>
      <c r="O1906"/>
    </row>
    <row r="1907" spans="14:15" x14ac:dyDescent="0.35">
      <c r="N1907"/>
      <c r="O1907"/>
    </row>
    <row r="1908" spans="14:15" x14ac:dyDescent="0.35">
      <c r="N1908"/>
      <c r="O1908"/>
    </row>
    <row r="1909" spans="14:15" x14ac:dyDescent="0.35">
      <c r="N1909"/>
      <c r="O1909"/>
    </row>
    <row r="1910" spans="14:15" x14ac:dyDescent="0.35">
      <c r="N1910"/>
      <c r="O1910"/>
    </row>
    <row r="1911" spans="14:15" x14ac:dyDescent="0.35">
      <c r="N1911"/>
      <c r="O1911"/>
    </row>
    <row r="1912" spans="14:15" x14ac:dyDescent="0.35">
      <c r="N1912"/>
      <c r="O1912"/>
    </row>
    <row r="1913" spans="14:15" x14ac:dyDescent="0.35">
      <c r="N1913"/>
      <c r="O1913"/>
    </row>
    <row r="1914" spans="14:15" x14ac:dyDescent="0.35">
      <c r="N1914"/>
      <c r="O1914"/>
    </row>
    <row r="1915" spans="14:15" x14ac:dyDescent="0.35">
      <c r="N1915"/>
      <c r="O1915"/>
    </row>
    <row r="1916" spans="14:15" x14ac:dyDescent="0.35">
      <c r="N1916"/>
      <c r="O1916"/>
    </row>
    <row r="1917" spans="14:15" x14ac:dyDescent="0.35">
      <c r="N1917"/>
      <c r="O1917"/>
    </row>
    <row r="1918" spans="14:15" x14ac:dyDescent="0.35">
      <c r="N1918"/>
      <c r="O1918"/>
    </row>
    <row r="1919" spans="14:15" x14ac:dyDescent="0.35">
      <c r="N1919"/>
      <c r="O1919"/>
    </row>
    <row r="1920" spans="14:15" x14ac:dyDescent="0.35">
      <c r="N1920"/>
      <c r="O1920"/>
    </row>
    <row r="1921" spans="14:15" x14ac:dyDescent="0.35">
      <c r="N1921"/>
      <c r="O1921"/>
    </row>
    <row r="1922" spans="14:15" x14ac:dyDescent="0.35">
      <c r="N1922"/>
      <c r="O1922"/>
    </row>
    <row r="1923" spans="14:15" x14ac:dyDescent="0.35">
      <c r="N1923"/>
      <c r="O1923"/>
    </row>
    <row r="1924" spans="14:15" x14ac:dyDescent="0.35">
      <c r="N1924"/>
      <c r="O1924"/>
    </row>
    <row r="1925" spans="14:15" x14ac:dyDescent="0.35">
      <c r="N1925"/>
      <c r="O1925"/>
    </row>
    <row r="1926" spans="14:15" x14ac:dyDescent="0.35">
      <c r="N1926"/>
      <c r="O1926"/>
    </row>
    <row r="1927" spans="14:15" x14ac:dyDescent="0.35">
      <c r="N1927"/>
      <c r="O1927"/>
    </row>
    <row r="1928" spans="14:15" x14ac:dyDescent="0.35">
      <c r="N1928"/>
      <c r="O1928"/>
    </row>
    <row r="1929" spans="14:15" x14ac:dyDescent="0.35">
      <c r="N1929"/>
      <c r="O1929"/>
    </row>
    <row r="1930" spans="14:15" x14ac:dyDescent="0.35">
      <c r="N1930"/>
      <c r="O1930"/>
    </row>
    <row r="1931" spans="14:15" x14ac:dyDescent="0.35">
      <c r="N1931"/>
      <c r="O1931"/>
    </row>
    <row r="1932" spans="14:15" x14ac:dyDescent="0.35">
      <c r="N1932"/>
      <c r="O1932"/>
    </row>
    <row r="1933" spans="14:15" x14ac:dyDescent="0.35">
      <c r="N1933"/>
      <c r="O1933"/>
    </row>
    <row r="1934" spans="14:15" x14ac:dyDescent="0.35">
      <c r="N1934"/>
      <c r="O1934"/>
    </row>
    <row r="1935" spans="14:15" x14ac:dyDescent="0.35">
      <c r="N1935"/>
      <c r="O1935"/>
    </row>
    <row r="1936" spans="14:15" x14ac:dyDescent="0.35">
      <c r="N1936"/>
      <c r="O1936"/>
    </row>
    <row r="1937" spans="14:15" x14ac:dyDescent="0.35">
      <c r="N1937"/>
      <c r="O1937"/>
    </row>
    <row r="1938" spans="14:15" x14ac:dyDescent="0.35">
      <c r="N1938"/>
      <c r="O1938"/>
    </row>
    <row r="1939" spans="14:15" x14ac:dyDescent="0.35">
      <c r="N1939"/>
      <c r="O1939"/>
    </row>
    <row r="1940" spans="14:15" x14ac:dyDescent="0.35">
      <c r="N1940"/>
      <c r="O1940"/>
    </row>
    <row r="1941" spans="14:15" x14ac:dyDescent="0.35">
      <c r="N1941"/>
      <c r="O1941"/>
    </row>
    <row r="1942" spans="14:15" x14ac:dyDescent="0.35">
      <c r="N1942"/>
      <c r="O1942"/>
    </row>
    <row r="1943" spans="14:15" x14ac:dyDescent="0.35">
      <c r="N1943"/>
      <c r="O1943"/>
    </row>
    <row r="1944" spans="14:15" x14ac:dyDescent="0.35">
      <c r="N1944"/>
      <c r="O1944"/>
    </row>
    <row r="1945" spans="14:15" x14ac:dyDescent="0.35">
      <c r="N1945"/>
      <c r="O1945"/>
    </row>
    <row r="1946" spans="14:15" x14ac:dyDescent="0.35">
      <c r="N1946"/>
      <c r="O1946"/>
    </row>
    <row r="1947" spans="14:15" x14ac:dyDescent="0.35">
      <c r="N1947"/>
      <c r="O1947"/>
    </row>
    <row r="1948" spans="14:15" x14ac:dyDescent="0.35">
      <c r="N1948"/>
      <c r="O1948"/>
    </row>
    <row r="1949" spans="14:15" x14ac:dyDescent="0.35">
      <c r="N1949"/>
      <c r="O1949"/>
    </row>
    <row r="1950" spans="14:15" x14ac:dyDescent="0.35">
      <c r="N1950"/>
      <c r="O1950"/>
    </row>
    <row r="1951" spans="14:15" x14ac:dyDescent="0.35">
      <c r="N1951"/>
      <c r="O1951"/>
    </row>
    <row r="1952" spans="14:15" x14ac:dyDescent="0.35">
      <c r="N1952"/>
      <c r="O1952"/>
    </row>
    <row r="1953" spans="14:15" x14ac:dyDescent="0.35">
      <c r="N1953"/>
      <c r="O1953"/>
    </row>
    <row r="1954" spans="14:15" x14ac:dyDescent="0.35">
      <c r="N1954"/>
      <c r="O1954"/>
    </row>
    <row r="1955" spans="14:15" x14ac:dyDescent="0.35">
      <c r="N1955"/>
      <c r="O1955"/>
    </row>
    <row r="1956" spans="14:15" x14ac:dyDescent="0.35">
      <c r="N1956"/>
      <c r="O1956"/>
    </row>
    <row r="1957" spans="14:15" x14ac:dyDescent="0.35">
      <c r="N1957"/>
      <c r="O1957"/>
    </row>
    <row r="1958" spans="14:15" x14ac:dyDescent="0.35">
      <c r="N1958"/>
      <c r="O1958"/>
    </row>
    <row r="1959" spans="14:15" x14ac:dyDescent="0.35">
      <c r="N1959"/>
      <c r="O1959"/>
    </row>
    <row r="1960" spans="14:15" x14ac:dyDescent="0.35">
      <c r="N1960"/>
      <c r="O1960"/>
    </row>
    <row r="1961" spans="14:15" x14ac:dyDescent="0.35">
      <c r="N1961"/>
      <c r="O1961"/>
    </row>
    <row r="1962" spans="14:15" x14ac:dyDescent="0.35">
      <c r="N1962"/>
      <c r="O1962"/>
    </row>
    <row r="1963" spans="14:15" x14ac:dyDescent="0.35">
      <c r="N1963"/>
      <c r="O1963"/>
    </row>
    <row r="1964" spans="14:15" x14ac:dyDescent="0.35">
      <c r="N1964"/>
      <c r="O1964"/>
    </row>
    <row r="1965" spans="14:15" x14ac:dyDescent="0.35">
      <c r="N1965"/>
      <c r="O1965"/>
    </row>
    <row r="1966" spans="14:15" x14ac:dyDescent="0.35">
      <c r="N1966"/>
      <c r="O1966"/>
    </row>
    <row r="1967" spans="14:15" x14ac:dyDescent="0.35">
      <c r="N1967"/>
      <c r="O1967"/>
    </row>
    <row r="1968" spans="14:15" x14ac:dyDescent="0.35">
      <c r="N1968"/>
      <c r="O1968"/>
    </row>
    <row r="1969" spans="14:15" x14ac:dyDescent="0.35">
      <c r="N1969"/>
      <c r="O1969"/>
    </row>
    <row r="1970" spans="14:15" x14ac:dyDescent="0.35">
      <c r="N1970"/>
      <c r="O1970"/>
    </row>
    <row r="1971" spans="14:15" x14ac:dyDescent="0.35">
      <c r="N1971"/>
      <c r="O1971"/>
    </row>
    <row r="1972" spans="14:15" x14ac:dyDescent="0.35">
      <c r="N1972"/>
      <c r="O1972"/>
    </row>
    <row r="1973" spans="14:15" x14ac:dyDescent="0.35">
      <c r="N1973"/>
      <c r="O1973"/>
    </row>
    <row r="1974" spans="14:15" x14ac:dyDescent="0.35">
      <c r="N1974"/>
      <c r="O1974"/>
    </row>
    <row r="1975" spans="14:15" x14ac:dyDescent="0.35">
      <c r="N1975"/>
      <c r="O1975"/>
    </row>
    <row r="1976" spans="14:15" x14ac:dyDescent="0.35">
      <c r="N1976"/>
      <c r="O1976"/>
    </row>
    <row r="1977" spans="14:15" x14ac:dyDescent="0.35">
      <c r="N1977"/>
      <c r="O1977"/>
    </row>
    <row r="1978" spans="14:15" x14ac:dyDescent="0.35">
      <c r="N1978"/>
      <c r="O1978"/>
    </row>
    <row r="1979" spans="14:15" x14ac:dyDescent="0.35">
      <c r="N1979"/>
      <c r="O1979"/>
    </row>
    <row r="1980" spans="14:15" x14ac:dyDescent="0.35">
      <c r="N1980"/>
      <c r="O1980"/>
    </row>
    <row r="1981" spans="14:15" x14ac:dyDescent="0.35">
      <c r="N1981"/>
      <c r="O1981"/>
    </row>
    <row r="1982" spans="14:15" x14ac:dyDescent="0.35">
      <c r="N1982"/>
      <c r="O1982"/>
    </row>
    <row r="1983" spans="14:15" x14ac:dyDescent="0.35">
      <c r="N1983"/>
      <c r="O1983"/>
    </row>
    <row r="1984" spans="14:15" x14ac:dyDescent="0.35">
      <c r="N1984"/>
      <c r="O1984"/>
    </row>
    <row r="1985" spans="14:15" x14ac:dyDescent="0.35">
      <c r="N1985"/>
      <c r="O1985"/>
    </row>
    <row r="1986" spans="14:15" x14ac:dyDescent="0.35">
      <c r="N1986"/>
      <c r="O1986"/>
    </row>
    <row r="1987" spans="14:15" x14ac:dyDescent="0.35">
      <c r="N1987"/>
      <c r="O1987"/>
    </row>
    <row r="1988" spans="14:15" x14ac:dyDescent="0.35">
      <c r="N1988"/>
      <c r="O1988"/>
    </row>
    <row r="1989" spans="14:15" x14ac:dyDescent="0.35">
      <c r="N1989"/>
      <c r="O1989"/>
    </row>
    <row r="1990" spans="14:15" x14ac:dyDescent="0.35">
      <c r="N1990"/>
      <c r="O1990"/>
    </row>
    <row r="1991" spans="14:15" x14ac:dyDescent="0.35">
      <c r="N1991"/>
      <c r="O1991"/>
    </row>
    <row r="1992" spans="14:15" x14ac:dyDescent="0.35">
      <c r="N1992"/>
      <c r="O1992"/>
    </row>
    <row r="1993" spans="14:15" x14ac:dyDescent="0.35">
      <c r="N1993"/>
      <c r="O1993"/>
    </row>
    <row r="1994" spans="14:15" x14ac:dyDescent="0.35">
      <c r="N1994"/>
      <c r="O1994"/>
    </row>
    <row r="1995" spans="14:15" x14ac:dyDescent="0.35">
      <c r="N1995"/>
      <c r="O1995"/>
    </row>
    <row r="1996" spans="14:15" x14ac:dyDescent="0.35">
      <c r="N1996"/>
      <c r="O1996"/>
    </row>
    <row r="1997" spans="14:15" x14ac:dyDescent="0.35">
      <c r="N1997"/>
      <c r="O1997"/>
    </row>
    <row r="1998" spans="14:15" x14ac:dyDescent="0.35">
      <c r="N1998"/>
      <c r="O1998"/>
    </row>
    <row r="1999" spans="14:15" x14ac:dyDescent="0.35">
      <c r="N1999"/>
      <c r="O1999"/>
    </row>
    <row r="2000" spans="14:15" x14ac:dyDescent="0.35">
      <c r="N2000"/>
      <c r="O2000"/>
    </row>
    <row r="2001" spans="14:15" x14ac:dyDescent="0.35">
      <c r="N2001"/>
      <c r="O2001"/>
    </row>
    <row r="2002" spans="14:15" x14ac:dyDescent="0.35">
      <c r="N2002"/>
      <c r="O2002"/>
    </row>
    <row r="2003" spans="14:15" x14ac:dyDescent="0.35">
      <c r="N2003"/>
      <c r="O2003"/>
    </row>
    <row r="2004" spans="14:15" x14ac:dyDescent="0.35">
      <c r="N2004"/>
      <c r="O2004"/>
    </row>
    <row r="2005" spans="14:15" x14ac:dyDescent="0.35">
      <c r="N2005"/>
      <c r="O2005"/>
    </row>
    <row r="2006" spans="14:15" x14ac:dyDescent="0.35">
      <c r="N2006"/>
      <c r="O2006"/>
    </row>
    <row r="2007" spans="14:15" x14ac:dyDescent="0.35">
      <c r="N2007"/>
      <c r="O2007"/>
    </row>
    <row r="2008" spans="14:15" x14ac:dyDescent="0.35">
      <c r="N2008"/>
      <c r="O2008"/>
    </row>
    <row r="2009" spans="14:15" x14ac:dyDescent="0.35">
      <c r="N2009"/>
      <c r="O2009"/>
    </row>
    <row r="2010" spans="14:15" x14ac:dyDescent="0.35">
      <c r="N2010"/>
      <c r="O2010"/>
    </row>
    <row r="2011" spans="14:15" x14ac:dyDescent="0.35">
      <c r="N2011"/>
      <c r="O2011"/>
    </row>
    <row r="2012" spans="14:15" x14ac:dyDescent="0.35">
      <c r="N2012"/>
      <c r="O2012"/>
    </row>
    <row r="2013" spans="14:15" x14ac:dyDescent="0.35">
      <c r="N2013"/>
      <c r="O2013"/>
    </row>
    <row r="2014" spans="14:15" x14ac:dyDescent="0.35">
      <c r="N2014"/>
      <c r="O2014"/>
    </row>
    <row r="2015" spans="14:15" x14ac:dyDescent="0.35">
      <c r="N2015"/>
      <c r="O2015"/>
    </row>
    <row r="2016" spans="14:15" x14ac:dyDescent="0.35">
      <c r="N2016"/>
      <c r="O2016"/>
    </row>
    <row r="2017" spans="14:15" x14ac:dyDescent="0.35">
      <c r="N2017"/>
      <c r="O2017"/>
    </row>
    <row r="2018" spans="14:15" x14ac:dyDescent="0.35">
      <c r="N2018"/>
      <c r="O2018"/>
    </row>
    <row r="2019" spans="14:15" x14ac:dyDescent="0.35">
      <c r="N2019"/>
      <c r="O2019"/>
    </row>
    <row r="2020" spans="14:15" x14ac:dyDescent="0.35">
      <c r="N2020"/>
      <c r="O2020"/>
    </row>
    <row r="2021" spans="14:15" x14ac:dyDescent="0.35">
      <c r="N2021"/>
      <c r="O2021"/>
    </row>
    <row r="2022" spans="14:15" x14ac:dyDescent="0.35">
      <c r="N2022"/>
      <c r="O2022"/>
    </row>
    <row r="2023" spans="14:15" x14ac:dyDescent="0.35">
      <c r="N2023"/>
      <c r="O2023"/>
    </row>
    <row r="2024" spans="14:15" x14ac:dyDescent="0.35">
      <c r="N2024"/>
      <c r="O2024"/>
    </row>
    <row r="2025" spans="14:15" x14ac:dyDescent="0.35">
      <c r="N2025"/>
      <c r="O2025"/>
    </row>
    <row r="2026" spans="14:15" x14ac:dyDescent="0.35">
      <c r="N2026"/>
      <c r="O2026"/>
    </row>
    <row r="2027" spans="14:15" x14ac:dyDescent="0.35">
      <c r="N2027"/>
      <c r="O2027"/>
    </row>
    <row r="2028" spans="14:15" x14ac:dyDescent="0.35">
      <c r="N2028"/>
      <c r="O2028"/>
    </row>
    <row r="2029" spans="14:15" x14ac:dyDescent="0.35">
      <c r="N2029"/>
      <c r="O2029"/>
    </row>
    <row r="2030" spans="14:15" x14ac:dyDescent="0.35">
      <c r="N2030"/>
      <c r="O2030"/>
    </row>
    <row r="2031" spans="14:15" x14ac:dyDescent="0.35">
      <c r="N2031"/>
      <c r="O2031"/>
    </row>
    <row r="2032" spans="14:15" x14ac:dyDescent="0.35">
      <c r="N2032"/>
      <c r="O2032"/>
    </row>
    <row r="2033" spans="14:15" x14ac:dyDescent="0.35">
      <c r="N2033"/>
      <c r="O2033"/>
    </row>
    <row r="2034" spans="14:15" x14ac:dyDescent="0.35">
      <c r="N2034"/>
      <c r="O2034"/>
    </row>
    <row r="2035" spans="14:15" x14ac:dyDescent="0.35">
      <c r="N2035"/>
      <c r="O2035"/>
    </row>
    <row r="2036" spans="14:15" x14ac:dyDescent="0.35">
      <c r="N2036"/>
      <c r="O2036"/>
    </row>
    <row r="2037" spans="14:15" x14ac:dyDescent="0.35">
      <c r="N2037"/>
      <c r="O2037"/>
    </row>
    <row r="2038" spans="14:15" x14ac:dyDescent="0.35">
      <c r="N2038"/>
      <c r="O2038"/>
    </row>
    <row r="2039" spans="14:15" x14ac:dyDescent="0.35">
      <c r="N2039"/>
      <c r="O2039"/>
    </row>
    <row r="2040" spans="14:15" x14ac:dyDescent="0.35">
      <c r="N2040"/>
      <c r="O2040"/>
    </row>
    <row r="2041" spans="14:15" x14ac:dyDescent="0.35">
      <c r="N2041"/>
      <c r="O2041"/>
    </row>
    <row r="2042" spans="14:15" x14ac:dyDescent="0.35">
      <c r="N2042"/>
      <c r="O2042"/>
    </row>
    <row r="2043" spans="14:15" x14ac:dyDescent="0.35">
      <c r="N2043"/>
      <c r="O2043"/>
    </row>
    <row r="2044" spans="14:15" x14ac:dyDescent="0.35">
      <c r="N2044"/>
      <c r="O2044"/>
    </row>
    <row r="2045" spans="14:15" x14ac:dyDescent="0.35">
      <c r="N2045"/>
      <c r="O2045"/>
    </row>
    <row r="2046" spans="14:15" x14ac:dyDescent="0.35">
      <c r="N2046"/>
      <c r="O2046"/>
    </row>
    <row r="2047" spans="14:15" x14ac:dyDescent="0.35">
      <c r="N2047"/>
      <c r="O2047"/>
    </row>
    <row r="2048" spans="14:15" x14ac:dyDescent="0.35">
      <c r="N2048"/>
      <c r="O2048"/>
    </row>
    <row r="2049" spans="14:15" x14ac:dyDescent="0.35">
      <c r="N2049"/>
      <c r="O2049"/>
    </row>
    <row r="2050" spans="14:15" x14ac:dyDescent="0.35">
      <c r="N2050"/>
      <c r="O2050"/>
    </row>
    <row r="2051" spans="14:15" x14ac:dyDescent="0.35">
      <c r="N2051"/>
      <c r="O2051"/>
    </row>
    <row r="2052" spans="14:15" x14ac:dyDescent="0.35">
      <c r="N2052"/>
      <c r="O2052"/>
    </row>
    <row r="2053" spans="14:15" x14ac:dyDescent="0.35">
      <c r="N2053"/>
      <c r="O2053"/>
    </row>
    <row r="2054" spans="14:15" x14ac:dyDescent="0.35">
      <c r="N2054"/>
      <c r="O2054"/>
    </row>
    <row r="2055" spans="14:15" x14ac:dyDescent="0.35">
      <c r="N2055"/>
      <c r="O2055"/>
    </row>
    <row r="2056" spans="14:15" x14ac:dyDescent="0.35">
      <c r="N2056"/>
      <c r="O2056"/>
    </row>
    <row r="2057" spans="14:15" x14ac:dyDescent="0.35">
      <c r="N2057"/>
      <c r="O2057"/>
    </row>
    <row r="2058" spans="14:15" x14ac:dyDescent="0.35">
      <c r="N2058"/>
      <c r="O2058"/>
    </row>
    <row r="2059" spans="14:15" x14ac:dyDescent="0.35">
      <c r="N2059"/>
      <c r="O2059"/>
    </row>
    <row r="2060" spans="14:15" x14ac:dyDescent="0.35">
      <c r="N2060"/>
      <c r="O2060"/>
    </row>
    <row r="2061" spans="14:15" x14ac:dyDescent="0.35">
      <c r="N2061"/>
      <c r="O2061"/>
    </row>
    <row r="2062" spans="14:15" x14ac:dyDescent="0.35">
      <c r="N2062"/>
      <c r="O2062"/>
    </row>
    <row r="2063" spans="14:15" x14ac:dyDescent="0.35">
      <c r="N2063"/>
      <c r="O2063"/>
    </row>
    <row r="2064" spans="14:15" x14ac:dyDescent="0.35">
      <c r="N2064"/>
      <c r="O2064"/>
    </row>
    <row r="2065" spans="14:15" x14ac:dyDescent="0.35">
      <c r="N2065"/>
      <c r="O2065"/>
    </row>
    <row r="2066" spans="14:15" x14ac:dyDescent="0.35">
      <c r="N2066"/>
      <c r="O2066"/>
    </row>
    <row r="2067" spans="14:15" x14ac:dyDescent="0.35">
      <c r="N2067"/>
      <c r="O2067"/>
    </row>
    <row r="2068" spans="14:15" x14ac:dyDescent="0.35">
      <c r="N2068"/>
      <c r="O2068"/>
    </row>
    <row r="2069" spans="14:15" x14ac:dyDescent="0.35">
      <c r="N2069"/>
      <c r="O2069"/>
    </row>
    <row r="2070" spans="14:15" x14ac:dyDescent="0.35">
      <c r="N2070"/>
      <c r="O2070"/>
    </row>
    <row r="2071" spans="14:15" x14ac:dyDescent="0.35">
      <c r="N2071"/>
      <c r="O2071"/>
    </row>
    <row r="2072" spans="14:15" x14ac:dyDescent="0.35">
      <c r="N2072"/>
      <c r="O2072"/>
    </row>
    <row r="2073" spans="14:15" x14ac:dyDescent="0.35">
      <c r="N2073"/>
      <c r="O2073"/>
    </row>
    <row r="2074" spans="14:15" x14ac:dyDescent="0.35">
      <c r="N2074"/>
      <c r="O2074"/>
    </row>
    <row r="2075" spans="14:15" x14ac:dyDescent="0.35">
      <c r="N2075"/>
      <c r="O2075"/>
    </row>
    <row r="2076" spans="14:15" x14ac:dyDescent="0.35">
      <c r="N2076"/>
      <c r="O2076"/>
    </row>
    <row r="2077" spans="14:15" x14ac:dyDescent="0.35">
      <c r="N2077"/>
      <c r="O2077"/>
    </row>
    <row r="2078" spans="14:15" x14ac:dyDescent="0.35">
      <c r="N2078"/>
      <c r="O2078"/>
    </row>
    <row r="2079" spans="14:15" x14ac:dyDescent="0.35">
      <c r="N2079"/>
      <c r="O2079"/>
    </row>
    <row r="2080" spans="14:15" x14ac:dyDescent="0.35">
      <c r="N2080"/>
      <c r="O2080"/>
    </row>
    <row r="2081" spans="14:15" x14ac:dyDescent="0.35">
      <c r="N2081"/>
      <c r="O2081"/>
    </row>
    <row r="2082" spans="14:15" x14ac:dyDescent="0.35">
      <c r="N2082"/>
      <c r="O2082"/>
    </row>
    <row r="2083" spans="14:15" x14ac:dyDescent="0.35">
      <c r="N2083"/>
      <c r="O2083"/>
    </row>
    <row r="2084" spans="14:15" x14ac:dyDescent="0.35">
      <c r="N2084"/>
      <c r="O2084"/>
    </row>
    <row r="2085" spans="14:15" x14ac:dyDescent="0.35">
      <c r="N2085"/>
      <c r="O2085"/>
    </row>
    <row r="2086" spans="14:15" x14ac:dyDescent="0.35">
      <c r="N2086"/>
      <c r="O2086"/>
    </row>
    <row r="2087" spans="14:15" x14ac:dyDescent="0.35">
      <c r="N2087"/>
      <c r="O2087"/>
    </row>
    <row r="2088" spans="14:15" x14ac:dyDescent="0.35">
      <c r="N2088"/>
      <c r="O2088"/>
    </row>
    <row r="2089" spans="14:15" x14ac:dyDescent="0.35">
      <c r="N2089"/>
      <c r="O2089"/>
    </row>
    <row r="2090" spans="14:15" x14ac:dyDescent="0.35">
      <c r="N2090"/>
      <c r="O2090"/>
    </row>
    <row r="2091" spans="14:15" x14ac:dyDescent="0.35">
      <c r="N2091"/>
      <c r="O2091"/>
    </row>
    <row r="2092" spans="14:15" x14ac:dyDescent="0.35">
      <c r="N2092"/>
      <c r="O2092"/>
    </row>
    <row r="2093" spans="14:15" x14ac:dyDescent="0.35">
      <c r="N2093"/>
      <c r="O2093"/>
    </row>
    <row r="2094" spans="14:15" x14ac:dyDescent="0.35">
      <c r="N2094"/>
      <c r="O2094"/>
    </row>
    <row r="2095" spans="14:15" x14ac:dyDescent="0.35">
      <c r="N2095"/>
      <c r="O2095"/>
    </row>
    <row r="2096" spans="14:15" x14ac:dyDescent="0.35">
      <c r="N2096"/>
      <c r="O2096"/>
    </row>
    <row r="2097" spans="14:15" x14ac:dyDescent="0.35">
      <c r="N2097"/>
      <c r="O2097"/>
    </row>
    <row r="2098" spans="14:15" x14ac:dyDescent="0.35">
      <c r="N2098"/>
      <c r="O2098"/>
    </row>
    <row r="2099" spans="14:15" x14ac:dyDescent="0.35">
      <c r="N2099"/>
      <c r="O2099"/>
    </row>
    <row r="2100" spans="14:15" x14ac:dyDescent="0.35">
      <c r="N2100"/>
      <c r="O2100"/>
    </row>
    <row r="2101" spans="14:15" x14ac:dyDescent="0.35">
      <c r="N2101"/>
      <c r="O2101"/>
    </row>
    <row r="2102" spans="14:15" x14ac:dyDescent="0.35">
      <c r="N2102"/>
      <c r="O2102"/>
    </row>
    <row r="2103" spans="14:15" x14ac:dyDescent="0.35">
      <c r="N2103"/>
      <c r="O2103"/>
    </row>
    <row r="2104" spans="14:15" x14ac:dyDescent="0.35">
      <c r="N2104"/>
      <c r="O2104"/>
    </row>
    <row r="2105" spans="14:15" x14ac:dyDescent="0.35">
      <c r="N2105"/>
      <c r="O2105"/>
    </row>
    <row r="2106" spans="14:15" x14ac:dyDescent="0.35">
      <c r="N2106"/>
      <c r="O2106"/>
    </row>
    <row r="2107" spans="14:15" x14ac:dyDescent="0.35">
      <c r="N2107"/>
      <c r="O2107"/>
    </row>
    <row r="2108" spans="14:15" x14ac:dyDescent="0.35">
      <c r="N2108"/>
      <c r="O2108"/>
    </row>
    <row r="2109" spans="14:15" x14ac:dyDescent="0.35">
      <c r="N2109"/>
      <c r="O2109"/>
    </row>
    <row r="2110" spans="14:15" x14ac:dyDescent="0.35">
      <c r="N2110"/>
      <c r="O2110"/>
    </row>
    <row r="2111" spans="14:15" x14ac:dyDescent="0.35">
      <c r="N2111"/>
      <c r="O2111"/>
    </row>
    <row r="2112" spans="14:15" x14ac:dyDescent="0.35">
      <c r="N2112"/>
      <c r="O2112"/>
    </row>
    <row r="2113" spans="14:15" x14ac:dyDescent="0.35">
      <c r="N2113"/>
      <c r="O2113"/>
    </row>
    <row r="2114" spans="14:15" x14ac:dyDescent="0.35">
      <c r="N2114"/>
      <c r="O2114"/>
    </row>
    <row r="2115" spans="14:15" x14ac:dyDescent="0.35">
      <c r="N2115"/>
      <c r="O2115"/>
    </row>
    <row r="2116" spans="14:15" x14ac:dyDescent="0.35">
      <c r="N2116"/>
      <c r="O2116"/>
    </row>
    <row r="2117" spans="14:15" x14ac:dyDescent="0.35">
      <c r="N2117"/>
      <c r="O2117"/>
    </row>
    <row r="2118" spans="14:15" x14ac:dyDescent="0.35">
      <c r="N2118"/>
      <c r="O2118"/>
    </row>
    <row r="2119" spans="14:15" x14ac:dyDescent="0.35">
      <c r="N2119"/>
      <c r="O2119"/>
    </row>
    <row r="2120" spans="14:15" x14ac:dyDescent="0.35">
      <c r="N2120"/>
      <c r="O2120"/>
    </row>
    <row r="2121" spans="14:15" x14ac:dyDescent="0.35">
      <c r="N2121"/>
      <c r="O2121"/>
    </row>
    <row r="2122" spans="14:15" x14ac:dyDescent="0.35">
      <c r="N2122"/>
      <c r="O2122"/>
    </row>
    <row r="2123" spans="14:15" x14ac:dyDescent="0.35">
      <c r="N2123"/>
      <c r="O2123"/>
    </row>
    <row r="2124" spans="14:15" x14ac:dyDescent="0.35">
      <c r="N2124"/>
      <c r="O2124"/>
    </row>
    <row r="2125" spans="14:15" x14ac:dyDescent="0.35">
      <c r="N2125"/>
      <c r="O2125"/>
    </row>
    <row r="2126" spans="14:15" x14ac:dyDescent="0.35">
      <c r="N2126"/>
      <c r="O2126"/>
    </row>
    <row r="2127" spans="14:15" x14ac:dyDescent="0.35">
      <c r="N2127"/>
      <c r="O2127"/>
    </row>
    <row r="2128" spans="14:15" x14ac:dyDescent="0.35">
      <c r="N2128"/>
      <c r="O2128"/>
    </row>
    <row r="2129" spans="14:15" x14ac:dyDescent="0.35">
      <c r="N2129"/>
      <c r="O2129"/>
    </row>
    <row r="2130" spans="14:15" x14ac:dyDescent="0.35">
      <c r="N2130"/>
      <c r="O2130"/>
    </row>
    <row r="2131" spans="14:15" x14ac:dyDescent="0.35">
      <c r="N2131"/>
      <c r="O2131"/>
    </row>
    <row r="2132" spans="14:15" x14ac:dyDescent="0.35">
      <c r="N2132"/>
      <c r="O2132"/>
    </row>
    <row r="2133" spans="14:15" x14ac:dyDescent="0.35">
      <c r="N2133"/>
      <c r="O2133"/>
    </row>
    <row r="2134" spans="14:15" x14ac:dyDescent="0.35">
      <c r="N2134"/>
      <c r="O2134"/>
    </row>
    <row r="2135" spans="14:15" x14ac:dyDescent="0.35">
      <c r="N2135"/>
      <c r="O2135"/>
    </row>
    <row r="2136" spans="14:15" x14ac:dyDescent="0.35">
      <c r="N2136"/>
      <c r="O2136"/>
    </row>
    <row r="2137" spans="14:15" x14ac:dyDescent="0.35">
      <c r="N2137"/>
      <c r="O2137"/>
    </row>
    <row r="2138" spans="14:15" x14ac:dyDescent="0.35">
      <c r="N2138"/>
      <c r="O2138"/>
    </row>
    <row r="2139" spans="14:15" x14ac:dyDescent="0.35">
      <c r="N2139"/>
      <c r="O2139"/>
    </row>
    <row r="2140" spans="14:15" x14ac:dyDescent="0.35">
      <c r="N2140"/>
      <c r="O2140"/>
    </row>
    <row r="2141" spans="14:15" x14ac:dyDescent="0.35">
      <c r="N2141"/>
      <c r="O2141"/>
    </row>
    <row r="2142" spans="14:15" x14ac:dyDescent="0.35">
      <c r="N2142"/>
      <c r="O2142"/>
    </row>
    <row r="2143" spans="14:15" x14ac:dyDescent="0.35">
      <c r="N2143"/>
      <c r="O2143"/>
    </row>
    <row r="2144" spans="14:15" x14ac:dyDescent="0.35">
      <c r="N2144"/>
      <c r="O2144"/>
    </row>
    <row r="2145" spans="13:25" x14ac:dyDescent="0.35">
      <c r="N2145"/>
      <c r="O2145"/>
    </row>
    <row r="2146" spans="13:25" x14ac:dyDescent="0.35">
      <c r="N2146"/>
      <c r="O2146"/>
    </row>
    <row r="2147" spans="13:25" x14ac:dyDescent="0.35">
      <c r="N2147"/>
      <c r="O2147"/>
    </row>
    <row r="2148" spans="13:25" x14ac:dyDescent="0.35">
      <c r="N2148"/>
      <c r="O2148"/>
    </row>
    <row r="2149" spans="13:25" x14ac:dyDescent="0.35">
      <c r="N2149"/>
      <c r="O2149"/>
    </row>
    <row r="2150" spans="13:25" x14ac:dyDescent="0.35">
      <c r="N2150"/>
      <c r="O2150"/>
    </row>
    <row r="2151" spans="13:25" x14ac:dyDescent="0.35">
      <c r="N2151"/>
      <c r="O2151"/>
    </row>
    <row r="2152" spans="13:25" x14ac:dyDescent="0.35">
      <c r="M2152" s="13"/>
      <c r="N2152"/>
      <c r="O2152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</row>
    <row r="2153" spans="13:25" x14ac:dyDescent="0.35">
      <c r="M2153" s="13"/>
      <c r="N2153"/>
      <c r="O215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</row>
    <row r="2154" spans="13:25" x14ac:dyDescent="0.35">
      <c r="M2154" s="13"/>
      <c r="N2154"/>
      <c r="O2154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</row>
    <row r="2155" spans="13:25" x14ac:dyDescent="0.35">
      <c r="M2155" s="13"/>
      <c r="N2155"/>
      <c r="O2155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</row>
    <row r="2156" spans="13:25" x14ac:dyDescent="0.35">
      <c r="M2156" s="13"/>
      <c r="N2156"/>
      <c r="O2156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</row>
    <row r="2157" spans="13:25" x14ac:dyDescent="0.35">
      <c r="M2157" s="13"/>
      <c r="N2157"/>
      <c r="O2157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</row>
    <row r="2158" spans="13:25" x14ac:dyDescent="0.35">
      <c r="M2158" s="13"/>
      <c r="N2158"/>
      <c r="O2158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</row>
    <row r="2159" spans="13:25" x14ac:dyDescent="0.35">
      <c r="M2159" s="13"/>
      <c r="N2159"/>
      <c r="O2159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</row>
    <row r="2160" spans="13:25" x14ac:dyDescent="0.35">
      <c r="M2160" s="13"/>
      <c r="N2160"/>
      <c r="O2160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</row>
    <row r="2161" spans="13:25" x14ac:dyDescent="0.35">
      <c r="M2161" s="13"/>
      <c r="N2161"/>
      <c r="O2161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</row>
    <row r="2162" spans="13:25" x14ac:dyDescent="0.35">
      <c r="M2162" s="13"/>
      <c r="N2162"/>
      <c r="O2162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</row>
    <row r="2163" spans="13:25" x14ac:dyDescent="0.35">
      <c r="M2163" s="13"/>
      <c r="N2163"/>
      <c r="O216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</row>
    <row r="2164" spans="13:25" x14ac:dyDescent="0.35">
      <c r="M2164" s="13"/>
      <c r="N2164"/>
      <c r="O2164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</row>
    <row r="2165" spans="13:25" x14ac:dyDescent="0.35">
      <c r="M2165" s="13"/>
      <c r="N2165"/>
      <c r="O2165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</row>
    <row r="2166" spans="13:25" x14ac:dyDescent="0.35">
      <c r="N2166"/>
      <c r="O2166"/>
    </row>
    <row r="2167" spans="13:25" x14ac:dyDescent="0.35">
      <c r="N2167"/>
      <c r="O2167"/>
    </row>
    <row r="2168" spans="13:25" x14ac:dyDescent="0.35">
      <c r="N2168"/>
      <c r="O2168"/>
    </row>
    <row r="2169" spans="13:25" x14ac:dyDescent="0.35">
      <c r="N2169"/>
      <c r="O2169"/>
    </row>
    <row r="2170" spans="13:25" x14ac:dyDescent="0.35">
      <c r="N2170"/>
      <c r="O2170"/>
    </row>
    <row r="2171" spans="13:25" x14ac:dyDescent="0.35">
      <c r="N2171"/>
      <c r="O2171"/>
    </row>
    <row r="2172" spans="13:25" x14ac:dyDescent="0.35">
      <c r="N2172"/>
      <c r="O2172"/>
    </row>
    <row r="2173" spans="13:25" x14ac:dyDescent="0.35">
      <c r="N2173"/>
      <c r="O2173"/>
    </row>
    <row r="2174" spans="13:25" x14ac:dyDescent="0.35">
      <c r="N2174"/>
      <c r="O2174"/>
    </row>
    <row r="2175" spans="13:25" x14ac:dyDescent="0.35">
      <c r="N2175"/>
      <c r="O2175"/>
    </row>
    <row r="2176" spans="13:25" x14ac:dyDescent="0.35">
      <c r="N2176"/>
      <c r="O2176"/>
    </row>
    <row r="2177" spans="14:15" x14ac:dyDescent="0.35">
      <c r="N2177"/>
      <c r="O2177"/>
    </row>
    <row r="2178" spans="14:15" x14ac:dyDescent="0.35">
      <c r="N2178"/>
      <c r="O2178"/>
    </row>
    <row r="2179" spans="14:15" x14ac:dyDescent="0.35">
      <c r="N2179"/>
      <c r="O2179"/>
    </row>
    <row r="2180" spans="14:15" x14ac:dyDescent="0.35">
      <c r="N2180"/>
      <c r="O2180"/>
    </row>
    <row r="2181" spans="14:15" x14ac:dyDescent="0.35">
      <c r="N2181"/>
      <c r="O2181"/>
    </row>
    <row r="2182" spans="14:15" x14ac:dyDescent="0.35">
      <c r="N2182"/>
      <c r="O2182"/>
    </row>
    <row r="2183" spans="14:15" x14ac:dyDescent="0.35">
      <c r="N2183"/>
      <c r="O2183"/>
    </row>
    <row r="2184" spans="14:15" x14ac:dyDescent="0.35">
      <c r="N2184"/>
      <c r="O2184"/>
    </row>
    <row r="2185" spans="14:15" x14ac:dyDescent="0.35">
      <c r="N2185"/>
      <c r="O2185"/>
    </row>
    <row r="2186" spans="14:15" x14ac:dyDescent="0.35">
      <c r="N2186"/>
      <c r="O2186"/>
    </row>
    <row r="2187" spans="14:15" x14ac:dyDescent="0.35">
      <c r="N2187"/>
      <c r="O2187"/>
    </row>
    <row r="2188" spans="14:15" x14ac:dyDescent="0.35">
      <c r="N2188"/>
      <c r="O2188"/>
    </row>
    <row r="2189" spans="14:15" x14ac:dyDescent="0.35">
      <c r="N2189"/>
      <c r="O2189"/>
    </row>
    <row r="2190" spans="14:15" x14ac:dyDescent="0.35">
      <c r="N2190"/>
      <c r="O2190"/>
    </row>
    <row r="2191" spans="14:15" x14ac:dyDescent="0.35">
      <c r="N2191"/>
      <c r="O2191"/>
    </row>
    <row r="2192" spans="14:15" x14ac:dyDescent="0.35">
      <c r="N2192"/>
      <c r="O2192"/>
    </row>
    <row r="2193" spans="14:15" x14ac:dyDescent="0.35">
      <c r="N2193"/>
      <c r="O2193"/>
    </row>
    <row r="2194" spans="14:15" x14ac:dyDescent="0.35">
      <c r="N2194"/>
      <c r="O2194"/>
    </row>
    <row r="2195" spans="14:15" x14ac:dyDescent="0.35">
      <c r="N2195"/>
      <c r="O2195"/>
    </row>
    <row r="2196" spans="14:15" x14ac:dyDescent="0.35">
      <c r="N2196"/>
      <c r="O2196"/>
    </row>
    <row r="2197" spans="14:15" x14ac:dyDescent="0.35">
      <c r="N2197"/>
      <c r="O2197"/>
    </row>
    <row r="2198" spans="14:15" x14ac:dyDescent="0.35">
      <c r="N2198"/>
      <c r="O2198"/>
    </row>
    <row r="2199" spans="14:15" x14ac:dyDescent="0.35">
      <c r="N2199"/>
      <c r="O2199"/>
    </row>
    <row r="2200" spans="14:15" x14ac:dyDescent="0.35">
      <c r="N2200"/>
      <c r="O2200"/>
    </row>
    <row r="2201" spans="14:15" x14ac:dyDescent="0.35">
      <c r="N2201"/>
      <c r="O2201"/>
    </row>
    <row r="2202" spans="14:15" x14ac:dyDescent="0.35">
      <c r="N2202"/>
      <c r="O2202"/>
    </row>
    <row r="2203" spans="14:15" x14ac:dyDescent="0.35">
      <c r="N2203"/>
      <c r="O2203"/>
    </row>
    <row r="2204" spans="14:15" x14ac:dyDescent="0.35">
      <c r="N2204"/>
      <c r="O2204"/>
    </row>
    <row r="2205" spans="14:15" x14ac:dyDescent="0.35">
      <c r="N2205"/>
      <c r="O2205"/>
    </row>
    <row r="2206" spans="14:15" x14ac:dyDescent="0.35">
      <c r="N2206"/>
      <c r="O2206"/>
    </row>
    <row r="2207" spans="14:15" x14ac:dyDescent="0.35">
      <c r="N2207"/>
      <c r="O2207"/>
    </row>
    <row r="2208" spans="14:15" x14ac:dyDescent="0.35">
      <c r="N2208"/>
      <c r="O2208"/>
    </row>
    <row r="2209" spans="13:25" x14ac:dyDescent="0.35">
      <c r="N2209"/>
      <c r="O2209"/>
    </row>
    <row r="2210" spans="13:25" x14ac:dyDescent="0.35">
      <c r="N2210"/>
      <c r="O2210"/>
    </row>
    <row r="2211" spans="13:25" x14ac:dyDescent="0.35">
      <c r="N2211"/>
      <c r="O2211"/>
    </row>
    <row r="2212" spans="13:25" x14ac:dyDescent="0.35">
      <c r="N2212"/>
      <c r="O2212"/>
    </row>
    <row r="2213" spans="13:25" x14ac:dyDescent="0.35">
      <c r="N2213"/>
      <c r="O2213"/>
    </row>
    <row r="2214" spans="13:25" x14ac:dyDescent="0.35">
      <c r="N2214"/>
      <c r="O2214"/>
    </row>
    <row r="2215" spans="13:25" x14ac:dyDescent="0.35">
      <c r="N2215"/>
      <c r="O2215"/>
    </row>
    <row r="2216" spans="13:25" x14ac:dyDescent="0.35">
      <c r="N2216"/>
      <c r="O2216"/>
    </row>
    <row r="2217" spans="13:25" x14ac:dyDescent="0.35">
      <c r="N2217"/>
      <c r="O2217"/>
    </row>
    <row r="2218" spans="13:25" x14ac:dyDescent="0.35">
      <c r="M2218" s="13"/>
      <c r="N2218"/>
      <c r="O2218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</row>
    <row r="2219" spans="13:25" x14ac:dyDescent="0.35">
      <c r="M2219" s="13"/>
      <c r="N2219"/>
      <c r="O2219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</row>
    <row r="2220" spans="13:25" x14ac:dyDescent="0.35">
      <c r="M2220" s="13"/>
      <c r="N2220"/>
      <c r="O2220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</row>
    <row r="2221" spans="13:25" x14ac:dyDescent="0.35">
      <c r="M2221" s="13"/>
      <c r="N2221"/>
      <c r="O2221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</row>
    <row r="2222" spans="13:25" x14ac:dyDescent="0.35">
      <c r="M2222" s="13"/>
      <c r="N2222"/>
      <c r="O2222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</row>
    <row r="2223" spans="13:25" x14ac:dyDescent="0.35">
      <c r="M2223" s="13"/>
      <c r="N2223"/>
      <c r="O222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</row>
    <row r="2224" spans="13:25" x14ac:dyDescent="0.35">
      <c r="M2224" s="13"/>
      <c r="N2224"/>
      <c r="O2224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</row>
    <row r="2225" spans="13:25" x14ac:dyDescent="0.35">
      <c r="M2225" s="13"/>
      <c r="N2225"/>
      <c r="O2225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</row>
    <row r="2226" spans="13:25" x14ac:dyDescent="0.35">
      <c r="M2226" s="13"/>
      <c r="N2226"/>
      <c r="O2226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</row>
    <row r="2227" spans="13:25" x14ac:dyDescent="0.35">
      <c r="N2227"/>
      <c r="O2227"/>
    </row>
    <row r="2228" spans="13:25" x14ac:dyDescent="0.35">
      <c r="N2228"/>
      <c r="O2228"/>
    </row>
    <row r="2229" spans="13:25" x14ac:dyDescent="0.35">
      <c r="N2229"/>
      <c r="O2229"/>
    </row>
    <row r="2230" spans="13:25" x14ac:dyDescent="0.35">
      <c r="N2230"/>
      <c r="O2230"/>
    </row>
    <row r="2231" spans="13:25" x14ac:dyDescent="0.35">
      <c r="N2231"/>
      <c r="O2231"/>
    </row>
    <row r="2232" spans="13:25" x14ac:dyDescent="0.35">
      <c r="N2232"/>
      <c r="O2232"/>
    </row>
    <row r="2233" spans="13:25" x14ac:dyDescent="0.35">
      <c r="N2233"/>
      <c r="O2233"/>
    </row>
    <row r="2234" spans="13:25" x14ac:dyDescent="0.35">
      <c r="N2234"/>
      <c r="O2234"/>
    </row>
    <row r="2235" spans="13:25" x14ac:dyDescent="0.35">
      <c r="N2235"/>
      <c r="O2235"/>
    </row>
    <row r="2236" spans="13:25" x14ac:dyDescent="0.35">
      <c r="N2236"/>
      <c r="O2236"/>
    </row>
    <row r="2237" spans="13:25" x14ac:dyDescent="0.35">
      <c r="N2237"/>
      <c r="O2237"/>
    </row>
    <row r="2238" spans="13:25" x14ac:dyDescent="0.35">
      <c r="M2238" s="13"/>
      <c r="N2238"/>
      <c r="O2238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</row>
    <row r="2239" spans="13:25" x14ac:dyDescent="0.35">
      <c r="M2239" s="13"/>
      <c r="N2239"/>
      <c r="O2239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</row>
    <row r="2240" spans="13:25" x14ac:dyDescent="0.35">
      <c r="N2240"/>
      <c r="O2240"/>
    </row>
    <row r="2241" spans="14:15" x14ac:dyDescent="0.35">
      <c r="N2241"/>
      <c r="O2241"/>
    </row>
    <row r="2242" spans="14:15" x14ac:dyDescent="0.35">
      <c r="N2242"/>
      <c r="O2242"/>
    </row>
    <row r="2243" spans="14:15" x14ac:dyDescent="0.35">
      <c r="N2243"/>
      <c r="O2243"/>
    </row>
    <row r="2244" spans="14:15" x14ac:dyDescent="0.35">
      <c r="N2244"/>
      <c r="O2244"/>
    </row>
    <row r="2245" spans="14:15" x14ac:dyDescent="0.35">
      <c r="N2245"/>
      <c r="O2245"/>
    </row>
    <row r="2246" spans="14:15" x14ac:dyDescent="0.35">
      <c r="N2246"/>
      <c r="O2246"/>
    </row>
    <row r="2247" spans="14:15" x14ac:dyDescent="0.35">
      <c r="N2247"/>
      <c r="O2247"/>
    </row>
    <row r="2248" spans="14:15" x14ac:dyDescent="0.35">
      <c r="N2248"/>
      <c r="O2248"/>
    </row>
    <row r="2249" spans="14:15" x14ac:dyDescent="0.35">
      <c r="N2249"/>
      <c r="O2249"/>
    </row>
    <row r="2250" spans="14:15" x14ac:dyDescent="0.35">
      <c r="N2250"/>
      <c r="O2250"/>
    </row>
    <row r="2251" spans="14:15" x14ac:dyDescent="0.35">
      <c r="N2251"/>
      <c r="O2251"/>
    </row>
    <row r="2252" spans="14:15" x14ac:dyDescent="0.35">
      <c r="N2252"/>
      <c r="O2252"/>
    </row>
    <row r="2253" spans="14:15" x14ac:dyDescent="0.35">
      <c r="N2253"/>
      <c r="O2253"/>
    </row>
    <row r="2254" spans="14:15" x14ac:dyDescent="0.35">
      <c r="N2254"/>
      <c r="O2254"/>
    </row>
    <row r="2255" spans="14:15" x14ac:dyDescent="0.35">
      <c r="N2255"/>
      <c r="O2255"/>
    </row>
    <row r="2256" spans="14:15" x14ac:dyDescent="0.35">
      <c r="N2256"/>
      <c r="O2256"/>
    </row>
    <row r="2257" spans="14:15" x14ac:dyDescent="0.35">
      <c r="N2257"/>
      <c r="O2257"/>
    </row>
    <row r="2258" spans="14:15" x14ac:dyDescent="0.35">
      <c r="N2258"/>
      <c r="O2258"/>
    </row>
    <row r="2259" spans="14:15" x14ac:dyDescent="0.35">
      <c r="N2259"/>
      <c r="O2259"/>
    </row>
    <row r="2260" spans="14:15" x14ac:dyDescent="0.35">
      <c r="N2260"/>
      <c r="O2260"/>
    </row>
    <row r="2261" spans="14:15" x14ac:dyDescent="0.35">
      <c r="N2261"/>
      <c r="O2261"/>
    </row>
    <row r="2262" spans="14:15" x14ac:dyDescent="0.35">
      <c r="N2262"/>
      <c r="O2262"/>
    </row>
    <row r="2263" spans="14:15" x14ac:dyDescent="0.35">
      <c r="N2263"/>
      <c r="O2263"/>
    </row>
    <row r="2264" spans="14:15" x14ac:dyDescent="0.35">
      <c r="N2264"/>
      <c r="O2264"/>
    </row>
    <row r="2265" spans="14:15" x14ac:dyDescent="0.35">
      <c r="N2265"/>
      <c r="O2265"/>
    </row>
    <row r="2266" spans="14:15" x14ac:dyDescent="0.35">
      <c r="N2266"/>
      <c r="O2266"/>
    </row>
    <row r="2267" spans="14:15" x14ac:dyDescent="0.35">
      <c r="N2267"/>
      <c r="O2267"/>
    </row>
    <row r="2268" spans="14:15" x14ac:dyDescent="0.35">
      <c r="N2268"/>
      <c r="O2268"/>
    </row>
    <row r="2269" spans="14:15" x14ac:dyDescent="0.35">
      <c r="N2269"/>
      <c r="O2269"/>
    </row>
    <row r="2270" spans="14:15" x14ac:dyDescent="0.35">
      <c r="N2270"/>
      <c r="O2270"/>
    </row>
    <row r="2271" spans="14:15" x14ac:dyDescent="0.35">
      <c r="N2271"/>
      <c r="O2271"/>
    </row>
    <row r="2272" spans="14:15" x14ac:dyDescent="0.35">
      <c r="N2272"/>
      <c r="O2272"/>
    </row>
    <row r="2273" spans="14:15" x14ac:dyDescent="0.35">
      <c r="N2273"/>
      <c r="O2273"/>
    </row>
    <row r="2274" spans="14:15" x14ac:dyDescent="0.35">
      <c r="N2274"/>
      <c r="O2274"/>
    </row>
    <row r="2275" spans="14:15" x14ac:dyDescent="0.35">
      <c r="N2275"/>
      <c r="O2275"/>
    </row>
    <row r="2276" spans="14:15" x14ac:dyDescent="0.35">
      <c r="N2276"/>
      <c r="O2276"/>
    </row>
    <row r="2277" spans="14:15" x14ac:dyDescent="0.35">
      <c r="N2277"/>
      <c r="O2277"/>
    </row>
    <row r="2278" spans="14:15" x14ac:dyDescent="0.35">
      <c r="N2278"/>
      <c r="O2278"/>
    </row>
    <row r="2279" spans="14:15" x14ac:dyDescent="0.35">
      <c r="N2279"/>
      <c r="O2279"/>
    </row>
    <row r="2280" spans="14:15" x14ac:dyDescent="0.35">
      <c r="N2280"/>
      <c r="O2280"/>
    </row>
    <row r="2281" spans="14:15" x14ac:dyDescent="0.35">
      <c r="N2281"/>
      <c r="O2281"/>
    </row>
    <row r="2282" spans="14:15" x14ac:dyDescent="0.35">
      <c r="N2282"/>
      <c r="O2282"/>
    </row>
    <row r="2283" spans="14:15" x14ac:dyDescent="0.35">
      <c r="N2283"/>
      <c r="O2283"/>
    </row>
    <row r="2284" spans="14:15" x14ac:dyDescent="0.35">
      <c r="N2284"/>
      <c r="O2284"/>
    </row>
    <row r="2285" spans="14:15" x14ac:dyDescent="0.35">
      <c r="N2285"/>
      <c r="O2285"/>
    </row>
    <row r="2286" spans="14:15" x14ac:dyDescent="0.35">
      <c r="N2286"/>
      <c r="O2286"/>
    </row>
    <row r="2287" spans="14:15" x14ac:dyDescent="0.35">
      <c r="N2287"/>
      <c r="O2287"/>
    </row>
    <row r="2288" spans="14:15" x14ac:dyDescent="0.35">
      <c r="N2288"/>
      <c r="O2288"/>
    </row>
    <row r="2289" spans="14:15" x14ac:dyDescent="0.35">
      <c r="N2289"/>
      <c r="O2289"/>
    </row>
    <row r="2290" spans="14:15" x14ac:dyDescent="0.35">
      <c r="N2290"/>
      <c r="O2290"/>
    </row>
    <row r="2291" spans="14:15" x14ac:dyDescent="0.35">
      <c r="N2291"/>
      <c r="O2291"/>
    </row>
    <row r="2292" spans="14:15" x14ac:dyDescent="0.35">
      <c r="N2292"/>
      <c r="O2292"/>
    </row>
    <row r="2293" spans="14:15" x14ac:dyDescent="0.35">
      <c r="N2293"/>
      <c r="O2293"/>
    </row>
    <row r="2294" spans="14:15" x14ac:dyDescent="0.35">
      <c r="N2294"/>
      <c r="O2294"/>
    </row>
    <row r="2295" spans="14:15" x14ac:dyDescent="0.35">
      <c r="N2295"/>
      <c r="O2295"/>
    </row>
    <row r="2296" spans="14:15" x14ac:dyDescent="0.35">
      <c r="N2296"/>
      <c r="O2296"/>
    </row>
    <row r="2297" spans="14:15" x14ac:dyDescent="0.35">
      <c r="N2297"/>
      <c r="O2297"/>
    </row>
    <row r="2298" spans="14:15" x14ac:dyDescent="0.35">
      <c r="N2298"/>
      <c r="O2298"/>
    </row>
    <row r="2299" spans="14:15" x14ac:dyDescent="0.35">
      <c r="N2299"/>
      <c r="O2299"/>
    </row>
    <row r="2300" spans="14:15" x14ac:dyDescent="0.35">
      <c r="N2300"/>
      <c r="O2300"/>
    </row>
    <row r="2301" spans="14:15" x14ac:dyDescent="0.35">
      <c r="N2301"/>
      <c r="O2301"/>
    </row>
    <row r="2302" spans="14:15" x14ac:dyDescent="0.35">
      <c r="N2302"/>
      <c r="O2302"/>
    </row>
    <row r="2303" spans="14:15" x14ac:dyDescent="0.35">
      <c r="N2303"/>
      <c r="O2303"/>
    </row>
    <row r="2304" spans="14:15" x14ac:dyDescent="0.35">
      <c r="N2304"/>
      <c r="O2304"/>
    </row>
    <row r="2305" spans="14:15" x14ac:dyDescent="0.35">
      <c r="N2305"/>
      <c r="O2305"/>
    </row>
    <row r="2306" spans="14:15" x14ac:dyDescent="0.35">
      <c r="N2306"/>
      <c r="O2306"/>
    </row>
    <row r="2307" spans="14:15" x14ac:dyDescent="0.35">
      <c r="N2307"/>
      <c r="O2307"/>
    </row>
    <row r="2308" spans="14:15" x14ac:dyDescent="0.35">
      <c r="N2308"/>
      <c r="O2308"/>
    </row>
    <row r="2309" spans="14:15" x14ac:dyDescent="0.35">
      <c r="N2309"/>
      <c r="O2309"/>
    </row>
    <row r="2310" spans="14:15" x14ac:dyDescent="0.35">
      <c r="N2310"/>
      <c r="O2310"/>
    </row>
    <row r="2311" spans="14:15" x14ac:dyDescent="0.35">
      <c r="N2311"/>
      <c r="O2311"/>
    </row>
    <row r="2312" spans="14:15" x14ac:dyDescent="0.35">
      <c r="N2312"/>
      <c r="O2312"/>
    </row>
    <row r="2313" spans="14:15" x14ac:dyDescent="0.35">
      <c r="N2313"/>
      <c r="O2313"/>
    </row>
    <row r="2314" spans="14:15" x14ac:dyDescent="0.35">
      <c r="N2314"/>
      <c r="O2314"/>
    </row>
    <row r="2315" spans="14:15" x14ac:dyDescent="0.35">
      <c r="N2315"/>
      <c r="O2315"/>
    </row>
    <row r="2316" spans="14:15" x14ac:dyDescent="0.35">
      <c r="N2316"/>
      <c r="O2316"/>
    </row>
    <row r="2317" spans="14:15" x14ac:dyDescent="0.35">
      <c r="N2317"/>
      <c r="O2317"/>
    </row>
    <row r="2318" spans="14:15" x14ac:dyDescent="0.35">
      <c r="N2318"/>
      <c r="O2318"/>
    </row>
    <row r="2319" spans="14:15" x14ac:dyDescent="0.35">
      <c r="N2319"/>
      <c r="O2319"/>
    </row>
    <row r="2320" spans="14:15" x14ac:dyDescent="0.35">
      <c r="N2320"/>
      <c r="O2320"/>
    </row>
    <row r="2321" spans="14:15" x14ac:dyDescent="0.35">
      <c r="N2321"/>
      <c r="O2321"/>
    </row>
    <row r="2322" spans="14:15" x14ac:dyDescent="0.35">
      <c r="N2322"/>
      <c r="O2322"/>
    </row>
    <row r="2323" spans="14:15" x14ac:dyDescent="0.35">
      <c r="N2323"/>
      <c r="O2323"/>
    </row>
    <row r="2324" spans="14:15" x14ac:dyDescent="0.35">
      <c r="N2324"/>
      <c r="O2324"/>
    </row>
    <row r="2325" spans="14:15" x14ac:dyDescent="0.35">
      <c r="N2325"/>
      <c r="O2325"/>
    </row>
    <row r="2326" spans="14:15" x14ac:dyDescent="0.35">
      <c r="N2326"/>
      <c r="O2326"/>
    </row>
    <row r="2327" spans="14:15" x14ac:dyDescent="0.35">
      <c r="N2327"/>
      <c r="O2327"/>
    </row>
    <row r="2328" spans="14:15" x14ac:dyDescent="0.35">
      <c r="N2328"/>
      <c r="O2328"/>
    </row>
    <row r="2329" spans="14:15" x14ac:dyDescent="0.35">
      <c r="N2329"/>
      <c r="O2329"/>
    </row>
    <row r="2330" spans="14:15" x14ac:dyDescent="0.35">
      <c r="N2330"/>
      <c r="O2330"/>
    </row>
    <row r="2331" spans="14:15" x14ac:dyDescent="0.35">
      <c r="N2331"/>
      <c r="O2331"/>
    </row>
    <row r="2332" spans="14:15" x14ac:dyDescent="0.35">
      <c r="N2332"/>
      <c r="O2332"/>
    </row>
    <row r="2333" spans="14:15" x14ac:dyDescent="0.35">
      <c r="N2333"/>
      <c r="O2333"/>
    </row>
    <row r="2334" spans="14:15" x14ac:dyDescent="0.35">
      <c r="N2334"/>
      <c r="O2334"/>
    </row>
    <row r="2335" spans="14:15" x14ac:dyDescent="0.35">
      <c r="N2335"/>
      <c r="O2335"/>
    </row>
    <row r="2336" spans="14:15" x14ac:dyDescent="0.35">
      <c r="N2336"/>
      <c r="O2336"/>
    </row>
    <row r="2337" spans="14:15" x14ac:dyDescent="0.35">
      <c r="N2337"/>
      <c r="O2337"/>
    </row>
    <row r="2338" spans="14:15" x14ac:dyDescent="0.35">
      <c r="N2338"/>
      <c r="O2338"/>
    </row>
    <row r="2339" spans="14:15" x14ac:dyDescent="0.35">
      <c r="N2339"/>
      <c r="O2339"/>
    </row>
    <row r="2340" spans="14:15" x14ac:dyDescent="0.35">
      <c r="N2340"/>
      <c r="O2340"/>
    </row>
    <row r="2341" spans="14:15" x14ac:dyDescent="0.35">
      <c r="N2341"/>
      <c r="O2341"/>
    </row>
    <row r="2342" spans="14:15" x14ac:dyDescent="0.35">
      <c r="N2342"/>
      <c r="O2342"/>
    </row>
    <row r="2343" spans="14:15" x14ac:dyDescent="0.35">
      <c r="N2343"/>
      <c r="O2343"/>
    </row>
    <row r="2344" spans="14:15" x14ac:dyDescent="0.35">
      <c r="N2344"/>
      <c r="O2344"/>
    </row>
    <row r="2345" spans="14:15" x14ac:dyDescent="0.35">
      <c r="N2345"/>
      <c r="O2345"/>
    </row>
    <row r="2346" spans="14:15" x14ac:dyDescent="0.35">
      <c r="N2346"/>
      <c r="O2346"/>
    </row>
    <row r="2347" spans="14:15" x14ac:dyDescent="0.35">
      <c r="N2347"/>
      <c r="O2347"/>
    </row>
    <row r="2348" spans="14:15" x14ac:dyDescent="0.35">
      <c r="N2348"/>
      <c r="O2348"/>
    </row>
    <row r="2349" spans="14:15" x14ac:dyDescent="0.35">
      <c r="N2349"/>
      <c r="O2349"/>
    </row>
    <row r="2350" spans="14:15" x14ac:dyDescent="0.35">
      <c r="N2350"/>
      <c r="O2350"/>
    </row>
    <row r="2351" spans="14:15" x14ac:dyDescent="0.35">
      <c r="N2351"/>
      <c r="O2351"/>
    </row>
    <row r="2352" spans="14:15" x14ac:dyDescent="0.35">
      <c r="N2352"/>
      <c r="O2352"/>
    </row>
    <row r="2353" spans="14:15" x14ac:dyDescent="0.35">
      <c r="N2353"/>
      <c r="O2353"/>
    </row>
    <row r="2354" spans="14:15" x14ac:dyDescent="0.35">
      <c r="N2354"/>
      <c r="O2354"/>
    </row>
    <row r="2355" spans="14:15" x14ac:dyDescent="0.35">
      <c r="N2355"/>
      <c r="O2355"/>
    </row>
    <row r="2356" spans="14:15" x14ac:dyDescent="0.35">
      <c r="N2356"/>
      <c r="O2356"/>
    </row>
    <row r="2357" spans="14:15" x14ac:dyDescent="0.35">
      <c r="N2357"/>
      <c r="O2357"/>
    </row>
    <row r="2358" spans="14:15" x14ac:dyDescent="0.35">
      <c r="N2358"/>
      <c r="O2358"/>
    </row>
    <row r="2359" spans="14:15" x14ac:dyDescent="0.35">
      <c r="N2359"/>
      <c r="O2359"/>
    </row>
    <row r="2360" spans="14:15" x14ac:dyDescent="0.35">
      <c r="N2360"/>
      <c r="O2360"/>
    </row>
    <row r="2361" spans="14:15" x14ac:dyDescent="0.35">
      <c r="N2361"/>
      <c r="O2361"/>
    </row>
    <row r="2362" spans="14:15" x14ac:dyDescent="0.35">
      <c r="N2362"/>
      <c r="O2362"/>
    </row>
    <row r="2363" spans="14:15" x14ac:dyDescent="0.35">
      <c r="N2363"/>
      <c r="O2363"/>
    </row>
    <row r="2364" spans="14:15" x14ac:dyDescent="0.35">
      <c r="N2364"/>
      <c r="O2364"/>
    </row>
    <row r="2365" spans="14:15" x14ac:dyDescent="0.35">
      <c r="N2365"/>
      <c r="O2365"/>
    </row>
    <row r="2366" spans="14:15" x14ac:dyDescent="0.35">
      <c r="N2366"/>
      <c r="O2366"/>
    </row>
    <row r="2367" spans="14:15" x14ac:dyDescent="0.35">
      <c r="N2367"/>
      <c r="O2367"/>
    </row>
    <row r="2368" spans="14:15" x14ac:dyDescent="0.35">
      <c r="N2368"/>
      <c r="O2368"/>
    </row>
    <row r="2369" spans="14:15" x14ac:dyDescent="0.35">
      <c r="N2369"/>
      <c r="O2369"/>
    </row>
    <row r="2370" spans="14:15" x14ac:dyDescent="0.35">
      <c r="N2370"/>
      <c r="O2370"/>
    </row>
    <row r="2371" spans="14:15" x14ac:dyDescent="0.35">
      <c r="N2371"/>
      <c r="O2371"/>
    </row>
    <row r="2372" spans="14:15" x14ac:dyDescent="0.35">
      <c r="N2372"/>
      <c r="O2372"/>
    </row>
    <row r="2373" spans="14:15" x14ac:dyDescent="0.35">
      <c r="N2373"/>
      <c r="O2373"/>
    </row>
    <row r="2374" spans="14:15" x14ac:dyDescent="0.35">
      <c r="N2374"/>
      <c r="O2374"/>
    </row>
    <row r="2375" spans="14:15" x14ac:dyDescent="0.35">
      <c r="N2375"/>
      <c r="O2375"/>
    </row>
    <row r="2376" spans="14:15" x14ac:dyDescent="0.35">
      <c r="N2376"/>
      <c r="O2376"/>
    </row>
    <row r="2377" spans="14:15" x14ac:dyDescent="0.35">
      <c r="N2377"/>
      <c r="O2377"/>
    </row>
    <row r="2378" spans="14:15" x14ac:dyDescent="0.35">
      <c r="N2378"/>
      <c r="O2378"/>
    </row>
    <row r="2379" spans="14:15" x14ac:dyDescent="0.35">
      <c r="N2379"/>
      <c r="O2379"/>
    </row>
    <row r="2380" spans="14:15" x14ac:dyDescent="0.35">
      <c r="N2380"/>
      <c r="O2380"/>
    </row>
    <row r="2381" spans="14:15" x14ac:dyDescent="0.35">
      <c r="N2381"/>
      <c r="O2381"/>
    </row>
    <row r="2382" spans="14:15" x14ac:dyDescent="0.35">
      <c r="N2382"/>
      <c r="O2382"/>
    </row>
    <row r="2383" spans="14:15" x14ac:dyDescent="0.35">
      <c r="N2383"/>
      <c r="O2383"/>
    </row>
    <row r="2384" spans="14:15" x14ac:dyDescent="0.35">
      <c r="N2384"/>
      <c r="O2384"/>
    </row>
    <row r="2385" spans="14:15" x14ac:dyDescent="0.35">
      <c r="N2385"/>
      <c r="O2385"/>
    </row>
    <row r="2386" spans="14:15" x14ac:dyDescent="0.35">
      <c r="N2386"/>
      <c r="O2386"/>
    </row>
    <row r="2387" spans="14:15" x14ac:dyDescent="0.35">
      <c r="N2387"/>
      <c r="O2387"/>
    </row>
    <row r="2388" spans="14:15" x14ac:dyDescent="0.35">
      <c r="N2388"/>
      <c r="O2388"/>
    </row>
    <row r="2389" spans="14:15" x14ac:dyDescent="0.35">
      <c r="N2389"/>
      <c r="O2389"/>
    </row>
    <row r="2390" spans="14:15" x14ac:dyDescent="0.35">
      <c r="N2390"/>
      <c r="O2390"/>
    </row>
    <row r="2391" spans="14:15" x14ac:dyDescent="0.35">
      <c r="N2391"/>
      <c r="O2391"/>
    </row>
    <row r="2392" spans="14:15" x14ac:dyDescent="0.35">
      <c r="N2392"/>
      <c r="O2392"/>
    </row>
    <row r="2393" spans="14:15" x14ac:dyDescent="0.35">
      <c r="N2393"/>
      <c r="O2393"/>
    </row>
    <row r="2394" spans="14:15" x14ac:dyDescent="0.35">
      <c r="N2394"/>
      <c r="O2394"/>
    </row>
    <row r="2395" spans="14:15" x14ac:dyDescent="0.35">
      <c r="N2395"/>
      <c r="O2395"/>
    </row>
    <row r="2396" spans="14:15" x14ac:dyDescent="0.35">
      <c r="N2396"/>
      <c r="O2396"/>
    </row>
    <row r="2397" spans="14:15" x14ac:dyDescent="0.35">
      <c r="N2397"/>
      <c r="O2397"/>
    </row>
    <row r="2398" spans="14:15" x14ac:dyDescent="0.35">
      <c r="N2398"/>
      <c r="O2398"/>
    </row>
    <row r="2399" spans="14:15" x14ac:dyDescent="0.35">
      <c r="N2399"/>
      <c r="O2399"/>
    </row>
    <row r="2400" spans="14:15" x14ac:dyDescent="0.35">
      <c r="N2400"/>
      <c r="O2400"/>
    </row>
    <row r="2401" spans="14:15" x14ac:dyDescent="0.35">
      <c r="N2401"/>
      <c r="O2401"/>
    </row>
    <row r="2402" spans="14:15" x14ac:dyDescent="0.35">
      <c r="N2402"/>
      <c r="O2402"/>
    </row>
    <row r="2403" spans="14:15" x14ac:dyDescent="0.35">
      <c r="N2403"/>
      <c r="O2403"/>
    </row>
    <row r="2404" spans="14:15" x14ac:dyDescent="0.35">
      <c r="N2404"/>
      <c r="O2404"/>
    </row>
    <row r="2405" spans="14:15" x14ac:dyDescent="0.35">
      <c r="N2405"/>
      <c r="O2405"/>
    </row>
    <row r="2406" spans="14:15" x14ac:dyDescent="0.35">
      <c r="N2406"/>
      <c r="O2406"/>
    </row>
    <row r="2407" spans="14:15" x14ac:dyDescent="0.35">
      <c r="N2407"/>
      <c r="O2407"/>
    </row>
    <row r="2408" spans="14:15" x14ac:dyDescent="0.35">
      <c r="N2408"/>
      <c r="O2408"/>
    </row>
    <row r="2409" spans="14:15" x14ac:dyDescent="0.35">
      <c r="N2409"/>
      <c r="O2409"/>
    </row>
    <row r="2410" spans="14:15" x14ac:dyDescent="0.35">
      <c r="N2410"/>
      <c r="O2410"/>
    </row>
    <row r="2411" spans="14:15" x14ac:dyDescent="0.35">
      <c r="N2411"/>
      <c r="O2411"/>
    </row>
    <row r="2412" spans="14:15" x14ac:dyDescent="0.35">
      <c r="N2412"/>
      <c r="O2412"/>
    </row>
    <row r="2413" spans="14:15" x14ac:dyDescent="0.35">
      <c r="N2413"/>
      <c r="O2413"/>
    </row>
    <row r="2414" spans="14:15" x14ac:dyDescent="0.35">
      <c r="N2414"/>
      <c r="O2414"/>
    </row>
    <row r="2415" spans="14:15" x14ac:dyDescent="0.35">
      <c r="N2415"/>
      <c r="O2415"/>
    </row>
    <row r="2416" spans="14:15" x14ac:dyDescent="0.35">
      <c r="N2416"/>
      <c r="O2416"/>
    </row>
    <row r="2417" spans="14:15" x14ac:dyDescent="0.35">
      <c r="N2417"/>
      <c r="O2417"/>
    </row>
    <row r="2418" spans="14:15" x14ac:dyDescent="0.35">
      <c r="N2418"/>
      <c r="O2418"/>
    </row>
    <row r="2419" spans="14:15" x14ac:dyDescent="0.35">
      <c r="N2419"/>
      <c r="O2419"/>
    </row>
    <row r="2420" spans="14:15" x14ac:dyDescent="0.35">
      <c r="N2420"/>
      <c r="O2420"/>
    </row>
    <row r="2421" spans="14:15" x14ac:dyDescent="0.35">
      <c r="N2421"/>
      <c r="O2421"/>
    </row>
    <row r="2422" spans="14:15" x14ac:dyDescent="0.35">
      <c r="N2422"/>
      <c r="O2422"/>
    </row>
    <row r="2423" spans="14:15" x14ac:dyDescent="0.35">
      <c r="N2423"/>
      <c r="O2423"/>
    </row>
    <row r="2424" spans="14:15" x14ac:dyDescent="0.35">
      <c r="N2424"/>
      <c r="O2424"/>
    </row>
    <row r="2425" spans="14:15" x14ac:dyDescent="0.35">
      <c r="N2425"/>
      <c r="O2425"/>
    </row>
    <row r="2426" spans="14:15" x14ac:dyDescent="0.35">
      <c r="N2426"/>
      <c r="O2426"/>
    </row>
    <row r="2427" spans="14:15" x14ac:dyDescent="0.35">
      <c r="N2427"/>
      <c r="O2427"/>
    </row>
    <row r="2428" spans="14:15" x14ac:dyDescent="0.35">
      <c r="N2428"/>
      <c r="O2428"/>
    </row>
    <row r="2429" spans="14:15" x14ac:dyDescent="0.35">
      <c r="N2429"/>
      <c r="O2429"/>
    </row>
    <row r="2430" spans="14:15" x14ac:dyDescent="0.35">
      <c r="N2430"/>
      <c r="O2430"/>
    </row>
    <row r="2431" spans="14:15" x14ac:dyDescent="0.35">
      <c r="N2431"/>
      <c r="O2431"/>
    </row>
    <row r="2432" spans="14:15" x14ac:dyDescent="0.35">
      <c r="N2432"/>
      <c r="O2432"/>
    </row>
    <row r="2433" spans="14:15" x14ac:dyDescent="0.35">
      <c r="N2433"/>
      <c r="O2433"/>
    </row>
    <row r="2434" spans="14:15" x14ac:dyDescent="0.35">
      <c r="N2434"/>
      <c r="O2434"/>
    </row>
    <row r="2435" spans="14:15" x14ac:dyDescent="0.35">
      <c r="N2435"/>
      <c r="O2435"/>
    </row>
    <row r="2436" spans="14:15" x14ac:dyDescent="0.35">
      <c r="N2436"/>
      <c r="O2436"/>
    </row>
    <row r="2437" spans="14:15" x14ac:dyDescent="0.35">
      <c r="N2437"/>
      <c r="O2437"/>
    </row>
    <row r="2438" spans="14:15" x14ac:dyDescent="0.35">
      <c r="N2438"/>
      <c r="O2438"/>
    </row>
    <row r="2439" spans="14:15" x14ac:dyDescent="0.35">
      <c r="N2439"/>
      <c r="O2439"/>
    </row>
    <row r="2440" spans="14:15" x14ac:dyDescent="0.35">
      <c r="N2440"/>
      <c r="O2440"/>
    </row>
    <row r="2441" spans="14:15" x14ac:dyDescent="0.35">
      <c r="N2441"/>
      <c r="O2441"/>
    </row>
    <row r="2442" spans="14:15" x14ac:dyDescent="0.35">
      <c r="N2442"/>
      <c r="O2442"/>
    </row>
    <row r="2443" spans="14:15" x14ac:dyDescent="0.35">
      <c r="N2443"/>
      <c r="O2443"/>
    </row>
    <row r="2444" spans="14:15" x14ac:dyDescent="0.35">
      <c r="N2444"/>
      <c r="O2444"/>
    </row>
    <row r="2445" spans="14:15" x14ac:dyDescent="0.35">
      <c r="N2445"/>
      <c r="O2445"/>
    </row>
    <row r="2446" spans="14:15" x14ac:dyDescent="0.35">
      <c r="N2446"/>
      <c r="O2446"/>
    </row>
    <row r="2447" spans="14:15" x14ac:dyDescent="0.35">
      <c r="N2447"/>
      <c r="O2447"/>
    </row>
    <row r="2448" spans="14:15" x14ac:dyDescent="0.35">
      <c r="N2448"/>
      <c r="O2448"/>
    </row>
    <row r="2449" spans="14:15" x14ac:dyDescent="0.35">
      <c r="N2449"/>
      <c r="O2449"/>
    </row>
    <row r="2450" spans="14:15" x14ac:dyDescent="0.35">
      <c r="N2450"/>
      <c r="O2450"/>
    </row>
    <row r="2451" spans="14:15" x14ac:dyDescent="0.35">
      <c r="N2451"/>
      <c r="O2451"/>
    </row>
    <row r="2452" spans="14:15" x14ac:dyDescent="0.35">
      <c r="N2452"/>
      <c r="O2452"/>
    </row>
    <row r="2453" spans="14:15" x14ac:dyDescent="0.35">
      <c r="N2453"/>
      <c r="O2453"/>
    </row>
    <row r="2454" spans="14:15" x14ac:dyDescent="0.35">
      <c r="N2454"/>
      <c r="O2454"/>
    </row>
    <row r="2455" spans="14:15" x14ac:dyDescent="0.35">
      <c r="N2455"/>
      <c r="O2455"/>
    </row>
    <row r="2456" spans="14:15" x14ac:dyDescent="0.35">
      <c r="N2456"/>
      <c r="O2456"/>
    </row>
    <row r="2457" spans="14:15" x14ac:dyDescent="0.35">
      <c r="N2457"/>
      <c r="O2457"/>
    </row>
    <row r="2458" spans="14:15" x14ac:dyDescent="0.35">
      <c r="N2458"/>
      <c r="O2458"/>
    </row>
    <row r="2459" spans="14:15" x14ac:dyDescent="0.35">
      <c r="N2459"/>
      <c r="O2459"/>
    </row>
    <row r="2460" spans="14:15" x14ac:dyDescent="0.35">
      <c r="N2460"/>
      <c r="O2460"/>
    </row>
    <row r="2461" spans="14:15" x14ac:dyDescent="0.35">
      <c r="N2461"/>
      <c r="O2461"/>
    </row>
    <row r="2462" spans="14:15" x14ac:dyDescent="0.35">
      <c r="N2462"/>
      <c r="O2462"/>
    </row>
    <row r="2463" spans="14:15" x14ac:dyDescent="0.35">
      <c r="N2463"/>
      <c r="O2463"/>
    </row>
    <row r="2464" spans="14:15" x14ac:dyDescent="0.35">
      <c r="N2464"/>
      <c r="O2464"/>
    </row>
    <row r="2465" spans="14:15" x14ac:dyDescent="0.35">
      <c r="N2465"/>
      <c r="O2465"/>
    </row>
    <row r="2466" spans="14:15" x14ac:dyDescent="0.35">
      <c r="N2466"/>
      <c r="O2466"/>
    </row>
    <row r="2467" spans="14:15" x14ac:dyDescent="0.35">
      <c r="N2467"/>
      <c r="O2467"/>
    </row>
    <row r="2468" spans="14:15" x14ac:dyDescent="0.35">
      <c r="N2468"/>
      <c r="O2468"/>
    </row>
    <row r="2469" spans="14:15" x14ac:dyDescent="0.35">
      <c r="N2469"/>
      <c r="O2469"/>
    </row>
    <row r="2470" spans="14:15" x14ac:dyDescent="0.35">
      <c r="N2470"/>
      <c r="O2470"/>
    </row>
    <row r="2471" spans="14:15" x14ac:dyDescent="0.35">
      <c r="N2471"/>
      <c r="O2471"/>
    </row>
    <row r="2472" spans="14:15" x14ac:dyDescent="0.35">
      <c r="N2472"/>
      <c r="O2472"/>
    </row>
    <row r="2473" spans="14:15" x14ac:dyDescent="0.35">
      <c r="N2473"/>
      <c r="O2473"/>
    </row>
    <row r="2474" spans="14:15" x14ac:dyDescent="0.35">
      <c r="N2474"/>
      <c r="O2474"/>
    </row>
    <row r="2475" spans="14:15" x14ac:dyDescent="0.35">
      <c r="N2475"/>
      <c r="O2475"/>
    </row>
    <row r="2476" spans="14:15" x14ac:dyDescent="0.35">
      <c r="N2476"/>
      <c r="O2476"/>
    </row>
    <row r="2477" spans="14:15" x14ac:dyDescent="0.35">
      <c r="N2477"/>
      <c r="O2477"/>
    </row>
    <row r="2478" spans="14:15" x14ac:dyDescent="0.35">
      <c r="N2478"/>
      <c r="O2478"/>
    </row>
    <row r="2479" spans="14:15" x14ac:dyDescent="0.35">
      <c r="N2479"/>
      <c r="O2479"/>
    </row>
    <row r="2480" spans="14:15" x14ac:dyDescent="0.35">
      <c r="N2480"/>
      <c r="O2480"/>
    </row>
    <row r="2481" spans="13:25" x14ac:dyDescent="0.35">
      <c r="N2481"/>
      <c r="O2481"/>
    </row>
    <row r="2482" spans="13:25" x14ac:dyDescent="0.35">
      <c r="N2482"/>
      <c r="O2482"/>
    </row>
    <row r="2483" spans="13:25" x14ac:dyDescent="0.35">
      <c r="N2483"/>
      <c r="O2483"/>
    </row>
    <row r="2484" spans="13:25" x14ac:dyDescent="0.35">
      <c r="N2484"/>
      <c r="O2484"/>
    </row>
    <row r="2485" spans="13:25" x14ac:dyDescent="0.35">
      <c r="N2485"/>
      <c r="O2485"/>
    </row>
    <row r="2486" spans="13:25" x14ac:dyDescent="0.35">
      <c r="N2486"/>
      <c r="O2486"/>
    </row>
    <row r="2487" spans="13:25" x14ac:dyDescent="0.35">
      <c r="N2487"/>
      <c r="O2487"/>
    </row>
    <row r="2488" spans="13:25" x14ac:dyDescent="0.35">
      <c r="N2488"/>
      <c r="O2488"/>
    </row>
    <row r="2489" spans="13:25" x14ac:dyDescent="0.35">
      <c r="M2489" s="14"/>
      <c r="N2489"/>
      <c r="O2489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</row>
    <row r="2490" spans="13:25" x14ac:dyDescent="0.35">
      <c r="N2490"/>
      <c r="O2490"/>
    </row>
    <row r="2491" spans="13:25" x14ac:dyDescent="0.35">
      <c r="N2491"/>
      <c r="O2491"/>
    </row>
    <row r="2492" spans="13:25" x14ac:dyDescent="0.35">
      <c r="N2492"/>
      <c r="O2492"/>
    </row>
    <row r="2493" spans="13:25" x14ac:dyDescent="0.35">
      <c r="N2493"/>
      <c r="O2493"/>
    </row>
    <row r="2494" spans="13:25" x14ac:dyDescent="0.35">
      <c r="N2494"/>
      <c r="O2494"/>
    </row>
    <row r="2495" spans="13:25" x14ac:dyDescent="0.35">
      <c r="N2495"/>
      <c r="O2495"/>
    </row>
    <row r="2496" spans="13:25" x14ac:dyDescent="0.35">
      <c r="N2496"/>
      <c r="O2496"/>
    </row>
    <row r="2497" spans="14:15" x14ac:dyDescent="0.35">
      <c r="N2497"/>
      <c r="O2497"/>
    </row>
    <row r="2498" spans="14:15" x14ac:dyDescent="0.35">
      <c r="N2498"/>
      <c r="O2498"/>
    </row>
    <row r="2499" spans="14:15" x14ac:dyDescent="0.35">
      <c r="N2499"/>
      <c r="O2499"/>
    </row>
    <row r="2500" spans="14:15" x14ac:dyDescent="0.35">
      <c r="N2500"/>
      <c r="O2500"/>
    </row>
    <row r="2501" spans="14:15" x14ac:dyDescent="0.35">
      <c r="N2501"/>
      <c r="O2501"/>
    </row>
    <row r="2502" spans="14:15" x14ac:dyDescent="0.35">
      <c r="N2502"/>
      <c r="O2502"/>
    </row>
    <row r="2503" spans="14:15" x14ac:dyDescent="0.35">
      <c r="N2503"/>
      <c r="O2503"/>
    </row>
    <row r="2504" spans="14:15" x14ac:dyDescent="0.35">
      <c r="N2504"/>
      <c r="O2504"/>
    </row>
    <row r="2505" spans="14:15" x14ac:dyDescent="0.35">
      <c r="N2505"/>
      <c r="O2505"/>
    </row>
    <row r="2506" spans="14:15" x14ac:dyDescent="0.35">
      <c r="N2506"/>
      <c r="O2506"/>
    </row>
    <row r="2507" spans="14:15" x14ac:dyDescent="0.35">
      <c r="N2507"/>
      <c r="O2507"/>
    </row>
    <row r="2508" spans="14:15" x14ac:dyDescent="0.35">
      <c r="N2508"/>
      <c r="O2508"/>
    </row>
    <row r="2509" spans="14:15" x14ac:dyDescent="0.35">
      <c r="N2509"/>
      <c r="O2509"/>
    </row>
    <row r="2510" spans="14:15" x14ac:dyDescent="0.35">
      <c r="N2510"/>
      <c r="O2510"/>
    </row>
    <row r="2511" spans="14:15" x14ac:dyDescent="0.35">
      <c r="N2511"/>
      <c r="O2511"/>
    </row>
    <row r="2512" spans="14:15" x14ac:dyDescent="0.35">
      <c r="N2512"/>
      <c r="O2512"/>
    </row>
    <row r="2513" spans="14:15" x14ac:dyDescent="0.35">
      <c r="N2513"/>
      <c r="O2513"/>
    </row>
    <row r="2514" spans="14:15" x14ac:dyDescent="0.35">
      <c r="N2514"/>
      <c r="O2514"/>
    </row>
    <row r="2515" spans="14:15" x14ac:dyDescent="0.35">
      <c r="N2515"/>
      <c r="O2515"/>
    </row>
    <row r="2516" spans="14:15" x14ac:dyDescent="0.35">
      <c r="N2516"/>
      <c r="O2516"/>
    </row>
    <row r="2517" spans="14:15" x14ac:dyDescent="0.35">
      <c r="N2517"/>
      <c r="O2517"/>
    </row>
    <row r="2518" spans="14:15" x14ac:dyDescent="0.35">
      <c r="N2518"/>
      <c r="O2518"/>
    </row>
    <row r="2519" spans="14:15" x14ac:dyDescent="0.35">
      <c r="N2519"/>
      <c r="O2519"/>
    </row>
    <row r="2520" spans="14:15" x14ac:dyDescent="0.35">
      <c r="N2520"/>
      <c r="O2520"/>
    </row>
    <row r="2521" spans="14:15" x14ac:dyDescent="0.35">
      <c r="N2521"/>
      <c r="O2521"/>
    </row>
    <row r="2522" spans="14:15" x14ac:dyDescent="0.35">
      <c r="N2522"/>
      <c r="O2522"/>
    </row>
    <row r="2523" spans="14:15" x14ac:dyDescent="0.35">
      <c r="N2523"/>
      <c r="O2523"/>
    </row>
    <row r="2524" spans="14:15" x14ac:dyDescent="0.35">
      <c r="N2524"/>
      <c r="O2524"/>
    </row>
    <row r="2525" spans="14:15" x14ac:dyDescent="0.35">
      <c r="N2525"/>
      <c r="O2525"/>
    </row>
    <row r="2526" spans="14:15" x14ac:dyDescent="0.35">
      <c r="N2526"/>
      <c r="O2526"/>
    </row>
    <row r="2527" spans="14:15" x14ac:dyDescent="0.35">
      <c r="N2527"/>
      <c r="O2527"/>
    </row>
    <row r="2528" spans="14:15" x14ac:dyDescent="0.35">
      <c r="N2528"/>
      <c r="O2528"/>
    </row>
    <row r="2529" spans="13:25" x14ac:dyDescent="0.35">
      <c r="N2529"/>
      <c r="O2529"/>
    </row>
    <row r="2530" spans="13:25" x14ac:dyDescent="0.35">
      <c r="N2530"/>
      <c r="O2530"/>
    </row>
    <row r="2531" spans="13:25" x14ac:dyDescent="0.35">
      <c r="N2531"/>
      <c r="O2531"/>
    </row>
    <row r="2532" spans="13:25" x14ac:dyDescent="0.35">
      <c r="N2532"/>
      <c r="O2532"/>
    </row>
    <row r="2533" spans="13:25" x14ac:dyDescent="0.35">
      <c r="N2533"/>
      <c r="O2533"/>
    </row>
    <row r="2534" spans="13:25" x14ac:dyDescent="0.35">
      <c r="N2534"/>
      <c r="O2534"/>
    </row>
    <row r="2535" spans="13:25" x14ac:dyDescent="0.35">
      <c r="N2535"/>
      <c r="O2535"/>
    </row>
    <row r="2536" spans="13:25" x14ac:dyDescent="0.35">
      <c r="M2536" s="14"/>
      <c r="N2536"/>
      <c r="O2536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</row>
    <row r="2537" spans="13:25" x14ac:dyDescent="0.35">
      <c r="N2537"/>
      <c r="O2537"/>
    </row>
    <row r="2538" spans="13:25" x14ac:dyDescent="0.35">
      <c r="N2538"/>
      <c r="O2538"/>
    </row>
    <row r="2539" spans="13:25" x14ac:dyDescent="0.35">
      <c r="N2539"/>
      <c r="O2539"/>
    </row>
    <row r="2540" spans="13:25" x14ac:dyDescent="0.35">
      <c r="N2540"/>
      <c r="O2540"/>
    </row>
    <row r="2541" spans="13:25" x14ac:dyDescent="0.35">
      <c r="N2541"/>
      <c r="O2541"/>
    </row>
    <row r="2542" spans="13:25" x14ac:dyDescent="0.35">
      <c r="N2542"/>
      <c r="O2542"/>
    </row>
    <row r="2543" spans="13:25" x14ac:dyDescent="0.35">
      <c r="N2543"/>
      <c r="O2543"/>
    </row>
    <row r="2544" spans="13:25" x14ac:dyDescent="0.35">
      <c r="N2544"/>
      <c r="O2544"/>
    </row>
    <row r="2545" spans="14:15" x14ac:dyDescent="0.35">
      <c r="N2545"/>
      <c r="O2545"/>
    </row>
    <row r="2546" spans="14:15" x14ac:dyDescent="0.35">
      <c r="N2546"/>
      <c r="O2546"/>
    </row>
    <row r="2547" spans="14:15" x14ac:dyDescent="0.35">
      <c r="N2547"/>
      <c r="O2547"/>
    </row>
    <row r="2548" spans="14:15" x14ac:dyDescent="0.35">
      <c r="N2548"/>
      <c r="O2548"/>
    </row>
    <row r="2549" spans="14:15" x14ac:dyDescent="0.35">
      <c r="N2549"/>
      <c r="O2549"/>
    </row>
    <row r="2550" spans="14:15" x14ac:dyDescent="0.35">
      <c r="N2550"/>
      <c r="O2550"/>
    </row>
    <row r="2551" spans="14:15" x14ac:dyDescent="0.35">
      <c r="N2551"/>
      <c r="O2551"/>
    </row>
    <row r="2552" spans="14:15" x14ac:dyDescent="0.35">
      <c r="N2552"/>
      <c r="O2552"/>
    </row>
    <row r="2553" spans="14:15" x14ac:dyDescent="0.35">
      <c r="N2553"/>
      <c r="O2553"/>
    </row>
    <row r="2554" spans="14:15" x14ac:dyDescent="0.35">
      <c r="N2554"/>
      <c r="O2554"/>
    </row>
    <row r="2555" spans="14:15" x14ac:dyDescent="0.35">
      <c r="N2555"/>
      <c r="O2555"/>
    </row>
    <row r="2556" spans="14:15" x14ac:dyDescent="0.35">
      <c r="N2556"/>
      <c r="O2556"/>
    </row>
    <row r="2557" spans="14:15" x14ac:dyDescent="0.35">
      <c r="N2557"/>
      <c r="O2557"/>
    </row>
    <row r="2558" spans="14:15" x14ac:dyDescent="0.35">
      <c r="N2558"/>
      <c r="O2558"/>
    </row>
    <row r="2559" spans="14:15" x14ac:dyDescent="0.35">
      <c r="N2559"/>
      <c r="O2559"/>
    </row>
    <row r="2560" spans="14:15" x14ac:dyDescent="0.35">
      <c r="N2560"/>
      <c r="O2560"/>
    </row>
    <row r="2561" spans="14:15" x14ac:dyDescent="0.35">
      <c r="N2561"/>
      <c r="O2561"/>
    </row>
    <row r="2562" spans="14:15" x14ac:dyDescent="0.35">
      <c r="N2562"/>
      <c r="O2562"/>
    </row>
    <row r="2563" spans="14:15" x14ac:dyDescent="0.35">
      <c r="N2563"/>
      <c r="O2563"/>
    </row>
    <row r="2564" spans="14:15" x14ac:dyDescent="0.35">
      <c r="N2564"/>
      <c r="O2564"/>
    </row>
    <row r="2565" spans="14:15" x14ac:dyDescent="0.35">
      <c r="N2565"/>
      <c r="O2565"/>
    </row>
    <row r="2566" spans="14:15" x14ac:dyDescent="0.35">
      <c r="N2566"/>
      <c r="O2566"/>
    </row>
    <row r="2567" spans="14:15" x14ac:dyDescent="0.35">
      <c r="N2567"/>
      <c r="O2567"/>
    </row>
    <row r="2568" spans="14:15" x14ac:dyDescent="0.35">
      <c r="N2568"/>
      <c r="O2568"/>
    </row>
    <row r="2569" spans="14:15" x14ac:dyDescent="0.35">
      <c r="N2569"/>
      <c r="O2569"/>
    </row>
    <row r="2570" spans="14:15" x14ac:dyDescent="0.35">
      <c r="N2570"/>
      <c r="O2570"/>
    </row>
    <row r="2571" spans="14:15" x14ac:dyDescent="0.35">
      <c r="N2571"/>
      <c r="O2571"/>
    </row>
    <row r="2572" spans="14:15" x14ac:dyDescent="0.35">
      <c r="N2572"/>
      <c r="O2572"/>
    </row>
    <row r="2573" spans="14:15" x14ac:dyDescent="0.35">
      <c r="N2573"/>
      <c r="O2573"/>
    </row>
    <row r="2574" spans="14:15" x14ac:dyDescent="0.35">
      <c r="N2574"/>
      <c r="O2574"/>
    </row>
    <row r="2575" spans="14:15" x14ac:dyDescent="0.35">
      <c r="N2575"/>
      <c r="O2575"/>
    </row>
    <row r="2576" spans="14:15" x14ac:dyDescent="0.35">
      <c r="N2576"/>
      <c r="O2576"/>
    </row>
    <row r="2577" spans="14:15" x14ac:dyDescent="0.35">
      <c r="N2577"/>
      <c r="O2577"/>
    </row>
    <row r="2578" spans="14:15" x14ac:dyDescent="0.35">
      <c r="N2578"/>
      <c r="O2578"/>
    </row>
    <row r="2579" spans="14:15" x14ac:dyDescent="0.35">
      <c r="N2579"/>
      <c r="O2579"/>
    </row>
    <row r="2580" spans="14:15" x14ac:dyDescent="0.35">
      <c r="N2580"/>
      <c r="O2580"/>
    </row>
    <row r="2581" spans="14:15" x14ac:dyDescent="0.35">
      <c r="N2581"/>
      <c r="O2581"/>
    </row>
    <row r="2582" spans="14:15" x14ac:dyDescent="0.35">
      <c r="N2582"/>
      <c r="O2582"/>
    </row>
    <row r="2583" spans="14:15" x14ac:dyDescent="0.35">
      <c r="N2583"/>
      <c r="O2583"/>
    </row>
    <row r="2584" spans="14:15" x14ac:dyDescent="0.35">
      <c r="N2584"/>
      <c r="O2584"/>
    </row>
    <row r="2585" spans="14:15" x14ac:dyDescent="0.35">
      <c r="N2585"/>
      <c r="O2585"/>
    </row>
    <row r="2586" spans="14:15" x14ac:dyDescent="0.35">
      <c r="N2586"/>
      <c r="O2586"/>
    </row>
    <row r="2587" spans="14:15" x14ac:dyDescent="0.35">
      <c r="N2587"/>
      <c r="O2587"/>
    </row>
    <row r="2588" spans="14:15" x14ac:dyDescent="0.35">
      <c r="N2588"/>
      <c r="O2588"/>
    </row>
    <row r="2589" spans="14:15" x14ac:dyDescent="0.35">
      <c r="N2589"/>
      <c r="O2589"/>
    </row>
    <row r="2590" spans="14:15" x14ac:dyDescent="0.35">
      <c r="N2590"/>
      <c r="O2590"/>
    </row>
    <row r="2591" spans="14:15" x14ac:dyDescent="0.35">
      <c r="N2591"/>
      <c r="O2591"/>
    </row>
    <row r="2592" spans="14:15" x14ac:dyDescent="0.35">
      <c r="N2592"/>
      <c r="O2592"/>
    </row>
    <row r="2593" spans="14:15" x14ac:dyDescent="0.35">
      <c r="N2593"/>
      <c r="O2593"/>
    </row>
    <row r="2594" spans="14:15" x14ac:dyDescent="0.35">
      <c r="N2594"/>
      <c r="O2594"/>
    </row>
    <row r="2595" spans="14:15" x14ac:dyDescent="0.35">
      <c r="N2595"/>
      <c r="O2595"/>
    </row>
    <row r="2596" spans="14:15" x14ac:dyDescent="0.35">
      <c r="N2596"/>
      <c r="O2596"/>
    </row>
    <row r="2597" spans="14:15" x14ac:dyDescent="0.35">
      <c r="N2597"/>
      <c r="O2597"/>
    </row>
    <row r="2598" spans="14:15" x14ac:dyDescent="0.35">
      <c r="N2598"/>
      <c r="O2598"/>
    </row>
    <row r="2599" spans="14:15" x14ac:dyDescent="0.35">
      <c r="N2599"/>
      <c r="O2599"/>
    </row>
    <row r="2600" spans="14:15" x14ac:dyDescent="0.35">
      <c r="N2600"/>
      <c r="O2600"/>
    </row>
    <row r="2601" spans="14:15" x14ac:dyDescent="0.35">
      <c r="N2601"/>
      <c r="O2601"/>
    </row>
    <row r="2602" spans="14:15" x14ac:dyDescent="0.35">
      <c r="N2602"/>
      <c r="O2602"/>
    </row>
    <row r="2603" spans="14:15" x14ac:dyDescent="0.35">
      <c r="N2603"/>
      <c r="O2603"/>
    </row>
    <row r="2604" spans="14:15" x14ac:dyDescent="0.35">
      <c r="N2604"/>
      <c r="O2604"/>
    </row>
    <row r="2605" spans="14:15" x14ac:dyDescent="0.35">
      <c r="N2605"/>
      <c r="O2605"/>
    </row>
    <row r="2606" spans="14:15" x14ac:dyDescent="0.35">
      <c r="N2606"/>
      <c r="O2606"/>
    </row>
    <row r="2607" spans="14:15" x14ac:dyDescent="0.35">
      <c r="N2607"/>
      <c r="O2607"/>
    </row>
    <row r="2608" spans="14:15" x14ac:dyDescent="0.35">
      <c r="N2608"/>
      <c r="O2608"/>
    </row>
    <row r="2609" spans="14:15" x14ac:dyDescent="0.35">
      <c r="N2609"/>
      <c r="O2609"/>
    </row>
    <row r="2610" spans="14:15" x14ac:dyDescent="0.35">
      <c r="N2610"/>
      <c r="O2610"/>
    </row>
    <row r="2611" spans="14:15" x14ac:dyDescent="0.35">
      <c r="N2611"/>
      <c r="O2611"/>
    </row>
    <row r="2612" spans="14:15" x14ac:dyDescent="0.35">
      <c r="N2612"/>
      <c r="O2612"/>
    </row>
    <row r="2613" spans="14:15" x14ac:dyDescent="0.35">
      <c r="N2613"/>
      <c r="O2613"/>
    </row>
    <row r="2614" spans="14:15" x14ac:dyDescent="0.35">
      <c r="N2614"/>
      <c r="O2614"/>
    </row>
    <row r="2615" spans="14:15" x14ac:dyDescent="0.35">
      <c r="N2615"/>
      <c r="O2615"/>
    </row>
    <row r="2616" spans="14:15" x14ac:dyDescent="0.35">
      <c r="N2616"/>
      <c r="O2616"/>
    </row>
    <row r="2617" spans="14:15" x14ac:dyDescent="0.35">
      <c r="N2617"/>
      <c r="O2617"/>
    </row>
    <row r="2618" spans="14:15" x14ac:dyDescent="0.35">
      <c r="N2618"/>
      <c r="O2618"/>
    </row>
    <row r="2619" spans="14:15" x14ac:dyDescent="0.35">
      <c r="N2619"/>
      <c r="O2619"/>
    </row>
    <row r="2620" spans="14:15" x14ac:dyDescent="0.35">
      <c r="N2620"/>
      <c r="O2620"/>
    </row>
    <row r="2621" spans="14:15" x14ac:dyDescent="0.35">
      <c r="N2621"/>
      <c r="O2621"/>
    </row>
    <row r="2622" spans="14:15" x14ac:dyDescent="0.35">
      <c r="N2622"/>
      <c r="O2622"/>
    </row>
    <row r="2623" spans="14:15" x14ac:dyDescent="0.35">
      <c r="N2623"/>
      <c r="O2623"/>
    </row>
    <row r="2624" spans="14:15" x14ac:dyDescent="0.35">
      <c r="N2624"/>
      <c r="O2624"/>
    </row>
    <row r="2625" spans="1:25" x14ac:dyDescent="0.35">
      <c r="N2625"/>
      <c r="O2625"/>
    </row>
    <row r="2626" spans="1:25" x14ac:dyDescent="0.35">
      <c r="N2626"/>
      <c r="O2626"/>
    </row>
    <row r="2627" spans="1:25" x14ac:dyDescent="0.35">
      <c r="N2627"/>
      <c r="O2627"/>
    </row>
    <row r="2628" spans="1:25" x14ac:dyDescent="0.35">
      <c r="N2628"/>
      <c r="O2628"/>
    </row>
    <row r="2629" spans="1:25" x14ac:dyDescent="0.35">
      <c r="N2629"/>
      <c r="O2629"/>
    </row>
    <row r="2630" spans="1:25" x14ac:dyDescent="0.35">
      <c r="N2630"/>
      <c r="O2630"/>
    </row>
    <row r="2631" spans="1:25" x14ac:dyDescent="0.35">
      <c r="N2631"/>
      <c r="O2631"/>
    </row>
    <row r="2632" spans="1:25" x14ac:dyDescent="0.35">
      <c r="N2632"/>
      <c r="O2632"/>
    </row>
    <row r="2633" spans="1:25" x14ac:dyDescent="0.35">
      <c r="N2633"/>
      <c r="O2633"/>
    </row>
    <row r="2634" spans="1:25" x14ac:dyDescent="0.35">
      <c r="N2634"/>
      <c r="O2634"/>
    </row>
    <row r="2635" spans="1:25" x14ac:dyDescent="0.35">
      <c r="N2635"/>
      <c r="O2635"/>
    </row>
    <row r="2636" spans="1:25" x14ac:dyDescent="0.35">
      <c r="N2636"/>
      <c r="O2636"/>
    </row>
    <row r="2637" spans="1:25" x14ac:dyDescent="0.35">
      <c r="N2637"/>
      <c r="O2637"/>
    </row>
    <row r="2638" spans="1:25" s="13" customFormat="1" x14ac:dyDescent="0.35">
      <c r="A2638" s="5"/>
      <c r="B2638" s="5"/>
      <c r="C2638" s="5"/>
      <c r="D2638" s="6"/>
      <c r="E2638" s="5"/>
      <c r="F2638" s="6"/>
      <c r="G2638" s="5"/>
      <c r="H2638" s="5"/>
      <c r="I2638" s="5"/>
      <c r="J2638" s="5"/>
      <c r="M2638" s="5"/>
      <c r="N2638"/>
      <c r="O2638"/>
      <c r="P2638" s="5"/>
      <c r="Q2638" s="5"/>
      <c r="R2638" s="5"/>
      <c r="S2638" s="5"/>
      <c r="T2638" s="5"/>
      <c r="U2638" s="5"/>
      <c r="V2638" s="5"/>
      <c r="W2638" s="5"/>
      <c r="X2638" s="5"/>
      <c r="Y2638" s="5"/>
    </row>
    <row r="2639" spans="1:25" s="13" customFormat="1" x14ac:dyDescent="0.35">
      <c r="A2639" s="5"/>
      <c r="B2639" s="5"/>
      <c r="C2639" s="5"/>
      <c r="D2639" s="6"/>
      <c r="E2639" s="5"/>
      <c r="F2639" s="6"/>
      <c r="G2639" s="5"/>
      <c r="H2639" s="5"/>
      <c r="I2639" s="5"/>
      <c r="J2639" s="5"/>
      <c r="M2639" s="5"/>
      <c r="N2639"/>
      <c r="O2639"/>
      <c r="P2639" s="5"/>
      <c r="Q2639" s="5"/>
      <c r="R2639" s="5"/>
      <c r="S2639" s="5"/>
      <c r="T2639" s="5"/>
      <c r="U2639" s="5"/>
      <c r="V2639" s="5"/>
      <c r="W2639" s="5"/>
      <c r="X2639" s="5"/>
      <c r="Y2639" s="5"/>
    </row>
    <row r="2640" spans="1:25" s="13" customFormat="1" x14ac:dyDescent="0.35">
      <c r="A2640" s="5"/>
      <c r="B2640" s="5"/>
      <c r="C2640" s="5"/>
      <c r="D2640" s="6"/>
      <c r="E2640" s="5"/>
      <c r="F2640" s="6"/>
      <c r="G2640" s="5"/>
      <c r="H2640" s="5"/>
      <c r="I2640" s="5"/>
      <c r="J2640" s="5"/>
      <c r="M2640" s="5"/>
      <c r="N2640"/>
      <c r="O2640"/>
      <c r="P2640" s="5"/>
      <c r="Q2640" s="5"/>
      <c r="R2640" s="5"/>
      <c r="S2640" s="5"/>
      <c r="T2640" s="5"/>
      <c r="U2640" s="5"/>
      <c r="V2640" s="5"/>
      <c r="W2640" s="5"/>
      <c r="X2640" s="5"/>
      <c r="Y2640" s="5"/>
    </row>
    <row r="2641" spans="1:25" s="13" customFormat="1" x14ac:dyDescent="0.35">
      <c r="A2641" s="5"/>
      <c r="B2641" s="5"/>
      <c r="C2641" s="5"/>
      <c r="D2641" s="6"/>
      <c r="E2641" s="5"/>
      <c r="F2641" s="6"/>
      <c r="G2641" s="5"/>
      <c r="H2641" s="5"/>
      <c r="I2641" s="5"/>
      <c r="J2641" s="5"/>
      <c r="M2641" s="5"/>
      <c r="N2641"/>
      <c r="O2641"/>
      <c r="P2641" s="5"/>
      <c r="Q2641" s="5"/>
      <c r="R2641" s="5"/>
      <c r="S2641" s="5"/>
      <c r="T2641" s="5"/>
      <c r="U2641" s="5"/>
      <c r="V2641" s="5"/>
      <c r="W2641" s="5"/>
      <c r="X2641" s="5"/>
      <c r="Y2641" s="5"/>
    </row>
    <row r="2642" spans="1:25" s="13" customFormat="1" x14ac:dyDescent="0.35">
      <c r="A2642" s="5"/>
      <c r="B2642" s="5"/>
      <c r="C2642" s="5"/>
      <c r="D2642" s="6"/>
      <c r="E2642" s="5"/>
      <c r="F2642" s="6"/>
      <c r="G2642" s="5"/>
      <c r="H2642" s="5"/>
      <c r="I2642" s="5"/>
      <c r="J2642" s="5"/>
      <c r="M2642" s="5"/>
      <c r="N2642"/>
      <c r="O2642"/>
      <c r="P2642" s="5"/>
      <c r="Q2642" s="5"/>
      <c r="R2642" s="5"/>
      <c r="S2642" s="5"/>
      <c r="T2642" s="5"/>
      <c r="U2642" s="5"/>
      <c r="V2642" s="5"/>
      <c r="W2642" s="5"/>
      <c r="X2642" s="5"/>
      <c r="Y2642" s="5"/>
    </row>
    <row r="2643" spans="1:25" s="13" customFormat="1" x14ac:dyDescent="0.35">
      <c r="A2643" s="5"/>
      <c r="B2643" s="5"/>
      <c r="C2643" s="5"/>
      <c r="D2643" s="6"/>
      <c r="E2643" s="5"/>
      <c r="F2643" s="6"/>
      <c r="G2643" s="5"/>
      <c r="H2643" s="5"/>
      <c r="I2643" s="5"/>
      <c r="J2643" s="5"/>
      <c r="M2643" s="5"/>
      <c r="N2643"/>
      <c r="O2643"/>
      <c r="P2643" s="5"/>
      <c r="Q2643" s="5"/>
      <c r="R2643" s="5"/>
      <c r="S2643" s="5"/>
      <c r="T2643" s="5"/>
      <c r="U2643" s="5"/>
      <c r="V2643" s="5"/>
      <c r="W2643" s="5"/>
      <c r="X2643" s="5"/>
      <c r="Y2643" s="5"/>
    </row>
    <row r="2644" spans="1:25" s="13" customFormat="1" x14ac:dyDescent="0.35">
      <c r="A2644" s="5"/>
      <c r="B2644" s="5"/>
      <c r="C2644" s="5"/>
      <c r="D2644" s="6"/>
      <c r="E2644" s="5"/>
      <c r="F2644" s="6"/>
      <c r="G2644" s="5"/>
      <c r="H2644" s="5"/>
      <c r="I2644" s="5"/>
      <c r="J2644" s="5"/>
      <c r="N2644"/>
      <c r="O2644"/>
    </row>
    <row r="2645" spans="1:25" s="13" customFormat="1" x14ac:dyDescent="0.35">
      <c r="A2645" s="5"/>
      <c r="B2645" s="5"/>
      <c r="C2645" s="5"/>
      <c r="D2645" s="6"/>
      <c r="E2645" s="5"/>
      <c r="F2645" s="6"/>
      <c r="G2645" s="5"/>
      <c r="H2645" s="5"/>
      <c r="I2645" s="5"/>
      <c r="J2645" s="5"/>
      <c r="M2645" s="5"/>
      <c r="N2645"/>
      <c r="O2645"/>
      <c r="P2645" s="5"/>
      <c r="Q2645" s="5"/>
      <c r="R2645" s="5"/>
      <c r="S2645" s="5"/>
      <c r="T2645" s="5"/>
      <c r="U2645" s="5"/>
      <c r="V2645" s="5"/>
      <c r="W2645" s="5"/>
      <c r="X2645" s="5"/>
      <c r="Y2645" s="5"/>
    </row>
    <row r="2646" spans="1:25" s="13" customFormat="1" x14ac:dyDescent="0.35">
      <c r="A2646" s="5"/>
      <c r="B2646" s="5"/>
      <c r="C2646" s="5"/>
      <c r="D2646" s="6"/>
      <c r="E2646" s="5"/>
      <c r="F2646" s="6"/>
      <c r="G2646" s="5"/>
      <c r="H2646" s="5"/>
      <c r="I2646" s="5"/>
      <c r="J2646" s="5"/>
      <c r="M2646" s="5"/>
      <c r="N2646"/>
      <c r="O2646"/>
      <c r="P2646" s="5"/>
      <c r="Q2646" s="5"/>
      <c r="R2646" s="5"/>
      <c r="S2646" s="5"/>
      <c r="T2646" s="5"/>
      <c r="U2646" s="5"/>
      <c r="V2646" s="5"/>
      <c r="W2646" s="5"/>
      <c r="X2646" s="5"/>
      <c r="Y2646" s="5"/>
    </row>
    <row r="2647" spans="1:25" s="13" customFormat="1" x14ac:dyDescent="0.35">
      <c r="A2647" s="5"/>
      <c r="B2647" s="5"/>
      <c r="C2647" s="5"/>
      <c r="D2647" s="6"/>
      <c r="E2647" s="5"/>
      <c r="F2647" s="6"/>
      <c r="G2647" s="5"/>
      <c r="H2647" s="5"/>
      <c r="I2647" s="5"/>
      <c r="J2647" s="5"/>
      <c r="M2647" s="5"/>
      <c r="N2647"/>
      <c r="O2647"/>
      <c r="P2647" s="5"/>
      <c r="Q2647" s="5"/>
      <c r="R2647" s="5"/>
      <c r="S2647" s="5"/>
      <c r="T2647" s="5"/>
      <c r="U2647" s="5"/>
      <c r="V2647" s="5"/>
      <c r="W2647" s="5"/>
      <c r="X2647" s="5"/>
      <c r="Y2647" s="5"/>
    </row>
    <row r="2648" spans="1:25" s="13" customFormat="1" x14ac:dyDescent="0.35">
      <c r="A2648" s="5"/>
      <c r="B2648" s="5"/>
      <c r="C2648" s="5"/>
      <c r="D2648" s="6"/>
      <c r="E2648" s="5"/>
      <c r="F2648" s="6"/>
      <c r="G2648" s="5"/>
      <c r="H2648" s="5"/>
      <c r="I2648" s="5"/>
      <c r="J2648" s="5"/>
      <c r="M2648" s="5"/>
      <c r="N2648"/>
      <c r="O2648"/>
      <c r="P2648" s="5"/>
      <c r="Q2648" s="5"/>
      <c r="R2648" s="5"/>
      <c r="S2648" s="5"/>
      <c r="T2648" s="5"/>
      <c r="U2648" s="5"/>
      <c r="V2648" s="5"/>
      <c r="W2648" s="5"/>
      <c r="X2648" s="5"/>
      <c r="Y2648" s="5"/>
    </row>
    <row r="2649" spans="1:25" s="13" customFormat="1" x14ac:dyDescent="0.35">
      <c r="A2649" s="5"/>
      <c r="B2649" s="5"/>
      <c r="C2649" s="5"/>
      <c r="D2649" s="6"/>
      <c r="E2649" s="5"/>
      <c r="F2649" s="6"/>
      <c r="G2649" s="5"/>
      <c r="H2649" s="5"/>
      <c r="I2649" s="5"/>
      <c r="J2649" s="5"/>
      <c r="M2649" s="5"/>
      <c r="N2649"/>
      <c r="O2649"/>
      <c r="P2649" s="5"/>
      <c r="Q2649" s="5"/>
      <c r="R2649" s="5"/>
      <c r="S2649" s="5"/>
      <c r="T2649" s="5"/>
      <c r="U2649" s="5"/>
      <c r="V2649" s="5"/>
      <c r="W2649" s="5"/>
      <c r="X2649" s="5"/>
      <c r="Y2649" s="5"/>
    </row>
    <row r="2650" spans="1:25" s="13" customFormat="1" x14ac:dyDescent="0.35">
      <c r="A2650" s="5"/>
      <c r="B2650" s="5"/>
      <c r="C2650" s="5"/>
      <c r="D2650" s="6"/>
      <c r="E2650" s="5"/>
      <c r="F2650" s="6"/>
      <c r="G2650" s="5"/>
      <c r="H2650" s="5"/>
      <c r="I2650" s="5"/>
      <c r="J2650" s="5"/>
      <c r="M2650" s="5"/>
      <c r="N2650"/>
      <c r="O2650"/>
      <c r="P2650" s="5"/>
      <c r="Q2650" s="5"/>
      <c r="R2650" s="5"/>
      <c r="S2650" s="5"/>
      <c r="T2650" s="5"/>
      <c r="U2650" s="5"/>
      <c r="V2650" s="5"/>
      <c r="W2650" s="5"/>
      <c r="X2650" s="5"/>
      <c r="Y2650" s="5"/>
    </row>
    <row r="2651" spans="1:25" s="13" customFormat="1" x14ac:dyDescent="0.35">
      <c r="A2651" s="5"/>
      <c r="B2651" s="5"/>
      <c r="C2651" s="5"/>
      <c r="D2651" s="6"/>
      <c r="E2651" s="5"/>
      <c r="F2651" s="6"/>
      <c r="G2651" s="5"/>
      <c r="H2651" s="5"/>
      <c r="I2651" s="5"/>
      <c r="J2651" s="5"/>
      <c r="M2651" s="5"/>
      <c r="N2651"/>
      <c r="O2651"/>
      <c r="P2651" s="5"/>
      <c r="Q2651" s="5"/>
      <c r="R2651" s="5"/>
      <c r="S2651" s="5"/>
      <c r="T2651" s="5"/>
      <c r="U2651" s="5"/>
      <c r="V2651" s="5"/>
      <c r="W2651" s="5"/>
      <c r="X2651" s="5"/>
      <c r="Y2651" s="5"/>
    </row>
    <row r="2652" spans="1:25" x14ac:dyDescent="0.35">
      <c r="N2652"/>
      <c r="O2652"/>
    </row>
    <row r="2653" spans="1:25" x14ac:dyDescent="0.35">
      <c r="N2653"/>
      <c r="O2653"/>
    </row>
    <row r="2654" spans="1:25" x14ac:dyDescent="0.35">
      <c r="N2654"/>
      <c r="O2654"/>
    </row>
    <row r="2655" spans="1:25" x14ac:dyDescent="0.35">
      <c r="N2655"/>
      <c r="O2655"/>
    </row>
    <row r="2656" spans="1:25" x14ac:dyDescent="0.35">
      <c r="N2656"/>
      <c r="O2656"/>
    </row>
    <row r="2657" spans="14:15" x14ac:dyDescent="0.35">
      <c r="N2657"/>
      <c r="O2657"/>
    </row>
    <row r="2658" spans="14:15" x14ac:dyDescent="0.35">
      <c r="N2658"/>
      <c r="O2658"/>
    </row>
    <row r="2659" spans="14:15" x14ac:dyDescent="0.35">
      <c r="N2659"/>
      <c r="O2659"/>
    </row>
    <row r="2660" spans="14:15" x14ac:dyDescent="0.35">
      <c r="N2660"/>
      <c r="O2660"/>
    </row>
    <row r="2661" spans="14:15" x14ac:dyDescent="0.35">
      <c r="N2661"/>
      <c r="O2661"/>
    </row>
    <row r="2662" spans="14:15" x14ac:dyDescent="0.35">
      <c r="N2662"/>
      <c r="O2662"/>
    </row>
    <row r="2663" spans="14:15" x14ac:dyDescent="0.35">
      <c r="N2663"/>
      <c r="O2663"/>
    </row>
    <row r="2664" spans="14:15" x14ac:dyDescent="0.35">
      <c r="N2664"/>
      <c r="O2664"/>
    </row>
    <row r="2665" spans="14:15" x14ac:dyDescent="0.35">
      <c r="N2665"/>
      <c r="O2665"/>
    </row>
    <row r="2666" spans="14:15" x14ac:dyDescent="0.35">
      <c r="N2666"/>
      <c r="O2666"/>
    </row>
    <row r="2667" spans="14:15" x14ac:dyDescent="0.35">
      <c r="N2667"/>
      <c r="O2667"/>
    </row>
    <row r="2668" spans="14:15" x14ac:dyDescent="0.35">
      <c r="N2668"/>
      <c r="O2668"/>
    </row>
    <row r="2669" spans="14:15" x14ac:dyDescent="0.35">
      <c r="N2669"/>
      <c r="O2669"/>
    </row>
    <row r="2670" spans="14:15" x14ac:dyDescent="0.35">
      <c r="N2670"/>
      <c r="O2670"/>
    </row>
    <row r="2671" spans="14:15" x14ac:dyDescent="0.35">
      <c r="N2671"/>
      <c r="O2671"/>
    </row>
    <row r="2672" spans="14:15" x14ac:dyDescent="0.35">
      <c r="N2672"/>
      <c r="O2672"/>
    </row>
    <row r="2673" spans="14:15" x14ac:dyDescent="0.35">
      <c r="N2673"/>
      <c r="O2673"/>
    </row>
    <row r="2674" spans="14:15" x14ac:dyDescent="0.35">
      <c r="N2674"/>
      <c r="O2674"/>
    </row>
    <row r="2675" spans="14:15" x14ac:dyDescent="0.35">
      <c r="N2675"/>
      <c r="O2675"/>
    </row>
    <row r="2676" spans="14:15" x14ac:dyDescent="0.35">
      <c r="N2676"/>
      <c r="O2676"/>
    </row>
    <row r="2677" spans="14:15" x14ac:dyDescent="0.35">
      <c r="N2677"/>
      <c r="O2677"/>
    </row>
    <row r="2678" spans="14:15" x14ac:dyDescent="0.35">
      <c r="N2678"/>
      <c r="O2678"/>
    </row>
    <row r="2679" spans="14:15" x14ac:dyDescent="0.35">
      <c r="N2679"/>
      <c r="O2679"/>
    </row>
    <row r="2680" spans="14:15" x14ac:dyDescent="0.35">
      <c r="N2680"/>
      <c r="O2680"/>
    </row>
    <row r="2681" spans="14:15" x14ac:dyDescent="0.35">
      <c r="N2681"/>
      <c r="O2681"/>
    </row>
    <row r="2682" spans="14:15" x14ac:dyDescent="0.35">
      <c r="N2682"/>
      <c r="O2682"/>
    </row>
    <row r="2683" spans="14:15" x14ac:dyDescent="0.35">
      <c r="N2683"/>
      <c r="O2683"/>
    </row>
    <row r="2684" spans="14:15" x14ac:dyDescent="0.35">
      <c r="N2684"/>
      <c r="O2684"/>
    </row>
    <row r="2685" spans="14:15" x14ac:dyDescent="0.35">
      <c r="N2685"/>
      <c r="O2685"/>
    </row>
    <row r="2686" spans="14:15" x14ac:dyDescent="0.35">
      <c r="N2686"/>
      <c r="O2686"/>
    </row>
    <row r="2687" spans="14:15" x14ac:dyDescent="0.35">
      <c r="N2687"/>
      <c r="O2687"/>
    </row>
    <row r="2688" spans="14:15" x14ac:dyDescent="0.35">
      <c r="N2688"/>
      <c r="O2688"/>
    </row>
    <row r="2689" spans="1:25" x14ac:dyDescent="0.35">
      <c r="N2689"/>
      <c r="O2689"/>
    </row>
    <row r="2690" spans="1:25" x14ac:dyDescent="0.35">
      <c r="N2690"/>
      <c r="O2690"/>
    </row>
    <row r="2691" spans="1:25" x14ac:dyDescent="0.35">
      <c r="N2691"/>
      <c r="O2691"/>
    </row>
    <row r="2692" spans="1:25" x14ac:dyDescent="0.35">
      <c r="N2692"/>
      <c r="O2692"/>
    </row>
    <row r="2693" spans="1:25" x14ac:dyDescent="0.35">
      <c r="N2693"/>
      <c r="O2693"/>
    </row>
    <row r="2694" spans="1:25" x14ac:dyDescent="0.35">
      <c r="N2694"/>
      <c r="O2694"/>
    </row>
    <row r="2695" spans="1:25" x14ac:dyDescent="0.35">
      <c r="N2695"/>
      <c r="O2695"/>
    </row>
    <row r="2696" spans="1:25" x14ac:dyDescent="0.35">
      <c r="N2696"/>
      <c r="O2696"/>
    </row>
    <row r="2697" spans="1:25" x14ac:dyDescent="0.35">
      <c r="N2697"/>
      <c r="O2697"/>
    </row>
    <row r="2698" spans="1:25" x14ac:dyDescent="0.35">
      <c r="N2698"/>
      <c r="O2698"/>
    </row>
    <row r="2699" spans="1:25" x14ac:dyDescent="0.35">
      <c r="N2699"/>
      <c r="O2699"/>
    </row>
    <row r="2700" spans="1:25" x14ac:dyDescent="0.35">
      <c r="N2700"/>
      <c r="O2700"/>
    </row>
    <row r="2701" spans="1:25" x14ac:dyDescent="0.35">
      <c r="N2701"/>
      <c r="O2701"/>
    </row>
    <row r="2702" spans="1:25" x14ac:dyDescent="0.35">
      <c r="N2702"/>
      <c r="O2702"/>
    </row>
    <row r="2703" spans="1:25" x14ac:dyDescent="0.35">
      <c r="N2703"/>
      <c r="O2703"/>
    </row>
    <row r="2704" spans="1:25" s="13" customFormat="1" x14ac:dyDescent="0.35">
      <c r="A2704" s="5"/>
      <c r="B2704" s="5"/>
      <c r="C2704" s="5"/>
      <c r="D2704" s="6"/>
      <c r="E2704" s="5"/>
      <c r="F2704" s="6"/>
      <c r="G2704" s="5"/>
      <c r="H2704" s="5"/>
      <c r="I2704" s="5"/>
      <c r="J2704" s="5"/>
      <c r="M2704" s="5"/>
      <c r="N2704"/>
      <c r="O2704"/>
      <c r="P2704" s="5"/>
      <c r="Q2704" s="5"/>
      <c r="R2704" s="5"/>
      <c r="S2704" s="5"/>
      <c r="T2704" s="5"/>
      <c r="U2704" s="5"/>
      <c r="V2704" s="5"/>
      <c r="W2704" s="5"/>
      <c r="X2704" s="5"/>
      <c r="Y2704" s="5"/>
    </row>
    <row r="2705" spans="1:25" s="13" customFormat="1" x14ac:dyDescent="0.35">
      <c r="A2705" s="5"/>
      <c r="B2705" s="5"/>
      <c r="C2705" s="5"/>
      <c r="D2705" s="6"/>
      <c r="E2705" s="5"/>
      <c r="F2705" s="6"/>
      <c r="G2705" s="5"/>
      <c r="H2705" s="5"/>
      <c r="I2705" s="5"/>
      <c r="J2705" s="5"/>
      <c r="M2705" s="5"/>
      <c r="N2705"/>
      <c r="O2705"/>
      <c r="P2705" s="5"/>
      <c r="Q2705" s="5"/>
      <c r="R2705" s="5"/>
      <c r="S2705" s="5"/>
      <c r="T2705" s="5"/>
      <c r="U2705" s="5"/>
      <c r="V2705" s="5"/>
      <c r="W2705" s="5"/>
      <c r="X2705" s="5"/>
      <c r="Y2705" s="5"/>
    </row>
    <row r="2706" spans="1:25" s="13" customFormat="1" x14ac:dyDescent="0.35">
      <c r="A2706" s="5"/>
      <c r="B2706" s="5"/>
      <c r="C2706" s="5"/>
      <c r="D2706" s="6"/>
      <c r="E2706" s="5"/>
      <c r="F2706" s="6"/>
      <c r="G2706" s="5"/>
      <c r="H2706" s="5"/>
      <c r="I2706" s="5"/>
      <c r="J2706" s="5"/>
      <c r="M2706" s="5"/>
      <c r="N2706"/>
      <c r="O2706"/>
      <c r="P2706" s="5"/>
      <c r="Q2706" s="5"/>
      <c r="R2706" s="5"/>
      <c r="S2706" s="5"/>
      <c r="T2706" s="5"/>
      <c r="U2706" s="5"/>
      <c r="V2706" s="5"/>
      <c r="W2706" s="5"/>
      <c r="X2706" s="5"/>
      <c r="Y2706" s="5"/>
    </row>
    <row r="2707" spans="1:25" s="13" customFormat="1" x14ac:dyDescent="0.35">
      <c r="A2707" s="5"/>
      <c r="B2707" s="5"/>
      <c r="C2707" s="5"/>
      <c r="D2707" s="6"/>
      <c r="E2707" s="5"/>
      <c r="F2707" s="6"/>
      <c r="G2707" s="5"/>
      <c r="H2707" s="5"/>
      <c r="I2707" s="5"/>
      <c r="J2707" s="5"/>
      <c r="M2707" s="5"/>
      <c r="N2707"/>
      <c r="O2707"/>
      <c r="P2707" s="5"/>
      <c r="Q2707" s="5"/>
      <c r="R2707" s="5"/>
      <c r="S2707" s="5"/>
      <c r="T2707" s="5"/>
      <c r="U2707" s="5"/>
      <c r="V2707" s="5"/>
      <c r="W2707" s="5"/>
      <c r="X2707" s="5"/>
      <c r="Y2707" s="5"/>
    </row>
    <row r="2708" spans="1:25" s="13" customFormat="1" x14ac:dyDescent="0.35">
      <c r="A2708" s="5"/>
      <c r="B2708" s="5"/>
      <c r="C2708" s="5"/>
      <c r="D2708" s="6"/>
      <c r="E2708" s="5"/>
      <c r="F2708" s="6"/>
      <c r="G2708" s="5"/>
      <c r="H2708" s="5"/>
      <c r="I2708" s="5"/>
      <c r="J2708" s="5"/>
      <c r="M2708" s="5"/>
      <c r="N2708"/>
      <c r="O2708"/>
      <c r="P2708" s="5"/>
      <c r="Q2708" s="5"/>
      <c r="R2708" s="5"/>
      <c r="S2708" s="5"/>
      <c r="T2708" s="5"/>
      <c r="U2708" s="5"/>
      <c r="V2708" s="5"/>
      <c r="W2708" s="5"/>
      <c r="X2708" s="5"/>
      <c r="Y2708" s="5"/>
    </row>
    <row r="2709" spans="1:25" s="13" customFormat="1" x14ac:dyDescent="0.35">
      <c r="A2709" s="5"/>
      <c r="B2709" s="5"/>
      <c r="C2709" s="5"/>
      <c r="D2709" s="6"/>
      <c r="E2709" s="5"/>
      <c r="F2709" s="6"/>
      <c r="G2709" s="5"/>
      <c r="H2709" s="5"/>
      <c r="I2709" s="5"/>
      <c r="J2709" s="5"/>
      <c r="M2709" s="5"/>
      <c r="N2709"/>
      <c r="O2709"/>
      <c r="P2709" s="5"/>
      <c r="Q2709" s="5"/>
      <c r="R2709" s="5"/>
      <c r="S2709" s="5"/>
      <c r="T2709" s="5"/>
      <c r="U2709" s="5"/>
      <c r="V2709" s="5"/>
      <c r="W2709" s="5"/>
      <c r="X2709" s="5"/>
      <c r="Y2709" s="5"/>
    </row>
    <row r="2710" spans="1:25" s="13" customFormat="1" x14ac:dyDescent="0.35">
      <c r="A2710" s="5"/>
      <c r="B2710" s="5"/>
      <c r="C2710" s="5"/>
      <c r="D2710" s="6"/>
      <c r="E2710" s="5"/>
      <c r="F2710" s="6"/>
      <c r="G2710" s="5"/>
      <c r="H2710" s="5"/>
      <c r="I2710" s="5"/>
      <c r="J2710" s="5"/>
      <c r="M2710" s="5"/>
      <c r="N2710"/>
      <c r="O2710"/>
      <c r="P2710" s="5"/>
      <c r="Q2710" s="5"/>
      <c r="R2710" s="5"/>
      <c r="S2710" s="5"/>
      <c r="T2710" s="5"/>
      <c r="U2710" s="5"/>
      <c r="V2710" s="5"/>
      <c r="W2710" s="5"/>
      <c r="X2710" s="5"/>
      <c r="Y2710" s="5"/>
    </row>
    <row r="2711" spans="1:25" s="13" customFormat="1" x14ac:dyDescent="0.35">
      <c r="A2711" s="5"/>
      <c r="B2711" s="5"/>
      <c r="C2711" s="5"/>
      <c r="D2711" s="6"/>
      <c r="E2711" s="5"/>
      <c r="F2711" s="6"/>
      <c r="G2711" s="5"/>
      <c r="H2711" s="5"/>
      <c r="I2711" s="5"/>
      <c r="J2711" s="5"/>
      <c r="M2711" s="5"/>
      <c r="N2711"/>
      <c r="O2711"/>
      <c r="P2711" s="5"/>
      <c r="Q2711" s="5"/>
      <c r="R2711" s="5"/>
      <c r="S2711" s="5"/>
      <c r="T2711" s="5"/>
      <c r="U2711" s="5"/>
      <c r="V2711" s="5"/>
      <c r="W2711" s="5"/>
      <c r="X2711" s="5"/>
      <c r="Y2711" s="5"/>
    </row>
    <row r="2712" spans="1:25" s="13" customFormat="1" x14ac:dyDescent="0.35">
      <c r="A2712" s="5"/>
      <c r="B2712" s="5"/>
      <c r="C2712" s="5"/>
      <c r="D2712" s="6"/>
      <c r="E2712" s="5"/>
      <c r="F2712" s="6"/>
      <c r="G2712" s="5"/>
      <c r="H2712" s="5"/>
      <c r="I2712" s="5"/>
      <c r="J2712" s="5"/>
      <c r="M2712" s="5"/>
      <c r="N2712"/>
      <c r="O2712"/>
      <c r="P2712" s="5"/>
      <c r="Q2712" s="5"/>
      <c r="R2712" s="5"/>
      <c r="S2712" s="5"/>
      <c r="T2712" s="5"/>
      <c r="U2712" s="5"/>
      <c r="V2712" s="5"/>
      <c r="W2712" s="5"/>
      <c r="X2712" s="5"/>
      <c r="Y2712" s="5"/>
    </row>
    <row r="2713" spans="1:25" x14ac:dyDescent="0.35">
      <c r="N2713"/>
      <c r="O2713"/>
    </row>
    <row r="2714" spans="1:25" x14ac:dyDescent="0.35">
      <c r="N2714"/>
      <c r="O2714"/>
    </row>
    <row r="2715" spans="1:25" x14ac:dyDescent="0.35">
      <c r="N2715"/>
      <c r="O2715"/>
    </row>
    <row r="2716" spans="1:25" x14ac:dyDescent="0.35">
      <c r="N2716"/>
      <c r="O2716"/>
    </row>
    <row r="2717" spans="1:25" x14ac:dyDescent="0.35">
      <c r="N2717"/>
      <c r="O2717"/>
    </row>
    <row r="2718" spans="1:25" x14ac:dyDescent="0.35">
      <c r="N2718"/>
      <c r="O2718"/>
    </row>
    <row r="2719" spans="1:25" x14ac:dyDescent="0.35">
      <c r="N2719"/>
      <c r="O2719"/>
    </row>
    <row r="2720" spans="1:25" x14ac:dyDescent="0.35">
      <c r="N2720"/>
      <c r="O2720"/>
    </row>
    <row r="2721" spans="1:25" x14ac:dyDescent="0.35">
      <c r="N2721"/>
      <c r="O2721"/>
    </row>
    <row r="2722" spans="1:25" x14ac:dyDescent="0.35">
      <c r="N2722"/>
      <c r="O2722"/>
    </row>
    <row r="2723" spans="1:25" x14ac:dyDescent="0.35">
      <c r="N2723"/>
      <c r="O2723"/>
    </row>
    <row r="2724" spans="1:25" s="13" customFormat="1" x14ac:dyDescent="0.35">
      <c r="A2724" s="5"/>
      <c r="B2724" s="5"/>
      <c r="C2724" s="5"/>
      <c r="D2724" s="6"/>
      <c r="E2724" s="5"/>
      <c r="F2724" s="6"/>
      <c r="G2724" s="5"/>
      <c r="H2724" s="5"/>
      <c r="I2724" s="5"/>
      <c r="J2724" s="5"/>
      <c r="M2724" s="5"/>
      <c r="N2724"/>
      <c r="O2724"/>
      <c r="P2724" s="5"/>
      <c r="Q2724" s="5"/>
      <c r="R2724" s="5"/>
      <c r="S2724" s="5"/>
      <c r="T2724" s="5"/>
      <c r="U2724" s="5"/>
      <c r="V2724" s="5"/>
      <c r="W2724" s="5"/>
      <c r="X2724" s="5"/>
      <c r="Y2724" s="5"/>
    </row>
    <row r="2725" spans="1:25" s="13" customFormat="1" x14ac:dyDescent="0.35">
      <c r="A2725" s="5"/>
      <c r="B2725" s="5"/>
      <c r="C2725" s="5"/>
      <c r="D2725" s="6"/>
      <c r="E2725" s="5"/>
      <c r="F2725" s="6"/>
      <c r="G2725" s="5"/>
      <c r="H2725" s="5"/>
      <c r="I2725" s="5"/>
      <c r="J2725" s="5"/>
      <c r="M2725" s="5"/>
      <c r="N2725"/>
      <c r="O2725"/>
      <c r="P2725" s="5"/>
      <c r="Q2725" s="5"/>
      <c r="R2725" s="5"/>
      <c r="S2725" s="5"/>
      <c r="T2725" s="5"/>
      <c r="U2725" s="5"/>
      <c r="V2725" s="5"/>
      <c r="W2725" s="5"/>
      <c r="X2725" s="5"/>
      <c r="Y2725" s="5"/>
    </row>
    <row r="2726" spans="1:25" x14ac:dyDescent="0.35">
      <c r="N2726"/>
      <c r="O2726"/>
    </row>
    <row r="2727" spans="1:25" x14ac:dyDescent="0.35">
      <c r="N2727"/>
      <c r="O2727"/>
    </row>
    <row r="2728" spans="1:25" x14ac:dyDescent="0.35">
      <c r="N2728"/>
      <c r="O2728"/>
    </row>
    <row r="2729" spans="1:25" x14ac:dyDescent="0.35">
      <c r="N2729"/>
      <c r="O2729"/>
    </row>
    <row r="2730" spans="1:25" x14ac:dyDescent="0.35">
      <c r="N2730"/>
      <c r="O2730"/>
    </row>
    <row r="2731" spans="1:25" x14ac:dyDescent="0.35">
      <c r="N2731"/>
      <c r="O2731"/>
    </row>
    <row r="2732" spans="1:25" x14ac:dyDescent="0.35">
      <c r="N2732"/>
      <c r="O2732"/>
    </row>
    <row r="2733" spans="1:25" x14ac:dyDescent="0.35">
      <c r="N2733"/>
      <c r="O2733"/>
    </row>
    <row r="2734" spans="1:25" x14ac:dyDescent="0.35">
      <c r="N2734"/>
      <c r="O2734"/>
    </row>
    <row r="2735" spans="1:25" x14ac:dyDescent="0.35">
      <c r="N2735"/>
      <c r="O2735"/>
    </row>
    <row r="2736" spans="1:25" x14ac:dyDescent="0.35">
      <c r="N2736"/>
      <c r="O2736"/>
    </row>
    <row r="2737" spans="14:15" x14ac:dyDescent="0.35">
      <c r="N2737"/>
      <c r="O2737"/>
    </row>
    <row r="2738" spans="14:15" x14ac:dyDescent="0.35">
      <c r="N2738"/>
      <c r="O2738"/>
    </row>
    <row r="2739" spans="14:15" x14ac:dyDescent="0.35">
      <c r="N2739"/>
      <c r="O2739"/>
    </row>
    <row r="2740" spans="14:15" x14ac:dyDescent="0.35">
      <c r="N2740"/>
      <c r="O2740"/>
    </row>
    <row r="2741" spans="14:15" x14ac:dyDescent="0.35">
      <c r="N2741"/>
      <c r="O2741"/>
    </row>
    <row r="2742" spans="14:15" x14ac:dyDescent="0.35">
      <c r="N2742"/>
      <c r="O2742"/>
    </row>
    <row r="2743" spans="14:15" x14ac:dyDescent="0.35">
      <c r="N2743"/>
      <c r="O2743"/>
    </row>
    <row r="2744" spans="14:15" x14ac:dyDescent="0.35">
      <c r="N2744"/>
      <c r="O2744"/>
    </row>
    <row r="2745" spans="14:15" x14ac:dyDescent="0.35">
      <c r="N2745"/>
      <c r="O2745"/>
    </row>
    <row r="2746" spans="14:15" x14ac:dyDescent="0.35">
      <c r="N2746"/>
      <c r="O2746"/>
    </row>
    <row r="2747" spans="14:15" x14ac:dyDescent="0.35">
      <c r="N2747"/>
      <c r="O2747"/>
    </row>
    <row r="2748" spans="14:15" x14ac:dyDescent="0.35">
      <c r="N2748"/>
      <c r="O2748"/>
    </row>
    <row r="2749" spans="14:15" x14ac:dyDescent="0.35">
      <c r="N2749"/>
      <c r="O2749"/>
    </row>
    <row r="2750" spans="14:15" x14ac:dyDescent="0.35">
      <c r="N2750"/>
      <c r="O2750"/>
    </row>
    <row r="2751" spans="14:15" x14ac:dyDescent="0.35">
      <c r="N2751"/>
      <c r="O2751"/>
    </row>
    <row r="2752" spans="14:15" x14ac:dyDescent="0.35">
      <c r="N2752"/>
      <c r="O2752"/>
    </row>
    <row r="2753" spans="14:15" x14ac:dyDescent="0.35">
      <c r="N2753"/>
      <c r="O2753"/>
    </row>
    <row r="2754" spans="14:15" x14ac:dyDescent="0.35">
      <c r="N2754"/>
      <c r="O2754"/>
    </row>
    <row r="2755" spans="14:15" x14ac:dyDescent="0.35">
      <c r="N2755"/>
      <c r="O2755"/>
    </row>
    <row r="2756" spans="14:15" x14ac:dyDescent="0.35">
      <c r="N2756"/>
      <c r="O2756"/>
    </row>
    <row r="2757" spans="14:15" x14ac:dyDescent="0.35">
      <c r="N2757"/>
      <c r="O2757"/>
    </row>
    <row r="2758" spans="14:15" x14ac:dyDescent="0.35">
      <c r="N2758"/>
      <c r="O2758"/>
    </row>
    <row r="2759" spans="14:15" x14ac:dyDescent="0.35">
      <c r="N2759"/>
      <c r="O2759"/>
    </row>
    <row r="2760" spans="14:15" x14ac:dyDescent="0.35">
      <c r="N2760"/>
      <c r="O2760"/>
    </row>
    <row r="2761" spans="14:15" x14ac:dyDescent="0.35">
      <c r="N2761"/>
      <c r="O2761"/>
    </row>
    <row r="2762" spans="14:15" x14ac:dyDescent="0.35">
      <c r="N2762"/>
      <c r="O2762"/>
    </row>
    <row r="2763" spans="14:15" x14ac:dyDescent="0.35">
      <c r="N2763"/>
      <c r="O2763"/>
    </row>
    <row r="2764" spans="14:15" x14ac:dyDescent="0.35">
      <c r="N2764"/>
      <c r="O2764"/>
    </row>
    <row r="2765" spans="14:15" x14ac:dyDescent="0.35">
      <c r="N2765"/>
      <c r="O2765"/>
    </row>
    <row r="2766" spans="14:15" x14ac:dyDescent="0.35">
      <c r="N2766"/>
      <c r="O2766"/>
    </row>
    <row r="2767" spans="14:15" x14ac:dyDescent="0.35">
      <c r="N2767"/>
      <c r="O2767"/>
    </row>
    <row r="2768" spans="14:15" x14ac:dyDescent="0.35">
      <c r="N2768"/>
      <c r="O2768"/>
    </row>
    <row r="2769" spans="14:15" x14ac:dyDescent="0.35">
      <c r="N2769"/>
      <c r="O2769"/>
    </row>
    <row r="2770" spans="14:15" x14ac:dyDescent="0.35">
      <c r="N2770"/>
      <c r="O2770"/>
    </row>
    <row r="2771" spans="14:15" x14ac:dyDescent="0.35">
      <c r="N2771"/>
      <c r="O2771"/>
    </row>
    <row r="2772" spans="14:15" x14ac:dyDescent="0.35">
      <c r="N2772"/>
      <c r="O2772"/>
    </row>
    <row r="2773" spans="14:15" x14ac:dyDescent="0.35">
      <c r="N2773"/>
      <c r="O2773"/>
    </row>
    <row r="2774" spans="14:15" x14ac:dyDescent="0.35">
      <c r="N2774"/>
      <c r="O2774"/>
    </row>
    <row r="2775" spans="14:15" x14ac:dyDescent="0.35">
      <c r="N2775"/>
      <c r="O2775"/>
    </row>
    <row r="2776" spans="14:15" x14ac:dyDescent="0.35">
      <c r="N2776"/>
      <c r="O2776"/>
    </row>
    <row r="2777" spans="14:15" x14ac:dyDescent="0.35">
      <c r="N2777"/>
      <c r="O2777"/>
    </row>
    <row r="2778" spans="14:15" x14ac:dyDescent="0.35">
      <c r="N2778"/>
      <c r="O2778"/>
    </row>
    <row r="2779" spans="14:15" x14ac:dyDescent="0.35">
      <c r="N2779"/>
      <c r="O2779"/>
    </row>
    <row r="2780" spans="14:15" x14ac:dyDescent="0.35">
      <c r="N2780"/>
      <c r="O2780"/>
    </row>
    <row r="2781" spans="14:15" x14ac:dyDescent="0.35">
      <c r="N2781"/>
      <c r="O2781"/>
    </row>
    <row r="2782" spans="14:15" x14ac:dyDescent="0.35">
      <c r="N2782"/>
      <c r="O2782"/>
    </row>
    <row r="2783" spans="14:15" x14ac:dyDescent="0.35">
      <c r="N2783"/>
      <c r="O2783"/>
    </row>
    <row r="2784" spans="14:15" x14ac:dyDescent="0.35">
      <c r="N2784"/>
      <c r="O2784"/>
    </row>
    <row r="2785" spans="14:15" x14ac:dyDescent="0.35">
      <c r="N2785"/>
      <c r="O2785"/>
    </row>
    <row r="2786" spans="14:15" x14ac:dyDescent="0.35">
      <c r="N2786"/>
      <c r="O2786"/>
    </row>
    <row r="2787" spans="14:15" x14ac:dyDescent="0.35">
      <c r="N2787"/>
      <c r="O2787"/>
    </row>
    <row r="2788" spans="14:15" x14ac:dyDescent="0.35">
      <c r="N2788"/>
      <c r="O2788"/>
    </row>
    <row r="2789" spans="14:15" x14ac:dyDescent="0.35">
      <c r="N2789"/>
      <c r="O2789"/>
    </row>
    <row r="2790" spans="14:15" x14ac:dyDescent="0.35">
      <c r="N2790"/>
      <c r="O2790"/>
    </row>
    <row r="2791" spans="14:15" x14ac:dyDescent="0.35">
      <c r="N2791"/>
      <c r="O2791"/>
    </row>
    <row r="2792" spans="14:15" x14ac:dyDescent="0.35">
      <c r="N2792"/>
      <c r="O2792"/>
    </row>
    <row r="2793" spans="14:15" x14ac:dyDescent="0.35">
      <c r="N2793"/>
      <c r="O2793"/>
    </row>
    <row r="2794" spans="14:15" x14ac:dyDescent="0.35">
      <c r="N2794"/>
      <c r="O2794"/>
    </row>
    <row r="2795" spans="14:15" x14ac:dyDescent="0.35">
      <c r="N2795"/>
      <c r="O2795"/>
    </row>
    <row r="2796" spans="14:15" x14ac:dyDescent="0.35">
      <c r="N2796"/>
      <c r="O2796"/>
    </row>
    <row r="2797" spans="14:15" x14ac:dyDescent="0.35">
      <c r="N2797"/>
      <c r="O2797"/>
    </row>
    <row r="2798" spans="14:15" x14ac:dyDescent="0.35">
      <c r="N2798"/>
      <c r="O2798"/>
    </row>
    <row r="2799" spans="14:15" x14ac:dyDescent="0.35">
      <c r="N2799"/>
      <c r="O2799"/>
    </row>
    <row r="2800" spans="14:15" x14ac:dyDescent="0.35">
      <c r="N2800"/>
      <c r="O2800"/>
    </row>
    <row r="2801" spans="14:15" x14ac:dyDescent="0.35">
      <c r="N2801"/>
      <c r="O2801"/>
    </row>
    <row r="2802" spans="14:15" x14ac:dyDescent="0.35">
      <c r="N2802"/>
      <c r="O2802"/>
    </row>
    <row r="2803" spans="14:15" x14ac:dyDescent="0.35">
      <c r="N2803"/>
      <c r="O2803"/>
    </row>
    <row r="2804" spans="14:15" x14ac:dyDescent="0.35">
      <c r="N2804"/>
      <c r="O2804"/>
    </row>
    <row r="2805" spans="14:15" x14ac:dyDescent="0.35">
      <c r="N2805"/>
      <c r="O2805"/>
    </row>
    <row r="2806" spans="14:15" x14ac:dyDescent="0.35">
      <c r="N2806"/>
      <c r="O2806"/>
    </row>
    <row r="2807" spans="14:15" x14ac:dyDescent="0.35">
      <c r="N2807"/>
      <c r="O2807"/>
    </row>
    <row r="2808" spans="14:15" x14ac:dyDescent="0.35">
      <c r="N2808"/>
      <c r="O2808"/>
    </row>
    <row r="2809" spans="14:15" x14ac:dyDescent="0.35">
      <c r="N2809"/>
      <c r="O2809"/>
    </row>
    <row r="2810" spans="14:15" x14ac:dyDescent="0.35">
      <c r="N2810"/>
      <c r="O2810"/>
    </row>
    <row r="2811" spans="14:15" x14ac:dyDescent="0.35">
      <c r="N2811"/>
      <c r="O2811"/>
    </row>
    <row r="2812" spans="14:15" x14ac:dyDescent="0.35">
      <c r="N2812"/>
      <c r="O2812"/>
    </row>
    <row r="2813" spans="14:15" x14ac:dyDescent="0.35">
      <c r="N2813"/>
      <c r="O2813"/>
    </row>
    <row r="2814" spans="14:15" x14ac:dyDescent="0.35">
      <c r="N2814"/>
      <c r="O2814"/>
    </row>
    <row r="2815" spans="14:15" x14ac:dyDescent="0.35">
      <c r="N2815"/>
      <c r="O2815"/>
    </row>
    <row r="2816" spans="14:15" x14ac:dyDescent="0.35">
      <c r="N2816"/>
      <c r="O2816"/>
    </row>
    <row r="2817" spans="14:15" x14ac:dyDescent="0.35">
      <c r="N2817"/>
      <c r="O2817"/>
    </row>
    <row r="2818" spans="14:15" x14ac:dyDescent="0.35">
      <c r="N2818"/>
      <c r="O2818"/>
    </row>
    <row r="2819" spans="14:15" x14ac:dyDescent="0.35">
      <c r="N2819"/>
      <c r="O2819"/>
    </row>
    <row r="2820" spans="14:15" x14ac:dyDescent="0.35">
      <c r="N2820"/>
      <c r="O2820"/>
    </row>
    <row r="2821" spans="14:15" x14ac:dyDescent="0.35">
      <c r="N2821"/>
      <c r="O2821"/>
    </row>
    <row r="2822" spans="14:15" x14ac:dyDescent="0.35">
      <c r="N2822"/>
      <c r="O2822"/>
    </row>
    <row r="2823" spans="14:15" x14ac:dyDescent="0.35">
      <c r="N2823"/>
      <c r="O2823"/>
    </row>
    <row r="2824" spans="14:15" x14ac:dyDescent="0.35">
      <c r="N2824"/>
      <c r="O2824"/>
    </row>
    <row r="2825" spans="14:15" x14ac:dyDescent="0.35">
      <c r="N2825"/>
      <c r="O2825"/>
    </row>
    <row r="2826" spans="14:15" x14ac:dyDescent="0.35">
      <c r="N2826"/>
      <c r="O2826"/>
    </row>
    <row r="2827" spans="14:15" x14ac:dyDescent="0.35">
      <c r="N2827"/>
      <c r="O2827"/>
    </row>
    <row r="2828" spans="14:15" x14ac:dyDescent="0.35">
      <c r="N2828"/>
      <c r="O2828"/>
    </row>
    <row r="2829" spans="14:15" x14ac:dyDescent="0.35">
      <c r="N2829"/>
      <c r="O2829"/>
    </row>
    <row r="2830" spans="14:15" x14ac:dyDescent="0.35">
      <c r="N2830"/>
      <c r="O2830"/>
    </row>
    <row r="2831" spans="14:15" x14ac:dyDescent="0.35">
      <c r="N2831"/>
      <c r="O2831"/>
    </row>
    <row r="2832" spans="14:15" x14ac:dyDescent="0.35">
      <c r="N2832"/>
      <c r="O2832"/>
    </row>
    <row r="2833" spans="14:15" x14ac:dyDescent="0.35">
      <c r="N2833"/>
      <c r="O2833"/>
    </row>
    <row r="2834" spans="14:15" x14ac:dyDescent="0.35">
      <c r="N2834"/>
      <c r="O2834"/>
    </row>
    <row r="2835" spans="14:15" x14ac:dyDescent="0.35">
      <c r="N2835"/>
      <c r="O2835"/>
    </row>
    <row r="2836" spans="14:15" x14ac:dyDescent="0.35">
      <c r="N2836"/>
      <c r="O2836"/>
    </row>
    <row r="2837" spans="14:15" x14ac:dyDescent="0.35">
      <c r="N2837"/>
      <c r="O2837"/>
    </row>
    <row r="2838" spans="14:15" x14ac:dyDescent="0.35">
      <c r="N2838"/>
      <c r="O2838"/>
    </row>
    <row r="2839" spans="14:15" x14ac:dyDescent="0.35">
      <c r="N2839"/>
      <c r="O2839"/>
    </row>
    <row r="2840" spans="14:15" x14ac:dyDescent="0.35">
      <c r="N2840"/>
      <c r="O2840"/>
    </row>
    <row r="2841" spans="14:15" x14ac:dyDescent="0.35">
      <c r="N2841"/>
      <c r="O2841"/>
    </row>
    <row r="2842" spans="14:15" x14ac:dyDescent="0.35">
      <c r="N2842"/>
      <c r="O2842"/>
    </row>
    <row r="2843" spans="14:15" x14ac:dyDescent="0.35">
      <c r="N2843"/>
      <c r="O2843"/>
    </row>
    <row r="2844" spans="14:15" x14ac:dyDescent="0.35">
      <c r="N2844"/>
      <c r="O2844"/>
    </row>
    <row r="2845" spans="14:15" x14ac:dyDescent="0.35">
      <c r="N2845"/>
      <c r="O2845"/>
    </row>
    <row r="2846" spans="14:15" x14ac:dyDescent="0.35">
      <c r="N2846"/>
      <c r="O2846"/>
    </row>
    <row r="2847" spans="14:15" x14ac:dyDescent="0.35">
      <c r="N2847"/>
      <c r="O2847"/>
    </row>
    <row r="2848" spans="14:15" x14ac:dyDescent="0.35">
      <c r="N2848"/>
      <c r="O2848"/>
    </row>
    <row r="2849" spans="14:15" x14ac:dyDescent="0.35">
      <c r="N2849"/>
      <c r="O2849"/>
    </row>
    <row r="2850" spans="14:15" x14ac:dyDescent="0.35">
      <c r="N2850"/>
      <c r="O2850"/>
    </row>
    <row r="2851" spans="14:15" x14ac:dyDescent="0.35">
      <c r="N2851"/>
      <c r="O2851"/>
    </row>
    <row r="2852" spans="14:15" x14ac:dyDescent="0.35">
      <c r="N2852"/>
      <c r="O2852"/>
    </row>
    <row r="2853" spans="14:15" x14ac:dyDescent="0.35">
      <c r="N2853"/>
      <c r="O2853"/>
    </row>
    <row r="2854" spans="14:15" x14ac:dyDescent="0.35">
      <c r="N2854"/>
      <c r="O2854"/>
    </row>
    <row r="2855" spans="14:15" x14ac:dyDescent="0.35">
      <c r="N2855"/>
      <c r="O2855"/>
    </row>
    <row r="2856" spans="14:15" x14ac:dyDescent="0.35">
      <c r="N2856"/>
      <c r="O2856"/>
    </row>
    <row r="2857" spans="14:15" x14ac:dyDescent="0.35">
      <c r="N2857"/>
      <c r="O2857"/>
    </row>
    <row r="2858" spans="14:15" x14ac:dyDescent="0.35">
      <c r="N2858"/>
      <c r="O2858"/>
    </row>
    <row r="2859" spans="14:15" x14ac:dyDescent="0.35">
      <c r="N2859"/>
      <c r="O2859"/>
    </row>
    <row r="2860" spans="14:15" x14ac:dyDescent="0.35">
      <c r="N2860"/>
      <c r="O2860"/>
    </row>
    <row r="2861" spans="14:15" x14ac:dyDescent="0.35">
      <c r="N2861"/>
      <c r="O2861"/>
    </row>
    <row r="2862" spans="14:15" x14ac:dyDescent="0.35">
      <c r="N2862"/>
      <c r="O2862"/>
    </row>
    <row r="2863" spans="14:15" x14ac:dyDescent="0.35">
      <c r="N2863"/>
      <c r="O2863"/>
    </row>
    <row r="2864" spans="14:15" x14ac:dyDescent="0.35">
      <c r="N2864"/>
      <c r="O2864"/>
    </row>
    <row r="2865" spans="14:15" x14ac:dyDescent="0.35">
      <c r="N2865"/>
      <c r="O2865"/>
    </row>
    <row r="2866" spans="14:15" x14ac:dyDescent="0.35">
      <c r="N2866"/>
      <c r="O2866"/>
    </row>
    <row r="2867" spans="14:15" x14ac:dyDescent="0.35">
      <c r="N2867"/>
      <c r="O2867"/>
    </row>
    <row r="2868" spans="14:15" x14ac:dyDescent="0.35">
      <c r="N2868"/>
      <c r="O2868"/>
    </row>
    <row r="2869" spans="14:15" x14ac:dyDescent="0.35">
      <c r="N2869"/>
      <c r="O2869"/>
    </row>
    <row r="2870" spans="14:15" x14ac:dyDescent="0.35">
      <c r="N2870"/>
      <c r="O2870"/>
    </row>
    <row r="2871" spans="14:15" x14ac:dyDescent="0.35">
      <c r="N2871"/>
      <c r="O2871"/>
    </row>
    <row r="2872" spans="14:15" x14ac:dyDescent="0.35">
      <c r="N2872"/>
      <c r="O2872"/>
    </row>
    <row r="2873" spans="14:15" x14ac:dyDescent="0.35">
      <c r="N2873"/>
      <c r="O2873"/>
    </row>
    <row r="2874" spans="14:15" x14ac:dyDescent="0.35">
      <c r="N2874"/>
      <c r="O2874"/>
    </row>
    <row r="2875" spans="14:15" x14ac:dyDescent="0.35">
      <c r="N2875"/>
      <c r="O2875"/>
    </row>
    <row r="2876" spans="14:15" x14ac:dyDescent="0.35">
      <c r="N2876"/>
      <c r="O2876"/>
    </row>
    <row r="2877" spans="14:15" x14ac:dyDescent="0.35">
      <c r="N2877"/>
      <c r="O2877"/>
    </row>
    <row r="2878" spans="14:15" x14ac:dyDescent="0.35">
      <c r="N2878"/>
      <c r="O2878"/>
    </row>
    <row r="2879" spans="14:15" x14ac:dyDescent="0.35">
      <c r="N2879"/>
      <c r="O2879"/>
    </row>
    <row r="2880" spans="14:15" x14ac:dyDescent="0.35">
      <c r="N2880"/>
      <c r="O2880"/>
    </row>
    <row r="2881" spans="14:15" x14ac:dyDescent="0.35">
      <c r="N2881"/>
      <c r="O2881"/>
    </row>
    <row r="2882" spans="14:15" x14ac:dyDescent="0.35">
      <c r="N2882"/>
      <c r="O2882"/>
    </row>
    <row r="2883" spans="14:15" x14ac:dyDescent="0.35">
      <c r="N2883"/>
      <c r="O2883"/>
    </row>
    <row r="2884" spans="14:15" x14ac:dyDescent="0.35">
      <c r="N2884"/>
      <c r="O2884"/>
    </row>
    <row r="2885" spans="14:15" x14ac:dyDescent="0.35">
      <c r="N2885"/>
      <c r="O2885"/>
    </row>
    <row r="2886" spans="14:15" x14ac:dyDescent="0.35">
      <c r="N2886"/>
      <c r="O2886"/>
    </row>
    <row r="2887" spans="14:15" x14ac:dyDescent="0.35">
      <c r="N2887"/>
      <c r="O2887"/>
    </row>
    <row r="2888" spans="14:15" x14ac:dyDescent="0.35">
      <c r="N2888"/>
      <c r="O2888"/>
    </row>
    <row r="2889" spans="14:15" x14ac:dyDescent="0.35">
      <c r="N2889"/>
      <c r="O2889"/>
    </row>
    <row r="2890" spans="14:15" x14ac:dyDescent="0.35">
      <c r="N2890"/>
      <c r="O2890"/>
    </row>
    <row r="2891" spans="14:15" x14ac:dyDescent="0.35">
      <c r="N2891"/>
      <c r="O2891"/>
    </row>
    <row r="2892" spans="14:15" x14ac:dyDescent="0.35">
      <c r="N2892"/>
      <c r="O2892"/>
    </row>
    <row r="2893" spans="14:15" x14ac:dyDescent="0.35">
      <c r="N2893"/>
      <c r="O2893"/>
    </row>
    <row r="2894" spans="14:15" x14ac:dyDescent="0.35">
      <c r="N2894"/>
      <c r="O2894"/>
    </row>
    <row r="2895" spans="14:15" x14ac:dyDescent="0.35">
      <c r="N2895"/>
      <c r="O2895"/>
    </row>
    <row r="2896" spans="14:15" x14ac:dyDescent="0.35">
      <c r="N2896"/>
      <c r="O2896"/>
    </row>
    <row r="2897" spans="14:15" x14ac:dyDescent="0.35">
      <c r="N2897"/>
      <c r="O2897"/>
    </row>
    <row r="2898" spans="14:15" x14ac:dyDescent="0.35">
      <c r="N2898"/>
      <c r="O2898"/>
    </row>
    <row r="2899" spans="14:15" x14ac:dyDescent="0.35">
      <c r="N2899"/>
      <c r="O2899"/>
    </row>
    <row r="2900" spans="14:15" x14ac:dyDescent="0.35">
      <c r="N2900"/>
      <c r="O2900"/>
    </row>
    <row r="2901" spans="14:15" x14ac:dyDescent="0.35">
      <c r="N2901"/>
      <c r="O2901"/>
    </row>
    <row r="2902" spans="14:15" x14ac:dyDescent="0.35">
      <c r="N2902"/>
      <c r="O2902"/>
    </row>
    <row r="2903" spans="14:15" x14ac:dyDescent="0.35">
      <c r="N2903"/>
      <c r="O2903"/>
    </row>
    <row r="2904" spans="14:15" x14ac:dyDescent="0.35">
      <c r="N2904"/>
      <c r="O2904"/>
    </row>
    <row r="2905" spans="14:15" x14ac:dyDescent="0.35">
      <c r="N2905"/>
      <c r="O2905"/>
    </row>
    <row r="2906" spans="14:15" x14ac:dyDescent="0.35">
      <c r="N2906"/>
      <c r="O2906"/>
    </row>
    <row r="2907" spans="14:15" x14ac:dyDescent="0.35">
      <c r="N2907"/>
      <c r="O2907"/>
    </row>
    <row r="2908" spans="14:15" x14ac:dyDescent="0.35">
      <c r="N2908"/>
      <c r="O2908"/>
    </row>
    <row r="2909" spans="14:15" x14ac:dyDescent="0.35">
      <c r="N2909"/>
      <c r="O2909"/>
    </row>
    <row r="2910" spans="14:15" x14ac:dyDescent="0.35">
      <c r="N2910"/>
      <c r="O2910"/>
    </row>
    <row r="2911" spans="14:15" x14ac:dyDescent="0.35">
      <c r="N2911"/>
      <c r="O2911"/>
    </row>
    <row r="2912" spans="14:15" x14ac:dyDescent="0.35">
      <c r="N2912"/>
      <c r="O2912"/>
    </row>
    <row r="2913" spans="14:15" x14ac:dyDescent="0.35">
      <c r="N2913"/>
      <c r="O2913"/>
    </row>
    <row r="2914" spans="14:15" x14ac:dyDescent="0.35">
      <c r="N2914"/>
      <c r="O2914"/>
    </row>
    <row r="2915" spans="14:15" x14ac:dyDescent="0.35">
      <c r="N2915"/>
      <c r="O2915"/>
    </row>
    <row r="2916" spans="14:15" x14ac:dyDescent="0.35">
      <c r="N2916"/>
      <c r="O2916"/>
    </row>
    <row r="2917" spans="14:15" x14ac:dyDescent="0.35">
      <c r="N2917"/>
      <c r="O2917"/>
    </row>
    <row r="2918" spans="14:15" x14ac:dyDescent="0.35">
      <c r="N2918"/>
      <c r="O2918"/>
    </row>
    <row r="2919" spans="14:15" x14ac:dyDescent="0.35">
      <c r="N2919"/>
      <c r="O2919"/>
    </row>
    <row r="2920" spans="14:15" x14ac:dyDescent="0.35">
      <c r="N2920"/>
      <c r="O2920"/>
    </row>
    <row r="2921" spans="14:15" x14ac:dyDescent="0.35">
      <c r="N2921"/>
      <c r="O2921"/>
    </row>
    <row r="2922" spans="14:15" x14ac:dyDescent="0.35">
      <c r="N2922"/>
      <c r="O2922"/>
    </row>
    <row r="2923" spans="14:15" x14ac:dyDescent="0.35">
      <c r="N2923"/>
      <c r="O2923"/>
    </row>
    <row r="2924" spans="14:15" x14ac:dyDescent="0.35">
      <c r="N2924"/>
      <c r="O2924"/>
    </row>
    <row r="2925" spans="14:15" x14ac:dyDescent="0.35">
      <c r="N2925"/>
      <c r="O2925"/>
    </row>
    <row r="2926" spans="14:15" x14ac:dyDescent="0.35">
      <c r="N2926"/>
      <c r="O2926"/>
    </row>
    <row r="2927" spans="14:15" x14ac:dyDescent="0.35">
      <c r="N2927"/>
      <c r="O2927"/>
    </row>
    <row r="2928" spans="14:15" x14ac:dyDescent="0.35">
      <c r="N2928"/>
      <c r="O2928"/>
    </row>
    <row r="2929" spans="14:15" x14ac:dyDescent="0.35">
      <c r="N2929"/>
      <c r="O2929"/>
    </row>
    <row r="2930" spans="14:15" x14ac:dyDescent="0.35">
      <c r="N2930"/>
      <c r="O2930"/>
    </row>
    <row r="2931" spans="14:15" x14ac:dyDescent="0.35">
      <c r="N2931"/>
      <c r="O2931"/>
    </row>
    <row r="2932" spans="14:15" x14ac:dyDescent="0.35">
      <c r="N2932"/>
      <c r="O2932"/>
    </row>
    <row r="2933" spans="14:15" x14ac:dyDescent="0.35">
      <c r="N2933"/>
      <c r="O2933"/>
    </row>
    <row r="2934" spans="14:15" x14ac:dyDescent="0.35">
      <c r="N2934"/>
      <c r="O2934"/>
    </row>
    <row r="2935" spans="14:15" x14ac:dyDescent="0.35">
      <c r="N2935"/>
      <c r="O2935"/>
    </row>
    <row r="2936" spans="14:15" x14ac:dyDescent="0.35">
      <c r="N2936"/>
      <c r="O2936"/>
    </row>
    <row r="2937" spans="14:15" x14ac:dyDescent="0.35">
      <c r="N2937"/>
      <c r="O2937"/>
    </row>
    <row r="2938" spans="14:15" x14ac:dyDescent="0.35">
      <c r="N2938"/>
      <c r="O2938"/>
    </row>
    <row r="2939" spans="14:15" x14ac:dyDescent="0.35">
      <c r="N2939"/>
      <c r="O2939"/>
    </row>
    <row r="2940" spans="14:15" x14ac:dyDescent="0.35">
      <c r="N2940"/>
      <c r="O2940"/>
    </row>
    <row r="2941" spans="14:15" x14ac:dyDescent="0.35">
      <c r="N2941"/>
      <c r="O2941"/>
    </row>
    <row r="2942" spans="14:15" x14ac:dyDescent="0.35">
      <c r="N2942"/>
      <c r="O2942"/>
    </row>
    <row r="2943" spans="14:15" x14ac:dyDescent="0.35">
      <c r="N2943"/>
      <c r="O2943"/>
    </row>
    <row r="2944" spans="14:15" x14ac:dyDescent="0.35">
      <c r="N2944"/>
      <c r="O2944"/>
    </row>
    <row r="2945" spans="14:15" x14ac:dyDescent="0.35">
      <c r="N2945"/>
      <c r="O2945"/>
    </row>
    <row r="2946" spans="14:15" x14ac:dyDescent="0.35">
      <c r="N2946"/>
      <c r="O2946"/>
    </row>
    <row r="2947" spans="14:15" x14ac:dyDescent="0.35">
      <c r="N2947"/>
      <c r="O2947"/>
    </row>
    <row r="2948" spans="14:15" x14ac:dyDescent="0.35">
      <c r="N2948"/>
      <c r="O2948"/>
    </row>
    <row r="2949" spans="14:15" x14ac:dyDescent="0.35">
      <c r="N2949"/>
      <c r="O2949"/>
    </row>
    <row r="2950" spans="14:15" x14ac:dyDescent="0.35">
      <c r="N2950"/>
      <c r="O2950"/>
    </row>
    <row r="2951" spans="14:15" x14ac:dyDescent="0.35">
      <c r="N2951"/>
      <c r="O2951"/>
    </row>
    <row r="2952" spans="14:15" x14ac:dyDescent="0.35">
      <c r="N2952"/>
      <c r="O2952"/>
    </row>
    <row r="2953" spans="14:15" x14ac:dyDescent="0.35">
      <c r="N2953"/>
      <c r="O2953"/>
    </row>
    <row r="2954" spans="14:15" x14ac:dyDescent="0.35">
      <c r="N2954"/>
      <c r="O2954"/>
    </row>
    <row r="2955" spans="14:15" x14ac:dyDescent="0.35">
      <c r="N2955"/>
      <c r="O2955"/>
    </row>
    <row r="2956" spans="14:15" x14ac:dyDescent="0.35">
      <c r="N2956"/>
      <c r="O2956"/>
    </row>
    <row r="2957" spans="14:15" x14ac:dyDescent="0.35">
      <c r="N2957"/>
      <c r="O2957"/>
    </row>
    <row r="2958" spans="14:15" x14ac:dyDescent="0.35">
      <c r="N2958"/>
      <c r="O2958"/>
    </row>
    <row r="2959" spans="14:15" x14ac:dyDescent="0.35">
      <c r="N2959"/>
      <c r="O2959"/>
    </row>
    <row r="2960" spans="14:15" x14ac:dyDescent="0.35">
      <c r="N2960"/>
      <c r="O2960"/>
    </row>
    <row r="2961" spans="1:25" x14ac:dyDescent="0.35">
      <c r="N2961"/>
      <c r="O2961"/>
    </row>
    <row r="2962" spans="1:25" x14ac:dyDescent="0.35">
      <c r="N2962"/>
      <c r="O2962"/>
    </row>
    <row r="2963" spans="1:25" x14ac:dyDescent="0.35">
      <c r="N2963"/>
      <c r="O2963"/>
    </row>
    <row r="2964" spans="1:25" x14ac:dyDescent="0.35">
      <c r="N2964"/>
      <c r="O2964"/>
    </row>
    <row r="2965" spans="1:25" x14ac:dyDescent="0.35">
      <c r="N2965"/>
      <c r="O2965"/>
    </row>
    <row r="2966" spans="1:25" x14ac:dyDescent="0.35">
      <c r="N2966"/>
      <c r="O2966"/>
    </row>
    <row r="2967" spans="1:25" x14ac:dyDescent="0.35">
      <c r="N2967"/>
      <c r="O2967"/>
    </row>
    <row r="2968" spans="1:25" x14ac:dyDescent="0.35">
      <c r="N2968"/>
      <c r="O2968"/>
    </row>
    <row r="2969" spans="1:25" x14ac:dyDescent="0.35">
      <c r="N2969"/>
      <c r="O2969"/>
    </row>
    <row r="2970" spans="1:25" x14ac:dyDescent="0.35">
      <c r="N2970"/>
      <c r="O2970"/>
    </row>
    <row r="2971" spans="1:25" x14ac:dyDescent="0.35">
      <c r="N2971"/>
      <c r="O2971"/>
    </row>
    <row r="2972" spans="1:25" x14ac:dyDescent="0.35">
      <c r="N2972"/>
      <c r="O2972"/>
    </row>
    <row r="2973" spans="1:25" x14ac:dyDescent="0.35">
      <c r="N2973"/>
      <c r="O2973"/>
    </row>
    <row r="2974" spans="1:25" x14ac:dyDescent="0.35">
      <c r="N2974"/>
      <c r="O2974"/>
    </row>
    <row r="2975" spans="1:25" s="14" customFormat="1" x14ac:dyDescent="0.35">
      <c r="A2975" s="5"/>
      <c r="B2975" s="5"/>
      <c r="C2975" s="5"/>
      <c r="D2975" s="6"/>
      <c r="E2975" s="5"/>
      <c r="F2975" s="6"/>
      <c r="G2975" s="5"/>
      <c r="H2975" s="5"/>
      <c r="I2975" s="5"/>
      <c r="J2975" s="5"/>
      <c r="M2975" s="5"/>
      <c r="N2975"/>
      <c r="O2975"/>
      <c r="P2975" s="5"/>
      <c r="Q2975" s="5"/>
      <c r="R2975" s="5"/>
      <c r="S2975" s="5"/>
      <c r="T2975" s="5"/>
      <c r="U2975" s="5"/>
      <c r="V2975" s="5"/>
      <c r="W2975" s="5"/>
      <c r="X2975" s="5"/>
      <c r="Y2975" s="5"/>
    </row>
    <row r="2976" spans="1:25" x14ac:dyDescent="0.35">
      <c r="N2976"/>
      <c r="O2976"/>
    </row>
    <row r="2977" spans="14:15" x14ac:dyDescent="0.35">
      <c r="N2977"/>
      <c r="O2977"/>
    </row>
    <row r="2978" spans="14:15" x14ac:dyDescent="0.35">
      <c r="N2978"/>
      <c r="O2978"/>
    </row>
    <row r="2979" spans="14:15" x14ac:dyDescent="0.35">
      <c r="N2979"/>
      <c r="O2979"/>
    </row>
    <row r="2980" spans="14:15" x14ac:dyDescent="0.35">
      <c r="N2980"/>
      <c r="O2980"/>
    </row>
    <row r="2981" spans="14:15" x14ac:dyDescent="0.35">
      <c r="N2981"/>
      <c r="O2981"/>
    </row>
    <row r="2982" spans="14:15" x14ac:dyDescent="0.35">
      <c r="N2982"/>
      <c r="O2982"/>
    </row>
    <row r="2983" spans="14:15" x14ac:dyDescent="0.35">
      <c r="N2983"/>
      <c r="O2983"/>
    </row>
    <row r="2984" spans="14:15" x14ac:dyDescent="0.35">
      <c r="N2984"/>
      <c r="O2984"/>
    </row>
    <row r="2985" spans="14:15" x14ac:dyDescent="0.35">
      <c r="N2985"/>
      <c r="O2985"/>
    </row>
    <row r="2986" spans="14:15" x14ac:dyDescent="0.35">
      <c r="N2986"/>
      <c r="O2986"/>
    </row>
    <row r="2987" spans="14:15" x14ac:dyDescent="0.35">
      <c r="N2987"/>
      <c r="O2987"/>
    </row>
    <row r="2988" spans="14:15" x14ac:dyDescent="0.35">
      <c r="N2988"/>
      <c r="O2988"/>
    </row>
    <row r="2989" spans="14:15" x14ac:dyDescent="0.35">
      <c r="N2989"/>
      <c r="O2989"/>
    </row>
    <row r="2990" spans="14:15" x14ac:dyDescent="0.35">
      <c r="N2990"/>
      <c r="O2990"/>
    </row>
    <row r="2991" spans="14:15" x14ac:dyDescent="0.35">
      <c r="N2991"/>
      <c r="O2991"/>
    </row>
    <row r="2992" spans="14:15" x14ac:dyDescent="0.35">
      <c r="N2992"/>
      <c r="O2992"/>
    </row>
    <row r="2993" spans="14:15" x14ac:dyDescent="0.35">
      <c r="N2993"/>
      <c r="O2993"/>
    </row>
    <row r="2994" spans="14:15" x14ac:dyDescent="0.35">
      <c r="N2994"/>
      <c r="O2994"/>
    </row>
    <row r="2995" spans="14:15" x14ac:dyDescent="0.35">
      <c r="N2995"/>
      <c r="O2995"/>
    </row>
    <row r="2996" spans="14:15" x14ac:dyDescent="0.35">
      <c r="N2996"/>
      <c r="O2996"/>
    </row>
    <row r="2997" spans="14:15" x14ac:dyDescent="0.35">
      <c r="N2997"/>
      <c r="O2997"/>
    </row>
    <row r="2998" spans="14:15" x14ac:dyDescent="0.35">
      <c r="N2998"/>
      <c r="O2998"/>
    </row>
    <row r="2999" spans="14:15" x14ac:dyDescent="0.35">
      <c r="N2999"/>
      <c r="O2999"/>
    </row>
    <row r="3000" spans="14:15" x14ac:dyDescent="0.35">
      <c r="N3000"/>
      <c r="O3000"/>
    </row>
    <row r="3001" spans="14:15" x14ac:dyDescent="0.35">
      <c r="N3001"/>
      <c r="O3001"/>
    </row>
    <row r="3002" spans="14:15" x14ac:dyDescent="0.35">
      <c r="N3002"/>
      <c r="O3002"/>
    </row>
    <row r="3003" spans="14:15" x14ac:dyDescent="0.35">
      <c r="N3003"/>
      <c r="O3003"/>
    </row>
    <row r="3004" spans="14:15" x14ac:dyDescent="0.35">
      <c r="N3004"/>
      <c r="O3004"/>
    </row>
    <row r="3005" spans="14:15" x14ac:dyDescent="0.35">
      <c r="N3005"/>
      <c r="O3005"/>
    </row>
    <row r="3006" spans="14:15" x14ac:dyDescent="0.35">
      <c r="N3006"/>
      <c r="O3006"/>
    </row>
    <row r="3007" spans="14:15" x14ac:dyDescent="0.35">
      <c r="N3007"/>
      <c r="O3007"/>
    </row>
    <row r="3008" spans="14:15" x14ac:dyDescent="0.35">
      <c r="N3008"/>
      <c r="O3008"/>
    </row>
    <row r="3009" spans="1:25" x14ac:dyDescent="0.35">
      <c r="N3009"/>
      <c r="O3009"/>
    </row>
    <row r="3010" spans="1:25" x14ac:dyDescent="0.35">
      <c r="N3010"/>
      <c r="O3010"/>
    </row>
    <row r="3011" spans="1:25" x14ac:dyDescent="0.35">
      <c r="N3011"/>
      <c r="O3011"/>
    </row>
    <row r="3012" spans="1:25" x14ac:dyDescent="0.35">
      <c r="N3012"/>
      <c r="O3012"/>
    </row>
    <row r="3013" spans="1:25" x14ac:dyDescent="0.35">
      <c r="N3013"/>
      <c r="O3013"/>
    </row>
    <row r="3014" spans="1:25" x14ac:dyDescent="0.35">
      <c r="N3014"/>
      <c r="O3014"/>
    </row>
    <row r="3015" spans="1:25" x14ac:dyDescent="0.35">
      <c r="N3015"/>
      <c r="O3015"/>
    </row>
    <row r="3016" spans="1:25" x14ac:dyDescent="0.35">
      <c r="N3016"/>
      <c r="O3016"/>
    </row>
    <row r="3017" spans="1:25" x14ac:dyDescent="0.35">
      <c r="N3017"/>
      <c r="O3017"/>
    </row>
    <row r="3018" spans="1:25" x14ac:dyDescent="0.35">
      <c r="N3018"/>
      <c r="O3018"/>
    </row>
    <row r="3019" spans="1:25" x14ac:dyDescent="0.35">
      <c r="N3019"/>
      <c r="O3019"/>
    </row>
    <row r="3020" spans="1:25" x14ac:dyDescent="0.35">
      <c r="N3020"/>
      <c r="O3020"/>
    </row>
    <row r="3021" spans="1:25" x14ac:dyDescent="0.35">
      <c r="N3021"/>
      <c r="O3021"/>
    </row>
    <row r="3022" spans="1:25" s="14" customFormat="1" x14ac:dyDescent="0.35">
      <c r="A3022" s="5"/>
      <c r="B3022" s="5"/>
      <c r="C3022" s="5"/>
      <c r="D3022" s="6"/>
      <c r="E3022" s="5"/>
      <c r="F3022" s="6"/>
      <c r="G3022" s="5"/>
      <c r="H3022" s="5"/>
      <c r="I3022" s="5"/>
      <c r="J3022" s="5"/>
      <c r="M3022" s="5"/>
      <c r="N3022"/>
      <c r="O3022"/>
      <c r="P3022" s="5"/>
      <c r="Q3022" s="5"/>
      <c r="R3022" s="5"/>
      <c r="S3022" s="5"/>
      <c r="T3022" s="5"/>
      <c r="U3022" s="5"/>
      <c r="V3022" s="5"/>
      <c r="W3022" s="5"/>
      <c r="X3022" s="5"/>
      <c r="Y3022" s="5"/>
    </row>
    <row r="3023" spans="1:25" x14ac:dyDescent="0.35">
      <c r="N3023"/>
      <c r="O3023"/>
    </row>
    <row r="3024" spans="1:25" x14ac:dyDescent="0.35">
      <c r="N3024"/>
      <c r="O3024"/>
    </row>
    <row r="3025" spans="14:15" x14ac:dyDescent="0.35">
      <c r="N3025"/>
      <c r="O3025"/>
    </row>
    <row r="3026" spans="14:15" x14ac:dyDescent="0.35">
      <c r="N3026"/>
      <c r="O3026"/>
    </row>
    <row r="3027" spans="14:15" x14ac:dyDescent="0.35">
      <c r="N3027"/>
      <c r="O3027"/>
    </row>
    <row r="3028" spans="14:15" x14ac:dyDescent="0.35">
      <c r="N3028"/>
      <c r="O3028"/>
    </row>
    <row r="3029" spans="14:15" x14ac:dyDescent="0.35">
      <c r="N3029"/>
      <c r="O3029"/>
    </row>
    <row r="3030" spans="14:15" x14ac:dyDescent="0.35">
      <c r="N3030"/>
      <c r="O3030"/>
    </row>
    <row r="3031" spans="14:15" x14ac:dyDescent="0.35">
      <c r="N3031"/>
      <c r="O3031"/>
    </row>
    <row r="3032" spans="14:15" x14ac:dyDescent="0.35">
      <c r="N3032"/>
      <c r="O3032"/>
    </row>
    <row r="3033" spans="14:15" x14ac:dyDescent="0.35">
      <c r="N3033"/>
      <c r="O3033"/>
    </row>
    <row r="3034" spans="14:15" x14ac:dyDescent="0.35">
      <c r="N3034"/>
      <c r="O3034"/>
    </row>
    <row r="3035" spans="14:15" x14ac:dyDescent="0.35">
      <c r="N3035"/>
      <c r="O3035"/>
    </row>
    <row r="3036" spans="14:15" x14ac:dyDescent="0.35">
      <c r="N3036"/>
      <c r="O3036"/>
    </row>
    <row r="3037" spans="14:15" x14ac:dyDescent="0.35">
      <c r="N3037"/>
      <c r="O3037"/>
    </row>
    <row r="3038" spans="14:15" x14ac:dyDescent="0.35">
      <c r="N3038"/>
      <c r="O3038"/>
    </row>
    <row r="3039" spans="14:15" x14ac:dyDescent="0.35">
      <c r="N3039"/>
      <c r="O3039"/>
    </row>
    <row r="3040" spans="14:15" x14ac:dyDescent="0.35">
      <c r="N3040"/>
      <c r="O3040"/>
    </row>
    <row r="3041" spans="14:15" x14ac:dyDescent="0.35">
      <c r="N3041"/>
      <c r="O3041"/>
    </row>
    <row r="3042" spans="14:15" x14ac:dyDescent="0.35">
      <c r="N3042"/>
      <c r="O3042"/>
    </row>
    <row r="3043" spans="14:15" x14ac:dyDescent="0.35">
      <c r="N3043"/>
      <c r="O3043"/>
    </row>
    <row r="3044" spans="14:15" x14ac:dyDescent="0.35">
      <c r="N3044"/>
      <c r="O3044"/>
    </row>
    <row r="3045" spans="14:15" x14ac:dyDescent="0.35">
      <c r="N3045"/>
      <c r="O3045"/>
    </row>
    <row r="3046" spans="14:15" x14ac:dyDescent="0.35">
      <c r="N3046"/>
      <c r="O3046"/>
    </row>
    <row r="3047" spans="14:15" x14ac:dyDescent="0.35">
      <c r="N3047"/>
      <c r="O3047"/>
    </row>
    <row r="3048" spans="14:15" x14ac:dyDescent="0.35">
      <c r="N3048"/>
      <c r="O3048"/>
    </row>
    <row r="3049" spans="14:15" x14ac:dyDescent="0.35">
      <c r="N3049"/>
      <c r="O3049"/>
    </row>
    <row r="3050" spans="14:15" x14ac:dyDescent="0.35">
      <c r="N3050"/>
      <c r="O3050"/>
    </row>
    <row r="3051" spans="14:15" x14ac:dyDescent="0.35">
      <c r="N3051"/>
      <c r="O3051"/>
    </row>
    <row r="3052" spans="14:15" x14ac:dyDescent="0.35">
      <c r="N3052"/>
      <c r="O3052"/>
    </row>
    <row r="3053" spans="14:15" x14ac:dyDescent="0.35">
      <c r="N3053"/>
      <c r="O3053"/>
    </row>
    <row r="3054" spans="14:15" x14ac:dyDescent="0.35">
      <c r="N3054"/>
      <c r="O3054"/>
    </row>
    <row r="3055" spans="14:15" x14ac:dyDescent="0.35">
      <c r="N3055"/>
      <c r="O3055"/>
    </row>
    <row r="3056" spans="14:15" x14ac:dyDescent="0.35">
      <c r="N3056"/>
      <c r="O3056"/>
    </row>
    <row r="3057" spans="14:15" x14ac:dyDescent="0.35">
      <c r="N3057"/>
      <c r="O3057"/>
    </row>
    <row r="3058" spans="14:15" x14ac:dyDescent="0.35">
      <c r="N3058"/>
      <c r="O3058"/>
    </row>
    <row r="3059" spans="14:15" x14ac:dyDescent="0.35">
      <c r="N3059"/>
      <c r="O3059"/>
    </row>
    <row r="3060" spans="14:15" x14ac:dyDescent="0.35">
      <c r="N3060"/>
      <c r="O3060"/>
    </row>
    <row r="3061" spans="14:15" x14ac:dyDescent="0.35">
      <c r="N3061"/>
      <c r="O3061"/>
    </row>
    <row r="3062" spans="14:15" x14ac:dyDescent="0.35">
      <c r="N3062"/>
      <c r="O3062"/>
    </row>
    <row r="3063" spans="14:15" x14ac:dyDescent="0.35">
      <c r="N3063"/>
      <c r="O3063"/>
    </row>
    <row r="3064" spans="14:15" x14ac:dyDescent="0.35">
      <c r="N3064"/>
      <c r="O3064"/>
    </row>
    <row r="3065" spans="14:15" x14ac:dyDescent="0.35">
      <c r="N3065"/>
      <c r="O3065"/>
    </row>
    <row r="3066" spans="14:15" x14ac:dyDescent="0.35">
      <c r="N3066"/>
      <c r="O3066"/>
    </row>
    <row r="3067" spans="14:15" x14ac:dyDescent="0.35">
      <c r="N3067"/>
      <c r="O3067"/>
    </row>
    <row r="3068" spans="14:15" x14ac:dyDescent="0.35">
      <c r="N3068"/>
      <c r="O3068"/>
    </row>
    <row r="3069" spans="14:15" x14ac:dyDescent="0.35">
      <c r="N3069"/>
      <c r="O3069"/>
    </row>
    <row r="3070" spans="14:15" x14ac:dyDescent="0.35">
      <c r="N3070"/>
      <c r="O3070"/>
    </row>
    <row r="3071" spans="14:15" x14ac:dyDescent="0.35">
      <c r="N3071"/>
      <c r="O3071"/>
    </row>
    <row r="3072" spans="14:15" x14ac:dyDescent="0.35">
      <c r="N3072"/>
      <c r="O3072"/>
    </row>
    <row r="3073" spans="14:15" x14ac:dyDescent="0.35">
      <c r="N3073"/>
      <c r="O3073"/>
    </row>
    <row r="3074" spans="14:15" x14ac:dyDescent="0.35">
      <c r="N3074"/>
      <c r="O3074"/>
    </row>
    <row r="3075" spans="14:15" x14ac:dyDescent="0.35">
      <c r="N3075"/>
      <c r="O3075"/>
    </row>
    <row r="3076" spans="14:15" x14ac:dyDescent="0.35">
      <c r="N3076"/>
      <c r="O3076"/>
    </row>
    <row r="3077" spans="14:15" x14ac:dyDescent="0.35">
      <c r="N3077"/>
      <c r="O3077"/>
    </row>
    <row r="3078" spans="14:15" x14ac:dyDescent="0.35">
      <c r="N3078"/>
      <c r="O3078"/>
    </row>
    <row r="3079" spans="14:15" x14ac:dyDescent="0.35">
      <c r="N3079"/>
      <c r="O3079"/>
    </row>
    <row r="3080" spans="14:15" x14ac:dyDescent="0.35">
      <c r="N3080"/>
      <c r="O3080"/>
    </row>
    <row r="3081" spans="14:15" x14ac:dyDescent="0.35">
      <c r="N3081"/>
      <c r="O3081"/>
    </row>
    <row r="3082" spans="14:15" x14ac:dyDescent="0.35">
      <c r="N3082"/>
      <c r="O3082"/>
    </row>
    <row r="3083" spans="14:15" x14ac:dyDescent="0.35">
      <c r="N3083"/>
      <c r="O3083"/>
    </row>
    <row r="3084" spans="14:15" x14ac:dyDescent="0.35">
      <c r="N3084"/>
      <c r="O3084"/>
    </row>
    <row r="3085" spans="14:15" x14ac:dyDescent="0.35">
      <c r="N3085"/>
      <c r="O3085"/>
    </row>
    <row r="3086" spans="14:15" x14ac:dyDescent="0.35">
      <c r="N3086"/>
      <c r="O3086"/>
    </row>
    <row r="3087" spans="14:15" x14ac:dyDescent="0.35">
      <c r="N3087"/>
      <c r="O3087"/>
    </row>
    <row r="3088" spans="14:15" x14ac:dyDescent="0.35">
      <c r="N3088"/>
      <c r="O3088"/>
    </row>
    <row r="3089" spans="13:25" x14ac:dyDescent="0.35">
      <c r="N3089"/>
      <c r="O3089"/>
    </row>
    <row r="3090" spans="13:25" x14ac:dyDescent="0.35">
      <c r="M3090" s="13"/>
      <c r="N3090"/>
      <c r="O3090"/>
      <c r="P3090" s="13"/>
      <c r="Q3090" s="13"/>
      <c r="R3090" s="13"/>
      <c r="S3090" s="13"/>
      <c r="T3090" s="13"/>
      <c r="U3090" s="13"/>
      <c r="V3090" s="13"/>
      <c r="W3090" s="13"/>
      <c r="X3090" s="13"/>
      <c r="Y3090" s="13"/>
    </row>
    <row r="3091" spans="13:25" x14ac:dyDescent="0.35">
      <c r="M3091" s="13"/>
      <c r="N3091"/>
      <c r="O3091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</row>
    <row r="3092" spans="13:25" x14ac:dyDescent="0.35">
      <c r="M3092" s="13"/>
      <c r="N3092"/>
      <c r="O3092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</row>
    <row r="3093" spans="13:25" x14ac:dyDescent="0.35">
      <c r="M3093" s="13"/>
      <c r="N3093"/>
      <c r="O309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</row>
    <row r="3094" spans="13:25" x14ac:dyDescent="0.35">
      <c r="M3094" s="13"/>
      <c r="N3094"/>
      <c r="O3094"/>
      <c r="P3094" s="13"/>
      <c r="Q3094" s="13"/>
      <c r="R3094" s="13"/>
      <c r="S3094" s="13"/>
      <c r="T3094" s="13"/>
      <c r="U3094" s="13"/>
      <c r="V3094" s="13"/>
      <c r="W3094" s="13"/>
      <c r="X3094" s="13"/>
      <c r="Y3094" s="13"/>
    </row>
    <row r="3095" spans="13:25" x14ac:dyDescent="0.35">
      <c r="M3095" s="13"/>
      <c r="N3095"/>
      <c r="O3095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</row>
    <row r="3096" spans="13:25" x14ac:dyDescent="0.35">
      <c r="M3096" s="13"/>
      <c r="N3096"/>
      <c r="O3096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</row>
    <row r="3097" spans="13:25" x14ac:dyDescent="0.35">
      <c r="M3097" s="13"/>
      <c r="N3097"/>
      <c r="O3097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</row>
    <row r="3098" spans="13:25" x14ac:dyDescent="0.35">
      <c r="M3098" s="13"/>
      <c r="N3098"/>
      <c r="O3098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</row>
    <row r="3099" spans="13:25" x14ac:dyDescent="0.35">
      <c r="M3099" s="13"/>
      <c r="N3099"/>
      <c r="O3099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</row>
    <row r="3100" spans="13:25" x14ac:dyDescent="0.35">
      <c r="N3100"/>
      <c r="O3100"/>
    </row>
    <row r="3101" spans="13:25" x14ac:dyDescent="0.35">
      <c r="N3101"/>
      <c r="O3101"/>
    </row>
    <row r="3102" spans="13:25" x14ac:dyDescent="0.35">
      <c r="N3102"/>
      <c r="O3102"/>
    </row>
    <row r="3103" spans="13:25" x14ac:dyDescent="0.35">
      <c r="N3103"/>
      <c r="O3103"/>
    </row>
    <row r="3104" spans="13:25" x14ac:dyDescent="0.35">
      <c r="N3104"/>
      <c r="O3104"/>
    </row>
    <row r="3105" spans="14:15" x14ac:dyDescent="0.35">
      <c r="N3105"/>
      <c r="O3105"/>
    </row>
    <row r="3106" spans="14:15" x14ac:dyDescent="0.35">
      <c r="N3106"/>
      <c r="O3106"/>
    </row>
    <row r="3107" spans="14:15" x14ac:dyDescent="0.35">
      <c r="N3107"/>
      <c r="O3107"/>
    </row>
    <row r="3108" spans="14:15" x14ac:dyDescent="0.35">
      <c r="N3108"/>
      <c r="O3108"/>
    </row>
    <row r="3109" spans="14:15" x14ac:dyDescent="0.35">
      <c r="N3109"/>
      <c r="O3109"/>
    </row>
    <row r="3110" spans="14:15" x14ac:dyDescent="0.35">
      <c r="N3110"/>
      <c r="O3110"/>
    </row>
    <row r="3111" spans="14:15" x14ac:dyDescent="0.35">
      <c r="N3111"/>
      <c r="O3111"/>
    </row>
    <row r="3112" spans="14:15" x14ac:dyDescent="0.35">
      <c r="N3112"/>
      <c r="O3112"/>
    </row>
    <row r="3113" spans="14:15" x14ac:dyDescent="0.35">
      <c r="N3113"/>
      <c r="O3113"/>
    </row>
    <row r="3114" spans="14:15" x14ac:dyDescent="0.35">
      <c r="N3114"/>
      <c r="O3114"/>
    </row>
    <row r="3115" spans="14:15" x14ac:dyDescent="0.35">
      <c r="N3115"/>
      <c r="O3115"/>
    </row>
    <row r="3116" spans="14:15" x14ac:dyDescent="0.35">
      <c r="N3116"/>
      <c r="O3116"/>
    </row>
    <row r="3117" spans="14:15" x14ac:dyDescent="0.35">
      <c r="N3117"/>
      <c r="O3117"/>
    </row>
    <row r="3118" spans="14:15" x14ac:dyDescent="0.35">
      <c r="N3118"/>
      <c r="O3118"/>
    </row>
    <row r="3119" spans="14:15" x14ac:dyDescent="0.35">
      <c r="N3119"/>
      <c r="O3119"/>
    </row>
    <row r="3120" spans="14:15" x14ac:dyDescent="0.35">
      <c r="N3120"/>
      <c r="O3120"/>
    </row>
    <row r="3121" spans="1:25" x14ac:dyDescent="0.35">
      <c r="N3121"/>
      <c r="O3121"/>
    </row>
    <row r="3122" spans="1:25" x14ac:dyDescent="0.35">
      <c r="N3122"/>
      <c r="O3122"/>
    </row>
    <row r="3123" spans="1:25" x14ac:dyDescent="0.35">
      <c r="N3123"/>
      <c r="O3123"/>
    </row>
    <row r="3124" spans="1:25" x14ac:dyDescent="0.35">
      <c r="N3124"/>
      <c r="O3124"/>
    </row>
    <row r="3125" spans="1:25" x14ac:dyDescent="0.35">
      <c r="N3125"/>
      <c r="O3125"/>
    </row>
    <row r="3126" spans="1:25" x14ac:dyDescent="0.35">
      <c r="N3126"/>
      <c r="O3126"/>
    </row>
    <row r="3127" spans="1:25" x14ac:dyDescent="0.35">
      <c r="M3127" s="13"/>
      <c r="N3127"/>
      <c r="O3127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</row>
    <row r="3128" spans="1:25" x14ac:dyDescent="0.35">
      <c r="M3128" s="13"/>
      <c r="N3128"/>
      <c r="O3128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</row>
    <row r="3129" spans="1:25" x14ac:dyDescent="0.35">
      <c r="M3129" s="13"/>
      <c r="N3129"/>
      <c r="O3129"/>
      <c r="P3129" s="13"/>
      <c r="Q3129" s="13"/>
      <c r="R3129" s="13"/>
      <c r="S3129" s="13"/>
      <c r="T3129" s="13"/>
      <c r="U3129" s="13"/>
      <c r="V3129" s="13"/>
      <c r="W3129" s="13"/>
      <c r="X3129" s="13"/>
      <c r="Y3129" s="13"/>
    </row>
    <row r="3130" spans="1:25" s="13" customFormat="1" x14ac:dyDescent="0.35">
      <c r="A3130" s="5"/>
      <c r="B3130" s="5"/>
      <c r="C3130" s="5"/>
      <c r="D3130" s="6"/>
      <c r="E3130" s="5"/>
      <c r="F3130" s="6"/>
      <c r="G3130" s="5"/>
      <c r="H3130" s="5"/>
      <c r="I3130" s="5"/>
      <c r="J3130" s="5"/>
      <c r="N3130"/>
      <c r="O3130"/>
    </row>
    <row r="3131" spans="1:25" x14ac:dyDescent="0.35">
      <c r="N3131"/>
      <c r="O3131"/>
    </row>
    <row r="3132" spans="1:25" x14ac:dyDescent="0.35">
      <c r="N3132"/>
      <c r="O3132"/>
    </row>
    <row r="3133" spans="1:25" x14ac:dyDescent="0.35">
      <c r="M3133" s="13"/>
      <c r="N3133"/>
      <c r="O313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</row>
    <row r="3134" spans="1:25" x14ac:dyDescent="0.35">
      <c r="M3134" s="13"/>
      <c r="N3134"/>
      <c r="O3134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</row>
    <row r="3135" spans="1:25" x14ac:dyDescent="0.35">
      <c r="M3135" s="13"/>
      <c r="N3135"/>
      <c r="O3135"/>
      <c r="P3135" s="13"/>
      <c r="Q3135" s="13"/>
      <c r="R3135" s="13"/>
      <c r="S3135" s="13"/>
      <c r="T3135" s="13"/>
      <c r="U3135" s="13"/>
      <c r="V3135" s="13"/>
      <c r="W3135" s="13"/>
      <c r="X3135" s="13"/>
      <c r="Y3135" s="13"/>
    </row>
    <row r="3136" spans="1:25" x14ac:dyDescent="0.35">
      <c r="M3136" s="13"/>
      <c r="N3136"/>
      <c r="O3136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</row>
    <row r="3137" spans="13:25" x14ac:dyDescent="0.35">
      <c r="M3137" s="13"/>
      <c r="N3137"/>
      <c r="O3137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</row>
    <row r="3138" spans="13:25" x14ac:dyDescent="0.35">
      <c r="M3138" s="13"/>
      <c r="N3138"/>
      <c r="O3138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</row>
    <row r="3139" spans="13:25" x14ac:dyDescent="0.35">
      <c r="M3139" s="13"/>
      <c r="N3139"/>
      <c r="O3139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</row>
    <row r="3140" spans="13:25" x14ac:dyDescent="0.35">
      <c r="M3140" s="13"/>
      <c r="N3140"/>
      <c r="O3140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</row>
    <row r="3141" spans="13:25" x14ac:dyDescent="0.35">
      <c r="M3141" s="13"/>
      <c r="N3141"/>
      <c r="O3141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</row>
    <row r="3142" spans="13:25" x14ac:dyDescent="0.35">
      <c r="M3142" s="13"/>
      <c r="N3142"/>
      <c r="O3142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</row>
    <row r="3143" spans="13:25" x14ac:dyDescent="0.35">
      <c r="N3143"/>
      <c r="O3143"/>
    </row>
    <row r="3144" spans="13:25" x14ac:dyDescent="0.35">
      <c r="N3144"/>
      <c r="O3144"/>
    </row>
    <row r="3145" spans="13:25" x14ac:dyDescent="0.35">
      <c r="N3145"/>
      <c r="O3145"/>
    </row>
    <row r="3146" spans="13:25" x14ac:dyDescent="0.35">
      <c r="N3146"/>
      <c r="O3146"/>
    </row>
    <row r="3147" spans="13:25" x14ac:dyDescent="0.35">
      <c r="N3147"/>
      <c r="O3147"/>
    </row>
    <row r="3148" spans="13:25" x14ac:dyDescent="0.35">
      <c r="N3148"/>
      <c r="O3148"/>
    </row>
    <row r="3149" spans="13:25" x14ac:dyDescent="0.35">
      <c r="N3149"/>
      <c r="O3149"/>
    </row>
    <row r="3150" spans="13:25" x14ac:dyDescent="0.35">
      <c r="N3150"/>
      <c r="O3150"/>
    </row>
    <row r="3151" spans="13:25" x14ac:dyDescent="0.35">
      <c r="N3151"/>
      <c r="O3151"/>
    </row>
    <row r="3152" spans="13:25" x14ac:dyDescent="0.35">
      <c r="N3152"/>
      <c r="O3152"/>
    </row>
    <row r="3153" spans="14:15" x14ac:dyDescent="0.35">
      <c r="N3153"/>
      <c r="O3153"/>
    </row>
    <row r="3154" spans="14:15" x14ac:dyDescent="0.35">
      <c r="N3154"/>
      <c r="O3154"/>
    </row>
    <row r="3155" spans="14:15" x14ac:dyDescent="0.35">
      <c r="N3155"/>
      <c r="O3155"/>
    </row>
    <row r="3156" spans="14:15" x14ac:dyDescent="0.35">
      <c r="N3156"/>
      <c r="O3156"/>
    </row>
    <row r="3157" spans="14:15" x14ac:dyDescent="0.35">
      <c r="N3157"/>
      <c r="O3157"/>
    </row>
    <row r="3158" spans="14:15" x14ac:dyDescent="0.35">
      <c r="N3158"/>
      <c r="O3158"/>
    </row>
    <row r="3159" spans="14:15" x14ac:dyDescent="0.35">
      <c r="N3159"/>
      <c r="O3159"/>
    </row>
    <row r="3160" spans="14:15" x14ac:dyDescent="0.35">
      <c r="N3160"/>
      <c r="O3160"/>
    </row>
    <row r="3161" spans="14:15" x14ac:dyDescent="0.35">
      <c r="N3161"/>
      <c r="O3161"/>
    </row>
    <row r="3162" spans="14:15" x14ac:dyDescent="0.35">
      <c r="N3162"/>
      <c r="O3162"/>
    </row>
    <row r="3163" spans="14:15" x14ac:dyDescent="0.35">
      <c r="N3163"/>
      <c r="O3163"/>
    </row>
    <row r="3164" spans="14:15" x14ac:dyDescent="0.35">
      <c r="N3164"/>
      <c r="O3164"/>
    </row>
    <row r="3165" spans="14:15" x14ac:dyDescent="0.35">
      <c r="N3165"/>
      <c r="O3165"/>
    </row>
    <row r="3166" spans="14:15" x14ac:dyDescent="0.35">
      <c r="N3166"/>
      <c r="O3166"/>
    </row>
    <row r="3167" spans="14:15" x14ac:dyDescent="0.35">
      <c r="N3167"/>
      <c r="O3167"/>
    </row>
    <row r="3168" spans="14:15" x14ac:dyDescent="0.35">
      <c r="N3168"/>
      <c r="O3168"/>
    </row>
    <row r="3169" spans="14:15" x14ac:dyDescent="0.35">
      <c r="N3169"/>
      <c r="O3169"/>
    </row>
    <row r="3170" spans="14:15" x14ac:dyDescent="0.35">
      <c r="N3170"/>
      <c r="O3170"/>
    </row>
    <row r="3171" spans="14:15" x14ac:dyDescent="0.35">
      <c r="N3171"/>
      <c r="O3171"/>
    </row>
    <row r="3172" spans="14:15" x14ac:dyDescent="0.35">
      <c r="N3172"/>
      <c r="O3172"/>
    </row>
    <row r="3173" spans="14:15" x14ac:dyDescent="0.35">
      <c r="N3173"/>
      <c r="O3173"/>
    </row>
    <row r="3174" spans="14:15" x14ac:dyDescent="0.35">
      <c r="N3174"/>
      <c r="O3174"/>
    </row>
    <row r="3175" spans="14:15" x14ac:dyDescent="0.35">
      <c r="N3175"/>
      <c r="O3175"/>
    </row>
    <row r="3176" spans="14:15" x14ac:dyDescent="0.35">
      <c r="N3176"/>
      <c r="O3176"/>
    </row>
    <row r="3177" spans="14:15" x14ac:dyDescent="0.35">
      <c r="N3177"/>
      <c r="O3177"/>
    </row>
    <row r="3178" spans="14:15" x14ac:dyDescent="0.35">
      <c r="N3178"/>
      <c r="O3178"/>
    </row>
    <row r="3179" spans="14:15" x14ac:dyDescent="0.35">
      <c r="N3179"/>
      <c r="O3179"/>
    </row>
    <row r="3180" spans="14:15" x14ac:dyDescent="0.35">
      <c r="N3180"/>
      <c r="O3180"/>
    </row>
    <row r="3181" spans="14:15" x14ac:dyDescent="0.35">
      <c r="N3181"/>
      <c r="O3181"/>
    </row>
    <row r="3182" spans="14:15" x14ac:dyDescent="0.35">
      <c r="N3182"/>
      <c r="O3182"/>
    </row>
    <row r="3183" spans="14:15" x14ac:dyDescent="0.35">
      <c r="N3183"/>
      <c r="O3183"/>
    </row>
    <row r="3184" spans="14:15" x14ac:dyDescent="0.35">
      <c r="N3184"/>
      <c r="O3184"/>
    </row>
    <row r="3185" spans="14:15" x14ac:dyDescent="0.35">
      <c r="N3185"/>
      <c r="O3185"/>
    </row>
    <row r="3186" spans="14:15" x14ac:dyDescent="0.35">
      <c r="N3186"/>
      <c r="O3186"/>
    </row>
    <row r="3187" spans="14:15" x14ac:dyDescent="0.35">
      <c r="N3187"/>
      <c r="O3187"/>
    </row>
    <row r="3188" spans="14:15" x14ac:dyDescent="0.35">
      <c r="N3188"/>
      <c r="O3188"/>
    </row>
    <row r="3189" spans="14:15" x14ac:dyDescent="0.35">
      <c r="N3189"/>
      <c r="O3189"/>
    </row>
    <row r="3190" spans="14:15" x14ac:dyDescent="0.35">
      <c r="N3190"/>
      <c r="O3190"/>
    </row>
    <row r="3191" spans="14:15" x14ac:dyDescent="0.35">
      <c r="N3191"/>
      <c r="O3191"/>
    </row>
    <row r="3192" spans="14:15" x14ac:dyDescent="0.35">
      <c r="N3192"/>
      <c r="O3192"/>
    </row>
    <row r="3193" spans="14:15" x14ac:dyDescent="0.35">
      <c r="N3193"/>
      <c r="O3193"/>
    </row>
    <row r="3194" spans="14:15" x14ac:dyDescent="0.35">
      <c r="N3194"/>
      <c r="O3194"/>
    </row>
    <row r="3195" spans="14:15" x14ac:dyDescent="0.35">
      <c r="N3195"/>
      <c r="O3195"/>
    </row>
    <row r="3196" spans="14:15" x14ac:dyDescent="0.35">
      <c r="N3196"/>
      <c r="O3196"/>
    </row>
    <row r="3197" spans="14:15" x14ac:dyDescent="0.35">
      <c r="N3197"/>
      <c r="O3197"/>
    </row>
    <row r="3198" spans="14:15" x14ac:dyDescent="0.35">
      <c r="N3198"/>
      <c r="O3198"/>
    </row>
    <row r="3199" spans="14:15" x14ac:dyDescent="0.35">
      <c r="N3199"/>
      <c r="O3199"/>
    </row>
    <row r="3200" spans="14:15" x14ac:dyDescent="0.35">
      <c r="N3200"/>
      <c r="O3200"/>
    </row>
    <row r="3201" spans="13:25" x14ac:dyDescent="0.35">
      <c r="N3201"/>
      <c r="O3201"/>
    </row>
    <row r="3202" spans="13:25" x14ac:dyDescent="0.35">
      <c r="N3202"/>
      <c r="O3202"/>
    </row>
    <row r="3203" spans="13:25" x14ac:dyDescent="0.35">
      <c r="N3203"/>
      <c r="O3203"/>
    </row>
    <row r="3204" spans="13:25" x14ac:dyDescent="0.35">
      <c r="N3204"/>
      <c r="O3204"/>
    </row>
    <row r="3205" spans="13:25" x14ac:dyDescent="0.35">
      <c r="N3205"/>
      <c r="O3205"/>
    </row>
    <row r="3206" spans="13:25" x14ac:dyDescent="0.35">
      <c r="N3206"/>
      <c r="O3206"/>
    </row>
    <row r="3207" spans="13:25" x14ac:dyDescent="0.35">
      <c r="N3207"/>
      <c r="O3207"/>
    </row>
    <row r="3208" spans="13:25" x14ac:dyDescent="0.35">
      <c r="N3208"/>
      <c r="O3208"/>
    </row>
    <row r="3209" spans="13:25" x14ac:dyDescent="0.35">
      <c r="N3209"/>
      <c r="O3209"/>
    </row>
    <row r="3210" spans="13:25" x14ac:dyDescent="0.35">
      <c r="N3210"/>
      <c r="O3210"/>
    </row>
    <row r="3211" spans="13:25" x14ac:dyDescent="0.35">
      <c r="N3211"/>
      <c r="O3211"/>
    </row>
    <row r="3212" spans="13:25" x14ac:dyDescent="0.35">
      <c r="N3212"/>
      <c r="O3212"/>
    </row>
    <row r="3213" spans="13:25" x14ac:dyDescent="0.35">
      <c r="N3213"/>
      <c r="O3213"/>
    </row>
    <row r="3214" spans="13:25" x14ac:dyDescent="0.35">
      <c r="N3214"/>
      <c r="O3214"/>
    </row>
    <row r="3215" spans="13:25" x14ac:dyDescent="0.35">
      <c r="N3215"/>
      <c r="O3215"/>
    </row>
    <row r="3216" spans="13:25" x14ac:dyDescent="0.35">
      <c r="M3216" s="13"/>
      <c r="N3216"/>
      <c r="O3216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</row>
    <row r="3217" spans="13:25" x14ac:dyDescent="0.35">
      <c r="M3217" s="13"/>
      <c r="N3217"/>
      <c r="O3217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</row>
    <row r="3218" spans="13:25" x14ac:dyDescent="0.35">
      <c r="M3218" s="13"/>
      <c r="N3218"/>
      <c r="O3218"/>
      <c r="P3218" s="13"/>
      <c r="Q3218" s="13"/>
      <c r="R3218" s="13"/>
      <c r="S3218" s="13"/>
      <c r="T3218" s="13"/>
      <c r="U3218" s="13"/>
      <c r="V3218" s="13"/>
      <c r="W3218" s="13"/>
      <c r="X3218" s="13"/>
      <c r="Y3218" s="13"/>
    </row>
    <row r="3219" spans="13:25" x14ac:dyDescent="0.35">
      <c r="M3219" s="13"/>
      <c r="N3219"/>
      <c r="O3219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</row>
    <row r="3220" spans="13:25" x14ac:dyDescent="0.35">
      <c r="M3220" s="13"/>
      <c r="N3220"/>
      <c r="O3220"/>
      <c r="P3220" s="13"/>
      <c r="Q3220" s="13"/>
      <c r="R3220" s="13"/>
      <c r="S3220" s="13"/>
      <c r="T3220" s="13"/>
      <c r="U3220" s="13"/>
      <c r="V3220" s="13"/>
      <c r="W3220" s="13"/>
      <c r="X3220" s="13"/>
      <c r="Y3220" s="13"/>
    </row>
    <row r="3221" spans="13:25" x14ac:dyDescent="0.35">
      <c r="M3221" s="13"/>
      <c r="N3221"/>
      <c r="O3221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</row>
    <row r="3222" spans="13:25" x14ac:dyDescent="0.35">
      <c r="N3222"/>
      <c r="O3222"/>
    </row>
    <row r="3223" spans="13:25" x14ac:dyDescent="0.35">
      <c r="N3223"/>
      <c r="O3223"/>
    </row>
    <row r="3224" spans="13:25" x14ac:dyDescent="0.35">
      <c r="N3224"/>
      <c r="O3224"/>
    </row>
    <row r="3225" spans="13:25" x14ac:dyDescent="0.35">
      <c r="N3225"/>
      <c r="O3225"/>
    </row>
    <row r="3226" spans="13:25" x14ac:dyDescent="0.35">
      <c r="N3226"/>
      <c r="O3226"/>
    </row>
    <row r="3227" spans="13:25" x14ac:dyDescent="0.35">
      <c r="N3227"/>
      <c r="O3227"/>
    </row>
    <row r="3228" spans="13:25" x14ac:dyDescent="0.35">
      <c r="N3228"/>
      <c r="O3228"/>
    </row>
    <row r="3229" spans="13:25" x14ac:dyDescent="0.35">
      <c r="N3229"/>
      <c r="O3229"/>
    </row>
    <row r="3230" spans="13:25" x14ac:dyDescent="0.35">
      <c r="N3230"/>
      <c r="O3230"/>
    </row>
    <row r="3231" spans="13:25" x14ac:dyDescent="0.35">
      <c r="N3231"/>
      <c r="O3231"/>
    </row>
    <row r="3232" spans="13:25" x14ac:dyDescent="0.35">
      <c r="N3232"/>
      <c r="O3232"/>
    </row>
    <row r="3233" spans="14:15" x14ac:dyDescent="0.35">
      <c r="N3233"/>
      <c r="O3233"/>
    </row>
    <row r="3234" spans="14:15" x14ac:dyDescent="0.35">
      <c r="N3234"/>
      <c r="O3234"/>
    </row>
    <row r="3235" spans="14:15" x14ac:dyDescent="0.35">
      <c r="N3235"/>
      <c r="O3235"/>
    </row>
    <row r="3236" spans="14:15" x14ac:dyDescent="0.35">
      <c r="N3236"/>
      <c r="O3236"/>
    </row>
    <row r="3237" spans="14:15" x14ac:dyDescent="0.35">
      <c r="N3237"/>
      <c r="O3237"/>
    </row>
    <row r="3238" spans="14:15" x14ac:dyDescent="0.35">
      <c r="N3238"/>
      <c r="O3238"/>
    </row>
    <row r="3239" spans="14:15" x14ac:dyDescent="0.35">
      <c r="N3239"/>
      <c r="O3239"/>
    </row>
    <row r="3240" spans="14:15" x14ac:dyDescent="0.35">
      <c r="N3240"/>
      <c r="O3240"/>
    </row>
    <row r="3241" spans="14:15" x14ac:dyDescent="0.35">
      <c r="N3241"/>
      <c r="O3241"/>
    </row>
    <row r="3242" spans="14:15" x14ac:dyDescent="0.35">
      <c r="N3242"/>
      <c r="O3242"/>
    </row>
    <row r="3243" spans="14:15" x14ac:dyDescent="0.35">
      <c r="N3243"/>
      <c r="O3243"/>
    </row>
    <row r="3244" spans="14:15" x14ac:dyDescent="0.35">
      <c r="N3244"/>
      <c r="O3244"/>
    </row>
    <row r="3245" spans="14:15" x14ac:dyDescent="0.35">
      <c r="N3245"/>
      <c r="O3245"/>
    </row>
    <row r="3246" spans="14:15" x14ac:dyDescent="0.35">
      <c r="N3246"/>
      <c r="O3246"/>
    </row>
    <row r="3247" spans="14:15" x14ac:dyDescent="0.35">
      <c r="N3247"/>
      <c r="O3247"/>
    </row>
    <row r="3248" spans="14:15" x14ac:dyDescent="0.35">
      <c r="N3248"/>
      <c r="O3248"/>
    </row>
    <row r="3249" spans="14:15" x14ac:dyDescent="0.35">
      <c r="N3249"/>
      <c r="O3249"/>
    </row>
    <row r="3250" spans="14:15" x14ac:dyDescent="0.35">
      <c r="N3250"/>
      <c r="O3250"/>
    </row>
    <row r="3251" spans="14:15" x14ac:dyDescent="0.35">
      <c r="N3251"/>
      <c r="O3251"/>
    </row>
    <row r="3252" spans="14:15" x14ac:dyDescent="0.35">
      <c r="N3252"/>
      <c r="O3252"/>
    </row>
    <row r="3253" spans="14:15" x14ac:dyDescent="0.35">
      <c r="N3253"/>
      <c r="O3253"/>
    </row>
    <row r="3254" spans="14:15" x14ac:dyDescent="0.35">
      <c r="N3254"/>
      <c r="O3254"/>
    </row>
    <row r="3255" spans="14:15" x14ac:dyDescent="0.35">
      <c r="N3255"/>
      <c r="O3255"/>
    </row>
    <row r="3256" spans="14:15" x14ac:dyDescent="0.35">
      <c r="N3256"/>
      <c r="O3256"/>
    </row>
    <row r="3257" spans="14:15" x14ac:dyDescent="0.35">
      <c r="N3257"/>
      <c r="O3257"/>
    </row>
    <row r="3258" spans="14:15" x14ac:dyDescent="0.35">
      <c r="N3258"/>
      <c r="O3258"/>
    </row>
    <row r="3259" spans="14:15" x14ac:dyDescent="0.35">
      <c r="N3259"/>
      <c r="O3259"/>
    </row>
    <row r="3260" spans="14:15" x14ac:dyDescent="0.35">
      <c r="N3260"/>
      <c r="O3260"/>
    </row>
    <row r="3261" spans="14:15" x14ac:dyDescent="0.35">
      <c r="N3261"/>
      <c r="O3261"/>
    </row>
    <row r="3262" spans="14:15" x14ac:dyDescent="0.35">
      <c r="N3262"/>
      <c r="O3262"/>
    </row>
    <row r="3263" spans="14:15" x14ac:dyDescent="0.35">
      <c r="N3263"/>
      <c r="O3263"/>
    </row>
    <row r="3264" spans="14:15" x14ac:dyDescent="0.35">
      <c r="N3264"/>
      <c r="O3264"/>
    </row>
    <row r="3265" spans="14:15" x14ac:dyDescent="0.35">
      <c r="N3265"/>
      <c r="O3265"/>
    </row>
    <row r="3266" spans="14:15" x14ac:dyDescent="0.35">
      <c r="N3266"/>
      <c r="O3266"/>
    </row>
    <row r="3267" spans="14:15" x14ac:dyDescent="0.35">
      <c r="N3267"/>
      <c r="O3267"/>
    </row>
    <row r="3268" spans="14:15" x14ac:dyDescent="0.35">
      <c r="N3268"/>
      <c r="O3268"/>
    </row>
    <row r="3269" spans="14:15" x14ac:dyDescent="0.35">
      <c r="N3269"/>
      <c r="O3269"/>
    </row>
    <row r="3270" spans="14:15" x14ac:dyDescent="0.35">
      <c r="N3270"/>
      <c r="O3270"/>
    </row>
    <row r="3271" spans="14:15" x14ac:dyDescent="0.35">
      <c r="N3271"/>
      <c r="O3271"/>
    </row>
    <row r="3272" spans="14:15" x14ac:dyDescent="0.35">
      <c r="N3272"/>
      <c r="O3272"/>
    </row>
    <row r="3273" spans="14:15" x14ac:dyDescent="0.35">
      <c r="N3273"/>
      <c r="O3273"/>
    </row>
    <row r="3274" spans="14:15" x14ac:dyDescent="0.35">
      <c r="N3274"/>
      <c r="O3274"/>
    </row>
    <row r="3275" spans="14:15" x14ac:dyDescent="0.35">
      <c r="N3275"/>
      <c r="O3275"/>
    </row>
    <row r="3276" spans="14:15" x14ac:dyDescent="0.35">
      <c r="N3276"/>
      <c r="O3276"/>
    </row>
    <row r="3277" spans="14:15" x14ac:dyDescent="0.35">
      <c r="N3277"/>
      <c r="O3277"/>
    </row>
    <row r="3278" spans="14:15" x14ac:dyDescent="0.35">
      <c r="N3278"/>
      <c r="O3278"/>
    </row>
    <row r="3279" spans="14:15" x14ac:dyDescent="0.35">
      <c r="N3279"/>
      <c r="O3279"/>
    </row>
    <row r="3280" spans="14:15" x14ac:dyDescent="0.35">
      <c r="N3280"/>
      <c r="O3280"/>
    </row>
    <row r="3281" spans="14:15" x14ac:dyDescent="0.35">
      <c r="N3281"/>
      <c r="O3281"/>
    </row>
    <row r="3282" spans="14:15" x14ac:dyDescent="0.35">
      <c r="N3282"/>
      <c r="O3282"/>
    </row>
    <row r="3283" spans="14:15" x14ac:dyDescent="0.35">
      <c r="N3283"/>
      <c r="O3283"/>
    </row>
    <row r="3284" spans="14:15" x14ac:dyDescent="0.35">
      <c r="N3284"/>
      <c r="O3284"/>
    </row>
    <row r="3285" spans="14:15" x14ac:dyDescent="0.35">
      <c r="N3285"/>
      <c r="O3285"/>
    </row>
    <row r="3286" spans="14:15" x14ac:dyDescent="0.35">
      <c r="N3286"/>
      <c r="O3286"/>
    </row>
    <row r="3287" spans="14:15" x14ac:dyDescent="0.35">
      <c r="N3287"/>
      <c r="O3287"/>
    </row>
    <row r="3288" spans="14:15" x14ac:dyDescent="0.35">
      <c r="N3288"/>
      <c r="O3288"/>
    </row>
    <row r="3289" spans="14:15" x14ac:dyDescent="0.35">
      <c r="N3289"/>
      <c r="O3289"/>
    </row>
    <row r="3290" spans="14:15" x14ac:dyDescent="0.35">
      <c r="N3290"/>
      <c r="O3290"/>
    </row>
    <row r="3291" spans="14:15" x14ac:dyDescent="0.35">
      <c r="N3291"/>
      <c r="O3291"/>
    </row>
    <row r="3292" spans="14:15" x14ac:dyDescent="0.35">
      <c r="N3292"/>
      <c r="O3292"/>
    </row>
    <row r="3293" spans="14:15" x14ac:dyDescent="0.35">
      <c r="N3293"/>
      <c r="O3293"/>
    </row>
    <row r="3294" spans="14:15" x14ac:dyDescent="0.35">
      <c r="N3294"/>
      <c r="O3294"/>
    </row>
    <row r="3295" spans="14:15" x14ac:dyDescent="0.35">
      <c r="N3295"/>
      <c r="O3295"/>
    </row>
    <row r="3296" spans="14:15" x14ac:dyDescent="0.35">
      <c r="N3296"/>
      <c r="O3296"/>
    </row>
    <row r="3297" spans="14:15" x14ac:dyDescent="0.35">
      <c r="N3297"/>
      <c r="O3297"/>
    </row>
    <row r="3298" spans="14:15" x14ac:dyDescent="0.35">
      <c r="N3298"/>
      <c r="O3298"/>
    </row>
    <row r="3299" spans="14:15" x14ac:dyDescent="0.35">
      <c r="N3299"/>
      <c r="O3299"/>
    </row>
    <row r="3300" spans="14:15" x14ac:dyDescent="0.35">
      <c r="N3300"/>
      <c r="O3300"/>
    </row>
    <row r="3301" spans="14:15" x14ac:dyDescent="0.35">
      <c r="N3301"/>
      <c r="O3301"/>
    </row>
    <row r="3302" spans="14:15" x14ac:dyDescent="0.35">
      <c r="N3302"/>
      <c r="O3302"/>
    </row>
    <row r="3303" spans="14:15" x14ac:dyDescent="0.35">
      <c r="N3303"/>
      <c r="O3303"/>
    </row>
    <row r="3304" spans="14:15" x14ac:dyDescent="0.35">
      <c r="N3304"/>
      <c r="O3304"/>
    </row>
    <row r="3305" spans="14:15" x14ac:dyDescent="0.35">
      <c r="N3305"/>
      <c r="O3305"/>
    </row>
    <row r="3306" spans="14:15" x14ac:dyDescent="0.35">
      <c r="N3306"/>
      <c r="O3306"/>
    </row>
    <row r="3307" spans="14:15" x14ac:dyDescent="0.35">
      <c r="N3307"/>
      <c r="O3307"/>
    </row>
    <row r="3308" spans="14:15" x14ac:dyDescent="0.35">
      <c r="N3308"/>
      <c r="O3308"/>
    </row>
    <row r="3309" spans="14:15" x14ac:dyDescent="0.35">
      <c r="N3309"/>
      <c r="O3309"/>
    </row>
    <row r="3310" spans="14:15" x14ac:dyDescent="0.35">
      <c r="N3310"/>
      <c r="O3310"/>
    </row>
    <row r="3311" spans="14:15" x14ac:dyDescent="0.35">
      <c r="N3311"/>
      <c r="O3311"/>
    </row>
    <row r="3312" spans="14:15" x14ac:dyDescent="0.35">
      <c r="N3312"/>
      <c r="O3312"/>
    </row>
    <row r="3313" spans="14:15" x14ac:dyDescent="0.35">
      <c r="N3313"/>
      <c r="O3313"/>
    </row>
    <row r="3314" spans="14:15" x14ac:dyDescent="0.35">
      <c r="N3314"/>
      <c r="O3314"/>
    </row>
    <row r="3315" spans="14:15" x14ac:dyDescent="0.35">
      <c r="N3315"/>
      <c r="O3315"/>
    </row>
    <row r="3316" spans="14:15" x14ac:dyDescent="0.35">
      <c r="N3316"/>
      <c r="O3316"/>
    </row>
    <row r="3317" spans="14:15" x14ac:dyDescent="0.35">
      <c r="N3317"/>
      <c r="O3317"/>
    </row>
    <row r="3318" spans="14:15" x14ac:dyDescent="0.35">
      <c r="N3318"/>
      <c r="O3318"/>
    </row>
    <row r="3319" spans="14:15" x14ac:dyDescent="0.35">
      <c r="N3319"/>
      <c r="O3319"/>
    </row>
    <row r="3320" spans="14:15" x14ac:dyDescent="0.35">
      <c r="N3320"/>
      <c r="O3320"/>
    </row>
    <row r="3321" spans="14:15" x14ac:dyDescent="0.35">
      <c r="N3321"/>
      <c r="O3321"/>
    </row>
    <row r="3322" spans="14:15" x14ac:dyDescent="0.35">
      <c r="N3322"/>
      <c r="O3322"/>
    </row>
    <row r="3323" spans="14:15" x14ac:dyDescent="0.35">
      <c r="N3323"/>
      <c r="O3323"/>
    </row>
    <row r="3324" spans="14:15" x14ac:dyDescent="0.35">
      <c r="N3324"/>
      <c r="O3324"/>
    </row>
    <row r="3325" spans="14:15" x14ac:dyDescent="0.35">
      <c r="N3325"/>
      <c r="O3325"/>
    </row>
    <row r="3326" spans="14:15" x14ac:dyDescent="0.35">
      <c r="N3326"/>
      <c r="O3326"/>
    </row>
    <row r="3327" spans="14:15" x14ac:dyDescent="0.35">
      <c r="N3327"/>
      <c r="O3327"/>
    </row>
    <row r="3328" spans="14:15" x14ac:dyDescent="0.35">
      <c r="N3328"/>
      <c r="O3328"/>
    </row>
    <row r="3329" spans="14:15" x14ac:dyDescent="0.35">
      <c r="N3329"/>
      <c r="O3329"/>
    </row>
    <row r="3330" spans="14:15" x14ac:dyDescent="0.35">
      <c r="N3330"/>
      <c r="O3330"/>
    </row>
    <row r="3331" spans="14:15" x14ac:dyDescent="0.35">
      <c r="N3331"/>
      <c r="O3331"/>
    </row>
    <row r="3332" spans="14:15" x14ac:dyDescent="0.35">
      <c r="N3332"/>
      <c r="O3332"/>
    </row>
    <row r="3333" spans="14:15" x14ac:dyDescent="0.35">
      <c r="N3333"/>
      <c r="O3333"/>
    </row>
    <row r="3334" spans="14:15" x14ac:dyDescent="0.35">
      <c r="N3334"/>
      <c r="O3334"/>
    </row>
    <row r="3335" spans="14:15" x14ac:dyDescent="0.35">
      <c r="N3335"/>
      <c r="O3335"/>
    </row>
    <row r="3336" spans="14:15" x14ac:dyDescent="0.35">
      <c r="N3336"/>
      <c r="O3336"/>
    </row>
    <row r="3337" spans="14:15" x14ac:dyDescent="0.35">
      <c r="N3337"/>
      <c r="O3337"/>
    </row>
    <row r="3338" spans="14:15" x14ac:dyDescent="0.35">
      <c r="N3338"/>
      <c r="O3338"/>
    </row>
    <row r="3339" spans="14:15" x14ac:dyDescent="0.35">
      <c r="N3339"/>
      <c r="O3339"/>
    </row>
    <row r="3340" spans="14:15" x14ac:dyDescent="0.35">
      <c r="N3340"/>
      <c r="O3340"/>
    </row>
    <row r="3341" spans="14:15" x14ac:dyDescent="0.35">
      <c r="N3341"/>
      <c r="O3341"/>
    </row>
    <row r="3342" spans="14:15" x14ac:dyDescent="0.35">
      <c r="N3342"/>
      <c r="O3342"/>
    </row>
    <row r="3343" spans="14:15" x14ac:dyDescent="0.35">
      <c r="N3343"/>
      <c r="O3343"/>
    </row>
    <row r="3344" spans="14:15" x14ac:dyDescent="0.35">
      <c r="N3344"/>
      <c r="O3344"/>
    </row>
    <row r="3345" spans="14:15" x14ac:dyDescent="0.35">
      <c r="N3345"/>
      <c r="O3345"/>
    </row>
    <row r="3346" spans="14:15" x14ac:dyDescent="0.35">
      <c r="N3346"/>
      <c r="O3346"/>
    </row>
    <row r="3347" spans="14:15" x14ac:dyDescent="0.35">
      <c r="N3347"/>
      <c r="O3347"/>
    </row>
    <row r="3348" spans="14:15" x14ac:dyDescent="0.35">
      <c r="N3348"/>
      <c r="O3348"/>
    </row>
    <row r="3349" spans="14:15" x14ac:dyDescent="0.35">
      <c r="N3349"/>
      <c r="O3349"/>
    </row>
    <row r="3350" spans="14:15" x14ac:dyDescent="0.35">
      <c r="N3350"/>
      <c r="O3350"/>
    </row>
    <row r="3351" spans="14:15" x14ac:dyDescent="0.35">
      <c r="N3351"/>
      <c r="O3351"/>
    </row>
    <row r="3352" spans="14:15" x14ac:dyDescent="0.35">
      <c r="N3352"/>
      <c r="O3352"/>
    </row>
    <row r="3353" spans="14:15" x14ac:dyDescent="0.35">
      <c r="N3353"/>
      <c r="O3353"/>
    </row>
    <row r="3354" spans="14:15" x14ac:dyDescent="0.35">
      <c r="N3354"/>
      <c r="O3354"/>
    </row>
    <row r="3355" spans="14:15" x14ac:dyDescent="0.35">
      <c r="N3355"/>
      <c r="O3355"/>
    </row>
    <row r="3356" spans="14:15" x14ac:dyDescent="0.35">
      <c r="N3356"/>
      <c r="O3356"/>
    </row>
    <row r="3357" spans="14:15" x14ac:dyDescent="0.35">
      <c r="N3357"/>
      <c r="O3357"/>
    </row>
    <row r="3358" spans="14:15" x14ac:dyDescent="0.35">
      <c r="N3358"/>
      <c r="O3358"/>
    </row>
    <row r="3359" spans="14:15" x14ac:dyDescent="0.35">
      <c r="N3359"/>
      <c r="O3359"/>
    </row>
    <row r="3360" spans="14:15" x14ac:dyDescent="0.35">
      <c r="N3360"/>
      <c r="O3360"/>
    </row>
    <row r="3361" spans="14:15" x14ac:dyDescent="0.35">
      <c r="N3361"/>
      <c r="O3361"/>
    </row>
    <row r="3362" spans="14:15" x14ac:dyDescent="0.35">
      <c r="N3362"/>
      <c r="O3362"/>
    </row>
    <row r="3363" spans="14:15" x14ac:dyDescent="0.35">
      <c r="N3363"/>
      <c r="O3363"/>
    </row>
    <row r="3364" spans="14:15" x14ac:dyDescent="0.35">
      <c r="N3364"/>
      <c r="O3364"/>
    </row>
    <row r="3365" spans="14:15" x14ac:dyDescent="0.35">
      <c r="N3365"/>
      <c r="O3365"/>
    </row>
    <row r="3366" spans="14:15" x14ac:dyDescent="0.35">
      <c r="N3366"/>
      <c r="O3366"/>
    </row>
    <row r="3367" spans="14:15" x14ac:dyDescent="0.35">
      <c r="N3367"/>
      <c r="O3367"/>
    </row>
    <row r="3368" spans="14:15" x14ac:dyDescent="0.35">
      <c r="N3368"/>
      <c r="O3368"/>
    </row>
    <row r="3369" spans="14:15" x14ac:dyDescent="0.35">
      <c r="N3369"/>
      <c r="O3369"/>
    </row>
    <row r="3370" spans="14:15" x14ac:dyDescent="0.35">
      <c r="N3370"/>
      <c r="O3370"/>
    </row>
    <row r="3371" spans="14:15" x14ac:dyDescent="0.35">
      <c r="N3371"/>
      <c r="O3371"/>
    </row>
    <row r="3372" spans="14:15" x14ac:dyDescent="0.35">
      <c r="N3372"/>
      <c r="O3372"/>
    </row>
    <row r="3373" spans="14:15" x14ac:dyDescent="0.35">
      <c r="N3373"/>
      <c r="O3373"/>
    </row>
    <row r="3374" spans="14:15" x14ac:dyDescent="0.35">
      <c r="N3374"/>
      <c r="O3374"/>
    </row>
    <row r="3375" spans="14:15" x14ac:dyDescent="0.35">
      <c r="N3375"/>
      <c r="O3375"/>
    </row>
    <row r="3376" spans="14:15" x14ac:dyDescent="0.35">
      <c r="N3376"/>
      <c r="O3376"/>
    </row>
    <row r="3377" spans="14:15" x14ac:dyDescent="0.35">
      <c r="N3377"/>
      <c r="O3377"/>
    </row>
    <row r="3378" spans="14:15" x14ac:dyDescent="0.35">
      <c r="N3378"/>
      <c r="O3378"/>
    </row>
    <row r="3379" spans="14:15" x14ac:dyDescent="0.35">
      <c r="N3379"/>
      <c r="O3379"/>
    </row>
    <row r="3380" spans="14:15" x14ac:dyDescent="0.35">
      <c r="N3380"/>
      <c r="O3380"/>
    </row>
    <row r="3381" spans="14:15" x14ac:dyDescent="0.35">
      <c r="N3381"/>
      <c r="O3381"/>
    </row>
    <row r="3382" spans="14:15" x14ac:dyDescent="0.35">
      <c r="N3382"/>
      <c r="O3382"/>
    </row>
    <row r="3383" spans="14:15" x14ac:dyDescent="0.35">
      <c r="N3383"/>
      <c r="O3383"/>
    </row>
    <row r="3384" spans="14:15" x14ac:dyDescent="0.35">
      <c r="N3384"/>
      <c r="O3384"/>
    </row>
    <row r="3385" spans="14:15" x14ac:dyDescent="0.35">
      <c r="N3385"/>
      <c r="O3385"/>
    </row>
    <row r="3386" spans="14:15" x14ac:dyDescent="0.35">
      <c r="N3386"/>
      <c r="O3386"/>
    </row>
    <row r="3387" spans="14:15" x14ac:dyDescent="0.35">
      <c r="N3387"/>
      <c r="O3387"/>
    </row>
    <row r="3388" spans="14:15" x14ac:dyDescent="0.35">
      <c r="N3388"/>
      <c r="O3388"/>
    </row>
    <row r="3389" spans="14:15" x14ac:dyDescent="0.35">
      <c r="N3389"/>
      <c r="O3389"/>
    </row>
    <row r="3390" spans="14:15" x14ac:dyDescent="0.35">
      <c r="N3390"/>
      <c r="O3390"/>
    </row>
    <row r="3391" spans="14:15" x14ac:dyDescent="0.35">
      <c r="N3391"/>
      <c r="O3391"/>
    </row>
    <row r="3392" spans="14:15" x14ac:dyDescent="0.35">
      <c r="N3392"/>
      <c r="O3392"/>
    </row>
    <row r="3393" spans="14:15" x14ac:dyDescent="0.35">
      <c r="N3393"/>
      <c r="O3393"/>
    </row>
    <row r="3394" spans="14:15" x14ac:dyDescent="0.35">
      <c r="N3394"/>
      <c r="O3394"/>
    </row>
    <row r="3395" spans="14:15" x14ac:dyDescent="0.35">
      <c r="N3395"/>
      <c r="O3395"/>
    </row>
    <row r="3396" spans="14:15" x14ac:dyDescent="0.35">
      <c r="N3396"/>
      <c r="O3396"/>
    </row>
    <row r="3397" spans="14:15" x14ac:dyDescent="0.35">
      <c r="N3397"/>
      <c r="O3397"/>
    </row>
    <row r="3398" spans="14:15" ht="15.75" customHeight="1" x14ac:dyDescent="0.35">
      <c r="N3398"/>
      <c r="O3398"/>
    </row>
    <row r="3399" spans="14:15" x14ac:dyDescent="0.35">
      <c r="N3399"/>
      <c r="O3399"/>
    </row>
    <row r="3400" spans="14:15" x14ac:dyDescent="0.35">
      <c r="N3400"/>
      <c r="O3400"/>
    </row>
    <row r="3401" spans="14:15" x14ac:dyDescent="0.35">
      <c r="N3401"/>
      <c r="O3401"/>
    </row>
    <row r="3402" spans="14:15" x14ac:dyDescent="0.35">
      <c r="N3402"/>
      <c r="O3402"/>
    </row>
    <row r="3403" spans="14:15" x14ac:dyDescent="0.35">
      <c r="N3403"/>
      <c r="O3403"/>
    </row>
    <row r="3404" spans="14:15" x14ac:dyDescent="0.35">
      <c r="N3404"/>
      <c r="O3404"/>
    </row>
    <row r="3405" spans="14:15" x14ac:dyDescent="0.35">
      <c r="N3405"/>
      <c r="O3405"/>
    </row>
    <row r="3406" spans="14:15" x14ac:dyDescent="0.35">
      <c r="N3406"/>
      <c r="O3406"/>
    </row>
    <row r="3407" spans="14:15" x14ac:dyDescent="0.35">
      <c r="N3407"/>
      <c r="O3407"/>
    </row>
    <row r="3408" spans="14:15" x14ac:dyDescent="0.35">
      <c r="N3408"/>
      <c r="O3408"/>
    </row>
    <row r="3409" spans="14:15" x14ac:dyDescent="0.35">
      <c r="N3409"/>
      <c r="O3409"/>
    </row>
    <row r="3410" spans="14:15" x14ac:dyDescent="0.35">
      <c r="N3410"/>
      <c r="O3410"/>
    </row>
    <row r="3411" spans="14:15" x14ac:dyDescent="0.35">
      <c r="N3411"/>
      <c r="O3411"/>
    </row>
    <row r="3412" spans="14:15" x14ac:dyDescent="0.35">
      <c r="N3412"/>
      <c r="O3412"/>
    </row>
    <row r="3413" spans="14:15" x14ac:dyDescent="0.35">
      <c r="N3413"/>
      <c r="O3413"/>
    </row>
    <row r="3414" spans="14:15" x14ac:dyDescent="0.35">
      <c r="N3414"/>
      <c r="O3414"/>
    </row>
    <row r="3415" spans="14:15" x14ac:dyDescent="0.35">
      <c r="N3415"/>
      <c r="O3415"/>
    </row>
    <row r="3416" spans="14:15" x14ac:dyDescent="0.35">
      <c r="N3416"/>
      <c r="O3416"/>
    </row>
    <row r="3417" spans="14:15" x14ac:dyDescent="0.35">
      <c r="N3417"/>
      <c r="O3417"/>
    </row>
    <row r="3418" spans="14:15" x14ac:dyDescent="0.35">
      <c r="N3418"/>
      <c r="O3418"/>
    </row>
    <row r="3419" spans="14:15" x14ac:dyDescent="0.35">
      <c r="N3419"/>
      <c r="O3419"/>
    </row>
    <row r="3420" spans="14:15" x14ac:dyDescent="0.35">
      <c r="N3420"/>
      <c r="O3420"/>
    </row>
    <row r="3421" spans="14:15" x14ac:dyDescent="0.35">
      <c r="N3421"/>
      <c r="O3421"/>
    </row>
    <row r="3422" spans="14:15" x14ac:dyDescent="0.35">
      <c r="N3422"/>
      <c r="O3422"/>
    </row>
    <row r="3423" spans="14:15" x14ac:dyDescent="0.35">
      <c r="N3423"/>
      <c r="O3423"/>
    </row>
    <row r="3424" spans="14:15" x14ac:dyDescent="0.35">
      <c r="N3424"/>
      <c r="O3424"/>
    </row>
    <row r="3425" spans="14:15" x14ac:dyDescent="0.35">
      <c r="N3425"/>
      <c r="O3425"/>
    </row>
    <row r="3426" spans="14:15" x14ac:dyDescent="0.35">
      <c r="N3426"/>
      <c r="O3426"/>
    </row>
    <row r="3427" spans="14:15" x14ac:dyDescent="0.35">
      <c r="N3427"/>
      <c r="O3427"/>
    </row>
    <row r="3428" spans="14:15" x14ac:dyDescent="0.35">
      <c r="N3428"/>
      <c r="O3428"/>
    </row>
    <row r="3429" spans="14:15" x14ac:dyDescent="0.35">
      <c r="N3429"/>
      <c r="O3429"/>
    </row>
    <row r="3430" spans="14:15" x14ac:dyDescent="0.35">
      <c r="N3430"/>
      <c r="O3430"/>
    </row>
    <row r="3431" spans="14:15" x14ac:dyDescent="0.35">
      <c r="N3431"/>
      <c r="O3431"/>
    </row>
    <row r="3432" spans="14:15" x14ac:dyDescent="0.35">
      <c r="N3432"/>
      <c r="O3432"/>
    </row>
    <row r="3433" spans="14:15" x14ac:dyDescent="0.35">
      <c r="N3433"/>
      <c r="O3433"/>
    </row>
    <row r="3434" spans="14:15" x14ac:dyDescent="0.35">
      <c r="N3434"/>
      <c r="O3434"/>
    </row>
    <row r="3435" spans="14:15" x14ac:dyDescent="0.35">
      <c r="N3435"/>
      <c r="O3435"/>
    </row>
    <row r="3436" spans="14:15" x14ac:dyDescent="0.35">
      <c r="N3436"/>
      <c r="O3436"/>
    </row>
    <row r="3437" spans="14:15" x14ac:dyDescent="0.35">
      <c r="N3437"/>
      <c r="O3437"/>
    </row>
    <row r="3438" spans="14:15" x14ac:dyDescent="0.35">
      <c r="N3438"/>
      <c r="O3438"/>
    </row>
    <row r="3439" spans="14:15" x14ac:dyDescent="0.35">
      <c r="N3439"/>
      <c r="O3439"/>
    </row>
    <row r="3440" spans="14:15" x14ac:dyDescent="0.35">
      <c r="N3440"/>
      <c r="O3440"/>
    </row>
    <row r="3441" spans="14:15" x14ac:dyDescent="0.35">
      <c r="N3441"/>
      <c r="O3441"/>
    </row>
    <row r="3442" spans="14:15" x14ac:dyDescent="0.35">
      <c r="N3442"/>
      <c r="O3442"/>
    </row>
    <row r="3443" spans="14:15" x14ac:dyDescent="0.35">
      <c r="N3443"/>
      <c r="O3443"/>
    </row>
    <row r="3444" spans="14:15" x14ac:dyDescent="0.35">
      <c r="N3444"/>
      <c r="O3444"/>
    </row>
    <row r="3445" spans="14:15" x14ac:dyDescent="0.35">
      <c r="N3445"/>
      <c r="O3445"/>
    </row>
    <row r="3446" spans="14:15" x14ac:dyDescent="0.35">
      <c r="N3446"/>
      <c r="O3446"/>
    </row>
    <row r="3447" spans="14:15" x14ac:dyDescent="0.35">
      <c r="N3447"/>
      <c r="O3447"/>
    </row>
    <row r="3448" spans="14:15" x14ac:dyDescent="0.35">
      <c r="N3448"/>
      <c r="O3448"/>
    </row>
    <row r="3449" spans="14:15" x14ac:dyDescent="0.35">
      <c r="N3449"/>
      <c r="O3449"/>
    </row>
    <row r="3450" spans="14:15" x14ac:dyDescent="0.35">
      <c r="N3450"/>
      <c r="O3450"/>
    </row>
    <row r="3451" spans="14:15" x14ac:dyDescent="0.35">
      <c r="N3451"/>
      <c r="O3451"/>
    </row>
    <row r="3452" spans="14:15" x14ac:dyDescent="0.35">
      <c r="N3452"/>
      <c r="O3452"/>
    </row>
    <row r="3453" spans="14:15" x14ac:dyDescent="0.35">
      <c r="N3453"/>
      <c r="O3453"/>
    </row>
    <row r="3454" spans="14:15" x14ac:dyDescent="0.35">
      <c r="N3454"/>
      <c r="O3454"/>
    </row>
    <row r="3455" spans="14:15" x14ac:dyDescent="0.35">
      <c r="N3455"/>
      <c r="O3455"/>
    </row>
    <row r="3456" spans="14:15" x14ac:dyDescent="0.35">
      <c r="N3456"/>
      <c r="O3456"/>
    </row>
    <row r="3457" spans="14:15" x14ac:dyDescent="0.35">
      <c r="N3457"/>
      <c r="O3457"/>
    </row>
    <row r="3458" spans="14:15" x14ac:dyDescent="0.35">
      <c r="N3458"/>
      <c r="O3458"/>
    </row>
    <row r="3459" spans="14:15" x14ac:dyDescent="0.35">
      <c r="N3459"/>
      <c r="O3459"/>
    </row>
    <row r="3460" spans="14:15" x14ac:dyDescent="0.35">
      <c r="N3460"/>
      <c r="O3460"/>
    </row>
    <row r="3461" spans="14:15" x14ac:dyDescent="0.35">
      <c r="N3461"/>
      <c r="O3461"/>
    </row>
    <row r="3462" spans="14:15" x14ac:dyDescent="0.35">
      <c r="N3462"/>
      <c r="O3462"/>
    </row>
    <row r="3463" spans="14:15" x14ac:dyDescent="0.35">
      <c r="N3463"/>
      <c r="O3463"/>
    </row>
    <row r="3464" spans="14:15" x14ac:dyDescent="0.35">
      <c r="N3464"/>
      <c r="O3464"/>
    </row>
    <row r="3465" spans="14:15" x14ac:dyDescent="0.35">
      <c r="N3465"/>
      <c r="O3465"/>
    </row>
    <row r="3466" spans="14:15" x14ac:dyDescent="0.35">
      <c r="N3466"/>
      <c r="O3466"/>
    </row>
    <row r="3467" spans="14:15" x14ac:dyDescent="0.35">
      <c r="N3467"/>
      <c r="O3467"/>
    </row>
    <row r="3468" spans="14:15" x14ac:dyDescent="0.35">
      <c r="N3468"/>
      <c r="O3468"/>
    </row>
    <row r="3469" spans="14:15" x14ac:dyDescent="0.35">
      <c r="N3469"/>
      <c r="O3469"/>
    </row>
    <row r="3470" spans="14:15" x14ac:dyDescent="0.35">
      <c r="N3470"/>
      <c r="O3470"/>
    </row>
    <row r="3471" spans="14:15" x14ac:dyDescent="0.35">
      <c r="N3471"/>
      <c r="O3471"/>
    </row>
    <row r="3472" spans="14:15" x14ac:dyDescent="0.35">
      <c r="N3472"/>
      <c r="O3472"/>
    </row>
    <row r="3473" spans="14:15" x14ac:dyDescent="0.35">
      <c r="N3473"/>
      <c r="O3473"/>
    </row>
    <row r="3474" spans="14:15" x14ac:dyDescent="0.35">
      <c r="N3474"/>
      <c r="O3474"/>
    </row>
    <row r="3475" spans="14:15" x14ac:dyDescent="0.35">
      <c r="N3475"/>
      <c r="O3475"/>
    </row>
    <row r="3476" spans="14:15" x14ac:dyDescent="0.35">
      <c r="N3476"/>
      <c r="O3476"/>
    </row>
    <row r="3477" spans="14:15" x14ac:dyDescent="0.35">
      <c r="N3477"/>
      <c r="O3477"/>
    </row>
    <row r="3478" spans="14:15" x14ac:dyDescent="0.35">
      <c r="N3478"/>
      <c r="O3478"/>
    </row>
    <row r="3479" spans="14:15" x14ac:dyDescent="0.35">
      <c r="N3479"/>
      <c r="O3479"/>
    </row>
    <row r="3480" spans="14:15" x14ac:dyDescent="0.35">
      <c r="N3480"/>
      <c r="O3480"/>
    </row>
    <row r="3481" spans="14:15" x14ac:dyDescent="0.35">
      <c r="N3481"/>
      <c r="O3481"/>
    </row>
    <row r="3482" spans="14:15" x14ac:dyDescent="0.35">
      <c r="N3482"/>
      <c r="O3482"/>
    </row>
    <row r="3483" spans="14:15" x14ac:dyDescent="0.35">
      <c r="N3483"/>
      <c r="O3483"/>
    </row>
    <row r="3484" spans="14:15" x14ac:dyDescent="0.35">
      <c r="N3484"/>
      <c r="O3484"/>
    </row>
    <row r="3485" spans="14:15" x14ac:dyDescent="0.35">
      <c r="N3485"/>
      <c r="O3485"/>
    </row>
    <row r="3486" spans="14:15" x14ac:dyDescent="0.35">
      <c r="N3486"/>
      <c r="O3486"/>
    </row>
    <row r="3487" spans="14:15" x14ac:dyDescent="0.35">
      <c r="N3487"/>
      <c r="O3487"/>
    </row>
    <row r="3488" spans="14:15" x14ac:dyDescent="0.35">
      <c r="N3488"/>
      <c r="O3488"/>
    </row>
    <row r="3489" spans="14:15" x14ac:dyDescent="0.35">
      <c r="N3489"/>
      <c r="O3489"/>
    </row>
    <row r="3490" spans="14:15" x14ac:dyDescent="0.35">
      <c r="N3490"/>
      <c r="O3490"/>
    </row>
    <row r="3491" spans="14:15" x14ac:dyDescent="0.35">
      <c r="N3491"/>
      <c r="O3491"/>
    </row>
    <row r="3492" spans="14:15" x14ac:dyDescent="0.35">
      <c r="N3492"/>
      <c r="O3492"/>
    </row>
    <row r="3493" spans="14:15" x14ac:dyDescent="0.35">
      <c r="N3493"/>
      <c r="O3493"/>
    </row>
    <row r="3494" spans="14:15" x14ac:dyDescent="0.35">
      <c r="N3494"/>
      <c r="O3494"/>
    </row>
    <row r="3495" spans="14:15" x14ac:dyDescent="0.35">
      <c r="N3495"/>
      <c r="O3495"/>
    </row>
    <row r="3496" spans="14:15" x14ac:dyDescent="0.35">
      <c r="N3496"/>
      <c r="O3496"/>
    </row>
    <row r="3497" spans="14:15" x14ac:dyDescent="0.35">
      <c r="N3497"/>
      <c r="O3497"/>
    </row>
    <row r="3498" spans="14:15" x14ac:dyDescent="0.35">
      <c r="N3498"/>
      <c r="O3498"/>
    </row>
    <row r="3499" spans="14:15" x14ac:dyDescent="0.35">
      <c r="N3499"/>
      <c r="O3499"/>
    </row>
    <row r="3500" spans="14:15" x14ac:dyDescent="0.35">
      <c r="N3500"/>
      <c r="O3500"/>
    </row>
    <row r="3501" spans="14:15" x14ac:dyDescent="0.35">
      <c r="N3501"/>
      <c r="O3501"/>
    </row>
    <row r="3502" spans="14:15" x14ac:dyDescent="0.35">
      <c r="N3502"/>
      <c r="O3502"/>
    </row>
    <row r="3503" spans="14:15" x14ac:dyDescent="0.35">
      <c r="N3503"/>
      <c r="O3503"/>
    </row>
    <row r="3504" spans="14:15" x14ac:dyDescent="0.35">
      <c r="N3504"/>
      <c r="O3504"/>
    </row>
    <row r="3505" spans="14:15" x14ac:dyDescent="0.35">
      <c r="N3505"/>
      <c r="O3505"/>
    </row>
    <row r="3506" spans="14:15" x14ac:dyDescent="0.35">
      <c r="N3506"/>
      <c r="O3506"/>
    </row>
    <row r="3507" spans="14:15" x14ac:dyDescent="0.35">
      <c r="N3507"/>
      <c r="O3507"/>
    </row>
    <row r="3508" spans="14:15" x14ac:dyDescent="0.35">
      <c r="N3508"/>
      <c r="O3508"/>
    </row>
    <row r="3509" spans="14:15" x14ac:dyDescent="0.35">
      <c r="N3509"/>
      <c r="O3509"/>
    </row>
    <row r="3510" spans="14:15" x14ac:dyDescent="0.35">
      <c r="N3510"/>
      <c r="O3510"/>
    </row>
    <row r="3511" spans="14:15" x14ac:dyDescent="0.35">
      <c r="N3511"/>
      <c r="O3511"/>
    </row>
    <row r="3512" spans="14:15" x14ac:dyDescent="0.35">
      <c r="N3512"/>
      <c r="O3512"/>
    </row>
    <row r="3513" spans="14:15" x14ac:dyDescent="0.35">
      <c r="N3513"/>
      <c r="O3513"/>
    </row>
    <row r="3514" spans="14:15" x14ac:dyDescent="0.35">
      <c r="N3514"/>
      <c r="O3514"/>
    </row>
    <row r="3515" spans="14:15" x14ac:dyDescent="0.35">
      <c r="N3515"/>
      <c r="O3515"/>
    </row>
    <row r="3516" spans="14:15" x14ac:dyDescent="0.35">
      <c r="N3516"/>
      <c r="O3516"/>
    </row>
    <row r="3517" spans="14:15" x14ac:dyDescent="0.35">
      <c r="N3517"/>
      <c r="O3517"/>
    </row>
    <row r="3518" spans="14:15" x14ac:dyDescent="0.35">
      <c r="N3518"/>
      <c r="O3518"/>
    </row>
    <row r="3519" spans="14:15" x14ac:dyDescent="0.35">
      <c r="N3519"/>
      <c r="O3519"/>
    </row>
    <row r="3520" spans="14:15" x14ac:dyDescent="0.35">
      <c r="N3520"/>
      <c r="O3520"/>
    </row>
    <row r="3521" spans="14:15" x14ac:dyDescent="0.35">
      <c r="N3521"/>
      <c r="O3521"/>
    </row>
    <row r="3522" spans="14:15" x14ac:dyDescent="0.35">
      <c r="N3522"/>
      <c r="O3522"/>
    </row>
    <row r="3523" spans="14:15" x14ac:dyDescent="0.35">
      <c r="N3523"/>
      <c r="O3523"/>
    </row>
    <row r="3524" spans="14:15" x14ac:dyDescent="0.35">
      <c r="N3524"/>
      <c r="O3524"/>
    </row>
    <row r="3525" spans="14:15" x14ac:dyDescent="0.35">
      <c r="N3525"/>
      <c r="O3525"/>
    </row>
    <row r="3526" spans="14:15" x14ac:dyDescent="0.35">
      <c r="N3526"/>
      <c r="O3526"/>
    </row>
    <row r="3527" spans="14:15" x14ac:dyDescent="0.35">
      <c r="N3527"/>
      <c r="O3527"/>
    </row>
    <row r="3528" spans="14:15" x14ac:dyDescent="0.35">
      <c r="N3528"/>
      <c r="O3528"/>
    </row>
    <row r="3529" spans="14:15" x14ac:dyDescent="0.35">
      <c r="N3529"/>
      <c r="O3529"/>
    </row>
    <row r="3530" spans="14:15" x14ac:dyDescent="0.35">
      <c r="N3530"/>
      <c r="O3530"/>
    </row>
    <row r="3531" spans="14:15" x14ac:dyDescent="0.35">
      <c r="N3531"/>
      <c r="O3531"/>
    </row>
    <row r="3532" spans="14:15" x14ac:dyDescent="0.35">
      <c r="N3532"/>
      <c r="O3532"/>
    </row>
    <row r="3533" spans="14:15" x14ac:dyDescent="0.35">
      <c r="N3533"/>
      <c r="O3533"/>
    </row>
    <row r="3534" spans="14:15" x14ac:dyDescent="0.35">
      <c r="N3534"/>
      <c r="O3534"/>
    </row>
    <row r="3535" spans="14:15" x14ac:dyDescent="0.35">
      <c r="N3535"/>
      <c r="O3535"/>
    </row>
    <row r="3536" spans="14:15" x14ac:dyDescent="0.35">
      <c r="N3536"/>
      <c r="O3536"/>
    </row>
    <row r="3537" spans="14:15" x14ac:dyDescent="0.35">
      <c r="N3537"/>
      <c r="O3537"/>
    </row>
    <row r="3538" spans="14:15" x14ac:dyDescent="0.35">
      <c r="N3538"/>
      <c r="O3538"/>
    </row>
    <row r="3539" spans="14:15" x14ac:dyDescent="0.35">
      <c r="N3539"/>
      <c r="O3539"/>
    </row>
    <row r="3540" spans="14:15" x14ac:dyDescent="0.35">
      <c r="N3540"/>
      <c r="O3540"/>
    </row>
    <row r="3541" spans="14:15" x14ac:dyDescent="0.35">
      <c r="N3541"/>
      <c r="O3541"/>
    </row>
    <row r="3542" spans="14:15" x14ac:dyDescent="0.35">
      <c r="N3542"/>
      <c r="O3542"/>
    </row>
    <row r="3543" spans="14:15" x14ac:dyDescent="0.35">
      <c r="N3543"/>
      <c r="O3543"/>
    </row>
    <row r="3544" spans="14:15" x14ac:dyDescent="0.35">
      <c r="N3544"/>
      <c r="O3544"/>
    </row>
    <row r="3545" spans="14:15" x14ac:dyDescent="0.35">
      <c r="N3545"/>
      <c r="O3545"/>
    </row>
    <row r="3546" spans="14:15" x14ac:dyDescent="0.35">
      <c r="N3546"/>
      <c r="O3546"/>
    </row>
    <row r="3547" spans="14:15" x14ac:dyDescent="0.35">
      <c r="N3547"/>
      <c r="O3547"/>
    </row>
    <row r="3548" spans="14:15" x14ac:dyDescent="0.35">
      <c r="N3548"/>
      <c r="O3548"/>
    </row>
    <row r="3549" spans="14:15" x14ac:dyDescent="0.35">
      <c r="N3549"/>
      <c r="O3549"/>
    </row>
    <row r="3550" spans="14:15" x14ac:dyDescent="0.35">
      <c r="N3550"/>
      <c r="O3550"/>
    </row>
    <row r="3551" spans="14:15" x14ac:dyDescent="0.35">
      <c r="N3551"/>
      <c r="O3551"/>
    </row>
    <row r="3552" spans="14:15" x14ac:dyDescent="0.35">
      <c r="N3552"/>
      <c r="O3552"/>
    </row>
    <row r="3553" spans="14:15" x14ac:dyDescent="0.35">
      <c r="N3553"/>
      <c r="O3553"/>
    </row>
    <row r="3554" spans="14:15" x14ac:dyDescent="0.35">
      <c r="N3554"/>
      <c r="O3554"/>
    </row>
    <row r="3555" spans="14:15" x14ac:dyDescent="0.35">
      <c r="N3555"/>
      <c r="O3555"/>
    </row>
    <row r="3556" spans="14:15" x14ac:dyDescent="0.35">
      <c r="N3556"/>
      <c r="O3556"/>
    </row>
    <row r="3557" spans="14:15" x14ac:dyDescent="0.35">
      <c r="N3557"/>
      <c r="O3557"/>
    </row>
    <row r="3558" spans="14:15" x14ac:dyDescent="0.35">
      <c r="N3558"/>
      <c r="O3558"/>
    </row>
    <row r="3559" spans="14:15" x14ac:dyDescent="0.35">
      <c r="N3559"/>
      <c r="O3559"/>
    </row>
    <row r="3560" spans="14:15" x14ac:dyDescent="0.35">
      <c r="N3560"/>
      <c r="O3560"/>
    </row>
    <row r="3561" spans="14:15" x14ac:dyDescent="0.35">
      <c r="N3561"/>
      <c r="O3561"/>
    </row>
    <row r="3562" spans="14:15" x14ac:dyDescent="0.35">
      <c r="N3562"/>
      <c r="O3562"/>
    </row>
    <row r="3563" spans="14:15" x14ac:dyDescent="0.35">
      <c r="N3563"/>
      <c r="O3563"/>
    </row>
    <row r="3564" spans="14:15" x14ac:dyDescent="0.35">
      <c r="N3564"/>
      <c r="O3564"/>
    </row>
    <row r="3565" spans="14:15" x14ac:dyDescent="0.35">
      <c r="N3565"/>
      <c r="O3565"/>
    </row>
    <row r="3566" spans="14:15" x14ac:dyDescent="0.35">
      <c r="N3566"/>
      <c r="O3566"/>
    </row>
    <row r="3567" spans="14:15" x14ac:dyDescent="0.35">
      <c r="N3567"/>
      <c r="O3567"/>
    </row>
    <row r="3568" spans="14:15" x14ac:dyDescent="0.35">
      <c r="N3568"/>
      <c r="O3568"/>
    </row>
    <row r="3569" spans="1:25" x14ac:dyDescent="0.35">
      <c r="N3569"/>
      <c r="O3569"/>
    </row>
    <row r="3570" spans="1:25" x14ac:dyDescent="0.35">
      <c r="N3570"/>
      <c r="O3570"/>
    </row>
    <row r="3571" spans="1:25" x14ac:dyDescent="0.35">
      <c r="N3571"/>
      <c r="O3571"/>
    </row>
    <row r="3572" spans="1:25" x14ac:dyDescent="0.35">
      <c r="N3572"/>
      <c r="O3572"/>
    </row>
    <row r="3573" spans="1:25" x14ac:dyDescent="0.35">
      <c r="N3573"/>
      <c r="O3573"/>
    </row>
    <row r="3574" spans="1:25" x14ac:dyDescent="0.35">
      <c r="N3574"/>
      <c r="O3574"/>
    </row>
    <row r="3575" spans="1:25" x14ac:dyDescent="0.35">
      <c r="N3575"/>
      <c r="O3575"/>
    </row>
    <row r="3576" spans="1:25" s="13" customFormat="1" x14ac:dyDescent="0.35">
      <c r="A3576" s="5"/>
      <c r="B3576" s="5"/>
      <c r="C3576" s="5"/>
      <c r="D3576" s="6"/>
      <c r="E3576" s="5"/>
      <c r="F3576" s="6"/>
      <c r="G3576" s="5"/>
      <c r="H3576" s="5"/>
      <c r="I3576" s="5"/>
      <c r="J3576" s="5"/>
      <c r="M3576" s="5"/>
      <c r="N3576"/>
      <c r="O3576"/>
      <c r="P3576" s="5"/>
      <c r="Q3576" s="5"/>
      <c r="R3576" s="5"/>
      <c r="S3576" s="5"/>
      <c r="T3576" s="5"/>
      <c r="U3576" s="5"/>
      <c r="V3576" s="5"/>
      <c r="W3576" s="5"/>
      <c r="X3576" s="5"/>
      <c r="Y3576" s="5"/>
    </row>
    <row r="3577" spans="1:25" s="13" customFormat="1" x14ac:dyDescent="0.35">
      <c r="A3577" s="5"/>
      <c r="B3577" s="5"/>
      <c r="C3577" s="5"/>
      <c r="D3577" s="6"/>
      <c r="E3577" s="5"/>
      <c r="F3577" s="6"/>
      <c r="G3577" s="5"/>
      <c r="H3577" s="5"/>
      <c r="I3577" s="5"/>
      <c r="J3577" s="5"/>
      <c r="M3577" s="5"/>
      <c r="N3577"/>
      <c r="O3577"/>
      <c r="P3577" s="5"/>
      <c r="Q3577" s="5"/>
      <c r="R3577" s="5"/>
      <c r="S3577" s="5"/>
      <c r="T3577" s="5"/>
      <c r="U3577" s="5"/>
      <c r="V3577" s="5"/>
      <c r="W3577" s="5"/>
      <c r="X3577" s="5"/>
      <c r="Y3577" s="5"/>
    </row>
    <row r="3578" spans="1:25" s="13" customFormat="1" x14ac:dyDescent="0.35">
      <c r="A3578" s="5"/>
      <c r="B3578" s="5"/>
      <c r="C3578" s="5"/>
      <c r="D3578" s="6"/>
      <c r="E3578" s="5"/>
      <c r="F3578" s="6"/>
      <c r="G3578" s="5"/>
      <c r="H3578" s="5"/>
      <c r="I3578" s="5"/>
      <c r="J3578" s="5"/>
      <c r="M3578" s="5"/>
      <c r="N3578"/>
      <c r="O3578"/>
      <c r="P3578" s="5"/>
      <c r="Q3578" s="5"/>
      <c r="R3578" s="5"/>
      <c r="S3578" s="5"/>
      <c r="T3578" s="5"/>
      <c r="U3578" s="5"/>
      <c r="V3578" s="5"/>
      <c r="W3578" s="5"/>
      <c r="X3578" s="5"/>
      <c r="Y3578" s="5"/>
    </row>
    <row r="3579" spans="1:25" s="13" customFormat="1" x14ac:dyDescent="0.35">
      <c r="A3579" s="5"/>
      <c r="B3579" s="5"/>
      <c r="C3579" s="5"/>
      <c r="D3579" s="6"/>
      <c r="E3579" s="5"/>
      <c r="F3579" s="6"/>
      <c r="G3579" s="5"/>
      <c r="H3579" s="5"/>
      <c r="I3579" s="5"/>
      <c r="J3579" s="5"/>
      <c r="M3579" s="5"/>
      <c r="N3579"/>
      <c r="O3579"/>
      <c r="P3579" s="5"/>
      <c r="Q3579" s="5"/>
      <c r="R3579" s="5"/>
      <c r="S3579" s="5"/>
      <c r="T3579" s="5"/>
      <c r="U3579" s="5"/>
      <c r="V3579" s="5"/>
      <c r="W3579" s="5"/>
      <c r="X3579" s="5"/>
      <c r="Y3579" s="5"/>
    </row>
    <row r="3580" spans="1:25" s="13" customFormat="1" x14ac:dyDescent="0.35">
      <c r="A3580" s="5"/>
      <c r="B3580" s="5"/>
      <c r="C3580" s="5"/>
      <c r="D3580" s="6"/>
      <c r="E3580" s="5"/>
      <c r="F3580" s="6"/>
      <c r="G3580" s="5"/>
      <c r="H3580" s="5"/>
      <c r="I3580" s="5"/>
      <c r="J3580" s="5"/>
      <c r="M3580" s="5"/>
      <c r="N3580"/>
      <c r="O3580"/>
      <c r="P3580" s="5"/>
      <c r="Q3580" s="5"/>
      <c r="R3580" s="5"/>
      <c r="S3580" s="5"/>
      <c r="T3580" s="5"/>
      <c r="U3580" s="5"/>
      <c r="V3580" s="5"/>
      <c r="W3580" s="5"/>
      <c r="X3580" s="5"/>
      <c r="Y3580" s="5"/>
    </row>
    <row r="3581" spans="1:25" s="13" customFormat="1" x14ac:dyDescent="0.35">
      <c r="A3581" s="5"/>
      <c r="B3581" s="5"/>
      <c r="C3581" s="5"/>
      <c r="D3581" s="6"/>
      <c r="E3581" s="5"/>
      <c r="F3581" s="6"/>
      <c r="G3581" s="5"/>
      <c r="H3581" s="5"/>
      <c r="I3581" s="5"/>
      <c r="J3581" s="5"/>
      <c r="M3581" s="5"/>
      <c r="N3581"/>
      <c r="O3581"/>
      <c r="P3581" s="5"/>
      <c r="Q3581" s="5"/>
      <c r="R3581" s="5"/>
      <c r="S3581" s="5"/>
      <c r="T3581" s="5"/>
      <c r="U3581" s="5"/>
      <c r="V3581" s="5"/>
      <c r="W3581" s="5"/>
      <c r="X3581" s="5"/>
      <c r="Y3581" s="5"/>
    </row>
    <row r="3582" spans="1:25" s="13" customFormat="1" x14ac:dyDescent="0.35">
      <c r="A3582" s="5"/>
      <c r="B3582" s="5"/>
      <c r="C3582" s="5"/>
      <c r="D3582" s="6"/>
      <c r="E3582" s="5"/>
      <c r="F3582" s="6"/>
      <c r="G3582" s="5"/>
      <c r="H3582" s="5"/>
      <c r="I3582" s="5"/>
      <c r="J3582" s="5"/>
      <c r="M3582" s="5"/>
      <c r="N3582"/>
      <c r="O3582"/>
      <c r="P3582" s="5"/>
      <c r="Q3582" s="5"/>
      <c r="R3582" s="5"/>
      <c r="S3582" s="5"/>
      <c r="T3582" s="5"/>
      <c r="U3582" s="5"/>
      <c r="V3582" s="5"/>
      <c r="W3582" s="5"/>
      <c r="X3582" s="5"/>
      <c r="Y3582" s="5"/>
    </row>
    <row r="3583" spans="1:25" s="13" customFormat="1" x14ac:dyDescent="0.35">
      <c r="A3583" s="5"/>
      <c r="B3583" s="5"/>
      <c r="C3583" s="5"/>
      <c r="D3583" s="6"/>
      <c r="E3583" s="5"/>
      <c r="F3583" s="6"/>
      <c r="G3583" s="5"/>
      <c r="H3583" s="5"/>
      <c r="I3583" s="5"/>
      <c r="J3583" s="5"/>
      <c r="M3583" s="5"/>
      <c r="N3583"/>
      <c r="O3583"/>
      <c r="P3583" s="5"/>
      <c r="Q3583" s="5"/>
      <c r="R3583" s="5"/>
      <c r="S3583" s="5"/>
      <c r="T3583" s="5"/>
      <c r="U3583" s="5"/>
      <c r="V3583" s="5"/>
      <c r="W3583" s="5"/>
      <c r="X3583" s="5"/>
      <c r="Y3583" s="5"/>
    </row>
    <row r="3584" spans="1:25" s="13" customFormat="1" x14ac:dyDescent="0.35">
      <c r="A3584" s="5"/>
      <c r="B3584" s="5"/>
      <c r="C3584" s="5"/>
      <c r="D3584" s="6"/>
      <c r="E3584" s="5"/>
      <c r="F3584" s="6"/>
      <c r="G3584" s="5"/>
      <c r="H3584" s="5"/>
      <c r="I3584" s="5"/>
      <c r="J3584" s="5"/>
      <c r="M3584" s="5"/>
      <c r="N3584"/>
      <c r="O3584"/>
      <c r="P3584" s="5"/>
      <c r="Q3584" s="5"/>
      <c r="R3584" s="5"/>
      <c r="S3584" s="5"/>
      <c r="T3584" s="5"/>
      <c r="U3584" s="5"/>
      <c r="V3584" s="5"/>
      <c r="W3584" s="5"/>
      <c r="X3584" s="5"/>
      <c r="Y3584" s="5"/>
    </row>
    <row r="3585" spans="1:25" s="13" customFormat="1" x14ac:dyDescent="0.35">
      <c r="A3585" s="5"/>
      <c r="B3585" s="5"/>
      <c r="C3585" s="5"/>
      <c r="D3585" s="6"/>
      <c r="E3585" s="5"/>
      <c r="F3585" s="6"/>
      <c r="G3585" s="5"/>
      <c r="H3585" s="5"/>
      <c r="I3585" s="5"/>
      <c r="J3585" s="5"/>
      <c r="M3585" s="5"/>
      <c r="N3585"/>
      <c r="O3585"/>
      <c r="P3585" s="5"/>
      <c r="Q3585" s="5"/>
      <c r="R3585" s="5"/>
      <c r="S3585" s="5"/>
      <c r="T3585" s="5"/>
      <c r="U3585" s="5"/>
      <c r="V3585" s="5"/>
      <c r="W3585" s="5"/>
      <c r="X3585" s="5"/>
      <c r="Y3585" s="5"/>
    </row>
    <row r="3586" spans="1:25" x14ac:dyDescent="0.35">
      <c r="N3586"/>
      <c r="O3586"/>
    </row>
    <row r="3587" spans="1:25" x14ac:dyDescent="0.35">
      <c r="N3587"/>
      <c r="O3587"/>
    </row>
    <row r="3588" spans="1:25" x14ac:dyDescent="0.35">
      <c r="N3588"/>
      <c r="O3588"/>
    </row>
    <row r="3589" spans="1:25" x14ac:dyDescent="0.35">
      <c r="N3589"/>
      <c r="O3589"/>
    </row>
    <row r="3590" spans="1:25" x14ac:dyDescent="0.35">
      <c r="N3590"/>
      <c r="O3590"/>
    </row>
    <row r="3591" spans="1:25" x14ac:dyDescent="0.35">
      <c r="N3591"/>
      <c r="O3591"/>
    </row>
    <row r="3592" spans="1:25" x14ac:dyDescent="0.35">
      <c r="N3592"/>
      <c r="O3592"/>
    </row>
    <row r="3593" spans="1:25" x14ac:dyDescent="0.35">
      <c r="N3593"/>
      <c r="O3593"/>
    </row>
    <row r="3594" spans="1:25" x14ac:dyDescent="0.35">
      <c r="N3594"/>
      <c r="O3594"/>
    </row>
    <row r="3595" spans="1:25" x14ac:dyDescent="0.35">
      <c r="N3595"/>
      <c r="O3595"/>
    </row>
    <row r="3596" spans="1:25" x14ac:dyDescent="0.35">
      <c r="N3596"/>
      <c r="O3596"/>
    </row>
    <row r="3597" spans="1:25" x14ac:dyDescent="0.35">
      <c r="N3597"/>
      <c r="O3597"/>
    </row>
    <row r="3613" spans="1:25" s="13" customFormat="1" x14ac:dyDescent="0.35">
      <c r="A3613" s="5"/>
      <c r="B3613" s="5"/>
      <c r="C3613" s="5"/>
      <c r="D3613" s="6"/>
      <c r="E3613" s="5"/>
      <c r="F3613" s="6"/>
      <c r="G3613" s="5"/>
      <c r="H3613" s="5"/>
      <c r="I3613" s="5"/>
      <c r="J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</row>
    <row r="3614" spans="1:25" s="13" customFormat="1" x14ac:dyDescent="0.35">
      <c r="A3614" s="5"/>
      <c r="B3614" s="5"/>
      <c r="C3614" s="5"/>
      <c r="D3614" s="6"/>
      <c r="E3614" s="5"/>
      <c r="F3614" s="6"/>
      <c r="G3614" s="5"/>
      <c r="H3614" s="5"/>
      <c r="I3614" s="5"/>
      <c r="J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</row>
    <row r="3615" spans="1:25" s="13" customFormat="1" x14ac:dyDescent="0.35">
      <c r="A3615" s="5"/>
      <c r="B3615" s="5"/>
      <c r="C3615" s="5"/>
      <c r="D3615" s="6"/>
      <c r="E3615" s="5"/>
      <c r="F3615" s="6"/>
      <c r="G3615" s="5"/>
      <c r="H3615" s="5"/>
      <c r="I3615" s="5"/>
      <c r="J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</row>
    <row r="3616" spans="1:25" s="13" customFormat="1" x14ac:dyDescent="0.35">
      <c r="A3616" s="5"/>
      <c r="B3616" s="5"/>
      <c r="C3616" s="5"/>
      <c r="D3616" s="6"/>
      <c r="E3616" s="5"/>
      <c r="F3616" s="6"/>
      <c r="G3616" s="5"/>
      <c r="H3616" s="5"/>
      <c r="I3616" s="5"/>
      <c r="J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</row>
    <row r="3619" spans="1:25" s="13" customFormat="1" x14ac:dyDescent="0.35">
      <c r="A3619" s="5"/>
      <c r="B3619" s="5"/>
      <c r="C3619" s="5"/>
      <c r="D3619" s="6"/>
      <c r="E3619" s="5"/>
      <c r="F3619" s="6"/>
      <c r="G3619" s="5"/>
      <c r="H3619" s="5"/>
      <c r="I3619" s="5"/>
      <c r="J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</row>
    <row r="3620" spans="1:25" s="13" customFormat="1" x14ac:dyDescent="0.35">
      <c r="A3620" s="5"/>
      <c r="B3620" s="5"/>
      <c r="C3620" s="5"/>
      <c r="D3620" s="6"/>
      <c r="E3620" s="5"/>
      <c r="F3620" s="6"/>
      <c r="G3620" s="5"/>
      <c r="H3620" s="5"/>
      <c r="I3620" s="5"/>
      <c r="J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</row>
    <row r="3621" spans="1:25" s="13" customFormat="1" x14ac:dyDescent="0.35">
      <c r="A3621" s="5"/>
      <c r="B3621" s="5"/>
      <c r="C3621" s="5"/>
      <c r="D3621" s="6"/>
      <c r="E3621" s="5"/>
      <c r="F3621" s="6"/>
      <c r="G3621" s="5"/>
      <c r="H3621" s="5"/>
      <c r="I3621" s="5"/>
      <c r="J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</row>
    <row r="3622" spans="1:25" s="13" customFormat="1" x14ac:dyDescent="0.35">
      <c r="A3622" s="5"/>
      <c r="B3622" s="5"/>
      <c r="C3622" s="5"/>
      <c r="D3622" s="6"/>
      <c r="E3622" s="5"/>
      <c r="F3622" s="6"/>
      <c r="G3622" s="5"/>
      <c r="H3622" s="5"/>
      <c r="I3622" s="5"/>
      <c r="J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</row>
    <row r="3623" spans="1:25" s="13" customFormat="1" x14ac:dyDescent="0.35">
      <c r="A3623" s="5"/>
      <c r="B3623" s="5"/>
      <c r="C3623" s="5"/>
      <c r="D3623" s="6"/>
      <c r="E3623" s="5"/>
      <c r="F3623" s="6"/>
      <c r="G3623" s="5"/>
      <c r="H3623" s="5"/>
      <c r="I3623" s="5"/>
      <c r="J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</row>
    <row r="3624" spans="1:25" s="13" customFormat="1" x14ac:dyDescent="0.35">
      <c r="A3624" s="5"/>
      <c r="B3624" s="5"/>
      <c r="C3624" s="5"/>
      <c r="D3624" s="6"/>
      <c r="E3624" s="5"/>
      <c r="F3624" s="6"/>
      <c r="G3624" s="5"/>
      <c r="H3624" s="5"/>
      <c r="I3624" s="5"/>
      <c r="J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</row>
    <row r="3625" spans="1:25" s="13" customFormat="1" x14ac:dyDescent="0.35">
      <c r="A3625" s="5"/>
      <c r="B3625" s="5"/>
      <c r="C3625" s="5"/>
      <c r="D3625" s="6"/>
      <c r="E3625" s="5"/>
      <c r="F3625" s="6"/>
      <c r="G3625" s="5"/>
      <c r="H3625" s="5"/>
      <c r="I3625" s="5"/>
      <c r="J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</row>
    <row r="3626" spans="1:25" s="13" customFormat="1" x14ac:dyDescent="0.35">
      <c r="A3626" s="5"/>
      <c r="B3626" s="5"/>
      <c r="C3626" s="5"/>
      <c r="D3626" s="6"/>
      <c r="E3626" s="5"/>
      <c r="F3626" s="6"/>
      <c r="G3626" s="5"/>
      <c r="H3626" s="5"/>
      <c r="I3626" s="5"/>
      <c r="J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</row>
    <row r="3627" spans="1:25" s="13" customFormat="1" x14ac:dyDescent="0.35">
      <c r="A3627" s="5"/>
      <c r="B3627" s="5"/>
      <c r="C3627" s="5"/>
      <c r="D3627" s="6"/>
      <c r="E3627" s="5"/>
      <c r="F3627" s="6"/>
      <c r="G3627" s="5"/>
      <c r="H3627" s="5"/>
      <c r="I3627" s="5"/>
      <c r="J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</row>
    <row r="3628" spans="1:25" s="13" customFormat="1" x14ac:dyDescent="0.35">
      <c r="A3628" s="5"/>
      <c r="B3628" s="5"/>
      <c r="C3628" s="5"/>
      <c r="D3628" s="6"/>
      <c r="E3628" s="5"/>
      <c r="F3628" s="6"/>
      <c r="G3628" s="5"/>
      <c r="H3628" s="5"/>
      <c r="I3628" s="5"/>
      <c r="J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</row>
    <row r="3664" spans="13:25" x14ac:dyDescent="0.35">
      <c r="M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</row>
    <row r="3665" spans="13:25" x14ac:dyDescent="0.35">
      <c r="M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</row>
    <row r="3666" spans="13:25" x14ac:dyDescent="0.35">
      <c r="M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</row>
    <row r="3667" spans="13:25" x14ac:dyDescent="0.35">
      <c r="M3667" s="13"/>
      <c r="O3667" s="13"/>
      <c r="P3667" s="13"/>
      <c r="Q3667" s="13"/>
      <c r="R3667" s="13"/>
      <c r="S3667" s="13"/>
      <c r="T3667" s="13"/>
      <c r="U3667" s="13"/>
      <c r="V3667" s="13"/>
      <c r="W3667" s="13"/>
      <c r="X3667" s="13"/>
      <c r="Y3667" s="13"/>
    </row>
    <row r="3668" spans="13:25" x14ac:dyDescent="0.35">
      <c r="M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</row>
    <row r="3669" spans="13:25" x14ac:dyDescent="0.35">
      <c r="M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</row>
    <row r="3670" spans="13:25" x14ac:dyDescent="0.35">
      <c r="M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</row>
    <row r="3702" spans="1:25" s="13" customFormat="1" x14ac:dyDescent="0.35">
      <c r="A3702" s="5"/>
      <c r="B3702" s="5"/>
      <c r="C3702" s="5"/>
      <c r="D3702" s="6"/>
      <c r="E3702" s="5"/>
      <c r="F3702" s="6"/>
      <c r="G3702" s="5"/>
      <c r="H3702" s="5"/>
      <c r="I3702" s="5"/>
      <c r="J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</row>
    <row r="3703" spans="1:25" s="13" customFormat="1" x14ac:dyDescent="0.35">
      <c r="A3703" s="5"/>
      <c r="B3703" s="5"/>
      <c r="C3703" s="5"/>
      <c r="D3703" s="6"/>
      <c r="E3703" s="5"/>
      <c r="F3703" s="6"/>
      <c r="G3703" s="5"/>
      <c r="H3703" s="5"/>
      <c r="I3703" s="5"/>
      <c r="J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</row>
    <row r="3704" spans="1:25" s="13" customFormat="1" x14ac:dyDescent="0.35">
      <c r="A3704" s="5"/>
      <c r="B3704" s="5"/>
      <c r="C3704" s="5"/>
      <c r="D3704" s="6"/>
      <c r="E3704" s="5"/>
      <c r="F3704" s="6"/>
      <c r="G3704" s="5"/>
      <c r="H3704" s="5"/>
      <c r="I3704" s="5"/>
      <c r="J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</row>
    <row r="3705" spans="1:25" s="13" customFormat="1" x14ac:dyDescent="0.35">
      <c r="A3705" s="5"/>
      <c r="B3705" s="5"/>
      <c r="C3705" s="5"/>
      <c r="D3705" s="6"/>
      <c r="E3705" s="5"/>
      <c r="F3705" s="6"/>
      <c r="G3705" s="5"/>
      <c r="H3705" s="5"/>
      <c r="I3705" s="5"/>
      <c r="J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</row>
    <row r="3706" spans="1:25" s="13" customFormat="1" x14ac:dyDescent="0.35">
      <c r="A3706" s="5"/>
      <c r="B3706" s="5"/>
      <c r="C3706" s="5"/>
      <c r="D3706" s="6"/>
      <c r="E3706" s="5"/>
      <c r="F3706" s="6"/>
      <c r="G3706" s="5"/>
      <c r="H3706" s="5"/>
      <c r="I3706" s="5"/>
      <c r="J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</row>
    <row r="3707" spans="1:25" s="13" customFormat="1" x14ac:dyDescent="0.35">
      <c r="A3707" s="5"/>
      <c r="B3707" s="5"/>
      <c r="C3707" s="5"/>
      <c r="D3707" s="6"/>
      <c r="E3707" s="5"/>
      <c r="F3707" s="6"/>
      <c r="G3707" s="5"/>
      <c r="H3707" s="5"/>
      <c r="I3707" s="5"/>
      <c r="J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</row>
    <row r="3735" spans="13:25" x14ac:dyDescent="0.35">
      <c r="M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</row>
    <row r="3736" spans="13:25" x14ac:dyDescent="0.35">
      <c r="M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</row>
    <row r="3751" spans="13:25" x14ac:dyDescent="0.35">
      <c r="M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</row>
    <row r="3856" spans="13:25" x14ac:dyDescent="0.35">
      <c r="M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</row>
    <row r="3891" spans="13:25" x14ac:dyDescent="0.35">
      <c r="M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</row>
    <row r="4150" spans="1:25" s="13" customFormat="1" x14ac:dyDescent="0.35">
      <c r="A4150" s="5"/>
      <c r="B4150" s="5"/>
      <c r="C4150" s="5"/>
      <c r="D4150" s="6"/>
      <c r="E4150" s="5"/>
      <c r="F4150" s="6"/>
      <c r="G4150" s="5"/>
      <c r="H4150" s="5"/>
      <c r="I4150" s="5"/>
      <c r="J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</row>
    <row r="4151" spans="1:25" s="13" customFormat="1" x14ac:dyDescent="0.35">
      <c r="A4151" s="5"/>
      <c r="B4151" s="5"/>
      <c r="C4151" s="5"/>
      <c r="D4151" s="6"/>
      <c r="E4151" s="5"/>
      <c r="F4151" s="6"/>
      <c r="G4151" s="5"/>
      <c r="H4151" s="5"/>
      <c r="I4151" s="5"/>
      <c r="J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</row>
    <row r="4152" spans="1:25" s="13" customFormat="1" x14ac:dyDescent="0.35">
      <c r="A4152" s="5"/>
      <c r="B4152" s="5"/>
      <c r="C4152" s="5"/>
      <c r="D4152" s="6"/>
      <c r="E4152" s="5"/>
      <c r="F4152" s="6"/>
      <c r="G4152" s="5"/>
      <c r="H4152" s="5"/>
      <c r="I4152" s="5"/>
      <c r="J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</row>
    <row r="4153" spans="1:25" s="13" customFormat="1" x14ac:dyDescent="0.35">
      <c r="A4153" s="5"/>
      <c r="B4153" s="5"/>
      <c r="C4153" s="5"/>
      <c r="D4153" s="6"/>
      <c r="E4153" s="5"/>
      <c r="F4153" s="6"/>
      <c r="G4153" s="5"/>
      <c r="H4153" s="5"/>
      <c r="I4153" s="5"/>
      <c r="J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</row>
    <row r="4154" spans="1:25" s="13" customFormat="1" x14ac:dyDescent="0.35">
      <c r="A4154" s="5"/>
      <c r="B4154" s="5"/>
      <c r="C4154" s="5"/>
      <c r="D4154" s="6"/>
      <c r="E4154" s="5"/>
      <c r="F4154" s="6"/>
      <c r="G4154" s="5"/>
      <c r="H4154" s="5"/>
      <c r="I4154" s="5"/>
      <c r="J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</row>
    <row r="4155" spans="1:25" s="13" customFormat="1" x14ac:dyDescent="0.35">
      <c r="A4155" s="5"/>
      <c r="B4155" s="5"/>
      <c r="C4155" s="5"/>
      <c r="D4155" s="6"/>
      <c r="E4155" s="5"/>
      <c r="F4155" s="6"/>
      <c r="G4155" s="5"/>
      <c r="H4155" s="5"/>
      <c r="I4155" s="5"/>
      <c r="J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</row>
    <row r="4156" spans="1:25" s="13" customFormat="1" x14ac:dyDescent="0.35">
      <c r="A4156" s="5"/>
      <c r="B4156" s="5"/>
      <c r="C4156" s="5"/>
      <c r="D4156" s="6"/>
      <c r="E4156" s="5"/>
      <c r="F4156" s="6"/>
      <c r="G4156" s="5"/>
      <c r="H4156" s="5"/>
      <c r="I4156" s="5"/>
      <c r="J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</row>
    <row r="4221" spans="1:25" s="13" customFormat="1" x14ac:dyDescent="0.35">
      <c r="A4221" s="5"/>
      <c r="B4221" s="5"/>
      <c r="C4221" s="5"/>
      <c r="D4221" s="6"/>
      <c r="E4221" s="5"/>
      <c r="F4221" s="6"/>
      <c r="G4221" s="5"/>
      <c r="H4221" s="5"/>
      <c r="I4221" s="5"/>
      <c r="J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</row>
    <row r="4222" spans="1:25" s="13" customFormat="1" x14ac:dyDescent="0.35">
      <c r="A4222" s="5"/>
      <c r="B4222" s="5"/>
      <c r="C4222" s="5"/>
      <c r="D4222" s="6"/>
      <c r="E4222" s="5"/>
      <c r="F4222" s="6"/>
      <c r="G4222" s="5"/>
      <c r="H4222" s="5"/>
      <c r="I4222" s="5"/>
      <c r="J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</row>
    <row r="4237" spans="1:25" s="13" customFormat="1" x14ac:dyDescent="0.35">
      <c r="A4237" s="5"/>
      <c r="B4237" s="5"/>
      <c r="C4237" s="5"/>
      <c r="D4237" s="6"/>
      <c r="E4237" s="5"/>
      <c r="F4237" s="6"/>
      <c r="G4237" s="5"/>
      <c r="H4237" s="5"/>
      <c r="I4237" s="5"/>
      <c r="J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</row>
    <row r="4342" spans="1:25" s="13" customFormat="1" x14ac:dyDescent="0.35">
      <c r="A4342" s="5"/>
      <c r="B4342" s="5"/>
      <c r="C4342" s="5"/>
      <c r="D4342" s="6"/>
      <c r="E4342" s="5"/>
      <c r="F4342" s="6"/>
      <c r="G4342" s="5"/>
      <c r="H4342" s="5"/>
      <c r="I4342" s="5"/>
      <c r="J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</row>
    <row r="4357" ht="14.25" customHeight="1" x14ac:dyDescent="0.35"/>
    <row r="4377" spans="1:25" s="13" customFormat="1" x14ac:dyDescent="0.35">
      <c r="A4377" s="5"/>
      <c r="B4377" s="5"/>
      <c r="C4377" s="5"/>
      <c r="D4377" s="6"/>
      <c r="E4377" s="5"/>
      <c r="F4377" s="6"/>
      <c r="G4377" s="5"/>
      <c r="H4377" s="5"/>
      <c r="I4377" s="5"/>
      <c r="J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</row>
    <row r="4543" spans="16:22" x14ac:dyDescent="0.35">
      <c r="P4543" s="15"/>
      <c r="Q4543" s="15"/>
      <c r="R4543" s="15"/>
      <c r="S4543" s="15"/>
      <c r="U4543" s="15"/>
      <c r="V4543" s="16"/>
    </row>
    <row r="4544" spans="16:22" x14ac:dyDescent="0.35">
      <c r="P4544" s="15"/>
      <c r="Q4544" s="15"/>
      <c r="R4544" s="15"/>
      <c r="S4544" s="15"/>
      <c r="U4544" s="15"/>
    </row>
    <row r="4545" spans="16:22" x14ac:dyDescent="0.35">
      <c r="P4545" s="15"/>
      <c r="Q4545" s="15"/>
      <c r="R4545" s="15"/>
      <c r="S4545" s="15"/>
      <c r="U4545" s="15"/>
      <c r="V4545" s="16"/>
    </row>
    <row r="4546" spans="16:22" x14ac:dyDescent="0.35">
      <c r="P4546" s="15"/>
      <c r="Q4546" s="15"/>
      <c r="R4546" s="15"/>
      <c r="S4546" s="15"/>
      <c r="U4546" s="15"/>
    </row>
    <row r="4547" spans="16:22" x14ac:dyDescent="0.35">
      <c r="P4547" s="15"/>
      <c r="Q4547" s="15"/>
      <c r="R4547" s="15"/>
      <c r="S4547" s="15"/>
      <c r="U4547" s="15"/>
      <c r="V4547" s="16"/>
    </row>
    <row r="4548" spans="16:22" x14ac:dyDescent="0.35">
      <c r="P4548" s="15"/>
      <c r="Q4548" s="15"/>
      <c r="R4548" s="15"/>
      <c r="S4548" s="15"/>
      <c r="U4548" s="15"/>
    </row>
    <row r="4549" spans="16:22" x14ac:dyDescent="0.35">
      <c r="P4549" s="15"/>
      <c r="Q4549" s="15"/>
      <c r="R4549" s="15"/>
      <c r="S4549" s="15"/>
      <c r="U4549" s="15"/>
      <c r="V4549" s="16"/>
    </row>
    <row r="4550" spans="16:22" x14ac:dyDescent="0.35">
      <c r="P4550" s="15"/>
      <c r="Q4550" s="15"/>
      <c r="R4550" s="15"/>
      <c r="S4550" s="15"/>
      <c r="U4550" s="15"/>
    </row>
    <row r="4551" spans="16:22" x14ac:dyDescent="0.35">
      <c r="P4551" s="15"/>
      <c r="Q4551" s="15"/>
      <c r="R4551" s="15"/>
      <c r="S4551" s="15"/>
      <c r="U4551" s="15"/>
      <c r="V4551" s="16"/>
    </row>
    <row r="4552" spans="16:22" x14ac:dyDescent="0.35">
      <c r="P4552" s="15"/>
      <c r="Q4552" s="15"/>
      <c r="R4552" s="15"/>
      <c r="S4552" s="15"/>
      <c r="U4552" s="15"/>
    </row>
    <row r="4553" spans="16:22" x14ac:dyDescent="0.35">
      <c r="P4553" s="15"/>
      <c r="Q4553" s="15"/>
      <c r="R4553" s="15"/>
      <c r="S4553" s="15"/>
      <c r="U4553" s="15"/>
      <c r="V4553" s="16"/>
    </row>
    <row r="4554" spans="16:22" x14ac:dyDescent="0.35">
      <c r="P4554" s="15"/>
      <c r="Q4554" s="15"/>
      <c r="R4554" s="15"/>
      <c r="S4554" s="15"/>
      <c r="U4554" s="15"/>
    </row>
    <row r="4555" spans="16:22" x14ac:dyDescent="0.35">
      <c r="P4555" s="15"/>
      <c r="Q4555" s="15"/>
      <c r="R4555" s="15"/>
      <c r="S4555" s="15"/>
      <c r="U4555" s="15"/>
      <c r="V4555" s="16"/>
    </row>
    <row r="4556" spans="16:22" x14ac:dyDescent="0.35">
      <c r="P4556" s="15"/>
      <c r="Q4556" s="15"/>
      <c r="R4556" s="15"/>
      <c r="S4556" s="15"/>
      <c r="U4556" s="15"/>
    </row>
    <row r="4557" spans="16:22" x14ac:dyDescent="0.35">
      <c r="P4557" s="15"/>
      <c r="Q4557" s="15"/>
      <c r="R4557" s="15"/>
      <c r="S4557" s="15"/>
      <c r="U4557" s="15"/>
      <c r="V4557" s="16"/>
    </row>
    <row r="4558" spans="16:22" x14ac:dyDescent="0.35">
      <c r="P4558" s="15"/>
      <c r="Q4558" s="15"/>
      <c r="R4558" s="15"/>
      <c r="S4558" s="15"/>
      <c r="U4558" s="15"/>
    </row>
    <row r="4559" spans="16:22" x14ac:dyDescent="0.35">
      <c r="P4559" s="15"/>
      <c r="Q4559" s="15"/>
      <c r="R4559" s="15"/>
      <c r="S4559" s="15"/>
      <c r="U4559" s="15"/>
      <c r="V4559" s="16"/>
    </row>
    <row r="4560" spans="16:22" x14ac:dyDescent="0.35">
      <c r="P4560" s="15"/>
      <c r="Q4560" s="15"/>
      <c r="R4560" s="15"/>
      <c r="S4560" s="15"/>
      <c r="U4560" s="15"/>
    </row>
    <row r="4561" spans="16:22" x14ac:dyDescent="0.35">
      <c r="P4561" s="15"/>
      <c r="Q4561" s="15"/>
      <c r="R4561" s="15"/>
      <c r="S4561" s="15"/>
      <c r="U4561" s="15"/>
      <c r="V4561" s="16"/>
    </row>
    <row r="4562" spans="16:22" x14ac:dyDescent="0.35">
      <c r="P4562" s="15"/>
      <c r="Q4562" s="15"/>
      <c r="R4562" s="15"/>
      <c r="S4562" s="15"/>
      <c r="U4562" s="15"/>
    </row>
    <row r="4563" spans="16:22" x14ac:dyDescent="0.35">
      <c r="P4563" s="15"/>
      <c r="Q4563" s="15"/>
      <c r="R4563" s="15"/>
      <c r="S4563" s="15"/>
      <c r="U4563" s="15"/>
      <c r="V4563" s="16"/>
    </row>
    <row r="4564" spans="16:22" x14ac:dyDescent="0.35">
      <c r="P4564" s="15"/>
      <c r="Q4564" s="15"/>
      <c r="R4564" s="15"/>
      <c r="S4564" s="15"/>
      <c r="U4564" s="15"/>
    </row>
    <row r="4565" spans="16:22" x14ac:dyDescent="0.35">
      <c r="P4565" s="15"/>
      <c r="Q4565" s="15"/>
      <c r="R4565" s="15"/>
      <c r="S4565" s="15"/>
      <c r="U4565" s="15"/>
      <c r="V4565" s="16"/>
    </row>
    <row r="4566" spans="16:22" x14ac:dyDescent="0.35">
      <c r="P4566" s="15"/>
      <c r="Q4566" s="15"/>
      <c r="R4566" s="15"/>
      <c r="S4566" s="15"/>
      <c r="U4566" s="15"/>
    </row>
    <row r="4567" spans="16:22" x14ac:dyDescent="0.35">
      <c r="P4567" s="15"/>
      <c r="Q4567" s="15"/>
      <c r="R4567" s="15"/>
      <c r="S4567" s="15"/>
      <c r="U4567" s="15"/>
      <c r="V4567" s="16"/>
    </row>
    <row r="4568" spans="16:22" x14ac:dyDescent="0.35">
      <c r="P4568" s="15"/>
      <c r="Q4568" s="15"/>
      <c r="R4568" s="15"/>
      <c r="S4568" s="15"/>
      <c r="U4568" s="15"/>
    </row>
    <row r="4569" spans="16:22" x14ac:dyDescent="0.35">
      <c r="P4569" s="15"/>
      <c r="Q4569" s="15"/>
      <c r="R4569" s="15"/>
      <c r="S4569" s="15"/>
      <c r="U4569" s="15"/>
      <c r="V4569" s="16"/>
    </row>
    <row r="4570" spans="16:22" x14ac:dyDescent="0.35">
      <c r="P4570" s="15"/>
      <c r="Q4570" s="15"/>
      <c r="R4570" s="15"/>
      <c r="S4570" s="15"/>
      <c r="U4570" s="15"/>
    </row>
    <row r="4571" spans="16:22" x14ac:dyDescent="0.35">
      <c r="P4571" s="15"/>
      <c r="Q4571" s="15"/>
      <c r="R4571" s="15"/>
      <c r="S4571" s="15"/>
      <c r="U4571" s="15"/>
      <c r="V4571" s="16"/>
    </row>
    <row r="4572" spans="16:22" x14ac:dyDescent="0.35">
      <c r="P4572" s="15"/>
      <c r="Q4572" s="15"/>
      <c r="R4572" s="15"/>
      <c r="S4572" s="15"/>
      <c r="U4572" s="15"/>
    </row>
    <row r="4573" spans="16:22" x14ac:dyDescent="0.35">
      <c r="P4573" s="15"/>
      <c r="Q4573" s="15"/>
      <c r="R4573" s="15"/>
      <c r="S4573" s="15"/>
      <c r="U4573" s="15"/>
      <c r="V4573" s="16"/>
    </row>
    <row r="4574" spans="16:22" x14ac:dyDescent="0.35">
      <c r="P4574" s="15"/>
      <c r="Q4574" s="15"/>
      <c r="R4574" s="15"/>
      <c r="S4574" s="15"/>
      <c r="U4574" s="15"/>
    </row>
    <row r="4575" spans="16:22" x14ac:dyDescent="0.35">
      <c r="P4575" s="15"/>
      <c r="Q4575" s="15"/>
      <c r="R4575" s="15"/>
      <c r="S4575" s="15"/>
      <c r="U4575" s="15"/>
      <c r="V4575" s="16"/>
    </row>
    <row r="4576" spans="16:22" x14ac:dyDescent="0.35">
      <c r="P4576" s="15"/>
      <c r="Q4576" s="15"/>
      <c r="R4576" s="15"/>
      <c r="S4576" s="15"/>
      <c r="U4576" s="15"/>
    </row>
    <row r="4577" spans="16:22" x14ac:dyDescent="0.35">
      <c r="P4577" s="15"/>
      <c r="Q4577" s="15"/>
      <c r="R4577" s="15"/>
      <c r="S4577" s="15"/>
      <c r="U4577" s="15"/>
      <c r="V4577" s="16"/>
    </row>
    <row r="4578" spans="16:22" x14ac:dyDescent="0.35">
      <c r="P4578" s="15"/>
      <c r="Q4578" s="15"/>
      <c r="R4578" s="15"/>
      <c r="S4578" s="15"/>
      <c r="U4578" s="15"/>
    </row>
    <row r="4579" spans="16:22" x14ac:dyDescent="0.35">
      <c r="P4579" s="15"/>
      <c r="Q4579" s="15"/>
      <c r="R4579" s="15"/>
      <c r="S4579" s="15"/>
      <c r="U4579" s="15"/>
      <c r="V4579" s="16"/>
    </row>
    <row r="4580" spans="16:22" x14ac:dyDescent="0.35">
      <c r="P4580" s="15"/>
      <c r="Q4580" s="15"/>
      <c r="R4580" s="15"/>
      <c r="S4580" s="15"/>
      <c r="U4580" s="15"/>
    </row>
    <row r="4581" spans="16:22" x14ac:dyDescent="0.35">
      <c r="P4581" s="15"/>
      <c r="Q4581" s="15"/>
      <c r="R4581" s="15"/>
      <c r="S4581" s="15"/>
      <c r="U4581" s="15"/>
      <c r="V4581" s="16"/>
    </row>
    <row r="4582" spans="16:22" x14ac:dyDescent="0.35">
      <c r="P4582" s="15"/>
      <c r="Q4582" s="15"/>
      <c r="R4582" s="15"/>
      <c r="S4582" s="15"/>
      <c r="U4582" s="15"/>
    </row>
    <row r="4583" spans="16:22" x14ac:dyDescent="0.35">
      <c r="P4583" s="15"/>
      <c r="Q4583" s="15"/>
      <c r="R4583" s="15"/>
      <c r="S4583" s="15"/>
      <c r="U4583" s="15"/>
      <c r="V4583" s="16"/>
    </row>
    <row r="4584" spans="16:22" x14ac:dyDescent="0.35">
      <c r="P4584" s="15"/>
      <c r="Q4584" s="15"/>
      <c r="R4584" s="15"/>
      <c r="S4584" s="15"/>
      <c r="U4584" s="15"/>
    </row>
    <row r="4585" spans="16:22" x14ac:dyDescent="0.35">
      <c r="P4585" s="15"/>
      <c r="Q4585" s="15"/>
      <c r="R4585" s="15"/>
      <c r="S4585" s="15"/>
      <c r="U4585" s="15"/>
      <c r="V4585" s="16"/>
    </row>
    <row r="4586" spans="16:22" x14ac:dyDescent="0.35">
      <c r="P4586" s="15"/>
      <c r="Q4586" s="15"/>
      <c r="R4586" s="15"/>
      <c r="S4586" s="15"/>
      <c r="U4586" s="15"/>
    </row>
    <row r="4587" spans="16:22" x14ac:dyDescent="0.35">
      <c r="P4587" s="15"/>
      <c r="Q4587" s="15"/>
      <c r="R4587" s="15"/>
      <c r="S4587" s="15"/>
      <c r="U4587" s="15"/>
      <c r="V4587" s="16"/>
    </row>
    <row r="4588" spans="16:22" x14ac:dyDescent="0.35">
      <c r="P4588" s="15"/>
      <c r="Q4588" s="15"/>
      <c r="R4588" s="15"/>
      <c r="S4588" s="15"/>
      <c r="U4588" s="15"/>
    </row>
    <row r="4589" spans="16:22" x14ac:dyDescent="0.35">
      <c r="P4589" s="15"/>
      <c r="Q4589" s="15"/>
      <c r="R4589" s="15"/>
      <c r="S4589" s="15"/>
      <c r="U4589" s="15"/>
      <c r="V4589" s="16"/>
    </row>
    <row r="4590" spans="16:22" x14ac:dyDescent="0.35">
      <c r="P4590" s="15"/>
      <c r="Q4590" s="15"/>
      <c r="R4590" s="15"/>
      <c r="S4590" s="15"/>
      <c r="U4590" s="15"/>
    </row>
    <row r="4591" spans="16:22" x14ac:dyDescent="0.35">
      <c r="P4591" s="15"/>
      <c r="Q4591" s="15"/>
      <c r="R4591" s="15"/>
      <c r="S4591" s="15"/>
      <c r="U4591" s="15"/>
      <c r="V4591" s="16"/>
    </row>
    <row r="4592" spans="16:22" x14ac:dyDescent="0.35">
      <c r="P4592" s="15"/>
      <c r="Q4592" s="15"/>
      <c r="R4592" s="15"/>
      <c r="S4592" s="15"/>
      <c r="U4592" s="15"/>
    </row>
    <row r="4593" spans="16:22" x14ac:dyDescent="0.35">
      <c r="P4593" s="15"/>
      <c r="Q4593" s="15"/>
      <c r="R4593" s="15"/>
      <c r="S4593" s="15"/>
      <c r="U4593" s="15"/>
      <c r="V4593" s="16"/>
    </row>
    <row r="4594" spans="16:22" x14ac:dyDescent="0.35">
      <c r="P4594" s="15"/>
      <c r="Q4594" s="15"/>
      <c r="R4594" s="15"/>
      <c r="S4594" s="15"/>
      <c r="U4594" s="15"/>
    </row>
    <row r="4595" spans="16:22" x14ac:dyDescent="0.35">
      <c r="P4595" s="15"/>
      <c r="Q4595" s="15"/>
      <c r="R4595" s="15"/>
      <c r="S4595" s="15"/>
      <c r="U4595" s="15"/>
      <c r="V4595" s="16"/>
    </row>
    <row r="4596" spans="16:22" x14ac:dyDescent="0.35">
      <c r="P4596" s="15"/>
      <c r="Q4596" s="15"/>
      <c r="R4596" s="15"/>
      <c r="S4596" s="15"/>
      <c r="U4596" s="15"/>
    </row>
    <row r="4597" spans="16:22" x14ac:dyDescent="0.35">
      <c r="P4597" s="15"/>
      <c r="Q4597" s="15"/>
      <c r="R4597" s="15"/>
      <c r="S4597" s="15"/>
      <c r="U4597" s="15"/>
      <c r="V4597" s="16"/>
    </row>
    <row r="4598" spans="16:22" x14ac:dyDescent="0.35">
      <c r="P4598" s="15"/>
      <c r="Q4598" s="15"/>
      <c r="R4598" s="15"/>
      <c r="S4598" s="15"/>
      <c r="U4598" s="15"/>
    </row>
    <row r="4599" spans="16:22" x14ac:dyDescent="0.35">
      <c r="P4599" s="15"/>
      <c r="Q4599" s="15"/>
      <c r="R4599" s="15"/>
      <c r="S4599" s="15"/>
      <c r="U4599" s="15"/>
      <c r="V4599" s="16"/>
    </row>
    <row r="4600" spans="16:22" x14ac:dyDescent="0.35">
      <c r="P4600" s="15"/>
      <c r="Q4600" s="15"/>
      <c r="R4600" s="15"/>
      <c r="S4600" s="15"/>
      <c r="U4600" s="15"/>
    </row>
    <row r="4601" spans="16:22" x14ac:dyDescent="0.35">
      <c r="P4601" s="15"/>
      <c r="Q4601" s="15"/>
      <c r="R4601" s="15"/>
      <c r="S4601" s="15"/>
      <c r="U4601" s="15"/>
      <c r="V4601" s="16"/>
    </row>
    <row r="4602" spans="16:22" x14ac:dyDescent="0.35">
      <c r="P4602" s="15"/>
      <c r="Q4602" s="15"/>
      <c r="R4602" s="15"/>
      <c r="S4602" s="15"/>
      <c r="U4602" s="15"/>
    </row>
    <row r="4603" spans="16:22" x14ac:dyDescent="0.35">
      <c r="P4603" s="15"/>
      <c r="Q4603" s="15"/>
      <c r="R4603" s="15"/>
      <c r="S4603" s="15"/>
      <c r="U4603" s="15"/>
      <c r="V4603" s="16"/>
    </row>
    <row r="4604" spans="16:22" x14ac:dyDescent="0.35">
      <c r="P4604" s="15"/>
      <c r="Q4604" s="15"/>
      <c r="R4604" s="15"/>
      <c r="S4604" s="15"/>
      <c r="U4604" s="15"/>
    </row>
    <row r="4605" spans="16:22" x14ac:dyDescent="0.35">
      <c r="P4605" s="15"/>
      <c r="Q4605" s="15"/>
      <c r="R4605" s="15"/>
      <c r="S4605" s="15"/>
      <c r="U4605" s="15"/>
      <c r="V4605" s="16"/>
    </row>
    <row r="4606" spans="16:22" x14ac:dyDescent="0.35">
      <c r="P4606" s="15"/>
      <c r="Q4606" s="15"/>
      <c r="R4606" s="15"/>
      <c r="S4606" s="15"/>
      <c r="U4606" s="15"/>
    </row>
    <row r="4607" spans="16:22" x14ac:dyDescent="0.35">
      <c r="P4607" s="15"/>
      <c r="Q4607" s="15"/>
      <c r="R4607" s="15"/>
      <c r="S4607" s="15"/>
      <c r="U4607" s="15"/>
      <c r="V4607" s="16"/>
    </row>
    <row r="4608" spans="16:22" x14ac:dyDescent="0.35">
      <c r="P4608" s="15"/>
      <c r="Q4608" s="15"/>
      <c r="R4608" s="15"/>
      <c r="S4608" s="15"/>
      <c r="U4608" s="15"/>
    </row>
    <row r="4609" spans="16:22" x14ac:dyDescent="0.35">
      <c r="P4609" s="15"/>
      <c r="Q4609" s="15"/>
      <c r="R4609" s="15"/>
      <c r="S4609" s="15"/>
      <c r="U4609" s="15"/>
      <c r="V4609" s="16"/>
    </row>
    <row r="4610" spans="16:22" x14ac:dyDescent="0.35">
      <c r="P4610" s="15"/>
      <c r="Q4610" s="15"/>
      <c r="R4610" s="15"/>
      <c r="S4610" s="15"/>
      <c r="U4610" s="15"/>
    </row>
    <row r="4611" spans="16:22" x14ac:dyDescent="0.35">
      <c r="P4611" s="15"/>
      <c r="Q4611" s="15"/>
      <c r="R4611" s="15"/>
      <c r="S4611" s="15"/>
      <c r="U4611" s="15"/>
      <c r="V4611" s="16"/>
    </row>
    <row r="4612" spans="16:22" x14ac:dyDescent="0.35">
      <c r="P4612" s="15"/>
      <c r="Q4612" s="15"/>
      <c r="R4612" s="15"/>
      <c r="S4612" s="15"/>
      <c r="U4612" s="15"/>
    </row>
    <row r="4613" spans="16:22" x14ac:dyDescent="0.35">
      <c r="P4613" s="15"/>
      <c r="Q4613" s="15"/>
      <c r="R4613" s="15"/>
      <c r="S4613" s="15"/>
      <c r="U4613" s="15"/>
      <c r="V4613" s="16"/>
    </row>
    <row r="4614" spans="16:22" x14ac:dyDescent="0.35">
      <c r="P4614" s="15"/>
      <c r="Q4614" s="15"/>
      <c r="R4614" s="15"/>
      <c r="S4614" s="15"/>
      <c r="U4614" s="15"/>
    </row>
    <row r="4615" spans="16:22" x14ac:dyDescent="0.35">
      <c r="P4615" s="15"/>
      <c r="Q4615" s="15"/>
      <c r="R4615" s="15"/>
      <c r="S4615" s="15"/>
      <c r="U4615" s="15"/>
      <c r="V4615" s="16"/>
    </row>
    <row r="4616" spans="16:22" x14ac:dyDescent="0.35">
      <c r="P4616" s="15"/>
      <c r="Q4616" s="15"/>
      <c r="R4616" s="15"/>
      <c r="S4616" s="15"/>
      <c r="U4616" s="15"/>
    </row>
    <row r="4617" spans="16:22" x14ac:dyDescent="0.35">
      <c r="P4617" s="15"/>
      <c r="Q4617" s="15"/>
      <c r="R4617" s="15"/>
      <c r="S4617" s="15"/>
      <c r="U4617" s="15"/>
      <c r="V4617" s="16"/>
    </row>
    <row r="4618" spans="16:22" x14ac:dyDescent="0.35">
      <c r="P4618" s="15"/>
      <c r="Q4618" s="15"/>
      <c r="R4618" s="15"/>
      <c r="S4618" s="15"/>
      <c r="U4618" s="15"/>
    </row>
    <row r="4619" spans="16:22" x14ac:dyDescent="0.35">
      <c r="P4619" s="15"/>
      <c r="Q4619" s="15"/>
      <c r="R4619" s="15"/>
      <c r="S4619" s="15"/>
      <c r="U4619" s="15"/>
      <c r="V4619" s="16"/>
    </row>
    <row r="4620" spans="16:22" x14ac:dyDescent="0.35">
      <c r="P4620" s="15"/>
      <c r="Q4620" s="15"/>
      <c r="R4620" s="15"/>
      <c r="S4620" s="15"/>
      <c r="U4620" s="15"/>
    </row>
    <row r="4621" spans="16:22" x14ac:dyDescent="0.35">
      <c r="P4621" s="15"/>
      <c r="Q4621" s="15"/>
      <c r="R4621" s="15"/>
      <c r="S4621" s="15"/>
      <c r="U4621" s="15"/>
      <c r="V4621" s="16"/>
    </row>
    <row r="4622" spans="16:22" x14ac:dyDescent="0.35">
      <c r="P4622" s="15"/>
      <c r="Q4622" s="15"/>
      <c r="R4622" s="15"/>
      <c r="S4622" s="15"/>
      <c r="U4622" s="15"/>
    </row>
    <row r="4623" spans="16:22" x14ac:dyDescent="0.35">
      <c r="P4623" s="15"/>
      <c r="Q4623" s="15"/>
      <c r="R4623" s="15"/>
      <c r="S4623" s="15"/>
      <c r="U4623" s="15"/>
      <c r="V4623" s="16"/>
    </row>
    <row r="4624" spans="16:22" x14ac:dyDescent="0.35">
      <c r="P4624" s="15"/>
      <c r="Q4624" s="15"/>
      <c r="R4624" s="15"/>
      <c r="S4624" s="15"/>
      <c r="U4624" s="15"/>
    </row>
    <row r="4625" spans="16:22" x14ac:dyDescent="0.35">
      <c r="P4625" s="15"/>
      <c r="Q4625" s="15"/>
      <c r="R4625" s="15"/>
      <c r="S4625" s="15"/>
      <c r="U4625" s="15"/>
      <c r="V4625" s="16"/>
    </row>
    <row r="4626" spans="16:22" x14ac:dyDescent="0.35">
      <c r="P4626" s="15"/>
      <c r="Q4626" s="15"/>
      <c r="R4626" s="15"/>
      <c r="S4626" s="15"/>
      <c r="U4626" s="15"/>
    </row>
    <row r="4627" spans="16:22" x14ac:dyDescent="0.35">
      <c r="P4627" s="15"/>
      <c r="Q4627" s="15"/>
      <c r="R4627" s="15"/>
      <c r="S4627" s="15"/>
      <c r="U4627" s="15"/>
      <c r="V4627" s="16"/>
    </row>
    <row r="4628" spans="16:22" x14ac:dyDescent="0.35">
      <c r="P4628" s="15"/>
      <c r="Q4628" s="15"/>
      <c r="R4628" s="15"/>
      <c r="S4628" s="15"/>
      <c r="U4628" s="15"/>
    </row>
    <row r="4629" spans="16:22" x14ac:dyDescent="0.35">
      <c r="P4629" s="15"/>
      <c r="Q4629" s="15"/>
      <c r="R4629" s="15"/>
      <c r="S4629" s="15"/>
      <c r="U4629" s="15"/>
      <c r="V4629" s="16"/>
    </row>
    <row r="4630" spans="16:22" x14ac:dyDescent="0.35">
      <c r="P4630" s="15"/>
      <c r="Q4630" s="15"/>
      <c r="R4630" s="15"/>
      <c r="S4630" s="15"/>
      <c r="U4630" s="15"/>
    </row>
    <row r="4631" spans="16:22" x14ac:dyDescent="0.35">
      <c r="P4631" s="15"/>
      <c r="Q4631" s="15"/>
      <c r="R4631" s="15"/>
      <c r="S4631" s="15"/>
      <c r="U4631" s="15"/>
      <c r="V4631" s="16"/>
    </row>
    <row r="4632" spans="16:22" x14ac:dyDescent="0.35">
      <c r="P4632" s="15"/>
      <c r="Q4632" s="15"/>
      <c r="R4632" s="15"/>
      <c r="S4632" s="15"/>
      <c r="U4632" s="15"/>
    </row>
    <row r="4633" spans="16:22" x14ac:dyDescent="0.35">
      <c r="P4633" s="15"/>
      <c r="Q4633" s="15"/>
      <c r="R4633" s="15"/>
      <c r="S4633" s="15"/>
      <c r="U4633" s="15"/>
      <c r="V4633" s="16"/>
    </row>
    <row r="4634" spans="16:22" x14ac:dyDescent="0.35">
      <c r="P4634" s="15"/>
      <c r="Q4634" s="15"/>
      <c r="R4634" s="15"/>
      <c r="S4634" s="15"/>
      <c r="U4634" s="15"/>
    </row>
    <row r="4635" spans="16:22" x14ac:dyDescent="0.35">
      <c r="P4635" s="15"/>
      <c r="Q4635" s="15"/>
      <c r="R4635" s="15"/>
      <c r="S4635" s="15"/>
      <c r="U4635" s="15"/>
      <c r="V4635" s="16"/>
    </row>
    <row r="4636" spans="16:22" x14ac:dyDescent="0.35">
      <c r="P4636" s="15"/>
      <c r="Q4636" s="15"/>
      <c r="R4636" s="15"/>
      <c r="S4636" s="15"/>
      <c r="U4636" s="15"/>
    </row>
    <row r="4637" spans="16:22" x14ac:dyDescent="0.35">
      <c r="P4637" s="15"/>
      <c r="Q4637" s="15"/>
      <c r="R4637" s="15"/>
      <c r="S4637" s="15"/>
      <c r="U4637" s="15"/>
      <c r="V4637" s="16"/>
    </row>
    <row r="4638" spans="16:22" x14ac:dyDescent="0.35">
      <c r="P4638" s="15"/>
      <c r="Q4638" s="15"/>
      <c r="R4638" s="15"/>
      <c r="S4638" s="15"/>
      <c r="U4638" s="15"/>
    </row>
    <row r="4639" spans="16:22" x14ac:dyDescent="0.35">
      <c r="P4639" s="15"/>
      <c r="Q4639" s="15"/>
      <c r="R4639" s="15"/>
      <c r="S4639" s="15"/>
      <c r="U4639" s="15"/>
      <c r="V4639" s="16"/>
    </row>
    <row r="4640" spans="16:22" x14ac:dyDescent="0.35">
      <c r="P4640" s="15"/>
      <c r="Q4640" s="15"/>
      <c r="R4640" s="15"/>
      <c r="S4640" s="15"/>
      <c r="U4640" s="15"/>
    </row>
    <row r="4641" spans="16:22" x14ac:dyDescent="0.35">
      <c r="P4641" s="15"/>
      <c r="Q4641" s="15"/>
      <c r="R4641" s="15"/>
      <c r="S4641" s="15"/>
      <c r="U4641" s="15"/>
      <c r="V4641" s="16"/>
    </row>
    <row r="4642" spans="16:22" x14ac:dyDescent="0.35">
      <c r="P4642" s="15"/>
      <c r="Q4642" s="15"/>
      <c r="R4642" s="15"/>
      <c r="S4642" s="15"/>
      <c r="U4642" s="15"/>
    </row>
    <row r="4643" spans="16:22" x14ac:dyDescent="0.35">
      <c r="P4643" s="15"/>
      <c r="Q4643" s="15"/>
      <c r="R4643" s="15"/>
      <c r="S4643" s="15"/>
      <c r="U4643" s="15"/>
      <c r="V4643" s="16"/>
    </row>
    <row r="4644" spans="16:22" x14ac:dyDescent="0.35">
      <c r="P4644" s="15"/>
      <c r="Q4644" s="15"/>
      <c r="R4644" s="15"/>
      <c r="S4644" s="15"/>
      <c r="U4644" s="15"/>
    </row>
    <row r="4645" spans="16:22" x14ac:dyDescent="0.35">
      <c r="P4645" s="15"/>
      <c r="Q4645" s="15"/>
      <c r="R4645" s="15"/>
      <c r="S4645" s="15"/>
      <c r="U4645" s="15"/>
      <c r="V4645" s="16"/>
    </row>
    <row r="4646" spans="16:22" x14ac:dyDescent="0.35">
      <c r="P4646" s="15"/>
      <c r="Q4646" s="15"/>
      <c r="R4646" s="15"/>
      <c r="S4646" s="15"/>
      <c r="U4646" s="15"/>
    </row>
    <row r="4647" spans="16:22" x14ac:dyDescent="0.35">
      <c r="P4647" s="15"/>
      <c r="Q4647" s="15"/>
      <c r="R4647" s="15"/>
      <c r="S4647" s="15"/>
      <c r="U4647" s="15"/>
      <c r="V4647" s="16"/>
    </row>
    <row r="4648" spans="16:22" x14ac:dyDescent="0.35">
      <c r="P4648" s="15"/>
      <c r="Q4648" s="15"/>
      <c r="R4648" s="15"/>
      <c r="S4648" s="15"/>
      <c r="U4648" s="15"/>
    </row>
    <row r="4649" spans="16:22" x14ac:dyDescent="0.35">
      <c r="P4649" s="15"/>
      <c r="Q4649" s="15"/>
      <c r="R4649" s="15"/>
      <c r="S4649" s="15"/>
      <c r="U4649" s="15"/>
      <c r="V4649" s="16"/>
    </row>
    <row r="4650" spans="16:22" x14ac:dyDescent="0.35">
      <c r="P4650" s="15"/>
      <c r="Q4650" s="15"/>
      <c r="R4650" s="15"/>
      <c r="S4650" s="15"/>
      <c r="U4650" s="15"/>
    </row>
    <row r="4651" spans="16:22" x14ac:dyDescent="0.35">
      <c r="P4651" s="15"/>
      <c r="Q4651" s="15"/>
      <c r="R4651" s="15"/>
      <c r="S4651" s="15"/>
      <c r="U4651" s="15"/>
      <c r="V4651" s="16"/>
    </row>
    <row r="4652" spans="16:22" x14ac:dyDescent="0.35">
      <c r="P4652" s="15"/>
      <c r="Q4652" s="15"/>
      <c r="R4652" s="15"/>
      <c r="S4652" s="15"/>
      <c r="U4652" s="15"/>
    </row>
    <row r="4653" spans="16:22" x14ac:dyDescent="0.35">
      <c r="P4653" s="15"/>
      <c r="Q4653" s="15"/>
      <c r="R4653" s="15"/>
      <c r="S4653" s="15"/>
      <c r="U4653" s="15"/>
      <c r="V4653" s="16"/>
    </row>
    <row r="4654" spans="16:22" x14ac:dyDescent="0.35">
      <c r="P4654" s="15"/>
      <c r="Q4654" s="15"/>
      <c r="R4654" s="15"/>
      <c r="S4654" s="15"/>
      <c r="U4654" s="15"/>
    </row>
    <row r="4655" spans="16:22" x14ac:dyDescent="0.35">
      <c r="P4655" s="15"/>
      <c r="Q4655" s="15"/>
      <c r="R4655" s="15"/>
      <c r="S4655" s="15"/>
      <c r="U4655" s="15"/>
      <c r="V4655" s="16"/>
    </row>
    <row r="4656" spans="16:22" x14ac:dyDescent="0.35">
      <c r="P4656" s="15"/>
      <c r="Q4656" s="15"/>
      <c r="R4656" s="15"/>
      <c r="S4656" s="15"/>
      <c r="U4656" s="15"/>
    </row>
    <row r="4657" spans="16:22" x14ac:dyDescent="0.35">
      <c r="P4657" s="15"/>
      <c r="Q4657" s="15"/>
      <c r="R4657" s="15"/>
      <c r="S4657" s="15"/>
      <c r="U4657" s="15"/>
      <c r="V4657" s="16"/>
    </row>
    <row r="4658" spans="16:22" x14ac:dyDescent="0.35">
      <c r="P4658" s="15"/>
      <c r="Q4658" s="15"/>
      <c r="R4658" s="15"/>
      <c r="S4658" s="15"/>
      <c r="U4658" s="15"/>
    </row>
    <row r="4659" spans="16:22" x14ac:dyDescent="0.35">
      <c r="P4659" s="15"/>
      <c r="Q4659" s="15"/>
      <c r="R4659" s="15"/>
      <c r="S4659" s="15"/>
      <c r="U4659" s="15"/>
      <c r="V4659" s="16"/>
    </row>
    <row r="4660" spans="16:22" x14ac:dyDescent="0.35">
      <c r="P4660" s="15"/>
      <c r="Q4660" s="15"/>
      <c r="R4660" s="15"/>
      <c r="S4660" s="15"/>
      <c r="U4660" s="15"/>
    </row>
    <row r="4661" spans="16:22" x14ac:dyDescent="0.35">
      <c r="P4661" s="15"/>
      <c r="Q4661" s="15"/>
      <c r="R4661" s="15"/>
      <c r="S4661" s="15"/>
      <c r="U4661" s="15"/>
      <c r="V4661" s="16"/>
    </row>
    <row r="4662" spans="16:22" x14ac:dyDescent="0.35">
      <c r="P4662" s="15"/>
      <c r="Q4662" s="15"/>
      <c r="R4662" s="15"/>
      <c r="S4662" s="15"/>
      <c r="U4662" s="15"/>
    </row>
    <row r="4663" spans="16:22" x14ac:dyDescent="0.35">
      <c r="P4663" s="15"/>
      <c r="Q4663" s="15"/>
      <c r="R4663" s="15"/>
      <c r="S4663" s="15"/>
      <c r="U4663" s="15"/>
      <c r="V4663" s="16"/>
    </row>
    <row r="4664" spans="16:22" x14ac:dyDescent="0.35">
      <c r="P4664" s="15"/>
      <c r="Q4664" s="15"/>
      <c r="R4664" s="15"/>
      <c r="S4664" s="15"/>
      <c r="U4664" s="15"/>
    </row>
    <row r="4665" spans="16:22" x14ac:dyDescent="0.35">
      <c r="P4665" s="15"/>
      <c r="Q4665" s="15"/>
      <c r="R4665" s="15"/>
      <c r="S4665" s="15"/>
      <c r="U4665" s="15"/>
      <c r="V4665" s="16"/>
    </row>
    <row r="4666" spans="16:22" x14ac:dyDescent="0.35">
      <c r="P4666" s="15"/>
      <c r="Q4666" s="15"/>
      <c r="R4666" s="15"/>
      <c r="S4666" s="15"/>
      <c r="U4666" s="15"/>
    </row>
    <row r="4667" spans="16:22" x14ac:dyDescent="0.35">
      <c r="P4667" s="15"/>
      <c r="Q4667" s="15"/>
      <c r="R4667" s="15"/>
      <c r="S4667" s="15"/>
      <c r="U4667" s="15"/>
      <c r="V4667" s="16"/>
    </row>
    <row r="4668" spans="16:22" x14ac:dyDescent="0.35">
      <c r="P4668" s="15"/>
      <c r="Q4668" s="15"/>
      <c r="R4668" s="15"/>
      <c r="S4668" s="15"/>
      <c r="U4668" s="15"/>
    </row>
    <row r="4669" spans="16:22" x14ac:dyDescent="0.35">
      <c r="P4669" s="15"/>
      <c r="Q4669" s="15"/>
      <c r="R4669" s="15"/>
      <c r="S4669" s="15"/>
      <c r="U4669" s="15"/>
      <c r="V4669" s="16"/>
    </row>
    <row r="4670" spans="16:22" x14ac:dyDescent="0.35">
      <c r="P4670" s="15"/>
      <c r="Q4670" s="15"/>
      <c r="R4670" s="15"/>
      <c r="S4670" s="15"/>
      <c r="U4670" s="15"/>
    </row>
    <row r="4671" spans="16:22" x14ac:dyDescent="0.35">
      <c r="P4671" s="15"/>
      <c r="Q4671" s="15"/>
      <c r="R4671" s="15"/>
      <c r="S4671" s="15"/>
      <c r="U4671" s="15"/>
      <c r="V4671" s="16"/>
    </row>
    <row r="4672" spans="16:22" x14ac:dyDescent="0.35">
      <c r="P4672" s="15"/>
      <c r="Q4672" s="15"/>
      <c r="R4672" s="15"/>
      <c r="S4672" s="15"/>
      <c r="U4672" s="15"/>
    </row>
    <row r="4673" spans="16:22" x14ac:dyDescent="0.35">
      <c r="P4673" s="15"/>
      <c r="Q4673" s="15"/>
      <c r="R4673" s="15"/>
      <c r="S4673" s="15"/>
      <c r="U4673" s="15"/>
      <c r="V4673" s="16"/>
    </row>
    <row r="4674" spans="16:22" x14ac:dyDescent="0.35">
      <c r="P4674" s="15"/>
      <c r="Q4674" s="15"/>
      <c r="R4674" s="15"/>
      <c r="S4674" s="15"/>
      <c r="U4674" s="15"/>
    </row>
    <row r="4675" spans="16:22" x14ac:dyDescent="0.35">
      <c r="P4675" s="15"/>
      <c r="Q4675" s="15"/>
      <c r="R4675" s="15"/>
      <c r="S4675" s="15"/>
      <c r="U4675" s="15"/>
      <c r="V4675" s="16"/>
    </row>
    <row r="4676" spans="16:22" x14ac:dyDescent="0.35">
      <c r="P4676" s="15"/>
      <c r="Q4676" s="15"/>
      <c r="R4676" s="15"/>
      <c r="S4676" s="15"/>
      <c r="U4676" s="15"/>
    </row>
    <row r="4677" spans="16:22" x14ac:dyDescent="0.35">
      <c r="P4677" s="15"/>
      <c r="Q4677" s="15"/>
      <c r="R4677" s="15"/>
      <c r="S4677" s="15"/>
      <c r="U4677" s="15"/>
      <c r="V4677" s="16"/>
    </row>
    <row r="4678" spans="16:22" x14ac:dyDescent="0.35">
      <c r="P4678" s="15"/>
      <c r="Q4678" s="15"/>
      <c r="R4678" s="15"/>
      <c r="S4678" s="15"/>
      <c r="U4678" s="15"/>
    </row>
    <row r="4679" spans="16:22" x14ac:dyDescent="0.35">
      <c r="P4679" s="15"/>
      <c r="Q4679" s="15"/>
      <c r="R4679" s="15"/>
      <c r="S4679" s="15"/>
      <c r="U4679" s="15"/>
      <c r="V4679" s="16"/>
    </row>
    <row r="4680" spans="16:22" x14ac:dyDescent="0.35">
      <c r="P4680" s="15"/>
      <c r="Q4680" s="15"/>
      <c r="R4680" s="15"/>
      <c r="S4680" s="15"/>
      <c r="U4680" s="15"/>
    </row>
    <row r="4681" spans="16:22" x14ac:dyDescent="0.35">
      <c r="P4681" s="15"/>
      <c r="Q4681" s="15"/>
      <c r="R4681" s="15"/>
      <c r="S4681" s="15"/>
      <c r="U4681" s="15"/>
      <c r="V4681" s="16"/>
    </row>
    <row r="4682" spans="16:22" x14ac:dyDescent="0.35">
      <c r="P4682" s="15"/>
      <c r="Q4682" s="15"/>
      <c r="R4682" s="15"/>
      <c r="S4682" s="15"/>
      <c r="U4682" s="15"/>
    </row>
    <row r="4683" spans="16:22" x14ac:dyDescent="0.35">
      <c r="P4683" s="15"/>
      <c r="Q4683" s="15"/>
      <c r="R4683" s="15"/>
      <c r="S4683" s="15"/>
      <c r="U4683" s="15"/>
      <c r="V4683" s="16"/>
    </row>
    <row r="4684" spans="16:22" x14ac:dyDescent="0.35">
      <c r="P4684" s="15"/>
      <c r="Q4684" s="15"/>
      <c r="R4684" s="15"/>
      <c r="S4684" s="15"/>
      <c r="U4684" s="15"/>
    </row>
    <row r="4685" spans="16:22" x14ac:dyDescent="0.35">
      <c r="P4685" s="15"/>
      <c r="Q4685" s="15"/>
      <c r="R4685" s="15"/>
      <c r="S4685" s="15"/>
      <c r="U4685" s="15"/>
      <c r="V4685" s="16"/>
    </row>
    <row r="4686" spans="16:22" x14ac:dyDescent="0.35">
      <c r="P4686" s="15"/>
      <c r="Q4686" s="15"/>
      <c r="R4686" s="15"/>
      <c r="S4686" s="15"/>
      <c r="U4686" s="15"/>
    </row>
    <row r="4687" spans="16:22" x14ac:dyDescent="0.35">
      <c r="P4687" s="15"/>
      <c r="Q4687" s="15"/>
      <c r="R4687" s="15"/>
      <c r="S4687" s="15"/>
      <c r="U4687" s="15"/>
      <c r="V4687" s="16"/>
    </row>
    <row r="4688" spans="16:22" x14ac:dyDescent="0.35">
      <c r="P4688" s="15"/>
      <c r="Q4688" s="15"/>
      <c r="R4688" s="15"/>
      <c r="S4688" s="15"/>
      <c r="U4688" s="15"/>
    </row>
    <row r="4689" spans="16:22" x14ac:dyDescent="0.35">
      <c r="P4689" s="15"/>
      <c r="Q4689" s="15"/>
      <c r="R4689" s="15"/>
      <c r="S4689" s="15"/>
      <c r="U4689" s="15"/>
      <c r="V4689" s="16"/>
    </row>
    <row r="4690" spans="16:22" x14ac:dyDescent="0.35">
      <c r="P4690" s="15"/>
      <c r="Q4690" s="15"/>
      <c r="R4690" s="15"/>
      <c r="S4690" s="15"/>
      <c r="U4690" s="15"/>
    </row>
    <row r="4691" spans="16:22" x14ac:dyDescent="0.35">
      <c r="P4691" s="15"/>
      <c r="Q4691" s="15"/>
      <c r="R4691" s="15"/>
      <c r="S4691" s="15"/>
      <c r="U4691" s="15"/>
      <c r="V4691" s="16"/>
    </row>
    <row r="4692" spans="16:22" x14ac:dyDescent="0.35">
      <c r="P4692" s="15"/>
      <c r="Q4692" s="15"/>
      <c r="R4692" s="15"/>
      <c r="S4692" s="15"/>
      <c r="U4692" s="15"/>
    </row>
    <row r="4693" spans="16:22" x14ac:dyDescent="0.35">
      <c r="P4693" s="15"/>
      <c r="Q4693" s="15"/>
      <c r="R4693" s="15"/>
      <c r="S4693" s="15"/>
      <c r="U4693" s="15"/>
      <c r="V4693" s="16"/>
    </row>
    <row r="4694" spans="16:22" x14ac:dyDescent="0.35">
      <c r="P4694" s="15"/>
      <c r="Q4694" s="15"/>
      <c r="R4694" s="15"/>
      <c r="S4694" s="15"/>
      <c r="U4694" s="15"/>
    </row>
    <row r="4695" spans="16:22" x14ac:dyDescent="0.35">
      <c r="P4695" s="15"/>
      <c r="Q4695" s="15"/>
      <c r="R4695" s="15"/>
      <c r="S4695" s="15"/>
      <c r="U4695" s="15"/>
      <c r="V4695" s="16"/>
    </row>
    <row r="4696" spans="16:22" x14ac:dyDescent="0.35">
      <c r="P4696" s="15"/>
      <c r="Q4696" s="15"/>
      <c r="R4696" s="15"/>
      <c r="S4696" s="15"/>
      <c r="U4696" s="15"/>
    </row>
    <row r="4697" spans="16:22" x14ac:dyDescent="0.35">
      <c r="P4697" s="15"/>
      <c r="Q4697" s="15"/>
      <c r="R4697" s="15"/>
      <c r="S4697" s="15"/>
      <c r="U4697" s="15"/>
      <c r="V4697" s="16"/>
    </row>
    <row r="4698" spans="16:22" x14ac:dyDescent="0.35">
      <c r="P4698" s="15"/>
      <c r="Q4698" s="15"/>
      <c r="R4698" s="15"/>
      <c r="S4698" s="15"/>
      <c r="U4698" s="15"/>
    </row>
    <row r="4699" spans="16:22" x14ac:dyDescent="0.35">
      <c r="P4699" s="15"/>
      <c r="Q4699" s="15"/>
      <c r="R4699" s="15"/>
      <c r="S4699" s="15"/>
      <c r="U4699" s="15"/>
      <c r="V4699" s="16"/>
    </row>
    <row r="4700" spans="16:22" x14ac:dyDescent="0.35">
      <c r="P4700" s="15"/>
      <c r="Q4700" s="15"/>
      <c r="R4700" s="15"/>
      <c r="S4700" s="15"/>
      <c r="U4700" s="15"/>
    </row>
    <row r="4701" spans="16:22" x14ac:dyDescent="0.35">
      <c r="P4701" s="15"/>
      <c r="Q4701" s="15"/>
      <c r="R4701" s="15"/>
      <c r="S4701" s="15"/>
      <c r="U4701" s="15"/>
      <c r="V4701" s="16"/>
    </row>
    <row r="4702" spans="16:22" x14ac:dyDescent="0.35">
      <c r="P4702" s="15"/>
      <c r="Q4702" s="15"/>
      <c r="R4702" s="15"/>
      <c r="S4702" s="15"/>
      <c r="U4702" s="15"/>
    </row>
    <row r="4703" spans="16:22" x14ac:dyDescent="0.35">
      <c r="P4703" s="15"/>
      <c r="Q4703" s="15"/>
      <c r="R4703" s="15"/>
      <c r="S4703" s="15"/>
      <c r="U4703" s="15"/>
      <c r="V4703" s="16"/>
    </row>
    <row r="4704" spans="16:22" x14ac:dyDescent="0.35">
      <c r="P4704" s="15"/>
      <c r="Q4704" s="15"/>
      <c r="R4704" s="15"/>
      <c r="S4704" s="15"/>
      <c r="U4704" s="15"/>
    </row>
    <row r="4705" spans="16:22" x14ac:dyDescent="0.35">
      <c r="P4705" s="15"/>
      <c r="Q4705" s="15"/>
      <c r="R4705" s="15"/>
      <c r="S4705" s="15"/>
      <c r="U4705" s="15"/>
      <c r="V4705" s="16"/>
    </row>
    <row r="4706" spans="16:22" x14ac:dyDescent="0.35">
      <c r="P4706" s="15"/>
      <c r="Q4706" s="15"/>
      <c r="R4706" s="15"/>
      <c r="S4706" s="15"/>
      <c r="U4706" s="15"/>
    </row>
    <row r="4707" spans="16:22" x14ac:dyDescent="0.35">
      <c r="P4707" s="15"/>
      <c r="Q4707" s="15"/>
      <c r="R4707" s="15"/>
      <c r="S4707" s="15"/>
      <c r="U4707" s="15"/>
      <c r="V4707" s="16"/>
    </row>
    <row r="4708" spans="16:22" x14ac:dyDescent="0.35">
      <c r="P4708" s="15"/>
      <c r="Q4708" s="15"/>
      <c r="R4708" s="15"/>
      <c r="S4708" s="15"/>
      <c r="U4708" s="15"/>
    </row>
    <row r="4709" spans="16:22" x14ac:dyDescent="0.35">
      <c r="P4709" s="15"/>
      <c r="Q4709" s="15"/>
      <c r="R4709" s="15"/>
      <c r="S4709" s="15"/>
      <c r="U4709" s="15"/>
      <c r="V4709" s="16"/>
    </row>
    <row r="4710" spans="16:22" x14ac:dyDescent="0.35">
      <c r="P4710" s="15"/>
      <c r="Q4710" s="15"/>
      <c r="R4710" s="15"/>
      <c r="S4710" s="15"/>
      <c r="U4710" s="15"/>
    </row>
    <row r="4711" spans="16:22" x14ac:dyDescent="0.35">
      <c r="P4711" s="15"/>
      <c r="Q4711" s="15"/>
      <c r="R4711" s="15"/>
      <c r="S4711" s="15"/>
      <c r="U4711" s="15"/>
      <c r="V4711" s="16"/>
    </row>
    <row r="4712" spans="16:22" x14ac:dyDescent="0.35">
      <c r="P4712" s="15"/>
      <c r="Q4712" s="15"/>
      <c r="R4712" s="15"/>
      <c r="S4712" s="15"/>
      <c r="U4712" s="15"/>
    </row>
    <row r="4713" spans="16:22" x14ac:dyDescent="0.35">
      <c r="P4713" s="15"/>
      <c r="Q4713" s="15"/>
      <c r="R4713" s="15"/>
      <c r="S4713" s="15"/>
      <c r="U4713" s="15"/>
      <c r="V4713" s="16"/>
    </row>
    <row r="4714" spans="16:22" x14ac:dyDescent="0.35">
      <c r="P4714" s="15"/>
      <c r="Q4714" s="15"/>
      <c r="R4714" s="15"/>
      <c r="S4714" s="15"/>
      <c r="U4714" s="15"/>
    </row>
    <row r="4715" spans="16:22" x14ac:dyDescent="0.35">
      <c r="P4715" s="15"/>
      <c r="Q4715" s="15"/>
      <c r="R4715" s="15"/>
      <c r="S4715" s="15"/>
      <c r="U4715" s="15"/>
      <c r="V4715" s="16"/>
    </row>
    <row r="4716" spans="16:22" x14ac:dyDescent="0.35">
      <c r="P4716" s="15"/>
      <c r="Q4716" s="15"/>
      <c r="R4716" s="15"/>
      <c r="S4716" s="15"/>
      <c r="U4716" s="15"/>
    </row>
    <row r="4717" spans="16:22" x14ac:dyDescent="0.35">
      <c r="P4717" s="15"/>
      <c r="Q4717" s="15"/>
      <c r="R4717" s="15"/>
      <c r="S4717" s="15"/>
      <c r="U4717" s="15"/>
      <c r="V4717" s="16"/>
    </row>
    <row r="4718" spans="16:22" x14ac:dyDescent="0.35">
      <c r="P4718" s="15"/>
      <c r="Q4718" s="15"/>
      <c r="R4718" s="15"/>
      <c r="S4718" s="15"/>
      <c r="U4718" s="15"/>
    </row>
    <row r="4719" spans="16:22" x14ac:dyDescent="0.35">
      <c r="P4719" s="15"/>
      <c r="Q4719" s="15"/>
      <c r="R4719" s="15"/>
      <c r="S4719" s="15"/>
      <c r="U4719" s="15"/>
      <c r="V4719" s="16"/>
    </row>
    <row r="4720" spans="16:22" x14ac:dyDescent="0.35">
      <c r="P4720" s="15"/>
      <c r="Q4720" s="15"/>
      <c r="R4720" s="15"/>
      <c r="S4720" s="15"/>
      <c r="U4720" s="15"/>
    </row>
    <row r="4721" spans="16:22" x14ac:dyDescent="0.35">
      <c r="P4721" s="15"/>
      <c r="Q4721" s="15"/>
      <c r="R4721" s="15"/>
      <c r="S4721" s="15"/>
      <c r="U4721" s="15"/>
      <c r="V4721" s="16"/>
    </row>
    <row r="4722" spans="16:22" x14ac:dyDescent="0.35">
      <c r="P4722" s="15"/>
      <c r="Q4722" s="15"/>
      <c r="R4722" s="15"/>
      <c r="S4722" s="15"/>
      <c r="U4722" s="15"/>
    </row>
    <row r="4723" spans="16:22" x14ac:dyDescent="0.35">
      <c r="P4723" s="15"/>
      <c r="Q4723" s="15"/>
      <c r="R4723" s="15"/>
      <c r="S4723" s="15"/>
      <c r="U4723" s="15"/>
      <c r="V4723" s="16"/>
    </row>
    <row r="4724" spans="16:22" x14ac:dyDescent="0.35">
      <c r="P4724" s="15"/>
      <c r="Q4724" s="15"/>
      <c r="R4724" s="15"/>
      <c r="S4724" s="15"/>
      <c r="U4724" s="15"/>
    </row>
    <row r="4725" spans="16:22" x14ac:dyDescent="0.35">
      <c r="P4725" s="15"/>
      <c r="Q4725" s="15"/>
      <c r="R4725" s="15"/>
      <c r="S4725" s="15"/>
      <c r="U4725" s="15"/>
      <c r="V4725" s="16"/>
    </row>
    <row r="5364" spans="13:25" x14ac:dyDescent="0.35">
      <c r="M5364" s="13"/>
      <c r="O5364" s="13"/>
      <c r="P5364" s="13"/>
      <c r="Q5364" s="13"/>
      <c r="R5364" s="13"/>
      <c r="S5364" s="13"/>
      <c r="T5364" s="13"/>
      <c r="U5364" s="13"/>
      <c r="V5364" s="13"/>
      <c r="W5364" s="13"/>
      <c r="X5364" s="13"/>
      <c r="Y5364" s="13"/>
    </row>
    <row r="5406" spans="13:25" x14ac:dyDescent="0.35">
      <c r="M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3"/>
      <c r="Y5406" s="13"/>
    </row>
    <row r="5407" spans="13:25" x14ac:dyDescent="0.35">
      <c r="M5407" s="13"/>
      <c r="O5407" s="13"/>
      <c r="P5407" s="13"/>
      <c r="Q5407" s="13"/>
      <c r="R5407" s="13"/>
      <c r="S5407" s="13"/>
      <c r="T5407" s="13"/>
      <c r="U5407" s="13"/>
      <c r="V5407" s="13"/>
      <c r="W5407" s="13"/>
      <c r="X5407" s="13"/>
      <c r="Y5407" s="13"/>
    </row>
    <row r="5408" spans="13:25" x14ac:dyDescent="0.35">
      <c r="M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3"/>
      <c r="Y5408" s="13"/>
    </row>
    <row r="5409" spans="13:25" x14ac:dyDescent="0.35">
      <c r="M5409" s="13"/>
      <c r="O5409" s="13"/>
      <c r="P5409" s="13"/>
      <c r="Q5409" s="13"/>
      <c r="R5409" s="13"/>
      <c r="S5409" s="13"/>
      <c r="T5409" s="13"/>
      <c r="U5409" s="13"/>
      <c r="V5409" s="13"/>
      <c r="W5409" s="13"/>
      <c r="X5409" s="13"/>
      <c r="Y5409" s="13"/>
    </row>
    <row r="5410" spans="13:25" x14ac:dyDescent="0.35">
      <c r="M5410" s="13"/>
      <c r="O5410" s="13"/>
      <c r="P5410" s="13"/>
      <c r="Q5410" s="13"/>
      <c r="R5410" s="13"/>
      <c r="S5410" s="13"/>
      <c r="T5410" s="13"/>
      <c r="U5410" s="13"/>
      <c r="V5410" s="13"/>
      <c r="W5410" s="13"/>
      <c r="X5410" s="13"/>
      <c r="Y5410" s="13"/>
    </row>
    <row r="5850" spans="1:25" s="13" customFormat="1" x14ac:dyDescent="0.35">
      <c r="A5850" s="5"/>
      <c r="B5850" s="5"/>
      <c r="C5850" s="5"/>
      <c r="D5850" s="6"/>
      <c r="E5850" s="5"/>
      <c r="F5850" s="6"/>
      <c r="G5850" s="5"/>
      <c r="H5850" s="5"/>
      <c r="I5850" s="5"/>
      <c r="J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</row>
    <row r="5892" spans="1:25" s="13" customFormat="1" x14ac:dyDescent="0.35">
      <c r="A5892" s="5"/>
      <c r="B5892" s="5"/>
      <c r="C5892" s="5"/>
      <c r="D5892" s="6"/>
      <c r="E5892" s="5"/>
      <c r="F5892" s="6"/>
      <c r="G5892" s="5"/>
      <c r="H5892" s="5"/>
      <c r="I5892" s="5"/>
      <c r="J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</row>
    <row r="5893" spans="1:25" s="13" customFormat="1" x14ac:dyDescent="0.35">
      <c r="A5893" s="5"/>
      <c r="B5893" s="5"/>
      <c r="C5893" s="5"/>
      <c r="D5893" s="6"/>
      <c r="E5893" s="5"/>
      <c r="F5893" s="6"/>
      <c r="G5893" s="5"/>
      <c r="H5893" s="5"/>
      <c r="I5893" s="5"/>
      <c r="J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</row>
    <row r="5894" spans="1:25" s="13" customFormat="1" x14ac:dyDescent="0.35">
      <c r="A5894" s="5"/>
      <c r="B5894" s="5"/>
      <c r="C5894" s="5"/>
      <c r="D5894" s="6"/>
      <c r="E5894" s="5"/>
      <c r="F5894" s="6"/>
      <c r="G5894" s="5"/>
      <c r="H5894" s="5"/>
      <c r="I5894" s="5"/>
      <c r="J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</row>
    <row r="5895" spans="1:25" s="13" customFormat="1" x14ac:dyDescent="0.35">
      <c r="A5895" s="5"/>
      <c r="B5895" s="5"/>
      <c r="C5895" s="5"/>
      <c r="D5895" s="6"/>
      <c r="E5895" s="5"/>
      <c r="F5895" s="6"/>
      <c r="G5895" s="5"/>
      <c r="H5895" s="5"/>
      <c r="I5895" s="5"/>
      <c r="J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</row>
    <row r="5896" spans="1:25" s="13" customFormat="1" x14ac:dyDescent="0.35">
      <c r="A5896" s="5"/>
      <c r="B5896" s="5"/>
      <c r="C5896" s="5"/>
      <c r="D5896" s="6"/>
      <c r="E5896" s="5"/>
      <c r="F5896" s="6"/>
      <c r="G5896" s="5"/>
      <c r="H5896" s="5"/>
      <c r="I5896" s="5"/>
      <c r="J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</row>
  </sheetData>
  <autoFilter ref="C2:J166" xr:uid="{00000000-0009-0000-0000-000002000000}">
    <sortState xmlns:xlrd2="http://schemas.microsoft.com/office/spreadsheetml/2017/richdata2" ref="C2:I7028">
      <sortCondition ref="C1:C7028"/>
    </sortState>
  </autoFilter>
  <mergeCells count="2">
    <mergeCell ref="C1:J1"/>
    <mergeCell ref="M1:Y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F2CD-5E58-4F87-8B99-B97D845A03D0}">
  <dimension ref="B2:W2233"/>
  <sheetViews>
    <sheetView workbookViewId="0">
      <selection activeCell="B2" sqref="B2"/>
    </sheetView>
  </sheetViews>
  <sheetFormatPr defaultRowHeight="14.5" x14ac:dyDescent="0.35"/>
  <cols>
    <col min="3" max="3" width="13.7265625" bestFit="1" customWidth="1"/>
    <col min="7" max="7" width="18.54296875" bestFit="1" customWidth="1"/>
    <col min="8" max="8" width="37.81640625" customWidth="1"/>
    <col min="12" max="13" width="8.54296875" bestFit="1" customWidth="1"/>
    <col min="14" max="14" width="10.7265625" bestFit="1" customWidth="1"/>
    <col min="15" max="15" width="11.26953125" bestFit="1" customWidth="1"/>
  </cols>
  <sheetData>
    <row r="2" spans="2:23" x14ac:dyDescent="0.35">
      <c r="B2" t="s">
        <v>832</v>
      </c>
      <c r="C2" t="s">
        <v>1287</v>
      </c>
      <c r="D2" t="s">
        <v>833</v>
      </c>
      <c r="E2" t="s">
        <v>834</v>
      </c>
      <c r="F2" t="s">
        <v>835</v>
      </c>
      <c r="G2" t="s">
        <v>836</v>
      </c>
      <c r="H2" t="s">
        <v>837</v>
      </c>
      <c r="I2" t="s">
        <v>838</v>
      </c>
      <c r="J2" t="s">
        <v>839</v>
      </c>
      <c r="K2" t="s">
        <v>1288</v>
      </c>
      <c r="L2" t="s">
        <v>841</v>
      </c>
      <c r="M2" t="s">
        <v>1289</v>
      </c>
      <c r="N2" t="s">
        <v>1290</v>
      </c>
      <c r="O2" t="s">
        <v>1291</v>
      </c>
      <c r="P2" t="s">
        <v>1292</v>
      </c>
      <c r="Q2" t="s">
        <v>1293</v>
      </c>
      <c r="R2" t="s">
        <v>1294</v>
      </c>
      <c r="S2" t="s">
        <v>1295</v>
      </c>
      <c r="T2" t="s">
        <v>1296</v>
      </c>
      <c r="W2" t="s">
        <v>2221</v>
      </c>
    </row>
    <row r="3" spans="2:23" x14ac:dyDescent="0.35">
      <c r="B3">
        <v>2019</v>
      </c>
      <c r="C3" s="41">
        <v>43399</v>
      </c>
      <c r="D3" t="s">
        <v>1297</v>
      </c>
      <c r="E3" t="s">
        <v>219</v>
      </c>
      <c r="F3" t="s">
        <v>1298</v>
      </c>
      <c r="G3" t="s">
        <v>1299</v>
      </c>
      <c r="H3" t="s">
        <v>1300</v>
      </c>
      <c r="I3" t="s">
        <v>310</v>
      </c>
      <c r="J3">
        <v>2</v>
      </c>
      <c r="L3">
        <v>373.56</v>
      </c>
      <c r="M3">
        <v>636.63</v>
      </c>
      <c r="N3">
        <v>949.96</v>
      </c>
      <c r="O3">
        <v>1354.54</v>
      </c>
      <c r="P3">
        <v>1</v>
      </c>
      <c r="Q3">
        <v>1</v>
      </c>
      <c r="R3">
        <v>0</v>
      </c>
      <c r="S3">
        <v>200138</v>
      </c>
      <c r="T3" t="b">
        <v>1</v>
      </c>
    </row>
    <row r="4" spans="2:23" x14ac:dyDescent="0.35">
      <c r="B4">
        <v>2019</v>
      </c>
      <c r="C4" s="41">
        <v>43399</v>
      </c>
      <c r="D4" t="s">
        <v>1297</v>
      </c>
      <c r="E4" t="s">
        <v>219</v>
      </c>
      <c r="F4" t="s">
        <v>1301</v>
      </c>
      <c r="G4" t="s">
        <v>1299</v>
      </c>
      <c r="H4" t="s">
        <v>1300</v>
      </c>
      <c r="I4" t="s">
        <v>310</v>
      </c>
      <c r="J4">
        <v>2</v>
      </c>
      <c r="L4">
        <v>394.45</v>
      </c>
      <c r="M4">
        <v>672.22</v>
      </c>
      <c r="N4">
        <v>1003.05</v>
      </c>
      <c r="O4">
        <v>1430.24</v>
      </c>
      <c r="P4">
        <v>1</v>
      </c>
      <c r="Q4">
        <v>1</v>
      </c>
      <c r="R4">
        <v>0</v>
      </c>
      <c r="S4">
        <v>200138</v>
      </c>
      <c r="T4" t="b">
        <v>1</v>
      </c>
    </row>
    <row r="5" spans="2:23" x14ac:dyDescent="0.35">
      <c r="B5">
        <v>2019</v>
      </c>
      <c r="C5" s="41">
        <v>43399</v>
      </c>
      <c r="D5" t="s">
        <v>1297</v>
      </c>
      <c r="E5" t="s">
        <v>219</v>
      </c>
      <c r="F5" t="s">
        <v>1302</v>
      </c>
      <c r="G5" t="s">
        <v>1299</v>
      </c>
      <c r="H5" t="s">
        <v>1300</v>
      </c>
      <c r="I5" t="s">
        <v>310</v>
      </c>
      <c r="J5">
        <v>2</v>
      </c>
      <c r="L5">
        <v>355.78</v>
      </c>
      <c r="M5">
        <v>606.30999999999995</v>
      </c>
      <c r="N5">
        <v>904.71</v>
      </c>
      <c r="O5">
        <v>1290.02</v>
      </c>
      <c r="P5">
        <v>1</v>
      </c>
      <c r="Q5">
        <v>1</v>
      </c>
      <c r="R5">
        <v>0</v>
      </c>
      <c r="S5">
        <v>200138</v>
      </c>
      <c r="T5" t="b">
        <v>1</v>
      </c>
    </row>
    <row r="6" spans="2:23" x14ac:dyDescent="0.35">
      <c r="B6">
        <v>2019</v>
      </c>
      <c r="C6" s="41">
        <v>43399</v>
      </c>
      <c r="D6" t="s">
        <v>1303</v>
      </c>
      <c r="E6" t="s">
        <v>219</v>
      </c>
      <c r="F6" t="s">
        <v>1298</v>
      </c>
      <c r="G6" t="s">
        <v>1299</v>
      </c>
      <c r="H6" t="s">
        <v>1304</v>
      </c>
      <c r="I6" t="s">
        <v>310</v>
      </c>
      <c r="J6">
        <v>2</v>
      </c>
      <c r="L6">
        <v>377.93</v>
      </c>
      <c r="M6">
        <v>644.05999999999995</v>
      </c>
      <c r="N6">
        <v>961.04</v>
      </c>
      <c r="O6">
        <v>1370.34</v>
      </c>
      <c r="P6">
        <v>1</v>
      </c>
      <c r="Q6">
        <v>1</v>
      </c>
      <c r="R6">
        <v>0</v>
      </c>
      <c r="S6">
        <v>200138</v>
      </c>
      <c r="T6" t="b">
        <v>1</v>
      </c>
    </row>
    <row r="7" spans="2:23" x14ac:dyDescent="0.35">
      <c r="B7">
        <v>2019</v>
      </c>
      <c r="C7" s="41">
        <v>43399</v>
      </c>
      <c r="D7" t="s">
        <v>1303</v>
      </c>
      <c r="E7" t="s">
        <v>219</v>
      </c>
      <c r="F7" t="s">
        <v>1302</v>
      </c>
      <c r="G7" t="s">
        <v>1299</v>
      </c>
      <c r="H7" t="s">
        <v>1304</v>
      </c>
      <c r="I7" t="s">
        <v>310</v>
      </c>
      <c r="J7">
        <v>2</v>
      </c>
      <c r="L7">
        <v>359.93</v>
      </c>
      <c r="M7">
        <v>613.39</v>
      </c>
      <c r="N7">
        <v>915.27</v>
      </c>
      <c r="O7">
        <v>1305.08</v>
      </c>
      <c r="P7">
        <v>1</v>
      </c>
      <c r="Q7">
        <v>1</v>
      </c>
      <c r="R7">
        <v>0</v>
      </c>
      <c r="S7">
        <v>200138</v>
      </c>
      <c r="T7" t="b">
        <v>1</v>
      </c>
    </row>
    <row r="8" spans="2:23" x14ac:dyDescent="0.35">
      <c r="B8">
        <v>2019</v>
      </c>
      <c r="C8" s="41">
        <v>43399</v>
      </c>
      <c r="D8" t="s">
        <v>1305</v>
      </c>
      <c r="E8" t="s">
        <v>219</v>
      </c>
      <c r="F8" t="s">
        <v>1302</v>
      </c>
      <c r="G8" t="s">
        <v>1299</v>
      </c>
      <c r="H8" t="s">
        <v>1304</v>
      </c>
      <c r="I8" t="s">
        <v>310</v>
      </c>
      <c r="J8">
        <v>2</v>
      </c>
      <c r="L8">
        <v>359.93</v>
      </c>
      <c r="M8">
        <v>613.39</v>
      </c>
      <c r="N8">
        <v>915.27</v>
      </c>
      <c r="O8">
        <v>1305.08</v>
      </c>
      <c r="P8">
        <v>1</v>
      </c>
      <c r="Q8">
        <v>1</v>
      </c>
      <c r="R8">
        <v>0</v>
      </c>
      <c r="S8">
        <v>200138</v>
      </c>
      <c r="T8" t="b">
        <v>1</v>
      </c>
    </row>
    <row r="9" spans="2:23" x14ac:dyDescent="0.35">
      <c r="B9">
        <v>2019</v>
      </c>
      <c r="C9" s="41">
        <v>43399</v>
      </c>
      <c r="D9" t="s">
        <v>1305</v>
      </c>
      <c r="E9" t="s">
        <v>219</v>
      </c>
      <c r="F9" t="s">
        <v>1301</v>
      </c>
      <c r="G9" t="s">
        <v>1299</v>
      </c>
      <c r="H9" t="s">
        <v>1304</v>
      </c>
      <c r="I9" t="s">
        <v>310</v>
      </c>
      <c r="J9">
        <v>2</v>
      </c>
      <c r="L9">
        <v>399.05</v>
      </c>
      <c r="M9">
        <v>680.06</v>
      </c>
      <c r="N9">
        <v>1014.76</v>
      </c>
      <c r="O9">
        <v>1446.94</v>
      </c>
      <c r="P9">
        <v>1</v>
      </c>
      <c r="Q9">
        <v>1</v>
      </c>
      <c r="R9">
        <v>0</v>
      </c>
      <c r="S9">
        <v>200138</v>
      </c>
      <c r="T9" t="b">
        <v>1</v>
      </c>
    </row>
    <row r="10" spans="2:23" x14ac:dyDescent="0.35">
      <c r="B10">
        <v>2019</v>
      </c>
      <c r="C10" s="41">
        <v>43399</v>
      </c>
      <c r="D10" t="s">
        <v>1303</v>
      </c>
      <c r="E10" t="s">
        <v>219</v>
      </c>
      <c r="F10" t="s">
        <v>461</v>
      </c>
      <c r="G10" t="s">
        <v>1299</v>
      </c>
      <c r="H10" t="s">
        <v>1304</v>
      </c>
      <c r="I10" t="s">
        <v>310</v>
      </c>
      <c r="J10">
        <v>2</v>
      </c>
      <c r="L10">
        <v>319.63</v>
      </c>
      <c r="M10">
        <v>544.72</v>
      </c>
      <c r="N10">
        <v>812.81</v>
      </c>
      <c r="O10">
        <v>1158.98</v>
      </c>
      <c r="P10">
        <v>1</v>
      </c>
      <c r="Q10">
        <v>1</v>
      </c>
      <c r="R10">
        <v>0</v>
      </c>
      <c r="S10">
        <v>200138</v>
      </c>
      <c r="T10" t="b">
        <v>1</v>
      </c>
    </row>
    <row r="11" spans="2:23" x14ac:dyDescent="0.35">
      <c r="B11">
        <v>2019</v>
      </c>
      <c r="C11" s="41">
        <v>43399</v>
      </c>
      <c r="D11" t="s">
        <v>1305</v>
      </c>
      <c r="E11" t="s">
        <v>219</v>
      </c>
      <c r="F11" t="s">
        <v>1298</v>
      </c>
      <c r="G11" t="s">
        <v>1299</v>
      </c>
      <c r="H11" t="s">
        <v>1304</v>
      </c>
      <c r="I11" t="s">
        <v>310</v>
      </c>
      <c r="J11">
        <v>2</v>
      </c>
      <c r="L11">
        <v>377.93</v>
      </c>
      <c r="M11">
        <v>644.05999999999995</v>
      </c>
      <c r="N11">
        <v>961.04</v>
      </c>
      <c r="O11">
        <v>1370.34</v>
      </c>
      <c r="P11">
        <v>1</v>
      </c>
      <c r="Q11">
        <v>1</v>
      </c>
      <c r="R11">
        <v>0</v>
      </c>
      <c r="S11">
        <v>200138</v>
      </c>
      <c r="T11" t="b">
        <v>1</v>
      </c>
    </row>
    <row r="12" spans="2:23" x14ac:dyDescent="0.35">
      <c r="B12">
        <v>2019</v>
      </c>
      <c r="C12" s="41">
        <v>43399</v>
      </c>
      <c r="D12" t="s">
        <v>1297</v>
      </c>
      <c r="E12" t="s">
        <v>219</v>
      </c>
      <c r="F12" t="s">
        <v>461</v>
      </c>
      <c r="G12" t="s">
        <v>1299</v>
      </c>
      <c r="H12" t="s">
        <v>1300</v>
      </c>
      <c r="I12" t="s">
        <v>310</v>
      </c>
      <c r="J12">
        <v>2</v>
      </c>
      <c r="L12">
        <v>315.94</v>
      </c>
      <c r="M12">
        <v>538.42999999999995</v>
      </c>
      <c r="N12">
        <v>803.43</v>
      </c>
      <c r="O12">
        <v>1145.5999999999999</v>
      </c>
      <c r="P12">
        <v>1</v>
      </c>
      <c r="Q12">
        <v>1</v>
      </c>
      <c r="R12">
        <v>0</v>
      </c>
      <c r="S12">
        <v>200138</v>
      </c>
      <c r="T12" t="b">
        <v>1</v>
      </c>
    </row>
    <row r="13" spans="2:23" x14ac:dyDescent="0.35">
      <c r="B13">
        <v>2019</v>
      </c>
      <c r="C13" s="41">
        <v>43399</v>
      </c>
      <c r="D13" t="s">
        <v>1303</v>
      </c>
      <c r="E13" t="s">
        <v>219</v>
      </c>
      <c r="F13" t="s">
        <v>1301</v>
      </c>
      <c r="G13" t="s">
        <v>1299</v>
      </c>
      <c r="H13" t="s">
        <v>1304</v>
      </c>
      <c r="I13" t="s">
        <v>310</v>
      </c>
      <c r="J13">
        <v>2</v>
      </c>
      <c r="L13">
        <v>399.05</v>
      </c>
      <c r="M13">
        <v>680.06</v>
      </c>
      <c r="N13">
        <v>1014.76</v>
      </c>
      <c r="O13">
        <v>1446.94</v>
      </c>
      <c r="P13">
        <v>1</v>
      </c>
      <c r="Q13">
        <v>1</v>
      </c>
      <c r="R13">
        <v>0</v>
      </c>
      <c r="S13">
        <v>200138</v>
      </c>
      <c r="T13" t="b">
        <v>1</v>
      </c>
    </row>
    <row r="14" spans="2:23" x14ac:dyDescent="0.35">
      <c r="B14">
        <v>2019</v>
      </c>
      <c r="C14" s="41">
        <v>43399</v>
      </c>
      <c r="D14" t="s">
        <v>1305</v>
      </c>
      <c r="E14" t="s">
        <v>219</v>
      </c>
      <c r="F14" t="s">
        <v>461</v>
      </c>
      <c r="G14" t="s">
        <v>1299</v>
      </c>
      <c r="H14" t="s">
        <v>1304</v>
      </c>
      <c r="I14" t="s">
        <v>310</v>
      </c>
      <c r="J14">
        <v>2</v>
      </c>
      <c r="L14">
        <v>319.63</v>
      </c>
      <c r="M14">
        <v>544.72</v>
      </c>
      <c r="N14">
        <v>812.81</v>
      </c>
      <c r="O14">
        <v>1158.98</v>
      </c>
      <c r="P14">
        <v>1</v>
      </c>
      <c r="Q14">
        <v>1</v>
      </c>
      <c r="R14">
        <v>0</v>
      </c>
      <c r="S14">
        <v>200138</v>
      </c>
      <c r="T14" t="b">
        <v>1</v>
      </c>
    </row>
    <row r="15" spans="2:23" x14ac:dyDescent="0.35">
      <c r="B15">
        <v>2019</v>
      </c>
      <c r="C15" s="41">
        <v>43399</v>
      </c>
      <c r="D15" t="s">
        <v>1306</v>
      </c>
      <c r="E15" t="s">
        <v>219</v>
      </c>
      <c r="F15" t="s">
        <v>1307</v>
      </c>
      <c r="G15" t="s">
        <v>1299</v>
      </c>
      <c r="H15" t="s">
        <v>1308</v>
      </c>
      <c r="I15" t="s">
        <v>310</v>
      </c>
      <c r="J15">
        <v>2</v>
      </c>
      <c r="L15">
        <v>331.37</v>
      </c>
      <c r="M15">
        <v>564.73</v>
      </c>
      <c r="N15">
        <v>842.66</v>
      </c>
      <c r="O15">
        <v>1201.54</v>
      </c>
      <c r="P15">
        <v>1</v>
      </c>
      <c r="Q15">
        <v>1</v>
      </c>
      <c r="R15">
        <v>0</v>
      </c>
      <c r="S15">
        <v>200138</v>
      </c>
      <c r="T15" t="b">
        <v>1</v>
      </c>
    </row>
    <row r="16" spans="2:23" x14ac:dyDescent="0.35">
      <c r="B16">
        <v>2019</v>
      </c>
      <c r="C16" s="41">
        <v>43399</v>
      </c>
      <c r="D16" t="s">
        <v>1306</v>
      </c>
      <c r="E16" t="s">
        <v>219</v>
      </c>
      <c r="F16" t="s">
        <v>1309</v>
      </c>
      <c r="G16" t="s">
        <v>1299</v>
      </c>
      <c r="H16" t="s">
        <v>1308</v>
      </c>
      <c r="I16" t="s">
        <v>310</v>
      </c>
      <c r="J16">
        <v>2</v>
      </c>
      <c r="L16">
        <v>365.04</v>
      </c>
      <c r="M16">
        <v>622.1</v>
      </c>
      <c r="N16">
        <v>928.26</v>
      </c>
      <c r="O16">
        <v>1323.6</v>
      </c>
      <c r="P16">
        <v>1</v>
      </c>
      <c r="Q16">
        <v>1</v>
      </c>
      <c r="R16">
        <v>0</v>
      </c>
      <c r="S16">
        <v>200138</v>
      </c>
      <c r="T16" t="b">
        <v>1</v>
      </c>
    </row>
    <row r="17" spans="2:20" x14ac:dyDescent="0.35">
      <c r="B17">
        <v>2019</v>
      </c>
      <c r="C17" s="41">
        <v>43399</v>
      </c>
      <c r="D17" t="s">
        <v>1306</v>
      </c>
      <c r="E17" t="s">
        <v>219</v>
      </c>
      <c r="F17" t="s">
        <v>462</v>
      </c>
      <c r="G17" t="s">
        <v>1299</v>
      </c>
      <c r="H17" t="s">
        <v>1308</v>
      </c>
      <c r="I17" t="s">
        <v>310</v>
      </c>
      <c r="J17">
        <v>2</v>
      </c>
      <c r="L17">
        <v>374.77</v>
      </c>
      <c r="M17">
        <v>638.69000000000005</v>
      </c>
      <c r="N17">
        <v>953.02</v>
      </c>
      <c r="O17">
        <v>1358.9</v>
      </c>
      <c r="P17">
        <v>1</v>
      </c>
      <c r="Q17">
        <v>1</v>
      </c>
      <c r="R17">
        <v>0</v>
      </c>
      <c r="S17">
        <v>200138</v>
      </c>
      <c r="T17" t="b">
        <v>1</v>
      </c>
    </row>
    <row r="18" spans="2:20" x14ac:dyDescent="0.35">
      <c r="B18">
        <v>2019</v>
      </c>
      <c r="C18" s="41">
        <v>43399</v>
      </c>
      <c r="D18" t="s">
        <v>1306</v>
      </c>
      <c r="E18" t="s">
        <v>219</v>
      </c>
      <c r="F18" t="s">
        <v>463</v>
      </c>
      <c r="G18" t="s">
        <v>1299</v>
      </c>
      <c r="H18" t="s">
        <v>1308</v>
      </c>
      <c r="I18" t="s">
        <v>310</v>
      </c>
      <c r="J18">
        <v>2</v>
      </c>
      <c r="L18">
        <v>306.63</v>
      </c>
      <c r="M18">
        <v>522.55999999999995</v>
      </c>
      <c r="N18">
        <v>779.75</v>
      </c>
      <c r="O18">
        <v>1111.8399999999999</v>
      </c>
      <c r="P18">
        <v>1</v>
      </c>
      <c r="Q18">
        <v>1</v>
      </c>
      <c r="R18">
        <v>0</v>
      </c>
      <c r="S18">
        <v>200138</v>
      </c>
      <c r="T18" t="b">
        <v>1</v>
      </c>
    </row>
    <row r="19" spans="2:20" x14ac:dyDescent="0.35">
      <c r="B19">
        <v>2019</v>
      </c>
      <c r="C19" s="41">
        <v>43399</v>
      </c>
      <c r="D19" t="s">
        <v>1306</v>
      </c>
      <c r="E19" t="s">
        <v>219</v>
      </c>
      <c r="F19" t="s">
        <v>459</v>
      </c>
      <c r="G19" t="s">
        <v>1299</v>
      </c>
      <c r="H19" t="s">
        <v>1308</v>
      </c>
      <c r="I19" t="s">
        <v>310</v>
      </c>
      <c r="J19">
        <v>2</v>
      </c>
      <c r="L19">
        <v>304.60000000000002</v>
      </c>
      <c r="M19">
        <v>519.11</v>
      </c>
      <c r="N19">
        <v>774.58999999999901</v>
      </c>
      <c r="O19">
        <v>1104.48</v>
      </c>
      <c r="P19">
        <v>1</v>
      </c>
      <c r="Q19">
        <v>1</v>
      </c>
      <c r="R19">
        <v>0</v>
      </c>
      <c r="S19">
        <v>200138</v>
      </c>
      <c r="T19" t="b">
        <v>1</v>
      </c>
    </row>
    <row r="20" spans="2:20" x14ac:dyDescent="0.35">
      <c r="B20">
        <v>2019</v>
      </c>
      <c r="C20" s="41">
        <v>43399</v>
      </c>
      <c r="D20" t="s">
        <v>1306</v>
      </c>
      <c r="E20" t="s">
        <v>219</v>
      </c>
      <c r="F20" t="s">
        <v>1310</v>
      </c>
      <c r="G20" t="s">
        <v>1299</v>
      </c>
      <c r="H20" t="s">
        <v>1308</v>
      </c>
      <c r="I20" t="s">
        <v>310</v>
      </c>
      <c r="J20">
        <v>2</v>
      </c>
      <c r="L20">
        <v>473.74</v>
      </c>
      <c r="M20">
        <v>807.35</v>
      </c>
      <c r="N20">
        <v>1204.69</v>
      </c>
      <c r="O20">
        <v>1717.76</v>
      </c>
      <c r="P20">
        <v>1</v>
      </c>
      <c r="Q20">
        <v>1</v>
      </c>
      <c r="R20">
        <v>0</v>
      </c>
      <c r="S20">
        <v>200138</v>
      </c>
      <c r="T20" t="b">
        <v>1</v>
      </c>
    </row>
    <row r="21" spans="2:20" x14ac:dyDescent="0.35">
      <c r="B21">
        <v>2019</v>
      </c>
      <c r="C21" s="41">
        <v>43399</v>
      </c>
      <c r="D21" t="s">
        <v>1306</v>
      </c>
      <c r="E21" t="s">
        <v>219</v>
      </c>
      <c r="F21" t="s">
        <v>460</v>
      </c>
      <c r="G21" t="s">
        <v>1299</v>
      </c>
      <c r="H21" t="s">
        <v>1308</v>
      </c>
      <c r="I21" t="s">
        <v>310</v>
      </c>
      <c r="J21">
        <v>2</v>
      </c>
      <c r="L21">
        <v>369.09</v>
      </c>
      <c r="M21">
        <v>629.01</v>
      </c>
      <c r="N21">
        <v>938.57</v>
      </c>
      <c r="O21">
        <v>1338.3</v>
      </c>
      <c r="P21">
        <v>1</v>
      </c>
      <c r="Q21">
        <v>1</v>
      </c>
      <c r="R21">
        <v>0</v>
      </c>
      <c r="S21">
        <v>200138</v>
      </c>
      <c r="T21" t="b">
        <v>1</v>
      </c>
    </row>
    <row r="22" spans="2:20" x14ac:dyDescent="0.35">
      <c r="B22">
        <v>2019</v>
      </c>
      <c r="C22" s="41">
        <v>43399</v>
      </c>
      <c r="D22" t="s">
        <v>1306</v>
      </c>
      <c r="E22" t="s">
        <v>219</v>
      </c>
      <c r="F22" t="s">
        <v>1311</v>
      </c>
      <c r="G22" t="s">
        <v>1299</v>
      </c>
      <c r="H22" t="s">
        <v>1308</v>
      </c>
      <c r="I22" t="s">
        <v>310</v>
      </c>
      <c r="J22">
        <v>2</v>
      </c>
      <c r="L22">
        <v>354.49</v>
      </c>
      <c r="M22">
        <v>604.13</v>
      </c>
      <c r="N22">
        <v>901.46</v>
      </c>
      <c r="O22">
        <v>1285.3800000000001</v>
      </c>
      <c r="P22">
        <v>1</v>
      </c>
      <c r="Q22">
        <v>1</v>
      </c>
      <c r="R22">
        <v>0</v>
      </c>
      <c r="S22">
        <v>200138</v>
      </c>
      <c r="T22" t="b">
        <v>1</v>
      </c>
    </row>
    <row r="23" spans="2:20" x14ac:dyDescent="0.35">
      <c r="B23">
        <v>2019</v>
      </c>
      <c r="C23" s="41">
        <v>43399</v>
      </c>
      <c r="D23" t="s">
        <v>1312</v>
      </c>
      <c r="E23" t="s">
        <v>219</v>
      </c>
      <c r="F23" t="s">
        <v>1307</v>
      </c>
      <c r="G23" t="s">
        <v>1299</v>
      </c>
      <c r="H23" t="s">
        <v>1313</v>
      </c>
      <c r="I23" t="s">
        <v>310</v>
      </c>
      <c r="J23">
        <v>2</v>
      </c>
      <c r="L23">
        <v>288.85000000000002</v>
      </c>
      <c r="M23">
        <v>492.26</v>
      </c>
      <c r="N23">
        <v>734.53</v>
      </c>
      <c r="O23">
        <v>1047.3599999999999</v>
      </c>
      <c r="P23">
        <v>1</v>
      </c>
      <c r="Q23">
        <v>1</v>
      </c>
      <c r="R23">
        <v>0</v>
      </c>
      <c r="S23">
        <v>200138</v>
      </c>
      <c r="T23" t="b">
        <v>1</v>
      </c>
    </row>
    <row r="24" spans="2:20" x14ac:dyDescent="0.35">
      <c r="B24">
        <v>2019</v>
      </c>
      <c r="C24" s="41">
        <v>43399</v>
      </c>
      <c r="D24" t="s">
        <v>1312</v>
      </c>
      <c r="E24" t="s">
        <v>219</v>
      </c>
      <c r="F24" t="s">
        <v>1311</v>
      </c>
      <c r="G24" t="s">
        <v>1299</v>
      </c>
      <c r="H24" t="s">
        <v>1313</v>
      </c>
      <c r="I24" t="s">
        <v>310</v>
      </c>
      <c r="J24">
        <v>2</v>
      </c>
      <c r="L24">
        <v>309</v>
      </c>
      <c r="M24">
        <v>526.6</v>
      </c>
      <c r="N24">
        <v>785.78</v>
      </c>
      <c r="O24">
        <v>1120.44</v>
      </c>
      <c r="P24">
        <v>1</v>
      </c>
      <c r="Q24">
        <v>1</v>
      </c>
      <c r="R24">
        <v>0</v>
      </c>
      <c r="S24">
        <v>200138</v>
      </c>
      <c r="T24" t="b">
        <v>1</v>
      </c>
    </row>
    <row r="25" spans="2:20" x14ac:dyDescent="0.35">
      <c r="B25">
        <v>2019</v>
      </c>
      <c r="C25" s="41">
        <v>43399</v>
      </c>
      <c r="D25" t="s">
        <v>1312</v>
      </c>
      <c r="E25" t="s">
        <v>219</v>
      </c>
      <c r="F25" t="s">
        <v>1309</v>
      </c>
      <c r="G25" t="s">
        <v>1299</v>
      </c>
      <c r="H25" t="s">
        <v>1313</v>
      </c>
      <c r="I25" t="s">
        <v>310</v>
      </c>
      <c r="J25">
        <v>2</v>
      </c>
      <c r="L25">
        <v>318.2</v>
      </c>
      <c r="M25">
        <v>542.27</v>
      </c>
      <c r="N25">
        <v>809.15</v>
      </c>
      <c r="O25">
        <v>1153.76</v>
      </c>
      <c r="P25">
        <v>1</v>
      </c>
      <c r="Q25">
        <v>1</v>
      </c>
      <c r="R25">
        <v>0</v>
      </c>
      <c r="S25">
        <v>200138</v>
      </c>
      <c r="T25" t="b">
        <v>1</v>
      </c>
    </row>
    <row r="26" spans="2:20" x14ac:dyDescent="0.35">
      <c r="B26">
        <v>2019</v>
      </c>
      <c r="C26" s="41">
        <v>43399</v>
      </c>
      <c r="D26" t="s">
        <v>1312</v>
      </c>
      <c r="E26" t="s">
        <v>219</v>
      </c>
      <c r="F26" t="s">
        <v>463</v>
      </c>
      <c r="G26" t="s">
        <v>1299</v>
      </c>
      <c r="H26" t="s">
        <v>1313</v>
      </c>
      <c r="I26" t="s">
        <v>310</v>
      </c>
      <c r="J26">
        <v>2</v>
      </c>
      <c r="L26">
        <v>267.27999999999997</v>
      </c>
      <c r="M26">
        <v>455.51</v>
      </c>
      <c r="N26">
        <v>679.69</v>
      </c>
      <c r="O26">
        <v>969.16</v>
      </c>
      <c r="P26">
        <v>1</v>
      </c>
      <c r="Q26">
        <v>1</v>
      </c>
      <c r="R26">
        <v>0</v>
      </c>
      <c r="S26">
        <v>200138</v>
      </c>
      <c r="T26" t="b">
        <v>1</v>
      </c>
    </row>
    <row r="27" spans="2:20" x14ac:dyDescent="0.35">
      <c r="B27">
        <v>2019</v>
      </c>
      <c r="C27" s="41">
        <v>43399</v>
      </c>
      <c r="D27" t="s">
        <v>1312</v>
      </c>
      <c r="E27" t="s">
        <v>219</v>
      </c>
      <c r="F27" t="s">
        <v>460</v>
      </c>
      <c r="G27" t="s">
        <v>1299</v>
      </c>
      <c r="H27" t="s">
        <v>1313</v>
      </c>
      <c r="I27" t="s">
        <v>310</v>
      </c>
      <c r="J27">
        <v>2</v>
      </c>
      <c r="L27">
        <v>321.73</v>
      </c>
      <c r="M27">
        <v>548.29</v>
      </c>
      <c r="N27">
        <v>818.14</v>
      </c>
      <c r="O27">
        <v>1166.58</v>
      </c>
      <c r="P27">
        <v>1</v>
      </c>
      <c r="Q27">
        <v>1</v>
      </c>
      <c r="R27">
        <v>0</v>
      </c>
      <c r="S27">
        <v>200138</v>
      </c>
      <c r="T27" t="b">
        <v>1</v>
      </c>
    </row>
    <row r="28" spans="2:20" x14ac:dyDescent="0.35">
      <c r="B28">
        <v>2019</v>
      </c>
      <c r="C28" s="41">
        <v>43399</v>
      </c>
      <c r="D28" t="s">
        <v>1312</v>
      </c>
      <c r="E28" t="s">
        <v>219</v>
      </c>
      <c r="F28" t="s">
        <v>462</v>
      </c>
      <c r="G28" t="s">
        <v>1299</v>
      </c>
      <c r="H28" t="s">
        <v>1313</v>
      </c>
      <c r="I28" t="s">
        <v>310</v>
      </c>
      <c r="J28">
        <v>2</v>
      </c>
      <c r="L28">
        <v>326.68</v>
      </c>
      <c r="M28">
        <v>556.73</v>
      </c>
      <c r="N28">
        <v>830.72</v>
      </c>
      <c r="O28">
        <v>1184.52</v>
      </c>
      <c r="P28">
        <v>1</v>
      </c>
      <c r="Q28">
        <v>1</v>
      </c>
      <c r="R28">
        <v>0</v>
      </c>
      <c r="S28">
        <v>200138</v>
      </c>
      <c r="T28" t="b">
        <v>1</v>
      </c>
    </row>
    <row r="29" spans="2:20" x14ac:dyDescent="0.35">
      <c r="B29">
        <v>2019</v>
      </c>
      <c r="C29" s="41">
        <v>43399</v>
      </c>
      <c r="D29" t="s">
        <v>1314</v>
      </c>
      <c r="E29" t="s">
        <v>219</v>
      </c>
      <c r="F29" t="s">
        <v>1309</v>
      </c>
      <c r="G29" t="s">
        <v>1299</v>
      </c>
      <c r="H29" t="s">
        <v>1313</v>
      </c>
      <c r="I29" t="s">
        <v>310</v>
      </c>
      <c r="J29">
        <v>2</v>
      </c>
      <c r="L29">
        <v>318.2</v>
      </c>
      <c r="M29">
        <v>542.27</v>
      </c>
      <c r="N29">
        <v>809.15</v>
      </c>
      <c r="O29">
        <v>1153.76</v>
      </c>
      <c r="P29">
        <v>1</v>
      </c>
      <c r="Q29">
        <v>1</v>
      </c>
      <c r="R29">
        <v>0</v>
      </c>
      <c r="S29">
        <v>200138</v>
      </c>
      <c r="T29" t="b">
        <v>1</v>
      </c>
    </row>
    <row r="30" spans="2:20" x14ac:dyDescent="0.35">
      <c r="B30">
        <v>2019</v>
      </c>
      <c r="C30" s="41">
        <v>43399</v>
      </c>
      <c r="D30" t="s">
        <v>1314</v>
      </c>
      <c r="E30" t="s">
        <v>219</v>
      </c>
      <c r="F30" t="s">
        <v>1307</v>
      </c>
      <c r="G30" t="s">
        <v>1299</v>
      </c>
      <c r="H30" t="s">
        <v>1313</v>
      </c>
      <c r="I30" t="s">
        <v>310</v>
      </c>
      <c r="J30">
        <v>2</v>
      </c>
      <c r="L30">
        <v>288.85000000000002</v>
      </c>
      <c r="M30">
        <v>492.26</v>
      </c>
      <c r="N30">
        <v>734.53</v>
      </c>
      <c r="O30">
        <v>1047.3599999999999</v>
      </c>
      <c r="P30">
        <v>1</v>
      </c>
      <c r="Q30">
        <v>1</v>
      </c>
      <c r="R30">
        <v>0</v>
      </c>
      <c r="S30">
        <v>200138</v>
      </c>
      <c r="T30" t="b">
        <v>1</v>
      </c>
    </row>
    <row r="31" spans="2:20" x14ac:dyDescent="0.35">
      <c r="B31">
        <v>2019</v>
      </c>
      <c r="C31" s="41">
        <v>43399</v>
      </c>
      <c r="D31" t="s">
        <v>1314</v>
      </c>
      <c r="E31" t="s">
        <v>219</v>
      </c>
      <c r="F31" t="s">
        <v>1311</v>
      </c>
      <c r="G31" t="s">
        <v>1299</v>
      </c>
      <c r="H31" t="s">
        <v>1313</v>
      </c>
      <c r="I31" t="s">
        <v>310</v>
      </c>
      <c r="J31">
        <v>2</v>
      </c>
      <c r="L31">
        <v>309</v>
      </c>
      <c r="M31">
        <v>526.6</v>
      </c>
      <c r="N31">
        <v>785.78</v>
      </c>
      <c r="O31">
        <v>1120.44</v>
      </c>
      <c r="P31">
        <v>1</v>
      </c>
      <c r="Q31">
        <v>1</v>
      </c>
      <c r="R31">
        <v>0</v>
      </c>
      <c r="S31">
        <v>200138</v>
      </c>
      <c r="T31" t="b">
        <v>1</v>
      </c>
    </row>
    <row r="32" spans="2:20" x14ac:dyDescent="0.35">
      <c r="B32">
        <v>2019</v>
      </c>
      <c r="C32" s="41">
        <v>43399</v>
      </c>
      <c r="D32" t="s">
        <v>1314</v>
      </c>
      <c r="E32" t="s">
        <v>219</v>
      </c>
      <c r="F32" t="s">
        <v>463</v>
      </c>
      <c r="G32" t="s">
        <v>1299</v>
      </c>
      <c r="H32" t="s">
        <v>1313</v>
      </c>
      <c r="I32" t="s">
        <v>310</v>
      </c>
      <c r="J32">
        <v>2</v>
      </c>
      <c r="L32">
        <v>267.27999999999997</v>
      </c>
      <c r="M32">
        <v>455.51</v>
      </c>
      <c r="N32">
        <v>679.69</v>
      </c>
      <c r="O32">
        <v>969.16</v>
      </c>
      <c r="P32">
        <v>1</v>
      </c>
      <c r="Q32">
        <v>1</v>
      </c>
      <c r="R32">
        <v>0</v>
      </c>
      <c r="S32">
        <v>200138</v>
      </c>
      <c r="T32" t="b">
        <v>1</v>
      </c>
    </row>
    <row r="33" spans="2:20" x14ac:dyDescent="0.35">
      <c r="B33">
        <v>2019</v>
      </c>
      <c r="C33" s="41">
        <v>43399</v>
      </c>
      <c r="D33" t="s">
        <v>1312</v>
      </c>
      <c r="E33" t="s">
        <v>219</v>
      </c>
      <c r="F33" t="s">
        <v>459</v>
      </c>
      <c r="G33" t="s">
        <v>1299</v>
      </c>
      <c r="H33" t="s">
        <v>1313</v>
      </c>
      <c r="I33" t="s">
        <v>310</v>
      </c>
      <c r="J33">
        <v>2</v>
      </c>
      <c r="L33">
        <v>265.52</v>
      </c>
      <c r="M33">
        <v>452.49</v>
      </c>
      <c r="N33">
        <v>675.2</v>
      </c>
      <c r="O33">
        <v>962.76</v>
      </c>
      <c r="P33">
        <v>1</v>
      </c>
      <c r="Q33">
        <v>1</v>
      </c>
      <c r="R33">
        <v>0</v>
      </c>
      <c r="S33">
        <v>200138</v>
      </c>
      <c r="T33" t="b">
        <v>1</v>
      </c>
    </row>
    <row r="34" spans="2:20" x14ac:dyDescent="0.35">
      <c r="B34">
        <v>2019</v>
      </c>
      <c r="C34" s="41">
        <v>43399</v>
      </c>
      <c r="D34" t="s">
        <v>1314</v>
      </c>
      <c r="E34" t="s">
        <v>219</v>
      </c>
      <c r="F34" t="s">
        <v>462</v>
      </c>
      <c r="G34" t="s">
        <v>1299</v>
      </c>
      <c r="H34" t="s">
        <v>1313</v>
      </c>
      <c r="I34" t="s">
        <v>310</v>
      </c>
      <c r="J34">
        <v>2</v>
      </c>
      <c r="L34">
        <v>326.68</v>
      </c>
      <c r="M34">
        <v>556.73</v>
      </c>
      <c r="N34">
        <v>830.72</v>
      </c>
      <c r="O34">
        <v>1184.52</v>
      </c>
      <c r="P34">
        <v>1</v>
      </c>
      <c r="Q34">
        <v>1</v>
      </c>
      <c r="R34">
        <v>0</v>
      </c>
      <c r="S34">
        <v>200138</v>
      </c>
      <c r="T34" t="b">
        <v>1</v>
      </c>
    </row>
    <row r="35" spans="2:20" x14ac:dyDescent="0.35">
      <c r="B35">
        <v>2019</v>
      </c>
      <c r="C35" s="41">
        <v>43399</v>
      </c>
      <c r="D35" t="s">
        <v>1314</v>
      </c>
      <c r="E35" t="s">
        <v>219</v>
      </c>
      <c r="F35" t="s">
        <v>460</v>
      </c>
      <c r="G35" t="s">
        <v>1299</v>
      </c>
      <c r="H35" t="s">
        <v>1313</v>
      </c>
      <c r="I35" t="s">
        <v>310</v>
      </c>
      <c r="J35">
        <v>2</v>
      </c>
      <c r="L35">
        <v>321.73</v>
      </c>
      <c r="M35">
        <v>548.29</v>
      </c>
      <c r="N35">
        <v>818.14</v>
      </c>
      <c r="O35">
        <v>1166.58</v>
      </c>
      <c r="P35">
        <v>1</v>
      </c>
      <c r="Q35">
        <v>1</v>
      </c>
      <c r="R35">
        <v>0</v>
      </c>
      <c r="S35">
        <v>200138</v>
      </c>
      <c r="T35" t="b">
        <v>1</v>
      </c>
    </row>
    <row r="36" spans="2:20" x14ac:dyDescent="0.35">
      <c r="B36">
        <v>2019</v>
      </c>
      <c r="C36" s="41">
        <v>43399</v>
      </c>
      <c r="D36" t="s">
        <v>1314</v>
      </c>
      <c r="E36" t="s">
        <v>219</v>
      </c>
      <c r="F36" t="s">
        <v>459</v>
      </c>
      <c r="G36" t="s">
        <v>1299</v>
      </c>
      <c r="H36" t="s">
        <v>1313</v>
      </c>
      <c r="I36" t="s">
        <v>310</v>
      </c>
      <c r="J36">
        <v>2</v>
      </c>
      <c r="L36">
        <v>265.52</v>
      </c>
      <c r="M36">
        <v>452.49</v>
      </c>
      <c r="N36">
        <v>675.2</v>
      </c>
      <c r="O36">
        <v>962.76</v>
      </c>
      <c r="P36">
        <v>1</v>
      </c>
      <c r="Q36">
        <v>1</v>
      </c>
      <c r="R36">
        <v>0</v>
      </c>
      <c r="S36">
        <v>200138</v>
      </c>
      <c r="T36" t="b">
        <v>1</v>
      </c>
    </row>
    <row r="37" spans="2:20" x14ac:dyDescent="0.35">
      <c r="B37">
        <v>2019</v>
      </c>
      <c r="C37" s="41">
        <v>43399</v>
      </c>
      <c r="D37" t="s">
        <v>1312</v>
      </c>
      <c r="E37" t="s">
        <v>219</v>
      </c>
      <c r="F37" t="s">
        <v>1310</v>
      </c>
      <c r="G37" t="s">
        <v>1299</v>
      </c>
      <c r="H37" t="s">
        <v>1313</v>
      </c>
      <c r="I37" t="s">
        <v>310</v>
      </c>
      <c r="J37">
        <v>2</v>
      </c>
      <c r="L37">
        <v>412.95</v>
      </c>
      <c r="M37">
        <v>703.74</v>
      </c>
      <c r="N37">
        <v>1050.1099999999999</v>
      </c>
      <c r="O37">
        <v>1497.34</v>
      </c>
      <c r="P37">
        <v>1</v>
      </c>
      <c r="Q37">
        <v>1</v>
      </c>
      <c r="R37">
        <v>0</v>
      </c>
      <c r="S37">
        <v>200138</v>
      </c>
      <c r="T37" t="b">
        <v>1</v>
      </c>
    </row>
    <row r="38" spans="2:20" x14ac:dyDescent="0.35">
      <c r="B38">
        <v>2019</v>
      </c>
      <c r="C38" s="41">
        <v>43399</v>
      </c>
      <c r="D38" t="s">
        <v>1314</v>
      </c>
      <c r="E38" t="s">
        <v>219</v>
      </c>
      <c r="F38" t="s">
        <v>1310</v>
      </c>
      <c r="G38" t="s">
        <v>1299</v>
      </c>
      <c r="H38" t="s">
        <v>1313</v>
      </c>
      <c r="I38" t="s">
        <v>310</v>
      </c>
      <c r="J38">
        <v>2</v>
      </c>
      <c r="L38">
        <v>412.95</v>
      </c>
      <c r="M38">
        <v>703.74</v>
      </c>
      <c r="N38">
        <v>1050.1099999999999</v>
      </c>
      <c r="O38">
        <v>1497.34</v>
      </c>
      <c r="P38">
        <v>1</v>
      </c>
      <c r="Q38">
        <v>1</v>
      </c>
      <c r="R38">
        <v>0</v>
      </c>
      <c r="S38">
        <v>200138</v>
      </c>
      <c r="T38" t="b">
        <v>1</v>
      </c>
    </row>
    <row r="39" spans="2:20" x14ac:dyDescent="0.35">
      <c r="B39">
        <v>2019</v>
      </c>
      <c r="C39" s="41">
        <v>43399</v>
      </c>
      <c r="D39" t="s">
        <v>1315</v>
      </c>
      <c r="E39" t="s">
        <v>219</v>
      </c>
      <c r="F39" t="s">
        <v>1307</v>
      </c>
      <c r="G39" t="s">
        <v>1299</v>
      </c>
      <c r="H39" t="s">
        <v>1313</v>
      </c>
      <c r="I39" t="s">
        <v>310</v>
      </c>
      <c r="J39">
        <v>2</v>
      </c>
      <c r="L39">
        <v>288.85000000000002</v>
      </c>
      <c r="M39">
        <v>492.26</v>
      </c>
      <c r="N39">
        <v>734.53</v>
      </c>
      <c r="O39">
        <v>1047.3599999999999</v>
      </c>
      <c r="P39">
        <v>0</v>
      </c>
      <c r="Q39">
        <v>3</v>
      </c>
      <c r="R39">
        <v>0</v>
      </c>
      <c r="S39">
        <v>200138</v>
      </c>
      <c r="T39" t="b">
        <v>1</v>
      </c>
    </row>
    <row r="40" spans="2:20" x14ac:dyDescent="0.35">
      <c r="B40">
        <v>2019</v>
      </c>
      <c r="C40" s="41">
        <v>43399</v>
      </c>
      <c r="D40" t="s">
        <v>1315</v>
      </c>
      <c r="E40" t="s">
        <v>219</v>
      </c>
      <c r="F40" t="s">
        <v>1309</v>
      </c>
      <c r="G40" t="s">
        <v>1299</v>
      </c>
      <c r="H40" t="s">
        <v>1313</v>
      </c>
      <c r="I40" t="s">
        <v>310</v>
      </c>
      <c r="J40">
        <v>2</v>
      </c>
      <c r="L40">
        <v>318.2</v>
      </c>
      <c r="M40">
        <v>542.27</v>
      </c>
      <c r="N40">
        <v>809.15</v>
      </c>
      <c r="O40">
        <v>1153.76</v>
      </c>
      <c r="P40">
        <v>0</v>
      </c>
      <c r="Q40">
        <v>3</v>
      </c>
      <c r="R40">
        <v>0</v>
      </c>
      <c r="S40">
        <v>200138</v>
      </c>
      <c r="T40" t="b">
        <v>1</v>
      </c>
    </row>
    <row r="41" spans="2:20" x14ac:dyDescent="0.35">
      <c r="B41">
        <v>2019</v>
      </c>
      <c r="C41" s="41">
        <v>43399</v>
      </c>
      <c r="D41" t="s">
        <v>1315</v>
      </c>
      <c r="E41" t="s">
        <v>219</v>
      </c>
      <c r="F41" t="s">
        <v>1311</v>
      </c>
      <c r="G41" t="s">
        <v>1299</v>
      </c>
      <c r="H41" t="s">
        <v>1313</v>
      </c>
      <c r="I41" t="s">
        <v>310</v>
      </c>
      <c r="J41">
        <v>2</v>
      </c>
      <c r="L41">
        <v>309</v>
      </c>
      <c r="M41">
        <v>526.6</v>
      </c>
      <c r="N41">
        <v>785.78</v>
      </c>
      <c r="O41">
        <v>1120.44</v>
      </c>
      <c r="P41">
        <v>0</v>
      </c>
      <c r="Q41">
        <v>3</v>
      </c>
      <c r="R41">
        <v>0</v>
      </c>
      <c r="S41">
        <v>200138</v>
      </c>
      <c r="T41" t="b">
        <v>1</v>
      </c>
    </row>
    <row r="42" spans="2:20" x14ac:dyDescent="0.35">
      <c r="B42">
        <v>2019</v>
      </c>
      <c r="C42" s="41">
        <v>43399</v>
      </c>
      <c r="D42" t="s">
        <v>1315</v>
      </c>
      <c r="E42" t="s">
        <v>219</v>
      </c>
      <c r="F42" t="s">
        <v>463</v>
      </c>
      <c r="G42" t="s">
        <v>1299</v>
      </c>
      <c r="H42" t="s">
        <v>1313</v>
      </c>
      <c r="I42" t="s">
        <v>310</v>
      </c>
      <c r="J42">
        <v>2</v>
      </c>
      <c r="L42">
        <v>267.27999999999997</v>
      </c>
      <c r="M42">
        <v>455.51</v>
      </c>
      <c r="N42">
        <v>679.69</v>
      </c>
      <c r="O42">
        <v>969.16</v>
      </c>
      <c r="P42">
        <v>0</v>
      </c>
      <c r="Q42">
        <v>3</v>
      </c>
      <c r="R42">
        <v>0</v>
      </c>
      <c r="S42">
        <v>200138</v>
      </c>
      <c r="T42" t="b">
        <v>1</v>
      </c>
    </row>
    <row r="43" spans="2:20" x14ac:dyDescent="0.35">
      <c r="B43">
        <v>2019</v>
      </c>
      <c r="C43" s="41">
        <v>43399</v>
      </c>
      <c r="D43" t="s">
        <v>1315</v>
      </c>
      <c r="E43" t="s">
        <v>219</v>
      </c>
      <c r="F43" t="s">
        <v>460</v>
      </c>
      <c r="G43" t="s">
        <v>1299</v>
      </c>
      <c r="H43" t="s">
        <v>1313</v>
      </c>
      <c r="I43" t="s">
        <v>310</v>
      </c>
      <c r="J43">
        <v>2</v>
      </c>
      <c r="L43">
        <v>321.73</v>
      </c>
      <c r="M43">
        <v>548.29</v>
      </c>
      <c r="N43">
        <v>818.14</v>
      </c>
      <c r="O43">
        <v>1166.58</v>
      </c>
      <c r="P43">
        <v>0</v>
      </c>
      <c r="Q43">
        <v>3</v>
      </c>
      <c r="R43">
        <v>0</v>
      </c>
      <c r="S43">
        <v>200138</v>
      </c>
      <c r="T43" t="b">
        <v>1</v>
      </c>
    </row>
    <row r="44" spans="2:20" x14ac:dyDescent="0.35">
      <c r="B44">
        <v>2019</v>
      </c>
      <c r="C44" s="41">
        <v>43399</v>
      </c>
      <c r="D44" t="s">
        <v>1316</v>
      </c>
      <c r="E44" t="s">
        <v>219</v>
      </c>
      <c r="F44" t="s">
        <v>1302</v>
      </c>
      <c r="G44" t="s">
        <v>1299</v>
      </c>
      <c r="H44" t="s">
        <v>1313</v>
      </c>
      <c r="I44" t="s">
        <v>310</v>
      </c>
      <c r="J44">
        <v>2</v>
      </c>
      <c r="L44">
        <v>325.27</v>
      </c>
      <c r="M44">
        <v>554.32000000000005</v>
      </c>
      <c r="N44">
        <v>827.13</v>
      </c>
      <c r="O44">
        <v>1179.4000000000001</v>
      </c>
      <c r="P44">
        <v>1</v>
      </c>
      <c r="Q44">
        <v>1</v>
      </c>
      <c r="R44">
        <v>0</v>
      </c>
      <c r="S44">
        <v>200138</v>
      </c>
      <c r="T44" t="b">
        <v>1</v>
      </c>
    </row>
    <row r="45" spans="2:20" x14ac:dyDescent="0.35">
      <c r="B45">
        <v>2019</v>
      </c>
      <c r="C45" s="41">
        <v>43399</v>
      </c>
      <c r="D45" t="s">
        <v>1315</v>
      </c>
      <c r="E45" t="s">
        <v>219</v>
      </c>
      <c r="F45" t="s">
        <v>462</v>
      </c>
      <c r="G45" t="s">
        <v>1299</v>
      </c>
      <c r="H45" t="s">
        <v>1313</v>
      </c>
      <c r="I45" t="s">
        <v>310</v>
      </c>
      <c r="J45">
        <v>2</v>
      </c>
      <c r="L45">
        <v>326.68</v>
      </c>
      <c r="M45">
        <v>556.73</v>
      </c>
      <c r="N45">
        <v>830.72</v>
      </c>
      <c r="O45">
        <v>1184.52</v>
      </c>
      <c r="P45">
        <v>0</v>
      </c>
      <c r="Q45">
        <v>3</v>
      </c>
      <c r="R45">
        <v>0</v>
      </c>
      <c r="S45">
        <v>200138</v>
      </c>
      <c r="T45" t="b">
        <v>1</v>
      </c>
    </row>
    <row r="46" spans="2:20" x14ac:dyDescent="0.35">
      <c r="B46">
        <v>2019</v>
      </c>
      <c r="C46" s="41">
        <v>43399</v>
      </c>
      <c r="D46" t="s">
        <v>1315</v>
      </c>
      <c r="E46" t="s">
        <v>219</v>
      </c>
      <c r="F46" t="s">
        <v>459</v>
      </c>
      <c r="G46" t="s">
        <v>1299</v>
      </c>
      <c r="H46" t="s">
        <v>1313</v>
      </c>
      <c r="I46" t="s">
        <v>310</v>
      </c>
      <c r="J46">
        <v>2</v>
      </c>
      <c r="L46">
        <v>265.52</v>
      </c>
      <c r="M46">
        <v>452.49</v>
      </c>
      <c r="N46">
        <v>675.2</v>
      </c>
      <c r="O46">
        <v>962.76</v>
      </c>
      <c r="P46">
        <v>0</v>
      </c>
      <c r="Q46">
        <v>3</v>
      </c>
      <c r="R46">
        <v>0</v>
      </c>
      <c r="S46">
        <v>200138</v>
      </c>
      <c r="T46" t="b">
        <v>1</v>
      </c>
    </row>
    <row r="47" spans="2:20" x14ac:dyDescent="0.35">
      <c r="B47">
        <v>2019</v>
      </c>
      <c r="C47" s="41">
        <v>43399</v>
      </c>
      <c r="D47" t="s">
        <v>1316</v>
      </c>
      <c r="E47" t="s">
        <v>219</v>
      </c>
      <c r="F47" t="s">
        <v>1298</v>
      </c>
      <c r="G47" t="s">
        <v>1299</v>
      </c>
      <c r="H47" t="s">
        <v>1313</v>
      </c>
      <c r="I47" t="s">
        <v>310</v>
      </c>
      <c r="J47">
        <v>2</v>
      </c>
      <c r="L47">
        <v>341.53</v>
      </c>
      <c r="M47">
        <v>582.04</v>
      </c>
      <c r="N47">
        <v>868.48</v>
      </c>
      <c r="O47">
        <v>1238.3599999999999</v>
      </c>
      <c r="P47">
        <v>1</v>
      </c>
      <c r="Q47">
        <v>1</v>
      </c>
      <c r="R47">
        <v>0</v>
      </c>
      <c r="S47">
        <v>200138</v>
      </c>
      <c r="T47" t="b">
        <v>1</v>
      </c>
    </row>
    <row r="48" spans="2:20" x14ac:dyDescent="0.35">
      <c r="B48">
        <v>2019</v>
      </c>
      <c r="C48" s="41">
        <v>43399</v>
      </c>
      <c r="D48" t="s">
        <v>1315</v>
      </c>
      <c r="E48" t="s">
        <v>219</v>
      </c>
      <c r="F48" t="s">
        <v>1310</v>
      </c>
      <c r="G48" t="s">
        <v>1299</v>
      </c>
      <c r="H48" t="s">
        <v>1313</v>
      </c>
      <c r="I48" t="s">
        <v>310</v>
      </c>
      <c r="J48">
        <v>2</v>
      </c>
      <c r="L48">
        <v>412.95</v>
      </c>
      <c r="M48">
        <v>703.74</v>
      </c>
      <c r="N48">
        <v>1050.1099999999999</v>
      </c>
      <c r="O48">
        <v>1497.34</v>
      </c>
      <c r="P48">
        <v>0</v>
      </c>
      <c r="Q48">
        <v>3</v>
      </c>
      <c r="R48">
        <v>0</v>
      </c>
      <c r="S48">
        <v>200138</v>
      </c>
      <c r="T48" t="b">
        <v>1</v>
      </c>
    </row>
    <row r="49" spans="2:20" x14ac:dyDescent="0.35">
      <c r="B49">
        <v>2019</v>
      </c>
      <c r="C49" s="41">
        <v>43399</v>
      </c>
      <c r="D49" t="s">
        <v>1316</v>
      </c>
      <c r="E49" t="s">
        <v>219</v>
      </c>
      <c r="F49" t="s">
        <v>1301</v>
      </c>
      <c r="G49" t="s">
        <v>1299</v>
      </c>
      <c r="H49" t="s">
        <v>1313</v>
      </c>
      <c r="I49" t="s">
        <v>310</v>
      </c>
      <c r="J49">
        <v>2</v>
      </c>
      <c r="L49">
        <v>360.62</v>
      </c>
      <c r="M49">
        <v>614.57000000000005</v>
      </c>
      <c r="N49">
        <v>917.04</v>
      </c>
      <c r="O49">
        <v>1307.5999999999999</v>
      </c>
      <c r="P49">
        <v>1</v>
      </c>
      <c r="Q49">
        <v>1</v>
      </c>
      <c r="R49">
        <v>0</v>
      </c>
      <c r="S49">
        <v>200138</v>
      </c>
      <c r="T49" t="b">
        <v>1</v>
      </c>
    </row>
    <row r="50" spans="2:20" x14ac:dyDescent="0.35">
      <c r="B50">
        <v>2019</v>
      </c>
      <c r="C50" s="41">
        <v>43399</v>
      </c>
      <c r="D50" t="s">
        <v>1316</v>
      </c>
      <c r="E50" t="s">
        <v>219</v>
      </c>
      <c r="F50" t="s">
        <v>461</v>
      </c>
      <c r="G50" t="s">
        <v>1299</v>
      </c>
      <c r="H50" t="s">
        <v>1313</v>
      </c>
      <c r="I50" t="s">
        <v>310</v>
      </c>
      <c r="J50">
        <v>2</v>
      </c>
      <c r="L50">
        <v>288.85000000000002</v>
      </c>
      <c r="M50">
        <v>492.26</v>
      </c>
      <c r="N50">
        <v>734.53</v>
      </c>
      <c r="O50">
        <v>1047.3599999999999</v>
      </c>
      <c r="P50">
        <v>1</v>
      </c>
      <c r="Q50">
        <v>1</v>
      </c>
      <c r="R50">
        <v>0</v>
      </c>
      <c r="S50">
        <v>200138</v>
      </c>
      <c r="T50" t="b">
        <v>1</v>
      </c>
    </row>
    <row r="51" spans="2:20" x14ac:dyDescent="0.35">
      <c r="B51">
        <v>2019</v>
      </c>
      <c r="C51" s="41">
        <v>43399</v>
      </c>
      <c r="D51" t="s">
        <v>1317</v>
      </c>
      <c r="E51" t="s">
        <v>219</v>
      </c>
      <c r="F51" t="s">
        <v>1301</v>
      </c>
      <c r="G51" t="s">
        <v>1299</v>
      </c>
      <c r="H51" t="s">
        <v>1313</v>
      </c>
      <c r="I51" t="s">
        <v>310</v>
      </c>
      <c r="J51">
        <v>2</v>
      </c>
      <c r="L51">
        <v>360.62</v>
      </c>
      <c r="M51">
        <v>614.57000000000005</v>
      </c>
      <c r="N51">
        <v>917.04</v>
      </c>
      <c r="O51">
        <v>1307.5999999999999</v>
      </c>
      <c r="P51">
        <v>0</v>
      </c>
      <c r="Q51">
        <v>3</v>
      </c>
      <c r="R51">
        <v>0</v>
      </c>
      <c r="S51">
        <v>200138</v>
      </c>
      <c r="T51" t="b">
        <v>1</v>
      </c>
    </row>
    <row r="52" spans="2:20" x14ac:dyDescent="0.35">
      <c r="B52">
        <v>2019</v>
      </c>
      <c r="C52" s="41">
        <v>43399</v>
      </c>
      <c r="D52" t="s">
        <v>1317</v>
      </c>
      <c r="E52" t="s">
        <v>219</v>
      </c>
      <c r="F52" t="s">
        <v>1302</v>
      </c>
      <c r="G52" t="s">
        <v>1299</v>
      </c>
      <c r="H52" t="s">
        <v>1313</v>
      </c>
      <c r="I52" t="s">
        <v>310</v>
      </c>
      <c r="J52">
        <v>2</v>
      </c>
      <c r="L52">
        <v>325.27</v>
      </c>
      <c r="M52">
        <v>554.32000000000005</v>
      </c>
      <c r="N52">
        <v>827.13</v>
      </c>
      <c r="O52">
        <v>1179.4000000000001</v>
      </c>
      <c r="P52">
        <v>0</v>
      </c>
      <c r="Q52">
        <v>3</v>
      </c>
      <c r="R52">
        <v>0</v>
      </c>
      <c r="S52">
        <v>200138</v>
      </c>
      <c r="T52" t="b">
        <v>1</v>
      </c>
    </row>
    <row r="53" spans="2:20" x14ac:dyDescent="0.35">
      <c r="B53">
        <v>2019</v>
      </c>
      <c r="C53" s="41">
        <v>43399</v>
      </c>
      <c r="D53" t="s">
        <v>1317</v>
      </c>
      <c r="E53" t="s">
        <v>219</v>
      </c>
      <c r="F53" t="s">
        <v>1298</v>
      </c>
      <c r="G53" t="s">
        <v>1299</v>
      </c>
      <c r="H53" t="s">
        <v>1313</v>
      </c>
      <c r="I53" t="s">
        <v>310</v>
      </c>
      <c r="J53">
        <v>2</v>
      </c>
      <c r="L53">
        <v>341.53</v>
      </c>
      <c r="M53">
        <v>582.04</v>
      </c>
      <c r="N53">
        <v>868.48</v>
      </c>
      <c r="O53">
        <v>1238.3599999999999</v>
      </c>
      <c r="P53">
        <v>0</v>
      </c>
      <c r="Q53">
        <v>3</v>
      </c>
      <c r="R53">
        <v>0</v>
      </c>
      <c r="S53">
        <v>200138</v>
      </c>
      <c r="T53" t="b">
        <v>1</v>
      </c>
    </row>
    <row r="54" spans="2:20" x14ac:dyDescent="0.35">
      <c r="B54">
        <v>2019</v>
      </c>
      <c r="C54" s="41">
        <v>43399</v>
      </c>
      <c r="D54" t="s">
        <v>1317</v>
      </c>
      <c r="E54" t="s">
        <v>219</v>
      </c>
      <c r="F54" t="s">
        <v>461</v>
      </c>
      <c r="G54" t="s">
        <v>1299</v>
      </c>
      <c r="H54" t="s">
        <v>1313</v>
      </c>
      <c r="I54" t="s">
        <v>310</v>
      </c>
      <c r="J54">
        <v>2</v>
      </c>
      <c r="L54">
        <v>288.85000000000002</v>
      </c>
      <c r="M54">
        <v>492.26</v>
      </c>
      <c r="N54">
        <v>734.53</v>
      </c>
      <c r="O54">
        <v>1047.3599999999999</v>
      </c>
      <c r="P54">
        <v>0</v>
      </c>
      <c r="Q54">
        <v>3</v>
      </c>
      <c r="R54">
        <v>0</v>
      </c>
      <c r="S54">
        <v>200138</v>
      </c>
      <c r="T54" t="b">
        <v>1</v>
      </c>
    </row>
    <row r="55" spans="2:20" x14ac:dyDescent="0.35">
      <c r="B55">
        <v>2019</v>
      </c>
      <c r="C55" s="41">
        <v>43399</v>
      </c>
      <c r="D55" t="s">
        <v>1318</v>
      </c>
      <c r="E55" t="s">
        <v>219</v>
      </c>
      <c r="F55" t="s">
        <v>1307</v>
      </c>
      <c r="G55" t="s">
        <v>1299</v>
      </c>
      <c r="H55" t="s">
        <v>1319</v>
      </c>
      <c r="I55" t="s">
        <v>842</v>
      </c>
      <c r="J55">
        <v>2</v>
      </c>
      <c r="L55">
        <v>270.02</v>
      </c>
      <c r="M55">
        <v>460.17</v>
      </c>
      <c r="N55">
        <v>686.64</v>
      </c>
      <c r="O55">
        <v>979.07999999999902</v>
      </c>
      <c r="P55">
        <v>0</v>
      </c>
      <c r="Q55">
        <v>3</v>
      </c>
      <c r="R55">
        <v>0</v>
      </c>
      <c r="S55">
        <v>200138</v>
      </c>
      <c r="T55" t="b">
        <v>1</v>
      </c>
    </row>
    <row r="56" spans="2:20" x14ac:dyDescent="0.35">
      <c r="B56">
        <v>2019</v>
      </c>
      <c r="C56" s="41">
        <v>43399</v>
      </c>
      <c r="D56" t="s">
        <v>1318</v>
      </c>
      <c r="E56" t="s">
        <v>219</v>
      </c>
      <c r="F56" t="s">
        <v>1309</v>
      </c>
      <c r="G56" t="s">
        <v>1299</v>
      </c>
      <c r="H56" t="s">
        <v>1319</v>
      </c>
      <c r="I56" t="s">
        <v>842</v>
      </c>
      <c r="J56">
        <v>2</v>
      </c>
      <c r="L56">
        <v>297.45</v>
      </c>
      <c r="M56">
        <v>506.92</v>
      </c>
      <c r="N56">
        <v>756.4</v>
      </c>
      <c r="O56">
        <v>1078.54</v>
      </c>
      <c r="P56">
        <v>0</v>
      </c>
      <c r="Q56">
        <v>3</v>
      </c>
      <c r="R56">
        <v>0</v>
      </c>
      <c r="S56">
        <v>200138</v>
      </c>
      <c r="T56" t="b">
        <v>1</v>
      </c>
    </row>
    <row r="57" spans="2:20" x14ac:dyDescent="0.35">
      <c r="B57">
        <v>2019</v>
      </c>
      <c r="C57" s="41">
        <v>43399</v>
      </c>
      <c r="D57" t="s">
        <v>1318</v>
      </c>
      <c r="E57" t="s">
        <v>219</v>
      </c>
      <c r="F57" t="s">
        <v>1311</v>
      </c>
      <c r="G57" t="s">
        <v>1299</v>
      </c>
      <c r="H57" t="s">
        <v>1319</v>
      </c>
      <c r="I57" t="s">
        <v>842</v>
      </c>
      <c r="J57">
        <v>2</v>
      </c>
      <c r="L57">
        <v>288.86</v>
      </c>
      <c r="M57">
        <v>492.27</v>
      </c>
      <c r="N57">
        <v>734.56</v>
      </c>
      <c r="O57">
        <v>1047.4000000000001</v>
      </c>
      <c r="P57">
        <v>0</v>
      </c>
      <c r="Q57">
        <v>3</v>
      </c>
      <c r="R57">
        <v>0</v>
      </c>
      <c r="S57">
        <v>200138</v>
      </c>
      <c r="T57" t="b">
        <v>1</v>
      </c>
    </row>
    <row r="58" spans="2:20" x14ac:dyDescent="0.35">
      <c r="B58">
        <v>2019</v>
      </c>
      <c r="C58" s="41">
        <v>43399</v>
      </c>
      <c r="D58" t="s">
        <v>1318</v>
      </c>
      <c r="E58" t="s">
        <v>219</v>
      </c>
      <c r="F58" t="s">
        <v>460</v>
      </c>
      <c r="G58" t="s">
        <v>1299</v>
      </c>
      <c r="H58" t="s">
        <v>1319</v>
      </c>
      <c r="I58" t="s">
        <v>842</v>
      </c>
      <c r="J58">
        <v>2</v>
      </c>
      <c r="L58">
        <v>300.76</v>
      </c>
      <c r="M58">
        <v>512.54999999999995</v>
      </c>
      <c r="N58">
        <v>764.8</v>
      </c>
      <c r="O58">
        <v>1090.52</v>
      </c>
      <c r="P58">
        <v>0</v>
      </c>
      <c r="Q58">
        <v>3</v>
      </c>
      <c r="R58">
        <v>0</v>
      </c>
      <c r="S58">
        <v>200138</v>
      </c>
      <c r="T58" t="b">
        <v>1</v>
      </c>
    </row>
    <row r="59" spans="2:20" x14ac:dyDescent="0.35">
      <c r="B59">
        <v>2019</v>
      </c>
      <c r="C59" s="41">
        <v>43399</v>
      </c>
      <c r="D59" t="s">
        <v>1318</v>
      </c>
      <c r="E59" t="s">
        <v>219</v>
      </c>
      <c r="F59" t="s">
        <v>1310</v>
      </c>
      <c r="G59" t="s">
        <v>1299</v>
      </c>
      <c r="H59" t="s">
        <v>1319</v>
      </c>
      <c r="I59" t="s">
        <v>842</v>
      </c>
      <c r="J59">
        <v>2</v>
      </c>
      <c r="L59">
        <v>386.03</v>
      </c>
      <c r="M59">
        <v>657.86</v>
      </c>
      <c r="N59">
        <v>981.62999999999897</v>
      </c>
      <c r="O59">
        <v>1399.69999999999</v>
      </c>
      <c r="P59">
        <v>0</v>
      </c>
      <c r="Q59">
        <v>3</v>
      </c>
      <c r="R59">
        <v>0</v>
      </c>
      <c r="S59">
        <v>200138</v>
      </c>
      <c r="T59" t="b">
        <v>1</v>
      </c>
    </row>
    <row r="60" spans="2:20" x14ac:dyDescent="0.35">
      <c r="B60">
        <v>2019</v>
      </c>
      <c r="C60" s="41">
        <v>43399</v>
      </c>
      <c r="D60" t="s">
        <v>1318</v>
      </c>
      <c r="E60" t="s">
        <v>219</v>
      </c>
      <c r="F60" t="s">
        <v>459</v>
      </c>
      <c r="G60" t="s">
        <v>1299</v>
      </c>
      <c r="H60" t="s">
        <v>1319</v>
      </c>
      <c r="I60" t="s">
        <v>842</v>
      </c>
      <c r="J60">
        <v>2</v>
      </c>
      <c r="L60">
        <v>248.21</v>
      </c>
      <c r="M60">
        <v>422.99</v>
      </c>
      <c r="N60">
        <v>631.16999999999996</v>
      </c>
      <c r="O60">
        <v>899.98</v>
      </c>
      <c r="P60">
        <v>0</v>
      </c>
      <c r="Q60">
        <v>3</v>
      </c>
      <c r="R60">
        <v>0</v>
      </c>
      <c r="S60">
        <v>200138</v>
      </c>
      <c r="T60" t="b">
        <v>1</v>
      </c>
    </row>
    <row r="61" spans="2:20" x14ac:dyDescent="0.35">
      <c r="B61">
        <v>2019</v>
      </c>
      <c r="C61" s="41">
        <v>43399</v>
      </c>
      <c r="D61" t="s">
        <v>1318</v>
      </c>
      <c r="E61" t="s">
        <v>219</v>
      </c>
      <c r="F61" t="s">
        <v>462</v>
      </c>
      <c r="G61" t="s">
        <v>1299</v>
      </c>
      <c r="H61" t="s">
        <v>1319</v>
      </c>
      <c r="I61" t="s">
        <v>842</v>
      </c>
      <c r="J61">
        <v>2</v>
      </c>
      <c r="L61">
        <v>305.38</v>
      </c>
      <c r="M61">
        <v>520.42999999999995</v>
      </c>
      <c r="N61">
        <v>776.56999999999903</v>
      </c>
      <c r="O61">
        <v>1107.3</v>
      </c>
      <c r="P61">
        <v>0</v>
      </c>
      <c r="Q61">
        <v>3</v>
      </c>
      <c r="R61">
        <v>0</v>
      </c>
      <c r="S61">
        <v>200138</v>
      </c>
      <c r="T61" t="b">
        <v>1</v>
      </c>
    </row>
    <row r="62" spans="2:20" x14ac:dyDescent="0.35">
      <c r="B62">
        <v>2019</v>
      </c>
      <c r="C62" s="41">
        <v>43399</v>
      </c>
      <c r="D62" t="s">
        <v>1320</v>
      </c>
      <c r="E62" t="s">
        <v>219</v>
      </c>
      <c r="F62" t="s">
        <v>463</v>
      </c>
      <c r="G62" t="s">
        <v>1299</v>
      </c>
      <c r="H62" t="s">
        <v>1321</v>
      </c>
      <c r="I62" t="s">
        <v>842</v>
      </c>
      <c r="J62">
        <v>2</v>
      </c>
      <c r="L62">
        <v>241.43</v>
      </c>
      <c r="M62">
        <v>411.44</v>
      </c>
      <c r="N62">
        <v>613.92999999999995</v>
      </c>
      <c r="O62">
        <v>875.4</v>
      </c>
      <c r="P62">
        <v>0</v>
      </c>
      <c r="Q62">
        <v>3</v>
      </c>
      <c r="R62">
        <v>0</v>
      </c>
      <c r="S62">
        <v>200138</v>
      </c>
      <c r="T62" t="b">
        <v>1</v>
      </c>
    </row>
    <row r="63" spans="2:20" x14ac:dyDescent="0.35">
      <c r="B63">
        <v>2019</v>
      </c>
      <c r="C63" s="41">
        <v>43399</v>
      </c>
      <c r="D63" t="s">
        <v>1318</v>
      </c>
      <c r="E63" t="s">
        <v>219</v>
      </c>
      <c r="F63" t="s">
        <v>463</v>
      </c>
      <c r="G63" t="s">
        <v>1299</v>
      </c>
      <c r="H63" t="s">
        <v>1319</v>
      </c>
      <c r="I63" t="s">
        <v>842</v>
      </c>
      <c r="J63">
        <v>2</v>
      </c>
      <c r="L63">
        <v>249.86</v>
      </c>
      <c r="M63">
        <v>425.81</v>
      </c>
      <c r="N63">
        <v>635.38</v>
      </c>
      <c r="O63">
        <v>905.98</v>
      </c>
      <c r="P63">
        <v>0</v>
      </c>
      <c r="Q63">
        <v>3</v>
      </c>
      <c r="R63">
        <v>0</v>
      </c>
      <c r="S63">
        <v>200138</v>
      </c>
      <c r="T63" t="b">
        <v>1</v>
      </c>
    </row>
    <row r="64" spans="2:20" x14ac:dyDescent="0.35">
      <c r="B64">
        <v>2019</v>
      </c>
      <c r="C64" s="41">
        <v>43399</v>
      </c>
      <c r="D64" t="s">
        <v>1320</v>
      </c>
      <c r="E64" t="s">
        <v>219</v>
      </c>
      <c r="F64" t="s">
        <v>460</v>
      </c>
      <c r="G64" t="s">
        <v>1299</v>
      </c>
      <c r="H64" t="s">
        <v>1321</v>
      </c>
      <c r="I64" t="s">
        <v>842</v>
      </c>
      <c r="J64">
        <v>2</v>
      </c>
      <c r="L64">
        <v>290.61</v>
      </c>
      <c r="M64">
        <v>495.25</v>
      </c>
      <c r="N64">
        <v>738.99</v>
      </c>
      <c r="O64">
        <v>1053.72</v>
      </c>
      <c r="P64">
        <v>0</v>
      </c>
      <c r="Q64">
        <v>3</v>
      </c>
      <c r="R64">
        <v>0</v>
      </c>
      <c r="S64">
        <v>200138</v>
      </c>
      <c r="T64" t="b">
        <v>1</v>
      </c>
    </row>
    <row r="65" spans="2:20" x14ac:dyDescent="0.35">
      <c r="B65">
        <v>2019</v>
      </c>
      <c r="C65" s="41">
        <v>43399</v>
      </c>
      <c r="D65" t="s">
        <v>1320</v>
      </c>
      <c r="E65" t="s">
        <v>219</v>
      </c>
      <c r="F65" t="s">
        <v>459</v>
      </c>
      <c r="G65" t="s">
        <v>1299</v>
      </c>
      <c r="H65" t="s">
        <v>1321</v>
      </c>
      <c r="I65" t="s">
        <v>842</v>
      </c>
      <c r="J65">
        <v>2</v>
      </c>
      <c r="L65">
        <v>239.83</v>
      </c>
      <c r="M65">
        <v>408.72</v>
      </c>
      <c r="N65">
        <v>609.88</v>
      </c>
      <c r="O65">
        <v>869.62</v>
      </c>
      <c r="P65">
        <v>0</v>
      </c>
      <c r="Q65">
        <v>3</v>
      </c>
      <c r="R65">
        <v>0</v>
      </c>
      <c r="S65">
        <v>200138</v>
      </c>
      <c r="T65" t="b">
        <v>1</v>
      </c>
    </row>
    <row r="66" spans="2:20" x14ac:dyDescent="0.35">
      <c r="B66">
        <v>2019</v>
      </c>
      <c r="C66" s="41">
        <v>43399</v>
      </c>
      <c r="D66" t="s">
        <v>1320</v>
      </c>
      <c r="E66" t="s">
        <v>219</v>
      </c>
      <c r="F66" t="s">
        <v>1307</v>
      </c>
      <c r="G66" t="s">
        <v>1299</v>
      </c>
      <c r="H66" t="s">
        <v>1321</v>
      </c>
      <c r="I66" t="s">
        <v>842</v>
      </c>
      <c r="J66">
        <v>2</v>
      </c>
      <c r="L66">
        <v>260.91000000000003</v>
      </c>
      <c r="M66">
        <v>444.64</v>
      </c>
      <c r="N66">
        <v>663.47</v>
      </c>
      <c r="O66">
        <v>946.04</v>
      </c>
      <c r="P66">
        <v>0</v>
      </c>
      <c r="Q66">
        <v>3</v>
      </c>
      <c r="R66">
        <v>0</v>
      </c>
      <c r="S66">
        <v>200138</v>
      </c>
      <c r="T66" t="b">
        <v>1</v>
      </c>
    </row>
    <row r="67" spans="2:20" x14ac:dyDescent="0.35">
      <c r="B67">
        <v>2019</v>
      </c>
      <c r="C67" s="41">
        <v>43399</v>
      </c>
      <c r="D67" t="s">
        <v>1320</v>
      </c>
      <c r="E67" t="s">
        <v>219</v>
      </c>
      <c r="F67" t="s">
        <v>462</v>
      </c>
      <c r="G67" t="s">
        <v>1299</v>
      </c>
      <c r="H67" t="s">
        <v>1321</v>
      </c>
      <c r="I67" t="s">
        <v>842</v>
      </c>
      <c r="J67">
        <v>2</v>
      </c>
      <c r="L67">
        <v>295.08</v>
      </c>
      <c r="M67">
        <v>502.87</v>
      </c>
      <c r="N67">
        <v>750.37</v>
      </c>
      <c r="O67">
        <v>1069.94</v>
      </c>
      <c r="P67">
        <v>0</v>
      </c>
      <c r="Q67">
        <v>3</v>
      </c>
      <c r="R67">
        <v>0</v>
      </c>
      <c r="S67">
        <v>200138</v>
      </c>
      <c r="T67" t="b">
        <v>1</v>
      </c>
    </row>
    <row r="68" spans="2:20" x14ac:dyDescent="0.35">
      <c r="B68">
        <v>2019</v>
      </c>
      <c r="C68" s="41">
        <v>43399</v>
      </c>
      <c r="D68" t="s">
        <v>1320</v>
      </c>
      <c r="E68" t="s">
        <v>219</v>
      </c>
      <c r="F68" t="s">
        <v>1309</v>
      </c>
      <c r="G68" t="s">
        <v>1299</v>
      </c>
      <c r="H68" t="s">
        <v>1321</v>
      </c>
      <c r="I68" t="s">
        <v>842</v>
      </c>
      <c r="J68">
        <v>2</v>
      </c>
      <c r="L68">
        <v>287.41000000000003</v>
      </c>
      <c r="M68">
        <v>489.81</v>
      </c>
      <c r="N68">
        <v>730.87</v>
      </c>
      <c r="O68">
        <v>1042.1399999999901</v>
      </c>
      <c r="P68">
        <v>0</v>
      </c>
      <c r="Q68">
        <v>3</v>
      </c>
      <c r="R68">
        <v>0</v>
      </c>
      <c r="S68">
        <v>200138</v>
      </c>
      <c r="T68" t="b">
        <v>1</v>
      </c>
    </row>
    <row r="69" spans="2:20" x14ac:dyDescent="0.35">
      <c r="B69">
        <v>2019</v>
      </c>
      <c r="C69" s="41">
        <v>43399</v>
      </c>
      <c r="D69" t="s">
        <v>1320</v>
      </c>
      <c r="E69" t="s">
        <v>219</v>
      </c>
      <c r="F69" t="s">
        <v>1311</v>
      </c>
      <c r="G69" t="s">
        <v>1299</v>
      </c>
      <c r="H69" t="s">
        <v>1321</v>
      </c>
      <c r="I69" t="s">
        <v>842</v>
      </c>
      <c r="J69">
        <v>2</v>
      </c>
      <c r="L69">
        <v>279.11</v>
      </c>
      <c r="M69">
        <v>475.66</v>
      </c>
      <c r="N69">
        <v>709.76</v>
      </c>
      <c r="O69">
        <v>1012.04</v>
      </c>
      <c r="P69">
        <v>0</v>
      </c>
      <c r="Q69">
        <v>3</v>
      </c>
      <c r="R69">
        <v>0</v>
      </c>
      <c r="S69">
        <v>200138</v>
      </c>
      <c r="T69" t="b">
        <v>1</v>
      </c>
    </row>
    <row r="70" spans="2:20" x14ac:dyDescent="0.35">
      <c r="B70">
        <v>2019</v>
      </c>
      <c r="C70" s="41">
        <v>43399</v>
      </c>
      <c r="D70" t="s">
        <v>1320</v>
      </c>
      <c r="E70" t="s">
        <v>219</v>
      </c>
      <c r="F70" t="s">
        <v>1310</v>
      </c>
      <c r="G70" t="s">
        <v>1299</v>
      </c>
      <c r="H70" t="s">
        <v>1321</v>
      </c>
      <c r="I70" t="s">
        <v>842</v>
      </c>
      <c r="J70">
        <v>2</v>
      </c>
      <c r="L70">
        <v>373</v>
      </c>
      <c r="M70">
        <v>635.66</v>
      </c>
      <c r="N70">
        <v>948.5</v>
      </c>
      <c r="O70">
        <v>1352.46</v>
      </c>
      <c r="P70">
        <v>0</v>
      </c>
      <c r="Q70">
        <v>3</v>
      </c>
      <c r="R70">
        <v>0</v>
      </c>
      <c r="S70">
        <v>200138</v>
      </c>
      <c r="T70" t="b">
        <v>1</v>
      </c>
    </row>
    <row r="71" spans="2:20" x14ac:dyDescent="0.35">
      <c r="B71">
        <v>2019</v>
      </c>
      <c r="C71" s="41">
        <v>43374</v>
      </c>
      <c r="D71" t="s">
        <v>1322</v>
      </c>
      <c r="E71" t="s">
        <v>219</v>
      </c>
      <c r="F71" t="s">
        <v>1307</v>
      </c>
      <c r="G71" t="s">
        <v>1299</v>
      </c>
      <c r="H71" t="s">
        <v>1323</v>
      </c>
      <c r="I71" t="s">
        <v>310</v>
      </c>
      <c r="J71">
        <v>2</v>
      </c>
      <c r="L71">
        <v>303.73</v>
      </c>
      <c r="M71">
        <v>517.62</v>
      </c>
      <c r="N71">
        <v>772.37</v>
      </c>
      <c r="O71">
        <v>1101.32</v>
      </c>
      <c r="P71">
        <v>1</v>
      </c>
      <c r="Q71">
        <v>2</v>
      </c>
      <c r="R71">
        <v>0</v>
      </c>
      <c r="S71">
        <v>200138</v>
      </c>
      <c r="T71" t="b">
        <v>1</v>
      </c>
    </row>
    <row r="72" spans="2:20" x14ac:dyDescent="0.35">
      <c r="B72">
        <v>2019</v>
      </c>
      <c r="C72" s="41">
        <v>43374</v>
      </c>
      <c r="D72" t="s">
        <v>1322</v>
      </c>
      <c r="E72" t="s">
        <v>219</v>
      </c>
      <c r="F72" t="s">
        <v>1309</v>
      </c>
      <c r="G72" t="s">
        <v>1299</v>
      </c>
      <c r="H72" t="s">
        <v>1323</v>
      </c>
      <c r="I72" t="s">
        <v>310</v>
      </c>
      <c r="J72">
        <v>2</v>
      </c>
      <c r="L72">
        <v>334.59</v>
      </c>
      <c r="M72">
        <v>570.21</v>
      </c>
      <c r="N72">
        <v>850.85</v>
      </c>
      <c r="O72">
        <v>1213.22</v>
      </c>
      <c r="P72">
        <v>1</v>
      </c>
      <c r="Q72">
        <v>2</v>
      </c>
      <c r="R72">
        <v>0</v>
      </c>
      <c r="S72">
        <v>200138</v>
      </c>
      <c r="T72" t="b">
        <v>1</v>
      </c>
    </row>
    <row r="73" spans="2:20" x14ac:dyDescent="0.35">
      <c r="B73">
        <v>2019</v>
      </c>
      <c r="C73" s="41">
        <v>43374</v>
      </c>
      <c r="D73" t="s">
        <v>1322</v>
      </c>
      <c r="E73" t="s">
        <v>219</v>
      </c>
      <c r="F73" t="s">
        <v>1311</v>
      </c>
      <c r="G73" t="s">
        <v>1299</v>
      </c>
      <c r="H73" t="s">
        <v>1323</v>
      </c>
      <c r="I73" t="s">
        <v>310</v>
      </c>
      <c r="J73">
        <v>2</v>
      </c>
      <c r="L73">
        <v>324.92</v>
      </c>
      <c r="M73">
        <v>553.74</v>
      </c>
      <c r="N73">
        <v>826.26</v>
      </c>
      <c r="O73">
        <v>1178.1599999999901</v>
      </c>
      <c r="P73">
        <v>1</v>
      </c>
      <c r="Q73">
        <v>2</v>
      </c>
      <c r="R73">
        <v>0</v>
      </c>
      <c r="S73">
        <v>200138</v>
      </c>
      <c r="T73" t="b">
        <v>1</v>
      </c>
    </row>
    <row r="74" spans="2:20" x14ac:dyDescent="0.35">
      <c r="B74">
        <v>2019</v>
      </c>
      <c r="C74" s="41">
        <v>43374</v>
      </c>
      <c r="D74" t="s">
        <v>1322</v>
      </c>
      <c r="E74" t="s">
        <v>219</v>
      </c>
      <c r="F74" t="s">
        <v>462</v>
      </c>
      <c r="G74" t="s">
        <v>1299</v>
      </c>
      <c r="H74" t="s">
        <v>1323</v>
      </c>
      <c r="I74" t="s">
        <v>310</v>
      </c>
      <c r="J74">
        <v>2</v>
      </c>
      <c r="L74">
        <v>343.51</v>
      </c>
      <c r="M74">
        <v>585.41</v>
      </c>
      <c r="N74">
        <v>873.53</v>
      </c>
      <c r="O74">
        <v>1245.56</v>
      </c>
      <c r="P74">
        <v>1</v>
      </c>
      <c r="Q74">
        <v>2</v>
      </c>
      <c r="R74">
        <v>0</v>
      </c>
      <c r="S74">
        <v>200138</v>
      </c>
      <c r="T74" t="b">
        <v>1</v>
      </c>
    </row>
    <row r="75" spans="2:20" x14ac:dyDescent="0.35">
      <c r="B75">
        <v>2019</v>
      </c>
      <c r="C75" s="41">
        <v>43374</v>
      </c>
      <c r="D75" t="s">
        <v>1322</v>
      </c>
      <c r="E75" t="s">
        <v>219</v>
      </c>
      <c r="F75" t="s">
        <v>460</v>
      </c>
      <c r="G75" t="s">
        <v>1299</v>
      </c>
      <c r="H75" t="s">
        <v>1323</v>
      </c>
      <c r="I75" t="s">
        <v>310</v>
      </c>
      <c r="J75">
        <v>2</v>
      </c>
      <c r="L75">
        <v>338.31</v>
      </c>
      <c r="M75">
        <v>576.54</v>
      </c>
      <c r="N75">
        <v>860.29</v>
      </c>
      <c r="O75">
        <v>1226.6799999999901</v>
      </c>
      <c r="P75">
        <v>1</v>
      </c>
      <c r="Q75">
        <v>2</v>
      </c>
      <c r="R75">
        <v>0</v>
      </c>
      <c r="S75">
        <v>200138</v>
      </c>
      <c r="T75" t="b">
        <v>1</v>
      </c>
    </row>
    <row r="76" spans="2:20" x14ac:dyDescent="0.35">
      <c r="B76">
        <v>2019</v>
      </c>
      <c r="C76" s="41">
        <v>43374</v>
      </c>
      <c r="D76" t="s">
        <v>1324</v>
      </c>
      <c r="E76" t="s">
        <v>219</v>
      </c>
      <c r="F76" t="s">
        <v>1309</v>
      </c>
      <c r="G76" t="s">
        <v>1299</v>
      </c>
      <c r="H76" t="s">
        <v>1323</v>
      </c>
      <c r="I76" t="s">
        <v>310</v>
      </c>
      <c r="J76">
        <v>2</v>
      </c>
      <c r="L76">
        <v>334.59</v>
      </c>
      <c r="M76">
        <v>570.21</v>
      </c>
      <c r="N76">
        <v>850.85</v>
      </c>
      <c r="O76">
        <v>1213.22</v>
      </c>
      <c r="P76">
        <v>1</v>
      </c>
      <c r="Q76">
        <v>2</v>
      </c>
      <c r="R76">
        <v>0</v>
      </c>
      <c r="S76">
        <v>200138</v>
      </c>
      <c r="T76" t="b">
        <v>1</v>
      </c>
    </row>
    <row r="77" spans="2:20" x14ac:dyDescent="0.35">
      <c r="B77">
        <v>2019</v>
      </c>
      <c r="C77" s="41">
        <v>43374</v>
      </c>
      <c r="D77" t="s">
        <v>1322</v>
      </c>
      <c r="E77" t="s">
        <v>219</v>
      </c>
      <c r="F77" t="s">
        <v>459</v>
      </c>
      <c r="G77" t="s">
        <v>1299</v>
      </c>
      <c r="H77" t="s">
        <v>1323</v>
      </c>
      <c r="I77" t="s">
        <v>310</v>
      </c>
      <c r="J77">
        <v>2</v>
      </c>
      <c r="L77">
        <v>279.2</v>
      </c>
      <c r="M77">
        <v>475.81</v>
      </c>
      <c r="N77">
        <v>709.98</v>
      </c>
      <c r="O77">
        <v>1012.36</v>
      </c>
      <c r="P77">
        <v>1</v>
      </c>
      <c r="Q77">
        <v>2</v>
      </c>
      <c r="R77">
        <v>0</v>
      </c>
      <c r="S77">
        <v>200138</v>
      </c>
      <c r="T77" t="b">
        <v>1</v>
      </c>
    </row>
    <row r="78" spans="2:20" x14ac:dyDescent="0.35">
      <c r="B78">
        <v>2019</v>
      </c>
      <c r="C78" s="41">
        <v>43374</v>
      </c>
      <c r="D78" t="s">
        <v>1322</v>
      </c>
      <c r="E78" t="s">
        <v>219</v>
      </c>
      <c r="F78" t="s">
        <v>1310</v>
      </c>
      <c r="G78" t="s">
        <v>1299</v>
      </c>
      <c r="H78" t="s">
        <v>1323</v>
      </c>
      <c r="I78" t="s">
        <v>310</v>
      </c>
      <c r="J78">
        <v>2</v>
      </c>
      <c r="L78">
        <v>434.22</v>
      </c>
      <c r="M78">
        <v>740</v>
      </c>
      <c r="N78">
        <v>1104.21</v>
      </c>
      <c r="O78">
        <v>1574.48</v>
      </c>
      <c r="P78">
        <v>1</v>
      </c>
      <c r="Q78">
        <v>2</v>
      </c>
      <c r="R78">
        <v>0</v>
      </c>
      <c r="S78">
        <v>200138</v>
      </c>
      <c r="T78" t="b">
        <v>1</v>
      </c>
    </row>
    <row r="79" spans="2:20" x14ac:dyDescent="0.35">
      <c r="B79">
        <v>2019</v>
      </c>
      <c r="C79" s="41">
        <v>43374</v>
      </c>
      <c r="D79" t="s">
        <v>1324</v>
      </c>
      <c r="E79" t="s">
        <v>219</v>
      </c>
      <c r="F79" t="s">
        <v>1307</v>
      </c>
      <c r="G79" t="s">
        <v>1299</v>
      </c>
      <c r="H79" t="s">
        <v>1323</v>
      </c>
      <c r="I79" t="s">
        <v>310</v>
      </c>
      <c r="J79">
        <v>2</v>
      </c>
      <c r="L79">
        <v>303.73</v>
      </c>
      <c r="M79">
        <v>517.62</v>
      </c>
      <c r="N79">
        <v>772.37</v>
      </c>
      <c r="O79">
        <v>1101.32</v>
      </c>
      <c r="P79">
        <v>1</v>
      </c>
      <c r="Q79">
        <v>2</v>
      </c>
      <c r="R79">
        <v>0</v>
      </c>
      <c r="S79">
        <v>200138</v>
      </c>
      <c r="T79" t="b">
        <v>1</v>
      </c>
    </row>
    <row r="80" spans="2:20" x14ac:dyDescent="0.35">
      <c r="B80">
        <v>2019</v>
      </c>
      <c r="C80" s="41">
        <v>43374</v>
      </c>
      <c r="D80" t="s">
        <v>1324</v>
      </c>
      <c r="E80" t="s">
        <v>219</v>
      </c>
      <c r="F80" t="s">
        <v>1311</v>
      </c>
      <c r="G80" t="s">
        <v>1299</v>
      </c>
      <c r="H80" t="s">
        <v>1323</v>
      </c>
      <c r="I80" t="s">
        <v>310</v>
      </c>
      <c r="J80">
        <v>2</v>
      </c>
      <c r="L80">
        <v>324.92</v>
      </c>
      <c r="M80">
        <v>553.74</v>
      </c>
      <c r="N80">
        <v>826.26</v>
      </c>
      <c r="O80">
        <v>1178.1599999999901</v>
      </c>
      <c r="P80">
        <v>1</v>
      </c>
      <c r="Q80">
        <v>2</v>
      </c>
      <c r="R80">
        <v>0</v>
      </c>
      <c r="S80">
        <v>200138</v>
      </c>
      <c r="T80" t="b">
        <v>1</v>
      </c>
    </row>
    <row r="81" spans="2:20" x14ac:dyDescent="0.35">
      <c r="B81">
        <v>2019</v>
      </c>
      <c r="C81" s="41">
        <v>43374</v>
      </c>
      <c r="D81" t="s">
        <v>1322</v>
      </c>
      <c r="E81" t="s">
        <v>219</v>
      </c>
      <c r="F81" t="s">
        <v>463</v>
      </c>
      <c r="G81" t="s">
        <v>1299</v>
      </c>
      <c r="H81" t="s">
        <v>1323</v>
      </c>
      <c r="I81" t="s">
        <v>310</v>
      </c>
      <c r="J81">
        <v>2</v>
      </c>
      <c r="L81">
        <v>281.06</v>
      </c>
      <c r="M81">
        <v>478.98</v>
      </c>
      <c r="N81">
        <v>714.71</v>
      </c>
      <c r="O81">
        <v>1019.09999999999</v>
      </c>
      <c r="P81">
        <v>1</v>
      </c>
      <c r="Q81">
        <v>2</v>
      </c>
      <c r="R81">
        <v>0</v>
      </c>
      <c r="S81">
        <v>200138</v>
      </c>
      <c r="T81" t="b">
        <v>1</v>
      </c>
    </row>
    <row r="82" spans="2:20" x14ac:dyDescent="0.35">
      <c r="B82">
        <v>2019</v>
      </c>
      <c r="C82" s="41">
        <v>43374</v>
      </c>
      <c r="D82" t="s">
        <v>1324</v>
      </c>
      <c r="E82" t="s">
        <v>219</v>
      </c>
      <c r="F82" t="s">
        <v>460</v>
      </c>
      <c r="G82" t="s">
        <v>1299</v>
      </c>
      <c r="H82" t="s">
        <v>1323</v>
      </c>
      <c r="I82" t="s">
        <v>310</v>
      </c>
      <c r="J82">
        <v>2</v>
      </c>
      <c r="L82">
        <v>338.31</v>
      </c>
      <c r="M82">
        <v>576.54</v>
      </c>
      <c r="N82">
        <v>860.29</v>
      </c>
      <c r="O82">
        <v>1226.6799999999901</v>
      </c>
      <c r="P82">
        <v>1</v>
      </c>
      <c r="Q82">
        <v>2</v>
      </c>
      <c r="R82">
        <v>0</v>
      </c>
      <c r="S82">
        <v>200138</v>
      </c>
      <c r="T82" t="b">
        <v>1</v>
      </c>
    </row>
    <row r="83" spans="2:20" x14ac:dyDescent="0.35">
      <c r="B83">
        <v>2019</v>
      </c>
      <c r="C83" s="41">
        <v>43374</v>
      </c>
      <c r="D83" t="s">
        <v>1324</v>
      </c>
      <c r="E83" t="s">
        <v>219</v>
      </c>
      <c r="F83" t="s">
        <v>463</v>
      </c>
      <c r="G83" t="s">
        <v>1299</v>
      </c>
      <c r="H83" t="s">
        <v>1323</v>
      </c>
      <c r="I83" t="s">
        <v>310</v>
      </c>
      <c r="J83">
        <v>2</v>
      </c>
      <c r="L83">
        <v>281.06</v>
      </c>
      <c r="M83">
        <v>478.98</v>
      </c>
      <c r="N83">
        <v>714.71</v>
      </c>
      <c r="O83">
        <v>1019.09999999999</v>
      </c>
      <c r="P83">
        <v>1</v>
      </c>
      <c r="Q83">
        <v>2</v>
      </c>
      <c r="R83">
        <v>0</v>
      </c>
      <c r="S83">
        <v>200138</v>
      </c>
      <c r="T83" t="b">
        <v>1</v>
      </c>
    </row>
    <row r="84" spans="2:20" x14ac:dyDescent="0.35">
      <c r="B84">
        <v>2019</v>
      </c>
      <c r="C84" s="41">
        <v>43374</v>
      </c>
      <c r="D84" t="s">
        <v>1324</v>
      </c>
      <c r="E84" t="s">
        <v>219</v>
      </c>
      <c r="F84" t="s">
        <v>462</v>
      </c>
      <c r="G84" t="s">
        <v>1299</v>
      </c>
      <c r="H84" t="s">
        <v>1323</v>
      </c>
      <c r="I84" t="s">
        <v>310</v>
      </c>
      <c r="J84">
        <v>2</v>
      </c>
      <c r="L84">
        <v>343.51</v>
      </c>
      <c r="M84">
        <v>585.41</v>
      </c>
      <c r="N84">
        <v>873.53</v>
      </c>
      <c r="O84">
        <v>1245.56</v>
      </c>
      <c r="P84">
        <v>1</v>
      </c>
      <c r="Q84">
        <v>2</v>
      </c>
      <c r="R84">
        <v>0</v>
      </c>
      <c r="S84">
        <v>200138</v>
      </c>
      <c r="T84" t="b">
        <v>1</v>
      </c>
    </row>
    <row r="85" spans="2:20" x14ac:dyDescent="0.35">
      <c r="B85">
        <v>2019</v>
      </c>
      <c r="C85" s="41">
        <v>43374</v>
      </c>
      <c r="D85" t="s">
        <v>1325</v>
      </c>
      <c r="E85" t="s">
        <v>219</v>
      </c>
      <c r="F85" t="s">
        <v>1309</v>
      </c>
      <c r="G85" t="s">
        <v>1299</v>
      </c>
      <c r="H85" t="s">
        <v>1323</v>
      </c>
      <c r="I85" t="s">
        <v>310</v>
      </c>
      <c r="J85">
        <v>2</v>
      </c>
      <c r="L85">
        <v>334.59</v>
      </c>
      <c r="M85">
        <v>570.21</v>
      </c>
      <c r="N85">
        <v>850.85</v>
      </c>
      <c r="O85">
        <v>1213.22</v>
      </c>
      <c r="P85">
        <v>0</v>
      </c>
      <c r="Q85">
        <v>2</v>
      </c>
      <c r="R85">
        <v>0</v>
      </c>
      <c r="S85">
        <v>200138</v>
      </c>
      <c r="T85" t="b">
        <v>1</v>
      </c>
    </row>
    <row r="86" spans="2:20" x14ac:dyDescent="0.35">
      <c r="B86">
        <v>2019</v>
      </c>
      <c r="C86" s="41">
        <v>43374</v>
      </c>
      <c r="D86" t="s">
        <v>1324</v>
      </c>
      <c r="E86" t="s">
        <v>219</v>
      </c>
      <c r="F86" t="s">
        <v>1310</v>
      </c>
      <c r="G86" t="s">
        <v>1299</v>
      </c>
      <c r="H86" t="s">
        <v>1323</v>
      </c>
      <c r="I86" t="s">
        <v>310</v>
      </c>
      <c r="J86">
        <v>2</v>
      </c>
      <c r="L86">
        <v>434.22</v>
      </c>
      <c r="M86">
        <v>740</v>
      </c>
      <c r="N86">
        <v>1104.21</v>
      </c>
      <c r="O86">
        <v>1574.48</v>
      </c>
      <c r="P86">
        <v>1</v>
      </c>
      <c r="Q86">
        <v>2</v>
      </c>
      <c r="R86">
        <v>0</v>
      </c>
      <c r="S86">
        <v>200138</v>
      </c>
      <c r="T86" t="b">
        <v>1</v>
      </c>
    </row>
    <row r="87" spans="2:20" x14ac:dyDescent="0.35">
      <c r="B87">
        <v>2019</v>
      </c>
      <c r="C87" s="41">
        <v>43374</v>
      </c>
      <c r="D87" t="s">
        <v>1325</v>
      </c>
      <c r="E87" t="s">
        <v>219</v>
      </c>
      <c r="F87" t="s">
        <v>1307</v>
      </c>
      <c r="G87" t="s">
        <v>1299</v>
      </c>
      <c r="H87" t="s">
        <v>1323</v>
      </c>
      <c r="I87" t="s">
        <v>310</v>
      </c>
      <c r="J87">
        <v>2</v>
      </c>
      <c r="L87">
        <v>303.73</v>
      </c>
      <c r="M87">
        <v>517.62</v>
      </c>
      <c r="N87">
        <v>772.37</v>
      </c>
      <c r="O87">
        <v>1101.32</v>
      </c>
      <c r="P87">
        <v>0</v>
      </c>
      <c r="Q87">
        <v>2</v>
      </c>
      <c r="R87">
        <v>0</v>
      </c>
      <c r="S87">
        <v>200138</v>
      </c>
      <c r="T87" t="b">
        <v>1</v>
      </c>
    </row>
    <row r="88" spans="2:20" x14ac:dyDescent="0.35">
      <c r="B88">
        <v>2019</v>
      </c>
      <c r="C88" s="41">
        <v>43374</v>
      </c>
      <c r="D88" t="s">
        <v>1325</v>
      </c>
      <c r="E88" t="s">
        <v>219</v>
      </c>
      <c r="F88" t="s">
        <v>1311</v>
      </c>
      <c r="G88" t="s">
        <v>1299</v>
      </c>
      <c r="H88" t="s">
        <v>1323</v>
      </c>
      <c r="I88" t="s">
        <v>310</v>
      </c>
      <c r="J88">
        <v>2</v>
      </c>
      <c r="L88">
        <v>324.92</v>
      </c>
      <c r="M88">
        <v>553.74</v>
      </c>
      <c r="N88">
        <v>826.26</v>
      </c>
      <c r="O88">
        <v>1178.1599999999901</v>
      </c>
      <c r="P88">
        <v>0</v>
      </c>
      <c r="Q88">
        <v>2</v>
      </c>
      <c r="R88">
        <v>0</v>
      </c>
      <c r="S88">
        <v>200138</v>
      </c>
      <c r="T88" t="b">
        <v>1</v>
      </c>
    </row>
    <row r="89" spans="2:20" x14ac:dyDescent="0.35">
      <c r="B89">
        <v>2019</v>
      </c>
      <c r="C89" s="41">
        <v>43374</v>
      </c>
      <c r="D89" t="s">
        <v>1325</v>
      </c>
      <c r="E89" t="s">
        <v>219</v>
      </c>
      <c r="F89" t="s">
        <v>463</v>
      </c>
      <c r="G89" t="s">
        <v>1299</v>
      </c>
      <c r="H89" t="s">
        <v>1323</v>
      </c>
      <c r="I89" t="s">
        <v>310</v>
      </c>
      <c r="J89">
        <v>2</v>
      </c>
      <c r="L89">
        <v>281.06</v>
      </c>
      <c r="M89">
        <v>478.98</v>
      </c>
      <c r="N89">
        <v>714.71</v>
      </c>
      <c r="O89">
        <v>1019.09999999999</v>
      </c>
      <c r="P89">
        <v>0</v>
      </c>
      <c r="Q89">
        <v>2</v>
      </c>
      <c r="R89">
        <v>0</v>
      </c>
      <c r="S89">
        <v>200138</v>
      </c>
      <c r="T89" t="b">
        <v>1</v>
      </c>
    </row>
    <row r="90" spans="2:20" x14ac:dyDescent="0.35">
      <c r="B90">
        <v>2019</v>
      </c>
      <c r="C90" s="41">
        <v>43374</v>
      </c>
      <c r="D90" t="s">
        <v>1324</v>
      </c>
      <c r="E90" t="s">
        <v>219</v>
      </c>
      <c r="F90" t="s">
        <v>459</v>
      </c>
      <c r="G90" t="s">
        <v>1299</v>
      </c>
      <c r="H90" t="s">
        <v>1323</v>
      </c>
      <c r="I90" t="s">
        <v>310</v>
      </c>
      <c r="J90">
        <v>2</v>
      </c>
      <c r="L90">
        <v>279.2</v>
      </c>
      <c r="M90">
        <v>475.81</v>
      </c>
      <c r="N90">
        <v>709.98</v>
      </c>
      <c r="O90">
        <v>1012.36</v>
      </c>
      <c r="P90">
        <v>1</v>
      </c>
      <c r="Q90">
        <v>2</v>
      </c>
      <c r="R90">
        <v>0</v>
      </c>
      <c r="S90">
        <v>200138</v>
      </c>
      <c r="T90" t="b">
        <v>1</v>
      </c>
    </row>
    <row r="91" spans="2:20" x14ac:dyDescent="0.35">
      <c r="B91">
        <v>2019</v>
      </c>
      <c r="C91" s="41">
        <v>43374</v>
      </c>
      <c r="D91" t="s">
        <v>1325</v>
      </c>
      <c r="E91" t="s">
        <v>219</v>
      </c>
      <c r="F91" t="s">
        <v>462</v>
      </c>
      <c r="G91" t="s">
        <v>1299</v>
      </c>
      <c r="H91" t="s">
        <v>1323</v>
      </c>
      <c r="I91" t="s">
        <v>310</v>
      </c>
      <c r="J91">
        <v>2</v>
      </c>
      <c r="L91">
        <v>343.51</v>
      </c>
      <c r="M91">
        <v>585.41</v>
      </c>
      <c r="N91">
        <v>873.53</v>
      </c>
      <c r="O91">
        <v>1245.56</v>
      </c>
      <c r="P91">
        <v>0</v>
      </c>
      <c r="Q91">
        <v>2</v>
      </c>
      <c r="R91">
        <v>0</v>
      </c>
      <c r="S91">
        <v>200138</v>
      </c>
      <c r="T91" t="b">
        <v>1</v>
      </c>
    </row>
    <row r="92" spans="2:20" x14ac:dyDescent="0.35">
      <c r="B92">
        <v>2019</v>
      </c>
      <c r="C92" s="41">
        <v>43374</v>
      </c>
      <c r="D92" t="s">
        <v>1325</v>
      </c>
      <c r="E92" t="s">
        <v>219</v>
      </c>
      <c r="F92" t="s">
        <v>460</v>
      </c>
      <c r="G92" t="s">
        <v>1299</v>
      </c>
      <c r="H92" t="s">
        <v>1323</v>
      </c>
      <c r="I92" t="s">
        <v>310</v>
      </c>
      <c r="J92">
        <v>2</v>
      </c>
      <c r="L92">
        <v>338.31</v>
      </c>
      <c r="M92">
        <v>576.54</v>
      </c>
      <c r="N92">
        <v>860.29</v>
      </c>
      <c r="O92">
        <v>1226.6799999999901</v>
      </c>
      <c r="P92">
        <v>0</v>
      </c>
      <c r="Q92">
        <v>2</v>
      </c>
      <c r="R92">
        <v>0</v>
      </c>
      <c r="S92">
        <v>200138</v>
      </c>
      <c r="T92" t="b">
        <v>1</v>
      </c>
    </row>
    <row r="93" spans="2:20" x14ac:dyDescent="0.35">
      <c r="B93">
        <v>2019</v>
      </c>
      <c r="C93" s="41">
        <v>43374</v>
      </c>
      <c r="D93" t="s">
        <v>1325</v>
      </c>
      <c r="E93" t="s">
        <v>219</v>
      </c>
      <c r="F93" t="s">
        <v>459</v>
      </c>
      <c r="G93" t="s">
        <v>1299</v>
      </c>
      <c r="H93" t="s">
        <v>1323</v>
      </c>
      <c r="I93" t="s">
        <v>310</v>
      </c>
      <c r="J93">
        <v>2</v>
      </c>
      <c r="L93">
        <v>279.2</v>
      </c>
      <c r="M93">
        <v>475.81</v>
      </c>
      <c r="N93">
        <v>709.98</v>
      </c>
      <c r="O93">
        <v>1012.36</v>
      </c>
      <c r="P93">
        <v>0</v>
      </c>
      <c r="Q93">
        <v>2</v>
      </c>
      <c r="R93">
        <v>0</v>
      </c>
      <c r="S93">
        <v>200138</v>
      </c>
      <c r="T93" t="b">
        <v>1</v>
      </c>
    </row>
    <row r="94" spans="2:20" x14ac:dyDescent="0.35">
      <c r="B94">
        <v>2019</v>
      </c>
      <c r="C94" s="41">
        <v>43399</v>
      </c>
      <c r="D94" t="s">
        <v>1326</v>
      </c>
      <c r="E94" t="s">
        <v>219</v>
      </c>
      <c r="F94" t="s">
        <v>1302</v>
      </c>
      <c r="G94" t="s">
        <v>1299</v>
      </c>
      <c r="H94" t="s">
        <v>1308</v>
      </c>
      <c r="I94" t="s">
        <v>310</v>
      </c>
      <c r="J94">
        <v>2</v>
      </c>
      <c r="L94">
        <v>373.15</v>
      </c>
      <c r="M94">
        <v>635.91999999999996</v>
      </c>
      <c r="N94">
        <v>948.91</v>
      </c>
      <c r="O94">
        <v>1353.04</v>
      </c>
      <c r="P94">
        <v>1</v>
      </c>
      <c r="Q94">
        <v>1</v>
      </c>
      <c r="R94">
        <v>0</v>
      </c>
      <c r="S94">
        <v>200138</v>
      </c>
      <c r="T94" t="b">
        <v>1</v>
      </c>
    </row>
    <row r="95" spans="2:20" x14ac:dyDescent="0.35">
      <c r="B95">
        <v>2019</v>
      </c>
      <c r="C95" s="41">
        <v>43374</v>
      </c>
      <c r="D95" t="s">
        <v>1325</v>
      </c>
      <c r="E95" t="s">
        <v>219</v>
      </c>
      <c r="F95" t="s">
        <v>1310</v>
      </c>
      <c r="G95" t="s">
        <v>1299</v>
      </c>
      <c r="H95" t="s">
        <v>1323</v>
      </c>
      <c r="I95" t="s">
        <v>310</v>
      </c>
      <c r="J95">
        <v>2</v>
      </c>
      <c r="L95">
        <v>434.22</v>
      </c>
      <c r="M95">
        <v>740</v>
      </c>
      <c r="N95">
        <v>1104.21</v>
      </c>
      <c r="O95">
        <v>1574.48</v>
      </c>
      <c r="P95">
        <v>0</v>
      </c>
      <c r="Q95">
        <v>2</v>
      </c>
      <c r="R95">
        <v>0</v>
      </c>
      <c r="S95">
        <v>200138</v>
      </c>
      <c r="T95" t="b">
        <v>1</v>
      </c>
    </row>
    <row r="96" spans="2:20" x14ac:dyDescent="0.35">
      <c r="B96">
        <v>2019</v>
      </c>
      <c r="C96" s="41">
        <v>43399</v>
      </c>
      <c r="D96" t="s">
        <v>1326</v>
      </c>
      <c r="E96" t="s">
        <v>219</v>
      </c>
      <c r="F96" t="s">
        <v>461</v>
      </c>
      <c r="G96" t="s">
        <v>1299</v>
      </c>
      <c r="H96" t="s">
        <v>1308</v>
      </c>
      <c r="I96" t="s">
        <v>310</v>
      </c>
      <c r="J96">
        <v>2</v>
      </c>
      <c r="L96">
        <v>331.37</v>
      </c>
      <c r="M96">
        <v>564.73</v>
      </c>
      <c r="N96">
        <v>842.66</v>
      </c>
      <c r="O96">
        <v>1201.54</v>
      </c>
      <c r="P96">
        <v>1</v>
      </c>
      <c r="Q96">
        <v>1</v>
      </c>
      <c r="R96">
        <v>0</v>
      </c>
      <c r="S96">
        <v>200138</v>
      </c>
      <c r="T96" t="b">
        <v>1</v>
      </c>
    </row>
    <row r="97" spans="2:20" x14ac:dyDescent="0.35">
      <c r="B97">
        <v>2019</v>
      </c>
      <c r="C97" s="41">
        <v>43399</v>
      </c>
      <c r="D97" t="s">
        <v>1326</v>
      </c>
      <c r="E97" t="s">
        <v>219</v>
      </c>
      <c r="F97" t="s">
        <v>1301</v>
      </c>
      <c r="G97" t="s">
        <v>1299</v>
      </c>
      <c r="H97" t="s">
        <v>1308</v>
      </c>
      <c r="I97" t="s">
        <v>310</v>
      </c>
      <c r="J97">
        <v>2</v>
      </c>
      <c r="L97">
        <v>413.71</v>
      </c>
      <c r="M97">
        <v>705.04</v>
      </c>
      <c r="N97">
        <v>1052.03</v>
      </c>
      <c r="O97">
        <v>1500.08</v>
      </c>
      <c r="P97">
        <v>1</v>
      </c>
      <c r="Q97">
        <v>1</v>
      </c>
      <c r="R97">
        <v>0</v>
      </c>
      <c r="S97">
        <v>200138</v>
      </c>
      <c r="T97" t="b">
        <v>1</v>
      </c>
    </row>
    <row r="98" spans="2:20" x14ac:dyDescent="0.35">
      <c r="B98">
        <v>2019</v>
      </c>
      <c r="C98" s="41">
        <v>43399</v>
      </c>
      <c r="D98" t="s">
        <v>1326</v>
      </c>
      <c r="E98" t="s">
        <v>219</v>
      </c>
      <c r="F98" t="s">
        <v>1298</v>
      </c>
      <c r="G98" t="s">
        <v>1299</v>
      </c>
      <c r="H98" t="s">
        <v>1308</v>
      </c>
      <c r="I98" t="s">
        <v>310</v>
      </c>
      <c r="J98">
        <v>2</v>
      </c>
      <c r="L98">
        <v>391.81</v>
      </c>
      <c r="M98">
        <v>667.72</v>
      </c>
      <c r="N98">
        <v>996.32999999999902</v>
      </c>
      <c r="O98">
        <v>1420.6599999999901</v>
      </c>
      <c r="P98">
        <v>1</v>
      </c>
      <c r="Q98">
        <v>1</v>
      </c>
      <c r="R98">
        <v>0</v>
      </c>
      <c r="S98">
        <v>200138</v>
      </c>
      <c r="T98" t="b">
        <v>1</v>
      </c>
    </row>
    <row r="99" spans="2:20" x14ac:dyDescent="0.35">
      <c r="B99">
        <v>2019</v>
      </c>
      <c r="C99" s="41">
        <v>43399</v>
      </c>
      <c r="D99" t="s">
        <v>1327</v>
      </c>
      <c r="E99" t="s">
        <v>219</v>
      </c>
      <c r="F99" t="s">
        <v>1298</v>
      </c>
      <c r="G99" t="s">
        <v>1299</v>
      </c>
      <c r="H99" t="s">
        <v>1308</v>
      </c>
      <c r="I99" t="s">
        <v>310</v>
      </c>
      <c r="J99">
        <v>2</v>
      </c>
      <c r="L99">
        <v>391.81</v>
      </c>
      <c r="M99">
        <v>667.72</v>
      </c>
      <c r="N99">
        <v>996.32999999999902</v>
      </c>
      <c r="O99">
        <v>1420.6599999999901</v>
      </c>
      <c r="P99">
        <v>1</v>
      </c>
      <c r="Q99">
        <v>1</v>
      </c>
      <c r="R99">
        <v>0</v>
      </c>
      <c r="S99">
        <v>200138</v>
      </c>
      <c r="T99" t="b">
        <v>1</v>
      </c>
    </row>
    <row r="100" spans="2:20" x14ac:dyDescent="0.35">
      <c r="B100">
        <v>2019</v>
      </c>
      <c r="C100" s="41">
        <v>43399</v>
      </c>
      <c r="D100" t="s">
        <v>1327</v>
      </c>
      <c r="E100" t="s">
        <v>219</v>
      </c>
      <c r="F100" t="s">
        <v>1301</v>
      </c>
      <c r="G100" t="s">
        <v>1299</v>
      </c>
      <c r="H100" t="s">
        <v>1308</v>
      </c>
      <c r="I100" t="s">
        <v>310</v>
      </c>
      <c r="J100">
        <v>2</v>
      </c>
      <c r="L100">
        <v>413.71</v>
      </c>
      <c r="M100">
        <v>705.04</v>
      </c>
      <c r="N100">
        <v>1052.03</v>
      </c>
      <c r="O100">
        <v>1500.08</v>
      </c>
      <c r="P100">
        <v>1</v>
      </c>
      <c r="Q100">
        <v>1</v>
      </c>
      <c r="R100">
        <v>0</v>
      </c>
      <c r="S100">
        <v>200138</v>
      </c>
      <c r="T100" t="b">
        <v>1</v>
      </c>
    </row>
    <row r="101" spans="2:20" x14ac:dyDescent="0.35">
      <c r="B101">
        <v>2019</v>
      </c>
      <c r="C101" s="41">
        <v>43399</v>
      </c>
      <c r="D101" t="s">
        <v>1327</v>
      </c>
      <c r="E101" t="s">
        <v>219</v>
      </c>
      <c r="F101" t="s">
        <v>1302</v>
      </c>
      <c r="G101" t="s">
        <v>1299</v>
      </c>
      <c r="H101" t="s">
        <v>1308</v>
      </c>
      <c r="I101" t="s">
        <v>310</v>
      </c>
      <c r="J101">
        <v>2</v>
      </c>
      <c r="L101">
        <v>373.15</v>
      </c>
      <c r="M101">
        <v>635.91999999999996</v>
      </c>
      <c r="N101">
        <v>948.91</v>
      </c>
      <c r="O101">
        <v>1353.04</v>
      </c>
      <c r="P101">
        <v>1</v>
      </c>
      <c r="Q101">
        <v>1</v>
      </c>
      <c r="R101">
        <v>0</v>
      </c>
      <c r="S101">
        <v>200138</v>
      </c>
      <c r="T101" t="b">
        <v>1</v>
      </c>
    </row>
    <row r="102" spans="2:20" x14ac:dyDescent="0.35">
      <c r="B102">
        <v>2019</v>
      </c>
      <c r="C102" s="41">
        <v>43399</v>
      </c>
      <c r="D102" t="s">
        <v>1327</v>
      </c>
      <c r="E102" t="s">
        <v>219</v>
      </c>
      <c r="F102" t="s">
        <v>461</v>
      </c>
      <c r="G102" t="s">
        <v>1299</v>
      </c>
      <c r="H102" t="s">
        <v>1308</v>
      </c>
      <c r="I102" t="s">
        <v>310</v>
      </c>
      <c r="J102">
        <v>2</v>
      </c>
      <c r="L102">
        <v>331.37</v>
      </c>
      <c r="M102">
        <v>564.73</v>
      </c>
      <c r="N102">
        <v>842.66</v>
      </c>
      <c r="O102">
        <v>1201.54</v>
      </c>
      <c r="P102">
        <v>1</v>
      </c>
      <c r="Q102">
        <v>1</v>
      </c>
      <c r="R102">
        <v>0</v>
      </c>
      <c r="S102">
        <v>200138</v>
      </c>
      <c r="T102" t="b">
        <v>1</v>
      </c>
    </row>
    <row r="103" spans="2:20" x14ac:dyDescent="0.35">
      <c r="B103">
        <v>2019</v>
      </c>
      <c r="C103" s="41">
        <v>43399</v>
      </c>
      <c r="D103" t="s">
        <v>1328</v>
      </c>
      <c r="E103" t="s">
        <v>219</v>
      </c>
      <c r="F103" t="s">
        <v>1302</v>
      </c>
      <c r="G103" t="s">
        <v>1299</v>
      </c>
      <c r="H103" t="s">
        <v>1308</v>
      </c>
      <c r="I103" t="s">
        <v>310</v>
      </c>
      <c r="J103">
        <v>2</v>
      </c>
      <c r="L103">
        <v>373.15</v>
      </c>
      <c r="M103">
        <v>635.91999999999996</v>
      </c>
      <c r="N103">
        <v>948.91</v>
      </c>
      <c r="O103">
        <v>1353.04</v>
      </c>
      <c r="P103">
        <v>0</v>
      </c>
      <c r="Q103">
        <v>3</v>
      </c>
      <c r="R103">
        <v>0</v>
      </c>
      <c r="S103">
        <v>200138</v>
      </c>
      <c r="T103" t="b">
        <v>1</v>
      </c>
    </row>
    <row r="104" spans="2:20" x14ac:dyDescent="0.35">
      <c r="B104">
        <v>2019</v>
      </c>
      <c r="C104" s="41">
        <v>43399</v>
      </c>
      <c r="D104" t="s">
        <v>1328</v>
      </c>
      <c r="E104" t="s">
        <v>219</v>
      </c>
      <c r="F104" t="s">
        <v>1301</v>
      </c>
      <c r="G104" t="s">
        <v>1299</v>
      </c>
      <c r="H104" t="s">
        <v>1308</v>
      </c>
      <c r="I104" t="s">
        <v>310</v>
      </c>
      <c r="J104">
        <v>2</v>
      </c>
      <c r="L104">
        <v>413.71</v>
      </c>
      <c r="M104">
        <v>705.04</v>
      </c>
      <c r="N104">
        <v>1052.03</v>
      </c>
      <c r="O104">
        <v>1500.08</v>
      </c>
      <c r="P104">
        <v>0</v>
      </c>
      <c r="Q104">
        <v>3</v>
      </c>
      <c r="R104">
        <v>0</v>
      </c>
      <c r="S104">
        <v>200138</v>
      </c>
      <c r="T104" t="b">
        <v>1</v>
      </c>
    </row>
    <row r="105" spans="2:20" x14ac:dyDescent="0.35">
      <c r="B105">
        <v>2019</v>
      </c>
      <c r="C105" s="41">
        <v>43399</v>
      </c>
      <c r="D105" t="s">
        <v>1328</v>
      </c>
      <c r="E105" t="s">
        <v>219</v>
      </c>
      <c r="F105" t="s">
        <v>1298</v>
      </c>
      <c r="G105" t="s">
        <v>1299</v>
      </c>
      <c r="H105" t="s">
        <v>1308</v>
      </c>
      <c r="I105" t="s">
        <v>310</v>
      </c>
      <c r="J105">
        <v>2</v>
      </c>
      <c r="L105">
        <v>391.81</v>
      </c>
      <c r="M105">
        <v>667.72</v>
      </c>
      <c r="N105">
        <v>996.32999999999902</v>
      </c>
      <c r="O105">
        <v>1420.6599999999901</v>
      </c>
      <c r="P105">
        <v>0</v>
      </c>
      <c r="Q105">
        <v>3</v>
      </c>
      <c r="R105">
        <v>0</v>
      </c>
      <c r="S105">
        <v>200138</v>
      </c>
      <c r="T105" t="b">
        <v>1</v>
      </c>
    </row>
    <row r="106" spans="2:20" x14ac:dyDescent="0.35">
      <c r="B106">
        <v>2019</v>
      </c>
      <c r="C106" s="41">
        <v>43374</v>
      </c>
      <c r="D106" t="s">
        <v>1329</v>
      </c>
      <c r="E106" t="s">
        <v>219</v>
      </c>
      <c r="F106" t="s">
        <v>1309</v>
      </c>
      <c r="G106" t="s">
        <v>1299</v>
      </c>
      <c r="H106" t="s">
        <v>1330</v>
      </c>
      <c r="I106" t="s">
        <v>310</v>
      </c>
      <c r="J106">
        <v>2</v>
      </c>
      <c r="L106">
        <v>343.96</v>
      </c>
      <c r="M106">
        <v>586.16999999999996</v>
      </c>
      <c r="N106">
        <v>874.67</v>
      </c>
      <c r="O106">
        <v>1247.18</v>
      </c>
      <c r="P106">
        <v>1</v>
      </c>
      <c r="Q106">
        <v>2</v>
      </c>
      <c r="R106">
        <v>0</v>
      </c>
      <c r="S106">
        <v>200138</v>
      </c>
      <c r="T106" t="b">
        <v>1</v>
      </c>
    </row>
    <row r="107" spans="2:20" x14ac:dyDescent="0.35">
      <c r="B107">
        <v>2019</v>
      </c>
      <c r="C107" s="41">
        <v>43399</v>
      </c>
      <c r="D107" t="s">
        <v>1328</v>
      </c>
      <c r="E107" t="s">
        <v>219</v>
      </c>
      <c r="F107" t="s">
        <v>461</v>
      </c>
      <c r="G107" t="s">
        <v>1299</v>
      </c>
      <c r="H107" t="s">
        <v>1308</v>
      </c>
      <c r="I107" t="s">
        <v>310</v>
      </c>
      <c r="J107">
        <v>2</v>
      </c>
      <c r="L107">
        <v>331.37</v>
      </c>
      <c r="M107">
        <v>564.73</v>
      </c>
      <c r="N107">
        <v>842.66</v>
      </c>
      <c r="O107">
        <v>1201.54</v>
      </c>
      <c r="P107">
        <v>0</v>
      </c>
      <c r="Q107">
        <v>3</v>
      </c>
      <c r="R107">
        <v>0</v>
      </c>
      <c r="S107">
        <v>200138</v>
      </c>
      <c r="T107" t="b">
        <v>1</v>
      </c>
    </row>
    <row r="108" spans="2:20" x14ac:dyDescent="0.35">
      <c r="B108">
        <v>2019</v>
      </c>
      <c r="C108" s="41">
        <v>43374</v>
      </c>
      <c r="D108" t="s">
        <v>1329</v>
      </c>
      <c r="E108" t="s">
        <v>219</v>
      </c>
      <c r="F108" t="s">
        <v>1307</v>
      </c>
      <c r="G108" t="s">
        <v>1299</v>
      </c>
      <c r="H108" t="s">
        <v>1330</v>
      </c>
      <c r="I108" t="s">
        <v>310</v>
      </c>
      <c r="J108">
        <v>2</v>
      </c>
      <c r="L108">
        <v>312.24</v>
      </c>
      <c r="M108">
        <v>532.12</v>
      </c>
      <c r="N108">
        <v>794</v>
      </c>
      <c r="O108">
        <v>1132.1600000000001</v>
      </c>
      <c r="P108">
        <v>1</v>
      </c>
      <c r="Q108">
        <v>2</v>
      </c>
      <c r="R108">
        <v>0</v>
      </c>
      <c r="S108">
        <v>200138</v>
      </c>
      <c r="T108" t="b">
        <v>1</v>
      </c>
    </row>
    <row r="109" spans="2:20" x14ac:dyDescent="0.35">
      <c r="B109">
        <v>2019</v>
      </c>
      <c r="C109" s="41">
        <v>43374</v>
      </c>
      <c r="D109" t="s">
        <v>1329</v>
      </c>
      <c r="E109" t="s">
        <v>219</v>
      </c>
      <c r="F109" t="s">
        <v>1311</v>
      </c>
      <c r="G109" t="s">
        <v>1299</v>
      </c>
      <c r="H109" t="s">
        <v>1330</v>
      </c>
      <c r="I109" t="s">
        <v>310</v>
      </c>
      <c r="J109">
        <v>2</v>
      </c>
      <c r="L109">
        <v>334.02</v>
      </c>
      <c r="M109">
        <v>569.24</v>
      </c>
      <c r="N109">
        <v>849.39</v>
      </c>
      <c r="O109">
        <v>1211.1399999999901</v>
      </c>
      <c r="P109">
        <v>1</v>
      </c>
      <c r="Q109">
        <v>2</v>
      </c>
      <c r="R109">
        <v>0</v>
      </c>
      <c r="S109">
        <v>200138</v>
      </c>
      <c r="T109" t="b">
        <v>1</v>
      </c>
    </row>
    <row r="110" spans="2:20" x14ac:dyDescent="0.35">
      <c r="B110">
        <v>2019</v>
      </c>
      <c r="C110" s="41">
        <v>43374</v>
      </c>
      <c r="D110" t="s">
        <v>1329</v>
      </c>
      <c r="E110" t="s">
        <v>219</v>
      </c>
      <c r="F110" t="s">
        <v>463</v>
      </c>
      <c r="G110" t="s">
        <v>1299</v>
      </c>
      <c r="H110" t="s">
        <v>1330</v>
      </c>
      <c r="I110" t="s">
        <v>310</v>
      </c>
      <c r="J110">
        <v>2</v>
      </c>
      <c r="L110">
        <v>288.93</v>
      </c>
      <c r="M110">
        <v>492.39</v>
      </c>
      <c r="N110">
        <v>734.71</v>
      </c>
      <c r="O110">
        <v>1047.6199999999999</v>
      </c>
      <c r="P110">
        <v>1</v>
      </c>
      <c r="Q110">
        <v>2</v>
      </c>
      <c r="R110">
        <v>0</v>
      </c>
      <c r="S110">
        <v>200138</v>
      </c>
      <c r="T110" t="b">
        <v>1</v>
      </c>
    </row>
    <row r="111" spans="2:20" x14ac:dyDescent="0.35">
      <c r="B111">
        <v>2019</v>
      </c>
      <c r="C111" s="41">
        <v>43374</v>
      </c>
      <c r="D111" t="s">
        <v>1329</v>
      </c>
      <c r="E111" t="s">
        <v>219</v>
      </c>
      <c r="F111" t="s">
        <v>460</v>
      </c>
      <c r="G111" t="s">
        <v>1299</v>
      </c>
      <c r="H111" t="s">
        <v>1330</v>
      </c>
      <c r="I111" t="s">
        <v>310</v>
      </c>
      <c r="J111">
        <v>2</v>
      </c>
      <c r="L111">
        <v>347.78</v>
      </c>
      <c r="M111">
        <v>592.69000000000005</v>
      </c>
      <c r="N111">
        <v>884.39</v>
      </c>
      <c r="O111">
        <v>1261.04</v>
      </c>
      <c r="P111">
        <v>1</v>
      </c>
      <c r="Q111">
        <v>2</v>
      </c>
      <c r="R111">
        <v>0</v>
      </c>
      <c r="S111">
        <v>200138</v>
      </c>
      <c r="T111" t="b">
        <v>1</v>
      </c>
    </row>
    <row r="112" spans="2:20" x14ac:dyDescent="0.35">
      <c r="B112">
        <v>2019</v>
      </c>
      <c r="C112" s="41">
        <v>43374</v>
      </c>
      <c r="D112" t="s">
        <v>1329</v>
      </c>
      <c r="E112" t="s">
        <v>219</v>
      </c>
      <c r="F112" t="s">
        <v>459</v>
      </c>
      <c r="G112" t="s">
        <v>1299</v>
      </c>
      <c r="H112" t="s">
        <v>1330</v>
      </c>
      <c r="I112" t="s">
        <v>310</v>
      </c>
      <c r="J112">
        <v>2</v>
      </c>
      <c r="L112">
        <v>287.01</v>
      </c>
      <c r="M112">
        <v>489.13</v>
      </c>
      <c r="N112">
        <v>729.85999999999899</v>
      </c>
      <c r="O112">
        <v>1040.69999999999</v>
      </c>
      <c r="P112">
        <v>1</v>
      </c>
      <c r="Q112">
        <v>2</v>
      </c>
      <c r="R112">
        <v>0</v>
      </c>
      <c r="S112">
        <v>200138</v>
      </c>
      <c r="T112" t="b">
        <v>1</v>
      </c>
    </row>
    <row r="113" spans="2:20" x14ac:dyDescent="0.35">
      <c r="B113">
        <v>2019</v>
      </c>
      <c r="C113" s="41">
        <v>43374</v>
      </c>
      <c r="D113" t="s">
        <v>1329</v>
      </c>
      <c r="E113" t="s">
        <v>219</v>
      </c>
      <c r="F113" t="s">
        <v>462</v>
      </c>
      <c r="G113" t="s">
        <v>1299</v>
      </c>
      <c r="H113" t="s">
        <v>1330</v>
      </c>
      <c r="I113" t="s">
        <v>310</v>
      </c>
      <c r="J113">
        <v>2</v>
      </c>
      <c r="L113">
        <v>353.13</v>
      </c>
      <c r="M113">
        <v>601.80999999999995</v>
      </c>
      <c r="N113">
        <v>897.99</v>
      </c>
      <c r="O113">
        <v>1280.44</v>
      </c>
      <c r="P113">
        <v>1</v>
      </c>
      <c r="Q113">
        <v>2</v>
      </c>
      <c r="R113">
        <v>0</v>
      </c>
      <c r="S113">
        <v>200138</v>
      </c>
      <c r="T113" t="b">
        <v>1</v>
      </c>
    </row>
    <row r="114" spans="2:20" x14ac:dyDescent="0.35">
      <c r="B114">
        <v>2019</v>
      </c>
      <c r="C114" s="41">
        <v>43374</v>
      </c>
      <c r="D114" t="s">
        <v>1329</v>
      </c>
      <c r="E114" t="s">
        <v>219</v>
      </c>
      <c r="F114" t="s">
        <v>1310</v>
      </c>
      <c r="G114" t="s">
        <v>1299</v>
      </c>
      <c r="H114" t="s">
        <v>1330</v>
      </c>
      <c r="I114" t="s">
        <v>310</v>
      </c>
      <c r="J114">
        <v>2</v>
      </c>
      <c r="L114">
        <v>446.38</v>
      </c>
      <c r="M114">
        <v>760.72</v>
      </c>
      <c r="N114">
        <v>1135.1199999999999</v>
      </c>
      <c r="O114">
        <v>1618.56</v>
      </c>
      <c r="P114">
        <v>1</v>
      </c>
      <c r="Q114">
        <v>2</v>
      </c>
      <c r="R114">
        <v>0</v>
      </c>
      <c r="S114">
        <v>200138</v>
      </c>
      <c r="T114" t="b">
        <v>1</v>
      </c>
    </row>
    <row r="115" spans="2:20" x14ac:dyDescent="0.35">
      <c r="B115">
        <v>2019</v>
      </c>
      <c r="C115" s="41">
        <v>43374</v>
      </c>
      <c r="D115" t="s">
        <v>1331</v>
      </c>
      <c r="E115" t="s">
        <v>219</v>
      </c>
      <c r="F115" t="s">
        <v>1311</v>
      </c>
      <c r="G115" t="s">
        <v>1299</v>
      </c>
      <c r="H115" t="s">
        <v>1330</v>
      </c>
      <c r="I115" t="s">
        <v>310</v>
      </c>
      <c r="J115">
        <v>2</v>
      </c>
      <c r="L115">
        <v>334.02</v>
      </c>
      <c r="M115">
        <v>569.24</v>
      </c>
      <c r="N115">
        <v>849.39</v>
      </c>
      <c r="O115">
        <v>1211.1399999999901</v>
      </c>
      <c r="P115">
        <v>1</v>
      </c>
      <c r="Q115">
        <v>2</v>
      </c>
      <c r="R115">
        <v>0</v>
      </c>
      <c r="S115">
        <v>200138</v>
      </c>
      <c r="T115" t="b">
        <v>1</v>
      </c>
    </row>
    <row r="116" spans="2:20" x14ac:dyDescent="0.35">
      <c r="B116">
        <v>2019</v>
      </c>
      <c r="C116" s="41">
        <v>43374</v>
      </c>
      <c r="D116" t="s">
        <v>1331</v>
      </c>
      <c r="E116" t="s">
        <v>219</v>
      </c>
      <c r="F116" t="s">
        <v>1309</v>
      </c>
      <c r="G116" t="s">
        <v>1299</v>
      </c>
      <c r="H116" t="s">
        <v>1330</v>
      </c>
      <c r="I116" t="s">
        <v>310</v>
      </c>
      <c r="J116">
        <v>2</v>
      </c>
      <c r="L116">
        <v>343.96</v>
      </c>
      <c r="M116">
        <v>586.16999999999996</v>
      </c>
      <c r="N116">
        <v>874.67</v>
      </c>
      <c r="O116">
        <v>1247.18</v>
      </c>
      <c r="P116">
        <v>1</v>
      </c>
      <c r="Q116">
        <v>2</v>
      </c>
      <c r="R116">
        <v>0</v>
      </c>
      <c r="S116">
        <v>200138</v>
      </c>
      <c r="T116" t="b">
        <v>1</v>
      </c>
    </row>
    <row r="117" spans="2:20" x14ac:dyDescent="0.35">
      <c r="B117">
        <v>2019</v>
      </c>
      <c r="C117" s="41">
        <v>43374</v>
      </c>
      <c r="D117" t="s">
        <v>1331</v>
      </c>
      <c r="E117" t="s">
        <v>219</v>
      </c>
      <c r="F117" t="s">
        <v>463</v>
      </c>
      <c r="G117" t="s">
        <v>1299</v>
      </c>
      <c r="H117" t="s">
        <v>1330</v>
      </c>
      <c r="I117" t="s">
        <v>310</v>
      </c>
      <c r="J117">
        <v>2</v>
      </c>
      <c r="L117">
        <v>288.93</v>
      </c>
      <c r="M117">
        <v>492.39</v>
      </c>
      <c r="N117">
        <v>734.71</v>
      </c>
      <c r="O117">
        <v>1047.6199999999999</v>
      </c>
      <c r="P117">
        <v>1</v>
      </c>
      <c r="Q117">
        <v>2</v>
      </c>
      <c r="R117">
        <v>0</v>
      </c>
      <c r="S117">
        <v>200138</v>
      </c>
      <c r="T117" t="b">
        <v>1</v>
      </c>
    </row>
    <row r="118" spans="2:20" x14ac:dyDescent="0.35">
      <c r="B118">
        <v>2019</v>
      </c>
      <c r="C118" s="41">
        <v>43374</v>
      </c>
      <c r="D118" t="s">
        <v>1331</v>
      </c>
      <c r="E118" t="s">
        <v>219</v>
      </c>
      <c r="F118" t="s">
        <v>462</v>
      </c>
      <c r="G118" t="s">
        <v>1299</v>
      </c>
      <c r="H118" t="s">
        <v>1330</v>
      </c>
      <c r="I118" t="s">
        <v>310</v>
      </c>
      <c r="J118">
        <v>2</v>
      </c>
      <c r="L118">
        <v>353.13</v>
      </c>
      <c r="M118">
        <v>601.80999999999995</v>
      </c>
      <c r="N118">
        <v>897.99</v>
      </c>
      <c r="O118">
        <v>1280.44</v>
      </c>
      <c r="P118">
        <v>1</v>
      </c>
      <c r="Q118">
        <v>2</v>
      </c>
      <c r="R118">
        <v>0</v>
      </c>
      <c r="S118">
        <v>200138</v>
      </c>
      <c r="T118" t="b">
        <v>1</v>
      </c>
    </row>
    <row r="119" spans="2:20" x14ac:dyDescent="0.35">
      <c r="B119">
        <v>2019</v>
      </c>
      <c r="C119" s="41">
        <v>43374</v>
      </c>
      <c r="D119" t="s">
        <v>1331</v>
      </c>
      <c r="E119" t="s">
        <v>219</v>
      </c>
      <c r="F119" t="s">
        <v>460</v>
      </c>
      <c r="G119" t="s">
        <v>1299</v>
      </c>
      <c r="H119" t="s">
        <v>1330</v>
      </c>
      <c r="I119" t="s">
        <v>310</v>
      </c>
      <c r="J119">
        <v>2</v>
      </c>
      <c r="L119">
        <v>347.78</v>
      </c>
      <c r="M119">
        <v>592.69000000000005</v>
      </c>
      <c r="N119">
        <v>884.39</v>
      </c>
      <c r="O119">
        <v>1261.04</v>
      </c>
      <c r="P119">
        <v>1</v>
      </c>
      <c r="Q119">
        <v>2</v>
      </c>
      <c r="R119">
        <v>0</v>
      </c>
      <c r="S119">
        <v>200138</v>
      </c>
      <c r="T119" t="b">
        <v>1</v>
      </c>
    </row>
    <row r="120" spans="2:20" x14ac:dyDescent="0.35">
      <c r="B120">
        <v>2019</v>
      </c>
      <c r="C120" s="41">
        <v>43374</v>
      </c>
      <c r="D120" t="s">
        <v>1331</v>
      </c>
      <c r="E120" t="s">
        <v>219</v>
      </c>
      <c r="F120" t="s">
        <v>459</v>
      </c>
      <c r="G120" t="s">
        <v>1299</v>
      </c>
      <c r="H120" t="s">
        <v>1330</v>
      </c>
      <c r="I120" t="s">
        <v>310</v>
      </c>
      <c r="J120">
        <v>2</v>
      </c>
      <c r="L120">
        <v>287.01</v>
      </c>
      <c r="M120">
        <v>489.13</v>
      </c>
      <c r="N120">
        <v>729.85999999999899</v>
      </c>
      <c r="O120">
        <v>1040.69999999999</v>
      </c>
      <c r="P120">
        <v>1</v>
      </c>
      <c r="Q120">
        <v>2</v>
      </c>
      <c r="R120">
        <v>0</v>
      </c>
      <c r="S120">
        <v>200138</v>
      </c>
      <c r="T120" t="b">
        <v>1</v>
      </c>
    </row>
    <row r="121" spans="2:20" x14ac:dyDescent="0.35">
      <c r="B121">
        <v>2019</v>
      </c>
      <c r="C121" s="41">
        <v>43374</v>
      </c>
      <c r="D121" t="s">
        <v>1331</v>
      </c>
      <c r="E121" t="s">
        <v>219</v>
      </c>
      <c r="F121" t="s">
        <v>1310</v>
      </c>
      <c r="G121" t="s">
        <v>1299</v>
      </c>
      <c r="H121" t="s">
        <v>1330</v>
      </c>
      <c r="I121" t="s">
        <v>310</v>
      </c>
      <c r="J121">
        <v>2</v>
      </c>
      <c r="L121">
        <v>446.38</v>
      </c>
      <c r="M121">
        <v>760.72</v>
      </c>
      <c r="N121">
        <v>1135.1199999999999</v>
      </c>
      <c r="O121">
        <v>1618.56</v>
      </c>
      <c r="P121">
        <v>1</v>
      </c>
      <c r="Q121">
        <v>2</v>
      </c>
      <c r="R121">
        <v>0</v>
      </c>
      <c r="S121">
        <v>200138</v>
      </c>
      <c r="T121" t="b">
        <v>1</v>
      </c>
    </row>
    <row r="122" spans="2:20" x14ac:dyDescent="0.35">
      <c r="B122">
        <v>2019</v>
      </c>
      <c r="C122" s="41">
        <v>43374</v>
      </c>
      <c r="D122" t="s">
        <v>1332</v>
      </c>
      <c r="E122" t="s">
        <v>219</v>
      </c>
      <c r="F122" t="s">
        <v>1309</v>
      </c>
      <c r="G122" t="s">
        <v>1299</v>
      </c>
      <c r="H122" t="s">
        <v>1330</v>
      </c>
      <c r="I122" t="s">
        <v>310</v>
      </c>
      <c r="J122">
        <v>2</v>
      </c>
      <c r="L122">
        <v>343.96</v>
      </c>
      <c r="M122">
        <v>586.16999999999996</v>
      </c>
      <c r="N122">
        <v>874.67</v>
      </c>
      <c r="O122">
        <v>1247.18</v>
      </c>
      <c r="P122">
        <v>1</v>
      </c>
      <c r="Q122">
        <v>2</v>
      </c>
      <c r="R122">
        <v>0</v>
      </c>
      <c r="S122">
        <v>200138</v>
      </c>
      <c r="T122" t="b">
        <v>1</v>
      </c>
    </row>
    <row r="123" spans="2:20" x14ac:dyDescent="0.35">
      <c r="B123">
        <v>2019</v>
      </c>
      <c r="C123" s="41">
        <v>43374</v>
      </c>
      <c r="D123" t="s">
        <v>1332</v>
      </c>
      <c r="E123" t="s">
        <v>219</v>
      </c>
      <c r="F123" t="s">
        <v>462</v>
      </c>
      <c r="G123" t="s">
        <v>1299</v>
      </c>
      <c r="H123" t="s">
        <v>1330</v>
      </c>
      <c r="I123" t="s">
        <v>310</v>
      </c>
      <c r="J123">
        <v>2</v>
      </c>
      <c r="L123">
        <v>353.13</v>
      </c>
      <c r="M123">
        <v>601.80999999999995</v>
      </c>
      <c r="N123">
        <v>897.99</v>
      </c>
      <c r="O123">
        <v>1280.44</v>
      </c>
      <c r="P123">
        <v>1</v>
      </c>
      <c r="Q123">
        <v>2</v>
      </c>
      <c r="R123">
        <v>0</v>
      </c>
      <c r="S123">
        <v>200138</v>
      </c>
      <c r="T123" t="b">
        <v>1</v>
      </c>
    </row>
    <row r="124" spans="2:20" x14ac:dyDescent="0.35">
      <c r="B124">
        <v>2019</v>
      </c>
      <c r="C124" s="41">
        <v>43374</v>
      </c>
      <c r="D124" t="s">
        <v>1332</v>
      </c>
      <c r="E124" t="s">
        <v>219</v>
      </c>
      <c r="F124" t="s">
        <v>1307</v>
      </c>
      <c r="G124" t="s">
        <v>1299</v>
      </c>
      <c r="H124" t="s">
        <v>1330</v>
      </c>
      <c r="I124" t="s">
        <v>310</v>
      </c>
      <c r="J124">
        <v>2</v>
      </c>
      <c r="L124">
        <v>312.24</v>
      </c>
      <c r="M124">
        <v>532.12</v>
      </c>
      <c r="N124">
        <v>794</v>
      </c>
      <c r="O124">
        <v>1132.1600000000001</v>
      </c>
      <c r="P124">
        <v>1</v>
      </c>
      <c r="Q124">
        <v>2</v>
      </c>
      <c r="R124">
        <v>0</v>
      </c>
      <c r="S124">
        <v>200138</v>
      </c>
      <c r="T124" t="b">
        <v>1</v>
      </c>
    </row>
    <row r="125" spans="2:20" x14ac:dyDescent="0.35">
      <c r="B125">
        <v>2019</v>
      </c>
      <c r="C125" s="41">
        <v>43374</v>
      </c>
      <c r="D125" t="s">
        <v>1332</v>
      </c>
      <c r="E125" t="s">
        <v>219</v>
      </c>
      <c r="F125" t="s">
        <v>460</v>
      </c>
      <c r="G125" t="s">
        <v>1299</v>
      </c>
      <c r="H125" t="s">
        <v>1330</v>
      </c>
      <c r="I125" t="s">
        <v>310</v>
      </c>
      <c r="J125">
        <v>2</v>
      </c>
      <c r="L125">
        <v>347.78</v>
      </c>
      <c r="M125">
        <v>592.69000000000005</v>
      </c>
      <c r="N125">
        <v>884.39</v>
      </c>
      <c r="O125">
        <v>1261.04</v>
      </c>
      <c r="P125">
        <v>1</v>
      </c>
      <c r="Q125">
        <v>2</v>
      </c>
      <c r="R125">
        <v>0</v>
      </c>
      <c r="S125">
        <v>200138</v>
      </c>
      <c r="T125" t="b">
        <v>1</v>
      </c>
    </row>
    <row r="126" spans="2:20" x14ac:dyDescent="0.35">
      <c r="B126">
        <v>2019</v>
      </c>
      <c r="C126" s="41">
        <v>43374</v>
      </c>
      <c r="D126" t="s">
        <v>1331</v>
      </c>
      <c r="E126" t="s">
        <v>219</v>
      </c>
      <c r="F126" t="s">
        <v>1307</v>
      </c>
      <c r="G126" t="s">
        <v>1299</v>
      </c>
      <c r="H126" t="s">
        <v>1330</v>
      </c>
      <c r="I126" t="s">
        <v>310</v>
      </c>
      <c r="J126">
        <v>2</v>
      </c>
      <c r="L126">
        <v>312.24</v>
      </c>
      <c r="M126">
        <v>532.12</v>
      </c>
      <c r="N126">
        <v>794</v>
      </c>
      <c r="O126">
        <v>1132.1600000000001</v>
      </c>
      <c r="P126">
        <v>1</v>
      </c>
      <c r="Q126">
        <v>2</v>
      </c>
      <c r="R126">
        <v>0</v>
      </c>
      <c r="S126">
        <v>200138</v>
      </c>
      <c r="T126" t="b">
        <v>1</v>
      </c>
    </row>
    <row r="127" spans="2:20" x14ac:dyDescent="0.35">
      <c r="B127">
        <v>2019</v>
      </c>
      <c r="C127" s="41">
        <v>43374</v>
      </c>
      <c r="D127" t="s">
        <v>1332</v>
      </c>
      <c r="E127" t="s">
        <v>219</v>
      </c>
      <c r="F127" t="s">
        <v>459</v>
      </c>
      <c r="G127" t="s">
        <v>1299</v>
      </c>
      <c r="H127" t="s">
        <v>1330</v>
      </c>
      <c r="I127" t="s">
        <v>310</v>
      </c>
      <c r="J127">
        <v>2</v>
      </c>
      <c r="L127">
        <v>287.01</v>
      </c>
      <c r="M127">
        <v>489.13</v>
      </c>
      <c r="N127">
        <v>729.85999999999899</v>
      </c>
      <c r="O127">
        <v>1040.69999999999</v>
      </c>
      <c r="P127">
        <v>1</v>
      </c>
      <c r="Q127">
        <v>2</v>
      </c>
      <c r="R127">
        <v>0</v>
      </c>
      <c r="S127">
        <v>200138</v>
      </c>
      <c r="T127" t="b">
        <v>1</v>
      </c>
    </row>
    <row r="128" spans="2:20" x14ac:dyDescent="0.35">
      <c r="B128">
        <v>2019</v>
      </c>
      <c r="C128" s="41">
        <v>43374</v>
      </c>
      <c r="D128" t="s">
        <v>1332</v>
      </c>
      <c r="E128" t="s">
        <v>219</v>
      </c>
      <c r="F128" t="s">
        <v>1310</v>
      </c>
      <c r="G128" t="s">
        <v>1299</v>
      </c>
      <c r="H128" t="s">
        <v>1330</v>
      </c>
      <c r="I128" t="s">
        <v>310</v>
      </c>
      <c r="J128">
        <v>2</v>
      </c>
      <c r="L128">
        <v>446.38</v>
      </c>
      <c r="M128">
        <v>760.72</v>
      </c>
      <c r="N128">
        <v>1135.1199999999999</v>
      </c>
      <c r="O128">
        <v>1618.56</v>
      </c>
      <c r="P128">
        <v>1</v>
      </c>
      <c r="Q128">
        <v>2</v>
      </c>
      <c r="R128">
        <v>0</v>
      </c>
      <c r="S128">
        <v>200138</v>
      </c>
      <c r="T128" t="b">
        <v>1</v>
      </c>
    </row>
    <row r="129" spans="2:20" x14ac:dyDescent="0.35">
      <c r="B129">
        <v>2019</v>
      </c>
      <c r="C129" s="41">
        <v>43374</v>
      </c>
      <c r="D129" t="s">
        <v>1332</v>
      </c>
      <c r="E129" t="s">
        <v>219</v>
      </c>
      <c r="F129" t="s">
        <v>1311</v>
      </c>
      <c r="G129" t="s">
        <v>1299</v>
      </c>
      <c r="H129" t="s">
        <v>1330</v>
      </c>
      <c r="I129" t="s">
        <v>310</v>
      </c>
      <c r="J129">
        <v>2</v>
      </c>
      <c r="L129">
        <v>334.02</v>
      </c>
      <c r="M129">
        <v>569.24</v>
      </c>
      <c r="N129">
        <v>849.39</v>
      </c>
      <c r="O129">
        <v>1211.1399999999901</v>
      </c>
      <c r="P129">
        <v>1</v>
      </c>
      <c r="Q129">
        <v>2</v>
      </c>
      <c r="R129">
        <v>0</v>
      </c>
      <c r="S129">
        <v>200138</v>
      </c>
      <c r="T129" t="b">
        <v>1</v>
      </c>
    </row>
    <row r="130" spans="2:20" x14ac:dyDescent="0.35">
      <c r="B130">
        <v>2019</v>
      </c>
      <c r="C130" s="41">
        <v>43374</v>
      </c>
      <c r="D130" t="s">
        <v>1332</v>
      </c>
      <c r="E130" t="s">
        <v>219</v>
      </c>
      <c r="F130" t="s">
        <v>463</v>
      </c>
      <c r="G130" t="s">
        <v>1299</v>
      </c>
      <c r="H130" t="s">
        <v>1330</v>
      </c>
      <c r="I130" t="s">
        <v>310</v>
      </c>
      <c r="J130">
        <v>2</v>
      </c>
      <c r="L130">
        <v>288.93</v>
      </c>
      <c r="M130">
        <v>492.39</v>
      </c>
      <c r="N130">
        <v>734.71</v>
      </c>
      <c r="O130">
        <v>1047.6199999999999</v>
      </c>
      <c r="P130">
        <v>1</v>
      </c>
      <c r="Q130">
        <v>2</v>
      </c>
      <c r="R130">
        <v>0</v>
      </c>
      <c r="S130">
        <v>200138</v>
      </c>
      <c r="T130" t="b">
        <v>1</v>
      </c>
    </row>
    <row r="131" spans="2:20" x14ac:dyDescent="0.35">
      <c r="B131">
        <v>2019</v>
      </c>
      <c r="C131" s="41">
        <v>43374</v>
      </c>
      <c r="D131" t="s">
        <v>1333</v>
      </c>
      <c r="E131" t="s">
        <v>219</v>
      </c>
      <c r="F131" t="s">
        <v>1309</v>
      </c>
      <c r="G131" t="s">
        <v>1299</v>
      </c>
      <c r="H131" t="s">
        <v>1334</v>
      </c>
      <c r="I131" t="s">
        <v>310</v>
      </c>
      <c r="J131">
        <v>2</v>
      </c>
      <c r="L131">
        <v>347.97</v>
      </c>
      <c r="M131">
        <v>593.02</v>
      </c>
      <c r="N131">
        <v>884.88</v>
      </c>
      <c r="O131">
        <v>1261.74</v>
      </c>
      <c r="P131">
        <v>1</v>
      </c>
      <c r="Q131">
        <v>2</v>
      </c>
      <c r="R131">
        <v>0</v>
      </c>
      <c r="S131">
        <v>200138</v>
      </c>
      <c r="T131" t="b">
        <v>1</v>
      </c>
    </row>
    <row r="132" spans="2:20" x14ac:dyDescent="0.35">
      <c r="B132">
        <v>2019</v>
      </c>
      <c r="C132" s="41">
        <v>43374</v>
      </c>
      <c r="D132" t="s">
        <v>1333</v>
      </c>
      <c r="E132" t="s">
        <v>219</v>
      </c>
      <c r="F132" t="s">
        <v>1310</v>
      </c>
      <c r="G132" t="s">
        <v>1299</v>
      </c>
      <c r="H132" t="s">
        <v>1334</v>
      </c>
      <c r="I132" t="s">
        <v>310</v>
      </c>
      <c r="J132">
        <v>2</v>
      </c>
      <c r="L132">
        <v>451.59</v>
      </c>
      <c r="M132">
        <v>769.6</v>
      </c>
      <c r="N132">
        <v>1148.3799999999901</v>
      </c>
      <c r="O132">
        <v>1637.46</v>
      </c>
      <c r="P132">
        <v>1</v>
      </c>
      <c r="Q132">
        <v>2</v>
      </c>
      <c r="R132">
        <v>0</v>
      </c>
      <c r="S132">
        <v>200138</v>
      </c>
      <c r="T132" t="b">
        <v>1</v>
      </c>
    </row>
    <row r="133" spans="2:20" x14ac:dyDescent="0.35">
      <c r="B133">
        <v>2019</v>
      </c>
      <c r="C133" s="41">
        <v>43374</v>
      </c>
      <c r="D133" t="s">
        <v>1335</v>
      </c>
      <c r="E133" t="s">
        <v>219</v>
      </c>
      <c r="F133" t="s">
        <v>1309</v>
      </c>
      <c r="G133" t="s">
        <v>1299</v>
      </c>
      <c r="H133" t="s">
        <v>1334</v>
      </c>
      <c r="I133" t="s">
        <v>310</v>
      </c>
      <c r="J133">
        <v>2</v>
      </c>
      <c r="L133">
        <v>347.97</v>
      </c>
      <c r="M133">
        <v>593.02</v>
      </c>
      <c r="N133">
        <v>884.88</v>
      </c>
      <c r="O133">
        <v>1261.74</v>
      </c>
      <c r="P133">
        <v>1</v>
      </c>
      <c r="Q133">
        <v>2</v>
      </c>
      <c r="R133">
        <v>0</v>
      </c>
      <c r="S133">
        <v>200138</v>
      </c>
      <c r="T133" t="b">
        <v>1</v>
      </c>
    </row>
    <row r="134" spans="2:20" x14ac:dyDescent="0.35">
      <c r="B134">
        <v>2019</v>
      </c>
      <c r="C134" s="41">
        <v>43374</v>
      </c>
      <c r="D134" t="s">
        <v>1335</v>
      </c>
      <c r="E134" t="s">
        <v>219</v>
      </c>
      <c r="F134" t="s">
        <v>1311</v>
      </c>
      <c r="G134" t="s">
        <v>1299</v>
      </c>
      <c r="H134" t="s">
        <v>1334</v>
      </c>
      <c r="I134" t="s">
        <v>310</v>
      </c>
      <c r="J134">
        <v>2</v>
      </c>
      <c r="L134">
        <v>337.92</v>
      </c>
      <c r="M134">
        <v>575.89</v>
      </c>
      <c r="N134">
        <v>859.31</v>
      </c>
      <c r="O134">
        <v>1225.28</v>
      </c>
      <c r="P134">
        <v>1</v>
      </c>
      <c r="Q134">
        <v>2</v>
      </c>
      <c r="R134">
        <v>0</v>
      </c>
      <c r="S134">
        <v>200138</v>
      </c>
      <c r="T134" t="b">
        <v>1</v>
      </c>
    </row>
    <row r="135" spans="2:20" x14ac:dyDescent="0.35">
      <c r="B135">
        <v>2019</v>
      </c>
      <c r="C135" s="41">
        <v>43374</v>
      </c>
      <c r="D135" t="s">
        <v>1335</v>
      </c>
      <c r="E135" t="s">
        <v>219</v>
      </c>
      <c r="F135" t="s">
        <v>1307</v>
      </c>
      <c r="G135" t="s">
        <v>1299</v>
      </c>
      <c r="H135" t="s">
        <v>1334</v>
      </c>
      <c r="I135" t="s">
        <v>310</v>
      </c>
      <c r="J135">
        <v>2</v>
      </c>
      <c r="L135">
        <v>315.88</v>
      </c>
      <c r="M135">
        <v>538.33000000000004</v>
      </c>
      <c r="N135">
        <v>803.27</v>
      </c>
      <c r="O135">
        <v>1145.3800000000001</v>
      </c>
      <c r="P135">
        <v>1</v>
      </c>
      <c r="Q135">
        <v>2</v>
      </c>
      <c r="R135">
        <v>0</v>
      </c>
      <c r="S135">
        <v>200138</v>
      </c>
      <c r="T135" t="b">
        <v>1</v>
      </c>
    </row>
    <row r="136" spans="2:20" x14ac:dyDescent="0.35">
      <c r="B136">
        <v>2019</v>
      </c>
      <c r="C136" s="41">
        <v>43374</v>
      </c>
      <c r="D136" t="s">
        <v>1335</v>
      </c>
      <c r="E136" t="s">
        <v>219</v>
      </c>
      <c r="F136" t="s">
        <v>463</v>
      </c>
      <c r="G136" t="s">
        <v>1299</v>
      </c>
      <c r="H136" t="s">
        <v>1334</v>
      </c>
      <c r="I136" t="s">
        <v>310</v>
      </c>
      <c r="J136">
        <v>2</v>
      </c>
      <c r="L136">
        <v>292.3</v>
      </c>
      <c r="M136">
        <v>498.13</v>
      </c>
      <c r="N136">
        <v>743.3</v>
      </c>
      <c r="O136">
        <v>1059.8599999999999</v>
      </c>
      <c r="P136">
        <v>1</v>
      </c>
      <c r="Q136">
        <v>2</v>
      </c>
      <c r="R136">
        <v>0</v>
      </c>
      <c r="S136">
        <v>200138</v>
      </c>
      <c r="T136" t="b">
        <v>1</v>
      </c>
    </row>
    <row r="137" spans="2:20" x14ac:dyDescent="0.35">
      <c r="B137">
        <v>2019</v>
      </c>
      <c r="C137" s="41">
        <v>43374</v>
      </c>
      <c r="D137" t="s">
        <v>1333</v>
      </c>
      <c r="E137" t="s">
        <v>219</v>
      </c>
      <c r="F137" t="s">
        <v>1307</v>
      </c>
      <c r="G137" t="s">
        <v>1299</v>
      </c>
      <c r="H137" t="s">
        <v>1334</v>
      </c>
      <c r="I137" t="s">
        <v>310</v>
      </c>
      <c r="J137">
        <v>2</v>
      </c>
      <c r="L137">
        <v>315.88</v>
      </c>
      <c r="M137">
        <v>538.33000000000004</v>
      </c>
      <c r="N137">
        <v>803.27</v>
      </c>
      <c r="O137">
        <v>1145.3800000000001</v>
      </c>
      <c r="P137">
        <v>1</v>
      </c>
      <c r="Q137">
        <v>2</v>
      </c>
      <c r="R137">
        <v>0</v>
      </c>
      <c r="S137">
        <v>200138</v>
      </c>
      <c r="T137" t="b">
        <v>1</v>
      </c>
    </row>
    <row r="138" spans="2:20" x14ac:dyDescent="0.35">
      <c r="B138">
        <v>2019</v>
      </c>
      <c r="C138" s="41">
        <v>43374</v>
      </c>
      <c r="D138" t="s">
        <v>1335</v>
      </c>
      <c r="E138" t="s">
        <v>219</v>
      </c>
      <c r="F138" t="s">
        <v>462</v>
      </c>
      <c r="G138" t="s">
        <v>1299</v>
      </c>
      <c r="H138" t="s">
        <v>1334</v>
      </c>
      <c r="I138" t="s">
        <v>310</v>
      </c>
      <c r="J138">
        <v>2</v>
      </c>
      <c r="L138">
        <v>357.25</v>
      </c>
      <c r="M138">
        <v>608.83000000000004</v>
      </c>
      <c r="N138">
        <v>908.47</v>
      </c>
      <c r="O138">
        <v>1295.3800000000001</v>
      </c>
      <c r="P138">
        <v>1</v>
      </c>
      <c r="Q138">
        <v>2</v>
      </c>
      <c r="R138">
        <v>0</v>
      </c>
      <c r="S138">
        <v>200138</v>
      </c>
      <c r="T138" t="b">
        <v>1</v>
      </c>
    </row>
    <row r="139" spans="2:20" x14ac:dyDescent="0.35">
      <c r="B139">
        <v>2019</v>
      </c>
      <c r="C139" s="41">
        <v>43374</v>
      </c>
      <c r="D139" t="s">
        <v>1333</v>
      </c>
      <c r="E139" t="s">
        <v>219</v>
      </c>
      <c r="F139" t="s">
        <v>462</v>
      </c>
      <c r="G139" t="s">
        <v>1299</v>
      </c>
      <c r="H139" t="s">
        <v>1334</v>
      </c>
      <c r="I139" t="s">
        <v>310</v>
      </c>
      <c r="J139">
        <v>2</v>
      </c>
      <c r="L139">
        <v>357.25</v>
      </c>
      <c r="M139">
        <v>608.83000000000004</v>
      </c>
      <c r="N139">
        <v>908.47</v>
      </c>
      <c r="O139">
        <v>1295.3800000000001</v>
      </c>
      <c r="P139">
        <v>1</v>
      </c>
      <c r="Q139">
        <v>2</v>
      </c>
      <c r="R139">
        <v>0</v>
      </c>
      <c r="S139">
        <v>200138</v>
      </c>
      <c r="T139" t="b">
        <v>1</v>
      </c>
    </row>
    <row r="140" spans="2:20" x14ac:dyDescent="0.35">
      <c r="B140">
        <v>2019</v>
      </c>
      <c r="C140" s="41">
        <v>43374</v>
      </c>
      <c r="D140" t="s">
        <v>1333</v>
      </c>
      <c r="E140" t="s">
        <v>219</v>
      </c>
      <c r="F140" t="s">
        <v>1311</v>
      </c>
      <c r="G140" t="s">
        <v>1299</v>
      </c>
      <c r="H140" t="s">
        <v>1334</v>
      </c>
      <c r="I140" t="s">
        <v>310</v>
      </c>
      <c r="J140">
        <v>2</v>
      </c>
      <c r="L140">
        <v>337.92</v>
      </c>
      <c r="M140">
        <v>575.89</v>
      </c>
      <c r="N140">
        <v>859.31</v>
      </c>
      <c r="O140">
        <v>1225.28</v>
      </c>
      <c r="P140">
        <v>1</v>
      </c>
      <c r="Q140">
        <v>2</v>
      </c>
      <c r="R140">
        <v>0</v>
      </c>
      <c r="S140">
        <v>200138</v>
      </c>
      <c r="T140" t="b">
        <v>1</v>
      </c>
    </row>
    <row r="141" spans="2:20" x14ac:dyDescent="0.35">
      <c r="B141">
        <v>2019</v>
      </c>
      <c r="C141" s="41">
        <v>43374</v>
      </c>
      <c r="D141" t="s">
        <v>1333</v>
      </c>
      <c r="E141" t="s">
        <v>219</v>
      </c>
      <c r="F141" t="s">
        <v>463</v>
      </c>
      <c r="G141" t="s">
        <v>1299</v>
      </c>
      <c r="H141" t="s">
        <v>1334</v>
      </c>
      <c r="I141" t="s">
        <v>310</v>
      </c>
      <c r="J141">
        <v>2</v>
      </c>
      <c r="L141">
        <v>292.3</v>
      </c>
      <c r="M141">
        <v>498.13</v>
      </c>
      <c r="N141">
        <v>743.3</v>
      </c>
      <c r="O141">
        <v>1059.8599999999999</v>
      </c>
      <c r="P141">
        <v>1</v>
      </c>
      <c r="Q141">
        <v>2</v>
      </c>
      <c r="R141">
        <v>0</v>
      </c>
      <c r="S141">
        <v>200138</v>
      </c>
      <c r="T141" t="b">
        <v>1</v>
      </c>
    </row>
    <row r="142" spans="2:20" x14ac:dyDescent="0.35">
      <c r="B142">
        <v>2019</v>
      </c>
      <c r="C142" s="41">
        <v>43374</v>
      </c>
      <c r="D142" t="s">
        <v>1333</v>
      </c>
      <c r="E142" t="s">
        <v>219</v>
      </c>
      <c r="F142" t="s">
        <v>459</v>
      </c>
      <c r="G142" t="s">
        <v>1299</v>
      </c>
      <c r="H142" t="s">
        <v>1334</v>
      </c>
      <c r="I142" t="s">
        <v>310</v>
      </c>
      <c r="J142">
        <v>2</v>
      </c>
      <c r="L142">
        <v>290.37</v>
      </c>
      <c r="M142">
        <v>494.84</v>
      </c>
      <c r="N142">
        <v>738.39</v>
      </c>
      <c r="O142">
        <v>1052.8599999999999</v>
      </c>
      <c r="P142">
        <v>1</v>
      </c>
      <c r="Q142">
        <v>2</v>
      </c>
      <c r="R142">
        <v>0</v>
      </c>
      <c r="S142">
        <v>200138</v>
      </c>
      <c r="T142" t="b">
        <v>1</v>
      </c>
    </row>
    <row r="143" spans="2:20" x14ac:dyDescent="0.35">
      <c r="B143">
        <v>2019</v>
      </c>
      <c r="C143" s="41">
        <v>43374</v>
      </c>
      <c r="D143" t="s">
        <v>1335</v>
      </c>
      <c r="E143" t="s">
        <v>219</v>
      </c>
      <c r="F143" t="s">
        <v>460</v>
      </c>
      <c r="G143" t="s">
        <v>1299</v>
      </c>
      <c r="H143" t="s">
        <v>1334</v>
      </c>
      <c r="I143" t="s">
        <v>310</v>
      </c>
      <c r="J143">
        <v>2</v>
      </c>
      <c r="L143">
        <v>351.84</v>
      </c>
      <c r="M143">
        <v>599.61</v>
      </c>
      <c r="N143">
        <v>894.71</v>
      </c>
      <c r="O143">
        <v>1275.76</v>
      </c>
      <c r="P143">
        <v>1</v>
      </c>
      <c r="Q143">
        <v>2</v>
      </c>
      <c r="R143">
        <v>0</v>
      </c>
      <c r="S143">
        <v>200138</v>
      </c>
      <c r="T143" t="b">
        <v>1</v>
      </c>
    </row>
    <row r="144" spans="2:20" x14ac:dyDescent="0.35">
      <c r="B144">
        <v>2019</v>
      </c>
      <c r="C144" s="41">
        <v>43374</v>
      </c>
      <c r="D144" t="s">
        <v>1333</v>
      </c>
      <c r="E144" t="s">
        <v>219</v>
      </c>
      <c r="F144" t="s">
        <v>460</v>
      </c>
      <c r="G144" t="s">
        <v>1299</v>
      </c>
      <c r="H144" t="s">
        <v>1334</v>
      </c>
      <c r="I144" t="s">
        <v>310</v>
      </c>
      <c r="J144">
        <v>2</v>
      </c>
      <c r="L144">
        <v>351.84</v>
      </c>
      <c r="M144">
        <v>599.61</v>
      </c>
      <c r="N144">
        <v>894.71</v>
      </c>
      <c r="O144">
        <v>1275.76</v>
      </c>
      <c r="P144">
        <v>1</v>
      </c>
      <c r="Q144">
        <v>2</v>
      </c>
      <c r="R144">
        <v>0</v>
      </c>
      <c r="S144">
        <v>200138</v>
      </c>
      <c r="T144" t="b">
        <v>1</v>
      </c>
    </row>
    <row r="145" spans="2:20" x14ac:dyDescent="0.35">
      <c r="B145">
        <v>2019</v>
      </c>
      <c r="C145" s="41">
        <v>43374</v>
      </c>
      <c r="D145" t="s">
        <v>1336</v>
      </c>
      <c r="E145" t="s">
        <v>219</v>
      </c>
      <c r="F145" t="s">
        <v>1311</v>
      </c>
      <c r="G145" t="s">
        <v>1299</v>
      </c>
      <c r="H145" t="s">
        <v>1334</v>
      </c>
      <c r="I145" t="s">
        <v>310</v>
      </c>
      <c r="J145">
        <v>2</v>
      </c>
      <c r="L145">
        <v>337.92</v>
      </c>
      <c r="M145">
        <v>575.89</v>
      </c>
      <c r="N145">
        <v>859.31</v>
      </c>
      <c r="O145">
        <v>1225.28</v>
      </c>
      <c r="P145">
        <v>1</v>
      </c>
      <c r="Q145">
        <v>2</v>
      </c>
      <c r="R145">
        <v>0</v>
      </c>
      <c r="S145">
        <v>200138</v>
      </c>
      <c r="T145" t="b">
        <v>1</v>
      </c>
    </row>
    <row r="146" spans="2:20" x14ac:dyDescent="0.35">
      <c r="B146">
        <v>2019</v>
      </c>
      <c r="C146" s="41">
        <v>43374</v>
      </c>
      <c r="D146" t="s">
        <v>1335</v>
      </c>
      <c r="E146" t="s">
        <v>219</v>
      </c>
      <c r="F146" t="s">
        <v>1310</v>
      </c>
      <c r="G146" t="s">
        <v>1299</v>
      </c>
      <c r="H146" t="s">
        <v>1334</v>
      </c>
      <c r="I146" t="s">
        <v>310</v>
      </c>
      <c r="J146">
        <v>2</v>
      </c>
      <c r="L146">
        <v>451.59</v>
      </c>
      <c r="M146">
        <v>769.6</v>
      </c>
      <c r="N146">
        <v>1148.3799999999901</v>
      </c>
      <c r="O146">
        <v>1637.46</v>
      </c>
      <c r="P146">
        <v>1</v>
      </c>
      <c r="Q146">
        <v>2</v>
      </c>
      <c r="R146">
        <v>0</v>
      </c>
      <c r="S146">
        <v>200138</v>
      </c>
      <c r="T146" t="b">
        <v>1</v>
      </c>
    </row>
    <row r="147" spans="2:20" x14ac:dyDescent="0.35">
      <c r="B147">
        <v>2019</v>
      </c>
      <c r="C147" s="41">
        <v>43374</v>
      </c>
      <c r="D147" t="s">
        <v>1335</v>
      </c>
      <c r="E147" t="s">
        <v>219</v>
      </c>
      <c r="F147" t="s">
        <v>459</v>
      </c>
      <c r="G147" t="s">
        <v>1299</v>
      </c>
      <c r="H147" t="s">
        <v>1334</v>
      </c>
      <c r="I147" t="s">
        <v>310</v>
      </c>
      <c r="J147">
        <v>2</v>
      </c>
      <c r="L147">
        <v>290.37</v>
      </c>
      <c r="M147">
        <v>494.84</v>
      </c>
      <c r="N147">
        <v>738.39</v>
      </c>
      <c r="O147">
        <v>1052.8599999999999</v>
      </c>
      <c r="P147">
        <v>1</v>
      </c>
      <c r="Q147">
        <v>2</v>
      </c>
      <c r="R147">
        <v>0</v>
      </c>
      <c r="S147">
        <v>200138</v>
      </c>
      <c r="T147" t="b">
        <v>1</v>
      </c>
    </row>
    <row r="148" spans="2:20" x14ac:dyDescent="0.35">
      <c r="B148">
        <v>2019</v>
      </c>
      <c r="C148" s="41">
        <v>43374</v>
      </c>
      <c r="D148" t="s">
        <v>1336</v>
      </c>
      <c r="E148" t="s">
        <v>219</v>
      </c>
      <c r="F148" t="s">
        <v>1307</v>
      </c>
      <c r="G148" t="s">
        <v>1299</v>
      </c>
      <c r="H148" t="s">
        <v>1334</v>
      </c>
      <c r="I148" t="s">
        <v>310</v>
      </c>
      <c r="J148">
        <v>2</v>
      </c>
      <c r="L148">
        <v>315.88</v>
      </c>
      <c r="M148">
        <v>538.33000000000004</v>
      </c>
      <c r="N148">
        <v>803.27</v>
      </c>
      <c r="O148">
        <v>1145.3800000000001</v>
      </c>
      <c r="P148">
        <v>1</v>
      </c>
      <c r="Q148">
        <v>2</v>
      </c>
      <c r="R148">
        <v>0</v>
      </c>
      <c r="S148">
        <v>200138</v>
      </c>
      <c r="T148" t="b">
        <v>1</v>
      </c>
    </row>
    <row r="149" spans="2:20" x14ac:dyDescent="0.35">
      <c r="B149">
        <v>2019</v>
      </c>
      <c r="C149" s="41">
        <v>43374</v>
      </c>
      <c r="D149" t="s">
        <v>1336</v>
      </c>
      <c r="E149" t="s">
        <v>219</v>
      </c>
      <c r="F149" t="s">
        <v>462</v>
      </c>
      <c r="G149" t="s">
        <v>1299</v>
      </c>
      <c r="H149" t="s">
        <v>1334</v>
      </c>
      <c r="I149" t="s">
        <v>310</v>
      </c>
      <c r="J149">
        <v>2</v>
      </c>
      <c r="L149">
        <v>357.25</v>
      </c>
      <c r="M149">
        <v>608.83000000000004</v>
      </c>
      <c r="N149">
        <v>908.47</v>
      </c>
      <c r="O149">
        <v>1295.3800000000001</v>
      </c>
      <c r="P149">
        <v>1</v>
      </c>
      <c r="Q149">
        <v>2</v>
      </c>
      <c r="R149">
        <v>0</v>
      </c>
      <c r="S149">
        <v>200138</v>
      </c>
      <c r="T149" t="b">
        <v>1</v>
      </c>
    </row>
    <row r="150" spans="2:20" x14ac:dyDescent="0.35">
      <c r="B150">
        <v>2019</v>
      </c>
      <c r="C150" s="41">
        <v>43374</v>
      </c>
      <c r="D150" t="s">
        <v>1336</v>
      </c>
      <c r="E150" t="s">
        <v>219</v>
      </c>
      <c r="F150" t="s">
        <v>463</v>
      </c>
      <c r="G150" t="s">
        <v>1299</v>
      </c>
      <c r="H150" t="s">
        <v>1334</v>
      </c>
      <c r="I150" t="s">
        <v>310</v>
      </c>
      <c r="J150">
        <v>2</v>
      </c>
      <c r="L150">
        <v>292.3</v>
      </c>
      <c r="M150">
        <v>498.13</v>
      </c>
      <c r="N150">
        <v>743.3</v>
      </c>
      <c r="O150">
        <v>1059.8599999999999</v>
      </c>
      <c r="P150">
        <v>1</v>
      </c>
      <c r="Q150">
        <v>2</v>
      </c>
      <c r="R150">
        <v>0</v>
      </c>
      <c r="S150">
        <v>200138</v>
      </c>
      <c r="T150" t="b">
        <v>1</v>
      </c>
    </row>
    <row r="151" spans="2:20" x14ac:dyDescent="0.35">
      <c r="B151">
        <v>2019</v>
      </c>
      <c r="C151" s="41">
        <v>43374</v>
      </c>
      <c r="D151" t="s">
        <v>1336</v>
      </c>
      <c r="E151" t="s">
        <v>219</v>
      </c>
      <c r="F151" t="s">
        <v>459</v>
      </c>
      <c r="G151" t="s">
        <v>1299</v>
      </c>
      <c r="H151" t="s">
        <v>1334</v>
      </c>
      <c r="I151" t="s">
        <v>310</v>
      </c>
      <c r="J151">
        <v>2</v>
      </c>
      <c r="L151">
        <v>290.37</v>
      </c>
      <c r="M151">
        <v>494.84</v>
      </c>
      <c r="N151">
        <v>738.39</v>
      </c>
      <c r="O151">
        <v>1052.8599999999999</v>
      </c>
      <c r="P151">
        <v>1</v>
      </c>
      <c r="Q151">
        <v>2</v>
      </c>
      <c r="R151">
        <v>0</v>
      </c>
      <c r="S151">
        <v>200138</v>
      </c>
      <c r="T151" t="b">
        <v>1</v>
      </c>
    </row>
    <row r="152" spans="2:20" x14ac:dyDescent="0.35">
      <c r="B152">
        <v>2019</v>
      </c>
      <c r="C152" s="41">
        <v>43374</v>
      </c>
      <c r="D152" t="s">
        <v>1336</v>
      </c>
      <c r="E152" t="s">
        <v>219</v>
      </c>
      <c r="F152" t="s">
        <v>460</v>
      </c>
      <c r="G152" t="s">
        <v>1299</v>
      </c>
      <c r="H152" t="s">
        <v>1334</v>
      </c>
      <c r="I152" t="s">
        <v>310</v>
      </c>
      <c r="J152">
        <v>2</v>
      </c>
      <c r="L152">
        <v>351.84</v>
      </c>
      <c r="M152">
        <v>599.61</v>
      </c>
      <c r="N152">
        <v>894.71</v>
      </c>
      <c r="O152">
        <v>1275.76</v>
      </c>
      <c r="P152">
        <v>1</v>
      </c>
      <c r="Q152">
        <v>2</v>
      </c>
      <c r="R152">
        <v>0</v>
      </c>
      <c r="S152">
        <v>200138</v>
      </c>
      <c r="T152" t="b">
        <v>1</v>
      </c>
    </row>
    <row r="153" spans="2:20" x14ac:dyDescent="0.35">
      <c r="B153">
        <v>2019</v>
      </c>
      <c r="C153" s="41">
        <v>43374</v>
      </c>
      <c r="D153" t="s">
        <v>1336</v>
      </c>
      <c r="E153" t="s">
        <v>219</v>
      </c>
      <c r="F153" t="s">
        <v>1310</v>
      </c>
      <c r="G153" t="s">
        <v>1299</v>
      </c>
      <c r="H153" t="s">
        <v>1334</v>
      </c>
      <c r="I153" t="s">
        <v>310</v>
      </c>
      <c r="J153">
        <v>2</v>
      </c>
      <c r="L153">
        <v>451.59</v>
      </c>
      <c r="M153">
        <v>769.6</v>
      </c>
      <c r="N153">
        <v>1148.3799999999901</v>
      </c>
      <c r="O153">
        <v>1637.46</v>
      </c>
      <c r="P153">
        <v>1</v>
      </c>
      <c r="Q153">
        <v>2</v>
      </c>
      <c r="R153">
        <v>0</v>
      </c>
      <c r="S153">
        <v>200138</v>
      </c>
      <c r="T153" t="b">
        <v>1</v>
      </c>
    </row>
    <row r="154" spans="2:20" x14ac:dyDescent="0.35">
      <c r="B154">
        <v>2019</v>
      </c>
      <c r="C154" s="41">
        <v>43374</v>
      </c>
      <c r="D154" t="s">
        <v>1336</v>
      </c>
      <c r="E154" t="s">
        <v>219</v>
      </c>
      <c r="F154" t="s">
        <v>1309</v>
      </c>
      <c r="G154" t="s">
        <v>1299</v>
      </c>
      <c r="H154" t="s">
        <v>1334</v>
      </c>
      <c r="I154" t="s">
        <v>310</v>
      </c>
      <c r="J154">
        <v>2</v>
      </c>
      <c r="L154">
        <v>347.97</v>
      </c>
      <c r="M154">
        <v>593.02</v>
      </c>
      <c r="N154">
        <v>884.88</v>
      </c>
      <c r="O154">
        <v>1261.74</v>
      </c>
      <c r="P154">
        <v>1</v>
      </c>
      <c r="Q154">
        <v>2</v>
      </c>
      <c r="R154">
        <v>0</v>
      </c>
      <c r="S154">
        <v>200138</v>
      </c>
      <c r="T154" t="b">
        <v>1</v>
      </c>
    </row>
    <row r="155" spans="2:20" x14ac:dyDescent="0.35">
      <c r="B155">
        <v>2019</v>
      </c>
      <c r="C155" s="41">
        <v>43374</v>
      </c>
      <c r="D155" t="s">
        <v>1337</v>
      </c>
      <c r="E155" t="s">
        <v>219</v>
      </c>
      <c r="F155" t="s">
        <v>1309</v>
      </c>
      <c r="G155" t="s">
        <v>1299</v>
      </c>
      <c r="H155" t="s">
        <v>1334</v>
      </c>
      <c r="I155" t="s">
        <v>310</v>
      </c>
      <c r="J155">
        <v>2</v>
      </c>
      <c r="L155">
        <v>347.97</v>
      </c>
      <c r="M155">
        <v>593.02</v>
      </c>
      <c r="N155">
        <v>884.88</v>
      </c>
      <c r="O155">
        <v>1261.74</v>
      </c>
      <c r="P155">
        <v>0</v>
      </c>
      <c r="Q155">
        <v>2</v>
      </c>
      <c r="R155">
        <v>0</v>
      </c>
      <c r="S155">
        <v>200138</v>
      </c>
      <c r="T155" t="b">
        <v>1</v>
      </c>
    </row>
    <row r="156" spans="2:20" x14ac:dyDescent="0.35">
      <c r="B156">
        <v>2019</v>
      </c>
      <c r="C156" s="41">
        <v>43374</v>
      </c>
      <c r="D156" t="s">
        <v>1337</v>
      </c>
      <c r="E156" t="s">
        <v>219</v>
      </c>
      <c r="F156" t="s">
        <v>1307</v>
      </c>
      <c r="G156" t="s">
        <v>1299</v>
      </c>
      <c r="H156" t="s">
        <v>1334</v>
      </c>
      <c r="I156" t="s">
        <v>310</v>
      </c>
      <c r="J156">
        <v>2</v>
      </c>
      <c r="L156">
        <v>315.88</v>
      </c>
      <c r="M156">
        <v>538.33000000000004</v>
      </c>
      <c r="N156">
        <v>803.27</v>
      </c>
      <c r="O156">
        <v>1145.3800000000001</v>
      </c>
      <c r="P156">
        <v>0</v>
      </c>
      <c r="Q156">
        <v>2</v>
      </c>
      <c r="R156">
        <v>0</v>
      </c>
      <c r="S156">
        <v>200138</v>
      </c>
      <c r="T156" t="b">
        <v>1</v>
      </c>
    </row>
    <row r="157" spans="2:20" x14ac:dyDescent="0.35">
      <c r="B157">
        <v>2019</v>
      </c>
      <c r="C157" s="41">
        <v>43374</v>
      </c>
      <c r="D157" t="s">
        <v>1337</v>
      </c>
      <c r="E157" t="s">
        <v>219</v>
      </c>
      <c r="F157" t="s">
        <v>463</v>
      </c>
      <c r="G157" t="s">
        <v>1299</v>
      </c>
      <c r="H157" t="s">
        <v>1334</v>
      </c>
      <c r="I157" t="s">
        <v>310</v>
      </c>
      <c r="J157">
        <v>2</v>
      </c>
      <c r="L157">
        <v>292.3</v>
      </c>
      <c r="M157">
        <v>498.13</v>
      </c>
      <c r="N157">
        <v>743.3</v>
      </c>
      <c r="O157">
        <v>1059.8599999999999</v>
      </c>
      <c r="P157">
        <v>0</v>
      </c>
      <c r="Q157">
        <v>2</v>
      </c>
      <c r="R157">
        <v>0</v>
      </c>
      <c r="S157">
        <v>200138</v>
      </c>
      <c r="T157" t="b">
        <v>1</v>
      </c>
    </row>
    <row r="158" spans="2:20" x14ac:dyDescent="0.35">
      <c r="B158">
        <v>2019</v>
      </c>
      <c r="C158" s="41">
        <v>43374</v>
      </c>
      <c r="D158" t="s">
        <v>1337</v>
      </c>
      <c r="E158" t="s">
        <v>219</v>
      </c>
      <c r="F158" t="s">
        <v>1311</v>
      </c>
      <c r="G158" t="s">
        <v>1299</v>
      </c>
      <c r="H158" t="s">
        <v>1334</v>
      </c>
      <c r="I158" t="s">
        <v>310</v>
      </c>
      <c r="J158">
        <v>2</v>
      </c>
      <c r="L158">
        <v>337.92</v>
      </c>
      <c r="M158">
        <v>575.89</v>
      </c>
      <c r="N158">
        <v>859.31</v>
      </c>
      <c r="O158">
        <v>1225.28</v>
      </c>
      <c r="P158">
        <v>0</v>
      </c>
      <c r="Q158">
        <v>2</v>
      </c>
      <c r="R158">
        <v>0</v>
      </c>
      <c r="S158">
        <v>200138</v>
      </c>
      <c r="T158" t="b">
        <v>1</v>
      </c>
    </row>
    <row r="159" spans="2:20" x14ac:dyDescent="0.35">
      <c r="B159">
        <v>2019</v>
      </c>
      <c r="C159" s="41">
        <v>43374</v>
      </c>
      <c r="D159" t="s">
        <v>1337</v>
      </c>
      <c r="E159" t="s">
        <v>219</v>
      </c>
      <c r="F159" t="s">
        <v>462</v>
      </c>
      <c r="G159" t="s">
        <v>1299</v>
      </c>
      <c r="H159" t="s">
        <v>1334</v>
      </c>
      <c r="I159" t="s">
        <v>310</v>
      </c>
      <c r="J159">
        <v>2</v>
      </c>
      <c r="L159">
        <v>357.25</v>
      </c>
      <c r="M159">
        <v>608.83000000000004</v>
      </c>
      <c r="N159">
        <v>908.47</v>
      </c>
      <c r="O159">
        <v>1295.3800000000001</v>
      </c>
      <c r="P159">
        <v>0</v>
      </c>
      <c r="Q159">
        <v>2</v>
      </c>
      <c r="R159">
        <v>0</v>
      </c>
      <c r="S159">
        <v>200138</v>
      </c>
      <c r="T159" t="b">
        <v>1</v>
      </c>
    </row>
    <row r="160" spans="2:20" x14ac:dyDescent="0.35">
      <c r="B160">
        <v>2019</v>
      </c>
      <c r="C160" s="41">
        <v>43374</v>
      </c>
      <c r="D160" t="s">
        <v>1337</v>
      </c>
      <c r="E160" t="s">
        <v>219</v>
      </c>
      <c r="F160" t="s">
        <v>459</v>
      </c>
      <c r="G160" t="s">
        <v>1299</v>
      </c>
      <c r="H160" t="s">
        <v>1334</v>
      </c>
      <c r="I160" t="s">
        <v>310</v>
      </c>
      <c r="J160">
        <v>2</v>
      </c>
      <c r="L160">
        <v>290.37</v>
      </c>
      <c r="M160">
        <v>494.84</v>
      </c>
      <c r="N160">
        <v>738.39</v>
      </c>
      <c r="O160">
        <v>1052.8599999999999</v>
      </c>
      <c r="P160">
        <v>0</v>
      </c>
      <c r="Q160">
        <v>2</v>
      </c>
      <c r="R160">
        <v>0</v>
      </c>
      <c r="S160">
        <v>200138</v>
      </c>
      <c r="T160" t="b">
        <v>1</v>
      </c>
    </row>
    <row r="161" spans="2:20" x14ac:dyDescent="0.35">
      <c r="B161">
        <v>2019</v>
      </c>
      <c r="C161" s="41">
        <v>43374</v>
      </c>
      <c r="D161" t="s">
        <v>1337</v>
      </c>
      <c r="E161" t="s">
        <v>219</v>
      </c>
      <c r="F161" t="s">
        <v>460</v>
      </c>
      <c r="G161" t="s">
        <v>1299</v>
      </c>
      <c r="H161" t="s">
        <v>1334</v>
      </c>
      <c r="I161" t="s">
        <v>310</v>
      </c>
      <c r="J161">
        <v>2</v>
      </c>
      <c r="L161">
        <v>351.84</v>
      </c>
      <c r="M161">
        <v>599.61</v>
      </c>
      <c r="N161">
        <v>894.71</v>
      </c>
      <c r="O161">
        <v>1275.76</v>
      </c>
      <c r="P161">
        <v>0</v>
      </c>
      <c r="Q161">
        <v>2</v>
      </c>
      <c r="R161">
        <v>0</v>
      </c>
      <c r="S161">
        <v>200138</v>
      </c>
      <c r="T161" t="b">
        <v>1</v>
      </c>
    </row>
    <row r="162" spans="2:20" x14ac:dyDescent="0.35">
      <c r="B162">
        <v>2019</v>
      </c>
      <c r="C162" s="41">
        <v>43374</v>
      </c>
      <c r="D162" t="s">
        <v>1337</v>
      </c>
      <c r="E162" t="s">
        <v>219</v>
      </c>
      <c r="F162" t="s">
        <v>1310</v>
      </c>
      <c r="G162" t="s">
        <v>1299</v>
      </c>
      <c r="H162" t="s">
        <v>1334</v>
      </c>
      <c r="I162" t="s">
        <v>310</v>
      </c>
      <c r="J162">
        <v>2</v>
      </c>
      <c r="L162">
        <v>451.59</v>
      </c>
      <c r="M162">
        <v>769.6</v>
      </c>
      <c r="N162">
        <v>1148.3799999999901</v>
      </c>
      <c r="O162">
        <v>1637.46</v>
      </c>
      <c r="P162">
        <v>0</v>
      </c>
      <c r="Q162">
        <v>2</v>
      </c>
      <c r="R162">
        <v>0</v>
      </c>
      <c r="S162">
        <v>200138</v>
      </c>
      <c r="T162" t="b">
        <v>1</v>
      </c>
    </row>
    <row r="163" spans="2:20" x14ac:dyDescent="0.35">
      <c r="B163">
        <v>2019</v>
      </c>
      <c r="C163" s="41">
        <v>43399</v>
      </c>
      <c r="D163" t="s">
        <v>1338</v>
      </c>
      <c r="E163" t="s">
        <v>219</v>
      </c>
      <c r="F163" t="s">
        <v>1298</v>
      </c>
      <c r="G163" t="s">
        <v>1299</v>
      </c>
      <c r="H163" t="s">
        <v>1323</v>
      </c>
      <c r="I163" t="s">
        <v>310</v>
      </c>
      <c r="J163">
        <v>2</v>
      </c>
      <c r="L163">
        <v>359.13</v>
      </c>
      <c r="M163">
        <v>612.02</v>
      </c>
      <c r="N163">
        <v>913.24</v>
      </c>
      <c r="O163">
        <v>1302.1799999999901</v>
      </c>
      <c r="P163">
        <v>1</v>
      </c>
      <c r="Q163">
        <v>1</v>
      </c>
      <c r="R163">
        <v>0</v>
      </c>
      <c r="S163">
        <v>200138</v>
      </c>
      <c r="T163" t="b">
        <v>1</v>
      </c>
    </row>
    <row r="164" spans="2:20" x14ac:dyDescent="0.35">
      <c r="B164">
        <v>2019</v>
      </c>
      <c r="C164" s="41">
        <v>43399</v>
      </c>
      <c r="D164" t="s">
        <v>1338</v>
      </c>
      <c r="E164" t="s">
        <v>219</v>
      </c>
      <c r="F164" t="s">
        <v>1302</v>
      </c>
      <c r="G164" t="s">
        <v>1299</v>
      </c>
      <c r="H164" t="s">
        <v>1323</v>
      </c>
      <c r="I164" t="s">
        <v>310</v>
      </c>
      <c r="J164">
        <v>2</v>
      </c>
      <c r="L164">
        <v>342.03</v>
      </c>
      <c r="M164">
        <v>582.88</v>
      </c>
      <c r="N164">
        <v>869.76</v>
      </c>
      <c r="O164">
        <v>1240.18</v>
      </c>
      <c r="P164">
        <v>1</v>
      </c>
      <c r="Q164">
        <v>1</v>
      </c>
      <c r="R164">
        <v>0</v>
      </c>
      <c r="S164">
        <v>200138</v>
      </c>
      <c r="T164" t="b">
        <v>1</v>
      </c>
    </row>
    <row r="165" spans="2:20" x14ac:dyDescent="0.35">
      <c r="B165">
        <v>2019</v>
      </c>
      <c r="C165" s="41">
        <v>43399</v>
      </c>
      <c r="D165" t="s">
        <v>1339</v>
      </c>
      <c r="E165" t="s">
        <v>219</v>
      </c>
      <c r="F165" t="s">
        <v>1302</v>
      </c>
      <c r="G165" t="s">
        <v>1299</v>
      </c>
      <c r="H165" t="s">
        <v>1323</v>
      </c>
      <c r="I165" t="s">
        <v>310</v>
      </c>
      <c r="J165">
        <v>2</v>
      </c>
      <c r="L165">
        <v>342.03</v>
      </c>
      <c r="M165">
        <v>582.88</v>
      </c>
      <c r="N165">
        <v>869.76</v>
      </c>
      <c r="O165">
        <v>1240.18</v>
      </c>
      <c r="P165">
        <v>1</v>
      </c>
      <c r="Q165">
        <v>1</v>
      </c>
      <c r="R165">
        <v>0</v>
      </c>
      <c r="S165">
        <v>200138</v>
      </c>
      <c r="T165" t="b">
        <v>1</v>
      </c>
    </row>
    <row r="166" spans="2:20" x14ac:dyDescent="0.35">
      <c r="B166">
        <v>2019</v>
      </c>
      <c r="C166" s="41">
        <v>43399</v>
      </c>
      <c r="D166" t="s">
        <v>1339</v>
      </c>
      <c r="E166" t="s">
        <v>219</v>
      </c>
      <c r="F166" t="s">
        <v>1301</v>
      </c>
      <c r="G166" t="s">
        <v>1299</v>
      </c>
      <c r="H166" t="s">
        <v>1323</v>
      </c>
      <c r="I166" t="s">
        <v>310</v>
      </c>
      <c r="J166">
        <v>2</v>
      </c>
      <c r="L166">
        <v>379.2</v>
      </c>
      <c r="M166">
        <v>646.24</v>
      </c>
      <c r="N166">
        <v>964.28</v>
      </c>
      <c r="O166">
        <v>1374.96</v>
      </c>
      <c r="P166">
        <v>1</v>
      </c>
      <c r="Q166">
        <v>1</v>
      </c>
      <c r="R166">
        <v>0</v>
      </c>
      <c r="S166">
        <v>200138</v>
      </c>
      <c r="T166" t="b">
        <v>1</v>
      </c>
    </row>
    <row r="167" spans="2:20" x14ac:dyDescent="0.35">
      <c r="B167">
        <v>2019</v>
      </c>
      <c r="C167" s="41">
        <v>43399</v>
      </c>
      <c r="D167" t="s">
        <v>1339</v>
      </c>
      <c r="E167" t="s">
        <v>219</v>
      </c>
      <c r="F167" t="s">
        <v>1298</v>
      </c>
      <c r="G167" t="s">
        <v>1299</v>
      </c>
      <c r="H167" t="s">
        <v>1323</v>
      </c>
      <c r="I167" t="s">
        <v>310</v>
      </c>
      <c r="J167">
        <v>2</v>
      </c>
      <c r="L167">
        <v>359.13</v>
      </c>
      <c r="M167">
        <v>612.02</v>
      </c>
      <c r="N167">
        <v>913.24</v>
      </c>
      <c r="O167">
        <v>1302.1799999999901</v>
      </c>
      <c r="P167">
        <v>1</v>
      </c>
      <c r="Q167">
        <v>1</v>
      </c>
      <c r="R167">
        <v>0</v>
      </c>
      <c r="S167">
        <v>200138</v>
      </c>
      <c r="T167" t="b">
        <v>1</v>
      </c>
    </row>
    <row r="168" spans="2:20" x14ac:dyDescent="0.35">
      <c r="B168">
        <v>2019</v>
      </c>
      <c r="C168" s="41">
        <v>43399</v>
      </c>
      <c r="D168" t="s">
        <v>1338</v>
      </c>
      <c r="E168" t="s">
        <v>219</v>
      </c>
      <c r="F168" t="s">
        <v>461</v>
      </c>
      <c r="G168" t="s">
        <v>1299</v>
      </c>
      <c r="H168" t="s">
        <v>1323</v>
      </c>
      <c r="I168" t="s">
        <v>310</v>
      </c>
      <c r="J168">
        <v>2</v>
      </c>
      <c r="L168">
        <v>303.73</v>
      </c>
      <c r="M168">
        <v>517.62</v>
      </c>
      <c r="N168">
        <v>772.37</v>
      </c>
      <c r="O168">
        <v>1101.32</v>
      </c>
      <c r="P168">
        <v>1</v>
      </c>
      <c r="Q168">
        <v>1</v>
      </c>
      <c r="R168">
        <v>0</v>
      </c>
      <c r="S168">
        <v>200138</v>
      </c>
      <c r="T168" t="b">
        <v>1</v>
      </c>
    </row>
    <row r="169" spans="2:20" x14ac:dyDescent="0.35">
      <c r="B169">
        <v>2019</v>
      </c>
      <c r="C169" s="41">
        <v>43399</v>
      </c>
      <c r="D169" t="s">
        <v>1339</v>
      </c>
      <c r="E169" t="s">
        <v>219</v>
      </c>
      <c r="F169" t="s">
        <v>461</v>
      </c>
      <c r="G169" t="s">
        <v>1299</v>
      </c>
      <c r="H169" t="s">
        <v>1323</v>
      </c>
      <c r="I169" t="s">
        <v>310</v>
      </c>
      <c r="J169">
        <v>2</v>
      </c>
      <c r="L169">
        <v>303.73</v>
      </c>
      <c r="M169">
        <v>517.62</v>
      </c>
      <c r="N169">
        <v>772.37</v>
      </c>
      <c r="O169">
        <v>1101.32</v>
      </c>
      <c r="P169">
        <v>1</v>
      </c>
      <c r="Q169">
        <v>1</v>
      </c>
      <c r="R169">
        <v>0</v>
      </c>
      <c r="S169">
        <v>200138</v>
      </c>
      <c r="T169" t="b">
        <v>1</v>
      </c>
    </row>
    <row r="170" spans="2:20" x14ac:dyDescent="0.35">
      <c r="B170">
        <v>2019</v>
      </c>
      <c r="C170" s="41">
        <v>43399</v>
      </c>
      <c r="D170" t="s">
        <v>1338</v>
      </c>
      <c r="E170" t="s">
        <v>219</v>
      </c>
      <c r="F170" t="s">
        <v>1301</v>
      </c>
      <c r="G170" t="s">
        <v>1299</v>
      </c>
      <c r="H170" t="s">
        <v>1323</v>
      </c>
      <c r="I170" t="s">
        <v>310</v>
      </c>
      <c r="J170">
        <v>2</v>
      </c>
      <c r="L170">
        <v>379.2</v>
      </c>
      <c r="M170">
        <v>646.24</v>
      </c>
      <c r="N170">
        <v>964.28</v>
      </c>
      <c r="O170">
        <v>1374.96</v>
      </c>
      <c r="P170">
        <v>1</v>
      </c>
      <c r="Q170">
        <v>1</v>
      </c>
      <c r="R170">
        <v>0</v>
      </c>
      <c r="S170">
        <v>200138</v>
      </c>
      <c r="T170" t="b">
        <v>1</v>
      </c>
    </row>
    <row r="171" spans="2:20" x14ac:dyDescent="0.35">
      <c r="B171">
        <v>2019</v>
      </c>
      <c r="C171" s="41">
        <v>43399</v>
      </c>
      <c r="D171" t="s">
        <v>1340</v>
      </c>
      <c r="E171" t="s">
        <v>219</v>
      </c>
      <c r="F171" t="s">
        <v>1298</v>
      </c>
      <c r="G171" t="s">
        <v>1299</v>
      </c>
      <c r="H171" t="s">
        <v>1323</v>
      </c>
      <c r="I171" t="s">
        <v>310</v>
      </c>
      <c r="J171">
        <v>2</v>
      </c>
      <c r="L171">
        <v>359.13</v>
      </c>
      <c r="M171">
        <v>612.02</v>
      </c>
      <c r="N171">
        <v>913.24</v>
      </c>
      <c r="O171">
        <v>1302.1799999999901</v>
      </c>
      <c r="P171">
        <v>1</v>
      </c>
      <c r="Q171">
        <v>1</v>
      </c>
      <c r="R171">
        <v>0</v>
      </c>
      <c r="S171">
        <v>200138</v>
      </c>
      <c r="T171" t="b">
        <v>1</v>
      </c>
    </row>
    <row r="172" spans="2:20" x14ac:dyDescent="0.35">
      <c r="B172">
        <v>2019</v>
      </c>
      <c r="C172" s="41">
        <v>43399</v>
      </c>
      <c r="D172" t="s">
        <v>1340</v>
      </c>
      <c r="E172" t="s">
        <v>219</v>
      </c>
      <c r="F172" t="s">
        <v>1301</v>
      </c>
      <c r="G172" t="s">
        <v>1299</v>
      </c>
      <c r="H172" t="s">
        <v>1323</v>
      </c>
      <c r="I172" t="s">
        <v>310</v>
      </c>
      <c r="J172">
        <v>2</v>
      </c>
      <c r="L172">
        <v>379.2</v>
      </c>
      <c r="M172">
        <v>646.24</v>
      </c>
      <c r="N172">
        <v>964.28</v>
      </c>
      <c r="O172">
        <v>1374.96</v>
      </c>
      <c r="P172">
        <v>1</v>
      </c>
      <c r="Q172">
        <v>1</v>
      </c>
      <c r="R172">
        <v>0</v>
      </c>
      <c r="S172">
        <v>200138</v>
      </c>
      <c r="T172" t="b">
        <v>1</v>
      </c>
    </row>
    <row r="173" spans="2:20" x14ac:dyDescent="0.35">
      <c r="B173">
        <v>2019</v>
      </c>
      <c r="C173" s="41">
        <v>43399</v>
      </c>
      <c r="D173" t="s">
        <v>1340</v>
      </c>
      <c r="E173" t="s">
        <v>219</v>
      </c>
      <c r="F173" t="s">
        <v>1302</v>
      </c>
      <c r="G173" t="s">
        <v>1299</v>
      </c>
      <c r="H173" t="s">
        <v>1323</v>
      </c>
      <c r="I173" t="s">
        <v>310</v>
      </c>
      <c r="J173">
        <v>2</v>
      </c>
      <c r="L173">
        <v>342.03</v>
      </c>
      <c r="M173">
        <v>582.88</v>
      </c>
      <c r="N173">
        <v>869.76</v>
      </c>
      <c r="O173">
        <v>1240.18</v>
      </c>
      <c r="P173">
        <v>1</v>
      </c>
      <c r="Q173">
        <v>1</v>
      </c>
      <c r="R173">
        <v>0</v>
      </c>
      <c r="S173">
        <v>200138</v>
      </c>
      <c r="T173" t="b">
        <v>1</v>
      </c>
    </row>
    <row r="174" spans="2:20" x14ac:dyDescent="0.35">
      <c r="B174">
        <v>2019</v>
      </c>
      <c r="C174" s="41">
        <v>43399</v>
      </c>
      <c r="D174" t="s">
        <v>1227</v>
      </c>
      <c r="E174" t="s">
        <v>219</v>
      </c>
      <c r="F174" t="s">
        <v>1302</v>
      </c>
      <c r="G174" t="s">
        <v>1299</v>
      </c>
      <c r="H174" t="s">
        <v>1321</v>
      </c>
      <c r="I174" t="s">
        <v>842</v>
      </c>
      <c r="J174">
        <v>2</v>
      </c>
      <c r="L174">
        <v>293.8</v>
      </c>
      <c r="M174">
        <v>500.69</v>
      </c>
      <c r="N174">
        <v>747.11</v>
      </c>
      <c r="O174">
        <v>1065.3</v>
      </c>
      <c r="P174">
        <v>0</v>
      </c>
      <c r="Q174">
        <v>3</v>
      </c>
      <c r="R174">
        <v>0</v>
      </c>
      <c r="S174">
        <v>200138</v>
      </c>
      <c r="T174" t="b">
        <v>1</v>
      </c>
    </row>
    <row r="175" spans="2:20" x14ac:dyDescent="0.35">
      <c r="B175">
        <v>2019</v>
      </c>
      <c r="C175" s="41">
        <v>43399</v>
      </c>
      <c r="D175" t="s">
        <v>1227</v>
      </c>
      <c r="E175" t="s">
        <v>219</v>
      </c>
      <c r="F175" t="s">
        <v>1298</v>
      </c>
      <c r="G175" t="s">
        <v>1299</v>
      </c>
      <c r="H175" t="s">
        <v>1321</v>
      </c>
      <c r="I175" t="s">
        <v>842</v>
      </c>
      <c r="J175">
        <v>2</v>
      </c>
      <c r="L175">
        <v>308.49</v>
      </c>
      <c r="M175">
        <v>525.73</v>
      </c>
      <c r="N175">
        <v>784.48</v>
      </c>
      <c r="O175">
        <v>1118.58</v>
      </c>
      <c r="P175">
        <v>0</v>
      </c>
      <c r="Q175">
        <v>3</v>
      </c>
      <c r="R175">
        <v>0</v>
      </c>
      <c r="S175">
        <v>200138</v>
      </c>
      <c r="T175" t="b">
        <v>1</v>
      </c>
    </row>
    <row r="176" spans="2:20" x14ac:dyDescent="0.35">
      <c r="B176">
        <v>2019</v>
      </c>
      <c r="C176" s="41">
        <v>43399</v>
      </c>
      <c r="D176" t="s">
        <v>1340</v>
      </c>
      <c r="E176" t="s">
        <v>219</v>
      </c>
      <c r="F176" t="s">
        <v>461</v>
      </c>
      <c r="G176" t="s">
        <v>1299</v>
      </c>
      <c r="H176" t="s">
        <v>1323</v>
      </c>
      <c r="I176" t="s">
        <v>310</v>
      </c>
      <c r="J176">
        <v>2</v>
      </c>
      <c r="L176">
        <v>303.73</v>
      </c>
      <c r="M176">
        <v>517.62</v>
      </c>
      <c r="N176">
        <v>772.37</v>
      </c>
      <c r="O176">
        <v>1101.32</v>
      </c>
      <c r="P176">
        <v>1</v>
      </c>
      <c r="Q176">
        <v>1</v>
      </c>
      <c r="R176">
        <v>0</v>
      </c>
      <c r="S176">
        <v>200138</v>
      </c>
      <c r="T176" t="b">
        <v>1</v>
      </c>
    </row>
    <row r="177" spans="2:20" x14ac:dyDescent="0.35">
      <c r="B177">
        <v>2019</v>
      </c>
      <c r="C177" s="41">
        <v>43399</v>
      </c>
      <c r="D177" t="s">
        <v>1227</v>
      </c>
      <c r="E177" t="s">
        <v>219</v>
      </c>
      <c r="F177" t="s">
        <v>1301</v>
      </c>
      <c r="G177" t="s">
        <v>1299</v>
      </c>
      <c r="H177" t="s">
        <v>1321</v>
      </c>
      <c r="I177" t="s">
        <v>842</v>
      </c>
      <c r="J177">
        <v>2</v>
      </c>
      <c r="L177">
        <v>325.74</v>
      </c>
      <c r="M177">
        <v>555.12</v>
      </c>
      <c r="N177">
        <v>828.31999999999903</v>
      </c>
      <c r="O177">
        <v>1181.0999999999999</v>
      </c>
      <c r="P177">
        <v>0</v>
      </c>
      <c r="Q177">
        <v>3</v>
      </c>
      <c r="R177">
        <v>0</v>
      </c>
      <c r="S177">
        <v>200138</v>
      </c>
      <c r="T177" t="b">
        <v>1</v>
      </c>
    </row>
    <row r="178" spans="2:20" x14ac:dyDescent="0.35">
      <c r="B178">
        <v>2019</v>
      </c>
      <c r="C178" s="41">
        <v>43399</v>
      </c>
      <c r="D178" t="s">
        <v>1227</v>
      </c>
      <c r="E178" t="s">
        <v>219</v>
      </c>
      <c r="F178" t="s">
        <v>461</v>
      </c>
      <c r="G178" t="s">
        <v>1299</v>
      </c>
      <c r="H178" t="s">
        <v>1321</v>
      </c>
      <c r="I178" t="s">
        <v>842</v>
      </c>
      <c r="J178">
        <v>2</v>
      </c>
      <c r="L178">
        <v>260.91000000000003</v>
      </c>
      <c r="M178">
        <v>444.64</v>
      </c>
      <c r="N178">
        <v>663.47</v>
      </c>
      <c r="O178">
        <v>946.04</v>
      </c>
      <c r="P178">
        <v>0</v>
      </c>
      <c r="Q178">
        <v>3</v>
      </c>
      <c r="R178">
        <v>0</v>
      </c>
      <c r="S178">
        <v>200138</v>
      </c>
      <c r="T178" t="b">
        <v>1</v>
      </c>
    </row>
    <row r="179" spans="2:20" x14ac:dyDescent="0.35">
      <c r="B179">
        <v>2019</v>
      </c>
      <c r="C179" s="41">
        <v>43399</v>
      </c>
      <c r="D179" t="s">
        <v>1341</v>
      </c>
      <c r="E179" t="s">
        <v>219</v>
      </c>
      <c r="F179" t="s">
        <v>1301</v>
      </c>
      <c r="G179" t="s">
        <v>1299</v>
      </c>
      <c r="H179" t="s">
        <v>1330</v>
      </c>
      <c r="I179" t="s">
        <v>310</v>
      </c>
      <c r="J179">
        <v>2</v>
      </c>
      <c r="L179">
        <v>389.82</v>
      </c>
      <c r="M179">
        <v>664.33</v>
      </c>
      <c r="N179">
        <v>991.28</v>
      </c>
      <c r="O179">
        <v>1413.46</v>
      </c>
      <c r="P179">
        <v>1</v>
      </c>
      <c r="Q179">
        <v>1</v>
      </c>
      <c r="R179">
        <v>0</v>
      </c>
      <c r="S179">
        <v>200138</v>
      </c>
      <c r="T179" t="b">
        <v>1</v>
      </c>
    </row>
    <row r="180" spans="2:20" x14ac:dyDescent="0.35">
      <c r="B180">
        <v>2019</v>
      </c>
      <c r="C180" s="41">
        <v>43399</v>
      </c>
      <c r="D180" t="s">
        <v>1341</v>
      </c>
      <c r="E180" t="s">
        <v>219</v>
      </c>
      <c r="F180" t="s">
        <v>461</v>
      </c>
      <c r="G180" t="s">
        <v>1299</v>
      </c>
      <c r="H180" t="s">
        <v>1330</v>
      </c>
      <c r="I180" t="s">
        <v>310</v>
      </c>
      <c r="J180">
        <v>2</v>
      </c>
      <c r="L180">
        <v>312.24</v>
      </c>
      <c r="M180">
        <v>532.12</v>
      </c>
      <c r="N180">
        <v>794</v>
      </c>
      <c r="O180">
        <v>1132.1600000000001</v>
      </c>
      <c r="P180">
        <v>1</v>
      </c>
      <c r="Q180">
        <v>1</v>
      </c>
      <c r="R180">
        <v>0</v>
      </c>
      <c r="S180">
        <v>200138</v>
      </c>
      <c r="T180" t="b">
        <v>1</v>
      </c>
    </row>
    <row r="181" spans="2:20" x14ac:dyDescent="0.35">
      <c r="B181">
        <v>2019</v>
      </c>
      <c r="C181" s="41">
        <v>43399</v>
      </c>
      <c r="D181" t="s">
        <v>1341</v>
      </c>
      <c r="E181" t="s">
        <v>219</v>
      </c>
      <c r="F181" t="s">
        <v>1298</v>
      </c>
      <c r="G181" t="s">
        <v>1299</v>
      </c>
      <c r="H181" t="s">
        <v>1330</v>
      </c>
      <c r="I181" t="s">
        <v>310</v>
      </c>
      <c r="J181">
        <v>2</v>
      </c>
      <c r="L181">
        <v>369.18</v>
      </c>
      <c r="M181">
        <v>629.16</v>
      </c>
      <c r="N181">
        <v>938.81</v>
      </c>
      <c r="O181">
        <v>1338.6399999999901</v>
      </c>
      <c r="P181">
        <v>1</v>
      </c>
      <c r="Q181">
        <v>1</v>
      </c>
      <c r="R181">
        <v>0</v>
      </c>
      <c r="S181">
        <v>200138</v>
      </c>
      <c r="T181" t="b">
        <v>1</v>
      </c>
    </row>
    <row r="182" spans="2:20" x14ac:dyDescent="0.35">
      <c r="B182">
        <v>2019</v>
      </c>
      <c r="C182" s="41">
        <v>43399</v>
      </c>
      <c r="D182" t="s">
        <v>1224</v>
      </c>
      <c r="E182" t="s">
        <v>219</v>
      </c>
      <c r="F182" t="s">
        <v>1302</v>
      </c>
      <c r="G182" t="s">
        <v>1299</v>
      </c>
      <c r="H182" t="s">
        <v>1330</v>
      </c>
      <c r="I182" t="s">
        <v>310</v>
      </c>
      <c r="J182">
        <v>2</v>
      </c>
      <c r="L182">
        <v>351.6</v>
      </c>
      <c r="M182">
        <v>599.20000000000005</v>
      </c>
      <c r="N182">
        <v>894.11</v>
      </c>
      <c r="O182">
        <v>1274.9000000000001</v>
      </c>
      <c r="P182">
        <v>0</v>
      </c>
      <c r="Q182">
        <v>3</v>
      </c>
      <c r="R182">
        <v>0</v>
      </c>
      <c r="S182">
        <v>200138</v>
      </c>
      <c r="T182" t="b">
        <v>1</v>
      </c>
    </row>
    <row r="183" spans="2:20" x14ac:dyDescent="0.35">
      <c r="B183">
        <v>2019</v>
      </c>
      <c r="C183" s="41">
        <v>43399</v>
      </c>
      <c r="D183" t="s">
        <v>1341</v>
      </c>
      <c r="E183" t="s">
        <v>219</v>
      </c>
      <c r="F183" t="s">
        <v>1302</v>
      </c>
      <c r="G183" t="s">
        <v>1299</v>
      </c>
      <c r="H183" t="s">
        <v>1330</v>
      </c>
      <c r="I183" t="s">
        <v>310</v>
      </c>
      <c r="J183">
        <v>2</v>
      </c>
      <c r="L183">
        <v>351.6</v>
      </c>
      <c r="M183">
        <v>599.20000000000005</v>
      </c>
      <c r="N183">
        <v>894.11</v>
      </c>
      <c r="O183">
        <v>1274.9000000000001</v>
      </c>
      <c r="P183">
        <v>1</v>
      </c>
      <c r="Q183">
        <v>1</v>
      </c>
      <c r="R183">
        <v>0</v>
      </c>
      <c r="S183">
        <v>200138</v>
      </c>
      <c r="T183" t="b">
        <v>1</v>
      </c>
    </row>
    <row r="184" spans="2:20" x14ac:dyDescent="0.35">
      <c r="B184">
        <v>2019</v>
      </c>
      <c r="C184" s="41">
        <v>43399</v>
      </c>
      <c r="D184" t="s">
        <v>1224</v>
      </c>
      <c r="E184" t="s">
        <v>219</v>
      </c>
      <c r="F184" t="s">
        <v>1301</v>
      </c>
      <c r="G184" t="s">
        <v>1299</v>
      </c>
      <c r="H184" t="s">
        <v>1330</v>
      </c>
      <c r="I184" t="s">
        <v>310</v>
      </c>
      <c r="J184">
        <v>2</v>
      </c>
      <c r="L184">
        <v>389.82</v>
      </c>
      <c r="M184">
        <v>664.33</v>
      </c>
      <c r="N184">
        <v>991.28</v>
      </c>
      <c r="O184">
        <v>1413.46</v>
      </c>
      <c r="P184">
        <v>0</v>
      </c>
      <c r="Q184">
        <v>3</v>
      </c>
      <c r="R184">
        <v>0</v>
      </c>
      <c r="S184">
        <v>200138</v>
      </c>
      <c r="T184" t="b">
        <v>1</v>
      </c>
    </row>
    <row r="185" spans="2:20" x14ac:dyDescent="0.35">
      <c r="B185">
        <v>2019</v>
      </c>
      <c r="C185" s="41">
        <v>43399</v>
      </c>
      <c r="D185" t="s">
        <v>1224</v>
      </c>
      <c r="E185" t="s">
        <v>219</v>
      </c>
      <c r="F185" t="s">
        <v>461</v>
      </c>
      <c r="G185" t="s">
        <v>1299</v>
      </c>
      <c r="H185" t="s">
        <v>1330</v>
      </c>
      <c r="I185" t="s">
        <v>310</v>
      </c>
      <c r="J185">
        <v>2</v>
      </c>
      <c r="L185">
        <v>312.24</v>
      </c>
      <c r="M185">
        <v>532.12</v>
      </c>
      <c r="N185">
        <v>794</v>
      </c>
      <c r="O185">
        <v>1132.1600000000001</v>
      </c>
      <c r="P185">
        <v>0</v>
      </c>
      <c r="Q185">
        <v>3</v>
      </c>
      <c r="R185">
        <v>0</v>
      </c>
      <c r="S185">
        <v>200138</v>
      </c>
      <c r="T185" t="b">
        <v>1</v>
      </c>
    </row>
    <row r="186" spans="2:20" x14ac:dyDescent="0.35">
      <c r="B186">
        <v>2019</v>
      </c>
      <c r="C186" s="41">
        <v>43399</v>
      </c>
      <c r="D186" t="s">
        <v>1342</v>
      </c>
      <c r="E186" t="s">
        <v>219</v>
      </c>
      <c r="F186" t="s">
        <v>1302</v>
      </c>
      <c r="G186" t="s">
        <v>1299</v>
      </c>
      <c r="H186" t="s">
        <v>1334</v>
      </c>
      <c r="I186" t="s">
        <v>310</v>
      </c>
      <c r="J186">
        <v>2</v>
      </c>
      <c r="L186">
        <v>355.71</v>
      </c>
      <c r="M186">
        <v>606.20000000000005</v>
      </c>
      <c r="N186">
        <v>904.54</v>
      </c>
      <c r="O186">
        <v>1289.78</v>
      </c>
      <c r="P186">
        <v>1</v>
      </c>
      <c r="Q186">
        <v>1</v>
      </c>
      <c r="R186">
        <v>0</v>
      </c>
      <c r="S186">
        <v>200138</v>
      </c>
      <c r="T186" t="b">
        <v>1</v>
      </c>
    </row>
    <row r="187" spans="2:20" x14ac:dyDescent="0.35">
      <c r="B187">
        <v>2019</v>
      </c>
      <c r="C187" s="41">
        <v>43399</v>
      </c>
      <c r="D187" t="s">
        <v>1342</v>
      </c>
      <c r="E187" t="s">
        <v>219</v>
      </c>
      <c r="F187" t="s">
        <v>1298</v>
      </c>
      <c r="G187" t="s">
        <v>1299</v>
      </c>
      <c r="H187" t="s">
        <v>1334</v>
      </c>
      <c r="I187" t="s">
        <v>310</v>
      </c>
      <c r="J187">
        <v>2</v>
      </c>
      <c r="L187">
        <v>373.49</v>
      </c>
      <c r="M187">
        <v>636.51</v>
      </c>
      <c r="N187">
        <v>949.78</v>
      </c>
      <c r="O187">
        <v>1354.28</v>
      </c>
      <c r="P187">
        <v>1</v>
      </c>
      <c r="Q187">
        <v>1</v>
      </c>
      <c r="R187">
        <v>0</v>
      </c>
      <c r="S187">
        <v>200138</v>
      </c>
      <c r="T187" t="b">
        <v>1</v>
      </c>
    </row>
    <row r="188" spans="2:20" x14ac:dyDescent="0.35">
      <c r="B188">
        <v>2019</v>
      </c>
      <c r="C188" s="41">
        <v>43399</v>
      </c>
      <c r="D188" t="s">
        <v>1224</v>
      </c>
      <c r="E188" t="s">
        <v>219</v>
      </c>
      <c r="F188" t="s">
        <v>1298</v>
      </c>
      <c r="G188" t="s">
        <v>1299</v>
      </c>
      <c r="H188" t="s">
        <v>1330</v>
      </c>
      <c r="I188" t="s">
        <v>310</v>
      </c>
      <c r="J188">
        <v>2</v>
      </c>
      <c r="L188">
        <v>369.18</v>
      </c>
      <c r="M188">
        <v>629.16</v>
      </c>
      <c r="N188">
        <v>938.81</v>
      </c>
      <c r="O188">
        <v>1338.6399999999901</v>
      </c>
      <c r="P188">
        <v>0</v>
      </c>
      <c r="Q188">
        <v>3</v>
      </c>
      <c r="R188">
        <v>0</v>
      </c>
      <c r="S188">
        <v>200138</v>
      </c>
      <c r="T188" t="b">
        <v>1</v>
      </c>
    </row>
    <row r="189" spans="2:20" x14ac:dyDescent="0.35">
      <c r="B189">
        <v>2019</v>
      </c>
      <c r="C189" s="41">
        <v>43399</v>
      </c>
      <c r="D189" t="s">
        <v>1342</v>
      </c>
      <c r="E189" t="s">
        <v>219</v>
      </c>
      <c r="F189" t="s">
        <v>1301</v>
      </c>
      <c r="G189" t="s">
        <v>1299</v>
      </c>
      <c r="H189" t="s">
        <v>1334</v>
      </c>
      <c r="I189" t="s">
        <v>310</v>
      </c>
      <c r="J189">
        <v>2</v>
      </c>
      <c r="L189">
        <v>394.37</v>
      </c>
      <c r="M189">
        <v>672.09</v>
      </c>
      <c r="N189">
        <v>1002.87</v>
      </c>
      <c r="O189">
        <v>1429.98</v>
      </c>
      <c r="P189">
        <v>1</v>
      </c>
      <c r="Q189">
        <v>1</v>
      </c>
      <c r="R189">
        <v>0</v>
      </c>
      <c r="S189">
        <v>200138</v>
      </c>
      <c r="T189" t="b">
        <v>1</v>
      </c>
    </row>
    <row r="190" spans="2:20" x14ac:dyDescent="0.35">
      <c r="B190">
        <v>2019</v>
      </c>
      <c r="C190" s="41">
        <v>43399</v>
      </c>
      <c r="D190" t="s">
        <v>1343</v>
      </c>
      <c r="E190" t="s">
        <v>219</v>
      </c>
      <c r="F190" t="s">
        <v>1298</v>
      </c>
      <c r="G190" t="s">
        <v>1299</v>
      </c>
      <c r="H190" t="s">
        <v>1334</v>
      </c>
      <c r="I190" t="s">
        <v>310</v>
      </c>
      <c r="J190">
        <v>2</v>
      </c>
      <c r="L190">
        <v>373.49</v>
      </c>
      <c r="M190">
        <v>636.51</v>
      </c>
      <c r="N190">
        <v>949.78</v>
      </c>
      <c r="O190">
        <v>1354.28</v>
      </c>
      <c r="P190">
        <v>1</v>
      </c>
      <c r="Q190">
        <v>1</v>
      </c>
      <c r="R190">
        <v>0</v>
      </c>
      <c r="S190">
        <v>200138</v>
      </c>
      <c r="T190" t="b">
        <v>1</v>
      </c>
    </row>
    <row r="191" spans="2:20" x14ac:dyDescent="0.35">
      <c r="B191">
        <v>2019</v>
      </c>
      <c r="C191" s="41">
        <v>43399</v>
      </c>
      <c r="D191" t="s">
        <v>1343</v>
      </c>
      <c r="E191" t="s">
        <v>219</v>
      </c>
      <c r="F191" t="s">
        <v>1302</v>
      </c>
      <c r="G191" t="s">
        <v>1299</v>
      </c>
      <c r="H191" t="s">
        <v>1334</v>
      </c>
      <c r="I191" t="s">
        <v>310</v>
      </c>
      <c r="J191">
        <v>2</v>
      </c>
      <c r="L191">
        <v>355.71</v>
      </c>
      <c r="M191">
        <v>606.20000000000005</v>
      </c>
      <c r="N191">
        <v>904.54</v>
      </c>
      <c r="O191">
        <v>1289.78</v>
      </c>
      <c r="P191">
        <v>1</v>
      </c>
      <c r="Q191">
        <v>1</v>
      </c>
      <c r="R191">
        <v>0</v>
      </c>
      <c r="S191">
        <v>200138</v>
      </c>
      <c r="T191" t="b">
        <v>1</v>
      </c>
    </row>
    <row r="192" spans="2:20" x14ac:dyDescent="0.35">
      <c r="B192">
        <v>2019</v>
      </c>
      <c r="C192" s="41">
        <v>43399</v>
      </c>
      <c r="D192" t="s">
        <v>1343</v>
      </c>
      <c r="E192" t="s">
        <v>219</v>
      </c>
      <c r="F192" t="s">
        <v>1301</v>
      </c>
      <c r="G192" t="s">
        <v>1299</v>
      </c>
      <c r="H192" t="s">
        <v>1334</v>
      </c>
      <c r="I192" t="s">
        <v>310</v>
      </c>
      <c r="J192">
        <v>2</v>
      </c>
      <c r="L192">
        <v>394.37</v>
      </c>
      <c r="M192">
        <v>672.09</v>
      </c>
      <c r="N192">
        <v>1002.87</v>
      </c>
      <c r="O192">
        <v>1429.98</v>
      </c>
      <c r="P192">
        <v>1</v>
      </c>
      <c r="Q192">
        <v>1</v>
      </c>
      <c r="R192">
        <v>0</v>
      </c>
      <c r="S192">
        <v>200138</v>
      </c>
      <c r="T192" t="b">
        <v>1</v>
      </c>
    </row>
    <row r="193" spans="2:20" x14ac:dyDescent="0.35">
      <c r="B193">
        <v>2019</v>
      </c>
      <c r="C193" s="41">
        <v>43399</v>
      </c>
      <c r="D193" t="s">
        <v>1343</v>
      </c>
      <c r="E193" t="s">
        <v>219</v>
      </c>
      <c r="F193" t="s">
        <v>461</v>
      </c>
      <c r="G193" t="s">
        <v>1299</v>
      </c>
      <c r="H193" t="s">
        <v>1334</v>
      </c>
      <c r="I193" t="s">
        <v>310</v>
      </c>
      <c r="J193">
        <v>2</v>
      </c>
      <c r="L193">
        <v>315.88</v>
      </c>
      <c r="M193">
        <v>538.33000000000004</v>
      </c>
      <c r="N193">
        <v>803.27</v>
      </c>
      <c r="O193">
        <v>1145.3800000000001</v>
      </c>
      <c r="P193">
        <v>1</v>
      </c>
      <c r="Q193">
        <v>1</v>
      </c>
      <c r="R193">
        <v>0</v>
      </c>
      <c r="S193">
        <v>200138</v>
      </c>
      <c r="T193" t="b">
        <v>1</v>
      </c>
    </row>
    <row r="194" spans="2:20" x14ac:dyDescent="0.35">
      <c r="B194">
        <v>2019</v>
      </c>
      <c r="C194" s="41">
        <v>43399</v>
      </c>
      <c r="D194" t="s">
        <v>1342</v>
      </c>
      <c r="E194" t="s">
        <v>219</v>
      </c>
      <c r="F194" t="s">
        <v>461</v>
      </c>
      <c r="G194" t="s">
        <v>1299</v>
      </c>
      <c r="H194" t="s">
        <v>1334</v>
      </c>
      <c r="I194" t="s">
        <v>310</v>
      </c>
      <c r="J194">
        <v>2</v>
      </c>
      <c r="L194">
        <v>315.88</v>
      </c>
      <c r="M194">
        <v>538.33000000000004</v>
      </c>
      <c r="N194">
        <v>803.27</v>
      </c>
      <c r="O194">
        <v>1145.3800000000001</v>
      </c>
      <c r="P194">
        <v>1</v>
      </c>
      <c r="Q194">
        <v>1</v>
      </c>
      <c r="R194">
        <v>0</v>
      </c>
      <c r="S194">
        <v>200138</v>
      </c>
      <c r="T194" t="b">
        <v>1</v>
      </c>
    </row>
    <row r="195" spans="2:20" x14ac:dyDescent="0.35">
      <c r="B195">
        <v>2019</v>
      </c>
      <c r="C195" s="41">
        <v>43399</v>
      </c>
      <c r="D195" t="s">
        <v>1216</v>
      </c>
      <c r="E195" t="s">
        <v>219</v>
      </c>
      <c r="F195" t="s">
        <v>1302</v>
      </c>
      <c r="G195" t="s">
        <v>1299</v>
      </c>
      <c r="H195" t="s">
        <v>1334</v>
      </c>
      <c r="I195" t="s">
        <v>310</v>
      </c>
      <c r="J195">
        <v>2</v>
      </c>
      <c r="L195">
        <v>355.71</v>
      </c>
      <c r="M195">
        <v>606.20000000000005</v>
      </c>
      <c r="N195">
        <v>904.54</v>
      </c>
      <c r="O195">
        <v>1289.78</v>
      </c>
      <c r="P195">
        <v>0</v>
      </c>
      <c r="Q195">
        <v>3</v>
      </c>
      <c r="R195">
        <v>0</v>
      </c>
      <c r="S195">
        <v>200138</v>
      </c>
      <c r="T195" t="b">
        <v>1</v>
      </c>
    </row>
    <row r="196" spans="2:20" x14ac:dyDescent="0.35">
      <c r="B196">
        <v>2019</v>
      </c>
      <c r="C196" s="41">
        <v>43399</v>
      </c>
      <c r="D196" t="s">
        <v>1216</v>
      </c>
      <c r="E196" t="s">
        <v>219</v>
      </c>
      <c r="F196" t="s">
        <v>1298</v>
      </c>
      <c r="G196" t="s">
        <v>1299</v>
      </c>
      <c r="H196" t="s">
        <v>1334</v>
      </c>
      <c r="I196" t="s">
        <v>310</v>
      </c>
      <c r="J196">
        <v>2</v>
      </c>
      <c r="L196">
        <v>373.49</v>
      </c>
      <c r="M196">
        <v>636.51</v>
      </c>
      <c r="N196">
        <v>949.78</v>
      </c>
      <c r="O196">
        <v>1354.28</v>
      </c>
      <c r="P196">
        <v>0</v>
      </c>
      <c r="Q196">
        <v>3</v>
      </c>
      <c r="R196">
        <v>0</v>
      </c>
      <c r="S196">
        <v>200138</v>
      </c>
      <c r="T196" t="b">
        <v>1</v>
      </c>
    </row>
    <row r="197" spans="2:20" x14ac:dyDescent="0.35">
      <c r="B197">
        <v>2019</v>
      </c>
      <c r="C197" s="41">
        <v>43399</v>
      </c>
      <c r="D197" t="s">
        <v>1216</v>
      </c>
      <c r="E197" t="s">
        <v>219</v>
      </c>
      <c r="F197" t="s">
        <v>461</v>
      </c>
      <c r="G197" t="s">
        <v>1299</v>
      </c>
      <c r="H197" t="s">
        <v>1334</v>
      </c>
      <c r="I197" t="s">
        <v>310</v>
      </c>
      <c r="J197">
        <v>2</v>
      </c>
      <c r="L197">
        <v>315.88</v>
      </c>
      <c r="M197">
        <v>538.33000000000004</v>
      </c>
      <c r="N197">
        <v>803.27</v>
      </c>
      <c r="O197">
        <v>1145.3800000000001</v>
      </c>
      <c r="P197">
        <v>0</v>
      </c>
      <c r="Q197">
        <v>3</v>
      </c>
      <c r="R197">
        <v>0</v>
      </c>
      <c r="S197">
        <v>200138</v>
      </c>
      <c r="T197" t="b">
        <v>1</v>
      </c>
    </row>
    <row r="198" spans="2:20" x14ac:dyDescent="0.35">
      <c r="B198">
        <v>2019</v>
      </c>
      <c r="C198" s="41">
        <v>43399</v>
      </c>
      <c r="D198" t="s">
        <v>1237</v>
      </c>
      <c r="E198" t="s">
        <v>219</v>
      </c>
      <c r="F198" t="s">
        <v>1302</v>
      </c>
      <c r="G198" t="s">
        <v>1299</v>
      </c>
      <c r="H198" t="s">
        <v>1344</v>
      </c>
      <c r="I198" t="s">
        <v>843</v>
      </c>
      <c r="J198">
        <v>2</v>
      </c>
      <c r="L198">
        <v>367.34</v>
      </c>
      <c r="M198">
        <v>626.01</v>
      </c>
      <c r="N198">
        <v>934.10999999999899</v>
      </c>
      <c r="O198">
        <v>1331.94</v>
      </c>
      <c r="P198">
        <v>0</v>
      </c>
      <c r="Q198">
        <v>3</v>
      </c>
      <c r="R198">
        <v>0</v>
      </c>
      <c r="S198">
        <v>200138</v>
      </c>
      <c r="T198" t="b">
        <v>1</v>
      </c>
    </row>
    <row r="199" spans="2:20" x14ac:dyDescent="0.35">
      <c r="B199">
        <v>2019</v>
      </c>
      <c r="C199" s="41">
        <v>43399</v>
      </c>
      <c r="D199" t="s">
        <v>1216</v>
      </c>
      <c r="E199" t="s">
        <v>219</v>
      </c>
      <c r="F199" t="s">
        <v>1301</v>
      </c>
      <c r="G199" t="s">
        <v>1299</v>
      </c>
      <c r="H199" t="s">
        <v>1334</v>
      </c>
      <c r="I199" t="s">
        <v>310</v>
      </c>
      <c r="J199">
        <v>2</v>
      </c>
      <c r="L199">
        <v>394.37</v>
      </c>
      <c r="M199">
        <v>672.09</v>
      </c>
      <c r="N199">
        <v>1002.87</v>
      </c>
      <c r="O199">
        <v>1429.98</v>
      </c>
      <c r="P199">
        <v>0</v>
      </c>
      <c r="Q199">
        <v>3</v>
      </c>
      <c r="R199">
        <v>0</v>
      </c>
      <c r="S199">
        <v>200138</v>
      </c>
      <c r="T199" t="b">
        <v>1</v>
      </c>
    </row>
    <row r="200" spans="2:20" x14ac:dyDescent="0.35">
      <c r="B200">
        <v>2019</v>
      </c>
      <c r="C200" s="41">
        <v>43399</v>
      </c>
      <c r="D200" t="s">
        <v>1237</v>
      </c>
      <c r="E200" t="s">
        <v>219</v>
      </c>
      <c r="F200" t="s">
        <v>1307</v>
      </c>
      <c r="G200" t="s">
        <v>1299</v>
      </c>
      <c r="H200" t="s">
        <v>1344</v>
      </c>
      <c r="I200" t="s">
        <v>843</v>
      </c>
      <c r="J200">
        <v>2</v>
      </c>
      <c r="L200">
        <v>326.20999999999998</v>
      </c>
      <c r="M200">
        <v>555.92999999999995</v>
      </c>
      <c r="N200">
        <v>829.53</v>
      </c>
      <c r="O200">
        <v>1182.82</v>
      </c>
      <c r="P200">
        <v>0</v>
      </c>
      <c r="Q200">
        <v>3</v>
      </c>
      <c r="R200">
        <v>0</v>
      </c>
      <c r="S200">
        <v>200138</v>
      </c>
      <c r="T200" t="b">
        <v>1</v>
      </c>
    </row>
    <row r="201" spans="2:20" x14ac:dyDescent="0.35">
      <c r="B201">
        <v>2019</v>
      </c>
      <c r="C201" s="41">
        <v>43399</v>
      </c>
      <c r="D201" t="s">
        <v>1237</v>
      </c>
      <c r="E201" t="s">
        <v>219</v>
      </c>
      <c r="F201" t="s">
        <v>1298</v>
      </c>
      <c r="G201" t="s">
        <v>1299</v>
      </c>
      <c r="H201" t="s">
        <v>1344</v>
      </c>
      <c r="I201" t="s">
        <v>843</v>
      </c>
      <c r="J201">
        <v>2</v>
      </c>
      <c r="L201">
        <v>385.7</v>
      </c>
      <c r="M201">
        <v>657.31</v>
      </c>
      <c r="N201">
        <v>980.82</v>
      </c>
      <c r="O201">
        <v>1398.54</v>
      </c>
      <c r="P201">
        <v>0</v>
      </c>
      <c r="Q201">
        <v>3</v>
      </c>
      <c r="R201">
        <v>0</v>
      </c>
      <c r="S201">
        <v>200138</v>
      </c>
      <c r="T201" t="b">
        <v>1</v>
      </c>
    </row>
    <row r="202" spans="2:20" x14ac:dyDescent="0.35">
      <c r="B202">
        <v>2019</v>
      </c>
      <c r="C202" s="41">
        <v>43399</v>
      </c>
      <c r="D202" t="s">
        <v>1237</v>
      </c>
      <c r="E202" t="s">
        <v>219</v>
      </c>
      <c r="F202" t="s">
        <v>1311</v>
      </c>
      <c r="G202" t="s">
        <v>1299</v>
      </c>
      <c r="H202" t="s">
        <v>1344</v>
      </c>
      <c r="I202" t="s">
        <v>843</v>
      </c>
      <c r="J202">
        <v>2</v>
      </c>
      <c r="L202">
        <v>348.97</v>
      </c>
      <c r="M202">
        <v>594.71</v>
      </c>
      <c r="N202">
        <v>887.4</v>
      </c>
      <c r="O202">
        <v>1265.3399999999999</v>
      </c>
      <c r="P202">
        <v>0</v>
      </c>
      <c r="Q202">
        <v>3</v>
      </c>
      <c r="R202">
        <v>0</v>
      </c>
      <c r="S202">
        <v>200138</v>
      </c>
      <c r="T202" t="b">
        <v>1</v>
      </c>
    </row>
    <row r="203" spans="2:20" x14ac:dyDescent="0.35">
      <c r="B203">
        <v>2019</v>
      </c>
      <c r="C203" s="41">
        <v>43399</v>
      </c>
      <c r="D203" t="s">
        <v>1237</v>
      </c>
      <c r="E203" t="s">
        <v>219</v>
      </c>
      <c r="F203" t="s">
        <v>463</v>
      </c>
      <c r="G203" t="s">
        <v>1299</v>
      </c>
      <c r="H203" t="s">
        <v>1344</v>
      </c>
      <c r="I203" t="s">
        <v>843</v>
      </c>
      <c r="J203">
        <v>2</v>
      </c>
      <c r="L203">
        <v>301.85000000000002</v>
      </c>
      <c r="M203">
        <v>514.41999999999996</v>
      </c>
      <c r="N203">
        <v>767.59</v>
      </c>
      <c r="O203">
        <v>1094.5</v>
      </c>
      <c r="P203">
        <v>0</v>
      </c>
      <c r="Q203">
        <v>3</v>
      </c>
      <c r="R203">
        <v>0</v>
      </c>
      <c r="S203">
        <v>200138</v>
      </c>
      <c r="T203" t="b">
        <v>1</v>
      </c>
    </row>
    <row r="204" spans="2:20" x14ac:dyDescent="0.35">
      <c r="B204">
        <v>2019</v>
      </c>
      <c r="C204" s="41">
        <v>43399</v>
      </c>
      <c r="D204" t="s">
        <v>1237</v>
      </c>
      <c r="E204" t="s">
        <v>219</v>
      </c>
      <c r="F204" t="s">
        <v>1301</v>
      </c>
      <c r="G204" t="s">
        <v>1299</v>
      </c>
      <c r="H204" t="s">
        <v>1344</v>
      </c>
      <c r="I204" t="s">
        <v>843</v>
      </c>
      <c r="J204">
        <v>2</v>
      </c>
      <c r="L204">
        <v>407.26</v>
      </c>
      <c r="M204">
        <v>694.06</v>
      </c>
      <c r="N204">
        <v>1035.6500000000001</v>
      </c>
      <c r="O204">
        <v>1476.72</v>
      </c>
      <c r="P204">
        <v>0</v>
      </c>
      <c r="Q204">
        <v>3</v>
      </c>
      <c r="R204">
        <v>0</v>
      </c>
      <c r="S204">
        <v>200138</v>
      </c>
      <c r="T204" t="b">
        <v>1</v>
      </c>
    </row>
    <row r="205" spans="2:20" x14ac:dyDescent="0.35">
      <c r="B205">
        <v>2019</v>
      </c>
      <c r="C205" s="41">
        <v>43399</v>
      </c>
      <c r="D205" t="s">
        <v>1237</v>
      </c>
      <c r="E205" t="s">
        <v>219</v>
      </c>
      <c r="F205" t="s">
        <v>461</v>
      </c>
      <c r="G205" t="s">
        <v>1299</v>
      </c>
      <c r="H205" t="s">
        <v>1344</v>
      </c>
      <c r="I205" t="s">
        <v>843</v>
      </c>
      <c r="J205">
        <v>2</v>
      </c>
      <c r="L205">
        <v>326.20999999999998</v>
      </c>
      <c r="M205">
        <v>555.92999999999995</v>
      </c>
      <c r="N205">
        <v>829.53</v>
      </c>
      <c r="O205">
        <v>1182.82</v>
      </c>
      <c r="P205">
        <v>0</v>
      </c>
      <c r="Q205">
        <v>3</v>
      </c>
      <c r="R205">
        <v>0</v>
      </c>
      <c r="S205">
        <v>200138</v>
      </c>
      <c r="T205" t="b">
        <v>1</v>
      </c>
    </row>
    <row r="206" spans="2:20" x14ac:dyDescent="0.35">
      <c r="B206">
        <v>2019</v>
      </c>
      <c r="C206" s="41">
        <v>43399</v>
      </c>
      <c r="D206" t="s">
        <v>1237</v>
      </c>
      <c r="E206" t="s">
        <v>219</v>
      </c>
      <c r="F206" t="s">
        <v>1309</v>
      </c>
      <c r="G206" t="s">
        <v>1299</v>
      </c>
      <c r="H206" t="s">
        <v>1344</v>
      </c>
      <c r="I206" t="s">
        <v>843</v>
      </c>
      <c r="J206">
        <v>2</v>
      </c>
      <c r="L206">
        <v>359.35</v>
      </c>
      <c r="M206">
        <v>612.4</v>
      </c>
      <c r="N206">
        <v>913.8</v>
      </c>
      <c r="O206">
        <v>1302.98</v>
      </c>
      <c r="P206">
        <v>0</v>
      </c>
      <c r="Q206">
        <v>3</v>
      </c>
      <c r="R206">
        <v>0</v>
      </c>
      <c r="S206">
        <v>200138</v>
      </c>
      <c r="T206" t="b">
        <v>1</v>
      </c>
    </row>
    <row r="207" spans="2:20" x14ac:dyDescent="0.35">
      <c r="B207">
        <v>2019</v>
      </c>
      <c r="C207" s="41">
        <v>43399</v>
      </c>
      <c r="D207" t="s">
        <v>1237</v>
      </c>
      <c r="E207" t="s">
        <v>219</v>
      </c>
      <c r="F207" t="s">
        <v>460</v>
      </c>
      <c r="G207" t="s">
        <v>1299</v>
      </c>
      <c r="H207" t="s">
        <v>1344</v>
      </c>
      <c r="I207" t="s">
        <v>843</v>
      </c>
      <c r="J207">
        <v>2</v>
      </c>
      <c r="L207">
        <v>363.34</v>
      </c>
      <c r="M207">
        <v>619.21</v>
      </c>
      <c r="N207">
        <v>923.97</v>
      </c>
      <c r="O207">
        <v>1317.48</v>
      </c>
      <c r="P207">
        <v>0</v>
      </c>
      <c r="Q207">
        <v>3</v>
      </c>
      <c r="R207">
        <v>0</v>
      </c>
      <c r="S207">
        <v>200138</v>
      </c>
      <c r="T207" t="b">
        <v>1</v>
      </c>
    </row>
    <row r="208" spans="2:20" x14ac:dyDescent="0.35">
      <c r="B208">
        <v>2019</v>
      </c>
      <c r="C208" s="41">
        <v>43399</v>
      </c>
      <c r="D208" t="s">
        <v>1237</v>
      </c>
      <c r="E208" t="s">
        <v>219</v>
      </c>
      <c r="F208" t="s">
        <v>462</v>
      </c>
      <c r="G208" t="s">
        <v>1299</v>
      </c>
      <c r="H208" t="s">
        <v>1344</v>
      </c>
      <c r="I208" t="s">
        <v>843</v>
      </c>
      <c r="J208">
        <v>2</v>
      </c>
      <c r="L208">
        <v>368.93</v>
      </c>
      <c r="M208">
        <v>628.74</v>
      </c>
      <c r="N208">
        <v>938.18</v>
      </c>
      <c r="O208">
        <v>1337.74</v>
      </c>
      <c r="P208">
        <v>0</v>
      </c>
      <c r="Q208">
        <v>3</v>
      </c>
      <c r="R208">
        <v>0</v>
      </c>
      <c r="S208">
        <v>200138</v>
      </c>
      <c r="T208" t="b">
        <v>1</v>
      </c>
    </row>
    <row r="209" spans="2:20" x14ac:dyDescent="0.35">
      <c r="B209">
        <v>2019</v>
      </c>
      <c r="C209" s="41">
        <v>43399</v>
      </c>
      <c r="D209" t="s">
        <v>1237</v>
      </c>
      <c r="E209" t="s">
        <v>219</v>
      </c>
      <c r="F209" t="s">
        <v>1310</v>
      </c>
      <c r="G209" t="s">
        <v>1299</v>
      </c>
      <c r="H209" t="s">
        <v>1344</v>
      </c>
      <c r="I209" t="s">
        <v>843</v>
      </c>
      <c r="J209">
        <v>2</v>
      </c>
      <c r="L209">
        <v>466.36</v>
      </c>
      <c r="M209">
        <v>794.77</v>
      </c>
      <c r="N209">
        <v>1185.9100000000001</v>
      </c>
      <c r="O209">
        <v>1690.98</v>
      </c>
      <c r="P209">
        <v>0</v>
      </c>
      <c r="Q209">
        <v>3</v>
      </c>
      <c r="R209">
        <v>0</v>
      </c>
      <c r="S209">
        <v>200138</v>
      </c>
      <c r="T209" t="b">
        <v>1</v>
      </c>
    </row>
    <row r="210" spans="2:20" x14ac:dyDescent="0.35">
      <c r="B210">
        <v>2019</v>
      </c>
      <c r="C210" s="41">
        <v>43399</v>
      </c>
      <c r="D210" t="s">
        <v>1237</v>
      </c>
      <c r="E210" t="s">
        <v>219</v>
      </c>
      <c r="F210" t="s">
        <v>459</v>
      </c>
      <c r="G210" t="s">
        <v>1299</v>
      </c>
      <c r="H210" t="s">
        <v>1344</v>
      </c>
      <c r="I210" t="s">
        <v>843</v>
      </c>
      <c r="J210">
        <v>2</v>
      </c>
      <c r="L210">
        <v>299.86</v>
      </c>
      <c r="M210">
        <v>511.02</v>
      </c>
      <c r="N210">
        <v>762.51</v>
      </c>
      <c r="O210">
        <v>1087.26</v>
      </c>
      <c r="P210">
        <v>0</v>
      </c>
      <c r="Q210">
        <v>3</v>
      </c>
      <c r="R210">
        <v>0</v>
      </c>
      <c r="S210">
        <v>200138</v>
      </c>
      <c r="T210" t="b">
        <v>1</v>
      </c>
    </row>
    <row r="211" spans="2:20" x14ac:dyDescent="0.35">
      <c r="B211">
        <v>2019</v>
      </c>
      <c r="C211" s="41">
        <v>43399</v>
      </c>
      <c r="D211" t="s">
        <v>1345</v>
      </c>
      <c r="E211" t="s">
        <v>219</v>
      </c>
      <c r="F211" t="s">
        <v>1307</v>
      </c>
      <c r="G211" t="s">
        <v>1299</v>
      </c>
      <c r="H211" t="s">
        <v>1346</v>
      </c>
      <c r="I211" t="s">
        <v>310</v>
      </c>
      <c r="J211">
        <v>2</v>
      </c>
      <c r="L211">
        <v>346.25</v>
      </c>
      <c r="M211">
        <v>590.07000000000005</v>
      </c>
      <c r="N211">
        <v>880.49</v>
      </c>
      <c r="O211">
        <v>1255.48</v>
      </c>
      <c r="P211">
        <v>1</v>
      </c>
      <c r="Q211">
        <v>1</v>
      </c>
      <c r="R211">
        <v>0</v>
      </c>
      <c r="S211">
        <v>200138</v>
      </c>
      <c r="T211" t="b">
        <v>1</v>
      </c>
    </row>
    <row r="212" spans="2:20" x14ac:dyDescent="0.35">
      <c r="B212">
        <v>2019</v>
      </c>
      <c r="C212" s="41">
        <v>43399</v>
      </c>
      <c r="D212" t="s">
        <v>1345</v>
      </c>
      <c r="E212" t="s">
        <v>219</v>
      </c>
      <c r="F212" t="s">
        <v>1309</v>
      </c>
      <c r="G212" t="s">
        <v>1299</v>
      </c>
      <c r="H212" t="s">
        <v>1346</v>
      </c>
      <c r="I212" t="s">
        <v>310</v>
      </c>
      <c r="J212">
        <v>2</v>
      </c>
      <c r="L212">
        <v>381.42</v>
      </c>
      <c r="M212">
        <v>650.02</v>
      </c>
      <c r="N212">
        <v>969.92</v>
      </c>
      <c r="O212">
        <v>1383</v>
      </c>
      <c r="P212">
        <v>1</v>
      </c>
      <c r="Q212">
        <v>1</v>
      </c>
      <c r="R212">
        <v>0</v>
      </c>
      <c r="S212">
        <v>200138</v>
      </c>
      <c r="T212" t="b">
        <v>1</v>
      </c>
    </row>
    <row r="213" spans="2:20" x14ac:dyDescent="0.35">
      <c r="B213">
        <v>2019</v>
      </c>
      <c r="C213" s="41">
        <v>43399</v>
      </c>
      <c r="D213" t="s">
        <v>1345</v>
      </c>
      <c r="E213" t="s">
        <v>219</v>
      </c>
      <c r="F213" t="s">
        <v>1310</v>
      </c>
      <c r="G213" t="s">
        <v>1299</v>
      </c>
      <c r="H213" t="s">
        <v>1346</v>
      </c>
      <c r="I213" t="s">
        <v>310</v>
      </c>
      <c r="J213">
        <v>2</v>
      </c>
      <c r="L213">
        <v>495</v>
      </c>
      <c r="M213">
        <v>843.58</v>
      </c>
      <c r="N213">
        <v>1258.75</v>
      </c>
      <c r="O213">
        <v>1794.84</v>
      </c>
      <c r="P213">
        <v>1</v>
      </c>
      <c r="Q213">
        <v>1</v>
      </c>
      <c r="R213">
        <v>0</v>
      </c>
      <c r="S213">
        <v>200138</v>
      </c>
      <c r="T213" t="b">
        <v>1</v>
      </c>
    </row>
    <row r="214" spans="2:20" x14ac:dyDescent="0.35">
      <c r="B214">
        <v>2019</v>
      </c>
      <c r="C214" s="41">
        <v>43399</v>
      </c>
      <c r="D214" t="s">
        <v>1345</v>
      </c>
      <c r="E214" t="s">
        <v>219</v>
      </c>
      <c r="F214" t="s">
        <v>460</v>
      </c>
      <c r="G214" t="s">
        <v>1299</v>
      </c>
      <c r="H214" t="s">
        <v>1346</v>
      </c>
      <c r="I214" t="s">
        <v>310</v>
      </c>
      <c r="J214">
        <v>2</v>
      </c>
      <c r="L214">
        <v>385.66</v>
      </c>
      <c r="M214">
        <v>657.24</v>
      </c>
      <c r="N214">
        <v>980.71</v>
      </c>
      <c r="O214">
        <v>1398.38</v>
      </c>
      <c r="P214">
        <v>1</v>
      </c>
      <c r="Q214">
        <v>1</v>
      </c>
      <c r="R214">
        <v>0</v>
      </c>
      <c r="S214">
        <v>200138</v>
      </c>
      <c r="T214" t="b">
        <v>1</v>
      </c>
    </row>
    <row r="215" spans="2:20" x14ac:dyDescent="0.35">
      <c r="B215">
        <v>2019</v>
      </c>
      <c r="C215" s="41">
        <v>43399</v>
      </c>
      <c r="D215" t="s">
        <v>1345</v>
      </c>
      <c r="E215" t="s">
        <v>219</v>
      </c>
      <c r="F215" t="s">
        <v>463</v>
      </c>
      <c r="G215" t="s">
        <v>1299</v>
      </c>
      <c r="H215" t="s">
        <v>1346</v>
      </c>
      <c r="I215" t="s">
        <v>310</v>
      </c>
      <c r="J215">
        <v>2</v>
      </c>
      <c r="L215">
        <v>320.39</v>
      </c>
      <c r="M215">
        <v>546.01</v>
      </c>
      <c r="N215">
        <v>814.73</v>
      </c>
      <c r="O215">
        <v>1161.72</v>
      </c>
      <c r="P215">
        <v>1</v>
      </c>
      <c r="Q215">
        <v>1</v>
      </c>
      <c r="R215">
        <v>0</v>
      </c>
      <c r="S215">
        <v>200138</v>
      </c>
      <c r="T215" t="b">
        <v>1</v>
      </c>
    </row>
    <row r="216" spans="2:20" x14ac:dyDescent="0.35">
      <c r="B216">
        <v>2019</v>
      </c>
      <c r="C216" s="41">
        <v>43399</v>
      </c>
      <c r="D216" t="s">
        <v>1345</v>
      </c>
      <c r="E216" t="s">
        <v>219</v>
      </c>
      <c r="F216" t="s">
        <v>1311</v>
      </c>
      <c r="G216" t="s">
        <v>1299</v>
      </c>
      <c r="H216" t="s">
        <v>1346</v>
      </c>
      <c r="I216" t="s">
        <v>310</v>
      </c>
      <c r="J216">
        <v>2</v>
      </c>
      <c r="L216">
        <v>370.4</v>
      </c>
      <c r="M216">
        <v>631.24</v>
      </c>
      <c r="N216">
        <v>941.91</v>
      </c>
      <c r="O216">
        <v>1343.06</v>
      </c>
      <c r="P216">
        <v>1</v>
      </c>
      <c r="Q216">
        <v>1</v>
      </c>
      <c r="R216">
        <v>0</v>
      </c>
      <c r="S216">
        <v>200138</v>
      </c>
      <c r="T216" t="b">
        <v>1</v>
      </c>
    </row>
    <row r="217" spans="2:20" x14ac:dyDescent="0.35">
      <c r="B217">
        <v>2019</v>
      </c>
      <c r="C217" s="41">
        <v>43399</v>
      </c>
      <c r="D217" t="s">
        <v>1345</v>
      </c>
      <c r="E217" t="s">
        <v>219</v>
      </c>
      <c r="F217" t="s">
        <v>459</v>
      </c>
      <c r="G217" t="s">
        <v>1299</v>
      </c>
      <c r="H217" t="s">
        <v>1346</v>
      </c>
      <c r="I217" t="s">
        <v>310</v>
      </c>
      <c r="J217">
        <v>2</v>
      </c>
      <c r="L217">
        <v>318.27</v>
      </c>
      <c r="M217">
        <v>542.4</v>
      </c>
      <c r="N217">
        <v>809.36</v>
      </c>
      <c r="O217">
        <v>1154.06</v>
      </c>
      <c r="P217">
        <v>1</v>
      </c>
      <c r="Q217">
        <v>1</v>
      </c>
      <c r="R217">
        <v>0</v>
      </c>
      <c r="S217">
        <v>200138</v>
      </c>
      <c r="T217" t="b">
        <v>1</v>
      </c>
    </row>
    <row r="218" spans="2:20" x14ac:dyDescent="0.35">
      <c r="B218">
        <v>2019</v>
      </c>
      <c r="C218" s="41">
        <v>43399</v>
      </c>
      <c r="D218" t="s">
        <v>1345</v>
      </c>
      <c r="E218" t="s">
        <v>219</v>
      </c>
      <c r="F218" t="s">
        <v>462</v>
      </c>
      <c r="G218" t="s">
        <v>1299</v>
      </c>
      <c r="H218" t="s">
        <v>1346</v>
      </c>
      <c r="I218" t="s">
        <v>310</v>
      </c>
      <c r="J218">
        <v>2</v>
      </c>
      <c r="L218">
        <v>391.59</v>
      </c>
      <c r="M218">
        <v>667.35</v>
      </c>
      <c r="N218">
        <v>995.8</v>
      </c>
      <c r="O218">
        <v>1419.9</v>
      </c>
      <c r="P218">
        <v>1</v>
      </c>
      <c r="Q218">
        <v>1</v>
      </c>
      <c r="R218">
        <v>0</v>
      </c>
      <c r="S218">
        <v>200138</v>
      </c>
      <c r="T218" t="b">
        <v>1</v>
      </c>
    </row>
    <row r="219" spans="2:20" x14ac:dyDescent="0.35">
      <c r="B219">
        <v>2019</v>
      </c>
      <c r="C219" s="41">
        <v>43399</v>
      </c>
      <c r="D219" t="s">
        <v>1347</v>
      </c>
      <c r="E219" t="s">
        <v>219</v>
      </c>
      <c r="F219" t="s">
        <v>1302</v>
      </c>
      <c r="G219" t="s">
        <v>1299</v>
      </c>
      <c r="H219" t="s">
        <v>1346</v>
      </c>
      <c r="I219" t="s">
        <v>310</v>
      </c>
      <c r="J219">
        <v>2</v>
      </c>
      <c r="L219">
        <v>389.9</v>
      </c>
      <c r="M219">
        <v>664.46</v>
      </c>
      <c r="N219">
        <v>991.48</v>
      </c>
      <c r="O219">
        <v>1413.74</v>
      </c>
      <c r="P219">
        <v>1</v>
      </c>
      <c r="Q219">
        <v>1</v>
      </c>
      <c r="R219">
        <v>0</v>
      </c>
      <c r="S219">
        <v>200138</v>
      </c>
      <c r="T219" t="b">
        <v>1</v>
      </c>
    </row>
    <row r="220" spans="2:20" x14ac:dyDescent="0.35">
      <c r="B220">
        <v>2019</v>
      </c>
      <c r="C220" s="41">
        <v>43399</v>
      </c>
      <c r="D220" t="s">
        <v>1347</v>
      </c>
      <c r="E220" t="s">
        <v>219</v>
      </c>
      <c r="F220" t="s">
        <v>461</v>
      </c>
      <c r="G220" t="s">
        <v>1299</v>
      </c>
      <c r="H220" t="s">
        <v>1346</v>
      </c>
      <c r="I220" t="s">
        <v>310</v>
      </c>
      <c r="J220">
        <v>2</v>
      </c>
      <c r="L220">
        <v>346.25</v>
      </c>
      <c r="M220">
        <v>590.07000000000005</v>
      </c>
      <c r="N220">
        <v>880.49</v>
      </c>
      <c r="O220">
        <v>1255.48</v>
      </c>
      <c r="P220">
        <v>1</v>
      </c>
      <c r="Q220">
        <v>1</v>
      </c>
      <c r="R220">
        <v>0</v>
      </c>
      <c r="S220">
        <v>200138</v>
      </c>
      <c r="T220" t="b">
        <v>1</v>
      </c>
    </row>
    <row r="221" spans="2:20" x14ac:dyDescent="0.35">
      <c r="B221">
        <v>2019</v>
      </c>
      <c r="C221" s="41">
        <v>43399</v>
      </c>
      <c r="D221" t="s">
        <v>1348</v>
      </c>
      <c r="E221" t="s">
        <v>219</v>
      </c>
      <c r="F221" t="s">
        <v>1301</v>
      </c>
      <c r="G221" t="s">
        <v>1299</v>
      </c>
      <c r="H221" t="s">
        <v>1346</v>
      </c>
      <c r="I221" t="s">
        <v>310</v>
      </c>
      <c r="J221">
        <v>2</v>
      </c>
      <c r="L221">
        <v>432.28</v>
      </c>
      <c r="M221">
        <v>736.69</v>
      </c>
      <c r="N221">
        <v>1099.26</v>
      </c>
      <c r="O221">
        <v>1567.42</v>
      </c>
      <c r="P221">
        <v>1</v>
      </c>
      <c r="Q221">
        <v>1</v>
      </c>
      <c r="R221">
        <v>0</v>
      </c>
      <c r="S221">
        <v>200138</v>
      </c>
      <c r="T221" t="b">
        <v>1</v>
      </c>
    </row>
    <row r="222" spans="2:20" x14ac:dyDescent="0.35">
      <c r="B222">
        <v>2019</v>
      </c>
      <c r="C222" s="41">
        <v>43399</v>
      </c>
      <c r="D222" t="s">
        <v>1347</v>
      </c>
      <c r="E222" t="s">
        <v>219</v>
      </c>
      <c r="F222" t="s">
        <v>1301</v>
      </c>
      <c r="G222" t="s">
        <v>1299</v>
      </c>
      <c r="H222" t="s">
        <v>1346</v>
      </c>
      <c r="I222" t="s">
        <v>310</v>
      </c>
      <c r="J222">
        <v>2</v>
      </c>
      <c r="L222">
        <v>432.28</v>
      </c>
      <c r="M222">
        <v>736.69</v>
      </c>
      <c r="N222">
        <v>1099.26</v>
      </c>
      <c r="O222">
        <v>1567.42</v>
      </c>
      <c r="P222">
        <v>1</v>
      </c>
      <c r="Q222">
        <v>1</v>
      </c>
      <c r="R222">
        <v>0</v>
      </c>
      <c r="S222">
        <v>200138</v>
      </c>
      <c r="T222" t="b">
        <v>1</v>
      </c>
    </row>
    <row r="223" spans="2:20" x14ac:dyDescent="0.35">
      <c r="B223">
        <v>2019</v>
      </c>
      <c r="C223" s="41">
        <v>43399</v>
      </c>
      <c r="D223" t="s">
        <v>1347</v>
      </c>
      <c r="E223" t="s">
        <v>219</v>
      </c>
      <c r="F223" t="s">
        <v>1298</v>
      </c>
      <c r="G223" t="s">
        <v>1299</v>
      </c>
      <c r="H223" t="s">
        <v>1346</v>
      </c>
      <c r="I223" t="s">
        <v>310</v>
      </c>
      <c r="J223">
        <v>2</v>
      </c>
      <c r="L223">
        <v>409.39</v>
      </c>
      <c r="M223">
        <v>697.68</v>
      </c>
      <c r="N223">
        <v>1041.06</v>
      </c>
      <c r="O223">
        <v>1484.44</v>
      </c>
      <c r="P223">
        <v>1</v>
      </c>
      <c r="Q223">
        <v>1</v>
      </c>
      <c r="R223">
        <v>0</v>
      </c>
      <c r="S223">
        <v>200138</v>
      </c>
      <c r="T223" t="b">
        <v>1</v>
      </c>
    </row>
    <row r="224" spans="2:20" x14ac:dyDescent="0.35">
      <c r="B224">
        <v>2019</v>
      </c>
      <c r="C224" s="41">
        <v>43399</v>
      </c>
      <c r="D224" t="s">
        <v>1348</v>
      </c>
      <c r="E224" t="s">
        <v>219</v>
      </c>
      <c r="F224" t="s">
        <v>461</v>
      </c>
      <c r="G224" t="s">
        <v>1299</v>
      </c>
      <c r="H224" t="s">
        <v>1346</v>
      </c>
      <c r="I224" t="s">
        <v>310</v>
      </c>
      <c r="J224">
        <v>2</v>
      </c>
      <c r="L224">
        <v>346.25</v>
      </c>
      <c r="M224">
        <v>590.07000000000005</v>
      </c>
      <c r="N224">
        <v>880.49</v>
      </c>
      <c r="O224">
        <v>1255.48</v>
      </c>
      <c r="P224">
        <v>1</v>
      </c>
      <c r="Q224">
        <v>1</v>
      </c>
      <c r="R224">
        <v>0</v>
      </c>
      <c r="S224">
        <v>200138</v>
      </c>
      <c r="T224" t="b">
        <v>1</v>
      </c>
    </row>
    <row r="225" spans="2:20" x14ac:dyDescent="0.35">
      <c r="B225">
        <v>2019</v>
      </c>
      <c r="C225" s="41">
        <v>43399</v>
      </c>
      <c r="D225" t="s">
        <v>1349</v>
      </c>
      <c r="E225" t="s">
        <v>219</v>
      </c>
      <c r="F225" t="s">
        <v>1302</v>
      </c>
      <c r="G225" t="s">
        <v>1299</v>
      </c>
      <c r="H225" t="s">
        <v>1346</v>
      </c>
      <c r="I225" t="s">
        <v>310</v>
      </c>
      <c r="J225">
        <v>2</v>
      </c>
      <c r="L225">
        <v>389.9</v>
      </c>
      <c r="M225">
        <v>664.46</v>
      </c>
      <c r="N225">
        <v>991.48</v>
      </c>
      <c r="O225">
        <v>1413.74</v>
      </c>
      <c r="P225">
        <v>0</v>
      </c>
      <c r="Q225">
        <v>3</v>
      </c>
      <c r="R225">
        <v>0</v>
      </c>
      <c r="S225">
        <v>200138</v>
      </c>
      <c r="T225" t="b">
        <v>1</v>
      </c>
    </row>
    <row r="226" spans="2:20" x14ac:dyDescent="0.35">
      <c r="B226">
        <v>2019</v>
      </c>
      <c r="C226" s="41">
        <v>43399</v>
      </c>
      <c r="D226" t="s">
        <v>1349</v>
      </c>
      <c r="E226" t="s">
        <v>219</v>
      </c>
      <c r="F226" t="s">
        <v>461</v>
      </c>
      <c r="G226" t="s">
        <v>1299</v>
      </c>
      <c r="H226" t="s">
        <v>1346</v>
      </c>
      <c r="I226" t="s">
        <v>310</v>
      </c>
      <c r="J226">
        <v>2</v>
      </c>
      <c r="L226">
        <v>346.25</v>
      </c>
      <c r="M226">
        <v>590.07000000000005</v>
      </c>
      <c r="N226">
        <v>880.49</v>
      </c>
      <c r="O226">
        <v>1255.48</v>
      </c>
      <c r="P226">
        <v>0</v>
      </c>
      <c r="Q226">
        <v>3</v>
      </c>
      <c r="R226">
        <v>0</v>
      </c>
      <c r="S226">
        <v>200138</v>
      </c>
      <c r="T226" t="b">
        <v>1</v>
      </c>
    </row>
    <row r="227" spans="2:20" x14ac:dyDescent="0.35">
      <c r="B227">
        <v>2019</v>
      </c>
      <c r="C227" s="41">
        <v>43399</v>
      </c>
      <c r="D227" t="s">
        <v>1348</v>
      </c>
      <c r="E227" t="s">
        <v>219</v>
      </c>
      <c r="F227" t="s">
        <v>1302</v>
      </c>
      <c r="G227" t="s">
        <v>1299</v>
      </c>
      <c r="H227" t="s">
        <v>1346</v>
      </c>
      <c r="I227" t="s">
        <v>310</v>
      </c>
      <c r="J227">
        <v>2</v>
      </c>
      <c r="L227">
        <v>389.9</v>
      </c>
      <c r="M227">
        <v>664.46</v>
      </c>
      <c r="N227">
        <v>991.48</v>
      </c>
      <c r="O227">
        <v>1413.74</v>
      </c>
      <c r="P227">
        <v>1</v>
      </c>
      <c r="Q227">
        <v>1</v>
      </c>
      <c r="R227">
        <v>0</v>
      </c>
      <c r="S227">
        <v>200138</v>
      </c>
      <c r="T227" t="b">
        <v>1</v>
      </c>
    </row>
    <row r="228" spans="2:20" x14ac:dyDescent="0.35">
      <c r="B228">
        <v>2019</v>
      </c>
      <c r="C228" s="41">
        <v>43399</v>
      </c>
      <c r="D228" t="s">
        <v>1348</v>
      </c>
      <c r="E228" t="s">
        <v>219</v>
      </c>
      <c r="F228" t="s">
        <v>1298</v>
      </c>
      <c r="G228" t="s">
        <v>1299</v>
      </c>
      <c r="H228" t="s">
        <v>1346</v>
      </c>
      <c r="I228" t="s">
        <v>310</v>
      </c>
      <c r="J228">
        <v>2</v>
      </c>
      <c r="L228">
        <v>409.39</v>
      </c>
      <c r="M228">
        <v>697.68</v>
      </c>
      <c r="N228">
        <v>1041.06</v>
      </c>
      <c r="O228">
        <v>1484.44</v>
      </c>
      <c r="P228">
        <v>1</v>
      </c>
      <c r="Q228">
        <v>1</v>
      </c>
      <c r="R228">
        <v>0</v>
      </c>
      <c r="S228">
        <v>200138</v>
      </c>
      <c r="T228" t="b">
        <v>1</v>
      </c>
    </row>
    <row r="229" spans="2:20" x14ac:dyDescent="0.35">
      <c r="B229">
        <v>2019</v>
      </c>
      <c r="C229" s="41">
        <v>43399</v>
      </c>
      <c r="D229" t="s">
        <v>1349</v>
      </c>
      <c r="E229" t="s">
        <v>219</v>
      </c>
      <c r="F229" t="s">
        <v>1301</v>
      </c>
      <c r="G229" t="s">
        <v>1299</v>
      </c>
      <c r="H229" t="s">
        <v>1346</v>
      </c>
      <c r="I229" t="s">
        <v>310</v>
      </c>
      <c r="J229">
        <v>2</v>
      </c>
      <c r="L229">
        <v>432.28</v>
      </c>
      <c r="M229">
        <v>736.69</v>
      </c>
      <c r="N229">
        <v>1099.26</v>
      </c>
      <c r="O229">
        <v>1567.42</v>
      </c>
      <c r="P229">
        <v>0</v>
      </c>
      <c r="Q229">
        <v>3</v>
      </c>
      <c r="R229">
        <v>0</v>
      </c>
      <c r="S229">
        <v>200138</v>
      </c>
      <c r="T229" t="b">
        <v>1</v>
      </c>
    </row>
    <row r="230" spans="2:20" x14ac:dyDescent="0.35">
      <c r="B230">
        <v>2019</v>
      </c>
      <c r="C230" s="41">
        <v>43374</v>
      </c>
      <c r="D230" t="s">
        <v>1350</v>
      </c>
      <c r="E230" t="s">
        <v>219</v>
      </c>
      <c r="F230" t="s">
        <v>1311</v>
      </c>
      <c r="G230" t="s">
        <v>1299</v>
      </c>
      <c r="H230" t="s">
        <v>1351</v>
      </c>
      <c r="I230" t="s">
        <v>310</v>
      </c>
      <c r="J230">
        <v>2</v>
      </c>
      <c r="L230">
        <v>349.01</v>
      </c>
      <c r="M230">
        <v>594.79</v>
      </c>
      <c r="N230">
        <v>887.53</v>
      </c>
      <c r="O230">
        <v>1265.52</v>
      </c>
      <c r="P230">
        <v>1</v>
      </c>
      <c r="Q230">
        <v>2</v>
      </c>
      <c r="R230">
        <v>0</v>
      </c>
      <c r="S230">
        <v>200138</v>
      </c>
      <c r="T230" t="b">
        <v>1</v>
      </c>
    </row>
    <row r="231" spans="2:20" x14ac:dyDescent="0.35">
      <c r="B231">
        <v>2019</v>
      </c>
      <c r="C231" s="41">
        <v>43374</v>
      </c>
      <c r="D231" t="s">
        <v>1350</v>
      </c>
      <c r="E231" t="s">
        <v>219</v>
      </c>
      <c r="F231" t="s">
        <v>460</v>
      </c>
      <c r="G231" t="s">
        <v>1299</v>
      </c>
      <c r="H231" t="s">
        <v>1351</v>
      </c>
      <c r="I231" t="s">
        <v>310</v>
      </c>
      <c r="J231">
        <v>2</v>
      </c>
      <c r="L231">
        <v>363.39</v>
      </c>
      <c r="M231">
        <v>619.29</v>
      </c>
      <c r="N231">
        <v>924.07999999999902</v>
      </c>
      <c r="O231">
        <v>1317.6399999999901</v>
      </c>
      <c r="P231">
        <v>1</v>
      </c>
      <c r="Q231">
        <v>2</v>
      </c>
      <c r="R231">
        <v>0</v>
      </c>
      <c r="S231">
        <v>200138</v>
      </c>
      <c r="T231" t="b">
        <v>1</v>
      </c>
    </row>
    <row r="232" spans="2:20" x14ac:dyDescent="0.35">
      <c r="B232">
        <v>2019</v>
      </c>
      <c r="C232" s="41">
        <v>43374</v>
      </c>
      <c r="D232" t="s">
        <v>1350</v>
      </c>
      <c r="E232" t="s">
        <v>219</v>
      </c>
      <c r="F232" t="s">
        <v>462</v>
      </c>
      <c r="G232" t="s">
        <v>1299</v>
      </c>
      <c r="H232" t="s">
        <v>1351</v>
      </c>
      <c r="I232" t="s">
        <v>310</v>
      </c>
      <c r="J232">
        <v>2</v>
      </c>
      <c r="L232">
        <v>368.98</v>
      </c>
      <c r="M232">
        <v>628.80999999999995</v>
      </c>
      <c r="N232">
        <v>938.29</v>
      </c>
      <c r="O232">
        <v>1337.9</v>
      </c>
      <c r="P232">
        <v>1</v>
      </c>
      <c r="Q232">
        <v>2</v>
      </c>
      <c r="R232">
        <v>0</v>
      </c>
      <c r="S232">
        <v>200138</v>
      </c>
      <c r="T232" t="b">
        <v>1</v>
      </c>
    </row>
    <row r="233" spans="2:20" x14ac:dyDescent="0.35">
      <c r="B233">
        <v>2019</v>
      </c>
      <c r="C233" s="41">
        <v>43399</v>
      </c>
      <c r="D233" t="s">
        <v>1349</v>
      </c>
      <c r="E233" t="s">
        <v>219</v>
      </c>
      <c r="F233" t="s">
        <v>1298</v>
      </c>
      <c r="G233" t="s">
        <v>1299</v>
      </c>
      <c r="H233" t="s">
        <v>1346</v>
      </c>
      <c r="I233" t="s">
        <v>310</v>
      </c>
      <c r="J233">
        <v>2</v>
      </c>
      <c r="L233">
        <v>409.39</v>
      </c>
      <c r="M233">
        <v>697.68</v>
      </c>
      <c r="N233">
        <v>1041.06</v>
      </c>
      <c r="O233">
        <v>1484.44</v>
      </c>
      <c r="P233">
        <v>0</v>
      </c>
      <c r="Q233">
        <v>3</v>
      </c>
      <c r="R233">
        <v>0</v>
      </c>
      <c r="S233">
        <v>200138</v>
      </c>
      <c r="T233" t="b">
        <v>1</v>
      </c>
    </row>
    <row r="234" spans="2:20" x14ac:dyDescent="0.35">
      <c r="B234">
        <v>2019</v>
      </c>
      <c r="C234" s="41">
        <v>43374</v>
      </c>
      <c r="D234" t="s">
        <v>1350</v>
      </c>
      <c r="E234" t="s">
        <v>219</v>
      </c>
      <c r="F234" t="s">
        <v>1309</v>
      </c>
      <c r="G234" t="s">
        <v>1299</v>
      </c>
      <c r="H234" t="s">
        <v>1351</v>
      </c>
      <c r="I234" t="s">
        <v>310</v>
      </c>
      <c r="J234">
        <v>2</v>
      </c>
      <c r="L234">
        <v>359.4</v>
      </c>
      <c r="M234">
        <v>612.48</v>
      </c>
      <c r="N234">
        <v>913.91</v>
      </c>
      <c r="O234">
        <v>1303.1399999999901</v>
      </c>
      <c r="P234">
        <v>1</v>
      </c>
      <c r="Q234">
        <v>2</v>
      </c>
      <c r="R234">
        <v>0</v>
      </c>
      <c r="S234">
        <v>200138</v>
      </c>
      <c r="T234" t="b">
        <v>1</v>
      </c>
    </row>
    <row r="235" spans="2:20" x14ac:dyDescent="0.35">
      <c r="B235">
        <v>2019</v>
      </c>
      <c r="C235" s="41">
        <v>43374</v>
      </c>
      <c r="D235" t="s">
        <v>1352</v>
      </c>
      <c r="E235" t="s">
        <v>219</v>
      </c>
      <c r="F235" t="s">
        <v>1309</v>
      </c>
      <c r="G235" t="s">
        <v>1299</v>
      </c>
      <c r="H235" t="s">
        <v>1351</v>
      </c>
      <c r="I235" t="s">
        <v>310</v>
      </c>
      <c r="J235">
        <v>2</v>
      </c>
      <c r="L235">
        <v>359.4</v>
      </c>
      <c r="M235">
        <v>612.48</v>
      </c>
      <c r="N235">
        <v>913.91</v>
      </c>
      <c r="O235">
        <v>1303.1399999999901</v>
      </c>
      <c r="P235">
        <v>1</v>
      </c>
      <c r="Q235">
        <v>2</v>
      </c>
      <c r="R235">
        <v>0</v>
      </c>
      <c r="S235">
        <v>200138</v>
      </c>
      <c r="T235" t="b">
        <v>1</v>
      </c>
    </row>
    <row r="236" spans="2:20" x14ac:dyDescent="0.35">
      <c r="B236">
        <v>2019</v>
      </c>
      <c r="C236" s="41">
        <v>43374</v>
      </c>
      <c r="D236" t="s">
        <v>1350</v>
      </c>
      <c r="E236" t="s">
        <v>219</v>
      </c>
      <c r="F236" t="s">
        <v>459</v>
      </c>
      <c r="G236" t="s">
        <v>1299</v>
      </c>
      <c r="H236" t="s">
        <v>1351</v>
      </c>
      <c r="I236" t="s">
        <v>310</v>
      </c>
      <c r="J236">
        <v>2</v>
      </c>
      <c r="L236">
        <v>299.89999999999998</v>
      </c>
      <c r="M236">
        <v>511.08</v>
      </c>
      <c r="N236">
        <v>762.61</v>
      </c>
      <c r="O236">
        <v>1087.4000000000001</v>
      </c>
      <c r="P236">
        <v>1</v>
      </c>
      <c r="Q236">
        <v>2</v>
      </c>
      <c r="R236">
        <v>0</v>
      </c>
      <c r="S236">
        <v>200138</v>
      </c>
      <c r="T236" t="b">
        <v>1</v>
      </c>
    </row>
    <row r="237" spans="2:20" x14ac:dyDescent="0.35">
      <c r="B237">
        <v>2019</v>
      </c>
      <c r="C237" s="41">
        <v>43374</v>
      </c>
      <c r="D237" t="s">
        <v>1350</v>
      </c>
      <c r="E237" t="s">
        <v>219</v>
      </c>
      <c r="F237" t="s">
        <v>1310</v>
      </c>
      <c r="G237" t="s">
        <v>1299</v>
      </c>
      <c r="H237" t="s">
        <v>1351</v>
      </c>
      <c r="I237" t="s">
        <v>310</v>
      </c>
      <c r="J237">
        <v>2</v>
      </c>
      <c r="L237">
        <v>466.42</v>
      </c>
      <c r="M237">
        <v>794.86</v>
      </c>
      <c r="N237">
        <v>1186.08</v>
      </c>
      <c r="O237">
        <v>1691.22</v>
      </c>
      <c r="P237">
        <v>1</v>
      </c>
      <c r="Q237">
        <v>2</v>
      </c>
      <c r="R237">
        <v>0</v>
      </c>
      <c r="S237">
        <v>200138</v>
      </c>
      <c r="T237" t="b">
        <v>1</v>
      </c>
    </row>
    <row r="238" spans="2:20" x14ac:dyDescent="0.35">
      <c r="B238">
        <v>2019</v>
      </c>
      <c r="C238" s="41">
        <v>43374</v>
      </c>
      <c r="D238" t="s">
        <v>1352</v>
      </c>
      <c r="E238" t="s">
        <v>219</v>
      </c>
      <c r="F238" t="s">
        <v>1307</v>
      </c>
      <c r="G238" t="s">
        <v>1299</v>
      </c>
      <c r="H238" t="s">
        <v>1351</v>
      </c>
      <c r="I238" t="s">
        <v>310</v>
      </c>
      <c r="J238">
        <v>2</v>
      </c>
      <c r="L238">
        <v>326.25</v>
      </c>
      <c r="M238">
        <v>556</v>
      </c>
      <c r="N238">
        <v>829.64</v>
      </c>
      <c r="O238">
        <v>1182.98</v>
      </c>
      <c r="P238">
        <v>1</v>
      </c>
      <c r="Q238">
        <v>2</v>
      </c>
      <c r="R238">
        <v>0</v>
      </c>
      <c r="S238">
        <v>200138</v>
      </c>
      <c r="T238" t="b">
        <v>1</v>
      </c>
    </row>
    <row r="239" spans="2:20" x14ac:dyDescent="0.35">
      <c r="B239">
        <v>2019</v>
      </c>
      <c r="C239" s="41">
        <v>43374</v>
      </c>
      <c r="D239" t="s">
        <v>1350</v>
      </c>
      <c r="E239" t="s">
        <v>219</v>
      </c>
      <c r="F239" t="s">
        <v>1307</v>
      </c>
      <c r="G239" t="s">
        <v>1299</v>
      </c>
      <c r="H239" t="s">
        <v>1351</v>
      </c>
      <c r="I239" t="s">
        <v>310</v>
      </c>
      <c r="J239">
        <v>2</v>
      </c>
      <c r="L239">
        <v>326.25</v>
      </c>
      <c r="M239">
        <v>556</v>
      </c>
      <c r="N239">
        <v>829.64</v>
      </c>
      <c r="O239">
        <v>1182.98</v>
      </c>
      <c r="P239">
        <v>1</v>
      </c>
      <c r="Q239">
        <v>2</v>
      </c>
      <c r="R239">
        <v>0</v>
      </c>
      <c r="S239">
        <v>200138</v>
      </c>
      <c r="T239" t="b">
        <v>1</v>
      </c>
    </row>
    <row r="240" spans="2:20" x14ac:dyDescent="0.35">
      <c r="B240">
        <v>2019</v>
      </c>
      <c r="C240" s="41">
        <v>43374</v>
      </c>
      <c r="D240" t="s">
        <v>1352</v>
      </c>
      <c r="E240" t="s">
        <v>219</v>
      </c>
      <c r="F240" t="s">
        <v>1311</v>
      </c>
      <c r="G240" t="s">
        <v>1299</v>
      </c>
      <c r="H240" t="s">
        <v>1351</v>
      </c>
      <c r="I240" t="s">
        <v>310</v>
      </c>
      <c r="J240">
        <v>2</v>
      </c>
      <c r="L240">
        <v>349.01</v>
      </c>
      <c r="M240">
        <v>594.79</v>
      </c>
      <c r="N240">
        <v>887.53</v>
      </c>
      <c r="O240">
        <v>1265.52</v>
      </c>
      <c r="P240">
        <v>1</v>
      </c>
      <c r="Q240">
        <v>2</v>
      </c>
      <c r="R240">
        <v>0</v>
      </c>
      <c r="S240">
        <v>200138</v>
      </c>
      <c r="T240" t="b">
        <v>1</v>
      </c>
    </row>
    <row r="241" spans="2:20" x14ac:dyDescent="0.35">
      <c r="B241">
        <v>2019</v>
      </c>
      <c r="C241" s="41">
        <v>43374</v>
      </c>
      <c r="D241" t="s">
        <v>1350</v>
      </c>
      <c r="E241" t="s">
        <v>219</v>
      </c>
      <c r="F241" t="s">
        <v>463</v>
      </c>
      <c r="G241" t="s">
        <v>1299</v>
      </c>
      <c r="H241" t="s">
        <v>1351</v>
      </c>
      <c r="I241" t="s">
        <v>310</v>
      </c>
      <c r="J241">
        <v>2</v>
      </c>
      <c r="L241">
        <v>301.89</v>
      </c>
      <c r="M241">
        <v>514.48</v>
      </c>
      <c r="N241">
        <v>767.69</v>
      </c>
      <c r="O241">
        <v>1094.6399999999901</v>
      </c>
      <c r="P241">
        <v>1</v>
      </c>
      <c r="Q241">
        <v>2</v>
      </c>
      <c r="R241">
        <v>0</v>
      </c>
      <c r="S241">
        <v>200138</v>
      </c>
      <c r="T241" t="b">
        <v>1</v>
      </c>
    </row>
    <row r="242" spans="2:20" x14ac:dyDescent="0.35">
      <c r="B242">
        <v>2019</v>
      </c>
      <c r="C242" s="41">
        <v>43374</v>
      </c>
      <c r="D242" t="s">
        <v>1352</v>
      </c>
      <c r="E242" t="s">
        <v>219</v>
      </c>
      <c r="F242" t="s">
        <v>463</v>
      </c>
      <c r="G242" t="s">
        <v>1299</v>
      </c>
      <c r="H242" t="s">
        <v>1351</v>
      </c>
      <c r="I242" t="s">
        <v>310</v>
      </c>
      <c r="J242">
        <v>2</v>
      </c>
      <c r="L242">
        <v>301.89</v>
      </c>
      <c r="M242">
        <v>514.48</v>
      </c>
      <c r="N242">
        <v>767.69</v>
      </c>
      <c r="O242">
        <v>1094.6399999999901</v>
      </c>
      <c r="P242">
        <v>1</v>
      </c>
      <c r="Q242">
        <v>2</v>
      </c>
      <c r="R242">
        <v>0</v>
      </c>
      <c r="S242">
        <v>200138</v>
      </c>
      <c r="T242" t="b">
        <v>1</v>
      </c>
    </row>
    <row r="243" spans="2:20" x14ac:dyDescent="0.35">
      <c r="B243">
        <v>2019</v>
      </c>
      <c r="C243" s="41">
        <v>43374</v>
      </c>
      <c r="D243" t="s">
        <v>1352</v>
      </c>
      <c r="E243" t="s">
        <v>219</v>
      </c>
      <c r="F243" t="s">
        <v>460</v>
      </c>
      <c r="G243" t="s">
        <v>1299</v>
      </c>
      <c r="H243" t="s">
        <v>1351</v>
      </c>
      <c r="I243" t="s">
        <v>310</v>
      </c>
      <c r="J243">
        <v>2</v>
      </c>
      <c r="L243">
        <v>363.39</v>
      </c>
      <c r="M243">
        <v>619.29</v>
      </c>
      <c r="N243">
        <v>924.07999999999902</v>
      </c>
      <c r="O243">
        <v>1317.6399999999901</v>
      </c>
      <c r="P243">
        <v>1</v>
      </c>
      <c r="Q243">
        <v>2</v>
      </c>
      <c r="R243">
        <v>0</v>
      </c>
      <c r="S243">
        <v>200138</v>
      </c>
      <c r="T243" t="b">
        <v>1</v>
      </c>
    </row>
    <row r="244" spans="2:20" x14ac:dyDescent="0.35">
      <c r="B244">
        <v>2019</v>
      </c>
      <c r="C244" s="41">
        <v>43374</v>
      </c>
      <c r="D244" t="s">
        <v>1352</v>
      </c>
      <c r="E244" t="s">
        <v>219</v>
      </c>
      <c r="F244" t="s">
        <v>462</v>
      </c>
      <c r="G244" t="s">
        <v>1299</v>
      </c>
      <c r="H244" t="s">
        <v>1351</v>
      </c>
      <c r="I244" t="s">
        <v>310</v>
      </c>
      <c r="J244">
        <v>2</v>
      </c>
      <c r="L244">
        <v>368.98</v>
      </c>
      <c r="M244">
        <v>628.80999999999995</v>
      </c>
      <c r="N244">
        <v>938.29</v>
      </c>
      <c r="O244">
        <v>1337.9</v>
      </c>
      <c r="P244">
        <v>1</v>
      </c>
      <c r="Q244">
        <v>2</v>
      </c>
      <c r="R244">
        <v>0</v>
      </c>
      <c r="S244">
        <v>200138</v>
      </c>
      <c r="T244" t="b">
        <v>1</v>
      </c>
    </row>
    <row r="245" spans="2:20" x14ac:dyDescent="0.35">
      <c r="B245">
        <v>2019</v>
      </c>
      <c r="C245" s="41">
        <v>43374</v>
      </c>
      <c r="D245" t="s">
        <v>1353</v>
      </c>
      <c r="E245" t="s">
        <v>219</v>
      </c>
      <c r="F245" t="s">
        <v>1309</v>
      </c>
      <c r="G245" t="s">
        <v>1299</v>
      </c>
      <c r="H245" t="s">
        <v>1351</v>
      </c>
      <c r="I245" t="s">
        <v>310</v>
      </c>
      <c r="J245">
        <v>2</v>
      </c>
      <c r="L245">
        <v>359.4</v>
      </c>
      <c r="M245">
        <v>612.48</v>
      </c>
      <c r="N245">
        <v>913.91</v>
      </c>
      <c r="O245">
        <v>1303.1399999999901</v>
      </c>
      <c r="P245">
        <v>1</v>
      </c>
      <c r="Q245">
        <v>2</v>
      </c>
      <c r="R245">
        <v>0</v>
      </c>
      <c r="S245">
        <v>200138</v>
      </c>
      <c r="T245" t="b">
        <v>1</v>
      </c>
    </row>
    <row r="246" spans="2:20" x14ac:dyDescent="0.35">
      <c r="B246">
        <v>2019</v>
      </c>
      <c r="C246" s="41">
        <v>43374</v>
      </c>
      <c r="D246" t="s">
        <v>1353</v>
      </c>
      <c r="E246" t="s">
        <v>219</v>
      </c>
      <c r="F246" t="s">
        <v>1311</v>
      </c>
      <c r="G246" t="s">
        <v>1299</v>
      </c>
      <c r="H246" t="s">
        <v>1351</v>
      </c>
      <c r="I246" t="s">
        <v>310</v>
      </c>
      <c r="J246">
        <v>2</v>
      </c>
      <c r="L246">
        <v>349.01</v>
      </c>
      <c r="M246">
        <v>594.79</v>
      </c>
      <c r="N246">
        <v>887.53</v>
      </c>
      <c r="O246">
        <v>1265.52</v>
      </c>
      <c r="P246">
        <v>1</v>
      </c>
      <c r="Q246">
        <v>2</v>
      </c>
      <c r="R246">
        <v>0</v>
      </c>
      <c r="S246">
        <v>200138</v>
      </c>
      <c r="T246" t="b">
        <v>1</v>
      </c>
    </row>
    <row r="247" spans="2:20" x14ac:dyDescent="0.35">
      <c r="B247">
        <v>2019</v>
      </c>
      <c r="C247" s="41">
        <v>43374</v>
      </c>
      <c r="D247" t="s">
        <v>1353</v>
      </c>
      <c r="E247" t="s">
        <v>219</v>
      </c>
      <c r="F247" t="s">
        <v>1307</v>
      </c>
      <c r="G247" t="s">
        <v>1299</v>
      </c>
      <c r="H247" t="s">
        <v>1351</v>
      </c>
      <c r="I247" t="s">
        <v>310</v>
      </c>
      <c r="J247">
        <v>2</v>
      </c>
      <c r="L247">
        <v>326.25</v>
      </c>
      <c r="M247">
        <v>556</v>
      </c>
      <c r="N247">
        <v>829.64</v>
      </c>
      <c r="O247">
        <v>1182.98</v>
      </c>
      <c r="P247">
        <v>1</v>
      </c>
      <c r="Q247">
        <v>2</v>
      </c>
      <c r="R247">
        <v>0</v>
      </c>
      <c r="S247">
        <v>200138</v>
      </c>
      <c r="T247" t="b">
        <v>1</v>
      </c>
    </row>
    <row r="248" spans="2:20" x14ac:dyDescent="0.35">
      <c r="B248">
        <v>2019</v>
      </c>
      <c r="C248" s="41">
        <v>43374</v>
      </c>
      <c r="D248" t="s">
        <v>1352</v>
      </c>
      <c r="E248" t="s">
        <v>219</v>
      </c>
      <c r="F248" t="s">
        <v>1310</v>
      </c>
      <c r="G248" t="s">
        <v>1299</v>
      </c>
      <c r="H248" t="s">
        <v>1351</v>
      </c>
      <c r="I248" t="s">
        <v>310</v>
      </c>
      <c r="J248">
        <v>2</v>
      </c>
      <c r="L248">
        <v>466.42</v>
      </c>
      <c r="M248">
        <v>794.86</v>
      </c>
      <c r="N248">
        <v>1186.08</v>
      </c>
      <c r="O248">
        <v>1691.22</v>
      </c>
      <c r="P248">
        <v>1</v>
      </c>
      <c r="Q248">
        <v>2</v>
      </c>
      <c r="R248">
        <v>0</v>
      </c>
      <c r="S248">
        <v>200138</v>
      </c>
      <c r="T248" t="b">
        <v>1</v>
      </c>
    </row>
    <row r="249" spans="2:20" x14ac:dyDescent="0.35">
      <c r="B249">
        <v>2019</v>
      </c>
      <c r="C249" s="41">
        <v>43374</v>
      </c>
      <c r="D249" t="s">
        <v>1353</v>
      </c>
      <c r="E249" t="s">
        <v>219</v>
      </c>
      <c r="F249" t="s">
        <v>463</v>
      </c>
      <c r="G249" t="s">
        <v>1299</v>
      </c>
      <c r="H249" t="s">
        <v>1351</v>
      </c>
      <c r="I249" t="s">
        <v>310</v>
      </c>
      <c r="J249">
        <v>2</v>
      </c>
      <c r="L249">
        <v>301.89</v>
      </c>
      <c r="M249">
        <v>514.48</v>
      </c>
      <c r="N249">
        <v>767.69</v>
      </c>
      <c r="O249">
        <v>1094.6399999999901</v>
      </c>
      <c r="P249">
        <v>1</v>
      </c>
      <c r="Q249">
        <v>2</v>
      </c>
      <c r="R249">
        <v>0</v>
      </c>
      <c r="S249">
        <v>200138</v>
      </c>
      <c r="T249" t="b">
        <v>1</v>
      </c>
    </row>
    <row r="250" spans="2:20" x14ac:dyDescent="0.35">
      <c r="B250">
        <v>2019</v>
      </c>
      <c r="C250" s="41">
        <v>43374</v>
      </c>
      <c r="D250" t="s">
        <v>1353</v>
      </c>
      <c r="E250" t="s">
        <v>219</v>
      </c>
      <c r="F250" t="s">
        <v>462</v>
      </c>
      <c r="G250" t="s">
        <v>1299</v>
      </c>
      <c r="H250" t="s">
        <v>1351</v>
      </c>
      <c r="I250" t="s">
        <v>310</v>
      </c>
      <c r="J250">
        <v>2</v>
      </c>
      <c r="L250">
        <v>368.98</v>
      </c>
      <c r="M250">
        <v>628.80999999999995</v>
      </c>
      <c r="N250">
        <v>938.29</v>
      </c>
      <c r="O250">
        <v>1337.9</v>
      </c>
      <c r="P250">
        <v>1</v>
      </c>
      <c r="Q250">
        <v>2</v>
      </c>
      <c r="R250">
        <v>0</v>
      </c>
      <c r="S250">
        <v>200138</v>
      </c>
      <c r="T250" t="b">
        <v>1</v>
      </c>
    </row>
    <row r="251" spans="2:20" x14ac:dyDescent="0.35">
      <c r="B251">
        <v>2019</v>
      </c>
      <c r="C251" s="41">
        <v>43374</v>
      </c>
      <c r="D251" t="s">
        <v>1353</v>
      </c>
      <c r="E251" t="s">
        <v>219</v>
      </c>
      <c r="F251" t="s">
        <v>1310</v>
      </c>
      <c r="G251" t="s">
        <v>1299</v>
      </c>
      <c r="H251" t="s">
        <v>1351</v>
      </c>
      <c r="I251" t="s">
        <v>310</v>
      </c>
      <c r="J251">
        <v>2</v>
      </c>
      <c r="L251">
        <v>466.42</v>
      </c>
      <c r="M251">
        <v>794.86</v>
      </c>
      <c r="N251">
        <v>1186.08</v>
      </c>
      <c r="O251">
        <v>1691.22</v>
      </c>
      <c r="P251">
        <v>1</v>
      </c>
      <c r="Q251">
        <v>2</v>
      </c>
      <c r="R251">
        <v>0</v>
      </c>
      <c r="S251">
        <v>200138</v>
      </c>
      <c r="T251" t="b">
        <v>1</v>
      </c>
    </row>
    <row r="252" spans="2:20" x14ac:dyDescent="0.35">
      <c r="B252">
        <v>2019</v>
      </c>
      <c r="C252" s="41">
        <v>43374</v>
      </c>
      <c r="D252" t="s">
        <v>1353</v>
      </c>
      <c r="E252" t="s">
        <v>219</v>
      </c>
      <c r="F252" t="s">
        <v>459</v>
      </c>
      <c r="G252" t="s">
        <v>1299</v>
      </c>
      <c r="H252" t="s">
        <v>1351</v>
      </c>
      <c r="I252" t="s">
        <v>310</v>
      </c>
      <c r="J252">
        <v>2</v>
      </c>
      <c r="L252">
        <v>299.89999999999998</v>
      </c>
      <c r="M252">
        <v>511.08</v>
      </c>
      <c r="N252">
        <v>762.61</v>
      </c>
      <c r="O252">
        <v>1087.4000000000001</v>
      </c>
      <c r="P252">
        <v>1</v>
      </c>
      <c r="Q252">
        <v>2</v>
      </c>
      <c r="R252">
        <v>0</v>
      </c>
      <c r="S252">
        <v>200138</v>
      </c>
      <c r="T252" t="b">
        <v>1</v>
      </c>
    </row>
    <row r="253" spans="2:20" x14ac:dyDescent="0.35">
      <c r="B253">
        <v>2019</v>
      </c>
      <c r="C253" s="41">
        <v>43374</v>
      </c>
      <c r="D253" t="s">
        <v>1353</v>
      </c>
      <c r="E253" t="s">
        <v>219</v>
      </c>
      <c r="F253" t="s">
        <v>460</v>
      </c>
      <c r="G253" t="s">
        <v>1299</v>
      </c>
      <c r="H253" t="s">
        <v>1351</v>
      </c>
      <c r="I253" t="s">
        <v>310</v>
      </c>
      <c r="J253">
        <v>2</v>
      </c>
      <c r="L253">
        <v>363.39</v>
      </c>
      <c r="M253">
        <v>619.29</v>
      </c>
      <c r="N253">
        <v>924.07999999999902</v>
      </c>
      <c r="O253">
        <v>1317.6399999999901</v>
      </c>
      <c r="P253">
        <v>1</v>
      </c>
      <c r="Q253">
        <v>2</v>
      </c>
      <c r="R253">
        <v>0</v>
      </c>
      <c r="S253">
        <v>200138</v>
      </c>
      <c r="T253" t="b">
        <v>1</v>
      </c>
    </row>
    <row r="254" spans="2:20" x14ac:dyDescent="0.35">
      <c r="B254">
        <v>2019</v>
      </c>
      <c r="C254" s="41">
        <v>43374</v>
      </c>
      <c r="D254" t="s">
        <v>1352</v>
      </c>
      <c r="E254" t="s">
        <v>219</v>
      </c>
      <c r="F254" t="s">
        <v>459</v>
      </c>
      <c r="G254" t="s">
        <v>1299</v>
      </c>
      <c r="H254" t="s">
        <v>1351</v>
      </c>
      <c r="I254" t="s">
        <v>310</v>
      </c>
      <c r="J254">
        <v>2</v>
      </c>
      <c r="L254">
        <v>299.89999999999998</v>
      </c>
      <c r="M254">
        <v>511.08</v>
      </c>
      <c r="N254">
        <v>762.61</v>
      </c>
      <c r="O254">
        <v>1087.4000000000001</v>
      </c>
      <c r="P254">
        <v>1</v>
      </c>
      <c r="Q254">
        <v>2</v>
      </c>
      <c r="R254">
        <v>0</v>
      </c>
      <c r="S254">
        <v>200138</v>
      </c>
      <c r="T254" t="b">
        <v>1</v>
      </c>
    </row>
    <row r="255" spans="2:20" x14ac:dyDescent="0.35">
      <c r="B255">
        <v>2019</v>
      </c>
      <c r="C255" s="41">
        <v>43374</v>
      </c>
      <c r="D255" t="s">
        <v>1354</v>
      </c>
      <c r="E255" t="s">
        <v>219</v>
      </c>
      <c r="F255" t="s">
        <v>463</v>
      </c>
      <c r="G255" t="s">
        <v>1299</v>
      </c>
      <c r="H255" t="s">
        <v>1351</v>
      </c>
      <c r="I255" t="s">
        <v>310</v>
      </c>
      <c r="J255">
        <v>2</v>
      </c>
      <c r="L255">
        <v>301.89</v>
      </c>
      <c r="M255">
        <v>514.48</v>
      </c>
      <c r="N255">
        <v>767.69</v>
      </c>
      <c r="O255">
        <v>1094.6399999999901</v>
      </c>
      <c r="P255">
        <v>0</v>
      </c>
      <c r="Q255">
        <v>2</v>
      </c>
      <c r="R255">
        <v>0</v>
      </c>
      <c r="S255">
        <v>200138</v>
      </c>
      <c r="T255" t="b">
        <v>1</v>
      </c>
    </row>
    <row r="256" spans="2:20" x14ac:dyDescent="0.35">
      <c r="B256">
        <v>2019</v>
      </c>
      <c r="C256" s="41">
        <v>43374</v>
      </c>
      <c r="D256" t="s">
        <v>1354</v>
      </c>
      <c r="E256" t="s">
        <v>219</v>
      </c>
      <c r="F256" t="s">
        <v>462</v>
      </c>
      <c r="G256" t="s">
        <v>1299</v>
      </c>
      <c r="H256" t="s">
        <v>1351</v>
      </c>
      <c r="I256" t="s">
        <v>310</v>
      </c>
      <c r="J256">
        <v>2</v>
      </c>
      <c r="L256">
        <v>368.98</v>
      </c>
      <c r="M256">
        <v>628.80999999999995</v>
      </c>
      <c r="N256">
        <v>938.29</v>
      </c>
      <c r="O256">
        <v>1337.9</v>
      </c>
      <c r="P256">
        <v>0</v>
      </c>
      <c r="Q256">
        <v>2</v>
      </c>
      <c r="R256">
        <v>0</v>
      </c>
      <c r="S256">
        <v>200138</v>
      </c>
      <c r="T256" t="b">
        <v>1</v>
      </c>
    </row>
    <row r="257" spans="2:20" x14ac:dyDescent="0.35">
      <c r="B257">
        <v>2019</v>
      </c>
      <c r="C257" s="41">
        <v>43374</v>
      </c>
      <c r="D257" t="s">
        <v>1354</v>
      </c>
      <c r="E257" t="s">
        <v>219</v>
      </c>
      <c r="F257" t="s">
        <v>460</v>
      </c>
      <c r="G257" t="s">
        <v>1299</v>
      </c>
      <c r="H257" t="s">
        <v>1351</v>
      </c>
      <c r="I257" t="s">
        <v>310</v>
      </c>
      <c r="J257">
        <v>2</v>
      </c>
      <c r="L257">
        <v>363.39</v>
      </c>
      <c r="M257">
        <v>619.29</v>
      </c>
      <c r="N257">
        <v>924.07999999999902</v>
      </c>
      <c r="O257">
        <v>1317.6399999999901</v>
      </c>
      <c r="P257">
        <v>0</v>
      </c>
      <c r="Q257">
        <v>2</v>
      </c>
      <c r="R257">
        <v>0</v>
      </c>
      <c r="S257">
        <v>200138</v>
      </c>
      <c r="T257" t="b">
        <v>1</v>
      </c>
    </row>
    <row r="258" spans="2:20" x14ac:dyDescent="0.35">
      <c r="B258">
        <v>2019</v>
      </c>
      <c r="C258" s="41">
        <v>43374</v>
      </c>
      <c r="D258" t="s">
        <v>1354</v>
      </c>
      <c r="E258" t="s">
        <v>219</v>
      </c>
      <c r="F258" t="s">
        <v>459</v>
      </c>
      <c r="G258" t="s">
        <v>1299</v>
      </c>
      <c r="H258" t="s">
        <v>1351</v>
      </c>
      <c r="I258" t="s">
        <v>310</v>
      </c>
      <c r="J258">
        <v>2</v>
      </c>
      <c r="L258">
        <v>299.89999999999998</v>
      </c>
      <c r="M258">
        <v>511.08</v>
      </c>
      <c r="N258">
        <v>762.61</v>
      </c>
      <c r="O258">
        <v>1087.4000000000001</v>
      </c>
      <c r="P258">
        <v>0</v>
      </c>
      <c r="Q258">
        <v>2</v>
      </c>
      <c r="R258">
        <v>0</v>
      </c>
      <c r="S258">
        <v>200138</v>
      </c>
      <c r="T258" t="b">
        <v>1</v>
      </c>
    </row>
    <row r="259" spans="2:20" x14ac:dyDescent="0.35">
      <c r="B259">
        <v>2019</v>
      </c>
      <c r="C259" s="41">
        <v>43374</v>
      </c>
      <c r="D259" t="s">
        <v>1354</v>
      </c>
      <c r="E259" t="s">
        <v>219</v>
      </c>
      <c r="F259" t="s">
        <v>1310</v>
      </c>
      <c r="G259" t="s">
        <v>1299</v>
      </c>
      <c r="H259" t="s">
        <v>1351</v>
      </c>
      <c r="I259" t="s">
        <v>310</v>
      </c>
      <c r="J259">
        <v>2</v>
      </c>
      <c r="L259">
        <v>466.42</v>
      </c>
      <c r="M259">
        <v>794.86</v>
      </c>
      <c r="N259">
        <v>1186.08</v>
      </c>
      <c r="O259">
        <v>1691.22</v>
      </c>
      <c r="P259">
        <v>0</v>
      </c>
      <c r="Q259">
        <v>2</v>
      </c>
      <c r="R259">
        <v>0</v>
      </c>
      <c r="S259">
        <v>200138</v>
      </c>
      <c r="T259" t="b">
        <v>1</v>
      </c>
    </row>
    <row r="260" spans="2:20" x14ac:dyDescent="0.35">
      <c r="B260">
        <v>2019</v>
      </c>
      <c r="C260" s="41">
        <v>43374</v>
      </c>
      <c r="D260" t="s">
        <v>1355</v>
      </c>
      <c r="E260" t="s">
        <v>219</v>
      </c>
      <c r="F260" t="s">
        <v>1307</v>
      </c>
      <c r="G260" t="s">
        <v>1299</v>
      </c>
      <c r="H260" t="s">
        <v>1356</v>
      </c>
      <c r="I260" t="s">
        <v>310</v>
      </c>
      <c r="J260">
        <v>2</v>
      </c>
      <c r="L260">
        <v>330.06</v>
      </c>
      <c r="M260">
        <v>562.49</v>
      </c>
      <c r="N260">
        <v>839.31999999999903</v>
      </c>
      <c r="O260">
        <v>1196.78</v>
      </c>
      <c r="P260">
        <v>1</v>
      </c>
      <c r="Q260">
        <v>2</v>
      </c>
      <c r="R260">
        <v>0</v>
      </c>
      <c r="S260">
        <v>200138</v>
      </c>
      <c r="T260" t="b">
        <v>1</v>
      </c>
    </row>
    <row r="261" spans="2:20" x14ac:dyDescent="0.35">
      <c r="B261">
        <v>2019</v>
      </c>
      <c r="C261" s="41">
        <v>43374</v>
      </c>
      <c r="D261" t="s">
        <v>1355</v>
      </c>
      <c r="E261" t="s">
        <v>219</v>
      </c>
      <c r="F261" t="s">
        <v>1311</v>
      </c>
      <c r="G261" t="s">
        <v>1299</v>
      </c>
      <c r="H261" t="s">
        <v>1356</v>
      </c>
      <c r="I261" t="s">
        <v>310</v>
      </c>
      <c r="J261">
        <v>2</v>
      </c>
      <c r="L261">
        <v>353.09</v>
      </c>
      <c r="M261">
        <v>601.73</v>
      </c>
      <c r="N261">
        <v>897.88</v>
      </c>
      <c r="O261">
        <v>1280.28</v>
      </c>
      <c r="P261">
        <v>1</v>
      </c>
      <c r="Q261">
        <v>2</v>
      </c>
      <c r="R261">
        <v>0</v>
      </c>
      <c r="S261">
        <v>200138</v>
      </c>
      <c r="T261" t="b">
        <v>1</v>
      </c>
    </row>
    <row r="262" spans="2:20" x14ac:dyDescent="0.35">
      <c r="B262">
        <v>2019</v>
      </c>
      <c r="C262" s="41">
        <v>43374</v>
      </c>
      <c r="D262" t="s">
        <v>1354</v>
      </c>
      <c r="E262" t="s">
        <v>219</v>
      </c>
      <c r="F262" t="s">
        <v>1307</v>
      </c>
      <c r="G262" t="s">
        <v>1299</v>
      </c>
      <c r="H262" t="s">
        <v>1351</v>
      </c>
      <c r="I262" t="s">
        <v>310</v>
      </c>
      <c r="J262">
        <v>2</v>
      </c>
      <c r="L262">
        <v>326.25</v>
      </c>
      <c r="M262">
        <v>556</v>
      </c>
      <c r="N262">
        <v>829.64</v>
      </c>
      <c r="O262">
        <v>1182.98</v>
      </c>
      <c r="P262">
        <v>0</v>
      </c>
      <c r="Q262">
        <v>2</v>
      </c>
      <c r="R262">
        <v>0</v>
      </c>
      <c r="S262">
        <v>200138</v>
      </c>
      <c r="T262" t="b">
        <v>1</v>
      </c>
    </row>
    <row r="263" spans="2:20" x14ac:dyDescent="0.35">
      <c r="B263">
        <v>2019</v>
      </c>
      <c r="C263" s="41">
        <v>43374</v>
      </c>
      <c r="D263" t="s">
        <v>1354</v>
      </c>
      <c r="E263" t="s">
        <v>219</v>
      </c>
      <c r="F263" t="s">
        <v>1311</v>
      </c>
      <c r="G263" t="s">
        <v>1299</v>
      </c>
      <c r="H263" t="s">
        <v>1351</v>
      </c>
      <c r="I263" t="s">
        <v>310</v>
      </c>
      <c r="J263">
        <v>2</v>
      </c>
      <c r="L263">
        <v>349.01</v>
      </c>
      <c r="M263">
        <v>594.79</v>
      </c>
      <c r="N263">
        <v>887.53</v>
      </c>
      <c r="O263">
        <v>1265.52</v>
      </c>
      <c r="P263">
        <v>0</v>
      </c>
      <c r="Q263">
        <v>2</v>
      </c>
      <c r="R263">
        <v>0</v>
      </c>
      <c r="S263">
        <v>200138</v>
      </c>
      <c r="T263" t="b">
        <v>1</v>
      </c>
    </row>
    <row r="264" spans="2:20" x14ac:dyDescent="0.35">
      <c r="B264">
        <v>2019</v>
      </c>
      <c r="C264" s="41">
        <v>43374</v>
      </c>
      <c r="D264" t="s">
        <v>1355</v>
      </c>
      <c r="E264" t="s">
        <v>219</v>
      </c>
      <c r="F264" t="s">
        <v>463</v>
      </c>
      <c r="G264" t="s">
        <v>1299</v>
      </c>
      <c r="H264" t="s">
        <v>1356</v>
      </c>
      <c r="I264" t="s">
        <v>310</v>
      </c>
      <c r="J264">
        <v>2</v>
      </c>
      <c r="L264">
        <v>305.42</v>
      </c>
      <c r="M264">
        <v>520.49</v>
      </c>
      <c r="N264">
        <v>776.65</v>
      </c>
      <c r="O264">
        <v>1107.42</v>
      </c>
      <c r="P264">
        <v>1</v>
      </c>
      <c r="Q264">
        <v>2</v>
      </c>
      <c r="R264">
        <v>0</v>
      </c>
      <c r="S264">
        <v>200138</v>
      </c>
      <c r="T264" t="b">
        <v>1</v>
      </c>
    </row>
    <row r="265" spans="2:20" x14ac:dyDescent="0.35">
      <c r="B265">
        <v>2019</v>
      </c>
      <c r="C265" s="41">
        <v>43374</v>
      </c>
      <c r="D265" t="s">
        <v>1354</v>
      </c>
      <c r="E265" t="s">
        <v>219</v>
      </c>
      <c r="F265" t="s">
        <v>1309</v>
      </c>
      <c r="G265" t="s">
        <v>1299</v>
      </c>
      <c r="H265" t="s">
        <v>1351</v>
      </c>
      <c r="I265" t="s">
        <v>310</v>
      </c>
      <c r="J265">
        <v>2</v>
      </c>
      <c r="L265">
        <v>359.4</v>
      </c>
      <c r="M265">
        <v>612.48</v>
      </c>
      <c r="N265">
        <v>913.91</v>
      </c>
      <c r="O265">
        <v>1303.1399999999901</v>
      </c>
      <c r="P265">
        <v>0</v>
      </c>
      <c r="Q265">
        <v>2</v>
      </c>
      <c r="R265">
        <v>0</v>
      </c>
      <c r="S265">
        <v>200138</v>
      </c>
      <c r="T265" t="b">
        <v>1</v>
      </c>
    </row>
    <row r="266" spans="2:20" x14ac:dyDescent="0.35">
      <c r="B266">
        <v>2019</v>
      </c>
      <c r="C266" s="41">
        <v>43374</v>
      </c>
      <c r="D266" t="s">
        <v>1357</v>
      </c>
      <c r="E266" t="s">
        <v>219</v>
      </c>
      <c r="F266" t="s">
        <v>1309</v>
      </c>
      <c r="G266" t="s">
        <v>1299</v>
      </c>
      <c r="H266" t="s">
        <v>1356</v>
      </c>
      <c r="I266" t="s">
        <v>310</v>
      </c>
      <c r="J266">
        <v>2</v>
      </c>
      <c r="L266">
        <v>363.59</v>
      </c>
      <c r="M266">
        <v>619.63</v>
      </c>
      <c r="N266">
        <v>924.59</v>
      </c>
      <c r="O266">
        <v>1318.36</v>
      </c>
      <c r="P266">
        <v>1</v>
      </c>
      <c r="Q266">
        <v>2</v>
      </c>
      <c r="R266">
        <v>0</v>
      </c>
      <c r="S266">
        <v>200138</v>
      </c>
      <c r="T266" t="b">
        <v>1</v>
      </c>
    </row>
    <row r="267" spans="2:20" x14ac:dyDescent="0.35">
      <c r="B267">
        <v>2019</v>
      </c>
      <c r="C267" s="41">
        <v>43374</v>
      </c>
      <c r="D267" t="s">
        <v>1355</v>
      </c>
      <c r="E267" t="s">
        <v>219</v>
      </c>
      <c r="F267" t="s">
        <v>462</v>
      </c>
      <c r="G267" t="s">
        <v>1299</v>
      </c>
      <c r="H267" t="s">
        <v>1356</v>
      </c>
      <c r="I267" t="s">
        <v>310</v>
      </c>
      <c r="J267">
        <v>2</v>
      </c>
      <c r="L267">
        <v>373.29</v>
      </c>
      <c r="M267">
        <v>636.15</v>
      </c>
      <c r="N267">
        <v>949.24</v>
      </c>
      <c r="O267">
        <v>1353.52</v>
      </c>
      <c r="P267">
        <v>1</v>
      </c>
      <c r="Q267">
        <v>2</v>
      </c>
      <c r="R267">
        <v>0</v>
      </c>
      <c r="S267">
        <v>200138</v>
      </c>
      <c r="T267" t="b">
        <v>1</v>
      </c>
    </row>
    <row r="268" spans="2:20" x14ac:dyDescent="0.35">
      <c r="B268">
        <v>2019</v>
      </c>
      <c r="C268" s="41">
        <v>43374</v>
      </c>
      <c r="D268" t="s">
        <v>1357</v>
      </c>
      <c r="E268" t="s">
        <v>219</v>
      </c>
      <c r="F268" t="s">
        <v>1307</v>
      </c>
      <c r="G268" t="s">
        <v>1299</v>
      </c>
      <c r="H268" t="s">
        <v>1356</v>
      </c>
      <c r="I268" t="s">
        <v>310</v>
      </c>
      <c r="J268">
        <v>2</v>
      </c>
      <c r="L268">
        <v>330.06</v>
      </c>
      <c r="M268">
        <v>562.49</v>
      </c>
      <c r="N268">
        <v>839.31999999999903</v>
      </c>
      <c r="O268">
        <v>1196.78</v>
      </c>
      <c r="P268">
        <v>1</v>
      </c>
      <c r="Q268">
        <v>2</v>
      </c>
      <c r="R268">
        <v>0</v>
      </c>
      <c r="S268">
        <v>200138</v>
      </c>
      <c r="T268" t="b">
        <v>1</v>
      </c>
    </row>
    <row r="269" spans="2:20" x14ac:dyDescent="0.35">
      <c r="B269">
        <v>2019</v>
      </c>
      <c r="C269" s="41">
        <v>43374</v>
      </c>
      <c r="D269" t="s">
        <v>1357</v>
      </c>
      <c r="E269" t="s">
        <v>219</v>
      </c>
      <c r="F269" t="s">
        <v>463</v>
      </c>
      <c r="G269" t="s">
        <v>1299</v>
      </c>
      <c r="H269" t="s">
        <v>1356</v>
      </c>
      <c r="I269" t="s">
        <v>310</v>
      </c>
      <c r="J269">
        <v>2</v>
      </c>
      <c r="L269">
        <v>305.42</v>
      </c>
      <c r="M269">
        <v>520.49</v>
      </c>
      <c r="N269">
        <v>776.65</v>
      </c>
      <c r="O269">
        <v>1107.42</v>
      </c>
      <c r="P269">
        <v>1</v>
      </c>
      <c r="Q269">
        <v>2</v>
      </c>
      <c r="R269">
        <v>0</v>
      </c>
      <c r="S269">
        <v>200138</v>
      </c>
      <c r="T269" t="b">
        <v>1</v>
      </c>
    </row>
    <row r="270" spans="2:20" x14ac:dyDescent="0.35">
      <c r="B270">
        <v>2019</v>
      </c>
      <c r="C270" s="41">
        <v>43374</v>
      </c>
      <c r="D270" t="s">
        <v>1355</v>
      </c>
      <c r="E270" t="s">
        <v>219</v>
      </c>
      <c r="F270" t="s">
        <v>1309</v>
      </c>
      <c r="G270" t="s">
        <v>1299</v>
      </c>
      <c r="H270" t="s">
        <v>1356</v>
      </c>
      <c r="I270" t="s">
        <v>310</v>
      </c>
      <c r="J270">
        <v>2</v>
      </c>
      <c r="L270">
        <v>363.59</v>
      </c>
      <c r="M270">
        <v>619.63</v>
      </c>
      <c r="N270">
        <v>924.59</v>
      </c>
      <c r="O270">
        <v>1318.36</v>
      </c>
      <c r="P270">
        <v>1</v>
      </c>
      <c r="Q270">
        <v>2</v>
      </c>
      <c r="R270">
        <v>0</v>
      </c>
      <c r="S270">
        <v>200138</v>
      </c>
      <c r="T270" t="b">
        <v>1</v>
      </c>
    </row>
    <row r="271" spans="2:20" x14ac:dyDescent="0.35">
      <c r="B271">
        <v>2019</v>
      </c>
      <c r="C271" s="41">
        <v>43374</v>
      </c>
      <c r="D271" t="s">
        <v>1357</v>
      </c>
      <c r="E271" t="s">
        <v>219</v>
      </c>
      <c r="F271" t="s">
        <v>1311</v>
      </c>
      <c r="G271" t="s">
        <v>1299</v>
      </c>
      <c r="H271" t="s">
        <v>1356</v>
      </c>
      <c r="I271" t="s">
        <v>310</v>
      </c>
      <c r="J271">
        <v>2</v>
      </c>
      <c r="L271">
        <v>353.09</v>
      </c>
      <c r="M271">
        <v>601.73</v>
      </c>
      <c r="N271">
        <v>897.88</v>
      </c>
      <c r="O271">
        <v>1280.28</v>
      </c>
      <c r="P271">
        <v>1</v>
      </c>
      <c r="Q271">
        <v>2</v>
      </c>
      <c r="R271">
        <v>0</v>
      </c>
      <c r="S271">
        <v>200138</v>
      </c>
      <c r="T271" t="b">
        <v>1</v>
      </c>
    </row>
    <row r="272" spans="2:20" x14ac:dyDescent="0.35">
      <c r="B272">
        <v>2019</v>
      </c>
      <c r="C272" s="41">
        <v>43374</v>
      </c>
      <c r="D272" t="s">
        <v>1357</v>
      </c>
      <c r="E272" t="s">
        <v>219</v>
      </c>
      <c r="F272" t="s">
        <v>460</v>
      </c>
      <c r="G272" t="s">
        <v>1299</v>
      </c>
      <c r="H272" t="s">
        <v>1356</v>
      </c>
      <c r="I272" t="s">
        <v>310</v>
      </c>
      <c r="J272">
        <v>2</v>
      </c>
      <c r="L272">
        <v>367.63</v>
      </c>
      <c r="M272">
        <v>626.52</v>
      </c>
      <c r="N272">
        <v>934.87</v>
      </c>
      <c r="O272">
        <v>1333.02</v>
      </c>
      <c r="P272">
        <v>1</v>
      </c>
      <c r="Q272">
        <v>2</v>
      </c>
      <c r="R272">
        <v>0</v>
      </c>
      <c r="S272">
        <v>200138</v>
      </c>
      <c r="T272" t="b">
        <v>1</v>
      </c>
    </row>
    <row r="273" spans="2:20" x14ac:dyDescent="0.35">
      <c r="B273">
        <v>2019</v>
      </c>
      <c r="C273" s="41">
        <v>43374</v>
      </c>
      <c r="D273" t="s">
        <v>1355</v>
      </c>
      <c r="E273" t="s">
        <v>219</v>
      </c>
      <c r="F273" t="s">
        <v>460</v>
      </c>
      <c r="G273" t="s">
        <v>1299</v>
      </c>
      <c r="H273" t="s">
        <v>1356</v>
      </c>
      <c r="I273" t="s">
        <v>310</v>
      </c>
      <c r="J273">
        <v>2</v>
      </c>
      <c r="L273">
        <v>367.63</v>
      </c>
      <c r="M273">
        <v>626.52</v>
      </c>
      <c r="N273">
        <v>934.87</v>
      </c>
      <c r="O273">
        <v>1333.02</v>
      </c>
      <c r="P273">
        <v>1</v>
      </c>
      <c r="Q273">
        <v>2</v>
      </c>
      <c r="R273">
        <v>0</v>
      </c>
      <c r="S273">
        <v>200138</v>
      </c>
      <c r="T273" t="b">
        <v>1</v>
      </c>
    </row>
    <row r="274" spans="2:20" x14ac:dyDescent="0.35">
      <c r="B274">
        <v>2019</v>
      </c>
      <c r="C274" s="41">
        <v>43374</v>
      </c>
      <c r="D274" t="s">
        <v>1355</v>
      </c>
      <c r="E274" t="s">
        <v>219</v>
      </c>
      <c r="F274" t="s">
        <v>459</v>
      </c>
      <c r="G274" t="s">
        <v>1299</v>
      </c>
      <c r="H274" t="s">
        <v>1356</v>
      </c>
      <c r="I274" t="s">
        <v>310</v>
      </c>
      <c r="J274">
        <v>2</v>
      </c>
      <c r="L274">
        <v>303.39999999999998</v>
      </c>
      <c r="M274">
        <v>517.04999999999995</v>
      </c>
      <c r="N274">
        <v>771.52</v>
      </c>
      <c r="O274">
        <v>1100.0999999999999</v>
      </c>
      <c r="P274">
        <v>1</v>
      </c>
      <c r="Q274">
        <v>2</v>
      </c>
      <c r="R274">
        <v>0</v>
      </c>
      <c r="S274">
        <v>200138</v>
      </c>
      <c r="T274" t="b">
        <v>1</v>
      </c>
    </row>
    <row r="275" spans="2:20" x14ac:dyDescent="0.35">
      <c r="B275">
        <v>2019</v>
      </c>
      <c r="C275" s="41">
        <v>43374</v>
      </c>
      <c r="D275" t="s">
        <v>1357</v>
      </c>
      <c r="E275" t="s">
        <v>219</v>
      </c>
      <c r="F275" t="s">
        <v>462</v>
      </c>
      <c r="G275" t="s">
        <v>1299</v>
      </c>
      <c r="H275" t="s">
        <v>1356</v>
      </c>
      <c r="I275" t="s">
        <v>310</v>
      </c>
      <c r="J275">
        <v>2</v>
      </c>
      <c r="L275">
        <v>373.29</v>
      </c>
      <c r="M275">
        <v>636.15</v>
      </c>
      <c r="N275">
        <v>949.24</v>
      </c>
      <c r="O275">
        <v>1353.52</v>
      </c>
      <c r="P275">
        <v>1</v>
      </c>
      <c r="Q275">
        <v>2</v>
      </c>
      <c r="R275">
        <v>0</v>
      </c>
      <c r="S275">
        <v>200138</v>
      </c>
      <c r="T275" t="b">
        <v>1</v>
      </c>
    </row>
    <row r="276" spans="2:20" x14ac:dyDescent="0.35">
      <c r="B276">
        <v>2019</v>
      </c>
      <c r="C276" s="41">
        <v>43374</v>
      </c>
      <c r="D276" t="s">
        <v>1357</v>
      </c>
      <c r="E276" t="s">
        <v>219</v>
      </c>
      <c r="F276" t="s">
        <v>459</v>
      </c>
      <c r="G276" t="s">
        <v>1299</v>
      </c>
      <c r="H276" t="s">
        <v>1356</v>
      </c>
      <c r="I276" t="s">
        <v>310</v>
      </c>
      <c r="J276">
        <v>2</v>
      </c>
      <c r="L276">
        <v>303.39999999999998</v>
      </c>
      <c r="M276">
        <v>517.04999999999995</v>
      </c>
      <c r="N276">
        <v>771.52</v>
      </c>
      <c r="O276">
        <v>1100.0999999999999</v>
      </c>
      <c r="P276">
        <v>1</v>
      </c>
      <c r="Q276">
        <v>2</v>
      </c>
      <c r="R276">
        <v>0</v>
      </c>
      <c r="S276">
        <v>200138</v>
      </c>
      <c r="T276" t="b">
        <v>1</v>
      </c>
    </row>
    <row r="277" spans="2:20" x14ac:dyDescent="0.35">
      <c r="B277">
        <v>2019</v>
      </c>
      <c r="C277" s="41">
        <v>43374</v>
      </c>
      <c r="D277" t="s">
        <v>1355</v>
      </c>
      <c r="E277" t="s">
        <v>219</v>
      </c>
      <c r="F277" t="s">
        <v>1310</v>
      </c>
      <c r="G277" t="s">
        <v>1299</v>
      </c>
      <c r="H277" t="s">
        <v>1356</v>
      </c>
      <c r="I277" t="s">
        <v>310</v>
      </c>
      <c r="J277">
        <v>2</v>
      </c>
      <c r="L277">
        <v>471.86</v>
      </c>
      <c r="M277">
        <v>804.14</v>
      </c>
      <c r="N277">
        <v>1199.9099999999901</v>
      </c>
      <c r="O277">
        <v>1710.94</v>
      </c>
      <c r="P277">
        <v>1</v>
      </c>
      <c r="Q277">
        <v>2</v>
      </c>
      <c r="R277">
        <v>0</v>
      </c>
      <c r="S277">
        <v>200138</v>
      </c>
      <c r="T277" t="b">
        <v>1</v>
      </c>
    </row>
    <row r="278" spans="2:20" x14ac:dyDescent="0.35">
      <c r="B278">
        <v>2019</v>
      </c>
      <c r="C278" s="41">
        <v>43374</v>
      </c>
      <c r="D278" t="s">
        <v>1357</v>
      </c>
      <c r="E278" t="s">
        <v>219</v>
      </c>
      <c r="F278" t="s">
        <v>1310</v>
      </c>
      <c r="G278" t="s">
        <v>1299</v>
      </c>
      <c r="H278" t="s">
        <v>1356</v>
      </c>
      <c r="I278" t="s">
        <v>310</v>
      </c>
      <c r="J278">
        <v>2</v>
      </c>
      <c r="L278">
        <v>471.86</v>
      </c>
      <c r="M278">
        <v>804.14</v>
      </c>
      <c r="N278">
        <v>1199.9099999999901</v>
      </c>
      <c r="O278">
        <v>1710.94</v>
      </c>
      <c r="P278">
        <v>1</v>
      </c>
      <c r="Q278">
        <v>2</v>
      </c>
      <c r="R278">
        <v>0</v>
      </c>
      <c r="S278">
        <v>200138</v>
      </c>
      <c r="T278" t="b">
        <v>1</v>
      </c>
    </row>
    <row r="279" spans="2:20" x14ac:dyDescent="0.35">
      <c r="B279">
        <v>2019</v>
      </c>
      <c r="C279" s="41">
        <v>43374</v>
      </c>
      <c r="D279" t="s">
        <v>1358</v>
      </c>
      <c r="E279" t="s">
        <v>219</v>
      </c>
      <c r="F279" t="s">
        <v>1309</v>
      </c>
      <c r="G279" t="s">
        <v>1299</v>
      </c>
      <c r="H279" t="s">
        <v>1356</v>
      </c>
      <c r="I279" t="s">
        <v>310</v>
      </c>
      <c r="J279">
        <v>2</v>
      </c>
      <c r="L279">
        <v>363.59</v>
      </c>
      <c r="M279">
        <v>619.63</v>
      </c>
      <c r="N279">
        <v>924.59</v>
      </c>
      <c r="O279">
        <v>1318.36</v>
      </c>
      <c r="P279">
        <v>1</v>
      </c>
      <c r="Q279">
        <v>2</v>
      </c>
      <c r="R279">
        <v>0</v>
      </c>
      <c r="S279">
        <v>200138</v>
      </c>
      <c r="T279" t="b">
        <v>1</v>
      </c>
    </row>
    <row r="280" spans="2:20" x14ac:dyDescent="0.35">
      <c r="B280">
        <v>2019</v>
      </c>
      <c r="C280" s="41">
        <v>43374</v>
      </c>
      <c r="D280" t="s">
        <v>1358</v>
      </c>
      <c r="E280" t="s">
        <v>219</v>
      </c>
      <c r="F280" t="s">
        <v>1307</v>
      </c>
      <c r="G280" t="s">
        <v>1299</v>
      </c>
      <c r="H280" t="s">
        <v>1356</v>
      </c>
      <c r="I280" t="s">
        <v>310</v>
      </c>
      <c r="J280">
        <v>2</v>
      </c>
      <c r="L280">
        <v>330.06</v>
      </c>
      <c r="M280">
        <v>562.49</v>
      </c>
      <c r="N280">
        <v>839.31999999999903</v>
      </c>
      <c r="O280">
        <v>1196.78</v>
      </c>
      <c r="P280">
        <v>1</v>
      </c>
      <c r="Q280">
        <v>2</v>
      </c>
      <c r="R280">
        <v>0</v>
      </c>
      <c r="S280">
        <v>200138</v>
      </c>
      <c r="T280" t="b">
        <v>1</v>
      </c>
    </row>
    <row r="281" spans="2:20" x14ac:dyDescent="0.35">
      <c r="B281">
        <v>2019</v>
      </c>
      <c r="C281" s="41">
        <v>43374</v>
      </c>
      <c r="D281" t="s">
        <v>1358</v>
      </c>
      <c r="E281" t="s">
        <v>219</v>
      </c>
      <c r="F281" t="s">
        <v>1311</v>
      </c>
      <c r="G281" t="s">
        <v>1299</v>
      </c>
      <c r="H281" t="s">
        <v>1356</v>
      </c>
      <c r="I281" t="s">
        <v>310</v>
      </c>
      <c r="J281">
        <v>2</v>
      </c>
      <c r="L281">
        <v>353.09</v>
      </c>
      <c r="M281">
        <v>601.73</v>
      </c>
      <c r="N281">
        <v>897.88</v>
      </c>
      <c r="O281">
        <v>1280.28</v>
      </c>
      <c r="P281">
        <v>1</v>
      </c>
      <c r="Q281">
        <v>2</v>
      </c>
      <c r="R281">
        <v>0</v>
      </c>
      <c r="S281">
        <v>200138</v>
      </c>
      <c r="T281" t="b">
        <v>1</v>
      </c>
    </row>
    <row r="282" spans="2:20" x14ac:dyDescent="0.35">
      <c r="B282">
        <v>2019</v>
      </c>
      <c r="C282" s="41">
        <v>43374</v>
      </c>
      <c r="D282" t="s">
        <v>1358</v>
      </c>
      <c r="E282" t="s">
        <v>219</v>
      </c>
      <c r="F282" t="s">
        <v>462</v>
      </c>
      <c r="G282" t="s">
        <v>1299</v>
      </c>
      <c r="H282" t="s">
        <v>1356</v>
      </c>
      <c r="I282" t="s">
        <v>310</v>
      </c>
      <c r="J282">
        <v>2</v>
      </c>
      <c r="L282">
        <v>373.29</v>
      </c>
      <c r="M282">
        <v>636.15</v>
      </c>
      <c r="N282">
        <v>949.24</v>
      </c>
      <c r="O282">
        <v>1353.52</v>
      </c>
      <c r="P282">
        <v>1</v>
      </c>
      <c r="Q282">
        <v>2</v>
      </c>
      <c r="R282">
        <v>0</v>
      </c>
      <c r="S282">
        <v>200138</v>
      </c>
      <c r="T282" t="b">
        <v>1</v>
      </c>
    </row>
    <row r="283" spans="2:20" x14ac:dyDescent="0.35">
      <c r="B283">
        <v>2019</v>
      </c>
      <c r="C283" s="41">
        <v>43374</v>
      </c>
      <c r="D283" t="s">
        <v>1358</v>
      </c>
      <c r="E283" t="s">
        <v>219</v>
      </c>
      <c r="F283" t="s">
        <v>460</v>
      </c>
      <c r="G283" t="s">
        <v>1299</v>
      </c>
      <c r="H283" t="s">
        <v>1356</v>
      </c>
      <c r="I283" t="s">
        <v>310</v>
      </c>
      <c r="J283">
        <v>2</v>
      </c>
      <c r="L283">
        <v>367.63</v>
      </c>
      <c r="M283">
        <v>626.52</v>
      </c>
      <c r="N283">
        <v>934.87</v>
      </c>
      <c r="O283">
        <v>1333.02</v>
      </c>
      <c r="P283">
        <v>1</v>
      </c>
      <c r="Q283">
        <v>2</v>
      </c>
      <c r="R283">
        <v>0</v>
      </c>
      <c r="S283">
        <v>200138</v>
      </c>
      <c r="T283" t="b">
        <v>1</v>
      </c>
    </row>
    <row r="284" spans="2:20" x14ac:dyDescent="0.35">
      <c r="B284">
        <v>2019</v>
      </c>
      <c r="C284" s="41">
        <v>43374</v>
      </c>
      <c r="D284" t="s">
        <v>1358</v>
      </c>
      <c r="E284" t="s">
        <v>219</v>
      </c>
      <c r="F284" t="s">
        <v>463</v>
      </c>
      <c r="G284" t="s">
        <v>1299</v>
      </c>
      <c r="H284" t="s">
        <v>1356</v>
      </c>
      <c r="I284" t="s">
        <v>310</v>
      </c>
      <c r="J284">
        <v>2</v>
      </c>
      <c r="L284">
        <v>305.42</v>
      </c>
      <c r="M284">
        <v>520.49</v>
      </c>
      <c r="N284">
        <v>776.65</v>
      </c>
      <c r="O284">
        <v>1107.42</v>
      </c>
      <c r="P284">
        <v>1</v>
      </c>
      <c r="Q284">
        <v>2</v>
      </c>
      <c r="R284">
        <v>0</v>
      </c>
      <c r="S284">
        <v>200138</v>
      </c>
      <c r="T284" t="b">
        <v>1</v>
      </c>
    </row>
    <row r="285" spans="2:20" x14ac:dyDescent="0.35">
      <c r="B285">
        <v>2019</v>
      </c>
      <c r="C285" s="41">
        <v>43374</v>
      </c>
      <c r="D285" t="s">
        <v>1358</v>
      </c>
      <c r="E285" t="s">
        <v>219</v>
      </c>
      <c r="F285" t="s">
        <v>459</v>
      </c>
      <c r="G285" t="s">
        <v>1299</v>
      </c>
      <c r="H285" t="s">
        <v>1356</v>
      </c>
      <c r="I285" t="s">
        <v>310</v>
      </c>
      <c r="J285">
        <v>2</v>
      </c>
      <c r="L285">
        <v>303.39999999999998</v>
      </c>
      <c r="M285">
        <v>517.04999999999995</v>
      </c>
      <c r="N285">
        <v>771.52</v>
      </c>
      <c r="O285">
        <v>1100.0999999999999</v>
      </c>
      <c r="P285">
        <v>1</v>
      </c>
      <c r="Q285">
        <v>2</v>
      </c>
      <c r="R285">
        <v>0</v>
      </c>
      <c r="S285">
        <v>200138</v>
      </c>
      <c r="T285" t="b">
        <v>1</v>
      </c>
    </row>
    <row r="286" spans="2:20" x14ac:dyDescent="0.35">
      <c r="B286">
        <v>2019</v>
      </c>
      <c r="C286" s="41">
        <v>43374</v>
      </c>
      <c r="D286" t="s">
        <v>1358</v>
      </c>
      <c r="E286" t="s">
        <v>219</v>
      </c>
      <c r="F286" t="s">
        <v>1310</v>
      </c>
      <c r="G286" t="s">
        <v>1299</v>
      </c>
      <c r="H286" t="s">
        <v>1356</v>
      </c>
      <c r="I286" t="s">
        <v>310</v>
      </c>
      <c r="J286">
        <v>2</v>
      </c>
      <c r="L286">
        <v>471.86</v>
      </c>
      <c r="M286">
        <v>804.14</v>
      </c>
      <c r="N286">
        <v>1199.9099999999901</v>
      </c>
      <c r="O286">
        <v>1710.94</v>
      </c>
      <c r="P286">
        <v>1</v>
      </c>
      <c r="Q286">
        <v>2</v>
      </c>
      <c r="R286">
        <v>0</v>
      </c>
      <c r="S286">
        <v>200138</v>
      </c>
      <c r="T286" t="b">
        <v>1</v>
      </c>
    </row>
    <row r="287" spans="2:20" x14ac:dyDescent="0.35">
      <c r="B287">
        <v>2019</v>
      </c>
      <c r="C287" s="41">
        <v>43374</v>
      </c>
      <c r="D287" t="s">
        <v>1359</v>
      </c>
      <c r="E287" t="s">
        <v>219</v>
      </c>
      <c r="F287" t="s">
        <v>1309</v>
      </c>
      <c r="G287" t="s">
        <v>1299</v>
      </c>
      <c r="H287" t="s">
        <v>1356</v>
      </c>
      <c r="I287" t="s">
        <v>310</v>
      </c>
      <c r="J287">
        <v>2</v>
      </c>
      <c r="L287">
        <v>363.59</v>
      </c>
      <c r="M287">
        <v>619.63</v>
      </c>
      <c r="N287">
        <v>924.59</v>
      </c>
      <c r="O287">
        <v>1318.36</v>
      </c>
      <c r="P287">
        <v>0</v>
      </c>
      <c r="Q287">
        <v>2</v>
      </c>
      <c r="R287">
        <v>0</v>
      </c>
      <c r="S287">
        <v>200138</v>
      </c>
      <c r="T287" t="b">
        <v>1</v>
      </c>
    </row>
    <row r="288" spans="2:20" x14ac:dyDescent="0.35">
      <c r="B288">
        <v>2019</v>
      </c>
      <c r="C288" s="41">
        <v>43374</v>
      </c>
      <c r="D288" t="s">
        <v>1359</v>
      </c>
      <c r="E288" t="s">
        <v>219</v>
      </c>
      <c r="F288" t="s">
        <v>1307</v>
      </c>
      <c r="G288" t="s">
        <v>1299</v>
      </c>
      <c r="H288" t="s">
        <v>1356</v>
      </c>
      <c r="I288" t="s">
        <v>310</v>
      </c>
      <c r="J288">
        <v>2</v>
      </c>
      <c r="L288">
        <v>330.06</v>
      </c>
      <c r="M288">
        <v>562.49</v>
      </c>
      <c r="N288">
        <v>839.31999999999903</v>
      </c>
      <c r="O288">
        <v>1196.78</v>
      </c>
      <c r="P288">
        <v>0</v>
      </c>
      <c r="Q288">
        <v>2</v>
      </c>
      <c r="R288">
        <v>0</v>
      </c>
      <c r="S288">
        <v>200138</v>
      </c>
      <c r="T288" t="b">
        <v>1</v>
      </c>
    </row>
    <row r="289" spans="2:20" x14ac:dyDescent="0.35">
      <c r="B289">
        <v>2019</v>
      </c>
      <c r="C289" s="41">
        <v>43374</v>
      </c>
      <c r="D289" t="s">
        <v>1359</v>
      </c>
      <c r="E289" t="s">
        <v>219</v>
      </c>
      <c r="F289" t="s">
        <v>463</v>
      </c>
      <c r="G289" t="s">
        <v>1299</v>
      </c>
      <c r="H289" t="s">
        <v>1356</v>
      </c>
      <c r="I289" t="s">
        <v>310</v>
      </c>
      <c r="J289">
        <v>2</v>
      </c>
      <c r="L289">
        <v>305.42</v>
      </c>
      <c r="M289">
        <v>520.49</v>
      </c>
      <c r="N289">
        <v>776.65</v>
      </c>
      <c r="O289">
        <v>1107.42</v>
      </c>
      <c r="P289">
        <v>0</v>
      </c>
      <c r="Q289">
        <v>2</v>
      </c>
      <c r="R289">
        <v>0</v>
      </c>
      <c r="S289">
        <v>200138</v>
      </c>
      <c r="T289" t="b">
        <v>1</v>
      </c>
    </row>
    <row r="290" spans="2:20" x14ac:dyDescent="0.35">
      <c r="B290">
        <v>2019</v>
      </c>
      <c r="C290" s="41">
        <v>43374</v>
      </c>
      <c r="D290" t="s">
        <v>1359</v>
      </c>
      <c r="E290" t="s">
        <v>219</v>
      </c>
      <c r="F290" t="s">
        <v>462</v>
      </c>
      <c r="G290" t="s">
        <v>1299</v>
      </c>
      <c r="H290" t="s">
        <v>1356</v>
      </c>
      <c r="I290" t="s">
        <v>310</v>
      </c>
      <c r="J290">
        <v>2</v>
      </c>
      <c r="L290">
        <v>373.29</v>
      </c>
      <c r="M290">
        <v>636.15</v>
      </c>
      <c r="N290">
        <v>949.24</v>
      </c>
      <c r="O290">
        <v>1353.52</v>
      </c>
      <c r="P290">
        <v>0</v>
      </c>
      <c r="Q290">
        <v>2</v>
      </c>
      <c r="R290">
        <v>0</v>
      </c>
      <c r="S290">
        <v>200138</v>
      </c>
      <c r="T290" t="b">
        <v>1</v>
      </c>
    </row>
    <row r="291" spans="2:20" x14ac:dyDescent="0.35">
      <c r="B291">
        <v>2019</v>
      </c>
      <c r="C291" s="41">
        <v>43374</v>
      </c>
      <c r="D291" t="s">
        <v>1359</v>
      </c>
      <c r="E291" t="s">
        <v>219</v>
      </c>
      <c r="F291" t="s">
        <v>1311</v>
      </c>
      <c r="G291" t="s">
        <v>1299</v>
      </c>
      <c r="H291" t="s">
        <v>1356</v>
      </c>
      <c r="I291" t="s">
        <v>310</v>
      </c>
      <c r="J291">
        <v>2</v>
      </c>
      <c r="L291">
        <v>353.09</v>
      </c>
      <c r="M291">
        <v>601.73</v>
      </c>
      <c r="N291">
        <v>897.88</v>
      </c>
      <c r="O291">
        <v>1280.28</v>
      </c>
      <c r="P291">
        <v>0</v>
      </c>
      <c r="Q291">
        <v>2</v>
      </c>
      <c r="R291">
        <v>0</v>
      </c>
      <c r="S291">
        <v>200138</v>
      </c>
      <c r="T291" t="b">
        <v>1</v>
      </c>
    </row>
    <row r="292" spans="2:20" x14ac:dyDescent="0.35">
      <c r="B292">
        <v>2019</v>
      </c>
      <c r="C292" s="41">
        <v>43374</v>
      </c>
      <c r="D292" t="s">
        <v>1359</v>
      </c>
      <c r="E292" t="s">
        <v>219</v>
      </c>
      <c r="F292" t="s">
        <v>460</v>
      </c>
      <c r="G292" t="s">
        <v>1299</v>
      </c>
      <c r="H292" t="s">
        <v>1356</v>
      </c>
      <c r="I292" t="s">
        <v>310</v>
      </c>
      <c r="J292">
        <v>2</v>
      </c>
      <c r="L292">
        <v>367.63</v>
      </c>
      <c r="M292">
        <v>626.52</v>
      </c>
      <c r="N292">
        <v>934.87</v>
      </c>
      <c r="O292">
        <v>1333.02</v>
      </c>
      <c r="P292">
        <v>0</v>
      </c>
      <c r="Q292">
        <v>2</v>
      </c>
      <c r="R292">
        <v>0</v>
      </c>
      <c r="S292">
        <v>200138</v>
      </c>
      <c r="T292" t="b">
        <v>1</v>
      </c>
    </row>
    <row r="293" spans="2:20" x14ac:dyDescent="0.35">
      <c r="B293">
        <v>2019</v>
      </c>
      <c r="C293" s="41">
        <v>43374</v>
      </c>
      <c r="D293" t="s">
        <v>1359</v>
      </c>
      <c r="E293" t="s">
        <v>219</v>
      </c>
      <c r="F293" t="s">
        <v>459</v>
      </c>
      <c r="G293" t="s">
        <v>1299</v>
      </c>
      <c r="H293" t="s">
        <v>1356</v>
      </c>
      <c r="I293" t="s">
        <v>310</v>
      </c>
      <c r="J293">
        <v>2</v>
      </c>
      <c r="L293">
        <v>303.39999999999998</v>
      </c>
      <c r="M293">
        <v>517.04999999999995</v>
      </c>
      <c r="N293">
        <v>771.52</v>
      </c>
      <c r="O293">
        <v>1100.0999999999999</v>
      </c>
      <c r="P293">
        <v>0</v>
      </c>
      <c r="Q293">
        <v>2</v>
      </c>
      <c r="R293">
        <v>0</v>
      </c>
      <c r="S293">
        <v>200138</v>
      </c>
      <c r="T293" t="b">
        <v>1</v>
      </c>
    </row>
    <row r="294" spans="2:20" x14ac:dyDescent="0.35">
      <c r="B294">
        <v>2019</v>
      </c>
      <c r="C294" s="41">
        <v>43399</v>
      </c>
      <c r="D294" t="s">
        <v>1360</v>
      </c>
      <c r="E294" t="s">
        <v>219</v>
      </c>
      <c r="F294" t="s">
        <v>1302</v>
      </c>
      <c r="G294" t="s">
        <v>1299</v>
      </c>
      <c r="H294" t="s">
        <v>1351</v>
      </c>
      <c r="I294" t="s">
        <v>310</v>
      </c>
      <c r="J294">
        <v>2</v>
      </c>
      <c r="L294">
        <v>367.38</v>
      </c>
      <c r="M294">
        <v>626.09</v>
      </c>
      <c r="N294">
        <v>934.22</v>
      </c>
      <c r="O294">
        <v>1332.1</v>
      </c>
      <c r="P294">
        <v>1</v>
      </c>
      <c r="Q294">
        <v>1</v>
      </c>
      <c r="R294">
        <v>0</v>
      </c>
      <c r="S294">
        <v>200138</v>
      </c>
      <c r="T294" t="b">
        <v>1</v>
      </c>
    </row>
    <row r="295" spans="2:20" x14ac:dyDescent="0.35">
      <c r="B295">
        <v>2019</v>
      </c>
      <c r="C295" s="41">
        <v>43399</v>
      </c>
      <c r="D295" t="s">
        <v>1360</v>
      </c>
      <c r="E295" t="s">
        <v>219</v>
      </c>
      <c r="F295" t="s">
        <v>461</v>
      </c>
      <c r="G295" t="s">
        <v>1299</v>
      </c>
      <c r="H295" t="s">
        <v>1351</v>
      </c>
      <c r="I295" t="s">
        <v>310</v>
      </c>
      <c r="J295">
        <v>2</v>
      </c>
      <c r="L295">
        <v>326.25</v>
      </c>
      <c r="M295">
        <v>556</v>
      </c>
      <c r="N295">
        <v>829.64</v>
      </c>
      <c r="O295">
        <v>1182.98</v>
      </c>
      <c r="P295">
        <v>1</v>
      </c>
      <c r="Q295">
        <v>1</v>
      </c>
      <c r="R295">
        <v>0</v>
      </c>
      <c r="S295">
        <v>200138</v>
      </c>
      <c r="T295" t="b">
        <v>1</v>
      </c>
    </row>
    <row r="296" spans="2:20" x14ac:dyDescent="0.35">
      <c r="B296">
        <v>2019</v>
      </c>
      <c r="C296" s="41">
        <v>43399</v>
      </c>
      <c r="D296" t="s">
        <v>1360</v>
      </c>
      <c r="E296" t="s">
        <v>219</v>
      </c>
      <c r="F296" t="s">
        <v>1298</v>
      </c>
      <c r="G296" t="s">
        <v>1299</v>
      </c>
      <c r="H296" t="s">
        <v>1351</v>
      </c>
      <c r="I296" t="s">
        <v>310</v>
      </c>
      <c r="J296">
        <v>2</v>
      </c>
      <c r="L296">
        <v>385.75</v>
      </c>
      <c r="M296">
        <v>657.4</v>
      </c>
      <c r="N296">
        <v>980.93</v>
      </c>
      <c r="O296">
        <v>1398.69999999999</v>
      </c>
      <c r="P296">
        <v>1</v>
      </c>
      <c r="Q296">
        <v>1</v>
      </c>
      <c r="R296">
        <v>0</v>
      </c>
      <c r="S296">
        <v>200138</v>
      </c>
      <c r="T296" t="b">
        <v>1</v>
      </c>
    </row>
    <row r="297" spans="2:20" x14ac:dyDescent="0.35">
      <c r="B297">
        <v>2019</v>
      </c>
      <c r="C297" s="41">
        <v>43374</v>
      </c>
      <c r="D297" t="s">
        <v>1359</v>
      </c>
      <c r="E297" t="s">
        <v>219</v>
      </c>
      <c r="F297" t="s">
        <v>1310</v>
      </c>
      <c r="G297" t="s">
        <v>1299</v>
      </c>
      <c r="H297" t="s">
        <v>1356</v>
      </c>
      <c r="I297" t="s">
        <v>310</v>
      </c>
      <c r="J297">
        <v>2</v>
      </c>
      <c r="L297">
        <v>471.86</v>
      </c>
      <c r="M297">
        <v>804.14</v>
      </c>
      <c r="N297">
        <v>1199.9099999999901</v>
      </c>
      <c r="O297">
        <v>1710.94</v>
      </c>
      <c r="P297">
        <v>0</v>
      </c>
      <c r="Q297">
        <v>2</v>
      </c>
      <c r="R297">
        <v>0</v>
      </c>
      <c r="S297">
        <v>200138</v>
      </c>
      <c r="T297" t="b">
        <v>1</v>
      </c>
    </row>
    <row r="298" spans="2:20" x14ac:dyDescent="0.35">
      <c r="B298">
        <v>2019</v>
      </c>
      <c r="C298" s="41">
        <v>43399</v>
      </c>
      <c r="D298" t="s">
        <v>1360</v>
      </c>
      <c r="E298" t="s">
        <v>219</v>
      </c>
      <c r="F298" t="s">
        <v>1301</v>
      </c>
      <c r="G298" t="s">
        <v>1299</v>
      </c>
      <c r="H298" t="s">
        <v>1351</v>
      </c>
      <c r="I298" t="s">
        <v>310</v>
      </c>
      <c r="J298">
        <v>2</v>
      </c>
      <c r="L298">
        <v>407.31</v>
      </c>
      <c r="M298">
        <v>694.15</v>
      </c>
      <c r="N298">
        <v>1035.77</v>
      </c>
      <c r="O298">
        <v>1476.9</v>
      </c>
      <c r="P298">
        <v>1</v>
      </c>
      <c r="Q298">
        <v>1</v>
      </c>
      <c r="R298">
        <v>0</v>
      </c>
      <c r="S298">
        <v>200138</v>
      </c>
      <c r="T298" t="b">
        <v>1</v>
      </c>
    </row>
    <row r="299" spans="2:20" x14ac:dyDescent="0.35">
      <c r="B299">
        <v>2019</v>
      </c>
      <c r="C299" s="41">
        <v>43399</v>
      </c>
      <c r="D299" t="s">
        <v>1361</v>
      </c>
      <c r="E299" t="s">
        <v>219</v>
      </c>
      <c r="F299" t="s">
        <v>1298</v>
      </c>
      <c r="G299" t="s">
        <v>1299</v>
      </c>
      <c r="H299" t="s">
        <v>1351</v>
      </c>
      <c r="I299" t="s">
        <v>310</v>
      </c>
      <c r="J299">
        <v>2</v>
      </c>
      <c r="L299">
        <v>385.75</v>
      </c>
      <c r="M299">
        <v>657.4</v>
      </c>
      <c r="N299">
        <v>980.93</v>
      </c>
      <c r="O299">
        <v>1398.69999999999</v>
      </c>
      <c r="P299">
        <v>1</v>
      </c>
      <c r="Q299">
        <v>1</v>
      </c>
      <c r="R299">
        <v>0</v>
      </c>
      <c r="S299">
        <v>200138</v>
      </c>
      <c r="T299" t="b">
        <v>1</v>
      </c>
    </row>
    <row r="300" spans="2:20" x14ac:dyDescent="0.35">
      <c r="B300">
        <v>2019</v>
      </c>
      <c r="C300" s="41">
        <v>43399</v>
      </c>
      <c r="D300" t="s">
        <v>1361</v>
      </c>
      <c r="E300" t="s">
        <v>219</v>
      </c>
      <c r="F300" t="s">
        <v>1302</v>
      </c>
      <c r="G300" t="s">
        <v>1299</v>
      </c>
      <c r="H300" t="s">
        <v>1351</v>
      </c>
      <c r="I300" t="s">
        <v>310</v>
      </c>
      <c r="J300">
        <v>2</v>
      </c>
      <c r="L300">
        <v>367.38</v>
      </c>
      <c r="M300">
        <v>626.09</v>
      </c>
      <c r="N300">
        <v>934.22</v>
      </c>
      <c r="O300">
        <v>1332.1</v>
      </c>
      <c r="P300">
        <v>1</v>
      </c>
      <c r="Q300">
        <v>1</v>
      </c>
      <c r="R300">
        <v>0</v>
      </c>
      <c r="S300">
        <v>200138</v>
      </c>
      <c r="T300" t="b">
        <v>1</v>
      </c>
    </row>
    <row r="301" spans="2:20" x14ac:dyDescent="0.35">
      <c r="B301">
        <v>2019</v>
      </c>
      <c r="C301" s="41">
        <v>43399</v>
      </c>
      <c r="D301" t="s">
        <v>1361</v>
      </c>
      <c r="E301" t="s">
        <v>219</v>
      </c>
      <c r="F301" t="s">
        <v>461</v>
      </c>
      <c r="G301" t="s">
        <v>1299</v>
      </c>
      <c r="H301" t="s">
        <v>1351</v>
      </c>
      <c r="I301" t="s">
        <v>310</v>
      </c>
      <c r="J301">
        <v>2</v>
      </c>
      <c r="L301">
        <v>326.25</v>
      </c>
      <c r="M301">
        <v>556</v>
      </c>
      <c r="N301">
        <v>829.64</v>
      </c>
      <c r="O301">
        <v>1182.98</v>
      </c>
      <c r="P301">
        <v>1</v>
      </c>
      <c r="Q301">
        <v>1</v>
      </c>
      <c r="R301">
        <v>0</v>
      </c>
      <c r="S301">
        <v>200138</v>
      </c>
      <c r="T301" t="b">
        <v>1</v>
      </c>
    </row>
    <row r="302" spans="2:20" x14ac:dyDescent="0.35">
      <c r="B302">
        <v>2019</v>
      </c>
      <c r="C302" s="41">
        <v>43399</v>
      </c>
      <c r="D302" t="s">
        <v>1361</v>
      </c>
      <c r="E302" t="s">
        <v>219</v>
      </c>
      <c r="F302" t="s">
        <v>1301</v>
      </c>
      <c r="G302" t="s">
        <v>1299</v>
      </c>
      <c r="H302" t="s">
        <v>1351</v>
      </c>
      <c r="I302" t="s">
        <v>310</v>
      </c>
      <c r="J302">
        <v>2</v>
      </c>
      <c r="L302">
        <v>407.31</v>
      </c>
      <c r="M302">
        <v>694.15</v>
      </c>
      <c r="N302">
        <v>1035.77</v>
      </c>
      <c r="O302">
        <v>1476.9</v>
      </c>
      <c r="P302">
        <v>1</v>
      </c>
      <c r="Q302">
        <v>1</v>
      </c>
      <c r="R302">
        <v>0</v>
      </c>
      <c r="S302">
        <v>200138</v>
      </c>
      <c r="T302" t="b">
        <v>1</v>
      </c>
    </row>
    <row r="303" spans="2:20" x14ac:dyDescent="0.35">
      <c r="B303">
        <v>2019</v>
      </c>
      <c r="C303" s="41">
        <v>43399</v>
      </c>
      <c r="D303" t="s">
        <v>1362</v>
      </c>
      <c r="E303" t="s">
        <v>219</v>
      </c>
      <c r="F303" t="s">
        <v>1298</v>
      </c>
      <c r="G303" t="s">
        <v>1299</v>
      </c>
      <c r="H303" t="s">
        <v>1356</v>
      </c>
      <c r="I303" t="s">
        <v>310</v>
      </c>
      <c r="J303">
        <v>2</v>
      </c>
      <c r="L303">
        <v>390.25</v>
      </c>
      <c r="M303">
        <v>665.07</v>
      </c>
      <c r="N303">
        <v>992.39</v>
      </c>
      <c r="O303">
        <v>1415.04</v>
      </c>
      <c r="P303">
        <v>1</v>
      </c>
      <c r="Q303">
        <v>1</v>
      </c>
      <c r="R303">
        <v>0</v>
      </c>
      <c r="S303">
        <v>200138</v>
      </c>
      <c r="T303" t="b">
        <v>1</v>
      </c>
    </row>
    <row r="304" spans="2:20" x14ac:dyDescent="0.35">
      <c r="B304">
        <v>2019</v>
      </c>
      <c r="C304" s="41">
        <v>43399</v>
      </c>
      <c r="D304" t="s">
        <v>1362</v>
      </c>
      <c r="E304" t="s">
        <v>219</v>
      </c>
      <c r="F304" t="s">
        <v>1302</v>
      </c>
      <c r="G304" t="s">
        <v>1299</v>
      </c>
      <c r="H304" t="s">
        <v>1356</v>
      </c>
      <c r="I304" t="s">
        <v>310</v>
      </c>
      <c r="J304">
        <v>2</v>
      </c>
      <c r="L304">
        <v>371.67</v>
      </c>
      <c r="M304">
        <v>633.4</v>
      </c>
      <c r="N304">
        <v>945.14</v>
      </c>
      <c r="O304">
        <v>1347.6599999999901</v>
      </c>
      <c r="P304">
        <v>1</v>
      </c>
      <c r="Q304">
        <v>1</v>
      </c>
      <c r="R304">
        <v>0</v>
      </c>
      <c r="S304">
        <v>200138</v>
      </c>
      <c r="T304" t="b">
        <v>1</v>
      </c>
    </row>
    <row r="305" spans="2:20" x14ac:dyDescent="0.35">
      <c r="B305">
        <v>2019</v>
      </c>
      <c r="C305" s="41">
        <v>43399</v>
      </c>
      <c r="D305" t="s">
        <v>1362</v>
      </c>
      <c r="E305" t="s">
        <v>219</v>
      </c>
      <c r="F305" t="s">
        <v>1301</v>
      </c>
      <c r="G305" t="s">
        <v>1299</v>
      </c>
      <c r="H305" t="s">
        <v>1356</v>
      </c>
      <c r="I305" t="s">
        <v>310</v>
      </c>
      <c r="J305">
        <v>2</v>
      </c>
      <c r="L305">
        <v>412.07</v>
      </c>
      <c r="M305">
        <v>702.25</v>
      </c>
      <c r="N305">
        <v>1047.8800000000001</v>
      </c>
      <c r="O305">
        <v>1494.1599999999901</v>
      </c>
      <c r="P305">
        <v>1</v>
      </c>
      <c r="Q305">
        <v>1</v>
      </c>
      <c r="R305">
        <v>0</v>
      </c>
      <c r="S305">
        <v>200138</v>
      </c>
      <c r="T305" t="b">
        <v>1</v>
      </c>
    </row>
    <row r="306" spans="2:20" x14ac:dyDescent="0.35">
      <c r="B306">
        <v>2019</v>
      </c>
      <c r="C306" s="41">
        <v>43399</v>
      </c>
      <c r="D306" t="s">
        <v>1362</v>
      </c>
      <c r="E306" t="s">
        <v>219</v>
      </c>
      <c r="F306" t="s">
        <v>461</v>
      </c>
      <c r="G306" t="s">
        <v>1299</v>
      </c>
      <c r="H306" t="s">
        <v>1356</v>
      </c>
      <c r="I306" t="s">
        <v>310</v>
      </c>
      <c r="J306">
        <v>2</v>
      </c>
      <c r="L306">
        <v>330.06</v>
      </c>
      <c r="M306">
        <v>562.49</v>
      </c>
      <c r="N306">
        <v>839.31999999999903</v>
      </c>
      <c r="O306">
        <v>1196.78</v>
      </c>
      <c r="P306">
        <v>1</v>
      </c>
      <c r="Q306">
        <v>1</v>
      </c>
      <c r="R306">
        <v>0</v>
      </c>
      <c r="S306">
        <v>200138</v>
      </c>
      <c r="T306" t="b">
        <v>1</v>
      </c>
    </row>
    <row r="307" spans="2:20" x14ac:dyDescent="0.35">
      <c r="B307">
        <v>2019</v>
      </c>
      <c r="C307" s="41">
        <v>43399</v>
      </c>
      <c r="D307" t="s">
        <v>1363</v>
      </c>
      <c r="E307" t="s">
        <v>219</v>
      </c>
      <c r="F307" t="s">
        <v>1311</v>
      </c>
      <c r="G307" t="s">
        <v>1299</v>
      </c>
      <c r="H307" t="s">
        <v>1364</v>
      </c>
      <c r="I307" t="s">
        <v>310</v>
      </c>
      <c r="J307">
        <v>2</v>
      </c>
      <c r="L307">
        <v>358.7</v>
      </c>
      <c r="M307">
        <v>611.29999999999995</v>
      </c>
      <c r="N307">
        <v>912.16</v>
      </c>
      <c r="O307">
        <v>1300.6399999999901</v>
      </c>
      <c r="P307">
        <v>1</v>
      </c>
      <c r="Q307">
        <v>1</v>
      </c>
      <c r="R307">
        <v>0</v>
      </c>
      <c r="S307">
        <v>200138</v>
      </c>
      <c r="T307" t="b">
        <v>1</v>
      </c>
    </row>
    <row r="308" spans="2:20" x14ac:dyDescent="0.35">
      <c r="B308">
        <v>2019</v>
      </c>
      <c r="C308" s="41">
        <v>43399</v>
      </c>
      <c r="D308" t="s">
        <v>1363</v>
      </c>
      <c r="E308" t="s">
        <v>219</v>
      </c>
      <c r="F308" t="s">
        <v>1309</v>
      </c>
      <c r="G308" t="s">
        <v>1299</v>
      </c>
      <c r="H308" t="s">
        <v>1364</v>
      </c>
      <c r="I308" t="s">
        <v>310</v>
      </c>
      <c r="J308">
        <v>2</v>
      </c>
      <c r="L308">
        <v>369.37</v>
      </c>
      <c r="M308">
        <v>629.48</v>
      </c>
      <c r="N308">
        <v>939.29</v>
      </c>
      <c r="O308">
        <v>1339.32</v>
      </c>
      <c r="P308">
        <v>1</v>
      </c>
      <c r="Q308">
        <v>1</v>
      </c>
      <c r="R308">
        <v>0</v>
      </c>
      <c r="S308">
        <v>200138</v>
      </c>
      <c r="T308" t="b">
        <v>1</v>
      </c>
    </row>
    <row r="309" spans="2:20" x14ac:dyDescent="0.35">
      <c r="B309">
        <v>2019</v>
      </c>
      <c r="C309" s="41">
        <v>43399</v>
      </c>
      <c r="D309" t="s">
        <v>1365</v>
      </c>
      <c r="E309" t="s">
        <v>219</v>
      </c>
      <c r="F309" t="s">
        <v>461</v>
      </c>
      <c r="G309" t="s">
        <v>1299</v>
      </c>
      <c r="H309" t="s">
        <v>1356</v>
      </c>
      <c r="I309" t="s">
        <v>310</v>
      </c>
      <c r="J309">
        <v>2</v>
      </c>
      <c r="L309">
        <v>330.06</v>
      </c>
      <c r="M309">
        <v>562.49</v>
      </c>
      <c r="N309">
        <v>839.31999999999903</v>
      </c>
      <c r="O309">
        <v>1196.78</v>
      </c>
      <c r="P309">
        <v>1</v>
      </c>
      <c r="Q309">
        <v>1</v>
      </c>
      <c r="R309">
        <v>0</v>
      </c>
      <c r="S309">
        <v>200138</v>
      </c>
      <c r="T309" t="b">
        <v>1</v>
      </c>
    </row>
    <row r="310" spans="2:20" x14ac:dyDescent="0.35">
      <c r="B310">
        <v>2019</v>
      </c>
      <c r="C310" s="41">
        <v>43399</v>
      </c>
      <c r="D310" t="s">
        <v>1363</v>
      </c>
      <c r="E310" t="s">
        <v>219</v>
      </c>
      <c r="F310" t="s">
        <v>463</v>
      </c>
      <c r="G310" t="s">
        <v>1299</v>
      </c>
      <c r="H310" t="s">
        <v>1364</v>
      </c>
      <c r="I310" t="s">
        <v>310</v>
      </c>
      <c r="J310">
        <v>2</v>
      </c>
      <c r="L310">
        <v>310.27</v>
      </c>
      <c r="M310">
        <v>528.76</v>
      </c>
      <c r="N310">
        <v>789.01</v>
      </c>
      <c r="O310">
        <v>1125.04</v>
      </c>
      <c r="P310">
        <v>1</v>
      </c>
      <c r="Q310">
        <v>1</v>
      </c>
      <c r="R310">
        <v>0</v>
      </c>
      <c r="S310">
        <v>200138</v>
      </c>
      <c r="T310" t="b">
        <v>1</v>
      </c>
    </row>
    <row r="311" spans="2:20" x14ac:dyDescent="0.35">
      <c r="B311">
        <v>2019</v>
      </c>
      <c r="C311" s="41">
        <v>43399</v>
      </c>
      <c r="D311" t="s">
        <v>1365</v>
      </c>
      <c r="E311" t="s">
        <v>219</v>
      </c>
      <c r="F311" t="s">
        <v>1302</v>
      </c>
      <c r="G311" t="s">
        <v>1299</v>
      </c>
      <c r="H311" t="s">
        <v>1356</v>
      </c>
      <c r="I311" t="s">
        <v>310</v>
      </c>
      <c r="J311">
        <v>2</v>
      </c>
      <c r="L311">
        <v>371.67</v>
      </c>
      <c r="M311">
        <v>633.4</v>
      </c>
      <c r="N311">
        <v>945.14</v>
      </c>
      <c r="O311">
        <v>1347.6599999999901</v>
      </c>
      <c r="P311">
        <v>1</v>
      </c>
      <c r="Q311">
        <v>1</v>
      </c>
      <c r="R311">
        <v>0</v>
      </c>
      <c r="S311">
        <v>200138</v>
      </c>
      <c r="T311" t="b">
        <v>1</v>
      </c>
    </row>
    <row r="312" spans="2:20" x14ac:dyDescent="0.35">
      <c r="B312">
        <v>2019</v>
      </c>
      <c r="C312" s="41">
        <v>43399</v>
      </c>
      <c r="D312" t="s">
        <v>1365</v>
      </c>
      <c r="E312" t="s">
        <v>219</v>
      </c>
      <c r="F312" t="s">
        <v>1298</v>
      </c>
      <c r="G312" t="s">
        <v>1299</v>
      </c>
      <c r="H312" t="s">
        <v>1356</v>
      </c>
      <c r="I312" t="s">
        <v>310</v>
      </c>
      <c r="J312">
        <v>2</v>
      </c>
      <c r="L312">
        <v>390.25</v>
      </c>
      <c r="M312">
        <v>665.07</v>
      </c>
      <c r="N312">
        <v>992.39</v>
      </c>
      <c r="O312">
        <v>1415.04</v>
      </c>
      <c r="P312">
        <v>1</v>
      </c>
      <c r="Q312">
        <v>1</v>
      </c>
      <c r="R312">
        <v>0</v>
      </c>
      <c r="S312">
        <v>200138</v>
      </c>
      <c r="T312" t="b">
        <v>1</v>
      </c>
    </row>
    <row r="313" spans="2:20" x14ac:dyDescent="0.35">
      <c r="B313">
        <v>2019</v>
      </c>
      <c r="C313" s="41">
        <v>43399</v>
      </c>
      <c r="D313" t="s">
        <v>1365</v>
      </c>
      <c r="E313" t="s">
        <v>219</v>
      </c>
      <c r="F313" t="s">
        <v>1301</v>
      </c>
      <c r="G313" t="s">
        <v>1299</v>
      </c>
      <c r="H313" t="s">
        <v>1356</v>
      </c>
      <c r="I313" t="s">
        <v>310</v>
      </c>
      <c r="J313">
        <v>2</v>
      </c>
      <c r="L313">
        <v>412.07</v>
      </c>
      <c r="M313">
        <v>702.25</v>
      </c>
      <c r="N313">
        <v>1047.8800000000001</v>
      </c>
      <c r="O313">
        <v>1494.1599999999901</v>
      </c>
      <c r="P313">
        <v>1</v>
      </c>
      <c r="Q313">
        <v>1</v>
      </c>
      <c r="R313">
        <v>0</v>
      </c>
      <c r="S313">
        <v>200138</v>
      </c>
      <c r="T313" t="b">
        <v>1</v>
      </c>
    </row>
    <row r="314" spans="2:20" x14ac:dyDescent="0.35">
      <c r="B314">
        <v>2019</v>
      </c>
      <c r="C314" s="41">
        <v>43399</v>
      </c>
      <c r="D314" t="s">
        <v>1363</v>
      </c>
      <c r="E314" t="s">
        <v>219</v>
      </c>
      <c r="F314" t="s">
        <v>462</v>
      </c>
      <c r="G314" t="s">
        <v>1299</v>
      </c>
      <c r="H314" t="s">
        <v>1364</v>
      </c>
      <c r="I314" t="s">
        <v>310</v>
      </c>
      <c r="J314">
        <v>2</v>
      </c>
      <c r="L314">
        <v>379.22</v>
      </c>
      <c r="M314">
        <v>646.27</v>
      </c>
      <c r="N314">
        <v>964.33999999999901</v>
      </c>
      <c r="O314">
        <v>1375.04</v>
      </c>
      <c r="P314">
        <v>1</v>
      </c>
      <c r="Q314">
        <v>1</v>
      </c>
      <c r="R314">
        <v>0</v>
      </c>
      <c r="S314">
        <v>200138</v>
      </c>
      <c r="T314" t="b">
        <v>1</v>
      </c>
    </row>
    <row r="315" spans="2:20" x14ac:dyDescent="0.35">
      <c r="B315">
        <v>2019</v>
      </c>
      <c r="C315" s="41">
        <v>43399</v>
      </c>
      <c r="D315" t="s">
        <v>1363</v>
      </c>
      <c r="E315" t="s">
        <v>219</v>
      </c>
      <c r="F315" t="s">
        <v>459</v>
      </c>
      <c r="G315" t="s">
        <v>1299</v>
      </c>
      <c r="H315" t="s">
        <v>1364</v>
      </c>
      <c r="I315" t="s">
        <v>310</v>
      </c>
      <c r="J315">
        <v>2</v>
      </c>
      <c r="L315">
        <v>308.22000000000003</v>
      </c>
      <c r="M315">
        <v>525.27</v>
      </c>
      <c r="N315">
        <v>783.79</v>
      </c>
      <c r="O315">
        <v>1117.5999999999999</v>
      </c>
      <c r="P315">
        <v>1</v>
      </c>
      <c r="Q315">
        <v>1</v>
      </c>
      <c r="R315">
        <v>0</v>
      </c>
      <c r="S315">
        <v>200138</v>
      </c>
      <c r="T315" t="b">
        <v>1</v>
      </c>
    </row>
    <row r="316" spans="2:20" x14ac:dyDescent="0.35">
      <c r="B316">
        <v>2019</v>
      </c>
      <c r="C316" s="41">
        <v>43399</v>
      </c>
      <c r="D316" t="s">
        <v>1363</v>
      </c>
      <c r="E316" t="s">
        <v>219</v>
      </c>
      <c r="F316" t="s">
        <v>460</v>
      </c>
      <c r="G316" t="s">
        <v>1299</v>
      </c>
      <c r="H316" t="s">
        <v>1364</v>
      </c>
      <c r="I316" t="s">
        <v>310</v>
      </c>
      <c r="J316">
        <v>2</v>
      </c>
      <c r="L316">
        <v>373.47</v>
      </c>
      <c r="M316">
        <v>636.48</v>
      </c>
      <c r="N316">
        <v>949.72</v>
      </c>
      <c r="O316">
        <v>1354.2</v>
      </c>
      <c r="P316">
        <v>1</v>
      </c>
      <c r="Q316">
        <v>1</v>
      </c>
      <c r="R316">
        <v>0</v>
      </c>
      <c r="S316">
        <v>200138</v>
      </c>
      <c r="T316" t="b">
        <v>1</v>
      </c>
    </row>
    <row r="317" spans="2:20" x14ac:dyDescent="0.35">
      <c r="B317">
        <v>2019</v>
      </c>
      <c r="C317" s="41">
        <v>43399</v>
      </c>
      <c r="D317" t="s">
        <v>1363</v>
      </c>
      <c r="E317" t="s">
        <v>219</v>
      </c>
      <c r="F317" t="s">
        <v>1310</v>
      </c>
      <c r="G317" t="s">
        <v>1299</v>
      </c>
      <c r="H317" t="s">
        <v>1364</v>
      </c>
      <c r="I317" t="s">
        <v>310</v>
      </c>
      <c r="J317">
        <v>2</v>
      </c>
      <c r="L317">
        <v>479.36</v>
      </c>
      <c r="M317">
        <v>816.93</v>
      </c>
      <c r="N317">
        <v>1219</v>
      </c>
      <c r="O317">
        <v>1738.1599999999901</v>
      </c>
      <c r="P317">
        <v>1</v>
      </c>
      <c r="Q317">
        <v>1</v>
      </c>
      <c r="R317">
        <v>0</v>
      </c>
      <c r="S317">
        <v>200138</v>
      </c>
      <c r="T317" t="b">
        <v>1</v>
      </c>
    </row>
    <row r="318" spans="2:20" x14ac:dyDescent="0.35">
      <c r="B318">
        <v>2019</v>
      </c>
      <c r="C318" s="41">
        <v>43399</v>
      </c>
      <c r="D318" t="s">
        <v>1363</v>
      </c>
      <c r="E318" t="s">
        <v>219</v>
      </c>
      <c r="F318" t="s">
        <v>1307</v>
      </c>
      <c r="G318" t="s">
        <v>1299</v>
      </c>
      <c r="H318" t="s">
        <v>1364</v>
      </c>
      <c r="I318" t="s">
        <v>310</v>
      </c>
      <c r="J318">
        <v>2</v>
      </c>
      <c r="L318">
        <v>335.31</v>
      </c>
      <c r="M318">
        <v>571.42999999999995</v>
      </c>
      <c r="N318">
        <v>852.66</v>
      </c>
      <c r="O318">
        <v>1215.8</v>
      </c>
      <c r="P318">
        <v>1</v>
      </c>
      <c r="Q318">
        <v>1</v>
      </c>
      <c r="R318">
        <v>0</v>
      </c>
      <c r="S318">
        <v>200138</v>
      </c>
      <c r="T318" t="b">
        <v>1</v>
      </c>
    </row>
    <row r="319" spans="2:20" x14ac:dyDescent="0.35">
      <c r="B319">
        <v>2019</v>
      </c>
      <c r="C319" s="41">
        <v>43399</v>
      </c>
      <c r="D319" t="s">
        <v>1366</v>
      </c>
      <c r="E319" t="s">
        <v>219</v>
      </c>
      <c r="F319" t="s">
        <v>1309</v>
      </c>
      <c r="G319" t="s">
        <v>1299</v>
      </c>
      <c r="H319" t="s">
        <v>1364</v>
      </c>
      <c r="I319" t="s">
        <v>310</v>
      </c>
      <c r="J319">
        <v>2</v>
      </c>
      <c r="L319">
        <v>369.37</v>
      </c>
      <c r="M319">
        <v>629.48</v>
      </c>
      <c r="N319">
        <v>939.29</v>
      </c>
      <c r="O319">
        <v>1339.32</v>
      </c>
      <c r="P319">
        <v>1</v>
      </c>
      <c r="Q319">
        <v>1</v>
      </c>
      <c r="R319">
        <v>0</v>
      </c>
      <c r="S319">
        <v>200138</v>
      </c>
      <c r="T319" t="b">
        <v>1</v>
      </c>
    </row>
    <row r="320" spans="2:20" x14ac:dyDescent="0.35">
      <c r="B320">
        <v>2019</v>
      </c>
      <c r="C320" s="41">
        <v>43399</v>
      </c>
      <c r="D320" t="s">
        <v>1366</v>
      </c>
      <c r="E320" t="s">
        <v>219</v>
      </c>
      <c r="F320" t="s">
        <v>1307</v>
      </c>
      <c r="G320" t="s">
        <v>1299</v>
      </c>
      <c r="H320" t="s">
        <v>1364</v>
      </c>
      <c r="I320" t="s">
        <v>310</v>
      </c>
      <c r="J320">
        <v>2</v>
      </c>
      <c r="L320">
        <v>335.31</v>
      </c>
      <c r="M320">
        <v>571.42999999999995</v>
      </c>
      <c r="N320">
        <v>852.66</v>
      </c>
      <c r="O320">
        <v>1215.8</v>
      </c>
      <c r="P320">
        <v>1</v>
      </c>
      <c r="Q320">
        <v>1</v>
      </c>
      <c r="R320">
        <v>0</v>
      </c>
      <c r="S320">
        <v>200138</v>
      </c>
      <c r="T320" t="b">
        <v>1</v>
      </c>
    </row>
    <row r="321" spans="2:20" x14ac:dyDescent="0.35">
      <c r="B321">
        <v>2019</v>
      </c>
      <c r="C321" s="41">
        <v>43399</v>
      </c>
      <c r="D321" t="s">
        <v>1366</v>
      </c>
      <c r="E321" t="s">
        <v>219</v>
      </c>
      <c r="F321" t="s">
        <v>1311</v>
      </c>
      <c r="G321" t="s">
        <v>1299</v>
      </c>
      <c r="H321" t="s">
        <v>1364</v>
      </c>
      <c r="I321" t="s">
        <v>310</v>
      </c>
      <c r="J321">
        <v>2</v>
      </c>
      <c r="L321">
        <v>358.7</v>
      </c>
      <c r="M321">
        <v>611.29999999999995</v>
      </c>
      <c r="N321">
        <v>912.16</v>
      </c>
      <c r="O321">
        <v>1300.6399999999901</v>
      </c>
      <c r="P321">
        <v>1</v>
      </c>
      <c r="Q321">
        <v>1</v>
      </c>
      <c r="R321">
        <v>0</v>
      </c>
      <c r="S321">
        <v>200138</v>
      </c>
      <c r="T321" t="b">
        <v>1</v>
      </c>
    </row>
    <row r="322" spans="2:20" x14ac:dyDescent="0.35">
      <c r="B322">
        <v>2019</v>
      </c>
      <c r="C322" s="41">
        <v>43399</v>
      </c>
      <c r="D322" t="s">
        <v>1367</v>
      </c>
      <c r="E322" t="s">
        <v>219</v>
      </c>
      <c r="F322" t="s">
        <v>1311</v>
      </c>
      <c r="G322" t="s">
        <v>1299</v>
      </c>
      <c r="H322" t="s">
        <v>1364</v>
      </c>
      <c r="I322" t="s">
        <v>310</v>
      </c>
      <c r="J322">
        <v>2</v>
      </c>
      <c r="L322">
        <v>358.7</v>
      </c>
      <c r="M322">
        <v>611.29999999999995</v>
      </c>
      <c r="N322">
        <v>912.16</v>
      </c>
      <c r="O322">
        <v>1300.6399999999901</v>
      </c>
      <c r="P322">
        <v>0</v>
      </c>
      <c r="Q322">
        <v>3</v>
      </c>
      <c r="R322">
        <v>0</v>
      </c>
      <c r="S322">
        <v>200138</v>
      </c>
      <c r="T322" t="b">
        <v>1</v>
      </c>
    </row>
    <row r="323" spans="2:20" x14ac:dyDescent="0.35">
      <c r="B323">
        <v>2019</v>
      </c>
      <c r="C323" s="41">
        <v>43399</v>
      </c>
      <c r="D323" t="s">
        <v>1367</v>
      </c>
      <c r="E323" t="s">
        <v>219</v>
      </c>
      <c r="F323" t="s">
        <v>1307</v>
      </c>
      <c r="G323" t="s">
        <v>1299</v>
      </c>
      <c r="H323" t="s">
        <v>1364</v>
      </c>
      <c r="I323" t="s">
        <v>310</v>
      </c>
      <c r="J323">
        <v>2</v>
      </c>
      <c r="L323">
        <v>335.31</v>
      </c>
      <c r="M323">
        <v>571.42999999999995</v>
      </c>
      <c r="N323">
        <v>852.66</v>
      </c>
      <c r="O323">
        <v>1215.8</v>
      </c>
      <c r="P323">
        <v>0</v>
      </c>
      <c r="Q323">
        <v>3</v>
      </c>
      <c r="R323">
        <v>0</v>
      </c>
      <c r="S323">
        <v>200138</v>
      </c>
      <c r="T323" t="b">
        <v>1</v>
      </c>
    </row>
    <row r="324" spans="2:20" x14ac:dyDescent="0.35">
      <c r="B324">
        <v>2019</v>
      </c>
      <c r="C324" s="41">
        <v>43399</v>
      </c>
      <c r="D324" t="s">
        <v>1367</v>
      </c>
      <c r="E324" t="s">
        <v>219</v>
      </c>
      <c r="F324" t="s">
        <v>463</v>
      </c>
      <c r="G324" t="s">
        <v>1299</v>
      </c>
      <c r="H324" t="s">
        <v>1364</v>
      </c>
      <c r="I324" t="s">
        <v>310</v>
      </c>
      <c r="J324">
        <v>2</v>
      </c>
      <c r="L324">
        <v>310.27</v>
      </c>
      <c r="M324">
        <v>528.76</v>
      </c>
      <c r="N324">
        <v>789.01</v>
      </c>
      <c r="O324">
        <v>1125.04</v>
      </c>
      <c r="P324">
        <v>0</v>
      </c>
      <c r="Q324">
        <v>3</v>
      </c>
      <c r="R324">
        <v>0</v>
      </c>
      <c r="S324">
        <v>200138</v>
      </c>
      <c r="T324" t="b">
        <v>1</v>
      </c>
    </row>
    <row r="325" spans="2:20" x14ac:dyDescent="0.35">
      <c r="B325">
        <v>2019</v>
      </c>
      <c r="C325" s="41">
        <v>43399</v>
      </c>
      <c r="D325" t="s">
        <v>1366</v>
      </c>
      <c r="E325" t="s">
        <v>219</v>
      </c>
      <c r="F325" t="s">
        <v>463</v>
      </c>
      <c r="G325" t="s">
        <v>1299</v>
      </c>
      <c r="H325" t="s">
        <v>1364</v>
      </c>
      <c r="I325" t="s">
        <v>310</v>
      </c>
      <c r="J325">
        <v>2</v>
      </c>
      <c r="L325">
        <v>310.27</v>
      </c>
      <c r="M325">
        <v>528.76</v>
      </c>
      <c r="N325">
        <v>789.01</v>
      </c>
      <c r="O325">
        <v>1125.04</v>
      </c>
      <c r="P325">
        <v>1</v>
      </c>
      <c r="Q325">
        <v>1</v>
      </c>
      <c r="R325">
        <v>0</v>
      </c>
      <c r="S325">
        <v>200138</v>
      </c>
      <c r="T325" t="b">
        <v>1</v>
      </c>
    </row>
    <row r="326" spans="2:20" x14ac:dyDescent="0.35">
      <c r="B326">
        <v>2019</v>
      </c>
      <c r="C326" s="41">
        <v>43399</v>
      </c>
      <c r="D326" t="s">
        <v>1367</v>
      </c>
      <c r="E326" t="s">
        <v>219</v>
      </c>
      <c r="F326" t="s">
        <v>460</v>
      </c>
      <c r="G326" t="s">
        <v>1299</v>
      </c>
      <c r="H326" t="s">
        <v>1364</v>
      </c>
      <c r="I326" t="s">
        <v>310</v>
      </c>
      <c r="J326">
        <v>2</v>
      </c>
      <c r="L326">
        <v>373.47</v>
      </c>
      <c r="M326">
        <v>636.48</v>
      </c>
      <c r="N326">
        <v>949.72</v>
      </c>
      <c r="O326">
        <v>1354.2</v>
      </c>
      <c r="P326">
        <v>0</v>
      </c>
      <c r="Q326">
        <v>3</v>
      </c>
      <c r="R326">
        <v>0</v>
      </c>
      <c r="S326">
        <v>200138</v>
      </c>
      <c r="T326" t="b">
        <v>1</v>
      </c>
    </row>
    <row r="327" spans="2:20" x14ac:dyDescent="0.35">
      <c r="B327">
        <v>2019</v>
      </c>
      <c r="C327" s="41">
        <v>43399</v>
      </c>
      <c r="D327" t="s">
        <v>1367</v>
      </c>
      <c r="E327" t="s">
        <v>219</v>
      </c>
      <c r="F327" t="s">
        <v>462</v>
      </c>
      <c r="G327" t="s">
        <v>1299</v>
      </c>
      <c r="H327" t="s">
        <v>1364</v>
      </c>
      <c r="I327" t="s">
        <v>310</v>
      </c>
      <c r="J327">
        <v>2</v>
      </c>
      <c r="L327">
        <v>379.22</v>
      </c>
      <c r="M327">
        <v>646.27</v>
      </c>
      <c r="N327">
        <v>964.33999999999901</v>
      </c>
      <c r="O327">
        <v>1375.04</v>
      </c>
      <c r="P327">
        <v>0</v>
      </c>
      <c r="Q327">
        <v>3</v>
      </c>
      <c r="R327">
        <v>0</v>
      </c>
      <c r="S327">
        <v>200138</v>
      </c>
      <c r="T327" t="b">
        <v>1</v>
      </c>
    </row>
    <row r="328" spans="2:20" x14ac:dyDescent="0.35">
      <c r="B328">
        <v>2019</v>
      </c>
      <c r="C328" s="41">
        <v>43399</v>
      </c>
      <c r="D328" t="s">
        <v>1366</v>
      </c>
      <c r="E328" t="s">
        <v>219</v>
      </c>
      <c r="F328" t="s">
        <v>460</v>
      </c>
      <c r="G328" t="s">
        <v>1299</v>
      </c>
      <c r="H328" t="s">
        <v>1364</v>
      </c>
      <c r="I328" t="s">
        <v>310</v>
      </c>
      <c r="J328">
        <v>2</v>
      </c>
      <c r="L328">
        <v>373.47</v>
      </c>
      <c r="M328">
        <v>636.48</v>
      </c>
      <c r="N328">
        <v>949.72</v>
      </c>
      <c r="O328">
        <v>1354.2</v>
      </c>
      <c r="P328">
        <v>1</v>
      </c>
      <c r="Q328">
        <v>1</v>
      </c>
      <c r="R328">
        <v>0</v>
      </c>
      <c r="S328">
        <v>200138</v>
      </c>
      <c r="T328" t="b">
        <v>1</v>
      </c>
    </row>
    <row r="329" spans="2:20" x14ac:dyDescent="0.35">
      <c r="B329">
        <v>2019</v>
      </c>
      <c r="C329" s="41">
        <v>43399</v>
      </c>
      <c r="D329" t="s">
        <v>1366</v>
      </c>
      <c r="E329" t="s">
        <v>219</v>
      </c>
      <c r="F329" t="s">
        <v>462</v>
      </c>
      <c r="G329" t="s">
        <v>1299</v>
      </c>
      <c r="H329" t="s">
        <v>1364</v>
      </c>
      <c r="I329" t="s">
        <v>310</v>
      </c>
      <c r="J329">
        <v>2</v>
      </c>
      <c r="L329">
        <v>379.22</v>
      </c>
      <c r="M329">
        <v>646.27</v>
      </c>
      <c r="N329">
        <v>964.33999999999901</v>
      </c>
      <c r="O329">
        <v>1375.04</v>
      </c>
      <c r="P329">
        <v>1</v>
      </c>
      <c r="Q329">
        <v>1</v>
      </c>
      <c r="R329">
        <v>0</v>
      </c>
      <c r="S329">
        <v>200138</v>
      </c>
      <c r="T329" t="b">
        <v>1</v>
      </c>
    </row>
    <row r="330" spans="2:20" x14ac:dyDescent="0.35">
      <c r="B330">
        <v>2019</v>
      </c>
      <c r="C330" s="41">
        <v>43399</v>
      </c>
      <c r="D330" t="s">
        <v>1366</v>
      </c>
      <c r="E330" t="s">
        <v>219</v>
      </c>
      <c r="F330" t="s">
        <v>459</v>
      </c>
      <c r="G330" t="s">
        <v>1299</v>
      </c>
      <c r="H330" t="s">
        <v>1364</v>
      </c>
      <c r="I330" t="s">
        <v>310</v>
      </c>
      <c r="J330">
        <v>2</v>
      </c>
      <c r="L330">
        <v>308.22000000000003</v>
      </c>
      <c r="M330">
        <v>525.27</v>
      </c>
      <c r="N330">
        <v>783.79</v>
      </c>
      <c r="O330">
        <v>1117.5999999999999</v>
      </c>
      <c r="P330">
        <v>1</v>
      </c>
      <c r="Q330">
        <v>1</v>
      </c>
      <c r="R330">
        <v>0</v>
      </c>
      <c r="S330">
        <v>200138</v>
      </c>
      <c r="T330" t="b">
        <v>1</v>
      </c>
    </row>
    <row r="331" spans="2:20" x14ac:dyDescent="0.35">
      <c r="B331">
        <v>2019</v>
      </c>
      <c r="C331" s="41">
        <v>43399</v>
      </c>
      <c r="D331" t="s">
        <v>1366</v>
      </c>
      <c r="E331" t="s">
        <v>219</v>
      </c>
      <c r="F331" t="s">
        <v>1310</v>
      </c>
      <c r="G331" t="s">
        <v>1299</v>
      </c>
      <c r="H331" t="s">
        <v>1364</v>
      </c>
      <c r="I331" t="s">
        <v>310</v>
      </c>
      <c r="J331">
        <v>2</v>
      </c>
      <c r="L331">
        <v>479.36</v>
      </c>
      <c r="M331">
        <v>816.93</v>
      </c>
      <c r="N331">
        <v>1219</v>
      </c>
      <c r="O331">
        <v>1738.1599999999901</v>
      </c>
      <c r="P331">
        <v>1</v>
      </c>
      <c r="Q331">
        <v>1</v>
      </c>
      <c r="R331">
        <v>0</v>
      </c>
      <c r="S331">
        <v>200138</v>
      </c>
      <c r="T331" t="b">
        <v>1</v>
      </c>
    </row>
    <row r="332" spans="2:20" x14ac:dyDescent="0.35">
      <c r="B332">
        <v>2019</v>
      </c>
      <c r="C332" s="41">
        <v>43399</v>
      </c>
      <c r="D332" t="s">
        <v>1367</v>
      </c>
      <c r="E332" t="s">
        <v>219</v>
      </c>
      <c r="F332" t="s">
        <v>459</v>
      </c>
      <c r="G332" t="s">
        <v>1299</v>
      </c>
      <c r="H332" t="s">
        <v>1364</v>
      </c>
      <c r="I332" t="s">
        <v>310</v>
      </c>
      <c r="J332">
        <v>2</v>
      </c>
      <c r="L332">
        <v>308.22000000000003</v>
      </c>
      <c r="M332">
        <v>525.27</v>
      </c>
      <c r="N332">
        <v>783.79</v>
      </c>
      <c r="O332">
        <v>1117.5999999999999</v>
      </c>
      <c r="P332">
        <v>0</v>
      </c>
      <c r="Q332">
        <v>3</v>
      </c>
      <c r="R332">
        <v>0</v>
      </c>
      <c r="S332">
        <v>200138</v>
      </c>
      <c r="T332" t="b">
        <v>1</v>
      </c>
    </row>
    <row r="333" spans="2:20" x14ac:dyDescent="0.35">
      <c r="B333">
        <v>2019</v>
      </c>
      <c r="C333" s="41">
        <v>43399</v>
      </c>
      <c r="D333" t="s">
        <v>1367</v>
      </c>
      <c r="E333" t="s">
        <v>219</v>
      </c>
      <c r="F333" t="s">
        <v>1309</v>
      </c>
      <c r="G333" t="s">
        <v>1299</v>
      </c>
      <c r="H333" t="s">
        <v>1364</v>
      </c>
      <c r="I333" t="s">
        <v>310</v>
      </c>
      <c r="J333">
        <v>2</v>
      </c>
      <c r="L333">
        <v>369.37</v>
      </c>
      <c r="M333">
        <v>629.48</v>
      </c>
      <c r="N333">
        <v>939.29</v>
      </c>
      <c r="O333">
        <v>1339.32</v>
      </c>
      <c r="P333">
        <v>0</v>
      </c>
      <c r="Q333">
        <v>3</v>
      </c>
      <c r="R333">
        <v>0</v>
      </c>
      <c r="S333">
        <v>200138</v>
      </c>
      <c r="T333" t="b">
        <v>1</v>
      </c>
    </row>
    <row r="334" spans="2:20" x14ac:dyDescent="0.35">
      <c r="B334">
        <v>2019</v>
      </c>
      <c r="C334" s="41">
        <v>43399</v>
      </c>
      <c r="D334" t="s">
        <v>1367</v>
      </c>
      <c r="E334" t="s">
        <v>219</v>
      </c>
      <c r="F334" t="s">
        <v>1310</v>
      </c>
      <c r="G334" t="s">
        <v>1299</v>
      </c>
      <c r="H334" t="s">
        <v>1364</v>
      </c>
      <c r="I334" t="s">
        <v>310</v>
      </c>
      <c r="J334">
        <v>2</v>
      </c>
      <c r="L334">
        <v>479.36</v>
      </c>
      <c r="M334">
        <v>816.93</v>
      </c>
      <c r="N334">
        <v>1219</v>
      </c>
      <c r="O334">
        <v>1738.1599999999901</v>
      </c>
      <c r="P334">
        <v>0</v>
      </c>
      <c r="Q334">
        <v>3</v>
      </c>
      <c r="R334">
        <v>0</v>
      </c>
      <c r="S334">
        <v>200138</v>
      </c>
      <c r="T334" t="b">
        <v>1</v>
      </c>
    </row>
    <row r="335" spans="2:20" x14ac:dyDescent="0.35">
      <c r="B335">
        <v>2019</v>
      </c>
      <c r="C335" s="41">
        <v>43399</v>
      </c>
      <c r="D335" t="s">
        <v>1368</v>
      </c>
      <c r="E335" t="s">
        <v>219</v>
      </c>
      <c r="F335" t="s">
        <v>1301</v>
      </c>
      <c r="G335" t="s">
        <v>1299</v>
      </c>
      <c r="H335" t="s">
        <v>1364</v>
      </c>
      <c r="I335" t="s">
        <v>310</v>
      </c>
      <c r="J335">
        <v>2</v>
      </c>
      <c r="L335">
        <v>418.62</v>
      </c>
      <c r="M335">
        <v>713.41</v>
      </c>
      <c r="N335">
        <v>1064.53</v>
      </c>
      <c r="O335">
        <v>1517.9</v>
      </c>
      <c r="P335">
        <v>1</v>
      </c>
      <c r="Q335">
        <v>1</v>
      </c>
      <c r="R335">
        <v>0</v>
      </c>
      <c r="S335">
        <v>200138</v>
      </c>
      <c r="T335" t="b">
        <v>1</v>
      </c>
    </row>
    <row r="336" spans="2:20" x14ac:dyDescent="0.35">
      <c r="B336">
        <v>2019</v>
      </c>
      <c r="C336" s="41">
        <v>43399</v>
      </c>
      <c r="D336" t="s">
        <v>1368</v>
      </c>
      <c r="E336" t="s">
        <v>219</v>
      </c>
      <c r="F336" t="s">
        <v>461</v>
      </c>
      <c r="G336" t="s">
        <v>1299</v>
      </c>
      <c r="H336" t="s">
        <v>1364</v>
      </c>
      <c r="I336" t="s">
        <v>310</v>
      </c>
      <c r="J336">
        <v>2</v>
      </c>
      <c r="L336">
        <v>335.31</v>
      </c>
      <c r="M336">
        <v>571.42999999999995</v>
      </c>
      <c r="N336">
        <v>852.66</v>
      </c>
      <c r="O336">
        <v>1215.8</v>
      </c>
      <c r="P336">
        <v>1</v>
      </c>
      <c r="Q336">
        <v>1</v>
      </c>
      <c r="R336">
        <v>0</v>
      </c>
      <c r="S336">
        <v>200138</v>
      </c>
      <c r="T336" t="b">
        <v>1</v>
      </c>
    </row>
    <row r="337" spans="2:20" x14ac:dyDescent="0.35">
      <c r="B337">
        <v>2019</v>
      </c>
      <c r="C337" s="41">
        <v>43399</v>
      </c>
      <c r="D337" t="s">
        <v>1369</v>
      </c>
      <c r="E337" t="s">
        <v>219</v>
      </c>
      <c r="F337" t="s">
        <v>1298</v>
      </c>
      <c r="G337" t="s">
        <v>1299</v>
      </c>
      <c r="H337" t="s">
        <v>1364</v>
      </c>
      <c r="I337" t="s">
        <v>310</v>
      </c>
      <c r="J337">
        <v>2</v>
      </c>
      <c r="L337">
        <v>396.46</v>
      </c>
      <c r="M337">
        <v>675.64</v>
      </c>
      <c r="N337">
        <v>1008.17</v>
      </c>
      <c r="O337">
        <v>1437.54</v>
      </c>
      <c r="P337">
        <v>1</v>
      </c>
      <c r="Q337">
        <v>1</v>
      </c>
      <c r="R337">
        <v>0</v>
      </c>
      <c r="S337">
        <v>200138</v>
      </c>
      <c r="T337" t="b">
        <v>1</v>
      </c>
    </row>
    <row r="338" spans="2:20" x14ac:dyDescent="0.35">
      <c r="B338">
        <v>2019</v>
      </c>
      <c r="C338" s="41">
        <v>43399</v>
      </c>
      <c r="D338" t="s">
        <v>1368</v>
      </c>
      <c r="E338" t="s">
        <v>219</v>
      </c>
      <c r="F338" t="s">
        <v>1302</v>
      </c>
      <c r="G338" t="s">
        <v>1299</v>
      </c>
      <c r="H338" t="s">
        <v>1364</v>
      </c>
      <c r="I338" t="s">
        <v>310</v>
      </c>
      <c r="J338">
        <v>2</v>
      </c>
      <c r="L338">
        <v>377.58</v>
      </c>
      <c r="M338">
        <v>643.47</v>
      </c>
      <c r="N338">
        <v>960.16</v>
      </c>
      <c r="O338">
        <v>1369.08</v>
      </c>
      <c r="P338">
        <v>1</v>
      </c>
      <c r="Q338">
        <v>1</v>
      </c>
      <c r="R338">
        <v>0</v>
      </c>
      <c r="S338">
        <v>200138</v>
      </c>
      <c r="T338" t="b">
        <v>1</v>
      </c>
    </row>
    <row r="339" spans="2:20" x14ac:dyDescent="0.35">
      <c r="B339">
        <v>2019</v>
      </c>
      <c r="C339" s="41">
        <v>43399</v>
      </c>
      <c r="D339" t="s">
        <v>1368</v>
      </c>
      <c r="E339" t="s">
        <v>219</v>
      </c>
      <c r="F339" t="s">
        <v>1298</v>
      </c>
      <c r="G339" t="s">
        <v>1299</v>
      </c>
      <c r="H339" t="s">
        <v>1364</v>
      </c>
      <c r="I339" t="s">
        <v>310</v>
      </c>
      <c r="J339">
        <v>2</v>
      </c>
      <c r="L339">
        <v>396.46</v>
      </c>
      <c r="M339">
        <v>675.64</v>
      </c>
      <c r="N339">
        <v>1008.17</v>
      </c>
      <c r="O339">
        <v>1437.54</v>
      </c>
      <c r="P339">
        <v>1</v>
      </c>
      <c r="Q339">
        <v>1</v>
      </c>
      <c r="R339">
        <v>0</v>
      </c>
      <c r="S339">
        <v>200138</v>
      </c>
      <c r="T339" t="b">
        <v>1</v>
      </c>
    </row>
    <row r="340" spans="2:20" x14ac:dyDescent="0.35">
      <c r="B340">
        <v>2019</v>
      </c>
      <c r="C340" s="41">
        <v>43399</v>
      </c>
      <c r="D340" t="s">
        <v>1369</v>
      </c>
      <c r="E340" t="s">
        <v>219</v>
      </c>
      <c r="F340" t="s">
        <v>1302</v>
      </c>
      <c r="G340" t="s">
        <v>1299</v>
      </c>
      <c r="H340" t="s">
        <v>1364</v>
      </c>
      <c r="I340" t="s">
        <v>310</v>
      </c>
      <c r="J340">
        <v>2</v>
      </c>
      <c r="L340">
        <v>377.58</v>
      </c>
      <c r="M340">
        <v>643.47</v>
      </c>
      <c r="N340">
        <v>960.16</v>
      </c>
      <c r="O340">
        <v>1369.08</v>
      </c>
      <c r="P340">
        <v>1</v>
      </c>
      <c r="Q340">
        <v>1</v>
      </c>
      <c r="R340">
        <v>0</v>
      </c>
      <c r="S340">
        <v>200138</v>
      </c>
      <c r="T340" t="b">
        <v>1</v>
      </c>
    </row>
    <row r="341" spans="2:20" x14ac:dyDescent="0.35">
      <c r="B341">
        <v>2019</v>
      </c>
      <c r="C341" s="41">
        <v>43399</v>
      </c>
      <c r="D341" t="s">
        <v>1369</v>
      </c>
      <c r="E341" t="s">
        <v>219</v>
      </c>
      <c r="F341" t="s">
        <v>461</v>
      </c>
      <c r="G341" t="s">
        <v>1299</v>
      </c>
      <c r="H341" t="s">
        <v>1364</v>
      </c>
      <c r="I341" t="s">
        <v>310</v>
      </c>
      <c r="J341">
        <v>2</v>
      </c>
      <c r="L341">
        <v>335.31</v>
      </c>
      <c r="M341">
        <v>571.42999999999995</v>
      </c>
      <c r="N341">
        <v>852.66</v>
      </c>
      <c r="O341">
        <v>1215.8</v>
      </c>
      <c r="P341">
        <v>1</v>
      </c>
      <c r="Q341">
        <v>1</v>
      </c>
      <c r="R341">
        <v>0</v>
      </c>
      <c r="S341">
        <v>200138</v>
      </c>
      <c r="T341" t="b">
        <v>1</v>
      </c>
    </row>
    <row r="342" spans="2:20" x14ac:dyDescent="0.35">
      <c r="B342">
        <v>2019</v>
      </c>
      <c r="C342" s="41">
        <v>43374</v>
      </c>
      <c r="D342" t="s">
        <v>1370</v>
      </c>
      <c r="E342" t="s">
        <v>219</v>
      </c>
      <c r="F342" t="s">
        <v>1309</v>
      </c>
      <c r="G342" t="s">
        <v>1299</v>
      </c>
      <c r="H342" t="s">
        <v>1300</v>
      </c>
      <c r="I342" t="s">
        <v>310</v>
      </c>
      <c r="J342">
        <v>2</v>
      </c>
      <c r="L342">
        <v>348.04</v>
      </c>
      <c r="M342">
        <v>593.13</v>
      </c>
      <c r="N342">
        <v>885.05</v>
      </c>
      <c r="O342">
        <v>1261.98</v>
      </c>
      <c r="P342">
        <v>1</v>
      </c>
      <c r="Q342">
        <v>2</v>
      </c>
      <c r="R342">
        <v>0</v>
      </c>
      <c r="S342">
        <v>200138</v>
      </c>
      <c r="T342" t="b">
        <v>1</v>
      </c>
    </row>
    <row r="343" spans="2:20" x14ac:dyDescent="0.35">
      <c r="B343">
        <v>2019</v>
      </c>
      <c r="C343" s="41">
        <v>43399</v>
      </c>
      <c r="D343" t="s">
        <v>1369</v>
      </c>
      <c r="E343" t="s">
        <v>219</v>
      </c>
      <c r="F343" t="s">
        <v>1301</v>
      </c>
      <c r="G343" t="s">
        <v>1299</v>
      </c>
      <c r="H343" t="s">
        <v>1364</v>
      </c>
      <c r="I343" t="s">
        <v>310</v>
      </c>
      <c r="J343">
        <v>2</v>
      </c>
      <c r="L343">
        <v>418.62</v>
      </c>
      <c r="M343">
        <v>713.41</v>
      </c>
      <c r="N343">
        <v>1064.53</v>
      </c>
      <c r="O343">
        <v>1517.9</v>
      </c>
      <c r="P343">
        <v>1</v>
      </c>
      <c r="Q343">
        <v>1</v>
      </c>
      <c r="R343">
        <v>0</v>
      </c>
      <c r="S343">
        <v>200138</v>
      </c>
      <c r="T343" t="b">
        <v>1</v>
      </c>
    </row>
    <row r="344" spans="2:20" x14ac:dyDescent="0.35">
      <c r="B344">
        <v>2019</v>
      </c>
      <c r="C344" s="41">
        <v>43374</v>
      </c>
      <c r="D344" t="s">
        <v>1370</v>
      </c>
      <c r="E344" t="s">
        <v>219</v>
      </c>
      <c r="F344" t="s">
        <v>1307</v>
      </c>
      <c r="G344" t="s">
        <v>1299</v>
      </c>
      <c r="H344" t="s">
        <v>1300</v>
      </c>
      <c r="I344" t="s">
        <v>310</v>
      </c>
      <c r="J344">
        <v>2</v>
      </c>
      <c r="L344">
        <v>315.94</v>
      </c>
      <c r="M344">
        <v>538.42999999999995</v>
      </c>
      <c r="N344">
        <v>803.43</v>
      </c>
      <c r="O344">
        <v>1145.5999999999999</v>
      </c>
      <c r="P344">
        <v>1</v>
      </c>
      <c r="Q344">
        <v>2</v>
      </c>
      <c r="R344">
        <v>0</v>
      </c>
      <c r="S344">
        <v>200138</v>
      </c>
      <c r="T344" t="b">
        <v>1</v>
      </c>
    </row>
    <row r="345" spans="2:20" x14ac:dyDescent="0.35">
      <c r="B345">
        <v>2019</v>
      </c>
      <c r="C345" s="41">
        <v>43374</v>
      </c>
      <c r="D345" t="s">
        <v>1370</v>
      </c>
      <c r="E345" t="s">
        <v>219</v>
      </c>
      <c r="F345" t="s">
        <v>1311</v>
      </c>
      <c r="G345" t="s">
        <v>1299</v>
      </c>
      <c r="H345" t="s">
        <v>1300</v>
      </c>
      <c r="I345" t="s">
        <v>310</v>
      </c>
      <c r="J345">
        <v>2</v>
      </c>
      <c r="L345">
        <v>337.99</v>
      </c>
      <c r="M345">
        <v>576</v>
      </c>
      <c r="N345">
        <v>859.48</v>
      </c>
      <c r="O345">
        <v>1225.52</v>
      </c>
      <c r="P345">
        <v>1</v>
      </c>
      <c r="Q345">
        <v>2</v>
      </c>
      <c r="R345">
        <v>0</v>
      </c>
      <c r="S345">
        <v>200138</v>
      </c>
      <c r="T345" t="b">
        <v>1</v>
      </c>
    </row>
    <row r="346" spans="2:20" x14ac:dyDescent="0.35">
      <c r="B346">
        <v>2019</v>
      </c>
      <c r="C346" s="41">
        <v>43374</v>
      </c>
      <c r="D346" t="s">
        <v>1370</v>
      </c>
      <c r="E346" t="s">
        <v>219</v>
      </c>
      <c r="F346" t="s">
        <v>460</v>
      </c>
      <c r="G346" t="s">
        <v>1299</v>
      </c>
      <c r="H346" t="s">
        <v>1300</v>
      </c>
      <c r="I346" t="s">
        <v>310</v>
      </c>
      <c r="J346">
        <v>2</v>
      </c>
      <c r="L346">
        <v>351.91</v>
      </c>
      <c r="M346">
        <v>599.72</v>
      </c>
      <c r="N346">
        <v>894.88</v>
      </c>
      <c r="O346">
        <v>1276</v>
      </c>
      <c r="P346">
        <v>1</v>
      </c>
      <c r="Q346">
        <v>2</v>
      </c>
      <c r="R346">
        <v>0</v>
      </c>
      <c r="S346">
        <v>200138</v>
      </c>
      <c r="T346" t="b">
        <v>1</v>
      </c>
    </row>
    <row r="347" spans="2:20" x14ac:dyDescent="0.35">
      <c r="B347">
        <v>2019</v>
      </c>
      <c r="C347" s="41">
        <v>43374</v>
      </c>
      <c r="D347" t="s">
        <v>1370</v>
      </c>
      <c r="E347" t="s">
        <v>219</v>
      </c>
      <c r="F347" t="s">
        <v>463</v>
      </c>
      <c r="G347" t="s">
        <v>1299</v>
      </c>
      <c r="H347" t="s">
        <v>1300</v>
      </c>
      <c r="I347" t="s">
        <v>310</v>
      </c>
      <c r="J347">
        <v>2</v>
      </c>
      <c r="L347">
        <v>292.35000000000002</v>
      </c>
      <c r="M347">
        <v>498.23</v>
      </c>
      <c r="N347">
        <v>743.44</v>
      </c>
      <c r="O347">
        <v>1060.06</v>
      </c>
      <c r="P347">
        <v>1</v>
      </c>
      <c r="Q347">
        <v>2</v>
      </c>
      <c r="R347">
        <v>0</v>
      </c>
      <c r="S347">
        <v>200138</v>
      </c>
      <c r="T347" t="b">
        <v>1</v>
      </c>
    </row>
    <row r="348" spans="2:20" x14ac:dyDescent="0.35">
      <c r="B348">
        <v>2019</v>
      </c>
      <c r="C348" s="41">
        <v>43374</v>
      </c>
      <c r="D348" t="s">
        <v>1370</v>
      </c>
      <c r="E348" t="s">
        <v>219</v>
      </c>
      <c r="F348" t="s">
        <v>1310</v>
      </c>
      <c r="G348" t="s">
        <v>1299</v>
      </c>
      <c r="H348" t="s">
        <v>1300</v>
      </c>
      <c r="I348" t="s">
        <v>310</v>
      </c>
      <c r="J348">
        <v>2</v>
      </c>
      <c r="L348">
        <v>451.68</v>
      </c>
      <c r="M348">
        <v>769.75</v>
      </c>
      <c r="N348">
        <v>1148.5999999999999</v>
      </c>
      <c r="O348">
        <v>1637.78</v>
      </c>
      <c r="P348">
        <v>1</v>
      </c>
      <c r="Q348">
        <v>2</v>
      </c>
      <c r="R348">
        <v>0</v>
      </c>
      <c r="S348">
        <v>200138</v>
      </c>
      <c r="T348" t="b">
        <v>1</v>
      </c>
    </row>
    <row r="349" spans="2:20" x14ac:dyDescent="0.35">
      <c r="B349">
        <v>2019</v>
      </c>
      <c r="C349" s="41">
        <v>43374</v>
      </c>
      <c r="D349" t="s">
        <v>1370</v>
      </c>
      <c r="E349" t="s">
        <v>219</v>
      </c>
      <c r="F349" t="s">
        <v>459</v>
      </c>
      <c r="G349" t="s">
        <v>1299</v>
      </c>
      <c r="H349" t="s">
        <v>1300</v>
      </c>
      <c r="I349" t="s">
        <v>310</v>
      </c>
      <c r="J349">
        <v>2</v>
      </c>
      <c r="L349">
        <v>290.42</v>
      </c>
      <c r="M349">
        <v>494.94</v>
      </c>
      <c r="N349">
        <v>738.53</v>
      </c>
      <c r="O349">
        <v>1053.06</v>
      </c>
      <c r="P349">
        <v>1</v>
      </c>
      <c r="Q349">
        <v>2</v>
      </c>
      <c r="R349">
        <v>0</v>
      </c>
      <c r="S349">
        <v>200138</v>
      </c>
      <c r="T349" t="b">
        <v>1</v>
      </c>
    </row>
    <row r="350" spans="2:20" x14ac:dyDescent="0.35">
      <c r="B350">
        <v>2019</v>
      </c>
      <c r="C350" s="41">
        <v>43374</v>
      </c>
      <c r="D350" t="s">
        <v>1370</v>
      </c>
      <c r="E350" t="s">
        <v>219</v>
      </c>
      <c r="F350" t="s">
        <v>462</v>
      </c>
      <c r="G350" t="s">
        <v>1299</v>
      </c>
      <c r="H350" t="s">
        <v>1300</v>
      </c>
      <c r="I350" t="s">
        <v>310</v>
      </c>
      <c r="J350">
        <v>2</v>
      </c>
      <c r="L350">
        <v>357.32</v>
      </c>
      <c r="M350">
        <v>608.95000000000005</v>
      </c>
      <c r="N350">
        <v>908.65</v>
      </c>
      <c r="O350">
        <v>1295.6399999999901</v>
      </c>
      <c r="P350">
        <v>1</v>
      </c>
      <c r="Q350">
        <v>2</v>
      </c>
      <c r="R350">
        <v>0</v>
      </c>
      <c r="S350">
        <v>200138</v>
      </c>
      <c r="T350" t="b">
        <v>1</v>
      </c>
    </row>
    <row r="351" spans="2:20" x14ac:dyDescent="0.35">
      <c r="B351">
        <v>2019</v>
      </c>
      <c r="C351" s="41">
        <v>43374</v>
      </c>
      <c r="D351" t="s">
        <v>1371</v>
      </c>
      <c r="E351" t="s">
        <v>219</v>
      </c>
      <c r="F351" t="s">
        <v>1311</v>
      </c>
      <c r="G351" t="s">
        <v>1299</v>
      </c>
      <c r="H351" t="s">
        <v>1300</v>
      </c>
      <c r="I351" t="s">
        <v>310</v>
      </c>
      <c r="J351">
        <v>2</v>
      </c>
      <c r="L351">
        <v>337.99</v>
      </c>
      <c r="M351">
        <v>576</v>
      </c>
      <c r="N351">
        <v>859.48</v>
      </c>
      <c r="O351">
        <v>1225.52</v>
      </c>
      <c r="P351">
        <v>1</v>
      </c>
      <c r="Q351">
        <v>2</v>
      </c>
      <c r="R351">
        <v>0</v>
      </c>
      <c r="S351">
        <v>200138</v>
      </c>
      <c r="T351" t="b">
        <v>1</v>
      </c>
    </row>
    <row r="352" spans="2:20" x14ac:dyDescent="0.35">
      <c r="B352">
        <v>2019</v>
      </c>
      <c r="C352" s="41">
        <v>43374</v>
      </c>
      <c r="D352" t="s">
        <v>1371</v>
      </c>
      <c r="E352" t="s">
        <v>219</v>
      </c>
      <c r="F352" t="s">
        <v>1307</v>
      </c>
      <c r="G352" t="s">
        <v>1299</v>
      </c>
      <c r="H352" t="s">
        <v>1300</v>
      </c>
      <c r="I352" t="s">
        <v>310</v>
      </c>
      <c r="J352">
        <v>2</v>
      </c>
      <c r="L352">
        <v>315.94</v>
      </c>
      <c r="M352">
        <v>538.42999999999995</v>
      </c>
      <c r="N352">
        <v>803.43</v>
      </c>
      <c r="O352">
        <v>1145.5999999999999</v>
      </c>
      <c r="P352">
        <v>1</v>
      </c>
      <c r="Q352">
        <v>2</v>
      </c>
      <c r="R352">
        <v>0</v>
      </c>
      <c r="S352">
        <v>200138</v>
      </c>
      <c r="T352" t="b">
        <v>1</v>
      </c>
    </row>
    <row r="353" spans="2:20" x14ac:dyDescent="0.35">
      <c r="B353">
        <v>2019</v>
      </c>
      <c r="C353" s="41">
        <v>43374</v>
      </c>
      <c r="D353" t="s">
        <v>1371</v>
      </c>
      <c r="E353" t="s">
        <v>219</v>
      </c>
      <c r="F353" t="s">
        <v>460</v>
      </c>
      <c r="G353" t="s">
        <v>1299</v>
      </c>
      <c r="H353" t="s">
        <v>1300</v>
      </c>
      <c r="I353" t="s">
        <v>310</v>
      </c>
      <c r="J353">
        <v>2</v>
      </c>
      <c r="L353">
        <v>351.91</v>
      </c>
      <c r="M353">
        <v>599.72</v>
      </c>
      <c r="N353">
        <v>894.88</v>
      </c>
      <c r="O353">
        <v>1276</v>
      </c>
      <c r="P353">
        <v>1</v>
      </c>
      <c r="Q353">
        <v>2</v>
      </c>
      <c r="R353">
        <v>0</v>
      </c>
      <c r="S353">
        <v>200138</v>
      </c>
      <c r="T353" t="b">
        <v>1</v>
      </c>
    </row>
    <row r="354" spans="2:20" x14ac:dyDescent="0.35">
      <c r="B354">
        <v>2019</v>
      </c>
      <c r="C354" s="41">
        <v>43374</v>
      </c>
      <c r="D354" t="s">
        <v>1371</v>
      </c>
      <c r="E354" t="s">
        <v>219</v>
      </c>
      <c r="F354" t="s">
        <v>462</v>
      </c>
      <c r="G354" t="s">
        <v>1299</v>
      </c>
      <c r="H354" t="s">
        <v>1300</v>
      </c>
      <c r="I354" t="s">
        <v>310</v>
      </c>
      <c r="J354">
        <v>2</v>
      </c>
      <c r="L354">
        <v>357.32</v>
      </c>
      <c r="M354">
        <v>608.95000000000005</v>
      </c>
      <c r="N354">
        <v>908.65</v>
      </c>
      <c r="O354">
        <v>1295.6399999999901</v>
      </c>
      <c r="P354">
        <v>1</v>
      </c>
      <c r="Q354">
        <v>2</v>
      </c>
      <c r="R354">
        <v>0</v>
      </c>
      <c r="S354">
        <v>200138</v>
      </c>
      <c r="T354" t="b">
        <v>1</v>
      </c>
    </row>
    <row r="355" spans="2:20" x14ac:dyDescent="0.35">
      <c r="B355">
        <v>2019</v>
      </c>
      <c r="C355" s="41">
        <v>43374</v>
      </c>
      <c r="D355" t="s">
        <v>1371</v>
      </c>
      <c r="E355" t="s">
        <v>219</v>
      </c>
      <c r="F355" t="s">
        <v>1309</v>
      </c>
      <c r="G355" t="s">
        <v>1299</v>
      </c>
      <c r="H355" t="s">
        <v>1300</v>
      </c>
      <c r="I355" t="s">
        <v>310</v>
      </c>
      <c r="J355">
        <v>2</v>
      </c>
      <c r="L355">
        <v>348.04</v>
      </c>
      <c r="M355">
        <v>593.13</v>
      </c>
      <c r="N355">
        <v>885.05</v>
      </c>
      <c r="O355">
        <v>1261.98</v>
      </c>
      <c r="P355">
        <v>1</v>
      </c>
      <c r="Q355">
        <v>2</v>
      </c>
      <c r="R355">
        <v>0</v>
      </c>
      <c r="S355">
        <v>200138</v>
      </c>
      <c r="T355" t="b">
        <v>1</v>
      </c>
    </row>
    <row r="356" spans="2:20" x14ac:dyDescent="0.35">
      <c r="B356">
        <v>2019</v>
      </c>
      <c r="C356" s="41">
        <v>43374</v>
      </c>
      <c r="D356" t="s">
        <v>1372</v>
      </c>
      <c r="E356" t="s">
        <v>219</v>
      </c>
      <c r="F356" t="s">
        <v>1307</v>
      </c>
      <c r="G356" t="s">
        <v>1299</v>
      </c>
      <c r="H356" t="s">
        <v>1300</v>
      </c>
      <c r="I356" t="s">
        <v>310</v>
      </c>
      <c r="J356">
        <v>2</v>
      </c>
      <c r="L356">
        <v>315.94</v>
      </c>
      <c r="M356">
        <v>538.42999999999995</v>
      </c>
      <c r="N356">
        <v>803.43</v>
      </c>
      <c r="O356">
        <v>1145.5999999999999</v>
      </c>
      <c r="P356">
        <v>1</v>
      </c>
      <c r="Q356">
        <v>2</v>
      </c>
      <c r="R356">
        <v>0</v>
      </c>
      <c r="S356">
        <v>200138</v>
      </c>
      <c r="T356" t="b">
        <v>1</v>
      </c>
    </row>
    <row r="357" spans="2:20" x14ac:dyDescent="0.35">
      <c r="B357">
        <v>2019</v>
      </c>
      <c r="C357" s="41">
        <v>43374</v>
      </c>
      <c r="D357" t="s">
        <v>1372</v>
      </c>
      <c r="E357" t="s">
        <v>219</v>
      </c>
      <c r="F357" t="s">
        <v>1309</v>
      </c>
      <c r="G357" t="s">
        <v>1299</v>
      </c>
      <c r="H357" t="s">
        <v>1300</v>
      </c>
      <c r="I357" t="s">
        <v>310</v>
      </c>
      <c r="J357">
        <v>2</v>
      </c>
      <c r="L357">
        <v>348.04</v>
      </c>
      <c r="M357">
        <v>593.13</v>
      </c>
      <c r="N357">
        <v>885.05</v>
      </c>
      <c r="O357">
        <v>1261.98</v>
      </c>
      <c r="P357">
        <v>1</v>
      </c>
      <c r="Q357">
        <v>2</v>
      </c>
      <c r="R357">
        <v>0</v>
      </c>
      <c r="S357">
        <v>200138</v>
      </c>
      <c r="T357" t="b">
        <v>1</v>
      </c>
    </row>
    <row r="358" spans="2:20" x14ac:dyDescent="0.35">
      <c r="B358">
        <v>2019</v>
      </c>
      <c r="C358" s="41">
        <v>43374</v>
      </c>
      <c r="D358" t="s">
        <v>1371</v>
      </c>
      <c r="E358" t="s">
        <v>219</v>
      </c>
      <c r="F358" t="s">
        <v>463</v>
      </c>
      <c r="G358" t="s">
        <v>1299</v>
      </c>
      <c r="H358" t="s">
        <v>1300</v>
      </c>
      <c r="I358" t="s">
        <v>310</v>
      </c>
      <c r="J358">
        <v>2</v>
      </c>
      <c r="L358">
        <v>292.35000000000002</v>
      </c>
      <c r="M358">
        <v>498.23</v>
      </c>
      <c r="N358">
        <v>743.44</v>
      </c>
      <c r="O358">
        <v>1060.06</v>
      </c>
      <c r="P358">
        <v>1</v>
      </c>
      <c r="Q358">
        <v>2</v>
      </c>
      <c r="R358">
        <v>0</v>
      </c>
      <c r="S358">
        <v>200138</v>
      </c>
      <c r="T358" t="b">
        <v>1</v>
      </c>
    </row>
    <row r="359" spans="2:20" x14ac:dyDescent="0.35">
      <c r="B359">
        <v>2019</v>
      </c>
      <c r="C359" s="41">
        <v>43374</v>
      </c>
      <c r="D359" t="s">
        <v>1371</v>
      </c>
      <c r="E359" t="s">
        <v>219</v>
      </c>
      <c r="F359" t="s">
        <v>459</v>
      </c>
      <c r="G359" t="s">
        <v>1299</v>
      </c>
      <c r="H359" t="s">
        <v>1300</v>
      </c>
      <c r="I359" t="s">
        <v>310</v>
      </c>
      <c r="J359">
        <v>2</v>
      </c>
      <c r="L359">
        <v>290.42</v>
      </c>
      <c r="M359">
        <v>494.94</v>
      </c>
      <c r="N359">
        <v>738.53</v>
      </c>
      <c r="O359">
        <v>1053.06</v>
      </c>
      <c r="P359">
        <v>1</v>
      </c>
      <c r="Q359">
        <v>2</v>
      </c>
      <c r="R359">
        <v>0</v>
      </c>
      <c r="S359">
        <v>200138</v>
      </c>
      <c r="T359" t="b">
        <v>1</v>
      </c>
    </row>
    <row r="360" spans="2:20" x14ac:dyDescent="0.35">
      <c r="B360">
        <v>2019</v>
      </c>
      <c r="C360" s="41">
        <v>43374</v>
      </c>
      <c r="D360" t="s">
        <v>1371</v>
      </c>
      <c r="E360" t="s">
        <v>219</v>
      </c>
      <c r="F360" t="s">
        <v>1310</v>
      </c>
      <c r="G360" t="s">
        <v>1299</v>
      </c>
      <c r="H360" t="s">
        <v>1300</v>
      </c>
      <c r="I360" t="s">
        <v>310</v>
      </c>
      <c r="J360">
        <v>2</v>
      </c>
      <c r="L360">
        <v>451.68</v>
      </c>
      <c r="M360">
        <v>769.75</v>
      </c>
      <c r="N360">
        <v>1148.5999999999999</v>
      </c>
      <c r="O360">
        <v>1637.78</v>
      </c>
      <c r="P360">
        <v>1</v>
      </c>
      <c r="Q360">
        <v>2</v>
      </c>
      <c r="R360">
        <v>0</v>
      </c>
      <c r="S360">
        <v>200138</v>
      </c>
      <c r="T360" t="b">
        <v>1</v>
      </c>
    </row>
    <row r="361" spans="2:20" x14ac:dyDescent="0.35">
      <c r="B361">
        <v>2019</v>
      </c>
      <c r="C361" s="41">
        <v>43374</v>
      </c>
      <c r="D361" t="s">
        <v>1372</v>
      </c>
      <c r="E361" t="s">
        <v>219</v>
      </c>
      <c r="F361" t="s">
        <v>1311</v>
      </c>
      <c r="G361" t="s">
        <v>1299</v>
      </c>
      <c r="H361" t="s">
        <v>1300</v>
      </c>
      <c r="I361" t="s">
        <v>310</v>
      </c>
      <c r="J361">
        <v>2</v>
      </c>
      <c r="L361">
        <v>337.99</v>
      </c>
      <c r="M361">
        <v>576</v>
      </c>
      <c r="N361">
        <v>859.48</v>
      </c>
      <c r="O361">
        <v>1225.52</v>
      </c>
      <c r="P361">
        <v>1</v>
      </c>
      <c r="Q361">
        <v>2</v>
      </c>
      <c r="R361">
        <v>0</v>
      </c>
      <c r="S361">
        <v>200138</v>
      </c>
      <c r="T361" t="b">
        <v>1</v>
      </c>
    </row>
    <row r="362" spans="2:20" x14ac:dyDescent="0.35">
      <c r="B362">
        <v>2019</v>
      </c>
      <c r="C362" s="41">
        <v>43374</v>
      </c>
      <c r="D362" t="s">
        <v>1372</v>
      </c>
      <c r="E362" t="s">
        <v>219</v>
      </c>
      <c r="F362" t="s">
        <v>463</v>
      </c>
      <c r="G362" t="s">
        <v>1299</v>
      </c>
      <c r="H362" t="s">
        <v>1300</v>
      </c>
      <c r="I362" t="s">
        <v>310</v>
      </c>
      <c r="J362">
        <v>2</v>
      </c>
      <c r="L362">
        <v>292.35000000000002</v>
      </c>
      <c r="M362">
        <v>498.23</v>
      </c>
      <c r="N362">
        <v>743.44</v>
      </c>
      <c r="O362">
        <v>1060.06</v>
      </c>
      <c r="P362">
        <v>1</v>
      </c>
      <c r="Q362">
        <v>2</v>
      </c>
      <c r="R362">
        <v>0</v>
      </c>
      <c r="S362">
        <v>200138</v>
      </c>
      <c r="T362" t="b">
        <v>1</v>
      </c>
    </row>
    <row r="363" spans="2:20" x14ac:dyDescent="0.35">
      <c r="B363">
        <v>2019</v>
      </c>
      <c r="C363" s="41">
        <v>43374</v>
      </c>
      <c r="D363" t="s">
        <v>1372</v>
      </c>
      <c r="E363" t="s">
        <v>219</v>
      </c>
      <c r="F363" t="s">
        <v>460</v>
      </c>
      <c r="G363" t="s">
        <v>1299</v>
      </c>
      <c r="H363" t="s">
        <v>1300</v>
      </c>
      <c r="I363" t="s">
        <v>310</v>
      </c>
      <c r="J363">
        <v>2</v>
      </c>
      <c r="L363">
        <v>351.91</v>
      </c>
      <c r="M363">
        <v>599.72</v>
      </c>
      <c r="N363">
        <v>894.88</v>
      </c>
      <c r="O363">
        <v>1276</v>
      </c>
      <c r="P363">
        <v>1</v>
      </c>
      <c r="Q363">
        <v>2</v>
      </c>
      <c r="R363">
        <v>0</v>
      </c>
      <c r="S363">
        <v>200138</v>
      </c>
      <c r="T363" t="b">
        <v>1</v>
      </c>
    </row>
    <row r="364" spans="2:20" x14ac:dyDescent="0.35">
      <c r="B364">
        <v>2019</v>
      </c>
      <c r="C364" s="41">
        <v>43374</v>
      </c>
      <c r="D364" t="s">
        <v>1372</v>
      </c>
      <c r="E364" t="s">
        <v>219</v>
      </c>
      <c r="F364" t="s">
        <v>459</v>
      </c>
      <c r="G364" t="s">
        <v>1299</v>
      </c>
      <c r="H364" t="s">
        <v>1300</v>
      </c>
      <c r="I364" t="s">
        <v>310</v>
      </c>
      <c r="J364">
        <v>2</v>
      </c>
      <c r="L364">
        <v>290.42</v>
      </c>
      <c r="M364">
        <v>494.94</v>
      </c>
      <c r="N364">
        <v>738.53</v>
      </c>
      <c r="O364">
        <v>1053.06</v>
      </c>
      <c r="P364">
        <v>1</v>
      </c>
      <c r="Q364">
        <v>2</v>
      </c>
      <c r="R364">
        <v>0</v>
      </c>
      <c r="S364">
        <v>200138</v>
      </c>
      <c r="T364" t="b">
        <v>1</v>
      </c>
    </row>
    <row r="365" spans="2:20" x14ac:dyDescent="0.35">
      <c r="B365">
        <v>2019</v>
      </c>
      <c r="C365" s="41">
        <v>43374</v>
      </c>
      <c r="D365" t="s">
        <v>1372</v>
      </c>
      <c r="E365" t="s">
        <v>219</v>
      </c>
      <c r="F365" t="s">
        <v>462</v>
      </c>
      <c r="G365" t="s">
        <v>1299</v>
      </c>
      <c r="H365" t="s">
        <v>1300</v>
      </c>
      <c r="I365" t="s">
        <v>310</v>
      </c>
      <c r="J365">
        <v>2</v>
      </c>
      <c r="L365">
        <v>357.32</v>
      </c>
      <c r="M365">
        <v>608.95000000000005</v>
      </c>
      <c r="N365">
        <v>908.65</v>
      </c>
      <c r="O365">
        <v>1295.6399999999901</v>
      </c>
      <c r="P365">
        <v>1</v>
      </c>
      <c r="Q365">
        <v>2</v>
      </c>
      <c r="R365">
        <v>0</v>
      </c>
      <c r="S365">
        <v>200138</v>
      </c>
      <c r="T365" t="b">
        <v>1</v>
      </c>
    </row>
    <row r="366" spans="2:20" x14ac:dyDescent="0.35">
      <c r="B366">
        <v>2019</v>
      </c>
      <c r="C366" s="41">
        <v>43374</v>
      </c>
      <c r="D366" t="s">
        <v>1372</v>
      </c>
      <c r="E366" t="s">
        <v>219</v>
      </c>
      <c r="F366" t="s">
        <v>1310</v>
      </c>
      <c r="G366" t="s">
        <v>1299</v>
      </c>
      <c r="H366" t="s">
        <v>1300</v>
      </c>
      <c r="I366" t="s">
        <v>310</v>
      </c>
      <c r="J366">
        <v>2</v>
      </c>
      <c r="L366">
        <v>451.68</v>
      </c>
      <c r="M366">
        <v>769.75</v>
      </c>
      <c r="N366">
        <v>1148.5999999999999</v>
      </c>
      <c r="O366">
        <v>1637.78</v>
      </c>
      <c r="P366">
        <v>1</v>
      </c>
      <c r="Q366">
        <v>2</v>
      </c>
      <c r="R366">
        <v>0</v>
      </c>
      <c r="S366">
        <v>200138</v>
      </c>
      <c r="T366" t="b">
        <v>1</v>
      </c>
    </row>
    <row r="367" spans="2:20" x14ac:dyDescent="0.35">
      <c r="B367">
        <v>2019</v>
      </c>
      <c r="C367" s="41">
        <v>43374</v>
      </c>
      <c r="D367" t="s">
        <v>1373</v>
      </c>
      <c r="E367" t="s">
        <v>219</v>
      </c>
      <c r="F367" t="s">
        <v>1309</v>
      </c>
      <c r="G367" t="s">
        <v>1299</v>
      </c>
      <c r="H367" t="s">
        <v>1300</v>
      </c>
      <c r="I367" t="s">
        <v>310</v>
      </c>
      <c r="J367">
        <v>2</v>
      </c>
      <c r="L367">
        <v>348.04</v>
      </c>
      <c r="M367">
        <v>593.13</v>
      </c>
      <c r="N367">
        <v>885.05</v>
      </c>
      <c r="O367">
        <v>1261.98</v>
      </c>
      <c r="P367">
        <v>0</v>
      </c>
      <c r="Q367">
        <v>2</v>
      </c>
      <c r="R367">
        <v>0</v>
      </c>
      <c r="S367">
        <v>200138</v>
      </c>
      <c r="T367" t="b">
        <v>1</v>
      </c>
    </row>
    <row r="368" spans="2:20" x14ac:dyDescent="0.35">
      <c r="B368">
        <v>2019</v>
      </c>
      <c r="C368" s="41">
        <v>43374</v>
      </c>
      <c r="D368" t="s">
        <v>1373</v>
      </c>
      <c r="E368" t="s">
        <v>219</v>
      </c>
      <c r="F368" t="s">
        <v>463</v>
      </c>
      <c r="G368" t="s">
        <v>1299</v>
      </c>
      <c r="H368" t="s">
        <v>1300</v>
      </c>
      <c r="I368" t="s">
        <v>310</v>
      </c>
      <c r="J368">
        <v>2</v>
      </c>
      <c r="L368">
        <v>292.35000000000002</v>
      </c>
      <c r="M368">
        <v>498.23</v>
      </c>
      <c r="N368">
        <v>743.44</v>
      </c>
      <c r="O368">
        <v>1060.06</v>
      </c>
      <c r="P368">
        <v>0</v>
      </c>
      <c r="Q368">
        <v>2</v>
      </c>
      <c r="R368">
        <v>0</v>
      </c>
      <c r="S368">
        <v>200138</v>
      </c>
      <c r="T368" t="b">
        <v>1</v>
      </c>
    </row>
    <row r="369" spans="2:20" x14ac:dyDescent="0.35">
      <c r="B369">
        <v>2019</v>
      </c>
      <c r="C369" s="41">
        <v>43374</v>
      </c>
      <c r="D369" t="s">
        <v>1373</v>
      </c>
      <c r="E369" t="s">
        <v>219</v>
      </c>
      <c r="F369" t="s">
        <v>460</v>
      </c>
      <c r="G369" t="s">
        <v>1299</v>
      </c>
      <c r="H369" t="s">
        <v>1300</v>
      </c>
      <c r="I369" t="s">
        <v>310</v>
      </c>
      <c r="J369">
        <v>2</v>
      </c>
      <c r="L369">
        <v>351.91</v>
      </c>
      <c r="M369">
        <v>599.72</v>
      </c>
      <c r="N369">
        <v>894.88</v>
      </c>
      <c r="O369">
        <v>1276</v>
      </c>
      <c r="P369">
        <v>0</v>
      </c>
      <c r="Q369">
        <v>2</v>
      </c>
      <c r="R369">
        <v>0</v>
      </c>
      <c r="S369">
        <v>200138</v>
      </c>
      <c r="T369" t="b">
        <v>1</v>
      </c>
    </row>
    <row r="370" spans="2:20" x14ac:dyDescent="0.35">
      <c r="B370">
        <v>2019</v>
      </c>
      <c r="C370" s="41">
        <v>43374</v>
      </c>
      <c r="D370" t="s">
        <v>1373</v>
      </c>
      <c r="E370" t="s">
        <v>219</v>
      </c>
      <c r="F370" t="s">
        <v>462</v>
      </c>
      <c r="G370" t="s">
        <v>1299</v>
      </c>
      <c r="H370" t="s">
        <v>1300</v>
      </c>
      <c r="I370" t="s">
        <v>310</v>
      </c>
      <c r="J370">
        <v>2</v>
      </c>
      <c r="L370">
        <v>357.32</v>
      </c>
      <c r="M370">
        <v>608.95000000000005</v>
      </c>
      <c r="N370">
        <v>908.65</v>
      </c>
      <c r="O370">
        <v>1295.6399999999901</v>
      </c>
      <c r="P370">
        <v>0</v>
      </c>
      <c r="Q370">
        <v>2</v>
      </c>
      <c r="R370">
        <v>0</v>
      </c>
      <c r="S370">
        <v>200138</v>
      </c>
      <c r="T370" t="b">
        <v>1</v>
      </c>
    </row>
    <row r="371" spans="2:20" x14ac:dyDescent="0.35">
      <c r="B371">
        <v>2019</v>
      </c>
      <c r="C371" s="41">
        <v>43374</v>
      </c>
      <c r="D371" t="s">
        <v>1373</v>
      </c>
      <c r="E371" t="s">
        <v>219</v>
      </c>
      <c r="F371" t="s">
        <v>459</v>
      </c>
      <c r="G371" t="s">
        <v>1299</v>
      </c>
      <c r="H371" t="s">
        <v>1300</v>
      </c>
      <c r="I371" t="s">
        <v>310</v>
      </c>
      <c r="J371">
        <v>2</v>
      </c>
      <c r="L371">
        <v>290.42</v>
      </c>
      <c r="M371">
        <v>494.94</v>
      </c>
      <c r="N371">
        <v>738.53</v>
      </c>
      <c r="O371">
        <v>1053.06</v>
      </c>
      <c r="P371">
        <v>0</v>
      </c>
      <c r="Q371">
        <v>2</v>
      </c>
      <c r="R371">
        <v>0</v>
      </c>
      <c r="S371">
        <v>200138</v>
      </c>
      <c r="T371" t="b">
        <v>1</v>
      </c>
    </row>
    <row r="372" spans="2:20" x14ac:dyDescent="0.35">
      <c r="B372">
        <v>2019</v>
      </c>
      <c r="C372" s="41">
        <v>43374</v>
      </c>
      <c r="D372" t="s">
        <v>1373</v>
      </c>
      <c r="E372" t="s">
        <v>219</v>
      </c>
      <c r="F372" t="s">
        <v>1310</v>
      </c>
      <c r="G372" t="s">
        <v>1299</v>
      </c>
      <c r="H372" t="s">
        <v>1300</v>
      </c>
      <c r="I372" t="s">
        <v>310</v>
      </c>
      <c r="J372">
        <v>2</v>
      </c>
      <c r="L372">
        <v>451.68</v>
      </c>
      <c r="M372">
        <v>769.75</v>
      </c>
      <c r="N372">
        <v>1148.5999999999999</v>
      </c>
      <c r="O372">
        <v>1637.78</v>
      </c>
      <c r="P372">
        <v>0</v>
      </c>
      <c r="Q372">
        <v>2</v>
      </c>
      <c r="R372">
        <v>0</v>
      </c>
      <c r="S372">
        <v>200138</v>
      </c>
      <c r="T372" t="b">
        <v>1</v>
      </c>
    </row>
    <row r="373" spans="2:20" x14ac:dyDescent="0.35">
      <c r="B373">
        <v>2019</v>
      </c>
      <c r="C373" s="41">
        <v>43374</v>
      </c>
      <c r="D373" t="s">
        <v>1374</v>
      </c>
      <c r="E373" t="s">
        <v>219</v>
      </c>
      <c r="F373" t="s">
        <v>1307</v>
      </c>
      <c r="G373" t="s">
        <v>1299</v>
      </c>
      <c r="H373" t="s">
        <v>1304</v>
      </c>
      <c r="I373" t="s">
        <v>310</v>
      </c>
      <c r="J373">
        <v>2</v>
      </c>
      <c r="L373">
        <v>319.63</v>
      </c>
      <c r="M373">
        <v>544.72</v>
      </c>
      <c r="N373">
        <v>812.81</v>
      </c>
      <c r="O373">
        <v>1158.98</v>
      </c>
      <c r="P373">
        <v>1</v>
      </c>
      <c r="Q373">
        <v>2</v>
      </c>
      <c r="R373">
        <v>0</v>
      </c>
      <c r="S373">
        <v>200138</v>
      </c>
      <c r="T373" t="b">
        <v>1</v>
      </c>
    </row>
    <row r="374" spans="2:20" x14ac:dyDescent="0.35">
      <c r="B374">
        <v>2019</v>
      </c>
      <c r="C374" s="41">
        <v>43374</v>
      </c>
      <c r="D374" t="s">
        <v>1373</v>
      </c>
      <c r="E374" t="s">
        <v>219</v>
      </c>
      <c r="F374" t="s">
        <v>1307</v>
      </c>
      <c r="G374" t="s">
        <v>1299</v>
      </c>
      <c r="H374" t="s">
        <v>1300</v>
      </c>
      <c r="I374" t="s">
        <v>310</v>
      </c>
      <c r="J374">
        <v>2</v>
      </c>
      <c r="L374">
        <v>315.94</v>
      </c>
      <c r="M374">
        <v>538.42999999999995</v>
      </c>
      <c r="N374">
        <v>803.43</v>
      </c>
      <c r="O374">
        <v>1145.5999999999999</v>
      </c>
      <c r="P374">
        <v>0</v>
      </c>
      <c r="Q374">
        <v>2</v>
      </c>
      <c r="R374">
        <v>0</v>
      </c>
      <c r="S374">
        <v>200138</v>
      </c>
      <c r="T374" t="b">
        <v>1</v>
      </c>
    </row>
    <row r="375" spans="2:20" x14ac:dyDescent="0.35">
      <c r="B375">
        <v>2019</v>
      </c>
      <c r="C375" s="41">
        <v>43374</v>
      </c>
      <c r="D375" t="s">
        <v>1373</v>
      </c>
      <c r="E375" t="s">
        <v>219</v>
      </c>
      <c r="F375" t="s">
        <v>1311</v>
      </c>
      <c r="G375" t="s">
        <v>1299</v>
      </c>
      <c r="H375" t="s">
        <v>1300</v>
      </c>
      <c r="I375" t="s">
        <v>310</v>
      </c>
      <c r="J375">
        <v>2</v>
      </c>
      <c r="L375">
        <v>337.99</v>
      </c>
      <c r="M375">
        <v>576</v>
      </c>
      <c r="N375">
        <v>859.48</v>
      </c>
      <c r="O375">
        <v>1225.52</v>
      </c>
      <c r="P375">
        <v>0</v>
      </c>
      <c r="Q375">
        <v>2</v>
      </c>
      <c r="R375">
        <v>0</v>
      </c>
      <c r="S375">
        <v>200138</v>
      </c>
      <c r="T375" t="b">
        <v>1</v>
      </c>
    </row>
    <row r="376" spans="2:20" x14ac:dyDescent="0.35">
      <c r="B376">
        <v>2019</v>
      </c>
      <c r="C376" s="41">
        <v>43374</v>
      </c>
      <c r="D376" t="s">
        <v>1374</v>
      </c>
      <c r="E376" t="s">
        <v>219</v>
      </c>
      <c r="F376" t="s">
        <v>1311</v>
      </c>
      <c r="G376" t="s">
        <v>1299</v>
      </c>
      <c r="H376" t="s">
        <v>1304</v>
      </c>
      <c r="I376" t="s">
        <v>310</v>
      </c>
      <c r="J376">
        <v>2</v>
      </c>
      <c r="L376">
        <v>341.93</v>
      </c>
      <c r="M376">
        <v>582.72</v>
      </c>
      <c r="N376">
        <v>869.52</v>
      </c>
      <c r="O376">
        <v>1239.8399999999999</v>
      </c>
      <c r="P376">
        <v>1</v>
      </c>
      <c r="Q376">
        <v>2</v>
      </c>
      <c r="R376">
        <v>0</v>
      </c>
      <c r="S376">
        <v>200138</v>
      </c>
      <c r="T376" t="b">
        <v>1</v>
      </c>
    </row>
    <row r="377" spans="2:20" x14ac:dyDescent="0.35">
      <c r="B377">
        <v>2019</v>
      </c>
      <c r="C377" s="41">
        <v>43374</v>
      </c>
      <c r="D377" t="s">
        <v>1374</v>
      </c>
      <c r="E377" t="s">
        <v>219</v>
      </c>
      <c r="F377" t="s">
        <v>462</v>
      </c>
      <c r="G377" t="s">
        <v>1299</v>
      </c>
      <c r="H377" t="s">
        <v>1304</v>
      </c>
      <c r="I377" t="s">
        <v>310</v>
      </c>
      <c r="J377">
        <v>2</v>
      </c>
      <c r="L377">
        <v>361.49</v>
      </c>
      <c r="M377">
        <v>616.05999999999995</v>
      </c>
      <c r="N377">
        <v>919.26</v>
      </c>
      <c r="O377">
        <v>1310.76</v>
      </c>
      <c r="P377">
        <v>1</v>
      </c>
      <c r="Q377">
        <v>2</v>
      </c>
      <c r="R377">
        <v>0</v>
      </c>
      <c r="S377">
        <v>200138</v>
      </c>
      <c r="T377" t="b">
        <v>1</v>
      </c>
    </row>
    <row r="378" spans="2:20" x14ac:dyDescent="0.35">
      <c r="B378">
        <v>2019</v>
      </c>
      <c r="C378" s="41">
        <v>43374</v>
      </c>
      <c r="D378" t="s">
        <v>1375</v>
      </c>
      <c r="E378" t="s">
        <v>219</v>
      </c>
      <c r="F378" t="s">
        <v>460</v>
      </c>
      <c r="G378" t="s">
        <v>1299</v>
      </c>
      <c r="H378" t="s">
        <v>1304</v>
      </c>
      <c r="I378" t="s">
        <v>310</v>
      </c>
      <c r="J378">
        <v>2</v>
      </c>
      <c r="L378">
        <v>356.02</v>
      </c>
      <c r="M378">
        <v>606.72</v>
      </c>
      <c r="N378">
        <v>905.32999999999902</v>
      </c>
      <c r="O378">
        <v>1290.9000000000001</v>
      </c>
      <c r="P378">
        <v>1</v>
      </c>
      <c r="Q378">
        <v>2</v>
      </c>
      <c r="R378">
        <v>0</v>
      </c>
      <c r="S378">
        <v>200138</v>
      </c>
      <c r="T378" t="b">
        <v>1</v>
      </c>
    </row>
    <row r="379" spans="2:20" x14ac:dyDescent="0.35">
      <c r="B379">
        <v>2019</v>
      </c>
      <c r="C379" s="41">
        <v>43374</v>
      </c>
      <c r="D379" t="s">
        <v>1374</v>
      </c>
      <c r="E379" t="s">
        <v>219</v>
      </c>
      <c r="F379" t="s">
        <v>463</v>
      </c>
      <c r="G379" t="s">
        <v>1299</v>
      </c>
      <c r="H379" t="s">
        <v>1304</v>
      </c>
      <c r="I379" t="s">
        <v>310</v>
      </c>
      <c r="J379">
        <v>2</v>
      </c>
      <c r="L379">
        <v>295.77</v>
      </c>
      <c r="M379">
        <v>504.05</v>
      </c>
      <c r="N379">
        <v>752.12</v>
      </c>
      <c r="O379">
        <v>1072.44</v>
      </c>
      <c r="P379">
        <v>1</v>
      </c>
      <c r="Q379">
        <v>2</v>
      </c>
      <c r="R379">
        <v>0</v>
      </c>
      <c r="S379">
        <v>200138</v>
      </c>
      <c r="T379" t="b">
        <v>1</v>
      </c>
    </row>
    <row r="380" spans="2:20" x14ac:dyDescent="0.35">
      <c r="B380">
        <v>2019</v>
      </c>
      <c r="C380" s="41">
        <v>43374</v>
      </c>
      <c r="D380" t="s">
        <v>1374</v>
      </c>
      <c r="E380" t="s">
        <v>219</v>
      </c>
      <c r="F380" t="s">
        <v>1309</v>
      </c>
      <c r="G380" t="s">
        <v>1299</v>
      </c>
      <c r="H380" t="s">
        <v>1304</v>
      </c>
      <c r="I380" t="s">
        <v>310</v>
      </c>
      <c r="J380">
        <v>2</v>
      </c>
      <c r="L380">
        <v>352.1</v>
      </c>
      <c r="M380">
        <v>600.05999999999995</v>
      </c>
      <c r="N380">
        <v>895.36999999999898</v>
      </c>
      <c r="O380">
        <v>1276.69999999999</v>
      </c>
      <c r="P380">
        <v>1</v>
      </c>
      <c r="Q380">
        <v>2</v>
      </c>
      <c r="R380">
        <v>0</v>
      </c>
      <c r="S380">
        <v>200138</v>
      </c>
      <c r="T380" t="b">
        <v>1</v>
      </c>
    </row>
    <row r="381" spans="2:20" x14ac:dyDescent="0.35">
      <c r="B381">
        <v>2019</v>
      </c>
      <c r="C381" s="41">
        <v>43374</v>
      </c>
      <c r="D381" t="s">
        <v>1375</v>
      </c>
      <c r="E381" t="s">
        <v>219</v>
      </c>
      <c r="F381" t="s">
        <v>462</v>
      </c>
      <c r="G381" t="s">
        <v>1299</v>
      </c>
      <c r="H381" t="s">
        <v>1304</v>
      </c>
      <c r="I381" t="s">
        <v>310</v>
      </c>
      <c r="J381">
        <v>2</v>
      </c>
      <c r="L381">
        <v>361.49</v>
      </c>
      <c r="M381">
        <v>616.05999999999995</v>
      </c>
      <c r="N381">
        <v>919.26</v>
      </c>
      <c r="O381">
        <v>1310.76</v>
      </c>
      <c r="P381">
        <v>1</v>
      </c>
      <c r="Q381">
        <v>2</v>
      </c>
      <c r="R381">
        <v>0</v>
      </c>
      <c r="S381">
        <v>200138</v>
      </c>
      <c r="T381" t="b">
        <v>1</v>
      </c>
    </row>
    <row r="382" spans="2:20" x14ac:dyDescent="0.35">
      <c r="B382">
        <v>2019</v>
      </c>
      <c r="C382" s="41">
        <v>43374</v>
      </c>
      <c r="D382" t="s">
        <v>1375</v>
      </c>
      <c r="E382" t="s">
        <v>219</v>
      </c>
      <c r="F382" t="s">
        <v>459</v>
      </c>
      <c r="G382" t="s">
        <v>1299</v>
      </c>
      <c r="H382" t="s">
        <v>1304</v>
      </c>
      <c r="I382" t="s">
        <v>310</v>
      </c>
      <c r="J382">
        <v>2</v>
      </c>
      <c r="L382">
        <v>293.81</v>
      </c>
      <c r="M382">
        <v>500.71</v>
      </c>
      <c r="N382">
        <v>747.14</v>
      </c>
      <c r="O382">
        <v>1065.3399999999999</v>
      </c>
      <c r="P382">
        <v>1</v>
      </c>
      <c r="Q382">
        <v>2</v>
      </c>
      <c r="R382">
        <v>0</v>
      </c>
      <c r="S382">
        <v>200138</v>
      </c>
      <c r="T382" t="b">
        <v>1</v>
      </c>
    </row>
    <row r="383" spans="2:20" x14ac:dyDescent="0.35">
      <c r="B383">
        <v>2019</v>
      </c>
      <c r="C383" s="41">
        <v>43374</v>
      </c>
      <c r="D383" t="s">
        <v>1376</v>
      </c>
      <c r="E383" t="s">
        <v>219</v>
      </c>
      <c r="F383" t="s">
        <v>1307</v>
      </c>
      <c r="G383" t="s">
        <v>1299</v>
      </c>
      <c r="H383" t="s">
        <v>1304</v>
      </c>
      <c r="I383" t="s">
        <v>310</v>
      </c>
      <c r="J383">
        <v>2</v>
      </c>
      <c r="L383">
        <v>319.63</v>
      </c>
      <c r="M383">
        <v>544.72</v>
      </c>
      <c r="N383">
        <v>812.81</v>
      </c>
      <c r="O383">
        <v>1158.98</v>
      </c>
      <c r="P383">
        <v>1</v>
      </c>
      <c r="Q383">
        <v>2</v>
      </c>
      <c r="R383">
        <v>0</v>
      </c>
      <c r="S383">
        <v>200138</v>
      </c>
      <c r="T383" t="b">
        <v>1</v>
      </c>
    </row>
    <row r="384" spans="2:20" x14ac:dyDescent="0.35">
      <c r="B384">
        <v>2019</v>
      </c>
      <c r="C384" s="41">
        <v>43374</v>
      </c>
      <c r="D384" t="s">
        <v>1375</v>
      </c>
      <c r="E384" t="s">
        <v>219</v>
      </c>
      <c r="F384" t="s">
        <v>1310</v>
      </c>
      <c r="G384" t="s">
        <v>1299</v>
      </c>
      <c r="H384" t="s">
        <v>1304</v>
      </c>
      <c r="I384" t="s">
        <v>310</v>
      </c>
      <c r="J384">
        <v>2</v>
      </c>
      <c r="L384">
        <v>456.95</v>
      </c>
      <c r="M384">
        <v>778.74</v>
      </c>
      <c r="N384">
        <v>1162.01</v>
      </c>
      <c r="O384">
        <v>1656.9</v>
      </c>
      <c r="P384">
        <v>1</v>
      </c>
      <c r="Q384">
        <v>2</v>
      </c>
      <c r="R384">
        <v>0</v>
      </c>
      <c r="S384">
        <v>200138</v>
      </c>
      <c r="T384" t="b">
        <v>1</v>
      </c>
    </row>
    <row r="385" spans="2:20" x14ac:dyDescent="0.35">
      <c r="B385">
        <v>2019</v>
      </c>
      <c r="C385" s="41">
        <v>43374</v>
      </c>
      <c r="D385" t="s">
        <v>1374</v>
      </c>
      <c r="E385" t="s">
        <v>219</v>
      </c>
      <c r="F385" t="s">
        <v>460</v>
      </c>
      <c r="G385" t="s">
        <v>1299</v>
      </c>
      <c r="H385" t="s">
        <v>1304</v>
      </c>
      <c r="I385" t="s">
        <v>310</v>
      </c>
      <c r="J385">
        <v>2</v>
      </c>
      <c r="L385">
        <v>356.02</v>
      </c>
      <c r="M385">
        <v>606.72</v>
      </c>
      <c r="N385">
        <v>905.32999999999902</v>
      </c>
      <c r="O385">
        <v>1290.9000000000001</v>
      </c>
      <c r="P385">
        <v>1</v>
      </c>
      <c r="Q385">
        <v>2</v>
      </c>
      <c r="R385">
        <v>0</v>
      </c>
      <c r="S385">
        <v>200138</v>
      </c>
      <c r="T385" t="b">
        <v>1</v>
      </c>
    </row>
    <row r="386" spans="2:20" x14ac:dyDescent="0.35">
      <c r="B386">
        <v>2019</v>
      </c>
      <c r="C386" s="41">
        <v>43374</v>
      </c>
      <c r="D386" t="s">
        <v>1376</v>
      </c>
      <c r="E386" t="s">
        <v>219</v>
      </c>
      <c r="F386" t="s">
        <v>1311</v>
      </c>
      <c r="G386" t="s">
        <v>1299</v>
      </c>
      <c r="H386" t="s">
        <v>1304</v>
      </c>
      <c r="I386" t="s">
        <v>310</v>
      </c>
      <c r="J386">
        <v>2</v>
      </c>
      <c r="L386">
        <v>341.93</v>
      </c>
      <c r="M386">
        <v>582.72</v>
      </c>
      <c r="N386">
        <v>869.52</v>
      </c>
      <c r="O386">
        <v>1239.8399999999999</v>
      </c>
      <c r="P386">
        <v>1</v>
      </c>
      <c r="Q386">
        <v>2</v>
      </c>
      <c r="R386">
        <v>0</v>
      </c>
      <c r="S386">
        <v>200138</v>
      </c>
      <c r="T386" t="b">
        <v>1</v>
      </c>
    </row>
    <row r="387" spans="2:20" x14ac:dyDescent="0.35">
      <c r="B387">
        <v>2019</v>
      </c>
      <c r="C387" s="41">
        <v>43374</v>
      </c>
      <c r="D387" t="s">
        <v>1374</v>
      </c>
      <c r="E387" t="s">
        <v>219</v>
      </c>
      <c r="F387" t="s">
        <v>459</v>
      </c>
      <c r="G387" t="s">
        <v>1299</v>
      </c>
      <c r="H387" t="s">
        <v>1304</v>
      </c>
      <c r="I387" t="s">
        <v>310</v>
      </c>
      <c r="J387">
        <v>2</v>
      </c>
      <c r="L387">
        <v>293.81</v>
      </c>
      <c r="M387">
        <v>500.71</v>
      </c>
      <c r="N387">
        <v>747.14</v>
      </c>
      <c r="O387">
        <v>1065.3399999999999</v>
      </c>
      <c r="P387">
        <v>1</v>
      </c>
      <c r="Q387">
        <v>2</v>
      </c>
      <c r="R387">
        <v>0</v>
      </c>
      <c r="S387">
        <v>200138</v>
      </c>
      <c r="T387" t="b">
        <v>1</v>
      </c>
    </row>
    <row r="388" spans="2:20" x14ac:dyDescent="0.35">
      <c r="B388">
        <v>2019</v>
      </c>
      <c r="C388" s="41">
        <v>43374</v>
      </c>
      <c r="D388" t="s">
        <v>1375</v>
      </c>
      <c r="E388" t="s">
        <v>219</v>
      </c>
      <c r="F388" t="s">
        <v>1307</v>
      </c>
      <c r="G388" t="s">
        <v>1299</v>
      </c>
      <c r="H388" t="s">
        <v>1304</v>
      </c>
      <c r="I388" t="s">
        <v>310</v>
      </c>
      <c r="J388">
        <v>2</v>
      </c>
      <c r="L388">
        <v>319.63</v>
      </c>
      <c r="M388">
        <v>544.72</v>
      </c>
      <c r="N388">
        <v>812.81</v>
      </c>
      <c r="O388">
        <v>1158.98</v>
      </c>
      <c r="P388">
        <v>1</v>
      </c>
      <c r="Q388">
        <v>2</v>
      </c>
      <c r="R388">
        <v>0</v>
      </c>
      <c r="S388">
        <v>200138</v>
      </c>
      <c r="T388" t="b">
        <v>1</v>
      </c>
    </row>
    <row r="389" spans="2:20" x14ac:dyDescent="0.35">
      <c r="B389">
        <v>2019</v>
      </c>
      <c r="C389" s="41">
        <v>43374</v>
      </c>
      <c r="D389" t="s">
        <v>1374</v>
      </c>
      <c r="E389" t="s">
        <v>219</v>
      </c>
      <c r="F389" t="s">
        <v>1310</v>
      </c>
      <c r="G389" t="s">
        <v>1299</v>
      </c>
      <c r="H389" t="s">
        <v>1304</v>
      </c>
      <c r="I389" t="s">
        <v>310</v>
      </c>
      <c r="J389">
        <v>2</v>
      </c>
      <c r="L389">
        <v>456.95</v>
      </c>
      <c r="M389">
        <v>778.74</v>
      </c>
      <c r="N389">
        <v>1162.01</v>
      </c>
      <c r="O389">
        <v>1656.9</v>
      </c>
      <c r="P389">
        <v>1</v>
      </c>
      <c r="Q389">
        <v>2</v>
      </c>
      <c r="R389">
        <v>0</v>
      </c>
      <c r="S389">
        <v>200138</v>
      </c>
      <c r="T389" t="b">
        <v>1</v>
      </c>
    </row>
    <row r="390" spans="2:20" x14ac:dyDescent="0.35">
      <c r="B390">
        <v>2019</v>
      </c>
      <c r="C390" s="41">
        <v>43374</v>
      </c>
      <c r="D390" t="s">
        <v>1375</v>
      </c>
      <c r="E390" t="s">
        <v>219</v>
      </c>
      <c r="F390" t="s">
        <v>1311</v>
      </c>
      <c r="G390" t="s">
        <v>1299</v>
      </c>
      <c r="H390" t="s">
        <v>1304</v>
      </c>
      <c r="I390" t="s">
        <v>310</v>
      </c>
      <c r="J390">
        <v>2</v>
      </c>
      <c r="L390">
        <v>341.93</v>
      </c>
      <c r="M390">
        <v>582.72</v>
      </c>
      <c r="N390">
        <v>869.52</v>
      </c>
      <c r="O390">
        <v>1239.8399999999999</v>
      </c>
      <c r="P390">
        <v>1</v>
      </c>
      <c r="Q390">
        <v>2</v>
      </c>
      <c r="R390">
        <v>0</v>
      </c>
      <c r="S390">
        <v>200138</v>
      </c>
      <c r="T390" t="b">
        <v>1</v>
      </c>
    </row>
    <row r="391" spans="2:20" x14ac:dyDescent="0.35">
      <c r="B391">
        <v>2019</v>
      </c>
      <c r="C391" s="41">
        <v>43374</v>
      </c>
      <c r="D391" t="s">
        <v>1375</v>
      </c>
      <c r="E391" t="s">
        <v>219</v>
      </c>
      <c r="F391" t="s">
        <v>463</v>
      </c>
      <c r="G391" t="s">
        <v>1299</v>
      </c>
      <c r="H391" t="s">
        <v>1304</v>
      </c>
      <c r="I391" t="s">
        <v>310</v>
      </c>
      <c r="J391">
        <v>2</v>
      </c>
      <c r="L391">
        <v>295.77</v>
      </c>
      <c r="M391">
        <v>504.05</v>
      </c>
      <c r="N391">
        <v>752.12</v>
      </c>
      <c r="O391">
        <v>1072.44</v>
      </c>
      <c r="P391">
        <v>1</v>
      </c>
      <c r="Q391">
        <v>2</v>
      </c>
      <c r="R391">
        <v>0</v>
      </c>
      <c r="S391">
        <v>200138</v>
      </c>
      <c r="T391" t="b">
        <v>1</v>
      </c>
    </row>
    <row r="392" spans="2:20" x14ac:dyDescent="0.35">
      <c r="B392">
        <v>2019</v>
      </c>
      <c r="C392" s="41">
        <v>43374</v>
      </c>
      <c r="D392" t="s">
        <v>1375</v>
      </c>
      <c r="E392" t="s">
        <v>219</v>
      </c>
      <c r="F392" t="s">
        <v>1309</v>
      </c>
      <c r="G392" t="s">
        <v>1299</v>
      </c>
      <c r="H392" t="s">
        <v>1304</v>
      </c>
      <c r="I392" t="s">
        <v>310</v>
      </c>
      <c r="J392">
        <v>2</v>
      </c>
      <c r="L392">
        <v>352.1</v>
      </c>
      <c r="M392">
        <v>600.05999999999995</v>
      </c>
      <c r="N392">
        <v>895.36999999999898</v>
      </c>
      <c r="O392">
        <v>1276.69999999999</v>
      </c>
      <c r="P392">
        <v>1</v>
      </c>
      <c r="Q392">
        <v>2</v>
      </c>
      <c r="R392">
        <v>0</v>
      </c>
      <c r="S392">
        <v>200138</v>
      </c>
      <c r="T392" t="b">
        <v>1</v>
      </c>
    </row>
    <row r="393" spans="2:20" x14ac:dyDescent="0.35">
      <c r="B393">
        <v>2019</v>
      </c>
      <c r="C393" s="41">
        <v>43374</v>
      </c>
      <c r="D393" t="s">
        <v>1376</v>
      </c>
      <c r="E393" t="s">
        <v>219</v>
      </c>
      <c r="F393" t="s">
        <v>463</v>
      </c>
      <c r="G393" t="s">
        <v>1299</v>
      </c>
      <c r="H393" t="s">
        <v>1304</v>
      </c>
      <c r="I393" t="s">
        <v>310</v>
      </c>
      <c r="J393">
        <v>2</v>
      </c>
      <c r="L393">
        <v>295.77</v>
      </c>
      <c r="M393">
        <v>504.05</v>
      </c>
      <c r="N393">
        <v>752.12</v>
      </c>
      <c r="O393">
        <v>1072.44</v>
      </c>
      <c r="P393">
        <v>1</v>
      </c>
      <c r="Q393">
        <v>2</v>
      </c>
      <c r="R393">
        <v>0</v>
      </c>
      <c r="S393">
        <v>200138</v>
      </c>
      <c r="T393" t="b">
        <v>1</v>
      </c>
    </row>
    <row r="394" spans="2:20" x14ac:dyDescent="0.35">
      <c r="B394">
        <v>2019</v>
      </c>
      <c r="C394" s="41">
        <v>43374</v>
      </c>
      <c r="D394" t="s">
        <v>1376</v>
      </c>
      <c r="E394" t="s">
        <v>219</v>
      </c>
      <c r="F394" t="s">
        <v>462</v>
      </c>
      <c r="G394" t="s">
        <v>1299</v>
      </c>
      <c r="H394" t="s">
        <v>1304</v>
      </c>
      <c r="I394" t="s">
        <v>310</v>
      </c>
      <c r="J394">
        <v>2</v>
      </c>
      <c r="L394">
        <v>361.49</v>
      </c>
      <c r="M394">
        <v>616.05999999999995</v>
      </c>
      <c r="N394">
        <v>919.26</v>
      </c>
      <c r="O394">
        <v>1310.76</v>
      </c>
      <c r="P394">
        <v>1</v>
      </c>
      <c r="Q394">
        <v>2</v>
      </c>
      <c r="R394">
        <v>0</v>
      </c>
      <c r="S394">
        <v>200138</v>
      </c>
      <c r="T394" t="b">
        <v>1</v>
      </c>
    </row>
    <row r="395" spans="2:20" x14ac:dyDescent="0.35">
      <c r="B395">
        <v>2019</v>
      </c>
      <c r="C395" s="41">
        <v>43374</v>
      </c>
      <c r="D395" t="s">
        <v>1377</v>
      </c>
      <c r="E395" t="s">
        <v>219</v>
      </c>
      <c r="F395" t="s">
        <v>1307</v>
      </c>
      <c r="G395" t="s">
        <v>1299</v>
      </c>
      <c r="H395" t="s">
        <v>1304</v>
      </c>
      <c r="I395" t="s">
        <v>310</v>
      </c>
      <c r="J395">
        <v>2</v>
      </c>
      <c r="L395">
        <v>319.63</v>
      </c>
      <c r="M395">
        <v>544.72</v>
      </c>
      <c r="N395">
        <v>812.81</v>
      </c>
      <c r="O395">
        <v>1158.98</v>
      </c>
      <c r="P395">
        <v>0</v>
      </c>
      <c r="Q395">
        <v>2</v>
      </c>
      <c r="R395">
        <v>0</v>
      </c>
      <c r="S395">
        <v>200138</v>
      </c>
      <c r="T395" t="b">
        <v>1</v>
      </c>
    </row>
    <row r="396" spans="2:20" x14ac:dyDescent="0.35">
      <c r="B396">
        <v>2019</v>
      </c>
      <c r="C396" s="41">
        <v>43374</v>
      </c>
      <c r="D396" t="s">
        <v>1377</v>
      </c>
      <c r="E396" t="s">
        <v>219</v>
      </c>
      <c r="F396" t="s">
        <v>1311</v>
      </c>
      <c r="G396" t="s">
        <v>1299</v>
      </c>
      <c r="H396" t="s">
        <v>1304</v>
      </c>
      <c r="I396" t="s">
        <v>310</v>
      </c>
      <c r="J396">
        <v>2</v>
      </c>
      <c r="L396">
        <v>341.93</v>
      </c>
      <c r="M396">
        <v>582.72</v>
      </c>
      <c r="N396">
        <v>869.52</v>
      </c>
      <c r="O396">
        <v>1239.8399999999999</v>
      </c>
      <c r="P396">
        <v>0</v>
      </c>
      <c r="Q396">
        <v>2</v>
      </c>
      <c r="R396">
        <v>0</v>
      </c>
      <c r="S396">
        <v>200138</v>
      </c>
      <c r="T396" t="b">
        <v>1</v>
      </c>
    </row>
    <row r="397" spans="2:20" x14ac:dyDescent="0.35">
      <c r="B397">
        <v>2019</v>
      </c>
      <c r="C397" s="41">
        <v>43374</v>
      </c>
      <c r="D397" t="s">
        <v>1376</v>
      </c>
      <c r="E397" t="s">
        <v>219</v>
      </c>
      <c r="F397" t="s">
        <v>1309</v>
      </c>
      <c r="G397" t="s">
        <v>1299</v>
      </c>
      <c r="H397" t="s">
        <v>1304</v>
      </c>
      <c r="I397" t="s">
        <v>310</v>
      </c>
      <c r="J397">
        <v>2</v>
      </c>
      <c r="L397">
        <v>352.1</v>
      </c>
      <c r="M397">
        <v>600.05999999999995</v>
      </c>
      <c r="N397">
        <v>895.36999999999898</v>
      </c>
      <c r="O397">
        <v>1276.69999999999</v>
      </c>
      <c r="P397">
        <v>1</v>
      </c>
      <c r="Q397">
        <v>2</v>
      </c>
      <c r="R397">
        <v>0</v>
      </c>
      <c r="S397">
        <v>200138</v>
      </c>
      <c r="T397" t="b">
        <v>1</v>
      </c>
    </row>
    <row r="398" spans="2:20" x14ac:dyDescent="0.35">
      <c r="B398">
        <v>2019</v>
      </c>
      <c r="C398" s="41">
        <v>43374</v>
      </c>
      <c r="D398" t="s">
        <v>1377</v>
      </c>
      <c r="E398" t="s">
        <v>219</v>
      </c>
      <c r="F398" t="s">
        <v>463</v>
      </c>
      <c r="G398" t="s">
        <v>1299</v>
      </c>
      <c r="H398" t="s">
        <v>1304</v>
      </c>
      <c r="I398" t="s">
        <v>310</v>
      </c>
      <c r="J398">
        <v>2</v>
      </c>
      <c r="L398">
        <v>295.77</v>
      </c>
      <c r="M398">
        <v>504.05</v>
      </c>
      <c r="N398">
        <v>752.12</v>
      </c>
      <c r="O398">
        <v>1072.44</v>
      </c>
      <c r="P398">
        <v>0</v>
      </c>
      <c r="Q398">
        <v>2</v>
      </c>
      <c r="R398">
        <v>0</v>
      </c>
      <c r="S398">
        <v>200138</v>
      </c>
      <c r="T398" t="b">
        <v>1</v>
      </c>
    </row>
    <row r="399" spans="2:20" x14ac:dyDescent="0.35">
      <c r="B399">
        <v>2019</v>
      </c>
      <c r="C399" s="41">
        <v>43374</v>
      </c>
      <c r="D399" t="s">
        <v>1376</v>
      </c>
      <c r="E399" t="s">
        <v>219</v>
      </c>
      <c r="F399" t="s">
        <v>460</v>
      </c>
      <c r="G399" t="s">
        <v>1299</v>
      </c>
      <c r="H399" t="s">
        <v>1304</v>
      </c>
      <c r="I399" t="s">
        <v>310</v>
      </c>
      <c r="J399">
        <v>2</v>
      </c>
      <c r="L399">
        <v>356.02</v>
      </c>
      <c r="M399">
        <v>606.72</v>
      </c>
      <c r="N399">
        <v>905.32999999999902</v>
      </c>
      <c r="O399">
        <v>1290.9000000000001</v>
      </c>
      <c r="P399">
        <v>1</v>
      </c>
      <c r="Q399">
        <v>2</v>
      </c>
      <c r="R399">
        <v>0</v>
      </c>
      <c r="S399">
        <v>200138</v>
      </c>
      <c r="T399" t="b">
        <v>1</v>
      </c>
    </row>
    <row r="400" spans="2:20" x14ac:dyDescent="0.35">
      <c r="B400">
        <v>2019</v>
      </c>
      <c r="C400" s="41">
        <v>43374</v>
      </c>
      <c r="D400" t="s">
        <v>1376</v>
      </c>
      <c r="E400" t="s">
        <v>219</v>
      </c>
      <c r="F400" t="s">
        <v>459</v>
      </c>
      <c r="G400" t="s">
        <v>1299</v>
      </c>
      <c r="H400" t="s">
        <v>1304</v>
      </c>
      <c r="I400" t="s">
        <v>310</v>
      </c>
      <c r="J400">
        <v>2</v>
      </c>
      <c r="L400">
        <v>293.81</v>
      </c>
      <c r="M400">
        <v>500.71</v>
      </c>
      <c r="N400">
        <v>747.14</v>
      </c>
      <c r="O400">
        <v>1065.3399999999999</v>
      </c>
      <c r="P400">
        <v>1</v>
      </c>
      <c r="Q400">
        <v>2</v>
      </c>
      <c r="R400">
        <v>0</v>
      </c>
      <c r="S400">
        <v>200138</v>
      </c>
      <c r="T400" t="b">
        <v>1</v>
      </c>
    </row>
    <row r="401" spans="2:20" x14ac:dyDescent="0.35">
      <c r="B401">
        <v>2019</v>
      </c>
      <c r="C401" s="41">
        <v>43374</v>
      </c>
      <c r="D401" t="s">
        <v>1377</v>
      </c>
      <c r="E401" t="s">
        <v>219</v>
      </c>
      <c r="F401" t="s">
        <v>1310</v>
      </c>
      <c r="G401" t="s">
        <v>1299</v>
      </c>
      <c r="H401" t="s">
        <v>1304</v>
      </c>
      <c r="I401" t="s">
        <v>310</v>
      </c>
      <c r="J401">
        <v>2</v>
      </c>
      <c r="L401">
        <v>456.95</v>
      </c>
      <c r="M401">
        <v>778.74</v>
      </c>
      <c r="N401">
        <v>1162.01</v>
      </c>
      <c r="O401">
        <v>1656.9</v>
      </c>
      <c r="P401">
        <v>0</v>
      </c>
      <c r="Q401">
        <v>2</v>
      </c>
      <c r="R401">
        <v>0</v>
      </c>
      <c r="S401">
        <v>200138</v>
      </c>
      <c r="T401" t="b">
        <v>1</v>
      </c>
    </row>
    <row r="402" spans="2:20" x14ac:dyDescent="0.35">
      <c r="B402">
        <v>2019</v>
      </c>
      <c r="C402" s="41">
        <v>43374</v>
      </c>
      <c r="D402" t="s">
        <v>1377</v>
      </c>
      <c r="E402" t="s">
        <v>219</v>
      </c>
      <c r="F402" t="s">
        <v>462</v>
      </c>
      <c r="G402" t="s">
        <v>1299</v>
      </c>
      <c r="H402" t="s">
        <v>1304</v>
      </c>
      <c r="I402" t="s">
        <v>310</v>
      </c>
      <c r="J402">
        <v>2</v>
      </c>
      <c r="L402">
        <v>361.49</v>
      </c>
      <c r="M402">
        <v>616.05999999999995</v>
      </c>
      <c r="N402">
        <v>919.26</v>
      </c>
      <c r="O402">
        <v>1310.76</v>
      </c>
      <c r="P402">
        <v>0</v>
      </c>
      <c r="Q402">
        <v>2</v>
      </c>
      <c r="R402">
        <v>0</v>
      </c>
      <c r="S402">
        <v>200138</v>
      </c>
      <c r="T402" t="b">
        <v>1</v>
      </c>
    </row>
    <row r="403" spans="2:20" x14ac:dyDescent="0.35">
      <c r="B403">
        <v>2019</v>
      </c>
      <c r="C403" s="41">
        <v>43374</v>
      </c>
      <c r="D403" t="s">
        <v>1377</v>
      </c>
      <c r="E403" t="s">
        <v>219</v>
      </c>
      <c r="F403" t="s">
        <v>1309</v>
      </c>
      <c r="G403" t="s">
        <v>1299</v>
      </c>
      <c r="H403" t="s">
        <v>1304</v>
      </c>
      <c r="I403" t="s">
        <v>310</v>
      </c>
      <c r="J403">
        <v>2</v>
      </c>
      <c r="L403">
        <v>352.1</v>
      </c>
      <c r="M403">
        <v>600.05999999999995</v>
      </c>
      <c r="N403">
        <v>895.36999999999898</v>
      </c>
      <c r="O403">
        <v>1276.69999999999</v>
      </c>
      <c r="P403">
        <v>0</v>
      </c>
      <c r="Q403">
        <v>2</v>
      </c>
      <c r="R403">
        <v>0</v>
      </c>
      <c r="S403">
        <v>200138</v>
      </c>
      <c r="T403" t="b">
        <v>1</v>
      </c>
    </row>
    <row r="404" spans="2:20" x14ac:dyDescent="0.35">
      <c r="B404">
        <v>2019</v>
      </c>
      <c r="C404" s="41">
        <v>43374</v>
      </c>
      <c r="D404" t="s">
        <v>1376</v>
      </c>
      <c r="E404" t="s">
        <v>219</v>
      </c>
      <c r="F404" t="s">
        <v>1310</v>
      </c>
      <c r="G404" t="s">
        <v>1299</v>
      </c>
      <c r="H404" t="s">
        <v>1304</v>
      </c>
      <c r="I404" t="s">
        <v>310</v>
      </c>
      <c r="J404">
        <v>2</v>
      </c>
      <c r="L404">
        <v>456.95</v>
      </c>
      <c r="M404">
        <v>778.74</v>
      </c>
      <c r="N404">
        <v>1162.01</v>
      </c>
      <c r="O404">
        <v>1656.9</v>
      </c>
      <c r="P404">
        <v>1</v>
      </c>
      <c r="Q404">
        <v>2</v>
      </c>
      <c r="R404">
        <v>0</v>
      </c>
      <c r="S404">
        <v>200138</v>
      </c>
      <c r="T404" t="b">
        <v>1</v>
      </c>
    </row>
    <row r="405" spans="2:20" x14ac:dyDescent="0.35">
      <c r="B405">
        <v>2019</v>
      </c>
      <c r="C405" s="41">
        <v>43374</v>
      </c>
      <c r="D405" t="s">
        <v>1377</v>
      </c>
      <c r="E405" t="s">
        <v>219</v>
      </c>
      <c r="F405" t="s">
        <v>459</v>
      </c>
      <c r="G405" t="s">
        <v>1299</v>
      </c>
      <c r="H405" t="s">
        <v>1304</v>
      </c>
      <c r="I405" t="s">
        <v>310</v>
      </c>
      <c r="J405">
        <v>2</v>
      </c>
      <c r="L405">
        <v>293.81</v>
      </c>
      <c r="M405">
        <v>500.71</v>
      </c>
      <c r="N405">
        <v>747.14</v>
      </c>
      <c r="O405">
        <v>1065.3399999999999</v>
      </c>
      <c r="P405">
        <v>0</v>
      </c>
      <c r="Q405">
        <v>2</v>
      </c>
      <c r="R405">
        <v>0</v>
      </c>
      <c r="S405">
        <v>200138</v>
      </c>
      <c r="T405" t="b">
        <v>1</v>
      </c>
    </row>
    <row r="406" spans="2:20" x14ac:dyDescent="0.35">
      <c r="B406">
        <v>2019</v>
      </c>
      <c r="C406" s="41">
        <v>43399</v>
      </c>
      <c r="D406" t="s">
        <v>1378</v>
      </c>
      <c r="E406" t="s">
        <v>219</v>
      </c>
      <c r="F406" t="s">
        <v>1302</v>
      </c>
      <c r="G406" t="s">
        <v>1299</v>
      </c>
      <c r="H406" t="s">
        <v>1300</v>
      </c>
      <c r="I406" t="s">
        <v>310</v>
      </c>
      <c r="J406">
        <v>2</v>
      </c>
      <c r="L406">
        <v>355.78</v>
      </c>
      <c r="M406">
        <v>606.30999999999995</v>
      </c>
      <c r="N406">
        <v>904.71</v>
      </c>
      <c r="O406">
        <v>1290.02</v>
      </c>
      <c r="P406">
        <v>1</v>
      </c>
      <c r="Q406">
        <v>1</v>
      </c>
      <c r="R406">
        <v>0</v>
      </c>
      <c r="S406">
        <v>200138</v>
      </c>
      <c r="T406" t="b">
        <v>1</v>
      </c>
    </row>
    <row r="407" spans="2:20" x14ac:dyDescent="0.35">
      <c r="B407">
        <v>2019</v>
      </c>
      <c r="C407" s="41">
        <v>43399</v>
      </c>
      <c r="D407" t="s">
        <v>1378</v>
      </c>
      <c r="E407" t="s">
        <v>219</v>
      </c>
      <c r="F407" t="s">
        <v>1298</v>
      </c>
      <c r="G407" t="s">
        <v>1299</v>
      </c>
      <c r="H407" t="s">
        <v>1300</v>
      </c>
      <c r="I407" t="s">
        <v>310</v>
      </c>
      <c r="J407">
        <v>2</v>
      </c>
      <c r="L407">
        <v>373.56</v>
      </c>
      <c r="M407">
        <v>636.63</v>
      </c>
      <c r="N407">
        <v>949.96</v>
      </c>
      <c r="O407">
        <v>1354.54</v>
      </c>
      <c r="P407">
        <v>1</v>
      </c>
      <c r="Q407">
        <v>1</v>
      </c>
      <c r="R407">
        <v>0</v>
      </c>
      <c r="S407">
        <v>200138</v>
      </c>
      <c r="T407" t="b">
        <v>1</v>
      </c>
    </row>
    <row r="408" spans="2:20" x14ac:dyDescent="0.35">
      <c r="B408">
        <v>2019</v>
      </c>
      <c r="C408" s="41">
        <v>43399</v>
      </c>
      <c r="D408" t="s">
        <v>1378</v>
      </c>
      <c r="E408" t="s">
        <v>219</v>
      </c>
      <c r="F408" t="s">
        <v>461</v>
      </c>
      <c r="G408" t="s">
        <v>1299</v>
      </c>
      <c r="H408" t="s">
        <v>1300</v>
      </c>
      <c r="I408" t="s">
        <v>310</v>
      </c>
      <c r="J408">
        <v>2</v>
      </c>
      <c r="L408">
        <v>315.94</v>
      </c>
      <c r="M408">
        <v>538.42999999999995</v>
      </c>
      <c r="N408">
        <v>803.43</v>
      </c>
      <c r="O408">
        <v>1145.5999999999999</v>
      </c>
      <c r="P408">
        <v>1</v>
      </c>
      <c r="Q408">
        <v>1</v>
      </c>
      <c r="R408">
        <v>0</v>
      </c>
      <c r="S408">
        <v>200138</v>
      </c>
      <c r="T408" t="b">
        <v>1</v>
      </c>
    </row>
    <row r="409" spans="2:20" x14ac:dyDescent="0.35">
      <c r="B409">
        <v>2019</v>
      </c>
      <c r="C409" s="41">
        <v>43399</v>
      </c>
      <c r="D409" t="s">
        <v>1379</v>
      </c>
      <c r="E409" t="s">
        <v>219</v>
      </c>
      <c r="F409" t="s">
        <v>1302</v>
      </c>
      <c r="G409" t="s">
        <v>1299</v>
      </c>
      <c r="H409" t="s">
        <v>1300</v>
      </c>
      <c r="I409" t="s">
        <v>310</v>
      </c>
      <c r="J409">
        <v>2</v>
      </c>
      <c r="L409">
        <v>355.78</v>
      </c>
      <c r="M409">
        <v>606.30999999999995</v>
      </c>
      <c r="N409">
        <v>904.71</v>
      </c>
      <c r="O409">
        <v>1290.02</v>
      </c>
      <c r="P409">
        <v>1</v>
      </c>
      <c r="Q409">
        <v>1</v>
      </c>
      <c r="R409">
        <v>0</v>
      </c>
      <c r="S409">
        <v>200138</v>
      </c>
      <c r="T409" t="b">
        <v>1</v>
      </c>
    </row>
    <row r="410" spans="2:20" x14ac:dyDescent="0.35">
      <c r="B410">
        <v>2019</v>
      </c>
      <c r="C410" s="41">
        <v>43374</v>
      </c>
      <c r="D410" t="s">
        <v>1377</v>
      </c>
      <c r="E410" t="s">
        <v>219</v>
      </c>
      <c r="F410" t="s">
        <v>460</v>
      </c>
      <c r="G410" t="s">
        <v>1299</v>
      </c>
      <c r="H410" t="s">
        <v>1304</v>
      </c>
      <c r="I410" t="s">
        <v>310</v>
      </c>
      <c r="J410">
        <v>2</v>
      </c>
      <c r="L410">
        <v>356.02</v>
      </c>
      <c r="M410">
        <v>606.72</v>
      </c>
      <c r="N410">
        <v>905.32999999999902</v>
      </c>
      <c r="O410">
        <v>1290.9000000000001</v>
      </c>
      <c r="P410">
        <v>0</v>
      </c>
      <c r="Q410">
        <v>2</v>
      </c>
      <c r="R410">
        <v>0</v>
      </c>
      <c r="S410">
        <v>200138</v>
      </c>
      <c r="T410" t="b">
        <v>1</v>
      </c>
    </row>
    <row r="411" spans="2:20" x14ac:dyDescent="0.35">
      <c r="B411">
        <v>2019</v>
      </c>
      <c r="C411" s="41">
        <v>43399</v>
      </c>
      <c r="D411" t="s">
        <v>1379</v>
      </c>
      <c r="E411" t="s">
        <v>219</v>
      </c>
      <c r="F411" t="s">
        <v>1298</v>
      </c>
      <c r="G411" t="s">
        <v>1299</v>
      </c>
      <c r="H411" t="s">
        <v>1300</v>
      </c>
      <c r="I411" t="s">
        <v>310</v>
      </c>
      <c r="J411">
        <v>2</v>
      </c>
      <c r="L411">
        <v>373.56</v>
      </c>
      <c r="M411">
        <v>636.63</v>
      </c>
      <c r="N411">
        <v>949.96</v>
      </c>
      <c r="O411">
        <v>1354.54</v>
      </c>
      <c r="P411">
        <v>1</v>
      </c>
      <c r="Q411">
        <v>1</v>
      </c>
      <c r="R411">
        <v>0</v>
      </c>
      <c r="S411">
        <v>200138</v>
      </c>
      <c r="T411" t="b">
        <v>1</v>
      </c>
    </row>
    <row r="412" spans="2:20" x14ac:dyDescent="0.35">
      <c r="B412">
        <v>2019</v>
      </c>
      <c r="C412" s="41">
        <v>43399</v>
      </c>
      <c r="D412" t="s">
        <v>1379</v>
      </c>
      <c r="E412" t="s">
        <v>219</v>
      </c>
      <c r="F412" t="s">
        <v>1301</v>
      </c>
      <c r="G412" t="s">
        <v>1299</v>
      </c>
      <c r="H412" t="s">
        <v>1300</v>
      </c>
      <c r="I412" t="s">
        <v>310</v>
      </c>
      <c r="J412">
        <v>2</v>
      </c>
      <c r="L412">
        <v>394.45</v>
      </c>
      <c r="M412">
        <v>672.22</v>
      </c>
      <c r="N412">
        <v>1003.05</v>
      </c>
      <c r="O412">
        <v>1430.24</v>
      </c>
      <c r="P412">
        <v>1</v>
      </c>
      <c r="Q412">
        <v>1</v>
      </c>
      <c r="R412">
        <v>0</v>
      </c>
      <c r="S412">
        <v>200138</v>
      </c>
      <c r="T412" t="b">
        <v>1</v>
      </c>
    </row>
    <row r="413" spans="2:20" x14ac:dyDescent="0.35">
      <c r="B413">
        <v>2019</v>
      </c>
      <c r="C413" s="41">
        <v>43399</v>
      </c>
      <c r="D413" t="s">
        <v>1379</v>
      </c>
      <c r="E413" t="s">
        <v>219</v>
      </c>
      <c r="F413" t="s">
        <v>461</v>
      </c>
      <c r="G413" t="s">
        <v>1299</v>
      </c>
      <c r="H413" t="s">
        <v>1300</v>
      </c>
      <c r="I413" t="s">
        <v>310</v>
      </c>
      <c r="J413">
        <v>2</v>
      </c>
      <c r="L413">
        <v>315.94</v>
      </c>
      <c r="M413">
        <v>538.42999999999995</v>
      </c>
      <c r="N413">
        <v>803.43</v>
      </c>
      <c r="O413">
        <v>1145.5999999999999</v>
      </c>
      <c r="P413">
        <v>1</v>
      </c>
      <c r="Q413">
        <v>1</v>
      </c>
      <c r="R413">
        <v>0</v>
      </c>
      <c r="S413">
        <v>200138</v>
      </c>
      <c r="T413" t="b">
        <v>1</v>
      </c>
    </row>
    <row r="414" spans="2:20" x14ac:dyDescent="0.35">
      <c r="B414">
        <v>2019</v>
      </c>
      <c r="C414" s="41">
        <v>43399</v>
      </c>
      <c r="D414" t="s">
        <v>1378</v>
      </c>
      <c r="E414" t="s">
        <v>219</v>
      </c>
      <c r="F414" t="s">
        <v>1301</v>
      </c>
      <c r="G414" t="s">
        <v>1299</v>
      </c>
      <c r="H414" t="s">
        <v>1300</v>
      </c>
      <c r="I414" t="s">
        <v>310</v>
      </c>
      <c r="J414">
        <v>2</v>
      </c>
      <c r="L414">
        <v>394.45</v>
      </c>
      <c r="M414">
        <v>672.22</v>
      </c>
      <c r="N414">
        <v>1003.05</v>
      </c>
      <c r="O414">
        <v>1430.24</v>
      </c>
      <c r="P414">
        <v>1</v>
      </c>
      <c r="Q414">
        <v>1</v>
      </c>
      <c r="R414">
        <v>0</v>
      </c>
      <c r="S414">
        <v>200138</v>
      </c>
      <c r="T414" t="b">
        <v>1</v>
      </c>
    </row>
    <row r="415" spans="2:20" x14ac:dyDescent="0.35">
      <c r="B415">
        <v>2019</v>
      </c>
      <c r="C415" s="41">
        <v>43398</v>
      </c>
      <c r="D415" t="s">
        <v>1380</v>
      </c>
      <c r="E415" t="s">
        <v>219</v>
      </c>
      <c r="F415" t="s">
        <v>1301</v>
      </c>
      <c r="G415" t="s">
        <v>1381</v>
      </c>
      <c r="H415" t="s">
        <v>1382</v>
      </c>
      <c r="I415" t="s">
        <v>310</v>
      </c>
      <c r="J415">
        <v>2</v>
      </c>
      <c r="L415">
        <v>430.77</v>
      </c>
      <c r="M415">
        <v>734.12</v>
      </c>
      <c r="N415">
        <v>1095.4299999999901</v>
      </c>
      <c r="O415">
        <v>1561.96</v>
      </c>
      <c r="P415">
        <v>0</v>
      </c>
      <c r="Q415">
        <v>3</v>
      </c>
      <c r="R415">
        <v>0</v>
      </c>
      <c r="S415">
        <v>100283</v>
      </c>
      <c r="T415" t="b">
        <v>1</v>
      </c>
    </row>
    <row r="416" spans="2:20" x14ac:dyDescent="0.35">
      <c r="B416">
        <v>2019</v>
      </c>
      <c r="C416" s="41">
        <v>43398</v>
      </c>
      <c r="D416" t="s">
        <v>1383</v>
      </c>
      <c r="E416" t="s">
        <v>219</v>
      </c>
      <c r="F416" t="s">
        <v>1301</v>
      </c>
      <c r="G416" t="s">
        <v>1381</v>
      </c>
      <c r="H416" t="s">
        <v>1384</v>
      </c>
      <c r="I416" t="s">
        <v>842</v>
      </c>
      <c r="J416">
        <v>2</v>
      </c>
      <c r="L416">
        <v>293.01</v>
      </c>
      <c r="M416">
        <v>499.35</v>
      </c>
      <c r="N416">
        <v>745.10999999999899</v>
      </c>
      <c r="O416">
        <v>1062.44</v>
      </c>
      <c r="P416">
        <v>0</v>
      </c>
      <c r="Q416">
        <v>3</v>
      </c>
      <c r="R416">
        <v>0</v>
      </c>
      <c r="S416">
        <v>100283</v>
      </c>
      <c r="T416" t="b">
        <v>1</v>
      </c>
    </row>
    <row r="417" spans="2:20" x14ac:dyDescent="0.35">
      <c r="B417">
        <v>2019</v>
      </c>
      <c r="C417" s="41">
        <v>43398</v>
      </c>
      <c r="D417" t="s">
        <v>1385</v>
      </c>
      <c r="E417" t="s">
        <v>219</v>
      </c>
      <c r="F417" t="s">
        <v>1302</v>
      </c>
      <c r="G417" t="s">
        <v>1381</v>
      </c>
      <c r="H417" t="s">
        <v>1386</v>
      </c>
      <c r="I417" t="s">
        <v>310</v>
      </c>
      <c r="J417">
        <v>2</v>
      </c>
      <c r="L417">
        <v>486.16</v>
      </c>
      <c r="M417">
        <v>828.51</v>
      </c>
      <c r="N417">
        <v>1236.28</v>
      </c>
      <c r="O417">
        <v>1762.8</v>
      </c>
      <c r="P417">
        <v>0</v>
      </c>
      <c r="Q417">
        <v>3</v>
      </c>
      <c r="R417">
        <v>0</v>
      </c>
      <c r="S417">
        <v>100284</v>
      </c>
      <c r="T417" t="b">
        <v>1</v>
      </c>
    </row>
    <row r="418" spans="2:20" x14ac:dyDescent="0.35">
      <c r="B418">
        <v>2019</v>
      </c>
      <c r="C418" s="41">
        <v>43398</v>
      </c>
      <c r="D418" t="s">
        <v>1385</v>
      </c>
      <c r="E418" t="s">
        <v>219</v>
      </c>
      <c r="F418" t="s">
        <v>1301</v>
      </c>
      <c r="G418" t="s">
        <v>1381</v>
      </c>
      <c r="H418" t="s">
        <v>1386</v>
      </c>
      <c r="I418" t="s">
        <v>310</v>
      </c>
      <c r="J418">
        <v>2</v>
      </c>
      <c r="L418">
        <v>472.47</v>
      </c>
      <c r="M418">
        <v>805.18</v>
      </c>
      <c r="N418">
        <v>1201.45</v>
      </c>
      <c r="O418">
        <v>1713.1399999999901</v>
      </c>
      <c r="P418">
        <v>0</v>
      </c>
      <c r="Q418">
        <v>3</v>
      </c>
      <c r="R418">
        <v>0</v>
      </c>
      <c r="S418">
        <v>100284</v>
      </c>
      <c r="T418" t="b">
        <v>1</v>
      </c>
    </row>
    <row r="419" spans="2:20" x14ac:dyDescent="0.35">
      <c r="B419">
        <v>2019</v>
      </c>
      <c r="C419" s="41">
        <v>43398</v>
      </c>
      <c r="D419" t="s">
        <v>1385</v>
      </c>
      <c r="E419" t="s">
        <v>219</v>
      </c>
      <c r="F419" t="s">
        <v>461</v>
      </c>
      <c r="G419" t="s">
        <v>1381</v>
      </c>
      <c r="H419" t="s">
        <v>1386</v>
      </c>
      <c r="I419" t="s">
        <v>310</v>
      </c>
      <c r="J419">
        <v>2</v>
      </c>
      <c r="L419">
        <v>495.19</v>
      </c>
      <c r="M419">
        <v>843.9</v>
      </c>
      <c r="N419">
        <v>1259.24</v>
      </c>
      <c r="O419">
        <v>1795.54</v>
      </c>
      <c r="P419">
        <v>0</v>
      </c>
      <c r="Q419">
        <v>3</v>
      </c>
      <c r="R419">
        <v>0</v>
      </c>
      <c r="S419">
        <v>100284</v>
      </c>
      <c r="T419" t="b">
        <v>1</v>
      </c>
    </row>
    <row r="420" spans="2:20" x14ac:dyDescent="0.35">
      <c r="B420">
        <v>2019</v>
      </c>
      <c r="C420" s="41">
        <v>43398</v>
      </c>
      <c r="D420" t="s">
        <v>1385</v>
      </c>
      <c r="E420" t="s">
        <v>219</v>
      </c>
      <c r="F420" t="s">
        <v>458</v>
      </c>
      <c r="G420" t="s">
        <v>1381</v>
      </c>
      <c r="H420" t="s">
        <v>1386</v>
      </c>
      <c r="I420" t="s">
        <v>310</v>
      </c>
      <c r="J420">
        <v>2</v>
      </c>
      <c r="L420">
        <v>521.54</v>
      </c>
      <c r="M420">
        <v>888.8</v>
      </c>
      <c r="N420">
        <v>1326.23</v>
      </c>
      <c r="O420">
        <v>1891.06</v>
      </c>
      <c r="P420">
        <v>0</v>
      </c>
      <c r="Q420">
        <v>3</v>
      </c>
      <c r="R420">
        <v>0</v>
      </c>
      <c r="S420">
        <v>100284</v>
      </c>
      <c r="T420" t="b">
        <v>1</v>
      </c>
    </row>
    <row r="421" spans="2:20" x14ac:dyDescent="0.35">
      <c r="B421">
        <v>2019</v>
      </c>
      <c r="C421" s="41">
        <v>43398</v>
      </c>
      <c r="D421" t="s">
        <v>1387</v>
      </c>
      <c r="E421" t="s">
        <v>219</v>
      </c>
      <c r="F421" t="s">
        <v>1302</v>
      </c>
      <c r="G421" t="s">
        <v>1381</v>
      </c>
      <c r="H421" t="s">
        <v>1388</v>
      </c>
      <c r="I421" t="s">
        <v>310</v>
      </c>
      <c r="J421">
        <v>2</v>
      </c>
      <c r="L421">
        <v>582.77</v>
      </c>
      <c r="M421">
        <v>993.16</v>
      </c>
      <c r="N421">
        <v>1481.94999999999</v>
      </c>
      <c r="O421">
        <v>2113.1</v>
      </c>
      <c r="P421">
        <v>0</v>
      </c>
      <c r="Q421">
        <v>3</v>
      </c>
      <c r="R421">
        <v>0</v>
      </c>
      <c r="S421">
        <v>100284</v>
      </c>
      <c r="T421" t="b">
        <v>1</v>
      </c>
    </row>
    <row r="422" spans="2:20" x14ac:dyDescent="0.35">
      <c r="B422">
        <v>2019</v>
      </c>
      <c r="C422" s="41">
        <v>43398</v>
      </c>
      <c r="D422" t="s">
        <v>1387</v>
      </c>
      <c r="E422" t="s">
        <v>219</v>
      </c>
      <c r="F422" t="s">
        <v>1309</v>
      </c>
      <c r="G422" t="s">
        <v>1381</v>
      </c>
      <c r="H422" t="s">
        <v>1388</v>
      </c>
      <c r="I422" t="s">
        <v>310</v>
      </c>
      <c r="J422">
        <v>2</v>
      </c>
      <c r="L422">
        <v>590.16</v>
      </c>
      <c r="M422">
        <v>1005.75</v>
      </c>
      <c r="N422">
        <v>1500.73</v>
      </c>
      <c r="O422">
        <v>2139.88</v>
      </c>
      <c r="P422">
        <v>0</v>
      </c>
      <c r="Q422">
        <v>3</v>
      </c>
      <c r="R422">
        <v>0</v>
      </c>
      <c r="S422">
        <v>100284</v>
      </c>
      <c r="T422" t="b">
        <v>1</v>
      </c>
    </row>
    <row r="423" spans="2:20" x14ac:dyDescent="0.35">
      <c r="B423">
        <v>2019</v>
      </c>
      <c r="C423" s="41">
        <v>43398</v>
      </c>
      <c r="D423" t="s">
        <v>1387</v>
      </c>
      <c r="E423" t="s">
        <v>219</v>
      </c>
      <c r="F423" t="s">
        <v>1307</v>
      </c>
      <c r="G423" t="s">
        <v>1381</v>
      </c>
      <c r="H423" t="s">
        <v>1388</v>
      </c>
      <c r="I423" t="s">
        <v>310</v>
      </c>
      <c r="J423">
        <v>2</v>
      </c>
      <c r="L423">
        <v>640.89</v>
      </c>
      <c r="M423">
        <v>1092.21</v>
      </c>
      <c r="N423">
        <v>1629.76</v>
      </c>
      <c r="O423">
        <v>2323.86</v>
      </c>
      <c r="P423">
        <v>0</v>
      </c>
      <c r="Q423">
        <v>3</v>
      </c>
      <c r="R423">
        <v>0</v>
      </c>
      <c r="S423">
        <v>100284</v>
      </c>
      <c r="T423" t="b">
        <v>1</v>
      </c>
    </row>
    <row r="424" spans="2:20" x14ac:dyDescent="0.35">
      <c r="B424">
        <v>2019</v>
      </c>
      <c r="C424" s="41">
        <v>43398</v>
      </c>
      <c r="D424" t="s">
        <v>1387</v>
      </c>
      <c r="E424" t="s">
        <v>219</v>
      </c>
      <c r="F424" t="s">
        <v>1389</v>
      </c>
      <c r="G424" t="s">
        <v>1381</v>
      </c>
      <c r="H424" t="s">
        <v>1388</v>
      </c>
      <c r="I424" t="s">
        <v>310</v>
      </c>
      <c r="J424">
        <v>2</v>
      </c>
      <c r="L424">
        <v>481.83</v>
      </c>
      <c r="M424">
        <v>821.13</v>
      </c>
      <c r="N424">
        <v>1225.27</v>
      </c>
      <c r="O424">
        <v>1747.1</v>
      </c>
      <c r="P424">
        <v>0</v>
      </c>
      <c r="Q424">
        <v>3</v>
      </c>
      <c r="R424">
        <v>0</v>
      </c>
      <c r="S424">
        <v>100284</v>
      </c>
      <c r="T424" t="b">
        <v>1</v>
      </c>
    </row>
    <row r="425" spans="2:20" x14ac:dyDescent="0.35">
      <c r="B425">
        <v>2019</v>
      </c>
      <c r="C425" s="41">
        <v>43398</v>
      </c>
      <c r="D425" t="s">
        <v>1387</v>
      </c>
      <c r="E425" t="s">
        <v>219</v>
      </c>
      <c r="F425" t="s">
        <v>1390</v>
      </c>
      <c r="G425" t="s">
        <v>1381</v>
      </c>
      <c r="H425" t="s">
        <v>1388</v>
      </c>
      <c r="I425" t="s">
        <v>310</v>
      </c>
      <c r="J425">
        <v>2</v>
      </c>
      <c r="L425">
        <v>715.35</v>
      </c>
      <c r="M425">
        <v>1219.1099999999999</v>
      </c>
      <c r="N425">
        <v>1819.1</v>
      </c>
      <c r="O425">
        <v>2593.84</v>
      </c>
      <c r="P425">
        <v>0</v>
      </c>
      <c r="Q425">
        <v>3</v>
      </c>
      <c r="R425">
        <v>0</v>
      </c>
      <c r="S425">
        <v>100284</v>
      </c>
      <c r="T425" t="b">
        <v>1</v>
      </c>
    </row>
    <row r="426" spans="2:20" x14ac:dyDescent="0.35">
      <c r="B426">
        <v>2019</v>
      </c>
      <c r="C426" s="41">
        <v>43398</v>
      </c>
      <c r="D426" t="s">
        <v>1387</v>
      </c>
      <c r="E426" t="s">
        <v>219</v>
      </c>
      <c r="F426" t="s">
        <v>1301</v>
      </c>
      <c r="G426" t="s">
        <v>1381</v>
      </c>
      <c r="H426" t="s">
        <v>1388</v>
      </c>
      <c r="I426" t="s">
        <v>310</v>
      </c>
      <c r="J426">
        <v>2</v>
      </c>
      <c r="L426">
        <v>566.37</v>
      </c>
      <c r="M426">
        <v>965.21</v>
      </c>
      <c r="N426">
        <v>1440.25</v>
      </c>
      <c r="O426">
        <v>2053.64</v>
      </c>
      <c r="P426">
        <v>0</v>
      </c>
      <c r="Q426">
        <v>3</v>
      </c>
      <c r="R426">
        <v>0</v>
      </c>
      <c r="S426">
        <v>100284</v>
      </c>
      <c r="T426" t="b">
        <v>1</v>
      </c>
    </row>
    <row r="427" spans="2:20" x14ac:dyDescent="0.35">
      <c r="B427">
        <v>2019</v>
      </c>
      <c r="C427" s="41">
        <v>43398</v>
      </c>
      <c r="D427" t="s">
        <v>1387</v>
      </c>
      <c r="E427" t="s">
        <v>219</v>
      </c>
      <c r="F427" t="s">
        <v>1311</v>
      </c>
      <c r="G427" t="s">
        <v>1381</v>
      </c>
      <c r="H427" t="s">
        <v>1388</v>
      </c>
      <c r="I427" t="s">
        <v>310</v>
      </c>
      <c r="J427">
        <v>2</v>
      </c>
      <c r="L427">
        <v>553.07000000000005</v>
      </c>
      <c r="M427">
        <v>942.54</v>
      </c>
      <c r="N427">
        <v>1406.42</v>
      </c>
      <c r="O427">
        <v>2005.4</v>
      </c>
      <c r="P427">
        <v>0</v>
      </c>
      <c r="Q427">
        <v>3</v>
      </c>
      <c r="R427">
        <v>0</v>
      </c>
      <c r="S427">
        <v>100284</v>
      </c>
      <c r="T427" t="b">
        <v>1</v>
      </c>
    </row>
    <row r="428" spans="2:20" x14ac:dyDescent="0.35">
      <c r="B428">
        <v>2019</v>
      </c>
      <c r="C428" s="41">
        <v>43398</v>
      </c>
      <c r="D428" t="s">
        <v>1387</v>
      </c>
      <c r="E428" t="s">
        <v>219</v>
      </c>
      <c r="F428" t="s">
        <v>463</v>
      </c>
      <c r="G428" t="s">
        <v>1381</v>
      </c>
      <c r="H428" t="s">
        <v>1388</v>
      </c>
      <c r="I428" t="s">
        <v>310</v>
      </c>
      <c r="J428">
        <v>2</v>
      </c>
      <c r="L428">
        <v>740.66</v>
      </c>
      <c r="M428">
        <v>1262.24</v>
      </c>
      <c r="N428">
        <v>1883.46999999999</v>
      </c>
      <c r="O428">
        <v>2685.62</v>
      </c>
      <c r="P428">
        <v>0</v>
      </c>
      <c r="Q428">
        <v>3</v>
      </c>
      <c r="R428">
        <v>0</v>
      </c>
      <c r="S428">
        <v>100284</v>
      </c>
      <c r="T428" t="b">
        <v>1</v>
      </c>
    </row>
    <row r="429" spans="2:20" x14ac:dyDescent="0.35">
      <c r="B429">
        <v>2019</v>
      </c>
      <c r="C429" s="41">
        <v>43398</v>
      </c>
      <c r="D429" t="s">
        <v>1391</v>
      </c>
      <c r="E429" t="s">
        <v>219</v>
      </c>
      <c r="F429" t="s">
        <v>1389</v>
      </c>
      <c r="G429" t="s">
        <v>1381</v>
      </c>
      <c r="H429" t="s">
        <v>1384</v>
      </c>
      <c r="I429" t="s">
        <v>842</v>
      </c>
      <c r="J429">
        <v>2</v>
      </c>
      <c r="L429">
        <v>316.41000000000003</v>
      </c>
      <c r="M429">
        <v>539.23</v>
      </c>
      <c r="N429">
        <v>804.62</v>
      </c>
      <c r="O429">
        <v>1147.3</v>
      </c>
      <c r="P429">
        <v>0</v>
      </c>
      <c r="Q429">
        <v>3</v>
      </c>
      <c r="R429">
        <v>0</v>
      </c>
      <c r="S429">
        <v>100283</v>
      </c>
      <c r="T429" t="b">
        <v>1</v>
      </c>
    </row>
    <row r="430" spans="2:20" x14ac:dyDescent="0.35">
      <c r="B430">
        <v>2019</v>
      </c>
      <c r="C430" s="41">
        <v>43398</v>
      </c>
      <c r="D430" t="s">
        <v>1387</v>
      </c>
      <c r="E430" t="s">
        <v>219</v>
      </c>
      <c r="F430" t="s">
        <v>464</v>
      </c>
      <c r="G430" t="s">
        <v>1381</v>
      </c>
      <c r="H430" t="s">
        <v>1388</v>
      </c>
      <c r="I430" t="s">
        <v>310</v>
      </c>
      <c r="J430">
        <v>2</v>
      </c>
      <c r="L430">
        <v>549.03</v>
      </c>
      <c r="M430">
        <v>935.65</v>
      </c>
      <c r="N430">
        <v>1396.1399999999901</v>
      </c>
      <c r="O430">
        <v>1990.74</v>
      </c>
      <c r="P430">
        <v>0</v>
      </c>
      <c r="Q430">
        <v>3</v>
      </c>
      <c r="R430">
        <v>0</v>
      </c>
      <c r="S430">
        <v>100284</v>
      </c>
      <c r="T430" t="b">
        <v>1</v>
      </c>
    </row>
    <row r="431" spans="2:20" x14ac:dyDescent="0.35">
      <c r="B431">
        <v>2019</v>
      </c>
      <c r="C431" s="41">
        <v>43398</v>
      </c>
      <c r="D431" t="s">
        <v>1387</v>
      </c>
      <c r="E431" t="s">
        <v>219</v>
      </c>
      <c r="F431" t="s">
        <v>458</v>
      </c>
      <c r="G431" t="s">
        <v>1381</v>
      </c>
      <c r="H431" t="s">
        <v>1388</v>
      </c>
      <c r="I431" t="s">
        <v>310</v>
      </c>
      <c r="J431">
        <v>2</v>
      </c>
      <c r="L431">
        <v>625.19000000000005</v>
      </c>
      <c r="M431">
        <v>1065.46</v>
      </c>
      <c r="N431">
        <v>1589.84</v>
      </c>
      <c r="O431">
        <v>2266.94</v>
      </c>
      <c r="P431">
        <v>0</v>
      </c>
      <c r="Q431">
        <v>3</v>
      </c>
      <c r="R431">
        <v>0</v>
      </c>
      <c r="S431">
        <v>100284</v>
      </c>
      <c r="T431" t="b">
        <v>1</v>
      </c>
    </row>
    <row r="432" spans="2:20" x14ac:dyDescent="0.35">
      <c r="B432">
        <v>2019</v>
      </c>
      <c r="C432" s="41">
        <v>43398</v>
      </c>
      <c r="D432" t="s">
        <v>1392</v>
      </c>
      <c r="E432" t="s">
        <v>219</v>
      </c>
      <c r="F432" t="s">
        <v>1302</v>
      </c>
      <c r="G432" t="s">
        <v>1381</v>
      </c>
      <c r="H432" t="s">
        <v>1393</v>
      </c>
      <c r="I432" t="s">
        <v>842</v>
      </c>
      <c r="J432">
        <v>2</v>
      </c>
      <c r="L432">
        <v>396.11</v>
      </c>
      <c r="M432">
        <v>675.05</v>
      </c>
      <c r="N432">
        <v>1007.3</v>
      </c>
      <c r="O432">
        <v>1436.3</v>
      </c>
      <c r="P432">
        <v>0</v>
      </c>
      <c r="Q432">
        <v>3</v>
      </c>
      <c r="R432">
        <v>0</v>
      </c>
      <c r="S432">
        <v>100284</v>
      </c>
      <c r="T432" t="b">
        <v>1</v>
      </c>
    </row>
    <row r="433" spans="2:20" x14ac:dyDescent="0.35">
      <c r="B433">
        <v>2019</v>
      </c>
      <c r="C433" s="41">
        <v>43398</v>
      </c>
      <c r="D433" t="s">
        <v>1392</v>
      </c>
      <c r="E433" t="s">
        <v>219</v>
      </c>
      <c r="F433" t="s">
        <v>1309</v>
      </c>
      <c r="G433" t="s">
        <v>1381</v>
      </c>
      <c r="H433" t="s">
        <v>1393</v>
      </c>
      <c r="I433" t="s">
        <v>842</v>
      </c>
      <c r="J433">
        <v>2</v>
      </c>
      <c r="L433">
        <v>401.13</v>
      </c>
      <c r="M433">
        <v>683.61</v>
      </c>
      <c r="N433">
        <v>1020.05</v>
      </c>
      <c r="O433">
        <v>1454.48</v>
      </c>
      <c r="P433">
        <v>0</v>
      </c>
      <c r="Q433">
        <v>3</v>
      </c>
      <c r="R433">
        <v>0</v>
      </c>
      <c r="S433">
        <v>100284</v>
      </c>
      <c r="T433" t="b">
        <v>1</v>
      </c>
    </row>
    <row r="434" spans="2:20" x14ac:dyDescent="0.35">
      <c r="B434">
        <v>2019</v>
      </c>
      <c r="C434" s="41">
        <v>43398</v>
      </c>
      <c r="D434" t="s">
        <v>1392</v>
      </c>
      <c r="E434" t="s">
        <v>219</v>
      </c>
      <c r="F434" t="s">
        <v>1307</v>
      </c>
      <c r="G434" t="s">
        <v>1381</v>
      </c>
      <c r="H434" t="s">
        <v>1393</v>
      </c>
      <c r="I434" t="s">
        <v>842</v>
      </c>
      <c r="J434">
        <v>2</v>
      </c>
      <c r="L434">
        <v>435.62</v>
      </c>
      <c r="M434">
        <v>742.39</v>
      </c>
      <c r="N434">
        <v>1107.77</v>
      </c>
      <c r="O434">
        <v>1579.56</v>
      </c>
      <c r="P434">
        <v>0</v>
      </c>
      <c r="Q434">
        <v>3</v>
      </c>
      <c r="R434">
        <v>0</v>
      </c>
      <c r="S434">
        <v>100284</v>
      </c>
      <c r="T434" t="b">
        <v>1</v>
      </c>
    </row>
    <row r="435" spans="2:20" x14ac:dyDescent="0.35">
      <c r="B435">
        <v>2019</v>
      </c>
      <c r="C435" s="41">
        <v>43398</v>
      </c>
      <c r="D435" t="s">
        <v>1392</v>
      </c>
      <c r="E435" t="s">
        <v>219</v>
      </c>
      <c r="F435" t="s">
        <v>1390</v>
      </c>
      <c r="G435" t="s">
        <v>1381</v>
      </c>
      <c r="H435" t="s">
        <v>1393</v>
      </c>
      <c r="I435" t="s">
        <v>842</v>
      </c>
      <c r="J435">
        <v>2</v>
      </c>
      <c r="L435">
        <v>486.23</v>
      </c>
      <c r="M435">
        <v>828.63</v>
      </c>
      <c r="N435">
        <v>1236.45</v>
      </c>
      <c r="O435">
        <v>1763.04</v>
      </c>
      <c r="P435">
        <v>0</v>
      </c>
      <c r="Q435">
        <v>3</v>
      </c>
      <c r="R435">
        <v>0</v>
      </c>
      <c r="S435">
        <v>100284</v>
      </c>
      <c r="T435" t="b">
        <v>1</v>
      </c>
    </row>
    <row r="436" spans="2:20" x14ac:dyDescent="0.35">
      <c r="B436">
        <v>2019</v>
      </c>
      <c r="C436" s="41">
        <v>43398</v>
      </c>
      <c r="D436" t="s">
        <v>1387</v>
      </c>
      <c r="E436" t="s">
        <v>219</v>
      </c>
      <c r="F436" t="s">
        <v>460</v>
      </c>
      <c r="G436" t="s">
        <v>1381</v>
      </c>
      <c r="H436" t="s">
        <v>1388</v>
      </c>
      <c r="I436" t="s">
        <v>310</v>
      </c>
      <c r="J436">
        <v>2</v>
      </c>
      <c r="L436">
        <v>575.62</v>
      </c>
      <c r="M436">
        <v>980.98</v>
      </c>
      <c r="N436">
        <v>1463.77</v>
      </c>
      <c r="O436">
        <v>2087.1799999999998</v>
      </c>
      <c r="P436">
        <v>0</v>
      </c>
      <c r="Q436">
        <v>3</v>
      </c>
      <c r="R436">
        <v>0</v>
      </c>
      <c r="S436">
        <v>100284</v>
      </c>
      <c r="T436" t="b">
        <v>1</v>
      </c>
    </row>
    <row r="437" spans="2:20" x14ac:dyDescent="0.35">
      <c r="B437">
        <v>2019</v>
      </c>
      <c r="C437" s="41">
        <v>43398</v>
      </c>
      <c r="D437" t="s">
        <v>1387</v>
      </c>
      <c r="E437" t="s">
        <v>219</v>
      </c>
      <c r="F437" t="s">
        <v>461</v>
      </c>
      <c r="G437" t="s">
        <v>1381</v>
      </c>
      <c r="H437" t="s">
        <v>1388</v>
      </c>
      <c r="I437" t="s">
        <v>310</v>
      </c>
      <c r="J437">
        <v>2</v>
      </c>
      <c r="L437">
        <v>593.61</v>
      </c>
      <c r="M437">
        <v>1011.63</v>
      </c>
      <c r="N437">
        <v>1509.51</v>
      </c>
      <c r="O437">
        <v>2152.4</v>
      </c>
      <c r="P437">
        <v>0</v>
      </c>
      <c r="Q437">
        <v>3</v>
      </c>
      <c r="R437">
        <v>0</v>
      </c>
      <c r="S437">
        <v>100284</v>
      </c>
      <c r="T437" t="b">
        <v>1</v>
      </c>
    </row>
    <row r="438" spans="2:20" x14ac:dyDescent="0.35">
      <c r="B438">
        <v>2019</v>
      </c>
      <c r="C438" s="41">
        <v>43398</v>
      </c>
      <c r="D438" t="s">
        <v>1387</v>
      </c>
      <c r="E438" t="s">
        <v>219</v>
      </c>
      <c r="F438" t="s">
        <v>459</v>
      </c>
      <c r="G438" t="s">
        <v>1381</v>
      </c>
      <c r="H438" t="s">
        <v>1388</v>
      </c>
      <c r="I438" t="s">
        <v>310</v>
      </c>
      <c r="J438">
        <v>2</v>
      </c>
      <c r="L438">
        <v>655.07000000000005</v>
      </c>
      <c r="M438">
        <v>1116.3800000000001</v>
      </c>
      <c r="N438">
        <v>1665.81</v>
      </c>
      <c r="O438">
        <v>2375.2600000000002</v>
      </c>
      <c r="P438">
        <v>0</v>
      </c>
      <c r="Q438">
        <v>3</v>
      </c>
      <c r="R438">
        <v>0</v>
      </c>
      <c r="S438">
        <v>100284</v>
      </c>
      <c r="T438" t="b">
        <v>1</v>
      </c>
    </row>
    <row r="439" spans="2:20" x14ac:dyDescent="0.35">
      <c r="B439">
        <v>2019</v>
      </c>
      <c r="C439" s="41">
        <v>43398</v>
      </c>
      <c r="D439" t="s">
        <v>1392</v>
      </c>
      <c r="E439" t="s">
        <v>219</v>
      </c>
      <c r="F439" t="s">
        <v>1311</v>
      </c>
      <c r="G439" t="s">
        <v>1381</v>
      </c>
      <c r="H439" t="s">
        <v>1393</v>
      </c>
      <c r="I439" t="s">
        <v>842</v>
      </c>
      <c r="J439">
        <v>2</v>
      </c>
      <c r="L439">
        <v>375.93</v>
      </c>
      <c r="M439">
        <v>640.66</v>
      </c>
      <c r="N439">
        <v>955.96</v>
      </c>
      <c r="O439">
        <v>1363.1</v>
      </c>
      <c r="P439">
        <v>0</v>
      </c>
      <c r="Q439">
        <v>3</v>
      </c>
      <c r="R439">
        <v>0</v>
      </c>
      <c r="S439">
        <v>100284</v>
      </c>
      <c r="T439" t="b">
        <v>1</v>
      </c>
    </row>
    <row r="440" spans="2:20" x14ac:dyDescent="0.35">
      <c r="B440">
        <v>2019</v>
      </c>
      <c r="C440" s="41">
        <v>43398</v>
      </c>
      <c r="D440" t="s">
        <v>1392</v>
      </c>
      <c r="E440" t="s">
        <v>219</v>
      </c>
      <c r="F440" t="s">
        <v>1301</v>
      </c>
      <c r="G440" t="s">
        <v>1381</v>
      </c>
      <c r="H440" t="s">
        <v>1393</v>
      </c>
      <c r="I440" t="s">
        <v>842</v>
      </c>
      <c r="J440">
        <v>2</v>
      </c>
      <c r="L440">
        <v>384.96</v>
      </c>
      <c r="M440">
        <v>656.05</v>
      </c>
      <c r="N440">
        <v>978.94</v>
      </c>
      <c r="O440">
        <v>1395.86</v>
      </c>
      <c r="P440">
        <v>0</v>
      </c>
      <c r="Q440">
        <v>3</v>
      </c>
      <c r="R440">
        <v>0</v>
      </c>
      <c r="S440">
        <v>100284</v>
      </c>
      <c r="T440" t="b">
        <v>1</v>
      </c>
    </row>
    <row r="441" spans="2:20" x14ac:dyDescent="0.35">
      <c r="B441">
        <v>2019</v>
      </c>
      <c r="C441" s="41">
        <v>43398</v>
      </c>
      <c r="D441" t="s">
        <v>1392</v>
      </c>
      <c r="E441" t="s">
        <v>219</v>
      </c>
      <c r="F441" t="s">
        <v>464</v>
      </c>
      <c r="G441" t="s">
        <v>1381</v>
      </c>
      <c r="H441" t="s">
        <v>1393</v>
      </c>
      <c r="I441" t="s">
        <v>842</v>
      </c>
      <c r="J441">
        <v>2</v>
      </c>
      <c r="L441">
        <v>373.18</v>
      </c>
      <c r="M441">
        <v>635.98</v>
      </c>
      <c r="N441">
        <v>948.98</v>
      </c>
      <c r="O441">
        <v>1353.14</v>
      </c>
      <c r="P441">
        <v>0</v>
      </c>
      <c r="Q441">
        <v>3</v>
      </c>
      <c r="R441">
        <v>0</v>
      </c>
      <c r="S441">
        <v>100284</v>
      </c>
      <c r="T441" t="b">
        <v>1</v>
      </c>
    </row>
    <row r="442" spans="2:20" x14ac:dyDescent="0.35">
      <c r="B442">
        <v>2019</v>
      </c>
      <c r="C442" s="41">
        <v>43398</v>
      </c>
      <c r="D442" t="s">
        <v>1392</v>
      </c>
      <c r="E442" t="s">
        <v>219</v>
      </c>
      <c r="F442" t="s">
        <v>463</v>
      </c>
      <c r="G442" t="s">
        <v>1381</v>
      </c>
      <c r="H442" t="s">
        <v>1393</v>
      </c>
      <c r="I442" t="s">
        <v>842</v>
      </c>
      <c r="J442">
        <v>2</v>
      </c>
      <c r="L442">
        <v>503.44</v>
      </c>
      <c r="M442">
        <v>857.96</v>
      </c>
      <c r="N442">
        <v>1280.21</v>
      </c>
      <c r="O442">
        <v>1825.44</v>
      </c>
      <c r="P442">
        <v>0</v>
      </c>
      <c r="Q442">
        <v>3</v>
      </c>
      <c r="R442">
        <v>0</v>
      </c>
      <c r="S442">
        <v>100284</v>
      </c>
      <c r="T442" t="b">
        <v>1</v>
      </c>
    </row>
    <row r="443" spans="2:20" x14ac:dyDescent="0.35">
      <c r="B443">
        <v>2019</v>
      </c>
      <c r="C443" s="41">
        <v>43398</v>
      </c>
      <c r="D443" t="s">
        <v>1392</v>
      </c>
      <c r="E443" t="s">
        <v>219</v>
      </c>
      <c r="F443" t="s">
        <v>460</v>
      </c>
      <c r="G443" t="s">
        <v>1381</v>
      </c>
      <c r="H443" t="s">
        <v>1393</v>
      </c>
      <c r="I443" t="s">
        <v>842</v>
      </c>
      <c r="J443">
        <v>2</v>
      </c>
      <c r="L443">
        <v>391.26</v>
      </c>
      <c r="M443">
        <v>666.79</v>
      </c>
      <c r="N443">
        <v>994.96</v>
      </c>
      <c r="O443">
        <v>1418.7</v>
      </c>
      <c r="P443">
        <v>0</v>
      </c>
      <c r="Q443">
        <v>3</v>
      </c>
      <c r="R443">
        <v>0</v>
      </c>
      <c r="S443">
        <v>100284</v>
      </c>
      <c r="T443" t="b">
        <v>1</v>
      </c>
    </row>
    <row r="444" spans="2:20" x14ac:dyDescent="0.35">
      <c r="B444">
        <v>2019</v>
      </c>
      <c r="C444" s="41">
        <v>43398</v>
      </c>
      <c r="D444" t="s">
        <v>1392</v>
      </c>
      <c r="E444" t="s">
        <v>219</v>
      </c>
      <c r="F444" t="s">
        <v>461</v>
      </c>
      <c r="G444" t="s">
        <v>1381</v>
      </c>
      <c r="H444" t="s">
        <v>1393</v>
      </c>
      <c r="I444" t="s">
        <v>842</v>
      </c>
      <c r="J444">
        <v>2</v>
      </c>
      <c r="L444">
        <v>403.48</v>
      </c>
      <c r="M444">
        <v>687.61</v>
      </c>
      <c r="N444">
        <v>1026.04</v>
      </c>
      <c r="O444">
        <v>1463.02</v>
      </c>
      <c r="P444">
        <v>0</v>
      </c>
      <c r="Q444">
        <v>3</v>
      </c>
      <c r="R444">
        <v>0</v>
      </c>
      <c r="S444">
        <v>100284</v>
      </c>
      <c r="T444" t="b">
        <v>1</v>
      </c>
    </row>
    <row r="445" spans="2:20" x14ac:dyDescent="0.35">
      <c r="B445">
        <v>2019</v>
      </c>
      <c r="C445" s="41">
        <v>43398</v>
      </c>
      <c r="D445" t="s">
        <v>1392</v>
      </c>
      <c r="E445" t="s">
        <v>219</v>
      </c>
      <c r="F445" t="s">
        <v>458</v>
      </c>
      <c r="G445" t="s">
        <v>1381</v>
      </c>
      <c r="H445" t="s">
        <v>1393</v>
      </c>
      <c r="I445" t="s">
        <v>842</v>
      </c>
      <c r="J445">
        <v>2</v>
      </c>
      <c r="L445">
        <v>424.94</v>
      </c>
      <c r="M445">
        <v>724.19</v>
      </c>
      <c r="N445">
        <v>1080.5999999999999</v>
      </c>
      <c r="O445">
        <v>1540.82</v>
      </c>
      <c r="P445">
        <v>0</v>
      </c>
      <c r="Q445">
        <v>3</v>
      </c>
      <c r="R445">
        <v>0</v>
      </c>
      <c r="S445">
        <v>100284</v>
      </c>
      <c r="T445" t="b">
        <v>1</v>
      </c>
    </row>
    <row r="446" spans="2:20" x14ac:dyDescent="0.35">
      <c r="B446">
        <v>2019</v>
      </c>
      <c r="C446" s="41">
        <v>43398</v>
      </c>
      <c r="D446" t="s">
        <v>1392</v>
      </c>
      <c r="E446" t="s">
        <v>219</v>
      </c>
      <c r="F446" t="s">
        <v>459</v>
      </c>
      <c r="G446" t="s">
        <v>1381</v>
      </c>
      <c r="H446" t="s">
        <v>1393</v>
      </c>
      <c r="I446" t="s">
        <v>842</v>
      </c>
      <c r="J446">
        <v>2</v>
      </c>
      <c r="L446">
        <v>445.25</v>
      </c>
      <c r="M446">
        <v>758.8</v>
      </c>
      <c r="N446">
        <v>1132.26</v>
      </c>
      <c r="O446">
        <v>1614.48</v>
      </c>
      <c r="P446">
        <v>0</v>
      </c>
      <c r="Q446">
        <v>3</v>
      </c>
      <c r="R446">
        <v>0</v>
      </c>
      <c r="S446">
        <v>100284</v>
      </c>
      <c r="T446" t="b">
        <v>1</v>
      </c>
    </row>
    <row r="447" spans="2:20" x14ac:dyDescent="0.35">
      <c r="B447">
        <v>2019</v>
      </c>
      <c r="C447" s="41">
        <v>43398</v>
      </c>
      <c r="D447" t="s">
        <v>1394</v>
      </c>
      <c r="E447" t="s">
        <v>219</v>
      </c>
      <c r="F447" t="s">
        <v>1389</v>
      </c>
      <c r="G447" t="s">
        <v>1381</v>
      </c>
      <c r="H447" t="s">
        <v>1395</v>
      </c>
      <c r="I447" t="s">
        <v>310</v>
      </c>
      <c r="J447">
        <v>2</v>
      </c>
      <c r="L447">
        <v>388.3</v>
      </c>
      <c r="M447">
        <v>661.75</v>
      </c>
      <c r="N447">
        <v>987.44</v>
      </c>
      <c r="O447">
        <v>1407.98</v>
      </c>
      <c r="P447">
        <v>0</v>
      </c>
      <c r="Q447">
        <v>3</v>
      </c>
      <c r="R447">
        <v>0</v>
      </c>
      <c r="S447">
        <v>100283</v>
      </c>
      <c r="T447" t="b">
        <v>1</v>
      </c>
    </row>
    <row r="448" spans="2:20" x14ac:dyDescent="0.35">
      <c r="B448">
        <v>2019</v>
      </c>
      <c r="C448" s="41">
        <v>43398</v>
      </c>
      <c r="D448" t="s">
        <v>1396</v>
      </c>
      <c r="E448" t="s">
        <v>219</v>
      </c>
      <c r="F448" t="s">
        <v>1309</v>
      </c>
      <c r="G448" t="s">
        <v>1381</v>
      </c>
      <c r="H448" t="s">
        <v>1397</v>
      </c>
      <c r="I448" t="s">
        <v>843</v>
      </c>
      <c r="J448">
        <v>2</v>
      </c>
      <c r="L448">
        <v>764.26</v>
      </c>
      <c r="M448">
        <v>1302.46</v>
      </c>
      <c r="N448">
        <v>1943.47</v>
      </c>
      <c r="O448">
        <v>2771.18</v>
      </c>
      <c r="P448">
        <v>0</v>
      </c>
      <c r="Q448">
        <v>1</v>
      </c>
      <c r="R448">
        <v>0</v>
      </c>
      <c r="S448">
        <v>100284</v>
      </c>
      <c r="T448" t="b">
        <v>1</v>
      </c>
    </row>
    <row r="449" spans="2:20" x14ac:dyDescent="0.35">
      <c r="B449">
        <v>2019</v>
      </c>
      <c r="C449" s="41">
        <v>43398</v>
      </c>
      <c r="D449" t="s">
        <v>1396</v>
      </c>
      <c r="E449" t="s">
        <v>219</v>
      </c>
      <c r="F449" t="s">
        <v>1307</v>
      </c>
      <c r="G449" t="s">
        <v>1381</v>
      </c>
      <c r="H449" t="s">
        <v>1397</v>
      </c>
      <c r="I449" t="s">
        <v>843</v>
      </c>
      <c r="J449">
        <v>2</v>
      </c>
      <c r="L449">
        <v>829.96</v>
      </c>
      <c r="M449">
        <v>1414.42</v>
      </c>
      <c r="N449">
        <v>2110.54</v>
      </c>
      <c r="O449">
        <v>3009.4</v>
      </c>
      <c r="P449">
        <v>0</v>
      </c>
      <c r="Q449">
        <v>1</v>
      </c>
      <c r="R449">
        <v>0</v>
      </c>
      <c r="S449">
        <v>100284</v>
      </c>
      <c r="T449" t="b">
        <v>1</v>
      </c>
    </row>
    <row r="450" spans="2:20" x14ac:dyDescent="0.35">
      <c r="B450">
        <v>2019</v>
      </c>
      <c r="C450" s="41">
        <v>43398</v>
      </c>
      <c r="D450" t="s">
        <v>1396</v>
      </c>
      <c r="E450" t="s">
        <v>219</v>
      </c>
      <c r="F450" t="s">
        <v>1389</v>
      </c>
      <c r="G450" t="s">
        <v>1381</v>
      </c>
      <c r="H450" t="s">
        <v>1397</v>
      </c>
      <c r="I450" t="s">
        <v>843</v>
      </c>
      <c r="J450">
        <v>2</v>
      </c>
      <c r="L450">
        <v>623.97</v>
      </c>
      <c r="M450">
        <v>1063.3699999999999</v>
      </c>
      <c r="N450">
        <v>1586.71</v>
      </c>
      <c r="O450">
        <v>2262.48</v>
      </c>
      <c r="P450">
        <v>0</v>
      </c>
      <c r="Q450">
        <v>1</v>
      </c>
      <c r="R450">
        <v>0</v>
      </c>
      <c r="S450">
        <v>100284</v>
      </c>
      <c r="T450" t="b">
        <v>1</v>
      </c>
    </row>
    <row r="451" spans="2:20" x14ac:dyDescent="0.35">
      <c r="B451">
        <v>2019</v>
      </c>
      <c r="C451" s="41">
        <v>43398</v>
      </c>
      <c r="D451" t="s">
        <v>1396</v>
      </c>
      <c r="E451" t="s">
        <v>219</v>
      </c>
      <c r="F451" t="s">
        <v>1390</v>
      </c>
      <c r="G451" t="s">
        <v>1381</v>
      </c>
      <c r="H451" t="s">
        <v>1397</v>
      </c>
      <c r="I451" t="s">
        <v>843</v>
      </c>
      <c r="J451">
        <v>2</v>
      </c>
      <c r="L451">
        <v>926.4</v>
      </c>
      <c r="M451">
        <v>1578.77</v>
      </c>
      <c r="N451">
        <v>2355.79</v>
      </c>
      <c r="O451">
        <v>3359.1</v>
      </c>
      <c r="P451">
        <v>0</v>
      </c>
      <c r="Q451">
        <v>1</v>
      </c>
      <c r="R451">
        <v>0</v>
      </c>
      <c r="S451">
        <v>100284</v>
      </c>
      <c r="T451" t="b">
        <v>1</v>
      </c>
    </row>
    <row r="452" spans="2:20" x14ac:dyDescent="0.35">
      <c r="B452">
        <v>2019</v>
      </c>
      <c r="C452" s="41">
        <v>43398</v>
      </c>
      <c r="D452" t="s">
        <v>1396</v>
      </c>
      <c r="E452" t="s">
        <v>219</v>
      </c>
      <c r="F452" t="s">
        <v>1301</v>
      </c>
      <c r="G452" t="s">
        <v>1381</v>
      </c>
      <c r="H452" t="s">
        <v>1397</v>
      </c>
      <c r="I452" t="s">
        <v>843</v>
      </c>
      <c r="J452">
        <v>2</v>
      </c>
      <c r="L452">
        <v>733.45</v>
      </c>
      <c r="M452">
        <v>1249.95</v>
      </c>
      <c r="N452">
        <v>1865.12</v>
      </c>
      <c r="O452">
        <v>2659.46</v>
      </c>
      <c r="P452">
        <v>0</v>
      </c>
      <c r="Q452">
        <v>1</v>
      </c>
      <c r="R452">
        <v>0</v>
      </c>
      <c r="S452">
        <v>100284</v>
      </c>
      <c r="T452" t="b">
        <v>1</v>
      </c>
    </row>
    <row r="453" spans="2:20" x14ac:dyDescent="0.35">
      <c r="B453">
        <v>2019</v>
      </c>
      <c r="C453" s="41">
        <v>43398</v>
      </c>
      <c r="D453" t="s">
        <v>1396</v>
      </c>
      <c r="E453" t="s">
        <v>219</v>
      </c>
      <c r="F453" t="s">
        <v>1311</v>
      </c>
      <c r="G453" t="s">
        <v>1381</v>
      </c>
      <c r="H453" t="s">
        <v>1397</v>
      </c>
      <c r="I453" t="s">
        <v>843</v>
      </c>
      <c r="J453">
        <v>2</v>
      </c>
      <c r="L453">
        <v>716.23</v>
      </c>
      <c r="M453">
        <v>1220.6099999999999</v>
      </c>
      <c r="N453">
        <v>1821.33</v>
      </c>
      <c r="O453">
        <v>2597.02</v>
      </c>
      <c r="P453">
        <v>0</v>
      </c>
      <c r="Q453">
        <v>1</v>
      </c>
      <c r="R453">
        <v>0</v>
      </c>
      <c r="S453">
        <v>100284</v>
      </c>
      <c r="T453" t="b">
        <v>1</v>
      </c>
    </row>
    <row r="454" spans="2:20" x14ac:dyDescent="0.35">
      <c r="B454">
        <v>2019</v>
      </c>
      <c r="C454" s="41">
        <v>43398</v>
      </c>
      <c r="D454" t="s">
        <v>1396</v>
      </c>
      <c r="E454" t="s">
        <v>219</v>
      </c>
      <c r="F454" t="s">
        <v>464</v>
      </c>
      <c r="G454" t="s">
        <v>1381</v>
      </c>
      <c r="H454" t="s">
        <v>1397</v>
      </c>
      <c r="I454" t="s">
        <v>843</v>
      </c>
      <c r="J454">
        <v>2</v>
      </c>
      <c r="L454">
        <v>710.99</v>
      </c>
      <c r="M454">
        <v>1211.68</v>
      </c>
      <c r="N454">
        <v>1808.02</v>
      </c>
      <c r="O454">
        <v>2578.04</v>
      </c>
      <c r="P454">
        <v>0</v>
      </c>
      <c r="Q454">
        <v>1</v>
      </c>
      <c r="R454">
        <v>0</v>
      </c>
      <c r="S454">
        <v>100284</v>
      </c>
      <c r="T454" t="b">
        <v>1</v>
      </c>
    </row>
    <row r="455" spans="2:20" x14ac:dyDescent="0.35">
      <c r="B455">
        <v>2019</v>
      </c>
      <c r="C455" s="41">
        <v>43398</v>
      </c>
      <c r="D455" t="s">
        <v>1396</v>
      </c>
      <c r="E455" t="s">
        <v>219</v>
      </c>
      <c r="F455" t="s">
        <v>1302</v>
      </c>
      <c r="G455" t="s">
        <v>1381</v>
      </c>
      <c r="H455" t="s">
        <v>1397</v>
      </c>
      <c r="I455" t="s">
        <v>843</v>
      </c>
      <c r="J455">
        <v>2</v>
      </c>
      <c r="L455">
        <v>754.7</v>
      </c>
      <c r="M455">
        <v>1286.1500000000001</v>
      </c>
      <c r="N455">
        <v>1919.15</v>
      </c>
      <c r="O455">
        <v>2736.5</v>
      </c>
      <c r="P455">
        <v>0</v>
      </c>
      <c r="Q455">
        <v>1</v>
      </c>
      <c r="R455">
        <v>0</v>
      </c>
      <c r="S455">
        <v>100284</v>
      </c>
      <c r="T455" t="b">
        <v>1</v>
      </c>
    </row>
    <row r="456" spans="2:20" x14ac:dyDescent="0.35">
      <c r="B456">
        <v>2019</v>
      </c>
      <c r="C456" s="41">
        <v>43398</v>
      </c>
      <c r="D456" t="s">
        <v>1396</v>
      </c>
      <c r="E456" t="s">
        <v>219</v>
      </c>
      <c r="F456" t="s">
        <v>463</v>
      </c>
      <c r="G456" t="s">
        <v>1381</v>
      </c>
      <c r="H456" t="s">
        <v>1397</v>
      </c>
      <c r="I456" t="s">
        <v>843</v>
      </c>
      <c r="J456">
        <v>2</v>
      </c>
      <c r="L456">
        <v>959.17</v>
      </c>
      <c r="M456">
        <v>1634.62</v>
      </c>
      <c r="N456">
        <v>2439.12</v>
      </c>
      <c r="O456">
        <v>3477.92</v>
      </c>
      <c r="P456">
        <v>0</v>
      </c>
      <c r="Q456">
        <v>1</v>
      </c>
      <c r="R456">
        <v>0</v>
      </c>
      <c r="S456">
        <v>100284</v>
      </c>
      <c r="T456" t="b">
        <v>1</v>
      </c>
    </row>
    <row r="457" spans="2:20" x14ac:dyDescent="0.35">
      <c r="B457">
        <v>2019</v>
      </c>
      <c r="C457" s="41">
        <v>43398</v>
      </c>
      <c r="D457" t="s">
        <v>1396</v>
      </c>
      <c r="E457" t="s">
        <v>219</v>
      </c>
      <c r="F457" t="s">
        <v>461</v>
      </c>
      <c r="G457" t="s">
        <v>1381</v>
      </c>
      <c r="H457" t="s">
        <v>1397</v>
      </c>
      <c r="I457" t="s">
        <v>843</v>
      </c>
      <c r="J457">
        <v>2</v>
      </c>
      <c r="L457">
        <v>768.74</v>
      </c>
      <c r="M457">
        <v>1310.08</v>
      </c>
      <c r="N457">
        <v>1954.86</v>
      </c>
      <c r="O457">
        <v>2787.42</v>
      </c>
      <c r="P457">
        <v>0</v>
      </c>
      <c r="Q457">
        <v>1</v>
      </c>
      <c r="R457">
        <v>0</v>
      </c>
      <c r="S457">
        <v>100284</v>
      </c>
      <c r="T457" t="b">
        <v>1</v>
      </c>
    </row>
    <row r="458" spans="2:20" x14ac:dyDescent="0.35">
      <c r="B458">
        <v>2019</v>
      </c>
      <c r="C458" s="41">
        <v>43398</v>
      </c>
      <c r="D458" t="s">
        <v>1396</v>
      </c>
      <c r="E458" t="s">
        <v>219</v>
      </c>
      <c r="F458" t="s">
        <v>460</v>
      </c>
      <c r="G458" t="s">
        <v>1381</v>
      </c>
      <c r="H458" t="s">
        <v>1397</v>
      </c>
      <c r="I458" t="s">
        <v>843</v>
      </c>
      <c r="J458">
        <v>2</v>
      </c>
      <c r="L458">
        <v>745.44</v>
      </c>
      <c r="M458">
        <v>1270.3800000000001</v>
      </c>
      <c r="N458">
        <v>1895.61</v>
      </c>
      <c r="O458">
        <v>2702.94</v>
      </c>
      <c r="P458">
        <v>0</v>
      </c>
      <c r="Q458">
        <v>1</v>
      </c>
      <c r="R458">
        <v>0</v>
      </c>
      <c r="S458">
        <v>100284</v>
      </c>
      <c r="T458" t="b">
        <v>1</v>
      </c>
    </row>
    <row r="459" spans="2:20" x14ac:dyDescent="0.35">
      <c r="B459">
        <v>2019</v>
      </c>
      <c r="C459" s="41">
        <v>43398</v>
      </c>
      <c r="D459" t="s">
        <v>1396</v>
      </c>
      <c r="E459" t="s">
        <v>219</v>
      </c>
      <c r="F459" t="s">
        <v>459</v>
      </c>
      <c r="G459" t="s">
        <v>1381</v>
      </c>
      <c r="H459" t="s">
        <v>1397</v>
      </c>
      <c r="I459" t="s">
        <v>843</v>
      </c>
      <c r="J459">
        <v>2</v>
      </c>
      <c r="L459">
        <v>848.32</v>
      </c>
      <c r="M459">
        <v>1445.71</v>
      </c>
      <c r="N459">
        <v>2157.23</v>
      </c>
      <c r="O459">
        <v>3075.98</v>
      </c>
      <c r="P459">
        <v>0</v>
      </c>
      <c r="Q459">
        <v>1</v>
      </c>
      <c r="R459">
        <v>0</v>
      </c>
      <c r="S459">
        <v>100284</v>
      </c>
      <c r="T459" t="b">
        <v>1</v>
      </c>
    </row>
    <row r="460" spans="2:20" x14ac:dyDescent="0.35">
      <c r="B460">
        <v>2019</v>
      </c>
      <c r="C460" s="41">
        <v>43398</v>
      </c>
      <c r="D460" t="s">
        <v>1396</v>
      </c>
      <c r="E460" t="s">
        <v>219</v>
      </c>
      <c r="F460" t="s">
        <v>458</v>
      </c>
      <c r="G460" t="s">
        <v>1381</v>
      </c>
      <c r="H460" t="s">
        <v>1397</v>
      </c>
      <c r="I460" t="s">
        <v>843</v>
      </c>
      <c r="J460">
        <v>2</v>
      </c>
      <c r="L460">
        <v>809.63</v>
      </c>
      <c r="M460">
        <v>1379.77</v>
      </c>
      <c r="N460">
        <v>2058.84</v>
      </c>
      <c r="O460">
        <v>2935.68</v>
      </c>
      <c r="P460">
        <v>0</v>
      </c>
      <c r="Q460">
        <v>1</v>
      </c>
      <c r="R460">
        <v>0</v>
      </c>
      <c r="S460">
        <v>100284</v>
      </c>
      <c r="T460" t="b">
        <v>1</v>
      </c>
    </row>
    <row r="461" spans="2:20" x14ac:dyDescent="0.35">
      <c r="B461">
        <v>2019</v>
      </c>
      <c r="C461" s="41">
        <v>43398</v>
      </c>
      <c r="D461" t="s">
        <v>1398</v>
      </c>
      <c r="E461" t="s">
        <v>219</v>
      </c>
      <c r="F461" t="s">
        <v>1389</v>
      </c>
      <c r="G461" t="s">
        <v>1381</v>
      </c>
      <c r="H461" t="s">
        <v>1399</v>
      </c>
      <c r="I461" t="s">
        <v>843</v>
      </c>
      <c r="J461">
        <v>2</v>
      </c>
      <c r="L461">
        <v>602.74</v>
      </c>
      <c r="M461">
        <v>1027.18</v>
      </c>
      <c r="N461">
        <v>1532.71</v>
      </c>
      <c r="O461">
        <v>2185.48</v>
      </c>
      <c r="P461">
        <v>0</v>
      </c>
      <c r="Q461">
        <v>1</v>
      </c>
      <c r="R461">
        <v>0</v>
      </c>
      <c r="S461">
        <v>100283</v>
      </c>
      <c r="T461" t="b">
        <v>1</v>
      </c>
    </row>
    <row r="462" spans="2:20" x14ac:dyDescent="0.35">
      <c r="B462">
        <v>2019</v>
      </c>
      <c r="C462" s="41">
        <v>43398</v>
      </c>
      <c r="D462" t="s">
        <v>1400</v>
      </c>
      <c r="E462" t="s">
        <v>219</v>
      </c>
      <c r="F462" t="s">
        <v>1301</v>
      </c>
      <c r="G462" t="s">
        <v>1381</v>
      </c>
      <c r="H462" t="s">
        <v>1399</v>
      </c>
      <c r="I462" t="s">
        <v>843</v>
      </c>
      <c r="J462">
        <v>2</v>
      </c>
      <c r="L462">
        <v>557.59</v>
      </c>
      <c r="M462">
        <v>950.24</v>
      </c>
      <c r="N462">
        <v>1417.92</v>
      </c>
      <c r="O462">
        <v>2021.8</v>
      </c>
      <c r="P462">
        <v>0</v>
      </c>
      <c r="Q462">
        <v>1</v>
      </c>
      <c r="R462">
        <v>0</v>
      </c>
      <c r="S462">
        <v>100283</v>
      </c>
      <c r="T462" t="b">
        <v>1</v>
      </c>
    </row>
    <row r="463" spans="2:20" x14ac:dyDescent="0.35">
      <c r="B463">
        <v>2019</v>
      </c>
      <c r="C463" s="41">
        <v>43398</v>
      </c>
      <c r="D463" t="s">
        <v>1401</v>
      </c>
      <c r="E463" t="s">
        <v>219</v>
      </c>
      <c r="F463" t="s">
        <v>1309</v>
      </c>
      <c r="G463" t="s">
        <v>1381</v>
      </c>
      <c r="H463" t="s">
        <v>1402</v>
      </c>
      <c r="I463" t="s">
        <v>310</v>
      </c>
      <c r="J463">
        <v>2</v>
      </c>
      <c r="L463">
        <v>492.31</v>
      </c>
      <c r="M463">
        <v>838.99</v>
      </c>
      <c r="N463">
        <v>1251.92</v>
      </c>
      <c r="O463">
        <v>1785.1</v>
      </c>
      <c r="P463">
        <v>0</v>
      </c>
      <c r="Q463">
        <v>3</v>
      </c>
      <c r="R463">
        <v>0</v>
      </c>
      <c r="S463">
        <v>100284</v>
      </c>
      <c r="T463" t="b">
        <v>1</v>
      </c>
    </row>
    <row r="464" spans="2:20" x14ac:dyDescent="0.35">
      <c r="B464">
        <v>2019</v>
      </c>
      <c r="C464" s="41">
        <v>43398</v>
      </c>
      <c r="D464" t="s">
        <v>1401</v>
      </c>
      <c r="E464" t="s">
        <v>219</v>
      </c>
      <c r="F464" t="s">
        <v>1307</v>
      </c>
      <c r="G464" t="s">
        <v>1381</v>
      </c>
      <c r="H464" t="s">
        <v>1402</v>
      </c>
      <c r="I464" t="s">
        <v>310</v>
      </c>
      <c r="J464">
        <v>2</v>
      </c>
      <c r="L464">
        <v>534.64</v>
      </c>
      <c r="M464">
        <v>911.13</v>
      </c>
      <c r="N464">
        <v>1359.54</v>
      </c>
      <c r="O464">
        <v>1938.56</v>
      </c>
      <c r="P464">
        <v>0</v>
      </c>
      <c r="Q464">
        <v>3</v>
      </c>
      <c r="R464">
        <v>0</v>
      </c>
      <c r="S464">
        <v>100284</v>
      </c>
      <c r="T464" t="b">
        <v>1</v>
      </c>
    </row>
    <row r="465" spans="2:20" x14ac:dyDescent="0.35">
      <c r="B465">
        <v>2019</v>
      </c>
      <c r="C465" s="41">
        <v>43398</v>
      </c>
      <c r="D465" t="s">
        <v>1401</v>
      </c>
      <c r="E465" t="s">
        <v>219</v>
      </c>
      <c r="F465" t="s">
        <v>1389</v>
      </c>
      <c r="G465" t="s">
        <v>1381</v>
      </c>
      <c r="H465" t="s">
        <v>1402</v>
      </c>
      <c r="I465" t="s">
        <v>310</v>
      </c>
      <c r="J465">
        <v>2</v>
      </c>
      <c r="L465">
        <v>401.94</v>
      </c>
      <c r="M465">
        <v>684.98</v>
      </c>
      <c r="N465">
        <v>1022.10999999999</v>
      </c>
      <c r="O465">
        <v>1457.42</v>
      </c>
      <c r="P465">
        <v>0</v>
      </c>
      <c r="Q465">
        <v>3</v>
      </c>
      <c r="R465">
        <v>0</v>
      </c>
      <c r="S465">
        <v>100284</v>
      </c>
      <c r="T465" t="b">
        <v>1</v>
      </c>
    </row>
    <row r="466" spans="2:20" x14ac:dyDescent="0.35">
      <c r="B466">
        <v>2019</v>
      </c>
      <c r="C466" s="41">
        <v>43398</v>
      </c>
      <c r="D466" t="s">
        <v>1401</v>
      </c>
      <c r="E466" t="s">
        <v>219</v>
      </c>
      <c r="F466" t="s">
        <v>1390</v>
      </c>
      <c r="G466" t="s">
        <v>1381</v>
      </c>
      <c r="H466" t="s">
        <v>1402</v>
      </c>
      <c r="I466" t="s">
        <v>310</v>
      </c>
      <c r="J466">
        <v>2</v>
      </c>
      <c r="L466">
        <v>596.75</v>
      </c>
      <c r="M466">
        <v>1016.98</v>
      </c>
      <c r="N466">
        <v>1517.51</v>
      </c>
      <c r="O466">
        <v>2163.8000000000002</v>
      </c>
      <c r="P466">
        <v>0</v>
      </c>
      <c r="Q466">
        <v>3</v>
      </c>
      <c r="R466">
        <v>0</v>
      </c>
      <c r="S466">
        <v>100284</v>
      </c>
      <c r="T466" t="b">
        <v>1</v>
      </c>
    </row>
    <row r="467" spans="2:20" x14ac:dyDescent="0.35">
      <c r="B467">
        <v>2019</v>
      </c>
      <c r="C467" s="41">
        <v>43398</v>
      </c>
      <c r="D467" t="s">
        <v>1401</v>
      </c>
      <c r="E467" t="s">
        <v>219</v>
      </c>
      <c r="F467" t="s">
        <v>1301</v>
      </c>
      <c r="G467" t="s">
        <v>1381</v>
      </c>
      <c r="H467" t="s">
        <v>1402</v>
      </c>
      <c r="I467" t="s">
        <v>310</v>
      </c>
      <c r="J467">
        <v>2</v>
      </c>
      <c r="L467">
        <v>472.47</v>
      </c>
      <c r="M467">
        <v>805.18</v>
      </c>
      <c r="N467">
        <v>1201.45</v>
      </c>
      <c r="O467">
        <v>1713.1399999999901</v>
      </c>
      <c r="P467">
        <v>0</v>
      </c>
      <c r="Q467">
        <v>3</v>
      </c>
      <c r="R467">
        <v>0</v>
      </c>
      <c r="S467">
        <v>100284</v>
      </c>
      <c r="T467" t="b">
        <v>1</v>
      </c>
    </row>
    <row r="468" spans="2:20" x14ac:dyDescent="0.35">
      <c r="B468">
        <v>2019</v>
      </c>
      <c r="C468" s="41">
        <v>43398</v>
      </c>
      <c r="D468" t="s">
        <v>1401</v>
      </c>
      <c r="E468" t="s">
        <v>219</v>
      </c>
      <c r="F468" t="s">
        <v>1311</v>
      </c>
      <c r="G468" t="s">
        <v>1381</v>
      </c>
      <c r="H468" t="s">
        <v>1402</v>
      </c>
      <c r="I468" t="s">
        <v>310</v>
      </c>
      <c r="J468">
        <v>2</v>
      </c>
      <c r="L468">
        <v>461.37</v>
      </c>
      <c r="M468">
        <v>786.27</v>
      </c>
      <c r="N468">
        <v>1173.23</v>
      </c>
      <c r="O468">
        <v>1672.9</v>
      </c>
      <c r="P468">
        <v>0</v>
      </c>
      <c r="Q468">
        <v>3</v>
      </c>
      <c r="R468">
        <v>0</v>
      </c>
      <c r="S468">
        <v>100284</v>
      </c>
      <c r="T468" t="b">
        <v>1</v>
      </c>
    </row>
    <row r="469" spans="2:20" x14ac:dyDescent="0.35">
      <c r="B469">
        <v>2019</v>
      </c>
      <c r="C469" s="41">
        <v>43398</v>
      </c>
      <c r="D469" t="s">
        <v>1401</v>
      </c>
      <c r="E469" t="s">
        <v>219</v>
      </c>
      <c r="F469" t="s">
        <v>463</v>
      </c>
      <c r="G469" t="s">
        <v>1381</v>
      </c>
      <c r="H469" t="s">
        <v>1402</v>
      </c>
      <c r="I469" t="s">
        <v>310</v>
      </c>
      <c r="J469">
        <v>2</v>
      </c>
      <c r="L469">
        <v>617.87</v>
      </c>
      <c r="M469">
        <v>1052.97</v>
      </c>
      <c r="N469">
        <v>1571.19999999999</v>
      </c>
      <c r="O469">
        <v>2240.3599999999901</v>
      </c>
      <c r="P469">
        <v>0</v>
      </c>
      <c r="Q469">
        <v>3</v>
      </c>
      <c r="R469">
        <v>0</v>
      </c>
      <c r="S469">
        <v>100284</v>
      </c>
      <c r="T469" t="b">
        <v>1</v>
      </c>
    </row>
    <row r="470" spans="2:20" x14ac:dyDescent="0.35">
      <c r="B470">
        <v>2019</v>
      </c>
      <c r="C470" s="41">
        <v>43398</v>
      </c>
      <c r="D470" t="s">
        <v>1401</v>
      </c>
      <c r="E470" t="s">
        <v>219</v>
      </c>
      <c r="F470" t="s">
        <v>464</v>
      </c>
      <c r="G470" t="s">
        <v>1381</v>
      </c>
      <c r="H470" t="s">
        <v>1402</v>
      </c>
      <c r="I470" t="s">
        <v>310</v>
      </c>
      <c r="J470">
        <v>2</v>
      </c>
      <c r="L470">
        <v>458</v>
      </c>
      <c r="M470">
        <v>780.52</v>
      </c>
      <c r="N470">
        <v>1164.6599999999901</v>
      </c>
      <c r="O470">
        <v>1660.6799999999901</v>
      </c>
      <c r="P470">
        <v>0</v>
      </c>
      <c r="Q470">
        <v>3</v>
      </c>
      <c r="R470">
        <v>0</v>
      </c>
      <c r="S470">
        <v>100284</v>
      </c>
      <c r="T470" t="b">
        <v>1</v>
      </c>
    </row>
    <row r="471" spans="2:20" x14ac:dyDescent="0.35">
      <c r="B471">
        <v>2019</v>
      </c>
      <c r="C471" s="41">
        <v>43398</v>
      </c>
      <c r="D471" t="s">
        <v>1401</v>
      </c>
      <c r="E471" t="s">
        <v>219</v>
      </c>
      <c r="F471" t="s">
        <v>459</v>
      </c>
      <c r="G471" t="s">
        <v>1381</v>
      </c>
      <c r="H471" t="s">
        <v>1402</v>
      </c>
      <c r="I471" t="s">
        <v>310</v>
      </c>
      <c r="J471">
        <v>2</v>
      </c>
      <c r="L471">
        <v>546.47</v>
      </c>
      <c r="M471">
        <v>931.29</v>
      </c>
      <c r="N471">
        <v>1389.63</v>
      </c>
      <c r="O471">
        <v>1981.46</v>
      </c>
      <c r="P471">
        <v>0</v>
      </c>
      <c r="Q471">
        <v>3</v>
      </c>
      <c r="R471">
        <v>0</v>
      </c>
      <c r="S471">
        <v>100284</v>
      </c>
      <c r="T471" t="b">
        <v>1</v>
      </c>
    </row>
    <row r="472" spans="2:20" x14ac:dyDescent="0.35">
      <c r="B472">
        <v>2019</v>
      </c>
      <c r="C472" s="41">
        <v>43398</v>
      </c>
      <c r="D472" t="s">
        <v>1401</v>
      </c>
      <c r="E472" t="s">
        <v>219</v>
      </c>
      <c r="F472" t="s">
        <v>460</v>
      </c>
      <c r="G472" t="s">
        <v>1381</v>
      </c>
      <c r="H472" t="s">
        <v>1402</v>
      </c>
      <c r="I472" t="s">
        <v>310</v>
      </c>
      <c r="J472">
        <v>2</v>
      </c>
      <c r="L472">
        <v>480.19</v>
      </c>
      <c r="M472">
        <v>818.35</v>
      </c>
      <c r="N472">
        <v>1221.0999999999999</v>
      </c>
      <c r="O472">
        <v>1741.1599999999901</v>
      </c>
      <c r="P472">
        <v>0</v>
      </c>
      <c r="Q472">
        <v>3</v>
      </c>
      <c r="R472">
        <v>0</v>
      </c>
      <c r="S472">
        <v>100284</v>
      </c>
      <c r="T472" t="b">
        <v>1</v>
      </c>
    </row>
    <row r="473" spans="2:20" x14ac:dyDescent="0.35">
      <c r="B473">
        <v>2019</v>
      </c>
      <c r="C473" s="41">
        <v>43398</v>
      </c>
      <c r="D473" t="s">
        <v>1403</v>
      </c>
      <c r="E473" t="s">
        <v>219</v>
      </c>
      <c r="F473" t="s">
        <v>1302</v>
      </c>
      <c r="G473" t="s">
        <v>1381</v>
      </c>
      <c r="H473" t="s">
        <v>1404</v>
      </c>
      <c r="I473" t="s">
        <v>310</v>
      </c>
      <c r="J473">
        <v>2</v>
      </c>
      <c r="L473">
        <v>514.98</v>
      </c>
      <c r="M473">
        <v>877.62</v>
      </c>
      <c r="N473">
        <v>1309.55</v>
      </c>
      <c r="O473">
        <v>1867.28</v>
      </c>
      <c r="P473">
        <v>0</v>
      </c>
      <c r="Q473">
        <v>3</v>
      </c>
      <c r="R473">
        <v>0</v>
      </c>
      <c r="S473">
        <v>100284</v>
      </c>
      <c r="T473" t="b">
        <v>1</v>
      </c>
    </row>
    <row r="474" spans="2:20" x14ac:dyDescent="0.35">
      <c r="B474">
        <v>2019</v>
      </c>
      <c r="C474" s="41">
        <v>43398</v>
      </c>
      <c r="D474" t="s">
        <v>1403</v>
      </c>
      <c r="E474" t="s">
        <v>219</v>
      </c>
      <c r="F474" t="s">
        <v>1301</v>
      </c>
      <c r="G474" t="s">
        <v>1381</v>
      </c>
      <c r="H474" t="s">
        <v>1404</v>
      </c>
      <c r="I474" t="s">
        <v>310</v>
      </c>
      <c r="J474">
        <v>2</v>
      </c>
      <c r="L474">
        <v>500.48</v>
      </c>
      <c r="M474">
        <v>852.92</v>
      </c>
      <c r="N474">
        <v>1272.69</v>
      </c>
      <c r="O474">
        <v>1814.71999999999</v>
      </c>
      <c r="P474">
        <v>0</v>
      </c>
      <c r="Q474">
        <v>3</v>
      </c>
      <c r="R474">
        <v>0</v>
      </c>
      <c r="S474">
        <v>100284</v>
      </c>
      <c r="T474" t="b">
        <v>1</v>
      </c>
    </row>
    <row r="475" spans="2:20" x14ac:dyDescent="0.35">
      <c r="B475">
        <v>2019</v>
      </c>
      <c r="C475" s="41">
        <v>43398</v>
      </c>
      <c r="D475" t="s">
        <v>1403</v>
      </c>
      <c r="E475" t="s">
        <v>219</v>
      </c>
      <c r="F475" t="s">
        <v>458</v>
      </c>
      <c r="G475" t="s">
        <v>1381</v>
      </c>
      <c r="H475" t="s">
        <v>1404</v>
      </c>
      <c r="I475" t="s">
        <v>310</v>
      </c>
      <c r="J475">
        <v>2</v>
      </c>
      <c r="L475">
        <v>552.45000000000005</v>
      </c>
      <c r="M475">
        <v>941.49</v>
      </c>
      <c r="N475">
        <v>1404.86</v>
      </c>
      <c r="O475">
        <v>2003.18</v>
      </c>
      <c r="P475">
        <v>0</v>
      </c>
      <c r="Q475">
        <v>3</v>
      </c>
      <c r="R475">
        <v>0</v>
      </c>
      <c r="S475">
        <v>100284</v>
      </c>
      <c r="T475" t="b">
        <v>1</v>
      </c>
    </row>
    <row r="476" spans="2:20" x14ac:dyDescent="0.35">
      <c r="B476">
        <v>2019</v>
      </c>
      <c r="C476" s="41">
        <v>43398</v>
      </c>
      <c r="D476" t="s">
        <v>1405</v>
      </c>
      <c r="E476" t="s">
        <v>219</v>
      </c>
      <c r="F476" t="s">
        <v>1301</v>
      </c>
      <c r="G476" t="s">
        <v>1381</v>
      </c>
      <c r="H476" t="s">
        <v>1406</v>
      </c>
      <c r="I476" t="s">
        <v>842</v>
      </c>
      <c r="J476">
        <v>2</v>
      </c>
      <c r="L476">
        <v>258.99</v>
      </c>
      <c r="M476">
        <v>441.37</v>
      </c>
      <c r="N476">
        <v>658.59</v>
      </c>
      <c r="O476">
        <v>939.08</v>
      </c>
      <c r="P476">
        <v>0</v>
      </c>
      <c r="Q476">
        <v>3</v>
      </c>
      <c r="R476">
        <v>0</v>
      </c>
      <c r="S476">
        <v>100283</v>
      </c>
      <c r="T476" t="b">
        <v>1</v>
      </c>
    </row>
    <row r="477" spans="2:20" x14ac:dyDescent="0.35">
      <c r="B477">
        <v>2019</v>
      </c>
      <c r="C477" s="41">
        <v>43398</v>
      </c>
      <c r="D477" t="s">
        <v>1407</v>
      </c>
      <c r="E477" t="s">
        <v>219</v>
      </c>
      <c r="F477" t="s">
        <v>1309</v>
      </c>
      <c r="G477" t="s">
        <v>1381</v>
      </c>
      <c r="H477" t="s">
        <v>1408</v>
      </c>
      <c r="I477" t="s">
        <v>842</v>
      </c>
      <c r="J477">
        <v>2</v>
      </c>
      <c r="L477">
        <v>354.47</v>
      </c>
      <c r="M477">
        <v>604.08000000000004</v>
      </c>
      <c r="N477">
        <v>901.39</v>
      </c>
      <c r="O477">
        <v>1285.28</v>
      </c>
      <c r="P477">
        <v>0</v>
      </c>
      <c r="Q477">
        <v>3</v>
      </c>
      <c r="R477">
        <v>0</v>
      </c>
      <c r="S477">
        <v>100284</v>
      </c>
      <c r="T477" t="b">
        <v>1</v>
      </c>
    </row>
    <row r="478" spans="2:20" x14ac:dyDescent="0.35">
      <c r="B478">
        <v>2019</v>
      </c>
      <c r="C478" s="41">
        <v>43398</v>
      </c>
      <c r="D478" t="s">
        <v>1407</v>
      </c>
      <c r="E478" t="s">
        <v>219</v>
      </c>
      <c r="F478" t="s">
        <v>1302</v>
      </c>
      <c r="G478" t="s">
        <v>1381</v>
      </c>
      <c r="H478" t="s">
        <v>1408</v>
      </c>
      <c r="I478" t="s">
        <v>842</v>
      </c>
      <c r="J478">
        <v>2</v>
      </c>
      <c r="L478">
        <v>350.03</v>
      </c>
      <c r="M478">
        <v>596.52</v>
      </c>
      <c r="N478">
        <v>890.10999999999899</v>
      </c>
      <c r="O478">
        <v>1269.19999999999</v>
      </c>
      <c r="P478">
        <v>0</v>
      </c>
      <c r="Q478">
        <v>3</v>
      </c>
      <c r="R478">
        <v>0</v>
      </c>
      <c r="S478">
        <v>100284</v>
      </c>
      <c r="T478" t="b">
        <v>1</v>
      </c>
    </row>
    <row r="479" spans="2:20" x14ac:dyDescent="0.35">
      <c r="B479">
        <v>2019</v>
      </c>
      <c r="C479" s="41">
        <v>43398</v>
      </c>
      <c r="D479" t="s">
        <v>1407</v>
      </c>
      <c r="E479" t="s">
        <v>219</v>
      </c>
      <c r="F479" t="s">
        <v>1389</v>
      </c>
      <c r="G479" t="s">
        <v>1381</v>
      </c>
      <c r="H479" t="s">
        <v>1408</v>
      </c>
      <c r="I479" t="s">
        <v>842</v>
      </c>
      <c r="J479">
        <v>2</v>
      </c>
      <c r="L479">
        <v>289.41000000000003</v>
      </c>
      <c r="M479">
        <v>493.2</v>
      </c>
      <c r="N479">
        <v>735.93</v>
      </c>
      <c r="O479">
        <v>1049.3599999999999</v>
      </c>
      <c r="P479">
        <v>0</v>
      </c>
      <c r="Q479">
        <v>3</v>
      </c>
      <c r="R479">
        <v>0</v>
      </c>
      <c r="S479">
        <v>100284</v>
      </c>
      <c r="T479" t="b">
        <v>1</v>
      </c>
    </row>
    <row r="480" spans="2:20" x14ac:dyDescent="0.35">
      <c r="B480">
        <v>2019</v>
      </c>
      <c r="C480" s="41">
        <v>43398</v>
      </c>
      <c r="D480" t="s">
        <v>1407</v>
      </c>
      <c r="E480" t="s">
        <v>219</v>
      </c>
      <c r="F480" t="s">
        <v>1390</v>
      </c>
      <c r="G480" t="s">
        <v>1381</v>
      </c>
      <c r="H480" t="s">
        <v>1408</v>
      </c>
      <c r="I480" t="s">
        <v>842</v>
      </c>
      <c r="J480">
        <v>2</v>
      </c>
      <c r="L480">
        <v>429.67</v>
      </c>
      <c r="M480">
        <v>732.24</v>
      </c>
      <c r="N480">
        <v>1092.6199999999999</v>
      </c>
      <c r="O480">
        <v>1557.96</v>
      </c>
      <c r="P480">
        <v>0</v>
      </c>
      <c r="Q480">
        <v>3</v>
      </c>
      <c r="R480">
        <v>0</v>
      </c>
      <c r="S480">
        <v>100284</v>
      </c>
      <c r="T480" t="b">
        <v>1</v>
      </c>
    </row>
    <row r="481" spans="2:20" x14ac:dyDescent="0.35">
      <c r="B481">
        <v>2019</v>
      </c>
      <c r="C481" s="41">
        <v>43398</v>
      </c>
      <c r="D481" t="s">
        <v>1407</v>
      </c>
      <c r="E481" t="s">
        <v>219</v>
      </c>
      <c r="F481" t="s">
        <v>1301</v>
      </c>
      <c r="G481" t="s">
        <v>1381</v>
      </c>
      <c r="H481" t="s">
        <v>1408</v>
      </c>
      <c r="I481" t="s">
        <v>842</v>
      </c>
      <c r="J481">
        <v>2</v>
      </c>
      <c r="L481">
        <v>340.18</v>
      </c>
      <c r="M481">
        <v>579.74</v>
      </c>
      <c r="N481">
        <v>865.06</v>
      </c>
      <c r="O481">
        <v>1233.48</v>
      </c>
      <c r="P481">
        <v>0</v>
      </c>
      <c r="Q481">
        <v>3</v>
      </c>
      <c r="R481">
        <v>0</v>
      </c>
      <c r="S481">
        <v>100284</v>
      </c>
      <c r="T481" t="b">
        <v>1</v>
      </c>
    </row>
    <row r="482" spans="2:20" x14ac:dyDescent="0.35">
      <c r="B482">
        <v>2019</v>
      </c>
      <c r="C482" s="41">
        <v>43398</v>
      </c>
      <c r="D482" t="s">
        <v>1403</v>
      </c>
      <c r="E482" t="s">
        <v>219</v>
      </c>
      <c r="F482" t="s">
        <v>461</v>
      </c>
      <c r="G482" t="s">
        <v>1381</v>
      </c>
      <c r="H482" t="s">
        <v>1404</v>
      </c>
      <c r="I482" t="s">
        <v>310</v>
      </c>
      <c r="J482">
        <v>2</v>
      </c>
      <c r="L482">
        <v>524.55999999999995</v>
      </c>
      <c r="M482">
        <v>893.95</v>
      </c>
      <c r="N482">
        <v>1333.92</v>
      </c>
      <c r="O482">
        <v>1902.02</v>
      </c>
      <c r="P482">
        <v>0</v>
      </c>
      <c r="Q482">
        <v>3</v>
      </c>
      <c r="R482">
        <v>0</v>
      </c>
      <c r="S482">
        <v>100284</v>
      </c>
      <c r="T482" t="b">
        <v>1</v>
      </c>
    </row>
    <row r="483" spans="2:20" x14ac:dyDescent="0.35">
      <c r="B483">
        <v>2019</v>
      </c>
      <c r="C483" s="41">
        <v>43398</v>
      </c>
      <c r="D483" t="s">
        <v>1407</v>
      </c>
      <c r="E483" t="s">
        <v>219</v>
      </c>
      <c r="F483" t="s">
        <v>1307</v>
      </c>
      <c r="G483" t="s">
        <v>1381</v>
      </c>
      <c r="H483" t="s">
        <v>1408</v>
      </c>
      <c r="I483" t="s">
        <v>842</v>
      </c>
      <c r="J483">
        <v>2</v>
      </c>
      <c r="L483">
        <v>384.94</v>
      </c>
      <c r="M483">
        <v>656.02</v>
      </c>
      <c r="N483">
        <v>978.88</v>
      </c>
      <c r="O483">
        <v>1395.78</v>
      </c>
      <c r="P483">
        <v>0</v>
      </c>
      <c r="Q483">
        <v>3</v>
      </c>
      <c r="R483">
        <v>0</v>
      </c>
      <c r="S483">
        <v>100284</v>
      </c>
      <c r="T483" t="b">
        <v>1</v>
      </c>
    </row>
    <row r="484" spans="2:20" x14ac:dyDescent="0.35">
      <c r="B484">
        <v>2019</v>
      </c>
      <c r="C484" s="41">
        <v>43398</v>
      </c>
      <c r="D484" t="s">
        <v>1407</v>
      </c>
      <c r="E484" t="s">
        <v>219</v>
      </c>
      <c r="F484" t="s">
        <v>1311</v>
      </c>
      <c r="G484" t="s">
        <v>1381</v>
      </c>
      <c r="H484" t="s">
        <v>1408</v>
      </c>
      <c r="I484" t="s">
        <v>842</v>
      </c>
      <c r="J484">
        <v>2</v>
      </c>
      <c r="L484">
        <v>332.2</v>
      </c>
      <c r="M484">
        <v>566.13</v>
      </c>
      <c r="N484">
        <v>844.75</v>
      </c>
      <c r="O484">
        <v>1204.52</v>
      </c>
      <c r="P484">
        <v>0</v>
      </c>
      <c r="Q484">
        <v>3</v>
      </c>
      <c r="R484">
        <v>0</v>
      </c>
      <c r="S484">
        <v>100284</v>
      </c>
      <c r="T484" t="b">
        <v>1</v>
      </c>
    </row>
    <row r="485" spans="2:20" x14ac:dyDescent="0.35">
      <c r="B485">
        <v>2019</v>
      </c>
      <c r="C485" s="41">
        <v>43398</v>
      </c>
      <c r="D485" t="s">
        <v>1407</v>
      </c>
      <c r="E485" t="s">
        <v>219</v>
      </c>
      <c r="F485" t="s">
        <v>463</v>
      </c>
      <c r="G485" t="s">
        <v>1381</v>
      </c>
      <c r="H485" t="s">
        <v>1408</v>
      </c>
      <c r="I485" t="s">
        <v>842</v>
      </c>
      <c r="J485">
        <v>2</v>
      </c>
      <c r="L485">
        <v>444.87</v>
      </c>
      <c r="M485">
        <v>758.14</v>
      </c>
      <c r="N485">
        <v>1131.26</v>
      </c>
      <c r="O485">
        <v>1613.06</v>
      </c>
      <c r="P485">
        <v>0</v>
      </c>
      <c r="Q485">
        <v>3</v>
      </c>
      <c r="R485">
        <v>0</v>
      </c>
      <c r="S485">
        <v>100284</v>
      </c>
      <c r="T485" t="b">
        <v>1</v>
      </c>
    </row>
    <row r="486" spans="2:20" x14ac:dyDescent="0.35">
      <c r="B486">
        <v>2019</v>
      </c>
      <c r="C486" s="41">
        <v>43398</v>
      </c>
      <c r="D486" t="s">
        <v>1407</v>
      </c>
      <c r="E486" t="s">
        <v>219</v>
      </c>
      <c r="F486" t="s">
        <v>461</v>
      </c>
      <c r="G486" t="s">
        <v>1381</v>
      </c>
      <c r="H486" t="s">
        <v>1408</v>
      </c>
      <c r="I486" t="s">
        <v>842</v>
      </c>
      <c r="J486">
        <v>2</v>
      </c>
      <c r="L486">
        <v>356.54</v>
      </c>
      <c r="M486">
        <v>607.62</v>
      </c>
      <c r="N486">
        <v>906.66</v>
      </c>
      <c r="O486">
        <v>1292.8</v>
      </c>
      <c r="P486">
        <v>0</v>
      </c>
      <c r="Q486">
        <v>3</v>
      </c>
      <c r="R486">
        <v>0</v>
      </c>
      <c r="S486">
        <v>100284</v>
      </c>
      <c r="T486" t="b">
        <v>1</v>
      </c>
    </row>
    <row r="487" spans="2:20" x14ac:dyDescent="0.35">
      <c r="B487">
        <v>2019</v>
      </c>
      <c r="C487" s="41">
        <v>43398</v>
      </c>
      <c r="D487" t="s">
        <v>1407</v>
      </c>
      <c r="E487" t="s">
        <v>219</v>
      </c>
      <c r="F487" t="s">
        <v>459</v>
      </c>
      <c r="G487" t="s">
        <v>1381</v>
      </c>
      <c r="H487" t="s">
        <v>1408</v>
      </c>
      <c r="I487" t="s">
        <v>842</v>
      </c>
      <c r="J487">
        <v>2</v>
      </c>
      <c r="L487">
        <v>393.46</v>
      </c>
      <c r="M487">
        <v>670.54</v>
      </c>
      <c r="N487">
        <v>1000.54</v>
      </c>
      <c r="O487">
        <v>1426.6599999999901</v>
      </c>
      <c r="P487">
        <v>0</v>
      </c>
      <c r="Q487">
        <v>3</v>
      </c>
      <c r="R487">
        <v>0</v>
      </c>
      <c r="S487">
        <v>100284</v>
      </c>
      <c r="T487" t="b">
        <v>1</v>
      </c>
    </row>
    <row r="488" spans="2:20" x14ac:dyDescent="0.35">
      <c r="B488">
        <v>2019</v>
      </c>
      <c r="C488" s="41">
        <v>43398</v>
      </c>
      <c r="D488" t="s">
        <v>1407</v>
      </c>
      <c r="E488" t="s">
        <v>219</v>
      </c>
      <c r="F488" t="s">
        <v>460</v>
      </c>
      <c r="G488" t="s">
        <v>1381</v>
      </c>
      <c r="H488" t="s">
        <v>1408</v>
      </c>
      <c r="I488" t="s">
        <v>842</v>
      </c>
      <c r="J488">
        <v>2</v>
      </c>
      <c r="L488">
        <v>345.74</v>
      </c>
      <c r="M488">
        <v>589.20000000000005</v>
      </c>
      <c r="N488">
        <v>879.18</v>
      </c>
      <c r="O488">
        <v>1253.6199999999999</v>
      </c>
      <c r="P488">
        <v>0</v>
      </c>
      <c r="Q488">
        <v>3</v>
      </c>
      <c r="R488">
        <v>0</v>
      </c>
      <c r="S488">
        <v>100284</v>
      </c>
      <c r="T488" t="b">
        <v>1</v>
      </c>
    </row>
    <row r="489" spans="2:20" x14ac:dyDescent="0.35">
      <c r="B489">
        <v>2019</v>
      </c>
      <c r="C489" s="41">
        <v>43398</v>
      </c>
      <c r="D489" t="s">
        <v>1409</v>
      </c>
      <c r="E489" t="s">
        <v>219</v>
      </c>
      <c r="F489" t="s">
        <v>1389</v>
      </c>
      <c r="G489" t="s">
        <v>1381</v>
      </c>
      <c r="H489" t="s">
        <v>1410</v>
      </c>
      <c r="I489" t="s">
        <v>842</v>
      </c>
      <c r="J489">
        <v>2</v>
      </c>
      <c r="L489">
        <v>288.41000000000003</v>
      </c>
      <c r="M489">
        <v>491.51</v>
      </c>
      <c r="N489">
        <v>733.41</v>
      </c>
      <c r="O489">
        <v>1045.76</v>
      </c>
      <c r="P489">
        <v>0</v>
      </c>
      <c r="Q489">
        <v>3</v>
      </c>
      <c r="R489">
        <v>0</v>
      </c>
      <c r="S489">
        <v>100283</v>
      </c>
      <c r="T489" t="b">
        <v>1</v>
      </c>
    </row>
    <row r="490" spans="2:20" x14ac:dyDescent="0.35">
      <c r="B490">
        <v>2019</v>
      </c>
      <c r="C490" s="41">
        <v>43398</v>
      </c>
      <c r="D490" t="s">
        <v>1392</v>
      </c>
      <c r="E490" t="s">
        <v>219</v>
      </c>
      <c r="F490" t="s">
        <v>1389</v>
      </c>
      <c r="G490" t="s">
        <v>1381</v>
      </c>
      <c r="H490" t="s">
        <v>1393</v>
      </c>
      <c r="I490" t="s">
        <v>842</v>
      </c>
      <c r="J490">
        <v>2</v>
      </c>
      <c r="L490">
        <v>327.5</v>
      </c>
      <c r="M490">
        <v>558.13</v>
      </c>
      <c r="N490">
        <v>832.81</v>
      </c>
      <c r="O490">
        <v>1187.5</v>
      </c>
      <c r="P490">
        <v>0</v>
      </c>
      <c r="Q490">
        <v>3</v>
      </c>
      <c r="R490">
        <v>0</v>
      </c>
      <c r="S490">
        <v>100284</v>
      </c>
      <c r="T490" t="b">
        <v>1</v>
      </c>
    </row>
    <row r="491" spans="2:20" x14ac:dyDescent="0.35">
      <c r="B491">
        <v>2019</v>
      </c>
      <c r="C491" s="41">
        <v>43398</v>
      </c>
      <c r="D491" t="s">
        <v>1411</v>
      </c>
      <c r="E491" t="s">
        <v>219</v>
      </c>
      <c r="F491" t="s">
        <v>1389</v>
      </c>
      <c r="G491" t="s">
        <v>1381</v>
      </c>
      <c r="H491" t="s">
        <v>1412</v>
      </c>
      <c r="I491" t="s">
        <v>842</v>
      </c>
      <c r="J491">
        <v>2</v>
      </c>
      <c r="L491">
        <v>295.31</v>
      </c>
      <c r="M491">
        <v>503.26</v>
      </c>
      <c r="N491">
        <v>750.94</v>
      </c>
      <c r="O491">
        <v>1070.76</v>
      </c>
      <c r="P491">
        <v>0</v>
      </c>
      <c r="Q491">
        <v>3</v>
      </c>
      <c r="R491">
        <v>0</v>
      </c>
      <c r="S491">
        <v>100283</v>
      </c>
      <c r="T491" t="b">
        <v>1</v>
      </c>
    </row>
    <row r="492" spans="2:20" x14ac:dyDescent="0.35">
      <c r="B492">
        <v>2019</v>
      </c>
      <c r="C492" s="41">
        <v>43398</v>
      </c>
      <c r="D492" t="s">
        <v>1413</v>
      </c>
      <c r="E492" t="s">
        <v>219</v>
      </c>
      <c r="F492" t="s">
        <v>1389</v>
      </c>
      <c r="G492" t="s">
        <v>1381</v>
      </c>
      <c r="H492" t="s">
        <v>1414</v>
      </c>
      <c r="I492" t="s">
        <v>842</v>
      </c>
      <c r="J492">
        <v>2</v>
      </c>
      <c r="L492">
        <v>287.77</v>
      </c>
      <c r="M492">
        <v>490.42</v>
      </c>
      <c r="N492">
        <v>731.78</v>
      </c>
      <c r="O492">
        <v>1043.44</v>
      </c>
      <c r="P492">
        <v>0</v>
      </c>
      <c r="Q492">
        <v>3</v>
      </c>
      <c r="R492">
        <v>0</v>
      </c>
      <c r="S492">
        <v>100283</v>
      </c>
      <c r="T492" t="b">
        <v>1</v>
      </c>
    </row>
    <row r="493" spans="2:20" x14ac:dyDescent="0.35">
      <c r="B493">
        <v>2019</v>
      </c>
      <c r="C493" s="41">
        <v>43398</v>
      </c>
      <c r="D493" t="s">
        <v>1415</v>
      </c>
      <c r="E493" t="s">
        <v>219</v>
      </c>
      <c r="F493" t="s">
        <v>1301</v>
      </c>
      <c r="G493" t="s">
        <v>1381</v>
      </c>
      <c r="H493" t="s">
        <v>1410</v>
      </c>
      <c r="I493" t="s">
        <v>842</v>
      </c>
      <c r="J493">
        <v>2</v>
      </c>
      <c r="L493">
        <v>267.14999999999998</v>
      </c>
      <c r="M493">
        <v>455.27</v>
      </c>
      <c r="N493">
        <v>679.33999999999901</v>
      </c>
      <c r="O493">
        <v>968.66</v>
      </c>
      <c r="P493">
        <v>0</v>
      </c>
      <c r="Q493">
        <v>3</v>
      </c>
      <c r="R493">
        <v>0</v>
      </c>
      <c r="S493">
        <v>100283</v>
      </c>
      <c r="T493" t="b">
        <v>1</v>
      </c>
    </row>
    <row r="494" spans="2:20" x14ac:dyDescent="0.35">
      <c r="B494">
        <v>2019</v>
      </c>
      <c r="C494" s="41">
        <v>43398</v>
      </c>
      <c r="D494" t="s">
        <v>1416</v>
      </c>
      <c r="E494" t="s">
        <v>219</v>
      </c>
      <c r="F494" t="s">
        <v>1301</v>
      </c>
      <c r="G494" t="s">
        <v>1381</v>
      </c>
      <c r="H494" t="s">
        <v>1412</v>
      </c>
      <c r="I494" t="s">
        <v>842</v>
      </c>
      <c r="J494">
        <v>2</v>
      </c>
      <c r="L494">
        <v>273.51</v>
      </c>
      <c r="M494">
        <v>466.11</v>
      </c>
      <c r="N494">
        <v>695.51</v>
      </c>
      <c r="O494">
        <v>991.72</v>
      </c>
      <c r="P494">
        <v>0</v>
      </c>
      <c r="Q494">
        <v>3</v>
      </c>
      <c r="R494">
        <v>0</v>
      </c>
      <c r="S494">
        <v>100283</v>
      </c>
      <c r="T494" t="b">
        <v>1</v>
      </c>
    </row>
    <row r="495" spans="2:20" x14ac:dyDescent="0.35">
      <c r="B495">
        <v>2019</v>
      </c>
      <c r="C495" s="41">
        <v>43398</v>
      </c>
      <c r="D495" t="s">
        <v>1417</v>
      </c>
      <c r="E495" t="s">
        <v>219</v>
      </c>
      <c r="F495" t="s">
        <v>1301</v>
      </c>
      <c r="G495" t="s">
        <v>1381</v>
      </c>
      <c r="H495" t="s">
        <v>1418</v>
      </c>
      <c r="I495" t="s">
        <v>310</v>
      </c>
      <c r="J495">
        <v>2</v>
      </c>
      <c r="L495">
        <v>364.64</v>
      </c>
      <c r="M495">
        <v>621.41999999999996</v>
      </c>
      <c r="N495">
        <v>927.25</v>
      </c>
      <c r="O495">
        <v>1322.16</v>
      </c>
      <c r="P495">
        <v>0</v>
      </c>
      <c r="Q495">
        <v>3</v>
      </c>
      <c r="R495">
        <v>0</v>
      </c>
      <c r="S495">
        <v>100283</v>
      </c>
      <c r="T495" t="b">
        <v>1</v>
      </c>
    </row>
    <row r="496" spans="2:20" x14ac:dyDescent="0.35">
      <c r="B496">
        <v>2019</v>
      </c>
      <c r="C496" s="41">
        <v>43398</v>
      </c>
      <c r="D496" t="s">
        <v>1419</v>
      </c>
      <c r="E496" t="s">
        <v>219</v>
      </c>
      <c r="F496" t="s">
        <v>1302</v>
      </c>
      <c r="G496" t="s">
        <v>1381</v>
      </c>
      <c r="H496" t="s">
        <v>1420</v>
      </c>
      <c r="I496" t="s">
        <v>310</v>
      </c>
      <c r="J496">
        <v>2</v>
      </c>
      <c r="L496">
        <v>493.22</v>
      </c>
      <c r="M496">
        <v>840.55</v>
      </c>
      <c r="N496">
        <v>1254.23</v>
      </c>
      <c r="O496">
        <v>1788.3999999999901</v>
      </c>
      <c r="P496">
        <v>0</v>
      </c>
      <c r="Q496">
        <v>3</v>
      </c>
      <c r="R496">
        <v>0</v>
      </c>
      <c r="S496">
        <v>100284</v>
      </c>
      <c r="T496" t="b">
        <v>1</v>
      </c>
    </row>
    <row r="497" spans="2:20" x14ac:dyDescent="0.35">
      <c r="B497">
        <v>2019</v>
      </c>
      <c r="C497" s="41">
        <v>43398</v>
      </c>
      <c r="D497" t="s">
        <v>1419</v>
      </c>
      <c r="E497" t="s">
        <v>219</v>
      </c>
      <c r="F497" t="s">
        <v>1301</v>
      </c>
      <c r="G497" t="s">
        <v>1381</v>
      </c>
      <c r="H497" t="s">
        <v>1420</v>
      </c>
      <c r="I497" t="s">
        <v>310</v>
      </c>
      <c r="J497">
        <v>2</v>
      </c>
      <c r="L497">
        <v>479.33</v>
      </c>
      <c r="M497">
        <v>816.88</v>
      </c>
      <c r="N497">
        <v>1218.9299999999901</v>
      </c>
      <c r="O497">
        <v>1738.06</v>
      </c>
      <c r="P497">
        <v>0</v>
      </c>
      <c r="Q497">
        <v>3</v>
      </c>
      <c r="R497">
        <v>0</v>
      </c>
      <c r="S497">
        <v>100284</v>
      </c>
      <c r="T497" t="b">
        <v>1</v>
      </c>
    </row>
    <row r="498" spans="2:20" x14ac:dyDescent="0.35">
      <c r="B498">
        <v>2019</v>
      </c>
      <c r="C498" s="41">
        <v>43398</v>
      </c>
      <c r="D498" t="s">
        <v>1419</v>
      </c>
      <c r="E498" t="s">
        <v>219</v>
      </c>
      <c r="F498" t="s">
        <v>458</v>
      </c>
      <c r="G498" t="s">
        <v>1381</v>
      </c>
      <c r="H498" t="s">
        <v>1420</v>
      </c>
      <c r="I498" t="s">
        <v>310</v>
      </c>
      <c r="J498">
        <v>2</v>
      </c>
      <c r="L498">
        <v>529.11</v>
      </c>
      <c r="M498">
        <v>901.72</v>
      </c>
      <c r="N498">
        <v>1345.5</v>
      </c>
      <c r="O498">
        <v>1918.54</v>
      </c>
      <c r="P498">
        <v>0</v>
      </c>
      <c r="Q498">
        <v>3</v>
      </c>
      <c r="R498">
        <v>0</v>
      </c>
      <c r="S498">
        <v>100284</v>
      </c>
      <c r="T498" t="b">
        <v>1</v>
      </c>
    </row>
    <row r="499" spans="2:20" x14ac:dyDescent="0.35">
      <c r="B499">
        <v>2019</v>
      </c>
      <c r="C499" s="41">
        <v>43398</v>
      </c>
      <c r="D499" t="s">
        <v>1419</v>
      </c>
      <c r="E499" t="s">
        <v>219</v>
      </c>
      <c r="F499" t="s">
        <v>461</v>
      </c>
      <c r="G499" t="s">
        <v>1381</v>
      </c>
      <c r="H499" t="s">
        <v>1420</v>
      </c>
      <c r="I499" t="s">
        <v>310</v>
      </c>
      <c r="J499">
        <v>2</v>
      </c>
      <c r="L499">
        <v>502.39</v>
      </c>
      <c r="M499">
        <v>856.17</v>
      </c>
      <c r="N499">
        <v>1277.56</v>
      </c>
      <c r="O499">
        <v>1821.66</v>
      </c>
      <c r="P499">
        <v>0</v>
      </c>
      <c r="Q499">
        <v>3</v>
      </c>
      <c r="R499">
        <v>0</v>
      </c>
      <c r="S499">
        <v>100284</v>
      </c>
      <c r="T499" t="b">
        <v>1</v>
      </c>
    </row>
    <row r="500" spans="2:20" x14ac:dyDescent="0.35">
      <c r="B500">
        <v>2019</v>
      </c>
      <c r="C500" s="41">
        <v>43398</v>
      </c>
      <c r="D500" t="s">
        <v>1421</v>
      </c>
      <c r="E500" t="s">
        <v>219</v>
      </c>
      <c r="F500" t="s">
        <v>1301</v>
      </c>
      <c r="G500" t="s">
        <v>1381</v>
      </c>
      <c r="H500" t="s">
        <v>1422</v>
      </c>
      <c r="I500" t="s">
        <v>310</v>
      </c>
      <c r="J500">
        <v>2</v>
      </c>
      <c r="L500">
        <v>403.19</v>
      </c>
      <c r="M500">
        <v>687.11</v>
      </c>
      <c r="N500">
        <v>1025.28</v>
      </c>
      <c r="O500">
        <v>1461.94</v>
      </c>
      <c r="P500">
        <v>0</v>
      </c>
      <c r="Q500">
        <v>3</v>
      </c>
      <c r="R500">
        <v>0</v>
      </c>
      <c r="S500">
        <v>100283</v>
      </c>
      <c r="T500" t="b">
        <v>1</v>
      </c>
    </row>
    <row r="501" spans="2:20" x14ac:dyDescent="0.35">
      <c r="B501">
        <v>2019</v>
      </c>
      <c r="C501" s="41">
        <v>43398</v>
      </c>
      <c r="D501" t="s">
        <v>963</v>
      </c>
      <c r="E501" t="s">
        <v>219</v>
      </c>
      <c r="F501" t="s">
        <v>1302</v>
      </c>
      <c r="G501" t="s">
        <v>1381</v>
      </c>
      <c r="H501" t="s">
        <v>1423</v>
      </c>
      <c r="I501" t="s">
        <v>310</v>
      </c>
      <c r="J501">
        <v>2</v>
      </c>
      <c r="L501">
        <v>545.4</v>
      </c>
      <c r="M501">
        <v>929.47</v>
      </c>
      <c r="N501">
        <v>1386.92</v>
      </c>
      <c r="O501">
        <v>1977.6</v>
      </c>
      <c r="P501">
        <v>0</v>
      </c>
      <c r="Q501">
        <v>3</v>
      </c>
      <c r="R501">
        <v>0</v>
      </c>
      <c r="S501">
        <v>100284</v>
      </c>
      <c r="T501" t="b">
        <v>1</v>
      </c>
    </row>
    <row r="502" spans="2:20" x14ac:dyDescent="0.35">
      <c r="B502">
        <v>2019</v>
      </c>
      <c r="C502" s="41">
        <v>43398</v>
      </c>
      <c r="D502" t="s">
        <v>963</v>
      </c>
      <c r="E502" t="s">
        <v>219</v>
      </c>
      <c r="F502" t="s">
        <v>1301</v>
      </c>
      <c r="G502" t="s">
        <v>1381</v>
      </c>
      <c r="H502" t="s">
        <v>1423</v>
      </c>
      <c r="I502" t="s">
        <v>310</v>
      </c>
      <c r="J502">
        <v>2</v>
      </c>
      <c r="L502">
        <v>530.04999999999995</v>
      </c>
      <c r="M502">
        <v>903.31</v>
      </c>
      <c r="N502">
        <v>1347.87</v>
      </c>
      <c r="O502">
        <v>1921.92</v>
      </c>
      <c r="P502">
        <v>0</v>
      </c>
      <c r="Q502">
        <v>3</v>
      </c>
      <c r="R502">
        <v>0</v>
      </c>
      <c r="S502">
        <v>100284</v>
      </c>
      <c r="T502" t="b">
        <v>1</v>
      </c>
    </row>
    <row r="503" spans="2:20" x14ac:dyDescent="0.35">
      <c r="B503">
        <v>2019</v>
      </c>
      <c r="C503" s="41">
        <v>43398</v>
      </c>
      <c r="D503" t="s">
        <v>963</v>
      </c>
      <c r="E503" t="s">
        <v>219</v>
      </c>
      <c r="F503" t="s">
        <v>461</v>
      </c>
      <c r="G503" t="s">
        <v>1381</v>
      </c>
      <c r="H503" t="s">
        <v>1423</v>
      </c>
      <c r="I503" t="s">
        <v>310</v>
      </c>
      <c r="J503">
        <v>2</v>
      </c>
      <c r="L503">
        <v>555.54</v>
      </c>
      <c r="M503">
        <v>946.76</v>
      </c>
      <c r="N503">
        <v>1412.71999999999</v>
      </c>
      <c r="O503">
        <v>2014.3799999999901</v>
      </c>
      <c r="P503">
        <v>0</v>
      </c>
      <c r="Q503">
        <v>3</v>
      </c>
      <c r="R503">
        <v>0</v>
      </c>
      <c r="S503">
        <v>100284</v>
      </c>
      <c r="T503" t="b">
        <v>1</v>
      </c>
    </row>
    <row r="504" spans="2:20" x14ac:dyDescent="0.35">
      <c r="B504">
        <v>2019</v>
      </c>
      <c r="C504" s="41">
        <v>43398</v>
      </c>
      <c r="D504" t="s">
        <v>963</v>
      </c>
      <c r="E504" t="s">
        <v>219</v>
      </c>
      <c r="F504" t="s">
        <v>458</v>
      </c>
      <c r="G504" t="s">
        <v>1381</v>
      </c>
      <c r="H504" t="s">
        <v>1423</v>
      </c>
      <c r="I504" t="s">
        <v>310</v>
      </c>
      <c r="J504">
        <v>2</v>
      </c>
      <c r="L504">
        <v>585.1</v>
      </c>
      <c r="M504">
        <v>997.12</v>
      </c>
      <c r="N504">
        <v>1487.87</v>
      </c>
      <c r="O504">
        <v>2121.54</v>
      </c>
      <c r="P504">
        <v>0</v>
      </c>
      <c r="Q504">
        <v>3</v>
      </c>
      <c r="R504">
        <v>0</v>
      </c>
      <c r="S504">
        <v>100284</v>
      </c>
      <c r="T504" t="b">
        <v>1</v>
      </c>
    </row>
    <row r="505" spans="2:20" x14ac:dyDescent="0.35">
      <c r="B505">
        <v>2019</v>
      </c>
      <c r="C505" s="41">
        <v>43398</v>
      </c>
      <c r="D505" t="s">
        <v>959</v>
      </c>
      <c r="E505" t="s">
        <v>219</v>
      </c>
      <c r="F505" t="s">
        <v>1302</v>
      </c>
      <c r="G505" t="s">
        <v>1381</v>
      </c>
      <c r="H505" t="s">
        <v>1424</v>
      </c>
      <c r="I505" t="s">
        <v>842</v>
      </c>
      <c r="J505">
        <v>2</v>
      </c>
      <c r="L505">
        <v>361.07</v>
      </c>
      <c r="M505">
        <v>615.33000000000004</v>
      </c>
      <c r="N505">
        <v>918.18</v>
      </c>
      <c r="O505">
        <v>1309.22</v>
      </c>
      <c r="P505">
        <v>0</v>
      </c>
      <c r="Q505">
        <v>3</v>
      </c>
      <c r="R505">
        <v>0</v>
      </c>
      <c r="S505">
        <v>100284</v>
      </c>
      <c r="T505" t="b">
        <v>1</v>
      </c>
    </row>
    <row r="506" spans="2:20" x14ac:dyDescent="0.35">
      <c r="B506">
        <v>2019</v>
      </c>
      <c r="C506" s="41">
        <v>43398</v>
      </c>
      <c r="D506" t="s">
        <v>959</v>
      </c>
      <c r="E506" t="s">
        <v>219</v>
      </c>
      <c r="F506" t="s">
        <v>1309</v>
      </c>
      <c r="G506" t="s">
        <v>1381</v>
      </c>
      <c r="H506" t="s">
        <v>1424</v>
      </c>
      <c r="I506" t="s">
        <v>842</v>
      </c>
      <c r="J506">
        <v>2</v>
      </c>
      <c r="L506">
        <v>365.65</v>
      </c>
      <c r="M506">
        <v>623.14</v>
      </c>
      <c r="N506">
        <v>929.82</v>
      </c>
      <c r="O506">
        <v>1325.82</v>
      </c>
      <c r="P506">
        <v>0</v>
      </c>
      <c r="Q506">
        <v>3</v>
      </c>
      <c r="R506">
        <v>0</v>
      </c>
      <c r="S506">
        <v>100284</v>
      </c>
      <c r="T506" t="b">
        <v>1</v>
      </c>
    </row>
    <row r="507" spans="2:20" x14ac:dyDescent="0.35">
      <c r="B507">
        <v>2019</v>
      </c>
      <c r="C507" s="41">
        <v>43398</v>
      </c>
      <c r="D507" t="s">
        <v>959</v>
      </c>
      <c r="E507" t="s">
        <v>219</v>
      </c>
      <c r="F507" t="s">
        <v>1307</v>
      </c>
      <c r="G507" t="s">
        <v>1381</v>
      </c>
      <c r="H507" t="s">
        <v>1424</v>
      </c>
      <c r="I507" t="s">
        <v>842</v>
      </c>
      <c r="J507">
        <v>2</v>
      </c>
      <c r="L507">
        <v>397.08</v>
      </c>
      <c r="M507">
        <v>676.7</v>
      </c>
      <c r="N507">
        <v>1009.74</v>
      </c>
      <c r="O507">
        <v>1439.78</v>
      </c>
      <c r="P507">
        <v>0</v>
      </c>
      <c r="Q507">
        <v>3</v>
      </c>
      <c r="R507">
        <v>0</v>
      </c>
      <c r="S507">
        <v>100284</v>
      </c>
      <c r="T507" t="b">
        <v>1</v>
      </c>
    </row>
    <row r="508" spans="2:20" x14ac:dyDescent="0.35">
      <c r="B508">
        <v>2019</v>
      </c>
      <c r="C508" s="41">
        <v>43398</v>
      </c>
      <c r="D508" t="s">
        <v>959</v>
      </c>
      <c r="E508" t="s">
        <v>219</v>
      </c>
      <c r="F508" t="s">
        <v>1389</v>
      </c>
      <c r="G508" t="s">
        <v>1381</v>
      </c>
      <c r="H508" t="s">
        <v>1424</v>
      </c>
      <c r="I508" t="s">
        <v>842</v>
      </c>
      <c r="J508">
        <v>2</v>
      </c>
      <c r="L508">
        <v>298.52999999999997</v>
      </c>
      <c r="M508">
        <v>508.76</v>
      </c>
      <c r="N508">
        <v>759.16</v>
      </c>
      <c r="O508">
        <v>1082.48</v>
      </c>
      <c r="P508">
        <v>0</v>
      </c>
      <c r="Q508">
        <v>3</v>
      </c>
      <c r="R508">
        <v>0</v>
      </c>
      <c r="S508">
        <v>100284</v>
      </c>
      <c r="T508" t="b">
        <v>1</v>
      </c>
    </row>
    <row r="509" spans="2:20" x14ac:dyDescent="0.35">
      <c r="B509">
        <v>2019</v>
      </c>
      <c r="C509" s="41">
        <v>43398</v>
      </c>
      <c r="D509" t="s">
        <v>959</v>
      </c>
      <c r="E509" t="s">
        <v>219</v>
      </c>
      <c r="F509" t="s">
        <v>1390</v>
      </c>
      <c r="G509" t="s">
        <v>1381</v>
      </c>
      <c r="H509" t="s">
        <v>1424</v>
      </c>
      <c r="I509" t="s">
        <v>842</v>
      </c>
      <c r="J509">
        <v>2</v>
      </c>
      <c r="L509">
        <v>443.22</v>
      </c>
      <c r="M509">
        <v>755.34</v>
      </c>
      <c r="N509">
        <v>1127.07</v>
      </c>
      <c r="O509">
        <v>1607.08</v>
      </c>
      <c r="P509">
        <v>0</v>
      </c>
      <c r="Q509">
        <v>3</v>
      </c>
      <c r="R509">
        <v>0</v>
      </c>
      <c r="S509">
        <v>100284</v>
      </c>
      <c r="T509" t="b">
        <v>1</v>
      </c>
    </row>
    <row r="510" spans="2:20" x14ac:dyDescent="0.35">
      <c r="B510">
        <v>2019</v>
      </c>
      <c r="C510" s="41">
        <v>43398</v>
      </c>
      <c r="D510" t="s">
        <v>959</v>
      </c>
      <c r="E510" t="s">
        <v>219</v>
      </c>
      <c r="F510" t="s">
        <v>1301</v>
      </c>
      <c r="G510" t="s">
        <v>1381</v>
      </c>
      <c r="H510" t="s">
        <v>1424</v>
      </c>
      <c r="I510" t="s">
        <v>842</v>
      </c>
      <c r="J510">
        <v>2</v>
      </c>
      <c r="L510">
        <v>350.91</v>
      </c>
      <c r="M510">
        <v>598.02</v>
      </c>
      <c r="N510">
        <v>892.33999999999901</v>
      </c>
      <c r="O510">
        <v>1272.3800000000001</v>
      </c>
      <c r="P510">
        <v>0</v>
      </c>
      <c r="Q510">
        <v>3</v>
      </c>
      <c r="R510">
        <v>0</v>
      </c>
      <c r="S510">
        <v>100284</v>
      </c>
      <c r="T510" t="b">
        <v>1</v>
      </c>
    </row>
    <row r="511" spans="2:20" x14ac:dyDescent="0.35">
      <c r="B511">
        <v>2019</v>
      </c>
      <c r="C511" s="41">
        <v>43398</v>
      </c>
      <c r="D511" t="s">
        <v>959</v>
      </c>
      <c r="E511" t="s">
        <v>219</v>
      </c>
      <c r="F511" t="s">
        <v>1311</v>
      </c>
      <c r="G511" t="s">
        <v>1381</v>
      </c>
      <c r="H511" t="s">
        <v>1424</v>
      </c>
      <c r="I511" t="s">
        <v>842</v>
      </c>
      <c r="J511">
        <v>2</v>
      </c>
      <c r="L511">
        <v>342.66</v>
      </c>
      <c r="M511">
        <v>583.97</v>
      </c>
      <c r="N511">
        <v>871.37</v>
      </c>
      <c r="O511">
        <v>1242.48</v>
      </c>
      <c r="P511">
        <v>0</v>
      </c>
      <c r="Q511">
        <v>3</v>
      </c>
      <c r="R511">
        <v>0</v>
      </c>
      <c r="S511">
        <v>100284</v>
      </c>
      <c r="T511" t="b">
        <v>1</v>
      </c>
    </row>
    <row r="512" spans="2:20" x14ac:dyDescent="0.35">
      <c r="B512">
        <v>2019</v>
      </c>
      <c r="C512" s="41">
        <v>43398</v>
      </c>
      <c r="D512" t="s">
        <v>959</v>
      </c>
      <c r="E512" t="s">
        <v>219</v>
      </c>
      <c r="F512" t="s">
        <v>461</v>
      </c>
      <c r="G512" t="s">
        <v>1381</v>
      </c>
      <c r="H512" t="s">
        <v>1424</v>
      </c>
      <c r="I512" t="s">
        <v>842</v>
      </c>
      <c r="J512">
        <v>2</v>
      </c>
      <c r="L512">
        <v>367.79</v>
      </c>
      <c r="M512">
        <v>626.78</v>
      </c>
      <c r="N512">
        <v>935.26</v>
      </c>
      <c r="O512">
        <v>1333.58</v>
      </c>
      <c r="P512">
        <v>0</v>
      </c>
      <c r="Q512">
        <v>3</v>
      </c>
      <c r="R512">
        <v>0</v>
      </c>
      <c r="S512">
        <v>100284</v>
      </c>
      <c r="T512" t="b">
        <v>1</v>
      </c>
    </row>
    <row r="513" spans="2:20" x14ac:dyDescent="0.35">
      <c r="B513">
        <v>2019</v>
      </c>
      <c r="C513" s="41">
        <v>43398</v>
      </c>
      <c r="D513" t="s">
        <v>959</v>
      </c>
      <c r="E513" t="s">
        <v>219</v>
      </c>
      <c r="F513" t="s">
        <v>458</v>
      </c>
      <c r="G513" t="s">
        <v>1381</v>
      </c>
      <c r="H513" t="s">
        <v>1424</v>
      </c>
      <c r="I513" t="s">
        <v>842</v>
      </c>
      <c r="J513">
        <v>2</v>
      </c>
      <c r="L513">
        <v>387.35</v>
      </c>
      <c r="M513">
        <v>660.12</v>
      </c>
      <c r="N513">
        <v>985.01</v>
      </c>
      <c r="O513">
        <v>1404.52</v>
      </c>
      <c r="P513">
        <v>0</v>
      </c>
      <c r="Q513">
        <v>3</v>
      </c>
      <c r="R513">
        <v>0</v>
      </c>
      <c r="S513">
        <v>100284</v>
      </c>
      <c r="T513" t="b">
        <v>1</v>
      </c>
    </row>
    <row r="514" spans="2:20" x14ac:dyDescent="0.35">
      <c r="B514">
        <v>2019</v>
      </c>
      <c r="C514" s="41">
        <v>43398</v>
      </c>
      <c r="D514" t="s">
        <v>959</v>
      </c>
      <c r="E514" t="s">
        <v>219</v>
      </c>
      <c r="F514" t="s">
        <v>460</v>
      </c>
      <c r="G514" t="s">
        <v>1381</v>
      </c>
      <c r="H514" t="s">
        <v>1424</v>
      </c>
      <c r="I514" t="s">
        <v>842</v>
      </c>
      <c r="J514">
        <v>2</v>
      </c>
      <c r="L514">
        <v>356.64</v>
      </c>
      <c r="M514">
        <v>607.79</v>
      </c>
      <c r="N514">
        <v>906.93</v>
      </c>
      <c r="O514">
        <v>1293.1799999999901</v>
      </c>
      <c r="P514">
        <v>0</v>
      </c>
      <c r="Q514">
        <v>3</v>
      </c>
      <c r="R514">
        <v>0</v>
      </c>
      <c r="S514">
        <v>100284</v>
      </c>
      <c r="T514" t="b">
        <v>1</v>
      </c>
    </row>
    <row r="515" spans="2:20" x14ac:dyDescent="0.35">
      <c r="B515">
        <v>2019</v>
      </c>
      <c r="C515" s="41">
        <v>43398</v>
      </c>
      <c r="D515" t="s">
        <v>959</v>
      </c>
      <c r="E515" t="s">
        <v>219</v>
      </c>
      <c r="F515" t="s">
        <v>464</v>
      </c>
      <c r="G515" t="s">
        <v>1381</v>
      </c>
      <c r="H515" t="s">
        <v>1424</v>
      </c>
      <c r="I515" t="s">
        <v>842</v>
      </c>
      <c r="J515">
        <v>2</v>
      </c>
      <c r="L515">
        <v>340.16</v>
      </c>
      <c r="M515">
        <v>579.70000000000005</v>
      </c>
      <c r="N515">
        <v>865</v>
      </c>
      <c r="O515">
        <v>1233.4000000000001</v>
      </c>
      <c r="P515">
        <v>0</v>
      </c>
      <c r="Q515">
        <v>3</v>
      </c>
      <c r="R515">
        <v>0</v>
      </c>
      <c r="S515">
        <v>100284</v>
      </c>
      <c r="T515" t="b">
        <v>1</v>
      </c>
    </row>
    <row r="516" spans="2:20" x14ac:dyDescent="0.35">
      <c r="B516">
        <v>2019</v>
      </c>
      <c r="C516" s="41">
        <v>43398</v>
      </c>
      <c r="D516" t="s">
        <v>1425</v>
      </c>
      <c r="E516" t="s">
        <v>219</v>
      </c>
      <c r="F516" t="s">
        <v>1302</v>
      </c>
      <c r="G516" t="s">
        <v>1381</v>
      </c>
      <c r="H516" t="s">
        <v>1426</v>
      </c>
      <c r="I516" t="s">
        <v>1427</v>
      </c>
      <c r="J516">
        <v>2</v>
      </c>
      <c r="L516">
        <v>238.04</v>
      </c>
      <c r="M516">
        <v>405.67</v>
      </c>
      <c r="N516">
        <v>605.31999999999903</v>
      </c>
      <c r="O516">
        <v>863.12</v>
      </c>
      <c r="P516">
        <v>0</v>
      </c>
      <c r="Q516">
        <v>3</v>
      </c>
      <c r="R516">
        <v>0</v>
      </c>
      <c r="S516">
        <v>100284</v>
      </c>
      <c r="T516" t="b">
        <v>1</v>
      </c>
    </row>
    <row r="517" spans="2:20" x14ac:dyDescent="0.35">
      <c r="B517">
        <v>2019</v>
      </c>
      <c r="C517" s="41">
        <v>43398</v>
      </c>
      <c r="D517" t="s">
        <v>1425</v>
      </c>
      <c r="E517" t="s">
        <v>219</v>
      </c>
      <c r="F517" t="s">
        <v>1309</v>
      </c>
      <c r="G517" t="s">
        <v>1381</v>
      </c>
      <c r="H517" t="s">
        <v>1426</v>
      </c>
      <c r="I517" t="s">
        <v>1427</v>
      </c>
      <c r="J517">
        <v>2</v>
      </c>
      <c r="L517">
        <v>241.05</v>
      </c>
      <c r="M517">
        <v>410.8</v>
      </c>
      <c r="N517">
        <v>612.98</v>
      </c>
      <c r="O517">
        <v>874.04</v>
      </c>
      <c r="P517">
        <v>0</v>
      </c>
      <c r="Q517">
        <v>3</v>
      </c>
      <c r="R517">
        <v>0</v>
      </c>
      <c r="S517">
        <v>100284</v>
      </c>
      <c r="T517" t="b">
        <v>1</v>
      </c>
    </row>
    <row r="518" spans="2:20" x14ac:dyDescent="0.35">
      <c r="B518">
        <v>2019</v>
      </c>
      <c r="C518" s="41">
        <v>43398</v>
      </c>
      <c r="D518" t="s">
        <v>1425</v>
      </c>
      <c r="E518" t="s">
        <v>219</v>
      </c>
      <c r="F518" t="s">
        <v>1389</v>
      </c>
      <c r="G518" t="s">
        <v>1381</v>
      </c>
      <c r="H518" t="s">
        <v>1426</v>
      </c>
      <c r="I518" t="s">
        <v>1427</v>
      </c>
      <c r="J518">
        <v>2</v>
      </c>
      <c r="L518">
        <v>196.8</v>
      </c>
      <c r="M518">
        <v>335.39</v>
      </c>
      <c r="N518">
        <v>500.46</v>
      </c>
      <c r="O518">
        <v>713.599999999999</v>
      </c>
      <c r="P518">
        <v>0</v>
      </c>
      <c r="Q518">
        <v>3</v>
      </c>
      <c r="R518">
        <v>0</v>
      </c>
      <c r="S518">
        <v>100284</v>
      </c>
      <c r="T518" t="b">
        <v>1</v>
      </c>
    </row>
    <row r="519" spans="2:20" x14ac:dyDescent="0.35">
      <c r="B519">
        <v>2019</v>
      </c>
      <c r="C519" s="41">
        <v>43398</v>
      </c>
      <c r="D519" t="s">
        <v>1425</v>
      </c>
      <c r="E519" t="s">
        <v>219</v>
      </c>
      <c r="F519" t="s">
        <v>1307</v>
      </c>
      <c r="G519" t="s">
        <v>1381</v>
      </c>
      <c r="H519" t="s">
        <v>1426</v>
      </c>
      <c r="I519" t="s">
        <v>1427</v>
      </c>
      <c r="J519">
        <v>2</v>
      </c>
      <c r="L519">
        <v>261.77999999999997</v>
      </c>
      <c r="M519">
        <v>446.12</v>
      </c>
      <c r="N519">
        <v>665.69</v>
      </c>
      <c r="O519">
        <v>949.2</v>
      </c>
      <c r="P519">
        <v>0</v>
      </c>
      <c r="Q519">
        <v>3</v>
      </c>
      <c r="R519">
        <v>0</v>
      </c>
      <c r="S519">
        <v>100284</v>
      </c>
      <c r="T519" t="b">
        <v>1</v>
      </c>
    </row>
    <row r="520" spans="2:20" x14ac:dyDescent="0.35">
      <c r="B520">
        <v>2019</v>
      </c>
      <c r="C520" s="41">
        <v>43398</v>
      </c>
      <c r="D520" t="s">
        <v>1425</v>
      </c>
      <c r="E520" t="s">
        <v>219</v>
      </c>
      <c r="F520" t="s">
        <v>1390</v>
      </c>
      <c r="G520" t="s">
        <v>1381</v>
      </c>
      <c r="H520" t="s">
        <v>1426</v>
      </c>
      <c r="I520" t="s">
        <v>1427</v>
      </c>
      <c r="J520">
        <v>2</v>
      </c>
      <c r="L520">
        <v>292.19</v>
      </c>
      <c r="M520">
        <v>497.95</v>
      </c>
      <c r="N520">
        <v>743.03</v>
      </c>
      <c r="O520">
        <v>1059.48</v>
      </c>
      <c r="P520">
        <v>0</v>
      </c>
      <c r="Q520">
        <v>3</v>
      </c>
      <c r="R520">
        <v>0</v>
      </c>
      <c r="S520">
        <v>100284</v>
      </c>
      <c r="T520" t="b">
        <v>1</v>
      </c>
    </row>
    <row r="521" spans="2:20" x14ac:dyDescent="0.35">
      <c r="B521">
        <v>2019</v>
      </c>
      <c r="C521" s="41">
        <v>43398</v>
      </c>
      <c r="D521" t="s">
        <v>1425</v>
      </c>
      <c r="E521" t="s">
        <v>219</v>
      </c>
      <c r="F521" t="s">
        <v>1301</v>
      </c>
      <c r="G521" t="s">
        <v>1381</v>
      </c>
      <c r="H521" t="s">
        <v>1426</v>
      </c>
      <c r="I521" t="s">
        <v>1427</v>
      </c>
      <c r="J521">
        <v>2</v>
      </c>
      <c r="L521">
        <v>231.34</v>
      </c>
      <c r="M521">
        <v>394.24</v>
      </c>
      <c r="N521">
        <v>588.28</v>
      </c>
      <c r="O521">
        <v>838.81999999999903</v>
      </c>
      <c r="P521">
        <v>0</v>
      </c>
      <c r="Q521">
        <v>3</v>
      </c>
      <c r="R521">
        <v>0</v>
      </c>
      <c r="S521">
        <v>100284</v>
      </c>
      <c r="T521" t="b">
        <v>1</v>
      </c>
    </row>
    <row r="522" spans="2:20" x14ac:dyDescent="0.35">
      <c r="B522">
        <v>2019</v>
      </c>
      <c r="C522" s="41">
        <v>43398</v>
      </c>
      <c r="D522" t="s">
        <v>1425</v>
      </c>
      <c r="E522" t="s">
        <v>219</v>
      </c>
      <c r="F522" t="s">
        <v>1311</v>
      </c>
      <c r="G522" t="s">
        <v>1381</v>
      </c>
      <c r="H522" t="s">
        <v>1426</v>
      </c>
      <c r="I522" t="s">
        <v>1427</v>
      </c>
      <c r="J522">
        <v>2</v>
      </c>
      <c r="L522">
        <v>225.91</v>
      </c>
      <c r="M522">
        <v>384.99</v>
      </c>
      <c r="N522">
        <v>574.46</v>
      </c>
      <c r="O522">
        <v>819.12</v>
      </c>
      <c r="P522">
        <v>0</v>
      </c>
      <c r="Q522">
        <v>3</v>
      </c>
      <c r="R522">
        <v>0</v>
      </c>
      <c r="S522">
        <v>100284</v>
      </c>
      <c r="T522" t="b">
        <v>1</v>
      </c>
    </row>
    <row r="523" spans="2:20" x14ac:dyDescent="0.35">
      <c r="B523">
        <v>2019</v>
      </c>
      <c r="C523" s="41">
        <v>43398</v>
      </c>
      <c r="D523" t="s">
        <v>1407</v>
      </c>
      <c r="E523" t="s">
        <v>219</v>
      </c>
      <c r="F523" t="s">
        <v>464</v>
      </c>
      <c r="G523" t="s">
        <v>1381</v>
      </c>
      <c r="H523" t="s">
        <v>1408</v>
      </c>
      <c r="I523" t="s">
        <v>842</v>
      </c>
      <c r="J523">
        <v>2</v>
      </c>
      <c r="L523">
        <v>329.76</v>
      </c>
      <c r="M523">
        <v>561.98</v>
      </c>
      <c r="N523">
        <v>838.56</v>
      </c>
      <c r="O523">
        <v>1195.7</v>
      </c>
      <c r="P523">
        <v>0</v>
      </c>
      <c r="Q523">
        <v>3</v>
      </c>
      <c r="R523">
        <v>0</v>
      </c>
      <c r="S523">
        <v>100284</v>
      </c>
      <c r="T523" t="b">
        <v>1</v>
      </c>
    </row>
    <row r="524" spans="2:20" x14ac:dyDescent="0.35">
      <c r="B524">
        <v>2019</v>
      </c>
      <c r="C524" s="41">
        <v>43398</v>
      </c>
      <c r="D524" t="s">
        <v>1425</v>
      </c>
      <c r="E524" t="s">
        <v>219</v>
      </c>
      <c r="F524" t="s">
        <v>463</v>
      </c>
      <c r="G524" t="s">
        <v>1381</v>
      </c>
      <c r="H524" t="s">
        <v>1426</v>
      </c>
      <c r="I524" t="s">
        <v>1427</v>
      </c>
      <c r="J524">
        <v>2</v>
      </c>
      <c r="L524">
        <v>302.54000000000002</v>
      </c>
      <c r="M524">
        <v>515.58000000000004</v>
      </c>
      <c r="N524">
        <v>769.32999999999902</v>
      </c>
      <c r="O524">
        <v>1096.98</v>
      </c>
      <c r="P524">
        <v>0</v>
      </c>
      <c r="Q524">
        <v>3</v>
      </c>
      <c r="R524">
        <v>0</v>
      </c>
      <c r="S524">
        <v>100284</v>
      </c>
      <c r="T524" t="b">
        <v>1</v>
      </c>
    </row>
    <row r="525" spans="2:20" x14ac:dyDescent="0.35">
      <c r="B525">
        <v>2019</v>
      </c>
      <c r="C525" s="41">
        <v>43398</v>
      </c>
      <c r="D525" t="s">
        <v>1425</v>
      </c>
      <c r="E525" t="s">
        <v>219</v>
      </c>
      <c r="F525" t="s">
        <v>461</v>
      </c>
      <c r="G525" t="s">
        <v>1381</v>
      </c>
      <c r="H525" t="s">
        <v>1426</v>
      </c>
      <c r="I525" t="s">
        <v>1427</v>
      </c>
      <c r="J525">
        <v>2</v>
      </c>
      <c r="L525">
        <v>242.47</v>
      </c>
      <c r="M525">
        <v>413.21</v>
      </c>
      <c r="N525">
        <v>616.56999999999903</v>
      </c>
      <c r="O525">
        <v>879.16</v>
      </c>
      <c r="P525">
        <v>0</v>
      </c>
      <c r="Q525">
        <v>3</v>
      </c>
      <c r="R525">
        <v>0</v>
      </c>
      <c r="S525">
        <v>100284</v>
      </c>
      <c r="T525" t="b">
        <v>1</v>
      </c>
    </row>
    <row r="526" spans="2:20" x14ac:dyDescent="0.35">
      <c r="B526">
        <v>2019</v>
      </c>
      <c r="C526" s="41">
        <v>43398</v>
      </c>
      <c r="D526" t="s">
        <v>1425</v>
      </c>
      <c r="E526" t="s">
        <v>219</v>
      </c>
      <c r="F526" t="s">
        <v>460</v>
      </c>
      <c r="G526" t="s">
        <v>1381</v>
      </c>
      <c r="H526" t="s">
        <v>1426</v>
      </c>
      <c r="I526" t="s">
        <v>1427</v>
      </c>
      <c r="J526">
        <v>2</v>
      </c>
      <c r="L526">
        <v>235.12</v>
      </c>
      <c r="M526">
        <v>400.69</v>
      </c>
      <c r="N526">
        <v>597.9</v>
      </c>
      <c r="O526">
        <v>852.54</v>
      </c>
      <c r="P526">
        <v>0</v>
      </c>
      <c r="Q526">
        <v>3</v>
      </c>
      <c r="R526">
        <v>0</v>
      </c>
      <c r="S526">
        <v>100284</v>
      </c>
      <c r="T526" t="b">
        <v>1</v>
      </c>
    </row>
    <row r="527" spans="2:20" x14ac:dyDescent="0.35">
      <c r="B527">
        <v>2019</v>
      </c>
      <c r="C527" s="41">
        <v>43398</v>
      </c>
      <c r="D527" t="s">
        <v>1425</v>
      </c>
      <c r="E527" t="s">
        <v>219</v>
      </c>
      <c r="F527" t="s">
        <v>464</v>
      </c>
      <c r="G527" t="s">
        <v>1381</v>
      </c>
      <c r="H527" t="s">
        <v>1426</v>
      </c>
      <c r="I527" t="s">
        <v>1427</v>
      </c>
      <c r="J527">
        <v>2</v>
      </c>
      <c r="L527">
        <v>224.25</v>
      </c>
      <c r="M527">
        <v>382.17</v>
      </c>
      <c r="N527">
        <v>570.25</v>
      </c>
      <c r="O527">
        <v>813.12</v>
      </c>
      <c r="P527">
        <v>0</v>
      </c>
      <c r="Q527">
        <v>3</v>
      </c>
      <c r="R527">
        <v>0</v>
      </c>
      <c r="S527">
        <v>100284</v>
      </c>
      <c r="T527" t="b">
        <v>1</v>
      </c>
    </row>
    <row r="528" spans="2:20" x14ac:dyDescent="0.35">
      <c r="B528">
        <v>2019</v>
      </c>
      <c r="C528" s="41">
        <v>43398</v>
      </c>
      <c r="D528" t="s">
        <v>1425</v>
      </c>
      <c r="E528" t="s">
        <v>219</v>
      </c>
      <c r="F528" t="s">
        <v>459</v>
      </c>
      <c r="G528" t="s">
        <v>1381</v>
      </c>
      <c r="H528" t="s">
        <v>1426</v>
      </c>
      <c r="I528" t="s">
        <v>1427</v>
      </c>
      <c r="J528">
        <v>2</v>
      </c>
      <c r="L528">
        <v>267.56</v>
      </c>
      <c r="M528">
        <v>455.98</v>
      </c>
      <c r="N528">
        <v>680.4</v>
      </c>
      <c r="O528">
        <v>970.18</v>
      </c>
      <c r="P528">
        <v>0</v>
      </c>
      <c r="Q528">
        <v>3</v>
      </c>
      <c r="R528">
        <v>0</v>
      </c>
      <c r="S528">
        <v>100284</v>
      </c>
      <c r="T528" t="b">
        <v>1</v>
      </c>
    </row>
    <row r="529" spans="2:20" x14ac:dyDescent="0.35">
      <c r="B529">
        <v>2019</v>
      </c>
      <c r="C529" s="41">
        <v>43398</v>
      </c>
      <c r="D529" t="s">
        <v>1428</v>
      </c>
      <c r="E529" t="s">
        <v>219</v>
      </c>
      <c r="F529" t="s">
        <v>1301</v>
      </c>
      <c r="G529" t="s">
        <v>1381</v>
      </c>
      <c r="H529" t="s">
        <v>1414</v>
      </c>
      <c r="I529" t="s">
        <v>842</v>
      </c>
      <c r="J529">
        <v>2</v>
      </c>
      <c r="L529">
        <v>266.57</v>
      </c>
      <c r="M529">
        <v>454.29</v>
      </c>
      <c r="N529">
        <v>677.88</v>
      </c>
      <c r="O529">
        <v>966.57999999999902</v>
      </c>
      <c r="P529">
        <v>0</v>
      </c>
      <c r="Q529">
        <v>3</v>
      </c>
      <c r="R529">
        <v>0</v>
      </c>
      <c r="S529">
        <v>100283</v>
      </c>
      <c r="T529" t="b">
        <v>1</v>
      </c>
    </row>
    <row r="530" spans="2:20" x14ac:dyDescent="0.35">
      <c r="B530">
        <v>2019</v>
      </c>
      <c r="C530" s="41">
        <v>43398</v>
      </c>
      <c r="D530" t="s">
        <v>1425</v>
      </c>
      <c r="E530" t="s">
        <v>219</v>
      </c>
      <c r="F530" t="s">
        <v>458</v>
      </c>
      <c r="G530" t="s">
        <v>1381</v>
      </c>
      <c r="H530" t="s">
        <v>1426</v>
      </c>
      <c r="I530" t="s">
        <v>1427</v>
      </c>
      <c r="J530">
        <v>2</v>
      </c>
      <c r="L530">
        <v>255.37</v>
      </c>
      <c r="M530">
        <v>435.19</v>
      </c>
      <c r="N530">
        <v>649.39</v>
      </c>
      <c r="O530">
        <v>925.96</v>
      </c>
      <c r="P530">
        <v>0</v>
      </c>
      <c r="Q530">
        <v>3</v>
      </c>
      <c r="R530">
        <v>0</v>
      </c>
      <c r="S530">
        <v>100284</v>
      </c>
      <c r="T530" t="b">
        <v>1</v>
      </c>
    </row>
    <row r="531" spans="2:20" x14ac:dyDescent="0.35">
      <c r="B531">
        <v>2019</v>
      </c>
      <c r="C531" s="41">
        <v>43398</v>
      </c>
      <c r="D531" t="s">
        <v>1407</v>
      </c>
      <c r="E531" t="s">
        <v>219</v>
      </c>
      <c r="F531" t="s">
        <v>458</v>
      </c>
      <c r="G531" t="s">
        <v>1381</v>
      </c>
      <c r="H531" t="s">
        <v>1408</v>
      </c>
      <c r="I531" t="s">
        <v>842</v>
      </c>
      <c r="J531">
        <v>2</v>
      </c>
      <c r="L531">
        <v>375.51</v>
      </c>
      <c r="M531">
        <v>639.94000000000005</v>
      </c>
      <c r="N531">
        <v>954.9</v>
      </c>
      <c r="O531">
        <v>1361.58</v>
      </c>
      <c r="P531">
        <v>0</v>
      </c>
      <c r="Q531">
        <v>3</v>
      </c>
      <c r="R531">
        <v>0</v>
      </c>
      <c r="S531">
        <v>100284</v>
      </c>
      <c r="T531" t="b">
        <v>1</v>
      </c>
    </row>
    <row r="532" spans="2:20" x14ac:dyDescent="0.35">
      <c r="B532">
        <v>2019</v>
      </c>
      <c r="C532" s="41">
        <v>43398</v>
      </c>
      <c r="D532" t="s">
        <v>959</v>
      </c>
      <c r="E532" t="s">
        <v>219</v>
      </c>
      <c r="F532" t="s">
        <v>459</v>
      </c>
      <c r="G532" t="s">
        <v>1381</v>
      </c>
      <c r="H532" t="s">
        <v>1424</v>
      </c>
      <c r="I532" t="s">
        <v>842</v>
      </c>
      <c r="J532">
        <v>2</v>
      </c>
      <c r="L532">
        <v>405.87</v>
      </c>
      <c r="M532">
        <v>691.68</v>
      </c>
      <c r="N532">
        <v>1032.0999999999999</v>
      </c>
      <c r="O532">
        <v>1471.6599999999901</v>
      </c>
      <c r="P532">
        <v>0</v>
      </c>
      <c r="Q532">
        <v>3</v>
      </c>
      <c r="R532">
        <v>0</v>
      </c>
      <c r="S532">
        <v>100284</v>
      </c>
      <c r="T532" t="b">
        <v>1</v>
      </c>
    </row>
    <row r="533" spans="2:20" x14ac:dyDescent="0.35">
      <c r="B533">
        <v>2019</v>
      </c>
      <c r="C533" s="41">
        <v>43398</v>
      </c>
      <c r="D533" t="s">
        <v>959</v>
      </c>
      <c r="E533" t="s">
        <v>219</v>
      </c>
      <c r="F533" t="s">
        <v>463</v>
      </c>
      <c r="G533" t="s">
        <v>1381</v>
      </c>
      <c r="H533" t="s">
        <v>1424</v>
      </c>
      <c r="I533" t="s">
        <v>842</v>
      </c>
      <c r="J533">
        <v>2</v>
      </c>
      <c r="L533">
        <v>458.9</v>
      </c>
      <c r="M533">
        <v>782.05</v>
      </c>
      <c r="N533">
        <v>1166.95</v>
      </c>
      <c r="O533">
        <v>1663.94</v>
      </c>
      <c r="P533">
        <v>0</v>
      </c>
      <c r="Q533">
        <v>3</v>
      </c>
      <c r="R533">
        <v>0</v>
      </c>
      <c r="S533">
        <v>100284</v>
      </c>
      <c r="T533" t="b">
        <v>1</v>
      </c>
    </row>
    <row r="534" spans="2:20" x14ac:dyDescent="0.35">
      <c r="B534">
        <v>2019</v>
      </c>
      <c r="C534" s="41">
        <v>43398</v>
      </c>
      <c r="D534" t="s">
        <v>1429</v>
      </c>
      <c r="E534" t="s">
        <v>219</v>
      </c>
      <c r="F534" t="s">
        <v>1301</v>
      </c>
      <c r="G534" t="s">
        <v>1381</v>
      </c>
      <c r="H534" t="s">
        <v>1430</v>
      </c>
      <c r="I534" t="s">
        <v>310</v>
      </c>
      <c r="J534">
        <v>2</v>
      </c>
      <c r="L534">
        <v>359.45</v>
      </c>
      <c r="M534">
        <v>612.58000000000004</v>
      </c>
      <c r="N534">
        <v>914.06999999999903</v>
      </c>
      <c r="O534">
        <v>1303.3599999999999</v>
      </c>
      <c r="P534">
        <v>1</v>
      </c>
      <c r="Q534">
        <v>3</v>
      </c>
      <c r="R534">
        <v>0</v>
      </c>
      <c r="S534">
        <v>100283</v>
      </c>
      <c r="T534" t="b">
        <v>1</v>
      </c>
    </row>
    <row r="535" spans="2:20" x14ac:dyDescent="0.35">
      <c r="B535">
        <v>2019</v>
      </c>
      <c r="C535" s="41">
        <v>43398</v>
      </c>
      <c r="D535" t="s">
        <v>1431</v>
      </c>
      <c r="E535" t="s">
        <v>219</v>
      </c>
      <c r="F535" t="s">
        <v>1301</v>
      </c>
      <c r="G535" t="s">
        <v>1381</v>
      </c>
      <c r="H535" t="s">
        <v>1432</v>
      </c>
      <c r="I535" t="s">
        <v>310</v>
      </c>
      <c r="J535">
        <v>2</v>
      </c>
      <c r="L535">
        <v>359.45</v>
      </c>
      <c r="M535">
        <v>612.58000000000004</v>
      </c>
      <c r="N535">
        <v>914.06999999999903</v>
      </c>
      <c r="O535">
        <v>1303.3599999999999</v>
      </c>
      <c r="P535">
        <v>1</v>
      </c>
      <c r="Q535">
        <v>3</v>
      </c>
      <c r="R535">
        <v>0</v>
      </c>
      <c r="S535">
        <v>100283</v>
      </c>
      <c r="T535" t="b">
        <v>1</v>
      </c>
    </row>
    <row r="536" spans="2:20" x14ac:dyDescent="0.35">
      <c r="B536">
        <v>2019</v>
      </c>
      <c r="C536" s="41">
        <v>43398</v>
      </c>
      <c r="D536" t="s">
        <v>1433</v>
      </c>
      <c r="E536" t="s">
        <v>219</v>
      </c>
      <c r="F536" t="s">
        <v>1301</v>
      </c>
      <c r="G536" t="s">
        <v>1381</v>
      </c>
      <c r="H536" t="s">
        <v>1434</v>
      </c>
      <c r="I536" t="s">
        <v>310</v>
      </c>
      <c r="J536">
        <v>2</v>
      </c>
      <c r="L536">
        <v>430.77</v>
      </c>
      <c r="M536">
        <v>734.12</v>
      </c>
      <c r="N536">
        <v>1095.4299999999901</v>
      </c>
      <c r="O536">
        <v>1561.96</v>
      </c>
      <c r="P536">
        <v>1</v>
      </c>
      <c r="Q536">
        <v>3</v>
      </c>
      <c r="R536">
        <v>0</v>
      </c>
      <c r="S536">
        <v>100283</v>
      </c>
      <c r="T536" t="b">
        <v>1</v>
      </c>
    </row>
    <row r="537" spans="2:20" x14ac:dyDescent="0.35">
      <c r="B537">
        <v>2019</v>
      </c>
      <c r="C537" s="41">
        <v>43398</v>
      </c>
      <c r="D537" t="s">
        <v>1435</v>
      </c>
      <c r="E537" t="s">
        <v>219</v>
      </c>
      <c r="F537" t="s">
        <v>1301</v>
      </c>
      <c r="G537" t="s">
        <v>1381</v>
      </c>
      <c r="H537" t="s">
        <v>1436</v>
      </c>
      <c r="I537" t="s">
        <v>310</v>
      </c>
      <c r="J537">
        <v>2</v>
      </c>
      <c r="L537">
        <v>430.77</v>
      </c>
      <c r="M537">
        <v>734.12</v>
      </c>
      <c r="N537">
        <v>1095.4299999999901</v>
      </c>
      <c r="O537">
        <v>1561.96</v>
      </c>
      <c r="P537">
        <v>1</v>
      </c>
      <c r="Q537">
        <v>3</v>
      </c>
      <c r="R537">
        <v>0</v>
      </c>
      <c r="S537">
        <v>100283</v>
      </c>
      <c r="T537" t="b">
        <v>1</v>
      </c>
    </row>
    <row r="538" spans="2:20" x14ac:dyDescent="0.35">
      <c r="B538">
        <v>2019</v>
      </c>
      <c r="C538" s="41">
        <v>43398</v>
      </c>
      <c r="D538" t="s">
        <v>1437</v>
      </c>
      <c r="E538" t="s">
        <v>219</v>
      </c>
      <c r="F538" t="s">
        <v>1301</v>
      </c>
      <c r="G538" t="s">
        <v>1381</v>
      </c>
      <c r="H538" t="s">
        <v>1438</v>
      </c>
      <c r="I538" t="s">
        <v>310</v>
      </c>
      <c r="J538">
        <v>2</v>
      </c>
      <c r="L538">
        <v>430.77</v>
      </c>
      <c r="M538">
        <v>734.12</v>
      </c>
      <c r="N538">
        <v>1095.4299999999901</v>
      </c>
      <c r="O538">
        <v>1561.96</v>
      </c>
      <c r="P538">
        <v>1</v>
      </c>
      <c r="Q538">
        <v>3</v>
      </c>
      <c r="R538">
        <v>0</v>
      </c>
      <c r="S538">
        <v>100283</v>
      </c>
      <c r="T538" t="b">
        <v>1</v>
      </c>
    </row>
    <row r="539" spans="2:20" x14ac:dyDescent="0.35">
      <c r="B539">
        <v>2019</v>
      </c>
      <c r="C539" s="41">
        <v>43398</v>
      </c>
      <c r="D539" t="s">
        <v>1439</v>
      </c>
      <c r="E539" t="s">
        <v>219</v>
      </c>
      <c r="F539" t="s">
        <v>1302</v>
      </c>
      <c r="G539" t="s">
        <v>1381</v>
      </c>
      <c r="H539" t="s">
        <v>1440</v>
      </c>
      <c r="I539" t="s">
        <v>310</v>
      </c>
      <c r="J539">
        <v>2</v>
      </c>
      <c r="L539">
        <v>486.16</v>
      </c>
      <c r="M539">
        <v>828.51</v>
      </c>
      <c r="N539">
        <v>1236.28</v>
      </c>
      <c r="O539">
        <v>1762.8</v>
      </c>
      <c r="P539">
        <v>1</v>
      </c>
      <c r="Q539">
        <v>3</v>
      </c>
      <c r="R539">
        <v>0</v>
      </c>
      <c r="S539">
        <v>100284</v>
      </c>
      <c r="T539" t="b">
        <v>1</v>
      </c>
    </row>
    <row r="540" spans="2:20" x14ac:dyDescent="0.35">
      <c r="B540">
        <v>2019</v>
      </c>
      <c r="C540" s="41">
        <v>43398</v>
      </c>
      <c r="D540" t="s">
        <v>1439</v>
      </c>
      <c r="E540" t="s">
        <v>219</v>
      </c>
      <c r="F540" t="s">
        <v>461</v>
      </c>
      <c r="G540" t="s">
        <v>1381</v>
      </c>
      <c r="H540" t="s">
        <v>1440</v>
      </c>
      <c r="I540" t="s">
        <v>310</v>
      </c>
      <c r="J540">
        <v>2</v>
      </c>
      <c r="L540">
        <v>495.19</v>
      </c>
      <c r="M540">
        <v>843.9</v>
      </c>
      <c r="N540">
        <v>1259.24</v>
      </c>
      <c r="O540">
        <v>1795.54</v>
      </c>
      <c r="P540">
        <v>1</v>
      </c>
      <c r="Q540">
        <v>3</v>
      </c>
      <c r="R540">
        <v>0</v>
      </c>
      <c r="S540">
        <v>100284</v>
      </c>
      <c r="T540" t="b">
        <v>1</v>
      </c>
    </row>
    <row r="541" spans="2:20" x14ac:dyDescent="0.35">
      <c r="B541">
        <v>2019</v>
      </c>
      <c r="C541" s="41">
        <v>43398</v>
      </c>
      <c r="D541" t="s">
        <v>1441</v>
      </c>
      <c r="E541" t="s">
        <v>219</v>
      </c>
      <c r="F541" t="s">
        <v>1389</v>
      </c>
      <c r="G541" t="s">
        <v>1381</v>
      </c>
      <c r="H541" t="s">
        <v>1436</v>
      </c>
      <c r="I541" t="s">
        <v>310</v>
      </c>
      <c r="J541">
        <v>2</v>
      </c>
      <c r="L541">
        <v>465.47</v>
      </c>
      <c r="M541">
        <v>793.25</v>
      </c>
      <c r="N541">
        <v>1183.6500000000001</v>
      </c>
      <c r="O541">
        <v>1687.76</v>
      </c>
      <c r="P541">
        <v>1</v>
      </c>
      <c r="Q541">
        <v>3</v>
      </c>
      <c r="R541">
        <v>0</v>
      </c>
      <c r="S541">
        <v>100283</v>
      </c>
      <c r="T541" t="b">
        <v>1</v>
      </c>
    </row>
    <row r="542" spans="2:20" x14ac:dyDescent="0.35">
      <c r="B542">
        <v>2019</v>
      </c>
      <c r="C542" s="41">
        <v>43398</v>
      </c>
      <c r="D542" t="s">
        <v>1439</v>
      </c>
      <c r="E542" t="s">
        <v>219</v>
      </c>
      <c r="F542" t="s">
        <v>1301</v>
      </c>
      <c r="G542" t="s">
        <v>1381</v>
      </c>
      <c r="H542" t="s">
        <v>1440</v>
      </c>
      <c r="I542" t="s">
        <v>310</v>
      </c>
      <c r="J542">
        <v>2</v>
      </c>
      <c r="L542">
        <v>472.47</v>
      </c>
      <c r="M542">
        <v>805.18</v>
      </c>
      <c r="N542">
        <v>1201.45</v>
      </c>
      <c r="O542">
        <v>1713.1399999999901</v>
      </c>
      <c r="P542">
        <v>1</v>
      </c>
      <c r="Q542">
        <v>3</v>
      </c>
      <c r="R542">
        <v>0</v>
      </c>
      <c r="S542">
        <v>100284</v>
      </c>
      <c r="T542" t="b">
        <v>1</v>
      </c>
    </row>
    <row r="543" spans="2:20" x14ac:dyDescent="0.35">
      <c r="B543">
        <v>2019</v>
      </c>
      <c r="C543" s="41">
        <v>43398</v>
      </c>
      <c r="D543" t="s">
        <v>1442</v>
      </c>
      <c r="E543" t="s">
        <v>219</v>
      </c>
      <c r="F543" t="s">
        <v>1302</v>
      </c>
      <c r="G543" t="s">
        <v>1381</v>
      </c>
      <c r="H543" t="s">
        <v>1443</v>
      </c>
      <c r="I543" t="s">
        <v>310</v>
      </c>
      <c r="J543">
        <v>2</v>
      </c>
      <c r="L543">
        <v>582.77</v>
      </c>
      <c r="M543">
        <v>993.16</v>
      </c>
      <c r="N543">
        <v>1481.94999999999</v>
      </c>
      <c r="O543">
        <v>2113.1</v>
      </c>
      <c r="P543">
        <v>1</v>
      </c>
      <c r="Q543">
        <v>3</v>
      </c>
      <c r="R543">
        <v>0</v>
      </c>
      <c r="S543">
        <v>100284</v>
      </c>
      <c r="T543" t="b">
        <v>1</v>
      </c>
    </row>
    <row r="544" spans="2:20" x14ac:dyDescent="0.35">
      <c r="B544">
        <v>2019</v>
      </c>
      <c r="C544" s="41">
        <v>43398</v>
      </c>
      <c r="D544" t="s">
        <v>1444</v>
      </c>
      <c r="E544" t="s">
        <v>219</v>
      </c>
      <c r="F544" t="s">
        <v>1389</v>
      </c>
      <c r="G544" t="s">
        <v>1381</v>
      </c>
      <c r="H544" t="s">
        <v>1434</v>
      </c>
      <c r="I544" t="s">
        <v>310</v>
      </c>
      <c r="J544">
        <v>2</v>
      </c>
      <c r="L544">
        <v>465.47</v>
      </c>
      <c r="M544">
        <v>793.25</v>
      </c>
      <c r="N544">
        <v>1183.6500000000001</v>
      </c>
      <c r="O544">
        <v>1687.76</v>
      </c>
      <c r="P544">
        <v>1</v>
      </c>
      <c r="Q544">
        <v>3</v>
      </c>
      <c r="R544">
        <v>0</v>
      </c>
      <c r="S544">
        <v>100283</v>
      </c>
      <c r="T544" t="b">
        <v>1</v>
      </c>
    </row>
    <row r="545" spans="2:20" x14ac:dyDescent="0.35">
      <c r="B545">
        <v>2019</v>
      </c>
      <c r="C545" s="41">
        <v>43398</v>
      </c>
      <c r="D545" t="s">
        <v>1442</v>
      </c>
      <c r="E545" t="s">
        <v>219</v>
      </c>
      <c r="F545" t="s">
        <v>1309</v>
      </c>
      <c r="G545" t="s">
        <v>1381</v>
      </c>
      <c r="H545" t="s">
        <v>1443</v>
      </c>
      <c r="I545" t="s">
        <v>310</v>
      </c>
      <c r="J545">
        <v>2</v>
      </c>
      <c r="L545">
        <v>590.16</v>
      </c>
      <c r="M545">
        <v>1005.75</v>
      </c>
      <c r="N545">
        <v>1500.73</v>
      </c>
      <c r="O545">
        <v>2139.88</v>
      </c>
      <c r="P545">
        <v>1</v>
      </c>
      <c r="Q545">
        <v>3</v>
      </c>
      <c r="R545">
        <v>0</v>
      </c>
      <c r="S545">
        <v>100284</v>
      </c>
      <c r="T545" t="b">
        <v>1</v>
      </c>
    </row>
    <row r="546" spans="2:20" x14ac:dyDescent="0.35">
      <c r="B546">
        <v>2019</v>
      </c>
      <c r="C546" s="41">
        <v>43398</v>
      </c>
      <c r="D546" t="s">
        <v>1445</v>
      </c>
      <c r="E546" t="s">
        <v>219</v>
      </c>
      <c r="F546" t="s">
        <v>1389</v>
      </c>
      <c r="G546" t="s">
        <v>1381</v>
      </c>
      <c r="H546" t="s">
        <v>1438</v>
      </c>
      <c r="I546" t="s">
        <v>310</v>
      </c>
      <c r="J546">
        <v>2</v>
      </c>
      <c r="L546">
        <v>465.47</v>
      </c>
      <c r="M546">
        <v>793.25</v>
      </c>
      <c r="N546">
        <v>1183.6500000000001</v>
      </c>
      <c r="O546">
        <v>1687.76</v>
      </c>
      <c r="P546">
        <v>1</v>
      </c>
      <c r="Q546">
        <v>3</v>
      </c>
      <c r="R546">
        <v>0</v>
      </c>
      <c r="S546">
        <v>100283</v>
      </c>
      <c r="T546" t="b">
        <v>1</v>
      </c>
    </row>
    <row r="547" spans="2:20" x14ac:dyDescent="0.35">
      <c r="B547">
        <v>2019</v>
      </c>
      <c r="C547" s="41">
        <v>43398</v>
      </c>
      <c r="D547" t="s">
        <v>1442</v>
      </c>
      <c r="E547" t="s">
        <v>219</v>
      </c>
      <c r="F547" t="s">
        <v>1389</v>
      </c>
      <c r="G547" t="s">
        <v>1381</v>
      </c>
      <c r="H547" t="s">
        <v>1443</v>
      </c>
      <c r="I547" t="s">
        <v>310</v>
      </c>
      <c r="J547">
        <v>2</v>
      </c>
      <c r="L547">
        <v>481.83</v>
      </c>
      <c r="M547">
        <v>821.13</v>
      </c>
      <c r="N547">
        <v>1225.27</v>
      </c>
      <c r="O547">
        <v>1747.1</v>
      </c>
      <c r="P547">
        <v>1</v>
      </c>
      <c r="Q547">
        <v>3</v>
      </c>
      <c r="R547">
        <v>0</v>
      </c>
      <c r="S547">
        <v>100284</v>
      </c>
      <c r="T547" t="b">
        <v>1</v>
      </c>
    </row>
    <row r="548" spans="2:20" x14ac:dyDescent="0.35">
      <c r="B548">
        <v>2019</v>
      </c>
      <c r="C548" s="41">
        <v>43398</v>
      </c>
      <c r="D548" t="s">
        <v>1442</v>
      </c>
      <c r="E548" t="s">
        <v>219</v>
      </c>
      <c r="F548" t="s">
        <v>1390</v>
      </c>
      <c r="G548" t="s">
        <v>1381</v>
      </c>
      <c r="H548" t="s">
        <v>1443</v>
      </c>
      <c r="I548" t="s">
        <v>310</v>
      </c>
      <c r="J548">
        <v>2</v>
      </c>
      <c r="L548">
        <v>715.35</v>
      </c>
      <c r="M548">
        <v>1219.1099999999999</v>
      </c>
      <c r="N548">
        <v>1819.1</v>
      </c>
      <c r="O548">
        <v>2593.84</v>
      </c>
      <c r="P548">
        <v>1</v>
      </c>
      <c r="Q548">
        <v>3</v>
      </c>
      <c r="R548">
        <v>0</v>
      </c>
      <c r="S548">
        <v>100284</v>
      </c>
      <c r="T548" t="b">
        <v>1</v>
      </c>
    </row>
    <row r="549" spans="2:20" x14ac:dyDescent="0.35">
      <c r="B549">
        <v>2019</v>
      </c>
      <c r="C549" s="41">
        <v>43398</v>
      </c>
      <c r="D549" t="s">
        <v>1442</v>
      </c>
      <c r="E549" t="s">
        <v>219</v>
      </c>
      <c r="F549" t="s">
        <v>1301</v>
      </c>
      <c r="G549" t="s">
        <v>1381</v>
      </c>
      <c r="H549" t="s">
        <v>1443</v>
      </c>
      <c r="I549" t="s">
        <v>310</v>
      </c>
      <c r="J549">
        <v>2</v>
      </c>
      <c r="L549">
        <v>566.37</v>
      </c>
      <c r="M549">
        <v>965.21</v>
      </c>
      <c r="N549">
        <v>1440.25</v>
      </c>
      <c r="O549">
        <v>2053.64</v>
      </c>
      <c r="P549">
        <v>1</v>
      </c>
      <c r="Q549">
        <v>3</v>
      </c>
      <c r="R549">
        <v>0</v>
      </c>
      <c r="S549">
        <v>100284</v>
      </c>
      <c r="T549" t="b">
        <v>1</v>
      </c>
    </row>
    <row r="550" spans="2:20" x14ac:dyDescent="0.35">
      <c r="B550">
        <v>2019</v>
      </c>
      <c r="C550" s="41">
        <v>43398</v>
      </c>
      <c r="D550" t="s">
        <v>1442</v>
      </c>
      <c r="E550" t="s">
        <v>219</v>
      </c>
      <c r="F550" t="s">
        <v>1311</v>
      </c>
      <c r="G550" t="s">
        <v>1381</v>
      </c>
      <c r="H550" t="s">
        <v>1443</v>
      </c>
      <c r="I550" t="s">
        <v>310</v>
      </c>
      <c r="J550">
        <v>2</v>
      </c>
      <c r="L550">
        <v>553.07000000000005</v>
      </c>
      <c r="M550">
        <v>942.54</v>
      </c>
      <c r="N550">
        <v>1406.42</v>
      </c>
      <c r="O550">
        <v>2005.4</v>
      </c>
      <c r="P550">
        <v>1</v>
      </c>
      <c r="Q550">
        <v>3</v>
      </c>
      <c r="R550">
        <v>0</v>
      </c>
      <c r="S550">
        <v>100284</v>
      </c>
      <c r="T550" t="b">
        <v>1</v>
      </c>
    </row>
    <row r="551" spans="2:20" x14ac:dyDescent="0.35">
      <c r="B551">
        <v>2019</v>
      </c>
      <c r="C551" s="41">
        <v>43398</v>
      </c>
      <c r="D551" t="s">
        <v>1442</v>
      </c>
      <c r="E551" t="s">
        <v>219</v>
      </c>
      <c r="F551" t="s">
        <v>461</v>
      </c>
      <c r="G551" t="s">
        <v>1381</v>
      </c>
      <c r="H551" t="s">
        <v>1443</v>
      </c>
      <c r="I551" t="s">
        <v>310</v>
      </c>
      <c r="J551">
        <v>2</v>
      </c>
      <c r="L551">
        <v>593.61</v>
      </c>
      <c r="M551">
        <v>1011.63</v>
      </c>
      <c r="N551">
        <v>1509.51</v>
      </c>
      <c r="O551">
        <v>2152.4</v>
      </c>
      <c r="P551">
        <v>1</v>
      </c>
      <c r="Q551">
        <v>3</v>
      </c>
      <c r="R551">
        <v>0</v>
      </c>
      <c r="S551">
        <v>100284</v>
      </c>
      <c r="T551" t="b">
        <v>1</v>
      </c>
    </row>
    <row r="552" spans="2:20" x14ac:dyDescent="0.35">
      <c r="B552">
        <v>2019</v>
      </c>
      <c r="C552" s="41">
        <v>43398</v>
      </c>
      <c r="D552" t="s">
        <v>1442</v>
      </c>
      <c r="E552" t="s">
        <v>219</v>
      </c>
      <c r="F552" t="s">
        <v>463</v>
      </c>
      <c r="G552" t="s">
        <v>1381</v>
      </c>
      <c r="H552" t="s">
        <v>1443</v>
      </c>
      <c r="I552" t="s">
        <v>310</v>
      </c>
      <c r="J552">
        <v>2</v>
      </c>
      <c r="L552">
        <v>740.66</v>
      </c>
      <c r="M552">
        <v>1262.24</v>
      </c>
      <c r="N552">
        <v>1883.46999999999</v>
      </c>
      <c r="O552">
        <v>2685.62</v>
      </c>
      <c r="P552">
        <v>1</v>
      </c>
      <c r="Q552">
        <v>3</v>
      </c>
      <c r="R552">
        <v>0</v>
      </c>
      <c r="S552">
        <v>100284</v>
      </c>
      <c r="T552" t="b">
        <v>1</v>
      </c>
    </row>
    <row r="553" spans="2:20" x14ac:dyDescent="0.35">
      <c r="B553">
        <v>2019</v>
      </c>
      <c r="C553" s="41">
        <v>43398</v>
      </c>
      <c r="D553" t="s">
        <v>1442</v>
      </c>
      <c r="E553" t="s">
        <v>219</v>
      </c>
      <c r="F553" t="s">
        <v>460</v>
      </c>
      <c r="G553" t="s">
        <v>1381</v>
      </c>
      <c r="H553" t="s">
        <v>1443</v>
      </c>
      <c r="I553" t="s">
        <v>310</v>
      </c>
      <c r="J553">
        <v>2</v>
      </c>
      <c r="L553">
        <v>575.62</v>
      </c>
      <c r="M553">
        <v>980.98</v>
      </c>
      <c r="N553">
        <v>1463.77</v>
      </c>
      <c r="O553">
        <v>2087.1799999999998</v>
      </c>
      <c r="P553">
        <v>1</v>
      </c>
      <c r="Q553">
        <v>3</v>
      </c>
      <c r="R553">
        <v>0</v>
      </c>
      <c r="S553">
        <v>100284</v>
      </c>
      <c r="T553" t="b">
        <v>1</v>
      </c>
    </row>
    <row r="554" spans="2:20" x14ac:dyDescent="0.35">
      <c r="B554">
        <v>2019</v>
      </c>
      <c r="C554" s="41">
        <v>43398</v>
      </c>
      <c r="D554" t="s">
        <v>1442</v>
      </c>
      <c r="E554" t="s">
        <v>219</v>
      </c>
      <c r="F554" t="s">
        <v>1307</v>
      </c>
      <c r="G554" t="s">
        <v>1381</v>
      </c>
      <c r="H554" t="s">
        <v>1443</v>
      </c>
      <c r="I554" t="s">
        <v>310</v>
      </c>
      <c r="J554">
        <v>2</v>
      </c>
      <c r="L554">
        <v>640.89</v>
      </c>
      <c r="M554">
        <v>1092.21</v>
      </c>
      <c r="N554">
        <v>1629.76</v>
      </c>
      <c r="O554">
        <v>2323.86</v>
      </c>
      <c r="P554">
        <v>1</v>
      </c>
      <c r="Q554">
        <v>3</v>
      </c>
      <c r="R554">
        <v>0</v>
      </c>
      <c r="S554">
        <v>100284</v>
      </c>
      <c r="T554" t="b">
        <v>1</v>
      </c>
    </row>
    <row r="555" spans="2:20" x14ac:dyDescent="0.35">
      <c r="B555">
        <v>2019</v>
      </c>
      <c r="C555" s="41">
        <v>43398</v>
      </c>
      <c r="D555" t="s">
        <v>1446</v>
      </c>
      <c r="E555" t="s">
        <v>219</v>
      </c>
      <c r="F555" t="s">
        <v>1302</v>
      </c>
      <c r="G555" t="s">
        <v>1381</v>
      </c>
      <c r="H555" t="s">
        <v>1447</v>
      </c>
      <c r="I555" t="s">
        <v>310</v>
      </c>
      <c r="J555">
        <v>2</v>
      </c>
      <c r="L555">
        <v>582.77</v>
      </c>
      <c r="M555">
        <v>993.16</v>
      </c>
      <c r="N555">
        <v>1481.94999999999</v>
      </c>
      <c r="O555">
        <v>2113.1</v>
      </c>
      <c r="P555">
        <v>1</v>
      </c>
      <c r="Q555">
        <v>3</v>
      </c>
      <c r="R555">
        <v>0</v>
      </c>
      <c r="S555">
        <v>100284</v>
      </c>
      <c r="T555" t="b">
        <v>1</v>
      </c>
    </row>
    <row r="556" spans="2:20" x14ac:dyDescent="0.35">
      <c r="B556">
        <v>2019</v>
      </c>
      <c r="C556" s="41">
        <v>43398</v>
      </c>
      <c r="D556" t="s">
        <v>1446</v>
      </c>
      <c r="E556" t="s">
        <v>219</v>
      </c>
      <c r="F556" t="s">
        <v>1309</v>
      </c>
      <c r="G556" t="s">
        <v>1381</v>
      </c>
      <c r="H556" t="s">
        <v>1447</v>
      </c>
      <c r="I556" t="s">
        <v>310</v>
      </c>
      <c r="J556">
        <v>2</v>
      </c>
      <c r="L556">
        <v>590.16</v>
      </c>
      <c r="M556">
        <v>1005.75</v>
      </c>
      <c r="N556">
        <v>1500.73</v>
      </c>
      <c r="O556">
        <v>2139.88</v>
      </c>
      <c r="P556">
        <v>1</v>
      </c>
      <c r="Q556">
        <v>3</v>
      </c>
      <c r="R556">
        <v>0</v>
      </c>
      <c r="S556">
        <v>100284</v>
      </c>
      <c r="T556" t="b">
        <v>1</v>
      </c>
    </row>
    <row r="557" spans="2:20" x14ac:dyDescent="0.35">
      <c r="B557">
        <v>2019</v>
      </c>
      <c r="C557" s="41">
        <v>43398</v>
      </c>
      <c r="D557" t="s">
        <v>1439</v>
      </c>
      <c r="E557" t="s">
        <v>219</v>
      </c>
      <c r="F557" t="s">
        <v>458</v>
      </c>
      <c r="G557" t="s">
        <v>1381</v>
      </c>
      <c r="H557" t="s">
        <v>1440</v>
      </c>
      <c r="I557" t="s">
        <v>310</v>
      </c>
      <c r="J557">
        <v>2</v>
      </c>
      <c r="L557">
        <v>521.54</v>
      </c>
      <c r="M557">
        <v>888.8</v>
      </c>
      <c r="N557">
        <v>1326.23</v>
      </c>
      <c r="O557">
        <v>1891.06</v>
      </c>
      <c r="P557">
        <v>1</v>
      </c>
      <c r="Q557">
        <v>3</v>
      </c>
      <c r="R557">
        <v>0</v>
      </c>
      <c r="S557">
        <v>100284</v>
      </c>
      <c r="T557" t="b">
        <v>1</v>
      </c>
    </row>
    <row r="558" spans="2:20" x14ac:dyDescent="0.35">
      <c r="B558">
        <v>2019</v>
      </c>
      <c r="C558" s="41">
        <v>43398</v>
      </c>
      <c r="D558" t="s">
        <v>1442</v>
      </c>
      <c r="E558" t="s">
        <v>219</v>
      </c>
      <c r="F558" t="s">
        <v>464</v>
      </c>
      <c r="G558" t="s">
        <v>1381</v>
      </c>
      <c r="H558" t="s">
        <v>1443</v>
      </c>
      <c r="I558" t="s">
        <v>310</v>
      </c>
      <c r="J558">
        <v>2</v>
      </c>
      <c r="L558">
        <v>549.03</v>
      </c>
      <c r="M558">
        <v>935.65</v>
      </c>
      <c r="N558">
        <v>1396.1399999999901</v>
      </c>
      <c r="O558">
        <v>1990.74</v>
      </c>
      <c r="P558">
        <v>1</v>
      </c>
      <c r="Q558">
        <v>3</v>
      </c>
      <c r="R558">
        <v>0</v>
      </c>
      <c r="S558">
        <v>100284</v>
      </c>
      <c r="T558" t="b">
        <v>1</v>
      </c>
    </row>
    <row r="559" spans="2:20" x14ac:dyDescent="0.35">
      <c r="B559">
        <v>2019</v>
      </c>
      <c r="C559" s="41">
        <v>43398</v>
      </c>
      <c r="D559" t="s">
        <v>1446</v>
      </c>
      <c r="E559" t="s">
        <v>219</v>
      </c>
      <c r="F559" t="s">
        <v>1307</v>
      </c>
      <c r="G559" t="s">
        <v>1381</v>
      </c>
      <c r="H559" t="s">
        <v>1447</v>
      </c>
      <c r="I559" t="s">
        <v>310</v>
      </c>
      <c r="J559">
        <v>2</v>
      </c>
      <c r="L559">
        <v>640.89</v>
      </c>
      <c r="M559">
        <v>1092.21</v>
      </c>
      <c r="N559">
        <v>1629.76</v>
      </c>
      <c r="O559">
        <v>2323.86</v>
      </c>
      <c r="P559">
        <v>1</v>
      </c>
      <c r="Q559">
        <v>3</v>
      </c>
      <c r="R559">
        <v>0</v>
      </c>
      <c r="S559">
        <v>100284</v>
      </c>
      <c r="T559" t="b">
        <v>1</v>
      </c>
    </row>
    <row r="560" spans="2:20" x14ac:dyDescent="0.35">
      <c r="B560">
        <v>2019</v>
      </c>
      <c r="C560" s="41">
        <v>43398</v>
      </c>
      <c r="D560" t="s">
        <v>1446</v>
      </c>
      <c r="E560" t="s">
        <v>219</v>
      </c>
      <c r="F560" t="s">
        <v>1389</v>
      </c>
      <c r="G560" t="s">
        <v>1381</v>
      </c>
      <c r="H560" t="s">
        <v>1447</v>
      </c>
      <c r="I560" t="s">
        <v>310</v>
      </c>
      <c r="J560">
        <v>2</v>
      </c>
      <c r="L560">
        <v>481.83</v>
      </c>
      <c r="M560">
        <v>821.13</v>
      </c>
      <c r="N560">
        <v>1225.27</v>
      </c>
      <c r="O560">
        <v>1747.1</v>
      </c>
      <c r="P560">
        <v>1</v>
      </c>
      <c r="Q560">
        <v>3</v>
      </c>
      <c r="R560">
        <v>0</v>
      </c>
      <c r="S560">
        <v>100284</v>
      </c>
      <c r="T560" t="b">
        <v>1</v>
      </c>
    </row>
    <row r="561" spans="2:20" x14ac:dyDescent="0.35">
      <c r="B561">
        <v>2019</v>
      </c>
      <c r="C561" s="41">
        <v>43398</v>
      </c>
      <c r="D561" t="s">
        <v>1446</v>
      </c>
      <c r="E561" t="s">
        <v>219</v>
      </c>
      <c r="F561" t="s">
        <v>1390</v>
      </c>
      <c r="G561" t="s">
        <v>1381</v>
      </c>
      <c r="H561" t="s">
        <v>1447</v>
      </c>
      <c r="I561" t="s">
        <v>310</v>
      </c>
      <c r="J561">
        <v>2</v>
      </c>
      <c r="L561">
        <v>715.35</v>
      </c>
      <c r="M561">
        <v>1219.1099999999999</v>
      </c>
      <c r="N561">
        <v>1819.1</v>
      </c>
      <c r="O561">
        <v>2593.84</v>
      </c>
      <c r="P561">
        <v>1</v>
      </c>
      <c r="Q561">
        <v>3</v>
      </c>
      <c r="R561">
        <v>0</v>
      </c>
      <c r="S561">
        <v>100284</v>
      </c>
      <c r="T561" t="b">
        <v>1</v>
      </c>
    </row>
    <row r="562" spans="2:20" x14ac:dyDescent="0.35">
      <c r="B562">
        <v>2019</v>
      </c>
      <c r="C562" s="41">
        <v>43398</v>
      </c>
      <c r="D562" t="s">
        <v>1442</v>
      </c>
      <c r="E562" t="s">
        <v>219</v>
      </c>
      <c r="F562" t="s">
        <v>459</v>
      </c>
      <c r="G562" t="s">
        <v>1381</v>
      </c>
      <c r="H562" t="s">
        <v>1443</v>
      </c>
      <c r="I562" t="s">
        <v>310</v>
      </c>
      <c r="J562">
        <v>2</v>
      </c>
      <c r="L562">
        <v>655.07000000000005</v>
      </c>
      <c r="M562">
        <v>1116.3800000000001</v>
      </c>
      <c r="N562">
        <v>1665.81</v>
      </c>
      <c r="O562">
        <v>2375.2600000000002</v>
      </c>
      <c r="P562">
        <v>1</v>
      </c>
      <c r="Q562">
        <v>3</v>
      </c>
      <c r="R562">
        <v>0</v>
      </c>
      <c r="S562">
        <v>100284</v>
      </c>
      <c r="T562" t="b">
        <v>1</v>
      </c>
    </row>
    <row r="563" spans="2:20" x14ac:dyDescent="0.35">
      <c r="B563">
        <v>2019</v>
      </c>
      <c r="C563" s="41">
        <v>43398</v>
      </c>
      <c r="D563" t="s">
        <v>1446</v>
      </c>
      <c r="E563" t="s">
        <v>219</v>
      </c>
      <c r="F563" t="s">
        <v>1311</v>
      </c>
      <c r="G563" t="s">
        <v>1381</v>
      </c>
      <c r="H563" t="s">
        <v>1447</v>
      </c>
      <c r="I563" t="s">
        <v>310</v>
      </c>
      <c r="J563">
        <v>2</v>
      </c>
      <c r="L563">
        <v>553.07000000000005</v>
      </c>
      <c r="M563">
        <v>942.54</v>
      </c>
      <c r="N563">
        <v>1406.42</v>
      </c>
      <c r="O563">
        <v>2005.4</v>
      </c>
      <c r="P563">
        <v>1</v>
      </c>
      <c r="Q563">
        <v>3</v>
      </c>
      <c r="R563">
        <v>0</v>
      </c>
      <c r="S563">
        <v>100284</v>
      </c>
      <c r="T563" t="b">
        <v>1</v>
      </c>
    </row>
    <row r="564" spans="2:20" x14ac:dyDescent="0.35">
      <c r="B564">
        <v>2019</v>
      </c>
      <c r="C564" s="41">
        <v>43398</v>
      </c>
      <c r="D564" t="s">
        <v>1446</v>
      </c>
      <c r="E564" t="s">
        <v>219</v>
      </c>
      <c r="F564" t="s">
        <v>1301</v>
      </c>
      <c r="G564" t="s">
        <v>1381</v>
      </c>
      <c r="H564" t="s">
        <v>1447</v>
      </c>
      <c r="I564" t="s">
        <v>310</v>
      </c>
      <c r="J564">
        <v>2</v>
      </c>
      <c r="L564">
        <v>566.37</v>
      </c>
      <c r="M564">
        <v>965.21</v>
      </c>
      <c r="N564">
        <v>1440.25</v>
      </c>
      <c r="O564">
        <v>2053.64</v>
      </c>
      <c r="P564">
        <v>1</v>
      </c>
      <c r="Q564">
        <v>3</v>
      </c>
      <c r="R564">
        <v>0</v>
      </c>
      <c r="S564">
        <v>100284</v>
      </c>
      <c r="T564" t="b">
        <v>1</v>
      </c>
    </row>
    <row r="565" spans="2:20" x14ac:dyDescent="0.35">
      <c r="B565">
        <v>2019</v>
      </c>
      <c r="C565" s="41">
        <v>43398</v>
      </c>
      <c r="D565" t="s">
        <v>1446</v>
      </c>
      <c r="E565" t="s">
        <v>219</v>
      </c>
      <c r="F565" t="s">
        <v>464</v>
      </c>
      <c r="G565" t="s">
        <v>1381</v>
      </c>
      <c r="H565" t="s">
        <v>1447</v>
      </c>
      <c r="I565" t="s">
        <v>310</v>
      </c>
      <c r="J565">
        <v>2</v>
      </c>
      <c r="L565">
        <v>549.03</v>
      </c>
      <c r="M565">
        <v>935.65</v>
      </c>
      <c r="N565">
        <v>1396.1399999999901</v>
      </c>
      <c r="O565">
        <v>1990.74</v>
      </c>
      <c r="P565">
        <v>1</v>
      </c>
      <c r="Q565">
        <v>3</v>
      </c>
      <c r="R565">
        <v>0</v>
      </c>
      <c r="S565">
        <v>100284</v>
      </c>
      <c r="T565" t="b">
        <v>1</v>
      </c>
    </row>
    <row r="566" spans="2:20" x14ac:dyDescent="0.35">
      <c r="B566">
        <v>2019</v>
      </c>
      <c r="C566" s="41">
        <v>43398</v>
      </c>
      <c r="D566" t="s">
        <v>1446</v>
      </c>
      <c r="E566" t="s">
        <v>219</v>
      </c>
      <c r="F566" t="s">
        <v>463</v>
      </c>
      <c r="G566" t="s">
        <v>1381</v>
      </c>
      <c r="H566" t="s">
        <v>1447</v>
      </c>
      <c r="I566" t="s">
        <v>310</v>
      </c>
      <c r="J566">
        <v>2</v>
      </c>
      <c r="L566">
        <v>740.66</v>
      </c>
      <c r="M566">
        <v>1262.24</v>
      </c>
      <c r="N566">
        <v>1883.46999999999</v>
      </c>
      <c r="O566">
        <v>2685.62</v>
      </c>
      <c r="P566">
        <v>1</v>
      </c>
      <c r="Q566">
        <v>3</v>
      </c>
      <c r="R566">
        <v>0</v>
      </c>
      <c r="S566">
        <v>100284</v>
      </c>
      <c r="T566" t="b">
        <v>1</v>
      </c>
    </row>
    <row r="567" spans="2:20" x14ac:dyDescent="0.35">
      <c r="B567">
        <v>2019</v>
      </c>
      <c r="C567" s="41">
        <v>43398</v>
      </c>
      <c r="D567" t="s">
        <v>1446</v>
      </c>
      <c r="E567" t="s">
        <v>219</v>
      </c>
      <c r="F567" t="s">
        <v>461</v>
      </c>
      <c r="G567" t="s">
        <v>1381</v>
      </c>
      <c r="H567" t="s">
        <v>1447</v>
      </c>
      <c r="I567" t="s">
        <v>310</v>
      </c>
      <c r="J567">
        <v>2</v>
      </c>
      <c r="L567">
        <v>593.61</v>
      </c>
      <c r="M567">
        <v>1011.63</v>
      </c>
      <c r="N567">
        <v>1509.51</v>
      </c>
      <c r="O567">
        <v>2152.4</v>
      </c>
      <c r="P567">
        <v>1</v>
      </c>
      <c r="Q567">
        <v>3</v>
      </c>
      <c r="R567">
        <v>0</v>
      </c>
      <c r="S567">
        <v>100284</v>
      </c>
      <c r="T567" t="b">
        <v>1</v>
      </c>
    </row>
    <row r="568" spans="2:20" x14ac:dyDescent="0.35">
      <c r="B568">
        <v>2019</v>
      </c>
      <c r="C568" s="41">
        <v>43398</v>
      </c>
      <c r="D568" t="s">
        <v>1446</v>
      </c>
      <c r="E568" t="s">
        <v>219</v>
      </c>
      <c r="F568" t="s">
        <v>460</v>
      </c>
      <c r="G568" t="s">
        <v>1381</v>
      </c>
      <c r="H568" t="s">
        <v>1447</v>
      </c>
      <c r="I568" t="s">
        <v>310</v>
      </c>
      <c r="J568">
        <v>2</v>
      </c>
      <c r="L568">
        <v>575.62</v>
      </c>
      <c r="M568">
        <v>980.98</v>
      </c>
      <c r="N568">
        <v>1463.77</v>
      </c>
      <c r="O568">
        <v>2087.1799999999998</v>
      </c>
      <c r="P568">
        <v>1</v>
      </c>
      <c r="Q568">
        <v>3</v>
      </c>
      <c r="R568">
        <v>0</v>
      </c>
      <c r="S568">
        <v>100284</v>
      </c>
      <c r="T568" t="b">
        <v>1</v>
      </c>
    </row>
    <row r="569" spans="2:20" x14ac:dyDescent="0.35">
      <c r="B569">
        <v>2019</v>
      </c>
      <c r="C569" s="41">
        <v>43398</v>
      </c>
      <c r="D569" t="s">
        <v>1446</v>
      </c>
      <c r="E569" t="s">
        <v>219</v>
      </c>
      <c r="F569" t="s">
        <v>459</v>
      </c>
      <c r="G569" t="s">
        <v>1381</v>
      </c>
      <c r="H569" t="s">
        <v>1447</v>
      </c>
      <c r="I569" t="s">
        <v>310</v>
      </c>
      <c r="J569">
        <v>2</v>
      </c>
      <c r="L569">
        <v>655.07000000000005</v>
      </c>
      <c r="M569">
        <v>1116.3800000000001</v>
      </c>
      <c r="N569">
        <v>1665.81</v>
      </c>
      <c r="O569">
        <v>2375.2600000000002</v>
      </c>
      <c r="P569">
        <v>1</v>
      </c>
      <c r="Q569">
        <v>3</v>
      </c>
      <c r="R569">
        <v>0</v>
      </c>
      <c r="S569">
        <v>100284</v>
      </c>
      <c r="T569" t="b">
        <v>1</v>
      </c>
    </row>
    <row r="570" spans="2:20" x14ac:dyDescent="0.35">
      <c r="B570">
        <v>2019</v>
      </c>
      <c r="C570" s="41">
        <v>43398</v>
      </c>
      <c r="D570" t="s">
        <v>1446</v>
      </c>
      <c r="E570" t="s">
        <v>219</v>
      </c>
      <c r="F570" t="s">
        <v>458</v>
      </c>
      <c r="G570" t="s">
        <v>1381</v>
      </c>
      <c r="H570" t="s">
        <v>1447</v>
      </c>
      <c r="I570" t="s">
        <v>310</v>
      </c>
      <c r="J570">
        <v>2</v>
      </c>
      <c r="L570">
        <v>625.19000000000005</v>
      </c>
      <c r="M570">
        <v>1065.46</v>
      </c>
      <c r="N570">
        <v>1589.84</v>
      </c>
      <c r="O570">
        <v>2266.94</v>
      </c>
      <c r="P570">
        <v>1</v>
      </c>
      <c r="Q570">
        <v>3</v>
      </c>
      <c r="R570">
        <v>0</v>
      </c>
      <c r="S570">
        <v>100284</v>
      </c>
      <c r="T570" t="b">
        <v>1</v>
      </c>
    </row>
    <row r="571" spans="2:20" x14ac:dyDescent="0.35">
      <c r="B571">
        <v>2019</v>
      </c>
      <c r="C571" s="41">
        <v>43398</v>
      </c>
      <c r="D571" t="s">
        <v>1448</v>
      </c>
      <c r="E571" t="s">
        <v>219</v>
      </c>
      <c r="F571" t="s">
        <v>1309</v>
      </c>
      <c r="G571" t="s">
        <v>1381</v>
      </c>
      <c r="H571" t="s">
        <v>1449</v>
      </c>
      <c r="I571" t="s">
        <v>310</v>
      </c>
      <c r="J571">
        <v>2</v>
      </c>
      <c r="L571">
        <v>590.16</v>
      </c>
      <c r="M571">
        <v>1005.75</v>
      </c>
      <c r="N571">
        <v>1500.73</v>
      </c>
      <c r="O571">
        <v>2139.88</v>
      </c>
      <c r="P571">
        <v>1</v>
      </c>
      <c r="Q571">
        <v>3</v>
      </c>
      <c r="R571">
        <v>0</v>
      </c>
      <c r="S571">
        <v>100284</v>
      </c>
      <c r="T571" t="b">
        <v>1</v>
      </c>
    </row>
    <row r="572" spans="2:20" x14ac:dyDescent="0.35">
      <c r="B572">
        <v>2019</v>
      </c>
      <c r="C572" s="41">
        <v>43398</v>
      </c>
      <c r="D572" t="s">
        <v>1448</v>
      </c>
      <c r="E572" t="s">
        <v>219</v>
      </c>
      <c r="F572" t="s">
        <v>1307</v>
      </c>
      <c r="G572" t="s">
        <v>1381</v>
      </c>
      <c r="H572" t="s">
        <v>1449</v>
      </c>
      <c r="I572" t="s">
        <v>310</v>
      </c>
      <c r="J572">
        <v>2</v>
      </c>
      <c r="L572">
        <v>640.89</v>
      </c>
      <c r="M572">
        <v>1092.21</v>
      </c>
      <c r="N572">
        <v>1629.76</v>
      </c>
      <c r="O572">
        <v>2323.86</v>
      </c>
      <c r="P572">
        <v>1</v>
      </c>
      <c r="Q572">
        <v>3</v>
      </c>
      <c r="R572">
        <v>0</v>
      </c>
      <c r="S572">
        <v>100284</v>
      </c>
      <c r="T572" t="b">
        <v>1</v>
      </c>
    </row>
    <row r="573" spans="2:20" x14ac:dyDescent="0.35">
      <c r="B573">
        <v>2019</v>
      </c>
      <c r="C573" s="41">
        <v>43398</v>
      </c>
      <c r="D573" t="s">
        <v>1448</v>
      </c>
      <c r="E573" t="s">
        <v>219</v>
      </c>
      <c r="F573" t="s">
        <v>1389</v>
      </c>
      <c r="G573" t="s">
        <v>1381</v>
      </c>
      <c r="H573" t="s">
        <v>1449</v>
      </c>
      <c r="I573" t="s">
        <v>310</v>
      </c>
      <c r="J573">
        <v>2</v>
      </c>
      <c r="L573">
        <v>481.83</v>
      </c>
      <c r="M573">
        <v>821.13</v>
      </c>
      <c r="N573">
        <v>1225.27</v>
      </c>
      <c r="O573">
        <v>1747.1</v>
      </c>
      <c r="P573">
        <v>1</v>
      </c>
      <c r="Q573">
        <v>3</v>
      </c>
      <c r="R573">
        <v>0</v>
      </c>
      <c r="S573">
        <v>100284</v>
      </c>
      <c r="T573" t="b">
        <v>1</v>
      </c>
    </row>
    <row r="574" spans="2:20" x14ac:dyDescent="0.35">
      <c r="B574">
        <v>2019</v>
      </c>
      <c r="C574" s="41">
        <v>43398</v>
      </c>
      <c r="D574" t="s">
        <v>1448</v>
      </c>
      <c r="E574" t="s">
        <v>219</v>
      </c>
      <c r="F574" t="s">
        <v>1390</v>
      </c>
      <c r="G574" t="s">
        <v>1381</v>
      </c>
      <c r="H574" t="s">
        <v>1449</v>
      </c>
      <c r="I574" t="s">
        <v>310</v>
      </c>
      <c r="J574">
        <v>2</v>
      </c>
      <c r="L574">
        <v>715.35</v>
      </c>
      <c r="M574">
        <v>1219.1099999999999</v>
      </c>
      <c r="N574">
        <v>1819.1</v>
      </c>
      <c r="O574">
        <v>2593.84</v>
      </c>
      <c r="P574">
        <v>1</v>
      </c>
      <c r="Q574">
        <v>3</v>
      </c>
      <c r="R574">
        <v>0</v>
      </c>
      <c r="S574">
        <v>100284</v>
      </c>
      <c r="T574" t="b">
        <v>1</v>
      </c>
    </row>
    <row r="575" spans="2:20" x14ac:dyDescent="0.35">
      <c r="B575">
        <v>2019</v>
      </c>
      <c r="C575" s="41">
        <v>43398</v>
      </c>
      <c r="D575" t="s">
        <v>1448</v>
      </c>
      <c r="E575" t="s">
        <v>219</v>
      </c>
      <c r="F575" t="s">
        <v>1301</v>
      </c>
      <c r="G575" t="s">
        <v>1381</v>
      </c>
      <c r="H575" t="s">
        <v>1449</v>
      </c>
      <c r="I575" t="s">
        <v>310</v>
      </c>
      <c r="J575">
        <v>2</v>
      </c>
      <c r="L575">
        <v>566.37</v>
      </c>
      <c r="M575">
        <v>965.21</v>
      </c>
      <c r="N575">
        <v>1440.25</v>
      </c>
      <c r="O575">
        <v>2053.64</v>
      </c>
      <c r="P575">
        <v>1</v>
      </c>
      <c r="Q575">
        <v>3</v>
      </c>
      <c r="R575">
        <v>0</v>
      </c>
      <c r="S575">
        <v>100284</v>
      </c>
      <c r="T575" t="b">
        <v>1</v>
      </c>
    </row>
    <row r="576" spans="2:20" x14ac:dyDescent="0.35">
      <c r="B576">
        <v>2019</v>
      </c>
      <c r="C576" s="41">
        <v>43398</v>
      </c>
      <c r="D576" t="s">
        <v>1448</v>
      </c>
      <c r="E576" t="s">
        <v>219</v>
      </c>
      <c r="F576" t="s">
        <v>1311</v>
      </c>
      <c r="G576" t="s">
        <v>1381</v>
      </c>
      <c r="H576" t="s">
        <v>1449</v>
      </c>
      <c r="I576" t="s">
        <v>310</v>
      </c>
      <c r="J576">
        <v>2</v>
      </c>
      <c r="L576">
        <v>553.07000000000005</v>
      </c>
      <c r="M576">
        <v>942.54</v>
      </c>
      <c r="N576">
        <v>1406.42</v>
      </c>
      <c r="O576">
        <v>2005.4</v>
      </c>
      <c r="P576">
        <v>1</v>
      </c>
      <c r="Q576">
        <v>3</v>
      </c>
      <c r="R576">
        <v>0</v>
      </c>
      <c r="S576">
        <v>100284</v>
      </c>
      <c r="T576" t="b">
        <v>1</v>
      </c>
    </row>
    <row r="577" spans="2:20" x14ac:dyDescent="0.35">
      <c r="B577">
        <v>2019</v>
      </c>
      <c r="C577" s="41">
        <v>43398</v>
      </c>
      <c r="D577" t="s">
        <v>1448</v>
      </c>
      <c r="E577" t="s">
        <v>219</v>
      </c>
      <c r="F577" t="s">
        <v>463</v>
      </c>
      <c r="G577" t="s">
        <v>1381</v>
      </c>
      <c r="H577" t="s">
        <v>1449</v>
      </c>
      <c r="I577" t="s">
        <v>310</v>
      </c>
      <c r="J577">
        <v>2</v>
      </c>
      <c r="L577">
        <v>740.66</v>
      </c>
      <c r="M577">
        <v>1262.24</v>
      </c>
      <c r="N577">
        <v>1883.46999999999</v>
      </c>
      <c r="O577">
        <v>2685.62</v>
      </c>
      <c r="P577">
        <v>1</v>
      </c>
      <c r="Q577">
        <v>3</v>
      </c>
      <c r="R577">
        <v>0</v>
      </c>
      <c r="S577">
        <v>100284</v>
      </c>
      <c r="T577" t="b">
        <v>1</v>
      </c>
    </row>
    <row r="578" spans="2:20" x14ac:dyDescent="0.35">
      <c r="B578">
        <v>2019</v>
      </c>
      <c r="C578" s="41">
        <v>43398</v>
      </c>
      <c r="D578" t="s">
        <v>1448</v>
      </c>
      <c r="E578" t="s">
        <v>219</v>
      </c>
      <c r="F578" t="s">
        <v>1302</v>
      </c>
      <c r="G578" t="s">
        <v>1381</v>
      </c>
      <c r="H578" t="s">
        <v>1449</v>
      </c>
      <c r="I578" t="s">
        <v>310</v>
      </c>
      <c r="J578">
        <v>2</v>
      </c>
      <c r="L578">
        <v>582.77</v>
      </c>
      <c r="M578">
        <v>993.16</v>
      </c>
      <c r="N578">
        <v>1481.94999999999</v>
      </c>
      <c r="O578">
        <v>2113.1</v>
      </c>
      <c r="P578">
        <v>1</v>
      </c>
      <c r="Q578">
        <v>3</v>
      </c>
      <c r="R578">
        <v>0</v>
      </c>
      <c r="S578">
        <v>100284</v>
      </c>
      <c r="T578" t="b">
        <v>1</v>
      </c>
    </row>
    <row r="579" spans="2:20" x14ac:dyDescent="0.35">
      <c r="B579">
        <v>2019</v>
      </c>
      <c r="C579" s="41">
        <v>43398</v>
      </c>
      <c r="D579" t="s">
        <v>1448</v>
      </c>
      <c r="E579" t="s">
        <v>219</v>
      </c>
      <c r="F579" t="s">
        <v>460</v>
      </c>
      <c r="G579" t="s">
        <v>1381</v>
      </c>
      <c r="H579" t="s">
        <v>1449</v>
      </c>
      <c r="I579" t="s">
        <v>310</v>
      </c>
      <c r="J579">
        <v>2</v>
      </c>
      <c r="L579">
        <v>575.62</v>
      </c>
      <c r="M579">
        <v>980.98</v>
      </c>
      <c r="N579">
        <v>1463.77</v>
      </c>
      <c r="O579">
        <v>2087.1799999999998</v>
      </c>
      <c r="P579">
        <v>1</v>
      </c>
      <c r="Q579">
        <v>3</v>
      </c>
      <c r="R579">
        <v>0</v>
      </c>
      <c r="S579">
        <v>100284</v>
      </c>
      <c r="T579" t="b">
        <v>1</v>
      </c>
    </row>
    <row r="580" spans="2:20" x14ac:dyDescent="0.35">
      <c r="B580">
        <v>2019</v>
      </c>
      <c r="C580" s="41">
        <v>43398</v>
      </c>
      <c r="D580" t="s">
        <v>1448</v>
      </c>
      <c r="E580" t="s">
        <v>219</v>
      </c>
      <c r="F580" t="s">
        <v>461</v>
      </c>
      <c r="G580" t="s">
        <v>1381</v>
      </c>
      <c r="H580" t="s">
        <v>1449</v>
      </c>
      <c r="I580" t="s">
        <v>310</v>
      </c>
      <c r="J580">
        <v>2</v>
      </c>
      <c r="L580">
        <v>593.61</v>
      </c>
      <c r="M580">
        <v>1011.63</v>
      </c>
      <c r="N580">
        <v>1509.51</v>
      </c>
      <c r="O580">
        <v>2152.4</v>
      </c>
      <c r="P580">
        <v>1</v>
      </c>
      <c r="Q580">
        <v>3</v>
      </c>
      <c r="R580">
        <v>0</v>
      </c>
      <c r="S580">
        <v>100284</v>
      </c>
      <c r="T580" t="b">
        <v>1</v>
      </c>
    </row>
    <row r="581" spans="2:20" x14ac:dyDescent="0.35">
      <c r="B581">
        <v>2019</v>
      </c>
      <c r="C581" s="41">
        <v>43398</v>
      </c>
      <c r="D581" t="s">
        <v>1448</v>
      </c>
      <c r="E581" t="s">
        <v>219</v>
      </c>
      <c r="F581" t="s">
        <v>459</v>
      </c>
      <c r="G581" t="s">
        <v>1381</v>
      </c>
      <c r="H581" t="s">
        <v>1449</v>
      </c>
      <c r="I581" t="s">
        <v>310</v>
      </c>
      <c r="J581">
        <v>2</v>
      </c>
      <c r="L581">
        <v>655.07000000000005</v>
      </c>
      <c r="M581">
        <v>1116.3800000000001</v>
      </c>
      <c r="N581">
        <v>1665.81</v>
      </c>
      <c r="O581">
        <v>2375.2600000000002</v>
      </c>
      <c r="P581">
        <v>1</v>
      </c>
      <c r="Q581">
        <v>3</v>
      </c>
      <c r="R581">
        <v>0</v>
      </c>
      <c r="S581">
        <v>100284</v>
      </c>
      <c r="T581" t="b">
        <v>1</v>
      </c>
    </row>
    <row r="582" spans="2:20" x14ac:dyDescent="0.35">
      <c r="B582">
        <v>2019</v>
      </c>
      <c r="C582" s="41">
        <v>43398</v>
      </c>
      <c r="D582" t="s">
        <v>1448</v>
      </c>
      <c r="E582" t="s">
        <v>219</v>
      </c>
      <c r="F582" t="s">
        <v>464</v>
      </c>
      <c r="G582" t="s">
        <v>1381</v>
      </c>
      <c r="H582" t="s">
        <v>1449</v>
      </c>
      <c r="I582" t="s">
        <v>310</v>
      </c>
      <c r="J582">
        <v>2</v>
      </c>
      <c r="L582">
        <v>549.03</v>
      </c>
      <c r="M582">
        <v>935.65</v>
      </c>
      <c r="N582">
        <v>1396.1399999999901</v>
      </c>
      <c r="O582">
        <v>1990.74</v>
      </c>
      <c r="P582">
        <v>1</v>
      </c>
      <c r="Q582">
        <v>3</v>
      </c>
      <c r="R582">
        <v>0</v>
      </c>
      <c r="S582">
        <v>100284</v>
      </c>
      <c r="T582" t="b">
        <v>1</v>
      </c>
    </row>
    <row r="583" spans="2:20" x14ac:dyDescent="0.35">
      <c r="B583">
        <v>2019</v>
      </c>
      <c r="C583" s="41">
        <v>43398</v>
      </c>
      <c r="D583" t="s">
        <v>1448</v>
      </c>
      <c r="E583" t="s">
        <v>219</v>
      </c>
      <c r="F583" t="s">
        <v>458</v>
      </c>
      <c r="G583" t="s">
        <v>1381</v>
      </c>
      <c r="H583" t="s">
        <v>1449</v>
      </c>
      <c r="I583" t="s">
        <v>310</v>
      </c>
      <c r="J583">
        <v>2</v>
      </c>
      <c r="L583">
        <v>625.19000000000005</v>
      </c>
      <c r="M583">
        <v>1065.46</v>
      </c>
      <c r="N583">
        <v>1589.84</v>
      </c>
      <c r="O583">
        <v>2266.94</v>
      </c>
      <c r="P583">
        <v>1</v>
      </c>
      <c r="Q583">
        <v>3</v>
      </c>
      <c r="R583">
        <v>0</v>
      </c>
      <c r="S583">
        <v>100284</v>
      </c>
      <c r="T583" t="b">
        <v>1</v>
      </c>
    </row>
    <row r="584" spans="2:20" x14ac:dyDescent="0.35">
      <c r="B584">
        <v>2019</v>
      </c>
      <c r="C584" s="41">
        <v>43398</v>
      </c>
      <c r="D584" t="s">
        <v>1442</v>
      </c>
      <c r="E584" t="s">
        <v>219</v>
      </c>
      <c r="F584" t="s">
        <v>458</v>
      </c>
      <c r="G584" t="s">
        <v>1381</v>
      </c>
      <c r="H584" t="s">
        <v>1443</v>
      </c>
      <c r="I584" t="s">
        <v>310</v>
      </c>
      <c r="J584">
        <v>2</v>
      </c>
      <c r="L584">
        <v>625.19000000000005</v>
      </c>
      <c r="M584">
        <v>1065.46</v>
      </c>
      <c r="N584">
        <v>1589.84</v>
      </c>
      <c r="O584">
        <v>2266.94</v>
      </c>
      <c r="P584">
        <v>1</v>
      </c>
      <c r="Q584">
        <v>3</v>
      </c>
      <c r="R584">
        <v>0</v>
      </c>
      <c r="S584">
        <v>100284</v>
      </c>
      <c r="T584" t="b">
        <v>1</v>
      </c>
    </row>
    <row r="585" spans="2:20" x14ac:dyDescent="0.35">
      <c r="B585">
        <v>2019</v>
      </c>
      <c r="C585" s="41">
        <v>43398</v>
      </c>
      <c r="D585" t="s">
        <v>1450</v>
      </c>
      <c r="E585" t="s">
        <v>219</v>
      </c>
      <c r="F585" t="s">
        <v>1389</v>
      </c>
      <c r="G585" t="s">
        <v>1381</v>
      </c>
      <c r="H585" t="s">
        <v>1451</v>
      </c>
      <c r="I585" t="s">
        <v>310</v>
      </c>
      <c r="J585">
        <v>2</v>
      </c>
      <c r="L585">
        <v>388.3</v>
      </c>
      <c r="M585">
        <v>661.75</v>
      </c>
      <c r="N585">
        <v>987.44</v>
      </c>
      <c r="O585">
        <v>1407.98</v>
      </c>
      <c r="P585">
        <v>1</v>
      </c>
      <c r="Q585">
        <v>3</v>
      </c>
      <c r="R585">
        <v>0</v>
      </c>
      <c r="S585">
        <v>100283</v>
      </c>
      <c r="T585" t="b">
        <v>1</v>
      </c>
    </row>
    <row r="586" spans="2:20" x14ac:dyDescent="0.35">
      <c r="B586">
        <v>2019</v>
      </c>
      <c r="C586" s="41">
        <v>43398</v>
      </c>
      <c r="D586" t="s">
        <v>1452</v>
      </c>
      <c r="E586" t="s">
        <v>219</v>
      </c>
      <c r="F586" t="s">
        <v>1389</v>
      </c>
      <c r="G586" t="s">
        <v>1381</v>
      </c>
      <c r="H586" t="s">
        <v>1453</v>
      </c>
      <c r="I586" t="s">
        <v>310</v>
      </c>
      <c r="J586">
        <v>2</v>
      </c>
      <c r="L586">
        <v>388.3</v>
      </c>
      <c r="M586">
        <v>661.75</v>
      </c>
      <c r="N586">
        <v>987.44</v>
      </c>
      <c r="O586">
        <v>1407.98</v>
      </c>
      <c r="P586">
        <v>1</v>
      </c>
      <c r="Q586">
        <v>3</v>
      </c>
      <c r="R586">
        <v>0</v>
      </c>
      <c r="S586">
        <v>100283</v>
      </c>
      <c r="T586" t="b">
        <v>1</v>
      </c>
    </row>
    <row r="587" spans="2:20" x14ac:dyDescent="0.35">
      <c r="B587">
        <v>2019</v>
      </c>
      <c r="C587" s="41">
        <v>43398</v>
      </c>
      <c r="D587" t="s">
        <v>1454</v>
      </c>
      <c r="E587" t="s">
        <v>219</v>
      </c>
      <c r="F587" t="s">
        <v>1309</v>
      </c>
      <c r="G587" t="s">
        <v>1381</v>
      </c>
      <c r="H587" t="s">
        <v>1455</v>
      </c>
      <c r="I587" t="s">
        <v>310</v>
      </c>
      <c r="J587">
        <v>2</v>
      </c>
      <c r="L587">
        <v>492.31</v>
      </c>
      <c r="M587">
        <v>838.99</v>
      </c>
      <c r="N587">
        <v>1251.92</v>
      </c>
      <c r="O587">
        <v>1785.1</v>
      </c>
      <c r="P587">
        <v>1</v>
      </c>
      <c r="Q587">
        <v>3</v>
      </c>
      <c r="R587">
        <v>0</v>
      </c>
      <c r="S587">
        <v>100284</v>
      </c>
      <c r="T587" t="b">
        <v>1</v>
      </c>
    </row>
    <row r="588" spans="2:20" x14ac:dyDescent="0.35">
      <c r="B588">
        <v>2019</v>
      </c>
      <c r="C588" s="41">
        <v>43398</v>
      </c>
      <c r="D588" t="s">
        <v>1454</v>
      </c>
      <c r="E588" t="s">
        <v>219</v>
      </c>
      <c r="F588" t="s">
        <v>1389</v>
      </c>
      <c r="G588" t="s">
        <v>1381</v>
      </c>
      <c r="H588" t="s">
        <v>1455</v>
      </c>
      <c r="I588" t="s">
        <v>310</v>
      </c>
      <c r="J588">
        <v>2</v>
      </c>
      <c r="L588">
        <v>401.94</v>
      </c>
      <c r="M588">
        <v>684.98</v>
      </c>
      <c r="N588">
        <v>1022.10999999999</v>
      </c>
      <c r="O588">
        <v>1457.42</v>
      </c>
      <c r="P588">
        <v>1</v>
      </c>
      <c r="Q588">
        <v>3</v>
      </c>
      <c r="R588">
        <v>0</v>
      </c>
      <c r="S588">
        <v>100284</v>
      </c>
      <c r="T588" t="b">
        <v>1</v>
      </c>
    </row>
    <row r="589" spans="2:20" x14ac:dyDescent="0.35">
      <c r="B589">
        <v>2019</v>
      </c>
      <c r="C589" s="41">
        <v>43398</v>
      </c>
      <c r="D589" t="s">
        <v>1454</v>
      </c>
      <c r="E589" t="s">
        <v>219</v>
      </c>
      <c r="F589" t="s">
        <v>1390</v>
      </c>
      <c r="G589" t="s">
        <v>1381</v>
      </c>
      <c r="H589" t="s">
        <v>1455</v>
      </c>
      <c r="I589" t="s">
        <v>310</v>
      </c>
      <c r="J589">
        <v>2</v>
      </c>
      <c r="L589">
        <v>596.75</v>
      </c>
      <c r="M589">
        <v>1016.98</v>
      </c>
      <c r="N589">
        <v>1517.51</v>
      </c>
      <c r="O589">
        <v>2163.8000000000002</v>
      </c>
      <c r="P589">
        <v>1</v>
      </c>
      <c r="Q589">
        <v>3</v>
      </c>
      <c r="R589">
        <v>0</v>
      </c>
      <c r="S589">
        <v>100284</v>
      </c>
      <c r="T589" t="b">
        <v>1</v>
      </c>
    </row>
    <row r="590" spans="2:20" x14ac:dyDescent="0.35">
      <c r="B590">
        <v>2019</v>
      </c>
      <c r="C590" s="41">
        <v>43398</v>
      </c>
      <c r="D590" t="s">
        <v>1454</v>
      </c>
      <c r="E590" t="s">
        <v>219</v>
      </c>
      <c r="F590" t="s">
        <v>1301</v>
      </c>
      <c r="G590" t="s">
        <v>1381</v>
      </c>
      <c r="H590" t="s">
        <v>1455</v>
      </c>
      <c r="I590" t="s">
        <v>310</v>
      </c>
      <c r="J590">
        <v>2</v>
      </c>
      <c r="L590">
        <v>472.47</v>
      </c>
      <c r="M590">
        <v>805.18</v>
      </c>
      <c r="N590">
        <v>1201.45</v>
      </c>
      <c r="O590">
        <v>1713.1399999999901</v>
      </c>
      <c r="P590">
        <v>1</v>
      </c>
      <c r="Q590">
        <v>3</v>
      </c>
      <c r="R590">
        <v>0</v>
      </c>
      <c r="S590">
        <v>100284</v>
      </c>
      <c r="T590" t="b">
        <v>1</v>
      </c>
    </row>
    <row r="591" spans="2:20" x14ac:dyDescent="0.35">
      <c r="B591">
        <v>2019</v>
      </c>
      <c r="C591" s="41">
        <v>43398</v>
      </c>
      <c r="D591" t="s">
        <v>1454</v>
      </c>
      <c r="E591" t="s">
        <v>219</v>
      </c>
      <c r="F591" t="s">
        <v>1311</v>
      </c>
      <c r="G591" t="s">
        <v>1381</v>
      </c>
      <c r="H591" t="s">
        <v>1455</v>
      </c>
      <c r="I591" t="s">
        <v>310</v>
      </c>
      <c r="J591">
        <v>2</v>
      </c>
      <c r="L591">
        <v>461.37</v>
      </c>
      <c r="M591">
        <v>786.27</v>
      </c>
      <c r="N591">
        <v>1173.23</v>
      </c>
      <c r="O591">
        <v>1672.9</v>
      </c>
      <c r="P591">
        <v>1</v>
      </c>
      <c r="Q591">
        <v>3</v>
      </c>
      <c r="R591">
        <v>0</v>
      </c>
      <c r="S591">
        <v>100284</v>
      </c>
      <c r="T591" t="b">
        <v>1</v>
      </c>
    </row>
    <row r="592" spans="2:20" x14ac:dyDescent="0.35">
      <c r="B592">
        <v>2019</v>
      </c>
      <c r="C592" s="41">
        <v>43398</v>
      </c>
      <c r="D592" t="s">
        <v>1454</v>
      </c>
      <c r="E592" t="s">
        <v>219</v>
      </c>
      <c r="F592" t="s">
        <v>1307</v>
      </c>
      <c r="G592" t="s">
        <v>1381</v>
      </c>
      <c r="H592" t="s">
        <v>1455</v>
      </c>
      <c r="I592" t="s">
        <v>310</v>
      </c>
      <c r="J592">
        <v>2</v>
      </c>
      <c r="L592">
        <v>534.64</v>
      </c>
      <c r="M592">
        <v>911.13</v>
      </c>
      <c r="N592">
        <v>1359.54</v>
      </c>
      <c r="O592">
        <v>1938.56</v>
      </c>
      <c r="P592">
        <v>1</v>
      </c>
      <c r="Q592">
        <v>3</v>
      </c>
      <c r="R592">
        <v>0</v>
      </c>
      <c r="S592">
        <v>100284</v>
      </c>
      <c r="T592" t="b">
        <v>1</v>
      </c>
    </row>
    <row r="593" spans="2:20" x14ac:dyDescent="0.35">
      <c r="B593">
        <v>2019</v>
      </c>
      <c r="C593" s="41">
        <v>43398</v>
      </c>
      <c r="D593" t="s">
        <v>1454</v>
      </c>
      <c r="E593" t="s">
        <v>219</v>
      </c>
      <c r="F593" t="s">
        <v>463</v>
      </c>
      <c r="G593" t="s">
        <v>1381</v>
      </c>
      <c r="H593" t="s">
        <v>1455</v>
      </c>
      <c r="I593" t="s">
        <v>310</v>
      </c>
      <c r="J593">
        <v>2</v>
      </c>
      <c r="L593">
        <v>617.87</v>
      </c>
      <c r="M593">
        <v>1052.97</v>
      </c>
      <c r="N593">
        <v>1571.19999999999</v>
      </c>
      <c r="O593">
        <v>2240.3599999999901</v>
      </c>
      <c r="P593">
        <v>1</v>
      </c>
      <c r="Q593">
        <v>3</v>
      </c>
      <c r="R593">
        <v>0</v>
      </c>
      <c r="S593">
        <v>100284</v>
      </c>
      <c r="T593" t="b">
        <v>1</v>
      </c>
    </row>
    <row r="594" spans="2:20" x14ac:dyDescent="0.35">
      <c r="B594">
        <v>2019</v>
      </c>
      <c r="C594" s="41">
        <v>43398</v>
      </c>
      <c r="D594" t="s">
        <v>1454</v>
      </c>
      <c r="E594" t="s">
        <v>219</v>
      </c>
      <c r="F594" t="s">
        <v>460</v>
      </c>
      <c r="G594" t="s">
        <v>1381</v>
      </c>
      <c r="H594" t="s">
        <v>1455</v>
      </c>
      <c r="I594" t="s">
        <v>310</v>
      </c>
      <c r="J594">
        <v>2</v>
      </c>
      <c r="L594">
        <v>480.19</v>
      </c>
      <c r="M594">
        <v>818.35</v>
      </c>
      <c r="N594">
        <v>1221.0999999999999</v>
      </c>
      <c r="O594">
        <v>1741.1599999999901</v>
      </c>
      <c r="P594">
        <v>1</v>
      </c>
      <c r="Q594">
        <v>3</v>
      </c>
      <c r="R594">
        <v>0</v>
      </c>
      <c r="S594">
        <v>100284</v>
      </c>
      <c r="T594" t="b">
        <v>1</v>
      </c>
    </row>
    <row r="595" spans="2:20" x14ac:dyDescent="0.35">
      <c r="B595">
        <v>2019</v>
      </c>
      <c r="C595" s="41">
        <v>43398</v>
      </c>
      <c r="D595" t="s">
        <v>1454</v>
      </c>
      <c r="E595" t="s">
        <v>219</v>
      </c>
      <c r="F595" t="s">
        <v>459</v>
      </c>
      <c r="G595" t="s">
        <v>1381</v>
      </c>
      <c r="H595" t="s">
        <v>1455</v>
      </c>
      <c r="I595" t="s">
        <v>310</v>
      </c>
      <c r="J595">
        <v>2</v>
      </c>
      <c r="L595">
        <v>546.47</v>
      </c>
      <c r="M595">
        <v>931.29</v>
      </c>
      <c r="N595">
        <v>1389.63</v>
      </c>
      <c r="O595">
        <v>1981.46</v>
      </c>
      <c r="P595">
        <v>1</v>
      </c>
      <c r="Q595">
        <v>3</v>
      </c>
      <c r="R595">
        <v>0</v>
      </c>
      <c r="S595">
        <v>100284</v>
      </c>
      <c r="T595" t="b">
        <v>1</v>
      </c>
    </row>
    <row r="596" spans="2:20" x14ac:dyDescent="0.35">
      <c r="B596">
        <v>2019</v>
      </c>
      <c r="C596" s="41">
        <v>43398</v>
      </c>
      <c r="D596" t="s">
        <v>1456</v>
      </c>
      <c r="E596" t="s">
        <v>219</v>
      </c>
      <c r="F596" t="s">
        <v>1307</v>
      </c>
      <c r="G596" t="s">
        <v>1381</v>
      </c>
      <c r="H596" t="s">
        <v>1457</v>
      </c>
      <c r="I596" t="s">
        <v>310</v>
      </c>
      <c r="J596">
        <v>2</v>
      </c>
      <c r="L596">
        <v>534.64</v>
      </c>
      <c r="M596">
        <v>911.13</v>
      </c>
      <c r="N596">
        <v>1359.54</v>
      </c>
      <c r="O596">
        <v>1938.56</v>
      </c>
      <c r="P596">
        <v>1</v>
      </c>
      <c r="Q596">
        <v>3</v>
      </c>
      <c r="R596">
        <v>0</v>
      </c>
      <c r="S596">
        <v>100284</v>
      </c>
      <c r="T596" t="b">
        <v>1</v>
      </c>
    </row>
    <row r="597" spans="2:20" x14ac:dyDescent="0.35">
      <c r="B597">
        <v>2019</v>
      </c>
      <c r="C597" s="41">
        <v>43398</v>
      </c>
      <c r="D597" t="s">
        <v>1456</v>
      </c>
      <c r="E597" t="s">
        <v>219</v>
      </c>
      <c r="F597" t="s">
        <v>1309</v>
      </c>
      <c r="G597" t="s">
        <v>1381</v>
      </c>
      <c r="H597" t="s">
        <v>1457</v>
      </c>
      <c r="I597" t="s">
        <v>310</v>
      </c>
      <c r="J597">
        <v>2</v>
      </c>
      <c r="L597">
        <v>492.31</v>
      </c>
      <c r="M597">
        <v>838.99</v>
      </c>
      <c r="N597">
        <v>1251.92</v>
      </c>
      <c r="O597">
        <v>1785.1</v>
      </c>
      <c r="P597">
        <v>1</v>
      </c>
      <c r="Q597">
        <v>3</v>
      </c>
      <c r="R597">
        <v>0</v>
      </c>
      <c r="S597">
        <v>100284</v>
      </c>
      <c r="T597" t="b">
        <v>1</v>
      </c>
    </row>
    <row r="598" spans="2:20" x14ac:dyDescent="0.35">
      <c r="B598">
        <v>2019</v>
      </c>
      <c r="C598" s="41">
        <v>43398</v>
      </c>
      <c r="D598" t="s">
        <v>1454</v>
      </c>
      <c r="E598" t="s">
        <v>219</v>
      </c>
      <c r="F598" t="s">
        <v>464</v>
      </c>
      <c r="G598" t="s">
        <v>1381</v>
      </c>
      <c r="H598" t="s">
        <v>1455</v>
      </c>
      <c r="I598" t="s">
        <v>310</v>
      </c>
      <c r="J598">
        <v>2</v>
      </c>
      <c r="L598">
        <v>458</v>
      </c>
      <c r="M598">
        <v>780.52</v>
      </c>
      <c r="N598">
        <v>1164.6599999999901</v>
      </c>
      <c r="O598">
        <v>1660.6799999999901</v>
      </c>
      <c r="P598">
        <v>1</v>
      </c>
      <c r="Q598">
        <v>3</v>
      </c>
      <c r="R598">
        <v>0</v>
      </c>
      <c r="S598">
        <v>100284</v>
      </c>
      <c r="T598" t="b">
        <v>1</v>
      </c>
    </row>
    <row r="599" spans="2:20" x14ac:dyDescent="0.35">
      <c r="B599">
        <v>2019</v>
      </c>
      <c r="C599" s="41">
        <v>43398</v>
      </c>
      <c r="D599" t="s">
        <v>1456</v>
      </c>
      <c r="E599" t="s">
        <v>219</v>
      </c>
      <c r="F599" t="s">
        <v>1389</v>
      </c>
      <c r="G599" t="s">
        <v>1381</v>
      </c>
      <c r="H599" t="s">
        <v>1457</v>
      </c>
      <c r="I599" t="s">
        <v>310</v>
      </c>
      <c r="J599">
        <v>2</v>
      </c>
      <c r="L599">
        <v>401.94</v>
      </c>
      <c r="M599">
        <v>684.98</v>
      </c>
      <c r="N599">
        <v>1022.10999999999</v>
      </c>
      <c r="O599">
        <v>1457.42</v>
      </c>
      <c r="P599">
        <v>1</v>
      </c>
      <c r="Q599">
        <v>3</v>
      </c>
      <c r="R599">
        <v>0</v>
      </c>
      <c r="S599">
        <v>100284</v>
      </c>
      <c r="T599" t="b">
        <v>1</v>
      </c>
    </row>
    <row r="600" spans="2:20" x14ac:dyDescent="0.35">
      <c r="B600">
        <v>2019</v>
      </c>
      <c r="C600" s="41">
        <v>43398</v>
      </c>
      <c r="D600" t="s">
        <v>1456</v>
      </c>
      <c r="E600" t="s">
        <v>219</v>
      </c>
      <c r="F600" t="s">
        <v>1390</v>
      </c>
      <c r="G600" t="s">
        <v>1381</v>
      </c>
      <c r="H600" t="s">
        <v>1457</v>
      </c>
      <c r="I600" t="s">
        <v>310</v>
      </c>
      <c r="J600">
        <v>2</v>
      </c>
      <c r="L600">
        <v>596.75</v>
      </c>
      <c r="M600">
        <v>1016.98</v>
      </c>
      <c r="N600">
        <v>1517.51</v>
      </c>
      <c r="O600">
        <v>2163.8000000000002</v>
      </c>
      <c r="P600">
        <v>1</v>
      </c>
      <c r="Q600">
        <v>3</v>
      </c>
      <c r="R600">
        <v>0</v>
      </c>
      <c r="S600">
        <v>100284</v>
      </c>
      <c r="T600" t="b">
        <v>1</v>
      </c>
    </row>
    <row r="601" spans="2:20" x14ac:dyDescent="0.35">
      <c r="B601">
        <v>2019</v>
      </c>
      <c r="C601" s="41">
        <v>43398</v>
      </c>
      <c r="D601" t="s">
        <v>1456</v>
      </c>
      <c r="E601" t="s">
        <v>219</v>
      </c>
      <c r="F601" t="s">
        <v>464</v>
      </c>
      <c r="G601" t="s">
        <v>1381</v>
      </c>
      <c r="H601" t="s">
        <v>1457</v>
      </c>
      <c r="I601" t="s">
        <v>310</v>
      </c>
      <c r="J601">
        <v>2</v>
      </c>
      <c r="L601">
        <v>458</v>
      </c>
      <c r="M601">
        <v>780.52</v>
      </c>
      <c r="N601">
        <v>1164.6599999999901</v>
      </c>
      <c r="O601">
        <v>1660.6799999999901</v>
      </c>
      <c r="P601">
        <v>1</v>
      </c>
      <c r="Q601">
        <v>3</v>
      </c>
      <c r="R601">
        <v>0</v>
      </c>
      <c r="S601">
        <v>100284</v>
      </c>
      <c r="T601" t="b">
        <v>1</v>
      </c>
    </row>
    <row r="602" spans="2:20" x14ac:dyDescent="0.35">
      <c r="B602">
        <v>2019</v>
      </c>
      <c r="C602" s="41">
        <v>43398</v>
      </c>
      <c r="D602" t="s">
        <v>1456</v>
      </c>
      <c r="E602" t="s">
        <v>219</v>
      </c>
      <c r="F602" t="s">
        <v>1301</v>
      </c>
      <c r="G602" t="s">
        <v>1381</v>
      </c>
      <c r="H602" t="s">
        <v>1457</v>
      </c>
      <c r="I602" t="s">
        <v>310</v>
      </c>
      <c r="J602">
        <v>2</v>
      </c>
      <c r="L602">
        <v>472.47</v>
      </c>
      <c r="M602">
        <v>805.18</v>
      </c>
      <c r="N602">
        <v>1201.45</v>
      </c>
      <c r="O602">
        <v>1713.1399999999901</v>
      </c>
      <c r="P602">
        <v>1</v>
      </c>
      <c r="Q602">
        <v>3</v>
      </c>
      <c r="R602">
        <v>0</v>
      </c>
      <c r="S602">
        <v>100284</v>
      </c>
      <c r="T602" t="b">
        <v>1</v>
      </c>
    </row>
    <row r="603" spans="2:20" x14ac:dyDescent="0.35">
      <c r="B603">
        <v>2019</v>
      </c>
      <c r="C603" s="41">
        <v>43398</v>
      </c>
      <c r="D603" t="s">
        <v>1456</v>
      </c>
      <c r="E603" t="s">
        <v>219</v>
      </c>
      <c r="F603" t="s">
        <v>1311</v>
      </c>
      <c r="G603" t="s">
        <v>1381</v>
      </c>
      <c r="H603" t="s">
        <v>1457</v>
      </c>
      <c r="I603" t="s">
        <v>310</v>
      </c>
      <c r="J603">
        <v>2</v>
      </c>
      <c r="L603">
        <v>461.37</v>
      </c>
      <c r="M603">
        <v>786.27</v>
      </c>
      <c r="N603">
        <v>1173.23</v>
      </c>
      <c r="O603">
        <v>1672.9</v>
      </c>
      <c r="P603">
        <v>1</v>
      </c>
      <c r="Q603">
        <v>3</v>
      </c>
      <c r="R603">
        <v>0</v>
      </c>
      <c r="S603">
        <v>100284</v>
      </c>
      <c r="T603" t="b">
        <v>1</v>
      </c>
    </row>
    <row r="604" spans="2:20" x14ac:dyDescent="0.35">
      <c r="B604">
        <v>2019</v>
      </c>
      <c r="C604" s="41">
        <v>43398</v>
      </c>
      <c r="D604" t="s">
        <v>1458</v>
      </c>
      <c r="E604" t="s">
        <v>219</v>
      </c>
      <c r="F604" t="s">
        <v>1309</v>
      </c>
      <c r="G604" t="s">
        <v>1381</v>
      </c>
      <c r="H604" t="s">
        <v>1459</v>
      </c>
      <c r="I604" t="s">
        <v>310</v>
      </c>
      <c r="J604">
        <v>2</v>
      </c>
      <c r="L604">
        <v>492.31</v>
      </c>
      <c r="M604">
        <v>838.99</v>
      </c>
      <c r="N604">
        <v>1251.92</v>
      </c>
      <c r="O604">
        <v>1785.1</v>
      </c>
      <c r="P604">
        <v>1</v>
      </c>
      <c r="Q604">
        <v>3</v>
      </c>
      <c r="R604">
        <v>0</v>
      </c>
      <c r="S604">
        <v>100284</v>
      </c>
      <c r="T604" t="b">
        <v>1</v>
      </c>
    </row>
    <row r="605" spans="2:20" x14ac:dyDescent="0.35">
      <c r="B605">
        <v>2019</v>
      </c>
      <c r="C605" s="41">
        <v>43398</v>
      </c>
      <c r="D605" t="s">
        <v>1456</v>
      </c>
      <c r="E605" t="s">
        <v>219</v>
      </c>
      <c r="F605" t="s">
        <v>460</v>
      </c>
      <c r="G605" t="s">
        <v>1381</v>
      </c>
      <c r="H605" t="s">
        <v>1457</v>
      </c>
      <c r="I605" t="s">
        <v>310</v>
      </c>
      <c r="J605">
        <v>2</v>
      </c>
      <c r="L605">
        <v>480.19</v>
      </c>
      <c r="M605">
        <v>818.35</v>
      </c>
      <c r="N605">
        <v>1221.0999999999999</v>
      </c>
      <c r="O605">
        <v>1741.1599999999901</v>
      </c>
      <c r="P605">
        <v>1</v>
      </c>
      <c r="Q605">
        <v>3</v>
      </c>
      <c r="R605">
        <v>0</v>
      </c>
      <c r="S605">
        <v>100284</v>
      </c>
      <c r="T605" t="b">
        <v>1</v>
      </c>
    </row>
    <row r="606" spans="2:20" x14ac:dyDescent="0.35">
      <c r="B606">
        <v>2019</v>
      </c>
      <c r="C606" s="41">
        <v>43398</v>
      </c>
      <c r="D606" t="s">
        <v>1456</v>
      </c>
      <c r="E606" t="s">
        <v>219</v>
      </c>
      <c r="F606" t="s">
        <v>463</v>
      </c>
      <c r="G606" t="s">
        <v>1381</v>
      </c>
      <c r="H606" t="s">
        <v>1457</v>
      </c>
      <c r="I606" t="s">
        <v>310</v>
      </c>
      <c r="J606">
        <v>2</v>
      </c>
      <c r="L606">
        <v>617.87</v>
      </c>
      <c r="M606">
        <v>1052.97</v>
      </c>
      <c r="N606">
        <v>1571.19999999999</v>
      </c>
      <c r="O606">
        <v>2240.3599999999901</v>
      </c>
      <c r="P606">
        <v>1</v>
      </c>
      <c r="Q606">
        <v>3</v>
      </c>
      <c r="R606">
        <v>0</v>
      </c>
      <c r="S606">
        <v>100284</v>
      </c>
      <c r="T606" t="b">
        <v>1</v>
      </c>
    </row>
    <row r="607" spans="2:20" x14ac:dyDescent="0.35">
      <c r="B607">
        <v>2019</v>
      </c>
      <c r="C607" s="41">
        <v>43398</v>
      </c>
      <c r="D607" t="s">
        <v>1458</v>
      </c>
      <c r="E607" t="s">
        <v>219</v>
      </c>
      <c r="F607" t="s">
        <v>1307</v>
      </c>
      <c r="G607" t="s">
        <v>1381</v>
      </c>
      <c r="H607" t="s">
        <v>1459</v>
      </c>
      <c r="I607" t="s">
        <v>310</v>
      </c>
      <c r="J607">
        <v>2</v>
      </c>
      <c r="L607">
        <v>534.64</v>
      </c>
      <c r="M607">
        <v>911.13</v>
      </c>
      <c r="N607">
        <v>1359.54</v>
      </c>
      <c r="O607">
        <v>1938.56</v>
      </c>
      <c r="P607">
        <v>1</v>
      </c>
      <c r="Q607">
        <v>3</v>
      </c>
      <c r="R607">
        <v>0</v>
      </c>
      <c r="S607">
        <v>100284</v>
      </c>
      <c r="T607" t="b">
        <v>1</v>
      </c>
    </row>
    <row r="608" spans="2:20" x14ac:dyDescent="0.35">
      <c r="B608">
        <v>2019</v>
      </c>
      <c r="C608" s="41">
        <v>43398</v>
      </c>
      <c r="D608" t="s">
        <v>1456</v>
      </c>
      <c r="E608" t="s">
        <v>219</v>
      </c>
      <c r="F608" t="s">
        <v>459</v>
      </c>
      <c r="G608" t="s">
        <v>1381</v>
      </c>
      <c r="H608" t="s">
        <v>1457</v>
      </c>
      <c r="I608" t="s">
        <v>310</v>
      </c>
      <c r="J608">
        <v>2</v>
      </c>
      <c r="L608">
        <v>546.47</v>
      </c>
      <c r="M608">
        <v>931.29</v>
      </c>
      <c r="N608">
        <v>1389.63</v>
      </c>
      <c r="O608">
        <v>1981.46</v>
      </c>
      <c r="P608">
        <v>1</v>
      </c>
      <c r="Q608">
        <v>3</v>
      </c>
      <c r="R608">
        <v>0</v>
      </c>
      <c r="S608">
        <v>100284</v>
      </c>
      <c r="T608" t="b">
        <v>1</v>
      </c>
    </row>
    <row r="609" spans="2:20" x14ac:dyDescent="0.35">
      <c r="B609">
        <v>2019</v>
      </c>
      <c r="C609" s="41">
        <v>43398</v>
      </c>
      <c r="D609" t="s">
        <v>1458</v>
      </c>
      <c r="E609" t="s">
        <v>219</v>
      </c>
      <c r="F609" t="s">
        <v>1390</v>
      </c>
      <c r="G609" t="s">
        <v>1381</v>
      </c>
      <c r="H609" t="s">
        <v>1459</v>
      </c>
      <c r="I609" t="s">
        <v>310</v>
      </c>
      <c r="J609">
        <v>2</v>
      </c>
      <c r="L609">
        <v>596.75</v>
      </c>
      <c r="M609">
        <v>1016.98</v>
      </c>
      <c r="N609">
        <v>1517.51</v>
      </c>
      <c r="O609">
        <v>2163.8000000000002</v>
      </c>
      <c r="P609">
        <v>1</v>
      </c>
      <c r="Q609">
        <v>3</v>
      </c>
      <c r="R609">
        <v>0</v>
      </c>
      <c r="S609">
        <v>100284</v>
      </c>
      <c r="T609" t="b">
        <v>1</v>
      </c>
    </row>
    <row r="610" spans="2:20" x14ac:dyDescent="0.35">
      <c r="B610">
        <v>2019</v>
      </c>
      <c r="C610" s="41">
        <v>43398</v>
      </c>
      <c r="D610" t="s">
        <v>1458</v>
      </c>
      <c r="E610" t="s">
        <v>219</v>
      </c>
      <c r="F610" t="s">
        <v>1301</v>
      </c>
      <c r="G610" t="s">
        <v>1381</v>
      </c>
      <c r="H610" t="s">
        <v>1459</v>
      </c>
      <c r="I610" t="s">
        <v>310</v>
      </c>
      <c r="J610">
        <v>2</v>
      </c>
      <c r="L610">
        <v>472.47</v>
      </c>
      <c r="M610">
        <v>805.18</v>
      </c>
      <c r="N610">
        <v>1201.45</v>
      </c>
      <c r="O610">
        <v>1713.1399999999901</v>
      </c>
      <c r="P610">
        <v>1</v>
      </c>
      <c r="Q610">
        <v>3</v>
      </c>
      <c r="R610">
        <v>0</v>
      </c>
      <c r="S610">
        <v>100284</v>
      </c>
      <c r="T610" t="b">
        <v>1</v>
      </c>
    </row>
    <row r="611" spans="2:20" x14ac:dyDescent="0.35">
      <c r="B611">
        <v>2019</v>
      </c>
      <c r="C611" s="41">
        <v>43398</v>
      </c>
      <c r="D611" t="s">
        <v>1458</v>
      </c>
      <c r="E611" t="s">
        <v>219</v>
      </c>
      <c r="F611" t="s">
        <v>1389</v>
      </c>
      <c r="G611" t="s">
        <v>1381</v>
      </c>
      <c r="H611" t="s">
        <v>1459</v>
      </c>
      <c r="I611" t="s">
        <v>310</v>
      </c>
      <c r="J611">
        <v>2</v>
      </c>
      <c r="L611">
        <v>401.94</v>
      </c>
      <c r="M611">
        <v>684.98</v>
      </c>
      <c r="N611">
        <v>1022.10999999999</v>
      </c>
      <c r="O611">
        <v>1457.42</v>
      </c>
      <c r="P611">
        <v>1</v>
      </c>
      <c r="Q611">
        <v>3</v>
      </c>
      <c r="R611">
        <v>0</v>
      </c>
      <c r="S611">
        <v>100284</v>
      </c>
      <c r="T611" t="b">
        <v>1</v>
      </c>
    </row>
    <row r="612" spans="2:20" x14ac:dyDescent="0.35">
      <c r="B612">
        <v>2019</v>
      </c>
      <c r="C612" s="41">
        <v>43398</v>
      </c>
      <c r="D612" t="s">
        <v>1458</v>
      </c>
      <c r="E612" t="s">
        <v>219</v>
      </c>
      <c r="F612" t="s">
        <v>1311</v>
      </c>
      <c r="G612" t="s">
        <v>1381</v>
      </c>
      <c r="H612" t="s">
        <v>1459</v>
      </c>
      <c r="I612" t="s">
        <v>310</v>
      </c>
      <c r="J612">
        <v>2</v>
      </c>
      <c r="L612">
        <v>461.37</v>
      </c>
      <c r="M612">
        <v>786.27</v>
      </c>
      <c r="N612">
        <v>1173.23</v>
      </c>
      <c r="O612">
        <v>1672.9</v>
      </c>
      <c r="P612">
        <v>1</v>
      </c>
      <c r="Q612">
        <v>3</v>
      </c>
      <c r="R612">
        <v>0</v>
      </c>
      <c r="S612">
        <v>100284</v>
      </c>
      <c r="T612" t="b">
        <v>1</v>
      </c>
    </row>
    <row r="613" spans="2:20" x14ac:dyDescent="0.35">
      <c r="B613">
        <v>2019</v>
      </c>
      <c r="C613" s="41">
        <v>43398</v>
      </c>
      <c r="D613" t="s">
        <v>1458</v>
      </c>
      <c r="E613" t="s">
        <v>219</v>
      </c>
      <c r="F613" t="s">
        <v>463</v>
      </c>
      <c r="G613" t="s">
        <v>1381</v>
      </c>
      <c r="H613" t="s">
        <v>1459</v>
      </c>
      <c r="I613" t="s">
        <v>310</v>
      </c>
      <c r="J613">
        <v>2</v>
      </c>
      <c r="L613">
        <v>617.87</v>
      </c>
      <c r="M613">
        <v>1052.97</v>
      </c>
      <c r="N613">
        <v>1571.19999999999</v>
      </c>
      <c r="O613">
        <v>2240.3599999999901</v>
      </c>
      <c r="P613">
        <v>1</v>
      </c>
      <c r="Q613">
        <v>3</v>
      </c>
      <c r="R613">
        <v>0</v>
      </c>
      <c r="S613">
        <v>100284</v>
      </c>
      <c r="T613" t="b">
        <v>1</v>
      </c>
    </row>
    <row r="614" spans="2:20" x14ac:dyDescent="0.35">
      <c r="B614">
        <v>2019</v>
      </c>
      <c r="C614" s="41">
        <v>43398</v>
      </c>
      <c r="D614" t="s">
        <v>1458</v>
      </c>
      <c r="E614" t="s">
        <v>219</v>
      </c>
      <c r="F614" t="s">
        <v>460</v>
      </c>
      <c r="G614" t="s">
        <v>1381</v>
      </c>
      <c r="H614" t="s">
        <v>1459</v>
      </c>
      <c r="I614" t="s">
        <v>310</v>
      </c>
      <c r="J614">
        <v>2</v>
      </c>
      <c r="L614">
        <v>480.19</v>
      </c>
      <c r="M614">
        <v>818.35</v>
      </c>
      <c r="N614">
        <v>1221.0999999999999</v>
      </c>
      <c r="O614">
        <v>1741.1599999999901</v>
      </c>
      <c r="P614">
        <v>1</v>
      </c>
      <c r="Q614">
        <v>3</v>
      </c>
      <c r="R614">
        <v>0</v>
      </c>
      <c r="S614">
        <v>100284</v>
      </c>
      <c r="T614" t="b">
        <v>1</v>
      </c>
    </row>
    <row r="615" spans="2:20" x14ac:dyDescent="0.35">
      <c r="B615">
        <v>2019</v>
      </c>
      <c r="C615" s="41">
        <v>43398</v>
      </c>
      <c r="D615" t="s">
        <v>1458</v>
      </c>
      <c r="E615" t="s">
        <v>219</v>
      </c>
      <c r="F615" t="s">
        <v>464</v>
      </c>
      <c r="G615" t="s">
        <v>1381</v>
      </c>
      <c r="H615" t="s">
        <v>1459</v>
      </c>
      <c r="I615" t="s">
        <v>310</v>
      </c>
      <c r="J615">
        <v>2</v>
      </c>
      <c r="L615">
        <v>458</v>
      </c>
      <c r="M615">
        <v>780.52</v>
      </c>
      <c r="N615">
        <v>1164.6599999999901</v>
      </c>
      <c r="O615">
        <v>1660.6799999999901</v>
      </c>
      <c r="P615">
        <v>1</v>
      </c>
      <c r="Q615">
        <v>3</v>
      </c>
      <c r="R615">
        <v>0</v>
      </c>
      <c r="S615">
        <v>100284</v>
      </c>
      <c r="T615" t="b">
        <v>1</v>
      </c>
    </row>
    <row r="616" spans="2:20" x14ac:dyDescent="0.35">
      <c r="B616">
        <v>2019</v>
      </c>
      <c r="C616" s="41">
        <v>43398</v>
      </c>
      <c r="D616" t="s">
        <v>1458</v>
      </c>
      <c r="E616" t="s">
        <v>219</v>
      </c>
      <c r="F616" t="s">
        <v>459</v>
      </c>
      <c r="G616" t="s">
        <v>1381</v>
      </c>
      <c r="H616" t="s">
        <v>1459</v>
      </c>
      <c r="I616" t="s">
        <v>310</v>
      </c>
      <c r="J616">
        <v>2</v>
      </c>
      <c r="L616">
        <v>546.47</v>
      </c>
      <c r="M616">
        <v>931.29</v>
      </c>
      <c r="N616">
        <v>1389.63</v>
      </c>
      <c r="O616">
        <v>1981.46</v>
      </c>
      <c r="P616">
        <v>1</v>
      </c>
      <c r="Q616">
        <v>3</v>
      </c>
      <c r="R616">
        <v>0</v>
      </c>
      <c r="S616">
        <v>100284</v>
      </c>
      <c r="T616" t="b">
        <v>1</v>
      </c>
    </row>
    <row r="617" spans="2:20" x14ac:dyDescent="0.35">
      <c r="B617">
        <v>2019</v>
      </c>
      <c r="C617" s="41">
        <v>43398</v>
      </c>
      <c r="D617" t="s">
        <v>1460</v>
      </c>
      <c r="E617" t="s">
        <v>219</v>
      </c>
      <c r="F617" t="s">
        <v>1301</v>
      </c>
      <c r="G617" t="s">
        <v>1381</v>
      </c>
      <c r="H617" t="s">
        <v>1461</v>
      </c>
      <c r="I617" t="s">
        <v>310</v>
      </c>
      <c r="J617">
        <v>2</v>
      </c>
      <c r="L617">
        <v>380.72</v>
      </c>
      <c r="M617">
        <v>648.82000000000005</v>
      </c>
      <c r="N617">
        <v>968.14</v>
      </c>
      <c r="O617">
        <v>1380.46</v>
      </c>
      <c r="P617">
        <v>1</v>
      </c>
      <c r="Q617">
        <v>3</v>
      </c>
      <c r="R617">
        <v>0</v>
      </c>
      <c r="S617">
        <v>100283</v>
      </c>
      <c r="T617" t="b">
        <v>1</v>
      </c>
    </row>
    <row r="618" spans="2:20" x14ac:dyDescent="0.35">
      <c r="B618">
        <v>2019</v>
      </c>
      <c r="C618" s="41">
        <v>43398</v>
      </c>
      <c r="D618" t="s">
        <v>1462</v>
      </c>
      <c r="E618" t="s">
        <v>219</v>
      </c>
      <c r="F618" t="s">
        <v>1301</v>
      </c>
      <c r="G618" t="s">
        <v>1381</v>
      </c>
      <c r="H618" t="s">
        <v>1463</v>
      </c>
      <c r="I618" t="s">
        <v>310</v>
      </c>
      <c r="J618">
        <v>2</v>
      </c>
      <c r="L618">
        <v>380.72</v>
      </c>
      <c r="M618">
        <v>648.82000000000005</v>
      </c>
      <c r="N618">
        <v>968.14</v>
      </c>
      <c r="O618">
        <v>1380.46</v>
      </c>
      <c r="P618">
        <v>1</v>
      </c>
      <c r="Q618">
        <v>3</v>
      </c>
      <c r="R618">
        <v>0</v>
      </c>
      <c r="S618">
        <v>100283</v>
      </c>
      <c r="T618" t="b">
        <v>1</v>
      </c>
    </row>
    <row r="619" spans="2:20" x14ac:dyDescent="0.35">
      <c r="B619">
        <v>2019</v>
      </c>
      <c r="C619" s="41">
        <v>43398</v>
      </c>
      <c r="D619" t="s">
        <v>1464</v>
      </c>
      <c r="E619" t="s">
        <v>219</v>
      </c>
      <c r="F619" t="s">
        <v>1301</v>
      </c>
      <c r="G619" t="s">
        <v>1381</v>
      </c>
      <c r="H619" t="s">
        <v>1465</v>
      </c>
      <c r="I619" t="s">
        <v>310</v>
      </c>
      <c r="J619">
        <v>2</v>
      </c>
      <c r="L619">
        <v>380.72</v>
      </c>
      <c r="M619">
        <v>648.82000000000005</v>
      </c>
      <c r="N619">
        <v>968.14</v>
      </c>
      <c r="O619">
        <v>1380.46</v>
      </c>
      <c r="P619">
        <v>1</v>
      </c>
      <c r="Q619">
        <v>3</v>
      </c>
      <c r="R619">
        <v>0</v>
      </c>
      <c r="S619">
        <v>100283</v>
      </c>
      <c r="T619" t="b">
        <v>1</v>
      </c>
    </row>
    <row r="620" spans="2:20" x14ac:dyDescent="0.35">
      <c r="B620">
        <v>2019</v>
      </c>
      <c r="C620" s="41">
        <v>43398</v>
      </c>
      <c r="D620" t="s">
        <v>1466</v>
      </c>
      <c r="E620" t="s">
        <v>219</v>
      </c>
      <c r="F620" t="s">
        <v>1302</v>
      </c>
      <c r="G620" t="s">
        <v>1381</v>
      </c>
      <c r="H620" t="s">
        <v>1467</v>
      </c>
      <c r="I620" t="s">
        <v>310</v>
      </c>
      <c r="J620">
        <v>2</v>
      </c>
      <c r="L620">
        <v>514.98</v>
      </c>
      <c r="M620">
        <v>877.62</v>
      </c>
      <c r="N620">
        <v>1309.55</v>
      </c>
      <c r="O620">
        <v>1867.28</v>
      </c>
      <c r="P620">
        <v>1</v>
      </c>
      <c r="Q620">
        <v>3</v>
      </c>
      <c r="R620">
        <v>0</v>
      </c>
      <c r="S620">
        <v>100284</v>
      </c>
      <c r="T620" t="b">
        <v>1</v>
      </c>
    </row>
    <row r="621" spans="2:20" x14ac:dyDescent="0.35">
      <c r="B621">
        <v>2019</v>
      </c>
      <c r="C621" s="41">
        <v>43398</v>
      </c>
      <c r="D621" t="s">
        <v>1466</v>
      </c>
      <c r="E621" t="s">
        <v>219</v>
      </c>
      <c r="F621" t="s">
        <v>1301</v>
      </c>
      <c r="G621" t="s">
        <v>1381</v>
      </c>
      <c r="H621" t="s">
        <v>1467</v>
      </c>
      <c r="I621" t="s">
        <v>310</v>
      </c>
      <c r="J621">
        <v>2</v>
      </c>
      <c r="L621">
        <v>500.48</v>
      </c>
      <c r="M621">
        <v>852.92</v>
      </c>
      <c r="N621">
        <v>1272.69</v>
      </c>
      <c r="O621">
        <v>1814.71999999999</v>
      </c>
      <c r="P621">
        <v>1</v>
      </c>
      <c r="Q621">
        <v>3</v>
      </c>
      <c r="R621">
        <v>0</v>
      </c>
      <c r="S621">
        <v>100284</v>
      </c>
      <c r="T621" t="b">
        <v>1</v>
      </c>
    </row>
    <row r="622" spans="2:20" x14ac:dyDescent="0.35">
      <c r="B622">
        <v>2019</v>
      </c>
      <c r="C622" s="41">
        <v>43398</v>
      </c>
      <c r="D622" t="s">
        <v>1466</v>
      </c>
      <c r="E622" t="s">
        <v>219</v>
      </c>
      <c r="F622" t="s">
        <v>461</v>
      </c>
      <c r="G622" t="s">
        <v>1381</v>
      </c>
      <c r="H622" t="s">
        <v>1467</v>
      </c>
      <c r="I622" t="s">
        <v>310</v>
      </c>
      <c r="J622">
        <v>2</v>
      </c>
      <c r="L622">
        <v>524.55999999999995</v>
      </c>
      <c r="M622">
        <v>893.95</v>
      </c>
      <c r="N622">
        <v>1333.92</v>
      </c>
      <c r="O622">
        <v>1902.02</v>
      </c>
      <c r="P622">
        <v>1</v>
      </c>
      <c r="Q622">
        <v>3</v>
      </c>
      <c r="R622">
        <v>0</v>
      </c>
      <c r="S622">
        <v>100284</v>
      </c>
      <c r="T622" t="b">
        <v>1</v>
      </c>
    </row>
    <row r="623" spans="2:20" x14ac:dyDescent="0.35">
      <c r="B623">
        <v>2019</v>
      </c>
      <c r="C623" s="41">
        <v>43398</v>
      </c>
      <c r="D623" t="s">
        <v>1468</v>
      </c>
      <c r="E623" t="s">
        <v>219</v>
      </c>
      <c r="F623" t="s">
        <v>1301</v>
      </c>
      <c r="G623" t="s">
        <v>1381</v>
      </c>
      <c r="H623" t="s">
        <v>1469</v>
      </c>
      <c r="I623" t="s">
        <v>310</v>
      </c>
      <c r="J623">
        <v>2</v>
      </c>
      <c r="L623">
        <v>500.48</v>
      </c>
      <c r="M623">
        <v>852.92</v>
      </c>
      <c r="N623">
        <v>1272.69</v>
      </c>
      <c r="O623">
        <v>1814.71999999999</v>
      </c>
      <c r="P623">
        <v>1</v>
      </c>
      <c r="Q623">
        <v>3</v>
      </c>
      <c r="R623">
        <v>0</v>
      </c>
      <c r="S623">
        <v>100284</v>
      </c>
      <c r="T623" t="b">
        <v>1</v>
      </c>
    </row>
    <row r="624" spans="2:20" x14ac:dyDescent="0.35">
      <c r="B624">
        <v>2019</v>
      </c>
      <c r="C624" s="41">
        <v>43398</v>
      </c>
      <c r="D624" t="s">
        <v>1468</v>
      </c>
      <c r="E624" t="s">
        <v>219</v>
      </c>
      <c r="F624" t="s">
        <v>461</v>
      </c>
      <c r="G624" t="s">
        <v>1381</v>
      </c>
      <c r="H624" t="s">
        <v>1469</v>
      </c>
      <c r="I624" t="s">
        <v>310</v>
      </c>
      <c r="J624">
        <v>2</v>
      </c>
      <c r="L624">
        <v>524.55999999999995</v>
      </c>
      <c r="M624">
        <v>893.95</v>
      </c>
      <c r="N624">
        <v>1333.92</v>
      </c>
      <c r="O624">
        <v>1902.02</v>
      </c>
      <c r="P624">
        <v>1</v>
      </c>
      <c r="Q624">
        <v>3</v>
      </c>
      <c r="R624">
        <v>0</v>
      </c>
      <c r="S624">
        <v>100284</v>
      </c>
      <c r="T624" t="b">
        <v>1</v>
      </c>
    </row>
    <row r="625" spans="2:20" x14ac:dyDescent="0.35">
      <c r="B625">
        <v>2019</v>
      </c>
      <c r="C625" s="41">
        <v>43398</v>
      </c>
      <c r="D625" t="s">
        <v>1468</v>
      </c>
      <c r="E625" t="s">
        <v>219</v>
      </c>
      <c r="F625" t="s">
        <v>458</v>
      </c>
      <c r="G625" t="s">
        <v>1381</v>
      </c>
      <c r="H625" t="s">
        <v>1469</v>
      </c>
      <c r="I625" t="s">
        <v>310</v>
      </c>
      <c r="J625">
        <v>2</v>
      </c>
      <c r="L625">
        <v>552.45000000000005</v>
      </c>
      <c r="M625">
        <v>941.49</v>
      </c>
      <c r="N625">
        <v>1404.86</v>
      </c>
      <c r="O625">
        <v>2003.18</v>
      </c>
      <c r="P625">
        <v>1</v>
      </c>
      <c r="Q625">
        <v>3</v>
      </c>
      <c r="R625">
        <v>0</v>
      </c>
      <c r="S625">
        <v>100284</v>
      </c>
      <c r="T625" t="b">
        <v>1</v>
      </c>
    </row>
    <row r="626" spans="2:20" x14ac:dyDescent="0.35">
      <c r="B626">
        <v>2019</v>
      </c>
      <c r="C626" s="41">
        <v>43398</v>
      </c>
      <c r="D626" t="s">
        <v>1468</v>
      </c>
      <c r="E626" t="s">
        <v>219</v>
      </c>
      <c r="F626" t="s">
        <v>1302</v>
      </c>
      <c r="G626" t="s">
        <v>1381</v>
      </c>
      <c r="H626" t="s">
        <v>1469</v>
      </c>
      <c r="I626" t="s">
        <v>310</v>
      </c>
      <c r="J626">
        <v>2</v>
      </c>
      <c r="L626">
        <v>514.98</v>
      </c>
      <c r="M626">
        <v>877.62</v>
      </c>
      <c r="N626">
        <v>1309.55</v>
      </c>
      <c r="O626">
        <v>1867.28</v>
      </c>
      <c r="P626">
        <v>1</v>
      </c>
      <c r="Q626">
        <v>3</v>
      </c>
      <c r="R626">
        <v>0</v>
      </c>
      <c r="S626">
        <v>100284</v>
      </c>
      <c r="T626" t="b">
        <v>1</v>
      </c>
    </row>
    <row r="627" spans="2:20" x14ac:dyDescent="0.35">
      <c r="B627">
        <v>2019</v>
      </c>
      <c r="C627" s="41">
        <v>43398</v>
      </c>
      <c r="D627" t="s">
        <v>1470</v>
      </c>
      <c r="E627" t="s">
        <v>219</v>
      </c>
      <c r="F627" t="s">
        <v>1302</v>
      </c>
      <c r="G627" t="s">
        <v>1381</v>
      </c>
      <c r="H627" t="s">
        <v>1471</v>
      </c>
      <c r="I627" t="s">
        <v>310</v>
      </c>
      <c r="J627">
        <v>2</v>
      </c>
      <c r="L627">
        <v>514.98</v>
      </c>
      <c r="M627">
        <v>877.62</v>
      </c>
      <c r="N627">
        <v>1309.55</v>
      </c>
      <c r="O627">
        <v>1867.28</v>
      </c>
      <c r="P627">
        <v>1</v>
      </c>
      <c r="Q627">
        <v>3</v>
      </c>
      <c r="R627">
        <v>0</v>
      </c>
      <c r="S627">
        <v>100284</v>
      </c>
      <c r="T627" t="b">
        <v>1</v>
      </c>
    </row>
    <row r="628" spans="2:20" x14ac:dyDescent="0.35">
      <c r="B628">
        <v>2019</v>
      </c>
      <c r="C628" s="41">
        <v>43398</v>
      </c>
      <c r="D628" t="s">
        <v>1470</v>
      </c>
      <c r="E628" t="s">
        <v>219</v>
      </c>
      <c r="F628" t="s">
        <v>1301</v>
      </c>
      <c r="G628" t="s">
        <v>1381</v>
      </c>
      <c r="H628" t="s">
        <v>1471</v>
      </c>
      <c r="I628" t="s">
        <v>310</v>
      </c>
      <c r="J628">
        <v>2</v>
      </c>
      <c r="L628">
        <v>500.48</v>
      </c>
      <c r="M628">
        <v>852.92</v>
      </c>
      <c r="N628">
        <v>1272.69</v>
      </c>
      <c r="O628">
        <v>1814.71999999999</v>
      </c>
      <c r="P628">
        <v>1</v>
      </c>
      <c r="Q628">
        <v>3</v>
      </c>
      <c r="R628">
        <v>0</v>
      </c>
      <c r="S628">
        <v>100284</v>
      </c>
      <c r="T628" t="b">
        <v>1</v>
      </c>
    </row>
    <row r="629" spans="2:20" x14ac:dyDescent="0.35">
      <c r="B629">
        <v>2019</v>
      </c>
      <c r="C629" s="41">
        <v>43398</v>
      </c>
      <c r="D629" t="s">
        <v>1466</v>
      </c>
      <c r="E629" t="s">
        <v>219</v>
      </c>
      <c r="F629" t="s">
        <v>458</v>
      </c>
      <c r="G629" t="s">
        <v>1381</v>
      </c>
      <c r="H629" t="s">
        <v>1467</v>
      </c>
      <c r="I629" t="s">
        <v>310</v>
      </c>
      <c r="J629">
        <v>2</v>
      </c>
      <c r="L629">
        <v>552.45000000000005</v>
      </c>
      <c r="M629">
        <v>941.49</v>
      </c>
      <c r="N629">
        <v>1404.86</v>
      </c>
      <c r="O629">
        <v>2003.18</v>
      </c>
      <c r="P629">
        <v>1</v>
      </c>
      <c r="Q629">
        <v>3</v>
      </c>
      <c r="R629">
        <v>0</v>
      </c>
      <c r="S629">
        <v>100284</v>
      </c>
      <c r="T629" t="b">
        <v>1</v>
      </c>
    </row>
    <row r="630" spans="2:20" x14ac:dyDescent="0.35">
      <c r="B630">
        <v>2019</v>
      </c>
      <c r="C630" s="41">
        <v>43398</v>
      </c>
      <c r="D630" t="s">
        <v>1470</v>
      </c>
      <c r="E630" t="s">
        <v>219</v>
      </c>
      <c r="F630" t="s">
        <v>461</v>
      </c>
      <c r="G630" t="s">
        <v>1381</v>
      </c>
      <c r="H630" t="s">
        <v>1471</v>
      </c>
      <c r="I630" t="s">
        <v>310</v>
      </c>
      <c r="J630">
        <v>2</v>
      </c>
      <c r="L630">
        <v>524.55999999999995</v>
      </c>
      <c r="M630">
        <v>893.95</v>
      </c>
      <c r="N630">
        <v>1333.92</v>
      </c>
      <c r="O630">
        <v>1902.02</v>
      </c>
      <c r="P630">
        <v>1</v>
      </c>
      <c r="Q630">
        <v>3</v>
      </c>
      <c r="R630">
        <v>0</v>
      </c>
      <c r="S630">
        <v>100284</v>
      </c>
      <c r="T630" t="b">
        <v>1</v>
      </c>
    </row>
    <row r="631" spans="2:20" x14ac:dyDescent="0.35">
      <c r="B631">
        <v>2019</v>
      </c>
      <c r="C631" s="41">
        <v>43398</v>
      </c>
      <c r="D631" t="s">
        <v>1470</v>
      </c>
      <c r="E631" t="s">
        <v>219</v>
      </c>
      <c r="F631" t="s">
        <v>458</v>
      </c>
      <c r="G631" t="s">
        <v>1381</v>
      </c>
      <c r="H631" t="s">
        <v>1471</v>
      </c>
      <c r="I631" t="s">
        <v>310</v>
      </c>
      <c r="J631">
        <v>2</v>
      </c>
      <c r="L631">
        <v>552.45000000000005</v>
      </c>
      <c r="M631">
        <v>941.49</v>
      </c>
      <c r="N631">
        <v>1404.86</v>
      </c>
      <c r="O631">
        <v>2003.18</v>
      </c>
      <c r="P631">
        <v>1</v>
      </c>
      <c r="Q631">
        <v>3</v>
      </c>
      <c r="R631">
        <v>0</v>
      </c>
      <c r="S631">
        <v>100284</v>
      </c>
      <c r="T631" t="b">
        <v>1</v>
      </c>
    </row>
    <row r="632" spans="2:20" x14ac:dyDescent="0.35">
      <c r="B632">
        <v>2019</v>
      </c>
      <c r="C632" s="41">
        <v>43398</v>
      </c>
      <c r="D632" t="s">
        <v>1472</v>
      </c>
      <c r="E632" t="s">
        <v>219</v>
      </c>
      <c r="F632" t="s">
        <v>1301</v>
      </c>
      <c r="G632" t="s">
        <v>1381</v>
      </c>
      <c r="H632" t="s">
        <v>1473</v>
      </c>
      <c r="I632" t="s">
        <v>310</v>
      </c>
      <c r="J632">
        <v>2</v>
      </c>
      <c r="L632">
        <v>406.97</v>
      </c>
      <c r="M632">
        <v>693.56</v>
      </c>
      <c r="N632">
        <v>1034.8899999999901</v>
      </c>
      <c r="O632">
        <v>1475.6399999999901</v>
      </c>
      <c r="P632">
        <v>1</v>
      </c>
      <c r="Q632">
        <v>3</v>
      </c>
      <c r="R632">
        <v>0</v>
      </c>
      <c r="S632">
        <v>100283</v>
      </c>
      <c r="T632" t="b">
        <v>1</v>
      </c>
    </row>
    <row r="633" spans="2:20" x14ac:dyDescent="0.35">
      <c r="B633">
        <v>2019</v>
      </c>
      <c r="C633" s="41">
        <v>43398</v>
      </c>
      <c r="D633" t="s">
        <v>1474</v>
      </c>
      <c r="E633" t="s">
        <v>219</v>
      </c>
      <c r="F633" t="s">
        <v>1301</v>
      </c>
      <c r="G633" t="s">
        <v>1381</v>
      </c>
      <c r="H633" t="s">
        <v>1475</v>
      </c>
      <c r="I633" t="s">
        <v>310</v>
      </c>
      <c r="J633">
        <v>2</v>
      </c>
      <c r="L633">
        <v>406.97</v>
      </c>
      <c r="M633">
        <v>693.56</v>
      </c>
      <c r="N633">
        <v>1034.8899999999901</v>
      </c>
      <c r="O633">
        <v>1475.6399999999901</v>
      </c>
      <c r="P633">
        <v>1</v>
      </c>
      <c r="Q633">
        <v>3</v>
      </c>
      <c r="R633">
        <v>0</v>
      </c>
      <c r="S633">
        <v>100283</v>
      </c>
      <c r="T633" t="b">
        <v>1</v>
      </c>
    </row>
    <row r="634" spans="2:20" x14ac:dyDescent="0.35">
      <c r="B634">
        <v>2019</v>
      </c>
      <c r="C634" s="41">
        <v>43398</v>
      </c>
      <c r="D634" t="s">
        <v>1476</v>
      </c>
      <c r="E634" t="s">
        <v>219</v>
      </c>
      <c r="F634" t="s">
        <v>1301</v>
      </c>
      <c r="G634" t="s">
        <v>1381</v>
      </c>
      <c r="H634" t="s">
        <v>1477</v>
      </c>
      <c r="I634" t="s">
        <v>310</v>
      </c>
      <c r="J634">
        <v>2</v>
      </c>
      <c r="L634">
        <v>406.97</v>
      </c>
      <c r="M634">
        <v>693.56</v>
      </c>
      <c r="N634">
        <v>1034.8899999999901</v>
      </c>
      <c r="O634">
        <v>1475.6399999999901</v>
      </c>
      <c r="P634">
        <v>1</v>
      </c>
      <c r="Q634">
        <v>3</v>
      </c>
      <c r="R634">
        <v>0</v>
      </c>
      <c r="S634">
        <v>100283</v>
      </c>
      <c r="T634" t="b">
        <v>1</v>
      </c>
    </row>
    <row r="635" spans="2:20" x14ac:dyDescent="0.35">
      <c r="B635">
        <v>2019</v>
      </c>
      <c r="C635" s="41">
        <v>43398</v>
      </c>
      <c r="D635" t="s">
        <v>1478</v>
      </c>
      <c r="E635" t="s">
        <v>219</v>
      </c>
      <c r="F635" t="s">
        <v>1301</v>
      </c>
      <c r="G635" t="s">
        <v>1381</v>
      </c>
      <c r="H635" t="s">
        <v>1479</v>
      </c>
      <c r="I635" t="s">
        <v>310</v>
      </c>
      <c r="J635">
        <v>2</v>
      </c>
      <c r="L635">
        <v>364.64</v>
      </c>
      <c r="M635">
        <v>621.41999999999996</v>
      </c>
      <c r="N635">
        <v>927.25</v>
      </c>
      <c r="O635">
        <v>1322.16</v>
      </c>
      <c r="P635">
        <v>1</v>
      </c>
      <c r="Q635">
        <v>3</v>
      </c>
      <c r="R635">
        <v>0</v>
      </c>
      <c r="S635">
        <v>100283</v>
      </c>
      <c r="T635" t="b">
        <v>1</v>
      </c>
    </row>
    <row r="636" spans="2:20" x14ac:dyDescent="0.35">
      <c r="B636">
        <v>2019</v>
      </c>
      <c r="C636" s="41">
        <v>43398</v>
      </c>
      <c r="D636" t="s">
        <v>1480</v>
      </c>
      <c r="E636" t="s">
        <v>219</v>
      </c>
      <c r="F636" t="s">
        <v>1302</v>
      </c>
      <c r="G636" t="s">
        <v>1381</v>
      </c>
      <c r="H636" t="s">
        <v>1481</v>
      </c>
      <c r="I636" t="s">
        <v>310</v>
      </c>
      <c r="J636">
        <v>2</v>
      </c>
      <c r="L636">
        <v>493.22</v>
      </c>
      <c r="M636">
        <v>840.55</v>
      </c>
      <c r="N636">
        <v>1254.23</v>
      </c>
      <c r="O636">
        <v>1788.3999999999901</v>
      </c>
      <c r="P636">
        <v>1</v>
      </c>
      <c r="Q636">
        <v>3</v>
      </c>
      <c r="R636">
        <v>0</v>
      </c>
      <c r="S636">
        <v>100284</v>
      </c>
      <c r="T636" t="b">
        <v>1</v>
      </c>
    </row>
    <row r="637" spans="2:20" x14ac:dyDescent="0.35">
      <c r="B637">
        <v>2019</v>
      </c>
      <c r="C637" s="41">
        <v>43398</v>
      </c>
      <c r="D637" t="s">
        <v>1480</v>
      </c>
      <c r="E637" t="s">
        <v>219</v>
      </c>
      <c r="F637" t="s">
        <v>1301</v>
      </c>
      <c r="G637" t="s">
        <v>1381</v>
      </c>
      <c r="H637" t="s">
        <v>1481</v>
      </c>
      <c r="I637" t="s">
        <v>310</v>
      </c>
      <c r="J637">
        <v>2</v>
      </c>
      <c r="L637">
        <v>479.33</v>
      </c>
      <c r="M637">
        <v>816.88</v>
      </c>
      <c r="N637">
        <v>1218.9299999999901</v>
      </c>
      <c r="O637">
        <v>1738.06</v>
      </c>
      <c r="P637">
        <v>1</v>
      </c>
      <c r="Q637">
        <v>3</v>
      </c>
      <c r="R637">
        <v>0</v>
      </c>
      <c r="S637">
        <v>100284</v>
      </c>
      <c r="T637" t="b">
        <v>1</v>
      </c>
    </row>
    <row r="638" spans="2:20" x14ac:dyDescent="0.35">
      <c r="B638">
        <v>2019</v>
      </c>
      <c r="C638" s="41">
        <v>43398</v>
      </c>
      <c r="D638" t="s">
        <v>1480</v>
      </c>
      <c r="E638" t="s">
        <v>219</v>
      </c>
      <c r="F638" t="s">
        <v>461</v>
      </c>
      <c r="G638" t="s">
        <v>1381</v>
      </c>
      <c r="H638" t="s">
        <v>1481</v>
      </c>
      <c r="I638" t="s">
        <v>310</v>
      </c>
      <c r="J638">
        <v>2</v>
      </c>
      <c r="L638">
        <v>502.39</v>
      </c>
      <c r="M638">
        <v>856.17</v>
      </c>
      <c r="N638">
        <v>1277.56</v>
      </c>
      <c r="O638">
        <v>1821.66</v>
      </c>
      <c r="P638">
        <v>1</v>
      </c>
      <c r="Q638">
        <v>3</v>
      </c>
      <c r="R638">
        <v>0</v>
      </c>
      <c r="S638">
        <v>100284</v>
      </c>
      <c r="T638" t="b">
        <v>1</v>
      </c>
    </row>
    <row r="639" spans="2:20" x14ac:dyDescent="0.35">
      <c r="B639">
        <v>2019</v>
      </c>
      <c r="C639" s="41">
        <v>43398</v>
      </c>
      <c r="D639" t="s">
        <v>1480</v>
      </c>
      <c r="E639" t="s">
        <v>219</v>
      </c>
      <c r="F639" t="s">
        <v>458</v>
      </c>
      <c r="G639" t="s">
        <v>1381</v>
      </c>
      <c r="H639" t="s">
        <v>1481</v>
      </c>
      <c r="I639" t="s">
        <v>310</v>
      </c>
      <c r="J639">
        <v>2</v>
      </c>
      <c r="L639">
        <v>529.11</v>
      </c>
      <c r="M639">
        <v>901.72</v>
      </c>
      <c r="N639">
        <v>1345.5</v>
      </c>
      <c r="O639">
        <v>1918.54</v>
      </c>
      <c r="P639">
        <v>1</v>
      </c>
      <c r="Q639">
        <v>3</v>
      </c>
      <c r="R639">
        <v>0</v>
      </c>
      <c r="S639">
        <v>100284</v>
      </c>
      <c r="T639" t="b">
        <v>1</v>
      </c>
    </row>
    <row r="640" spans="2:20" x14ac:dyDescent="0.35">
      <c r="B640">
        <v>2019</v>
      </c>
      <c r="C640" s="41">
        <v>43398</v>
      </c>
      <c r="D640" t="s">
        <v>1482</v>
      </c>
      <c r="E640" t="s">
        <v>219</v>
      </c>
      <c r="F640" t="s">
        <v>1302</v>
      </c>
      <c r="G640" t="s">
        <v>1381</v>
      </c>
      <c r="H640" t="s">
        <v>1483</v>
      </c>
      <c r="I640" t="s">
        <v>310</v>
      </c>
      <c r="J640">
        <v>2</v>
      </c>
      <c r="L640">
        <v>493.22</v>
      </c>
      <c r="M640">
        <v>840.55</v>
      </c>
      <c r="N640">
        <v>1254.23</v>
      </c>
      <c r="O640">
        <v>1788.3999999999901</v>
      </c>
      <c r="P640">
        <v>1</v>
      </c>
      <c r="Q640">
        <v>3</v>
      </c>
      <c r="R640">
        <v>0</v>
      </c>
      <c r="S640">
        <v>100284</v>
      </c>
      <c r="T640" t="b">
        <v>1</v>
      </c>
    </row>
    <row r="641" spans="2:20" x14ac:dyDescent="0.35">
      <c r="B641">
        <v>2019</v>
      </c>
      <c r="C641" s="41">
        <v>43398</v>
      </c>
      <c r="D641" t="s">
        <v>1482</v>
      </c>
      <c r="E641" t="s">
        <v>219</v>
      </c>
      <c r="F641" t="s">
        <v>461</v>
      </c>
      <c r="G641" t="s">
        <v>1381</v>
      </c>
      <c r="H641" t="s">
        <v>1483</v>
      </c>
      <c r="I641" t="s">
        <v>310</v>
      </c>
      <c r="J641">
        <v>2</v>
      </c>
      <c r="L641">
        <v>502.39</v>
      </c>
      <c r="M641">
        <v>856.17</v>
      </c>
      <c r="N641">
        <v>1277.56</v>
      </c>
      <c r="O641">
        <v>1821.66</v>
      </c>
      <c r="P641">
        <v>1</v>
      </c>
      <c r="Q641">
        <v>3</v>
      </c>
      <c r="R641">
        <v>0</v>
      </c>
      <c r="S641">
        <v>100284</v>
      </c>
      <c r="T641" t="b">
        <v>1</v>
      </c>
    </row>
    <row r="642" spans="2:20" x14ac:dyDescent="0.35">
      <c r="B642">
        <v>2019</v>
      </c>
      <c r="C642" s="41">
        <v>43398</v>
      </c>
      <c r="D642" t="s">
        <v>1482</v>
      </c>
      <c r="E642" t="s">
        <v>219</v>
      </c>
      <c r="F642" t="s">
        <v>458</v>
      </c>
      <c r="G642" t="s">
        <v>1381</v>
      </c>
      <c r="H642" t="s">
        <v>1483</v>
      </c>
      <c r="I642" t="s">
        <v>310</v>
      </c>
      <c r="J642">
        <v>2</v>
      </c>
      <c r="L642">
        <v>529.11</v>
      </c>
      <c r="M642">
        <v>901.72</v>
      </c>
      <c r="N642">
        <v>1345.5</v>
      </c>
      <c r="O642">
        <v>1918.54</v>
      </c>
      <c r="P642">
        <v>1</v>
      </c>
      <c r="Q642">
        <v>3</v>
      </c>
      <c r="R642">
        <v>0</v>
      </c>
      <c r="S642">
        <v>100284</v>
      </c>
      <c r="T642" t="b">
        <v>1</v>
      </c>
    </row>
    <row r="643" spans="2:20" x14ac:dyDescent="0.35">
      <c r="B643">
        <v>2019</v>
      </c>
      <c r="C643" s="41">
        <v>43398</v>
      </c>
      <c r="D643" t="s">
        <v>1484</v>
      </c>
      <c r="E643" t="s">
        <v>219</v>
      </c>
      <c r="F643" t="s">
        <v>1302</v>
      </c>
      <c r="G643" t="s">
        <v>1381</v>
      </c>
      <c r="H643" t="s">
        <v>1485</v>
      </c>
      <c r="I643" t="s">
        <v>310</v>
      </c>
      <c r="J643">
        <v>2</v>
      </c>
      <c r="L643">
        <v>493.22</v>
      </c>
      <c r="M643">
        <v>840.55</v>
      </c>
      <c r="N643">
        <v>1254.23</v>
      </c>
      <c r="O643">
        <v>1788.3999999999901</v>
      </c>
      <c r="P643">
        <v>1</v>
      </c>
      <c r="Q643">
        <v>3</v>
      </c>
      <c r="R643">
        <v>0</v>
      </c>
      <c r="S643">
        <v>100284</v>
      </c>
      <c r="T643" t="b">
        <v>1</v>
      </c>
    </row>
    <row r="644" spans="2:20" x14ac:dyDescent="0.35">
      <c r="B644">
        <v>2019</v>
      </c>
      <c r="C644" s="41">
        <v>43398</v>
      </c>
      <c r="D644" t="s">
        <v>1484</v>
      </c>
      <c r="E644" t="s">
        <v>219</v>
      </c>
      <c r="F644" t="s">
        <v>1301</v>
      </c>
      <c r="G644" t="s">
        <v>1381</v>
      </c>
      <c r="H644" t="s">
        <v>1485</v>
      </c>
      <c r="I644" t="s">
        <v>310</v>
      </c>
      <c r="J644">
        <v>2</v>
      </c>
      <c r="L644">
        <v>479.33</v>
      </c>
      <c r="M644">
        <v>816.88</v>
      </c>
      <c r="N644">
        <v>1218.9299999999901</v>
      </c>
      <c r="O644">
        <v>1738.06</v>
      </c>
      <c r="P644">
        <v>1</v>
      </c>
      <c r="Q644">
        <v>3</v>
      </c>
      <c r="R644">
        <v>0</v>
      </c>
      <c r="S644">
        <v>100284</v>
      </c>
      <c r="T644" t="b">
        <v>1</v>
      </c>
    </row>
    <row r="645" spans="2:20" x14ac:dyDescent="0.35">
      <c r="B645">
        <v>2019</v>
      </c>
      <c r="C645" s="41">
        <v>43398</v>
      </c>
      <c r="D645" t="s">
        <v>1484</v>
      </c>
      <c r="E645" t="s">
        <v>219</v>
      </c>
      <c r="F645" t="s">
        <v>461</v>
      </c>
      <c r="G645" t="s">
        <v>1381</v>
      </c>
      <c r="H645" t="s">
        <v>1485</v>
      </c>
      <c r="I645" t="s">
        <v>310</v>
      </c>
      <c r="J645">
        <v>2</v>
      </c>
      <c r="L645">
        <v>502.39</v>
      </c>
      <c r="M645">
        <v>856.17</v>
      </c>
      <c r="N645">
        <v>1277.56</v>
      </c>
      <c r="O645">
        <v>1821.66</v>
      </c>
      <c r="P645">
        <v>1</v>
      </c>
      <c r="Q645">
        <v>3</v>
      </c>
      <c r="R645">
        <v>0</v>
      </c>
      <c r="S645">
        <v>100284</v>
      </c>
      <c r="T645" t="b">
        <v>1</v>
      </c>
    </row>
    <row r="646" spans="2:20" x14ac:dyDescent="0.35">
      <c r="B646">
        <v>2019</v>
      </c>
      <c r="C646" s="41">
        <v>43398</v>
      </c>
      <c r="D646" t="s">
        <v>1484</v>
      </c>
      <c r="E646" t="s">
        <v>219</v>
      </c>
      <c r="F646" t="s">
        <v>458</v>
      </c>
      <c r="G646" t="s">
        <v>1381</v>
      </c>
      <c r="H646" t="s">
        <v>1485</v>
      </c>
      <c r="I646" t="s">
        <v>310</v>
      </c>
      <c r="J646">
        <v>2</v>
      </c>
      <c r="L646">
        <v>529.11</v>
      </c>
      <c r="M646">
        <v>901.72</v>
      </c>
      <c r="N646">
        <v>1345.5</v>
      </c>
      <c r="O646">
        <v>1918.54</v>
      </c>
      <c r="P646">
        <v>1</v>
      </c>
      <c r="Q646">
        <v>3</v>
      </c>
      <c r="R646">
        <v>0</v>
      </c>
      <c r="S646">
        <v>100284</v>
      </c>
      <c r="T646" t="b">
        <v>1</v>
      </c>
    </row>
    <row r="647" spans="2:20" x14ac:dyDescent="0.35">
      <c r="B647">
        <v>2019</v>
      </c>
      <c r="C647" s="41">
        <v>43398</v>
      </c>
      <c r="D647" t="s">
        <v>1486</v>
      </c>
      <c r="E647" t="s">
        <v>219</v>
      </c>
      <c r="F647" t="s">
        <v>1301</v>
      </c>
      <c r="G647" t="s">
        <v>1381</v>
      </c>
      <c r="H647" t="s">
        <v>1487</v>
      </c>
      <c r="I647" t="s">
        <v>310</v>
      </c>
      <c r="J647">
        <v>2</v>
      </c>
      <c r="L647">
        <v>403.19</v>
      </c>
      <c r="M647">
        <v>687.11</v>
      </c>
      <c r="N647">
        <v>1025.28</v>
      </c>
      <c r="O647">
        <v>1461.94</v>
      </c>
      <c r="P647">
        <v>1</v>
      </c>
      <c r="Q647">
        <v>3</v>
      </c>
      <c r="R647">
        <v>0</v>
      </c>
      <c r="S647">
        <v>100283</v>
      </c>
      <c r="T647" t="b">
        <v>1</v>
      </c>
    </row>
    <row r="648" spans="2:20" x14ac:dyDescent="0.35">
      <c r="B648">
        <v>2019</v>
      </c>
      <c r="C648" s="41">
        <v>43398</v>
      </c>
      <c r="D648" t="s">
        <v>1488</v>
      </c>
      <c r="E648" t="s">
        <v>219</v>
      </c>
      <c r="F648" t="s">
        <v>1301</v>
      </c>
      <c r="G648" t="s">
        <v>1381</v>
      </c>
      <c r="H648" t="s">
        <v>1489</v>
      </c>
      <c r="I648" t="s">
        <v>310</v>
      </c>
      <c r="J648">
        <v>2</v>
      </c>
      <c r="L648">
        <v>403.19</v>
      </c>
      <c r="M648">
        <v>687.11</v>
      </c>
      <c r="N648">
        <v>1025.28</v>
      </c>
      <c r="O648">
        <v>1461.94</v>
      </c>
      <c r="P648">
        <v>1</v>
      </c>
      <c r="Q648">
        <v>3</v>
      </c>
      <c r="R648">
        <v>0</v>
      </c>
      <c r="S648">
        <v>100283</v>
      </c>
      <c r="T648" t="b">
        <v>1</v>
      </c>
    </row>
    <row r="649" spans="2:20" x14ac:dyDescent="0.35">
      <c r="B649">
        <v>2019</v>
      </c>
      <c r="C649" s="41">
        <v>43398</v>
      </c>
      <c r="D649" t="s">
        <v>1490</v>
      </c>
      <c r="E649" t="s">
        <v>219</v>
      </c>
      <c r="F649" t="s">
        <v>458</v>
      </c>
      <c r="G649" t="s">
        <v>1381</v>
      </c>
      <c r="H649" t="s">
        <v>1491</v>
      </c>
      <c r="I649" t="s">
        <v>310</v>
      </c>
      <c r="J649">
        <v>2</v>
      </c>
      <c r="L649">
        <v>585.1</v>
      </c>
      <c r="M649">
        <v>997.12</v>
      </c>
      <c r="N649">
        <v>1487.87</v>
      </c>
      <c r="O649">
        <v>2121.54</v>
      </c>
      <c r="P649">
        <v>1</v>
      </c>
      <c r="Q649">
        <v>3</v>
      </c>
      <c r="R649">
        <v>0</v>
      </c>
      <c r="S649">
        <v>100284</v>
      </c>
      <c r="T649" t="b">
        <v>1</v>
      </c>
    </row>
    <row r="650" spans="2:20" x14ac:dyDescent="0.35">
      <c r="B650">
        <v>2019</v>
      </c>
      <c r="C650" s="41">
        <v>43398</v>
      </c>
      <c r="D650" t="s">
        <v>1490</v>
      </c>
      <c r="E650" t="s">
        <v>219</v>
      </c>
      <c r="F650" t="s">
        <v>1301</v>
      </c>
      <c r="G650" t="s">
        <v>1381</v>
      </c>
      <c r="H650" t="s">
        <v>1491</v>
      </c>
      <c r="I650" t="s">
        <v>310</v>
      </c>
      <c r="J650">
        <v>2</v>
      </c>
      <c r="L650">
        <v>530.04999999999995</v>
      </c>
      <c r="M650">
        <v>903.31</v>
      </c>
      <c r="N650">
        <v>1347.87</v>
      </c>
      <c r="O650">
        <v>1921.92</v>
      </c>
      <c r="P650">
        <v>1</v>
      </c>
      <c r="Q650">
        <v>3</v>
      </c>
      <c r="R650">
        <v>0</v>
      </c>
      <c r="S650">
        <v>100284</v>
      </c>
      <c r="T650" t="b">
        <v>1</v>
      </c>
    </row>
    <row r="651" spans="2:20" x14ac:dyDescent="0.35">
      <c r="B651">
        <v>2019</v>
      </c>
      <c r="C651" s="41">
        <v>43398</v>
      </c>
      <c r="D651" t="s">
        <v>1490</v>
      </c>
      <c r="E651" t="s">
        <v>219</v>
      </c>
      <c r="F651" t="s">
        <v>461</v>
      </c>
      <c r="G651" t="s">
        <v>1381</v>
      </c>
      <c r="H651" t="s">
        <v>1491</v>
      </c>
      <c r="I651" t="s">
        <v>310</v>
      </c>
      <c r="J651">
        <v>2</v>
      </c>
      <c r="L651">
        <v>555.54</v>
      </c>
      <c r="M651">
        <v>946.76</v>
      </c>
      <c r="N651">
        <v>1412.71999999999</v>
      </c>
      <c r="O651">
        <v>2014.3799999999901</v>
      </c>
      <c r="P651">
        <v>1</v>
      </c>
      <c r="Q651">
        <v>3</v>
      </c>
      <c r="R651">
        <v>0</v>
      </c>
      <c r="S651">
        <v>100284</v>
      </c>
      <c r="T651" t="b">
        <v>1</v>
      </c>
    </row>
    <row r="652" spans="2:20" x14ac:dyDescent="0.35">
      <c r="B652">
        <v>2019</v>
      </c>
      <c r="C652" s="41">
        <v>43398</v>
      </c>
      <c r="D652" t="s">
        <v>1490</v>
      </c>
      <c r="E652" t="s">
        <v>219</v>
      </c>
      <c r="F652" t="s">
        <v>1302</v>
      </c>
      <c r="G652" t="s">
        <v>1381</v>
      </c>
      <c r="H652" t="s">
        <v>1491</v>
      </c>
      <c r="I652" t="s">
        <v>310</v>
      </c>
      <c r="J652">
        <v>2</v>
      </c>
      <c r="L652">
        <v>545.4</v>
      </c>
      <c r="M652">
        <v>929.47</v>
      </c>
      <c r="N652">
        <v>1386.92</v>
      </c>
      <c r="O652">
        <v>1977.6</v>
      </c>
      <c r="P652">
        <v>1</v>
      </c>
      <c r="Q652">
        <v>3</v>
      </c>
      <c r="R652">
        <v>0</v>
      </c>
      <c r="S652">
        <v>100284</v>
      </c>
      <c r="T652" t="b">
        <v>1</v>
      </c>
    </row>
    <row r="653" spans="2:20" x14ac:dyDescent="0.35">
      <c r="B653">
        <v>2019</v>
      </c>
      <c r="C653" s="41">
        <v>43398</v>
      </c>
      <c r="D653" t="s">
        <v>1492</v>
      </c>
      <c r="E653" t="s">
        <v>219</v>
      </c>
      <c r="F653" t="s">
        <v>461</v>
      </c>
      <c r="G653" t="s">
        <v>1381</v>
      </c>
      <c r="H653" t="s">
        <v>1493</v>
      </c>
      <c r="I653" t="s">
        <v>310</v>
      </c>
      <c r="J653">
        <v>2</v>
      </c>
      <c r="L653">
        <v>560.77</v>
      </c>
      <c r="M653">
        <v>955.67</v>
      </c>
      <c r="N653">
        <v>1426.01</v>
      </c>
      <c r="O653">
        <v>2033.34</v>
      </c>
      <c r="P653">
        <v>1</v>
      </c>
      <c r="Q653">
        <v>3</v>
      </c>
      <c r="R653">
        <v>0</v>
      </c>
      <c r="S653">
        <v>100284</v>
      </c>
      <c r="T653" t="b">
        <v>1</v>
      </c>
    </row>
    <row r="654" spans="2:20" x14ac:dyDescent="0.35">
      <c r="B654">
        <v>2019</v>
      </c>
      <c r="C654" s="41">
        <v>43398</v>
      </c>
      <c r="D654" t="s">
        <v>1492</v>
      </c>
      <c r="E654" t="s">
        <v>219</v>
      </c>
      <c r="F654" t="s">
        <v>1302</v>
      </c>
      <c r="G654" t="s">
        <v>1381</v>
      </c>
      <c r="H654" t="s">
        <v>1493</v>
      </c>
      <c r="I654" t="s">
        <v>310</v>
      </c>
      <c r="J654">
        <v>2</v>
      </c>
      <c r="L654">
        <v>550.54</v>
      </c>
      <c r="M654">
        <v>938.22</v>
      </c>
      <c r="N654">
        <v>1399.98</v>
      </c>
      <c r="O654">
        <v>1996.22</v>
      </c>
      <c r="P654">
        <v>1</v>
      </c>
      <c r="Q654">
        <v>3</v>
      </c>
      <c r="R654">
        <v>0</v>
      </c>
      <c r="S654">
        <v>100284</v>
      </c>
      <c r="T654" t="b">
        <v>1</v>
      </c>
    </row>
    <row r="655" spans="2:20" x14ac:dyDescent="0.35">
      <c r="B655">
        <v>2019</v>
      </c>
      <c r="C655" s="41">
        <v>43398</v>
      </c>
      <c r="D655" t="s">
        <v>1492</v>
      </c>
      <c r="E655" t="s">
        <v>219</v>
      </c>
      <c r="F655" t="s">
        <v>1301</v>
      </c>
      <c r="G655" t="s">
        <v>1381</v>
      </c>
      <c r="H655" t="s">
        <v>1493</v>
      </c>
      <c r="I655" t="s">
        <v>310</v>
      </c>
      <c r="J655">
        <v>2</v>
      </c>
      <c r="L655">
        <v>535.04999999999995</v>
      </c>
      <c r="M655">
        <v>911.82</v>
      </c>
      <c r="N655">
        <v>1360.58</v>
      </c>
      <c r="O655">
        <v>1940.04</v>
      </c>
      <c r="P655">
        <v>1</v>
      </c>
      <c r="Q655">
        <v>3</v>
      </c>
      <c r="R655">
        <v>0</v>
      </c>
      <c r="S655">
        <v>100284</v>
      </c>
      <c r="T655" t="b">
        <v>1</v>
      </c>
    </row>
    <row r="656" spans="2:20" x14ac:dyDescent="0.35">
      <c r="B656">
        <v>2019</v>
      </c>
      <c r="C656" s="41">
        <v>43398</v>
      </c>
      <c r="D656" t="s">
        <v>1482</v>
      </c>
      <c r="E656" t="s">
        <v>219</v>
      </c>
      <c r="F656" t="s">
        <v>1301</v>
      </c>
      <c r="G656" t="s">
        <v>1381</v>
      </c>
      <c r="H656" t="s">
        <v>1483</v>
      </c>
      <c r="I656" t="s">
        <v>310</v>
      </c>
      <c r="J656">
        <v>2</v>
      </c>
      <c r="L656">
        <v>479.33</v>
      </c>
      <c r="M656">
        <v>816.88</v>
      </c>
      <c r="N656">
        <v>1218.9299999999901</v>
      </c>
      <c r="O656">
        <v>1738.06</v>
      </c>
      <c r="P656">
        <v>1</v>
      </c>
      <c r="Q656">
        <v>3</v>
      </c>
      <c r="R656">
        <v>0</v>
      </c>
      <c r="S656">
        <v>100284</v>
      </c>
      <c r="T656" t="b">
        <v>1</v>
      </c>
    </row>
    <row r="657" spans="2:20" x14ac:dyDescent="0.35">
      <c r="B657">
        <v>2019</v>
      </c>
      <c r="C657" s="41">
        <v>43398</v>
      </c>
      <c r="D657" t="s">
        <v>1494</v>
      </c>
      <c r="E657" t="s">
        <v>219</v>
      </c>
      <c r="F657" t="s">
        <v>1301</v>
      </c>
      <c r="G657" t="s">
        <v>1381</v>
      </c>
      <c r="H657" t="s">
        <v>1495</v>
      </c>
      <c r="I657" t="s">
        <v>310</v>
      </c>
      <c r="J657">
        <v>2</v>
      </c>
      <c r="L657">
        <v>364.64</v>
      </c>
      <c r="M657">
        <v>621.41999999999996</v>
      </c>
      <c r="N657">
        <v>927.25</v>
      </c>
      <c r="O657">
        <v>1322.16</v>
      </c>
      <c r="P657">
        <v>1</v>
      </c>
      <c r="Q657">
        <v>3</v>
      </c>
      <c r="R657">
        <v>0</v>
      </c>
      <c r="S657">
        <v>100283</v>
      </c>
      <c r="T657" t="b">
        <v>1</v>
      </c>
    </row>
    <row r="658" spans="2:20" x14ac:dyDescent="0.35">
      <c r="B658">
        <v>2019</v>
      </c>
      <c r="C658" s="41">
        <v>43398</v>
      </c>
      <c r="D658" t="s">
        <v>1492</v>
      </c>
      <c r="E658" t="s">
        <v>219</v>
      </c>
      <c r="F658" t="s">
        <v>458</v>
      </c>
      <c r="G658" t="s">
        <v>1381</v>
      </c>
      <c r="H658" t="s">
        <v>1493</v>
      </c>
      <c r="I658" t="s">
        <v>310</v>
      </c>
      <c r="J658">
        <v>2</v>
      </c>
      <c r="L658">
        <v>590.61</v>
      </c>
      <c r="M658">
        <v>1006.52</v>
      </c>
      <c r="N658">
        <v>1501.88</v>
      </c>
      <c r="O658">
        <v>2141.52</v>
      </c>
      <c r="P658">
        <v>1</v>
      </c>
      <c r="Q658">
        <v>3</v>
      </c>
      <c r="R658">
        <v>0</v>
      </c>
      <c r="S658">
        <v>100284</v>
      </c>
      <c r="T658" t="b">
        <v>1</v>
      </c>
    </row>
    <row r="659" spans="2:20" x14ac:dyDescent="0.35">
      <c r="B659">
        <v>2019</v>
      </c>
      <c r="C659" s="41">
        <v>43399</v>
      </c>
      <c r="D659" t="s">
        <v>1496</v>
      </c>
      <c r="E659" t="s">
        <v>219</v>
      </c>
      <c r="F659" t="s">
        <v>1301</v>
      </c>
      <c r="G659" t="s">
        <v>245</v>
      </c>
      <c r="H659" t="s">
        <v>1497</v>
      </c>
      <c r="I659" t="s">
        <v>310</v>
      </c>
      <c r="J659">
        <v>2</v>
      </c>
      <c r="L659">
        <v>403.86</v>
      </c>
      <c r="M659">
        <v>688.26</v>
      </c>
      <c r="N659">
        <v>1026.99</v>
      </c>
      <c r="O659">
        <v>1464.38</v>
      </c>
      <c r="P659">
        <v>0</v>
      </c>
      <c r="Q659">
        <v>2</v>
      </c>
      <c r="R659">
        <v>0</v>
      </c>
      <c r="S659">
        <v>200015</v>
      </c>
      <c r="T659" t="b">
        <v>1</v>
      </c>
    </row>
    <row r="660" spans="2:20" x14ac:dyDescent="0.35">
      <c r="B660">
        <v>2019</v>
      </c>
      <c r="C660" s="41">
        <v>43399</v>
      </c>
      <c r="D660" t="s">
        <v>1498</v>
      </c>
      <c r="E660" t="s">
        <v>219</v>
      </c>
      <c r="F660" t="s">
        <v>1301</v>
      </c>
      <c r="G660" t="s">
        <v>245</v>
      </c>
      <c r="H660" t="s">
        <v>1499</v>
      </c>
      <c r="I660" t="s">
        <v>310</v>
      </c>
      <c r="J660">
        <v>2</v>
      </c>
      <c r="L660">
        <v>467.44</v>
      </c>
      <c r="M660">
        <v>796.6</v>
      </c>
      <c r="N660">
        <v>1188.6599999999901</v>
      </c>
      <c r="O660">
        <v>1694.9</v>
      </c>
      <c r="P660">
        <v>1</v>
      </c>
      <c r="Q660">
        <v>1</v>
      </c>
      <c r="R660">
        <v>0</v>
      </c>
      <c r="S660">
        <v>200015</v>
      </c>
      <c r="T660" t="b">
        <v>1</v>
      </c>
    </row>
    <row r="661" spans="2:20" x14ac:dyDescent="0.35">
      <c r="B661">
        <v>2019</v>
      </c>
      <c r="C661" s="41">
        <v>43399</v>
      </c>
      <c r="D661" t="s">
        <v>1105</v>
      </c>
      <c r="E661" t="s">
        <v>219</v>
      </c>
      <c r="F661" t="s">
        <v>1301</v>
      </c>
      <c r="G661" t="s">
        <v>245</v>
      </c>
      <c r="H661" t="s">
        <v>1106</v>
      </c>
      <c r="I661" t="s">
        <v>843</v>
      </c>
      <c r="J661">
        <v>2</v>
      </c>
      <c r="L661">
        <v>527.27</v>
      </c>
      <c r="M661">
        <v>898.58</v>
      </c>
      <c r="N661">
        <v>1340.82</v>
      </c>
      <c r="O661">
        <v>1911.86</v>
      </c>
      <c r="P661">
        <v>0</v>
      </c>
      <c r="Q661">
        <v>1</v>
      </c>
      <c r="R661">
        <v>0</v>
      </c>
      <c r="S661">
        <v>200015</v>
      </c>
      <c r="T661" t="b">
        <v>1</v>
      </c>
    </row>
    <row r="662" spans="2:20" x14ac:dyDescent="0.35">
      <c r="B662">
        <v>2019</v>
      </c>
      <c r="C662" s="41">
        <v>43399</v>
      </c>
      <c r="D662" t="s">
        <v>1500</v>
      </c>
      <c r="E662" t="s">
        <v>219</v>
      </c>
      <c r="F662" t="s">
        <v>1301</v>
      </c>
      <c r="G662" t="s">
        <v>245</v>
      </c>
      <c r="H662" t="s">
        <v>1501</v>
      </c>
      <c r="I662" t="s">
        <v>843</v>
      </c>
      <c r="J662">
        <v>2</v>
      </c>
      <c r="L662">
        <v>479.79</v>
      </c>
      <c r="M662">
        <v>817.65</v>
      </c>
      <c r="N662">
        <v>1220.08</v>
      </c>
      <c r="O662">
        <v>1739.7</v>
      </c>
      <c r="P662">
        <v>0</v>
      </c>
      <c r="Q662">
        <v>1</v>
      </c>
      <c r="R662">
        <v>0</v>
      </c>
      <c r="S662">
        <v>200015</v>
      </c>
      <c r="T662" t="b">
        <v>1</v>
      </c>
    </row>
    <row r="663" spans="2:20" x14ac:dyDescent="0.35">
      <c r="B663">
        <v>2019</v>
      </c>
      <c r="C663" s="41">
        <v>43399</v>
      </c>
      <c r="D663" t="s">
        <v>1502</v>
      </c>
      <c r="E663" t="s">
        <v>219</v>
      </c>
      <c r="F663" t="s">
        <v>1301</v>
      </c>
      <c r="G663" t="s">
        <v>245</v>
      </c>
      <c r="H663" t="s">
        <v>1503</v>
      </c>
      <c r="I663" t="s">
        <v>310</v>
      </c>
      <c r="J663">
        <v>2</v>
      </c>
      <c r="L663">
        <v>467.44</v>
      </c>
      <c r="M663">
        <v>796.6</v>
      </c>
      <c r="N663">
        <v>1188.6599999999901</v>
      </c>
      <c r="O663">
        <v>1694.9</v>
      </c>
      <c r="P663">
        <v>0</v>
      </c>
      <c r="Q663">
        <v>1</v>
      </c>
      <c r="R663">
        <v>0</v>
      </c>
      <c r="S663">
        <v>200015</v>
      </c>
      <c r="T663" t="b">
        <v>1</v>
      </c>
    </row>
    <row r="664" spans="2:20" x14ac:dyDescent="0.35">
      <c r="B664">
        <v>2019</v>
      </c>
      <c r="C664" s="41">
        <v>43399</v>
      </c>
      <c r="D664" t="s">
        <v>1504</v>
      </c>
      <c r="E664" t="s">
        <v>219</v>
      </c>
      <c r="F664" t="s">
        <v>1301</v>
      </c>
      <c r="G664" t="s">
        <v>245</v>
      </c>
      <c r="H664" t="s">
        <v>1505</v>
      </c>
      <c r="I664" t="s">
        <v>842</v>
      </c>
      <c r="J664">
        <v>2</v>
      </c>
      <c r="L664">
        <v>352.45</v>
      </c>
      <c r="M664">
        <v>600.65</v>
      </c>
      <c r="N664">
        <v>896.27</v>
      </c>
      <c r="O664">
        <v>1277.98</v>
      </c>
      <c r="P664">
        <v>0</v>
      </c>
      <c r="Q664">
        <v>2</v>
      </c>
      <c r="R664">
        <v>0</v>
      </c>
      <c r="S664">
        <v>200015</v>
      </c>
      <c r="T664" t="b">
        <v>1</v>
      </c>
    </row>
    <row r="665" spans="2:20" x14ac:dyDescent="0.35">
      <c r="B665">
        <v>2019</v>
      </c>
      <c r="C665" s="41">
        <v>43399</v>
      </c>
      <c r="D665" t="s">
        <v>1506</v>
      </c>
      <c r="E665" t="s">
        <v>219</v>
      </c>
      <c r="F665" t="s">
        <v>1301</v>
      </c>
      <c r="G665" t="s">
        <v>245</v>
      </c>
      <c r="H665" t="s">
        <v>1106</v>
      </c>
      <c r="I665" t="s">
        <v>843</v>
      </c>
      <c r="J665">
        <v>2</v>
      </c>
      <c r="L665">
        <v>527.70000000000005</v>
      </c>
      <c r="M665">
        <v>899.31</v>
      </c>
      <c r="N665">
        <v>1341.9099999999901</v>
      </c>
      <c r="O665">
        <v>1913.42</v>
      </c>
      <c r="P665">
        <v>0</v>
      </c>
      <c r="Q665">
        <v>2</v>
      </c>
      <c r="R665">
        <v>0</v>
      </c>
      <c r="S665">
        <v>200015</v>
      </c>
      <c r="T665" t="b">
        <v>1</v>
      </c>
    </row>
    <row r="666" spans="2:20" x14ac:dyDescent="0.35">
      <c r="B666">
        <v>2019</v>
      </c>
      <c r="C666" s="41">
        <v>43399</v>
      </c>
      <c r="D666" t="s">
        <v>1507</v>
      </c>
      <c r="E666" t="s">
        <v>219</v>
      </c>
      <c r="F666" t="s">
        <v>1301</v>
      </c>
      <c r="G666" t="s">
        <v>245</v>
      </c>
      <c r="H666" t="s">
        <v>1505</v>
      </c>
      <c r="I666" t="s">
        <v>842</v>
      </c>
      <c r="J666">
        <v>2</v>
      </c>
      <c r="L666">
        <v>352.16</v>
      </c>
      <c r="M666">
        <v>600.15</v>
      </c>
      <c r="N666">
        <v>895.52</v>
      </c>
      <c r="O666">
        <v>1276.92</v>
      </c>
      <c r="P666">
        <v>0</v>
      </c>
      <c r="Q666">
        <v>1</v>
      </c>
      <c r="R666">
        <v>0</v>
      </c>
      <c r="S666">
        <v>200015</v>
      </c>
      <c r="T666" t="b">
        <v>1</v>
      </c>
    </row>
    <row r="667" spans="2:20" x14ac:dyDescent="0.35">
      <c r="B667">
        <v>2019</v>
      </c>
      <c r="C667" s="41">
        <v>43399</v>
      </c>
      <c r="D667" t="s">
        <v>1508</v>
      </c>
      <c r="E667" t="s">
        <v>219</v>
      </c>
      <c r="F667" t="s">
        <v>1301</v>
      </c>
      <c r="G667" t="s">
        <v>245</v>
      </c>
      <c r="H667" t="s">
        <v>1509</v>
      </c>
      <c r="I667" t="s">
        <v>310</v>
      </c>
      <c r="J667">
        <v>2</v>
      </c>
      <c r="L667">
        <v>443.83</v>
      </c>
      <c r="M667">
        <v>756.38</v>
      </c>
      <c r="N667">
        <v>1128.6400000000001</v>
      </c>
      <c r="O667">
        <v>1609.32</v>
      </c>
      <c r="P667">
        <v>0</v>
      </c>
      <c r="Q667">
        <v>2</v>
      </c>
      <c r="R667">
        <v>0</v>
      </c>
      <c r="S667">
        <v>200015</v>
      </c>
      <c r="T667" t="b">
        <v>1</v>
      </c>
    </row>
    <row r="668" spans="2:20" x14ac:dyDescent="0.35">
      <c r="B668">
        <v>2019</v>
      </c>
      <c r="C668" s="41">
        <v>43399</v>
      </c>
      <c r="D668" t="s">
        <v>1510</v>
      </c>
      <c r="E668" t="s">
        <v>219</v>
      </c>
      <c r="F668" t="s">
        <v>1301</v>
      </c>
      <c r="G668" t="s">
        <v>245</v>
      </c>
      <c r="H668" t="s">
        <v>1511</v>
      </c>
      <c r="I668" t="s">
        <v>310</v>
      </c>
      <c r="J668">
        <v>2</v>
      </c>
      <c r="L668">
        <v>446.91</v>
      </c>
      <c r="M668">
        <v>761.62</v>
      </c>
      <c r="N668">
        <v>1136.47</v>
      </c>
      <c r="O668">
        <v>1620.48</v>
      </c>
      <c r="P668">
        <v>1</v>
      </c>
      <c r="Q668">
        <v>1</v>
      </c>
      <c r="R668">
        <v>0</v>
      </c>
      <c r="S668">
        <v>200015</v>
      </c>
      <c r="T668" t="b">
        <v>1</v>
      </c>
    </row>
    <row r="669" spans="2:20" x14ac:dyDescent="0.35">
      <c r="B669">
        <v>2019</v>
      </c>
      <c r="C669" s="41">
        <v>43399</v>
      </c>
      <c r="D669" t="s">
        <v>1512</v>
      </c>
      <c r="E669" t="s">
        <v>219</v>
      </c>
      <c r="F669" t="s">
        <v>1301</v>
      </c>
      <c r="G669" t="s">
        <v>245</v>
      </c>
      <c r="H669" t="s">
        <v>1513</v>
      </c>
      <c r="I669" t="s">
        <v>310</v>
      </c>
      <c r="J669">
        <v>2</v>
      </c>
      <c r="L669">
        <v>433.42</v>
      </c>
      <c r="M669">
        <v>738.63</v>
      </c>
      <c r="N669">
        <v>1102.1599999999901</v>
      </c>
      <c r="O669">
        <v>1571.56</v>
      </c>
      <c r="P669">
        <v>1</v>
      </c>
      <c r="Q669">
        <v>1</v>
      </c>
      <c r="R669">
        <v>0</v>
      </c>
      <c r="S669">
        <v>200015</v>
      </c>
      <c r="T669" t="b">
        <v>1</v>
      </c>
    </row>
    <row r="670" spans="2:20" x14ac:dyDescent="0.35">
      <c r="B670">
        <v>2019</v>
      </c>
      <c r="C670" s="41">
        <v>43399</v>
      </c>
      <c r="D670" t="s">
        <v>1514</v>
      </c>
      <c r="E670" t="s">
        <v>219</v>
      </c>
      <c r="F670" t="s">
        <v>1301</v>
      </c>
      <c r="G670" t="s">
        <v>245</v>
      </c>
      <c r="H670" t="s">
        <v>1515</v>
      </c>
      <c r="I670" t="s">
        <v>1427</v>
      </c>
      <c r="J670">
        <v>2</v>
      </c>
      <c r="L670">
        <v>335.6</v>
      </c>
      <c r="M670">
        <v>571.94000000000005</v>
      </c>
      <c r="N670">
        <v>853.43</v>
      </c>
      <c r="O670">
        <v>1216.9000000000001</v>
      </c>
      <c r="P670">
        <v>0</v>
      </c>
      <c r="Q670">
        <v>1</v>
      </c>
      <c r="R670">
        <v>0</v>
      </c>
      <c r="S670">
        <v>200015</v>
      </c>
      <c r="T670" t="b">
        <v>1</v>
      </c>
    </row>
    <row r="671" spans="2:20" x14ac:dyDescent="0.35">
      <c r="B671">
        <v>2019</v>
      </c>
      <c r="C671" s="41">
        <v>43399</v>
      </c>
      <c r="D671" t="s">
        <v>1516</v>
      </c>
      <c r="E671" t="s">
        <v>219</v>
      </c>
      <c r="F671" t="s">
        <v>1301</v>
      </c>
      <c r="G671" t="s">
        <v>245</v>
      </c>
      <c r="H671" t="s">
        <v>1517</v>
      </c>
      <c r="I671" t="s">
        <v>310</v>
      </c>
      <c r="J671">
        <v>2</v>
      </c>
      <c r="L671">
        <v>467.44</v>
      </c>
      <c r="M671">
        <v>796.6</v>
      </c>
      <c r="N671">
        <v>1188.6599999999901</v>
      </c>
      <c r="O671">
        <v>1694.9</v>
      </c>
      <c r="P671">
        <v>1</v>
      </c>
      <c r="Q671">
        <v>1</v>
      </c>
      <c r="R671">
        <v>0</v>
      </c>
      <c r="S671">
        <v>200015</v>
      </c>
      <c r="T671" t="b">
        <v>1</v>
      </c>
    </row>
    <row r="672" spans="2:20" x14ac:dyDescent="0.35">
      <c r="B672">
        <v>2019</v>
      </c>
      <c r="C672" s="41">
        <v>43399</v>
      </c>
      <c r="D672" t="s">
        <v>1518</v>
      </c>
      <c r="E672" t="s">
        <v>219</v>
      </c>
      <c r="F672" t="s">
        <v>1301</v>
      </c>
      <c r="G672" t="s">
        <v>245</v>
      </c>
      <c r="H672" t="s">
        <v>1519</v>
      </c>
      <c r="I672" t="s">
        <v>310</v>
      </c>
      <c r="J672">
        <v>2</v>
      </c>
      <c r="L672">
        <v>513.70000000000005</v>
      </c>
      <c r="M672">
        <v>875.44</v>
      </c>
      <c r="N672">
        <v>1306.3</v>
      </c>
      <c r="O672">
        <v>1862.64</v>
      </c>
      <c r="P672">
        <v>1</v>
      </c>
      <c r="Q672">
        <v>1</v>
      </c>
      <c r="R672">
        <v>0</v>
      </c>
      <c r="S672">
        <v>200015</v>
      </c>
      <c r="T672" t="b">
        <v>1</v>
      </c>
    </row>
    <row r="673" spans="2:20" x14ac:dyDescent="0.35">
      <c r="B673">
        <v>2019</v>
      </c>
      <c r="C673" s="41">
        <v>43399</v>
      </c>
      <c r="D673" t="s">
        <v>1520</v>
      </c>
      <c r="E673" t="s">
        <v>219</v>
      </c>
      <c r="F673" t="s">
        <v>1301</v>
      </c>
      <c r="G673" t="s">
        <v>245</v>
      </c>
      <c r="H673" t="s">
        <v>1521</v>
      </c>
      <c r="I673" t="s">
        <v>310</v>
      </c>
      <c r="J673">
        <v>2</v>
      </c>
      <c r="L673">
        <v>433.42</v>
      </c>
      <c r="M673">
        <v>738.63</v>
      </c>
      <c r="N673">
        <v>1102.1599999999901</v>
      </c>
      <c r="O673">
        <v>1571.56</v>
      </c>
      <c r="P673">
        <v>1</v>
      </c>
      <c r="Q673">
        <v>1</v>
      </c>
      <c r="R673">
        <v>0</v>
      </c>
      <c r="S673">
        <v>200015</v>
      </c>
      <c r="T673" t="b">
        <v>1</v>
      </c>
    </row>
    <row r="674" spans="2:20" x14ac:dyDescent="0.35">
      <c r="B674">
        <v>2019</v>
      </c>
      <c r="C674" s="41">
        <v>43399</v>
      </c>
      <c r="D674" t="s">
        <v>298</v>
      </c>
      <c r="E674" t="s">
        <v>219</v>
      </c>
      <c r="F674" t="s">
        <v>1301</v>
      </c>
      <c r="G674" t="s">
        <v>245</v>
      </c>
      <c r="H674" t="s">
        <v>1509</v>
      </c>
      <c r="I674" t="s">
        <v>310</v>
      </c>
      <c r="J674">
        <v>2</v>
      </c>
      <c r="L674">
        <v>491.14</v>
      </c>
      <c r="M674">
        <v>837</v>
      </c>
      <c r="N674">
        <v>1248.9299999999901</v>
      </c>
      <c r="O674">
        <v>1780.84</v>
      </c>
      <c r="P674">
        <v>0</v>
      </c>
      <c r="Q674">
        <v>1</v>
      </c>
      <c r="R674">
        <v>0</v>
      </c>
      <c r="S674">
        <v>200015</v>
      </c>
      <c r="T674" t="b">
        <v>1</v>
      </c>
    </row>
    <row r="675" spans="2:20" x14ac:dyDescent="0.35">
      <c r="B675">
        <v>2019</v>
      </c>
      <c r="C675" s="41">
        <v>43399</v>
      </c>
      <c r="D675" t="s">
        <v>1522</v>
      </c>
      <c r="E675" t="s">
        <v>219</v>
      </c>
      <c r="F675" t="s">
        <v>1301</v>
      </c>
      <c r="G675" t="s">
        <v>245</v>
      </c>
      <c r="H675" t="s">
        <v>1523</v>
      </c>
      <c r="I675" t="s">
        <v>310</v>
      </c>
      <c r="J675">
        <v>2</v>
      </c>
      <c r="L675">
        <v>464.22</v>
      </c>
      <c r="M675">
        <v>791.12</v>
      </c>
      <c r="N675">
        <v>1180.47</v>
      </c>
      <c r="O675">
        <v>1683.22</v>
      </c>
      <c r="P675">
        <v>0</v>
      </c>
      <c r="Q675">
        <v>2</v>
      </c>
      <c r="R675">
        <v>0</v>
      </c>
      <c r="S675">
        <v>200015</v>
      </c>
      <c r="T675" t="b">
        <v>1</v>
      </c>
    </row>
    <row r="676" spans="2:20" x14ac:dyDescent="0.35">
      <c r="B676">
        <v>2019</v>
      </c>
      <c r="C676" s="41">
        <v>43399</v>
      </c>
      <c r="D676" t="s">
        <v>1524</v>
      </c>
      <c r="E676" t="s">
        <v>219</v>
      </c>
      <c r="F676" t="s">
        <v>1301</v>
      </c>
      <c r="G676" t="s">
        <v>245</v>
      </c>
      <c r="H676" t="s">
        <v>1278</v>
      </c>
      <c r="I676" t="s">
        <v>843</v>
      </c>
      <c r="J676">
        <v>2</v>
      </c>
      <c r="L676">
        <v>543.42999999999995</v>
      </c>
      <c r="M676">
        <v>926.11</v>
      </c>
      <c r="N676">
        <v>1381.9</v>
      </c>
      <c r="O676">
        <v>1970.44</v>
      </c>
      <c r="P676">
        <v>0</v>
      </c>
      <c r="Q676">
        <v>2</v>
      </c>
      <c r="R676">
        <v>0</v>
      </c>
      <c r="S676">
        <v>200015</v>
      </c>
      <c r="T676" t="b">
        <v>1</v>
      </c>
    </row>
    <row r="677" spans="2:20" x14ac:dyDescent="0.35">
      <c r="B677">
        <v>2019</v>
      </c>
      <c r="C677" s="41">
        <v>43399</v>
      </c>
      <c r="D677" t="s">
        <v>1525</v>
      </c>
      <c r="E677" t="s">
        <v>219</v>
      </c>
      <c r="F677" t="s">
        <v>1301</v>
      </c>
      <c r="G677" t="s">
        <v>245</v>
      </c>
      <c r="H677" t="s">
        <v>1526</v>
      </c>
      <c r="I677" t="s">
        <v>310</v>
      </c>
      <c r="J677">
        <v>2</v>
      </c>
      <c r="L677">
        <v>476.31</v>
      </c>
      <c r="M677">
        <v>811.74</v>
      </c>
      <c r="N677">
        <v>1211.24</v>
      </c>
      <c r="O677">
        <v>1727.1</v>
      </c>
      <c r="P677">
        <v>0</v>
      </c>
      <c r="Q677">
        <v>1</v>
      </c>
      <c r="R677">
        <v>0</v>
      </c>
      <c r="S677">
        <v>200015</v>
      </c>
      <c r="T677" t="b">
        <v>1</v>
      </c>
    </row>
    <row r="678" spans="2:20" x14ac:dyDescent="0.35">
      <c r="B678">
        <v>2019</v>
      </c>
      <c r="C678" s="41">
        <v>43399</v>
      </c>
      <c r="D678" t="s">
        <v>1527</v>
      </c>
      <c r="E678" t="s">
        <v>219</v>
      </c>
      <c r="F678" t="s">
        <v>1301</v>
      </c>
      <c r="G678" t="s">
        <v>245</v>
      </c>
      <c r="H678" t="s">
        <v>1528</v>
      </c>
      <c r="I678" t="s">
        <v>310</v>
      </c>
      <c r="J678">
        <v>2</v>
      </c>
      <c r="L678">
        <v>433.42</v>
      </c>
      <c r="M678">
        <v>738.63</v>
      </c>
      <c r="N678">
        <v>1102.1599999999901</v>
      </c>
      <c r="O678">
        <v>1571.56</v>
      </c>
      <c r="P678">
        <v>1</v>
      </c>
      <c r="Q678">
        <v>1</v>
      </c>
      <c r="R678">
        <v>0</v>
      </c>
      <c r="S678">
        <v>200015</v>
      </c>
      <c r="T678" t="b">
        <v>1</v>
      </c>
    </row>
    <row r="679" spans="2:20" x14ac:dyDescent="0.35">
      <c r="B679">
        <v>2019</v>
      </c>
      <c r="C679" s="41">
        <v>43399</v>
      </c>
      <c r="D679" t="s">
        <v>1529</v>
      </c>
      <c r="E679" t="s">
        <v>219</v>
      </c>
      <c r="F679" t="s">
        <v>1301</v>
      </c>
      <c r="G679" t="s">
        <v>245</v>
      </c>
      <c r="H679" t="s">
        <v>1513</v>
      </c>
      <c r="I679" t="s">
        <v>310</v>
      </c>
      <c r="J679">
        <v>2</v>
      </c>
      <c r="L679">
        <v>476.31</v>
      </c>
      <c r="M679">
        <v>811.74</v>
      </c>
      <c r="N679">
        <v>1211.24</v>
      </c>
      <c r="O679">
        <v>1727.1</v>
      </c>
      <c r="P679">
        <v>1</v>
      </c>
      <c r="Q679">
        <v>1</v>
      </c>
      <c r="R679">
        <v>0</v>
      </c>
      <c r="S679">
        <v>200015</v>
      </c>
      <c r="T679" t="b">
        <v>1</v>
      </c>
    </row>
    <row r="680" spans="2:20" x14ac:dyDescent="0.35">
      <c r="B680">
        <v>2019</v>
      </c>
      <c r="C680" s="41">
        <v>43399</v>
      </c>
      <c r="D680" t="s">
        <v>1530</v>
      </c>
      <c r="E680" t="s">
        <v>219</v>
      </c>
      <c r="F680" t="s">
        <v>1301</v>
      </c>
      <c r="G680" t="s">
        <v>245</v>
      </c>
      <c r="H680" t="s">
        <v>1526</v>
      </c>
      <c r="I680" t="s">
        <v>310</v>
      </c>
      <c r="J680">
        <v>2</v>
      </c>
      <c r="L680">
        <v>430.43</v>
      </c>
      <c r="M680">
        <v>733.55</v>
      </c>
      <c r="N680">
        <v>1094.57</v>
      </c>
      <c r="O680">
        <v>1560.74</v>
      </c>
      <c r="P680">
        <v>0</v>
      </c>
      <c r="Q680">
        <v>2</v>
      </c>
      <c r="R680">
        <v>0</v>
      </c>
      <c r="S680">
        <v>200015</v>
      </c>
      <c r="T680" t="b">
        <v>1</v>
      </c>
    </row>
    <row r="681" spans="2:20" x14ac:dyDescent="0.35">
      <c r="B681">
        <v>2019</v>
      </c>
      <c r="C681" s="41">
        <v>43399</v>
      </c>
      <c r="D681" t="s">
        <v>1531</v>
      </c>
      <c r="E681" t="s">
        <v>219</v>
      </c>
      <c r="F681" t="s">
        <v>1301</v>
      </c>
      <c r="G681" t="s">
        <v>245</v>
      </c>
      <c r="H681" t="s">
        <v>1521</v>
      </c>
      <c r="I681" t="s">
        <v>310</v>
      </c>
      <c r="J681">
        <v>2</v>
      </c>
      <c r="L681">
        <v>476.31</v>
      </c>
      <c r="M681">
        <v>811.74</v>
      </c>
      <c r="N681">
        <v>1211.24</v>
      </c>
      <c r="O681">
        <v>1727.1</v>
      </c>
      <c r="P681">
        <v>1</v>
      </c>
      <c r="Q681">
        <v>1</v>
      </c>
      <c r="R681">
        <v>0</v>
      </c>
      <c r="S681">
        <v>200015</v>
      </c>
      <c r="T681" t="b">
        <v>1</v>
      </c>
    </row>
    <row r="682" spans="2:20" x14ac:dyDescent="0.35">
      <c r="B682">
        <v>2019</v>
      </c>
      <c r="C682" s="41">
        <v>43399</v>
      </c>
      <c r="D682" t="s">
        <v>1532</v>
      </c>
      <c r="E682" t="s">
        <v>219</v>
      </c>
      <c r="F682" t="s">
        <v>1301</v>
      </c>
      <c r="G682" t="s">
        <v>245</v>
      </c>
      <c r="H682" t="s">
        <v>1533</v>
      </c>
      <c r="I682" t="s">
        <v>310</v>
      </c>
      <c r="J682">
        <v>2</v>
      </c>
      <c r="L682">
        <v>446.91</v>
      </c>
      <c r="M682">
        <v>761.62</v>
      </c>
      <c r="N682">
        <v>1136.47</v>
      </c>
      <c r="O682">
        <v>1620.48</v>
      </c>
      <c r="P682">
        <v>1</v>
      </c>
      <c r="Q682">
        <v>1</v>
      </c>
      <c r="R682">
        <v>0</v>
      </c>
      <c r="S682">
        <v>200015</v>
      </c>
      <c r="T682" t="b">
        <v>1</v>
      </c>
    </row>
    <row r="683" spans="2:20" x14ac:dyDescent="0.35">
      <c r="B683">
        <v>2019</v>
      </c>
      <c r="C683" s="41">
        <v>43399</v>
      </c>
      <c r="D683" t="s">
        <v>1534</v>
      </c>
      <c r="E683" t="s">
        <v>219</v>
      </c>
      <c r="F683" t="s">
        <v>1301</v>
      </c>
      <c r="G683" t="s">
        <v>245</v>
      </c>
      <c r="H683" t="s">
        <v>1497</v>
      </c>
      <c r="I683" t="s">
        <v>310</v>
      </c>
      <c r="J683">
        <v>2</v>
      </c>
      <c r="L683">
        <v>446.91</v>
      </c>
      <c r="M683">
        <v>761.62</v>
      </c>
      <c r="N683">
        <v>1136.47</v>
      </c>
      <c r="O683">
        <v>1620.48</v>
      </c>
      <c r="P683">
        <v>0</v>
      </c>
      <c r="Q683">
        <v>1</v>
      </c>
      <c r="R683">
        <v>0</v>
      </c>
      <c r="S683">
        <v>200015</v>
      </c>
      <c r="T683" t="b">
        <v>1</v>
      </c>
    </row>
    <row r="684" spans="2:20" x14ac:dyDescent="0.35">
      <c r="B684">
        <v>2019</v>
      </c>
      <c r="C684" s="41">
        <v>43399</v>
      </c>
      <c r="D684" t="s">
        <v>1535</v>
      </c>
      <c r="E684" t="s">
        <v>219</v>
      </c>
      <c r="F684" t="s">
        <v>1301</v>
      </c>
      <c r="G684" t="s">
        <v>245</v>
      </c>
      <c r="H684" t="s">
        <v>1536</v>
      </c>
      <c r="I684" t="s">
        <v>843</v>
      </c>
      <c r="J684">
        <v>2</v>
      </c>
      <c r="L684">
        <v>494.09</v>
      </c>
      <c r="M684">
        <v>842.02</v>
      </c>
      <c r="N684">
        <v>1256.42</v>
      </c>
      <c r="O684">
        <v>1791.52</v>
      </c>
      <c r="P684">
        <v>0</v>
      </c>
      <c r="Q684">
        <v>1</v>
      </c>
      <c r="R684">
        <v>0</v>
      </c>
      <c r="S684">
        <v>200015</v>
      </c>
      <c r="T684" t="b">
        <v>1</v>
      </c>
    </row>
    <row r="685" spans="2:20" x14ac:dyDescent="0.35">
      <c r="B685">
        <v>2019</v>
      </c>
      <c r="C685" s="41">
        <v>43399</v>
      </c>
      <c r="D685" t="s">
        <v>1537</v>
      </c>
      <c r="E685" t="s">
        <v>219</v>
      </c>
      <c r="F685" t="s">
        <v>1301</v>
      </c>
      <c r="G685" t="s">
        <v>245</v>
      </c>
      <c r="H685" t="s">
        <v>1538</v>
      </c>
      <c r="I685" t="s">
        <v>310</v>
      </c>
      <c r="J685">
        <v>2</v>
      </c>
      <c r="L685">
        <v>391.67</v>
      </c>
      <c r="M685">
        <v>667.49</v>
      </c>
      <c r="N685">
        <v>996.01</v>
      </c>
      <c r="O685">
        <v>1420.2</v>
      </c>
      <c r="P685">
        <v>0</v>
      </c>
      <c r="Q685">
        <v>2</v>
      </c>
      <c r="R685">
        <v>0</v>
      </c>
      <c r="S685">
        <v>200015</v>
      </c>
      <c r="T685" t="b">
        <v>1</v>
      </c>
    </row>
    <row r="686" spans="2:20" x14ac:dyDescent="0.35">
      <c r="B686">
        <v>2019</v>
      </c>
      <c r="C686" s="41">
        <v>43399</v>
      </c>
      <c r="D686" t="s">
        <v>1539</v>
      </c>
      <c r="E686" t="s">
        <v>219</v>
      </c>
      <c r="F686" t="s">
        <v>1301</v>
      </c>
      <c r="G686" t="s">
        <v>245</v>
      </c>
      <c r="H686" t="s">
        <v>1540</v>
      </c>
      <c r="I686" t="s">
        <v>310</v>
      </c>
      <c r="J686">
        <v>2</v>
      </c>
      <c r="L686">
        <v>446.91</v>
      </c>
      <c r="M686">
        <v>761.62</v>
      </c>
      <c r="N686">
        <v>1136.47</v>
      </c>
      <c r="O686">
        <v>1620.48</v>
      </c>
      <c r="P686">
        <v>1</v>
      </c>
      <c r="Q686">
        <v>1</v>
      </c>
      <c r="R686">
        <v>0</v>
      </c>
      <c r="S686">
        <v>200015</v>
      </c>
      <c r="T686" t="b">
        <v>1</v>
      </c>
    </row>
    <row r="687" spans="2:20" x14ac:dyDescent="0.35">
      <c r="B687">
        <v>2019</v>
      </c>
      <c r="C687" s="41">
        <v>43399</v>
      </c>
      <c r="D687" t="s">
        <v>1541</v>
      </c>
      <c r="E687" t="s">
        <v>219</v>
      </c>
      <c r="F687" t="s">
        <v>1301</v>
      </c>
      <c r="G687" t="s">
        <v>245</v>
      </c>
      <c r="H687" t="s">
        <v>1542</v>
      </c>
      <c r="I687" t="s">
        <v>842</v>
      </c>
      <c r="J687">
        <v>2</v>
      </c>
      <c r="L687">
        <v>380.93</v>
      </c>
      <c r="M687">
        <v>649.16999999999996</v>
      </c>
      <c r="N687">
        <v>968.67</v>
      </c>
      <c r="O687">
        <v>1381.22</v>
      </c>
      <c r="P687">
        <v>0</v>
      </c>
      <c r="Q687">
        <v>2</v>
      </c>
      <c r="R687">
        <v>0</v>
      </c>
      <c r="S687">
        <v>200015</v>
      </c>
      <c r="T687" t="b">
        <v>1</v>
      </c>
    </row>
    <row r="688" spans="2:20" x14ac:dyDescent="0.35">
      <c r="B688">
        <v>2019</v>
      </c>
      <c r="C688" s="41">
        <v>43399</v>
      </c>
      <c r="D688" t="s">
        <v>1543</v>
      </c>
      <c r="E688" t="s">
        <v>219</v>
      </c>
      <c r="F688" t="s">
        <v>1301</v>
      </c>
      <c r="G688" t="s">
        <v>245</v>
      </c>
      <c r="H688" t="s">
        <v>1501</v>
      </c>
      <c r="I688" t="s">
        <v>843</v>
      </c>
      <c r="J688">
        <v>2</v>
      </c>
      <c r="L688">
        <v>480.18</v>
      </c>
      <c r="M688">
        <v>818.32</v>
      </c>
      <c r="N688">
        <v>1221.06</v>
      </c>
      <c r="O688">
        <v>1741.1</v>
      </c>
      <c r="P688">
        <v>0</v>
      </c>
      <c r="Q688">
        <v>2</v>
      </c>
      <c r="R688">
        <v>0</v>
      </c>
      <c r="S688">
        <v>200015</v>
      </c>
      <c r="T688" t="b">
        <v>1</v>
      </c>
    </row>
    <row r="689" spans="2:20" x14ac:dyDescent="0.35">
      <c r="B689">
        <v>2019</v>
      </c>
      <c r="C689" s="41">
        <v>43399</v>
      </c>
      <c r="D689" t="s">
        <v>1544</v>
      </c>
      <c r="E689" t="s">
        <v>219</v>
      </c>
      <c r="F689" t="s">
        <v>1301</v>
      </c>
      <c r="G689" t="s">
        <v>245</v>
      </c>
      <c r="H689" t="s">
        <v>1545</v>
      </c>
      <c r="I689" t="s">
        <v>1427</v>
      </c>
      <c r="J689">
        <v>2</v>
      </c>
      <c r="L689">
        <v>305.63</v>
      </c>
      <c r="M689">
        <v>520.86</v>
      </c>
      <c r="N689">
        <v>777.2</v>
      </c>
      <c r="O689">
        <v>1108.2</v>
      </c>
      <c r="P689">
        <v>0</v>
      </c>
      <c r="Q689">
        <v>2</v>
      </c>
      <c r="R689">
        <v>0</v>
      </c>
      <c r="S689">
        <v>200015</v>
      </c>
      <c r="T689" t="b">
        <v>1</v>
      </c>
    </row>
    <row r="690" spans="2:20" x14ac:dyDescent="0.35">
      <c r="B690">
        <v>2019</v>
      </c>
      <c r="C690" s="41">
        <v>43399</v>
      </c>
      <c r="D690" t="s">
        <v>1546</v>
      </c>
      <c r="E690" t="s">
        <v>219</v>
      </c>
      <c r="F690" t="s">
        <v>1301</v>
      </c>
      <c r="G690" t="s">
        <v>245</v>
      </c>
      <c r="H690" t="s">
        <v>1503</v>
      </c>
      <c r="I690" t="s">
        <v>310</v>
      </c>
      <c r="J690">
        <v>2</v>
      </c>
      <c r="L690">
        <v>422.41</v>
      </c>
      <c r="M690">
        <v>719.87</v>
      </c>
      <c r="N690">
        <v>1074.1599999999901</v>
      </c>
      <c r="O690">
        <v>1531.6399999999901</v>
      </c>
      <c r="P690">
        <v>0</v>
      </c>
      <c r="Q690">
        <v>2</v>
      </c>
      <c r="R690">
        <v>0</v>
      </c>
      <c r="S690">
        <v>200015</v>
      </c>
      <c r="T690" t="b">
        <v>1</v>
      </c>
    </row>
    <row r="691" spans="2:20" x14ac:dyDescent="0.35">
      <c r="B691">
        <v>2019</v>
      </c>
      <c r="C691" s="41">
        <v>43400</v>
      </c>
      <c r="D691" t="s">
        <v>1547</v>
      </c>
      <c r="E691" t="s">
        <v>219</v>
      </c>
      <c r="F691" t="s">
        <v>458</v>
      </c>
      <c r="G691" t="s">
        <v>304</v>
      </c>
      <c r="H691" t="s">
        <v>1548</v>
      </c>
      <c r="I691" t="s">
        <v>310</v>
      </c>
      <c r="J691">
        <v>1</v>
      </c>
      <c r="L691">
        <v>578.27</v>
      </c>
      <c r="M691">
        <v>985.48</v>
      </c>
      <c r="N691">
        <v>1470.49</v>
      </c>
      <c r="O691">
        <v>2096.7600000000002</v>
      </c>
      <c r="P691">
        <v>0</v>
      </c>
      <c r="Q691">
        <v>3</v>
      </c>
      <c r="R691">
        <v>0</v>
      </c>
      <c r="S691">
        <v>200289</v>
      </c>
      <c r="T691" t="b">
        <v>1</v>
      </c>
    </row>
    <row r="692" spans="2:20" x14ac:dyDescent="0.35">
      <c r="B692">
        <v>2019</v>
      </c>
      <c r="C692" s="41">
        <v>43400</v>
      </c>
      <c r="D692" t="s">
        <v>1549</v>
      </c>
      <c r="E692" t="s">
        <v>219</v>
      </c>
      <c r="F692" t="s">
        <v>458</v>
      </c>
      <c r="G692" t="s">
        <v>304</v>
      </c>
      <c r="H692" t="s">
        <v>1550</v>
      </c>
      <c r="I692" t="s">
        <v>310</v>
      </c>
      <c r="J692">
        <v>1</v>
      </c>
      <c r="L692">
        <v>578.27</v>
      </c>
      <c r="M692">
        <v>985.48</v>
      </c>
      <c r="N692">
        <v>1470.49</v>
      </c>
      <c r="O692">
        <v>2096.7600000000002</v>
      </c>
      <c r="P692">
        <v>1</v>
      </c>
      <c r="Q692">
        <v>1</v>
      </c>
      <c r="R692">
        <v>0</v>
      </c>
      <c r="S692">
        <v>200289</v>
      </c>
      <c r="T692" t="b">
        <v>1</v>
      </c>
    </row>
    <row r="693" spans="2:20" x14ac:dyDescent="0.35">
      <c r="B693">
        <v>2019</v>
      </c>
      <c r="C693" s="41">
        <v>43400</v>
      </c>
      <c r="D693" t="s">
        <v>1551</v>
      </c>
      <c r="E693" t="s">
        <v>219</v>
      </c>
      <c r="F693" t="s">
        <v>458</v>
      </c>
      <c r="G693" t="s">
        <v>304</v>
      </c>
      <c r="H693" t="s">
        <v>1552</v>
      </c>
      <c r="I693" t="s">
        <v>310</v>
      </c>
      <c r="J693">
        <v>1</v>
      </c>
      <c r="L693">
        <v>504.59</v>
      </c>
      <c r="M693">
        <v>859.93</v>
      </c>
      <c r="N693">
        <v>1283.1399999999901</v>
      </c>
      <c r="O693">
        <v>1829.62</v>
      </c>
      <c r="P693">
        <v>1</v>
      </c>
      <c r="Q693">
        <v>1</v>
      </c>
      <c r="R693">
        <v>0</v>
      </c>
      <c r="S693">
        <v>200289</v>
      </c>
      <c r="T693" t="b">
        <v>1</v>
      </c>
    </row>
    <row r="694" spans="2:20" x14ac:dyDescent="0.35">
      <c r="B694">
        <v>2019</v>
      </c>
      <c r="C694" s="41">
        <v>43400</v>
      </c>
      <c r="D694" t="s">
        <v>1553</v>
      </c>
      <c r="E694" t="s">
        <v>219</v>
      </c>
      <c r="F694" t="s">
        <v>1311</v>
      </c>
      <c r="G694" t="s">
        <v>304</v>
      </c>
      <c r="H694" t="s">
        <v>1554</v>
      </c>
      <c r="I694" t="s">
        <v>1555</v>
      </c>
      <c r="J694">
        <v>1</v>
      </c>
      <c r="L694">
        <v>582.79999999999995</v>
      </c>
      <c r="M694">
        <v>993.21</v>
      </c>
      <c r="N694">
        <v>1482.03</v>
      </c>
      <c r="O694">
        <v>2113.2199999999998</v>
      </c>
      <c r="P694">
        <v>0</v>
      </c>
      <c r="Q694">
        <v>3</v>
      </c>
      <c r="R694">
        <v>0</v>
      </c>
      <c r="S694">
        <v>200289</v>
      </c>
      <c r="T694" t="b">
        <v>1</v>
      </c>
    </row>
    <row r="695" spans="2:20" x14ac:dyDescent="0.35">
      <c r="B695">
        <v>2019</v>
      </c>
      <c r="C695" s="41">
        <v>43400</v>
      </c>
      <c r="D695" t="s">
        <v>1556</v>
      </c>
      <c r="E695" t="s">
        <v>219</v>
      </c>
      <c r="F695" t="s">
        <v>458</v>
      </c>
      <c r="G695" t="s">
        <v>304</v>
      </c>
      <c r="H695" t="s">
        <v>1557</v>
      </c>
      <c r="I695" t="s">
        <v>310</v>
      </c>
      <c r="J695">
        <v>1</v>
      </c>
      <c r="L695">
        <v>578.27</v>
      </c>
      <c r="M695">
        <v>985.48</v>
      </c>
      <c r="N695">
        <v>1470.49</v>
      </c>
      <c r="O695">
        <v>2096.7600000000002</v>
      </c>
      <c r="P695">
        <v>0</v>
      </c>
      <c r="Q695">
        <v>3</v>
      </c>
      <c r="R695">
        <v>0</v>
      </c>
      <c r="S695">
        <v>200289</v>
      </c>
      <c r="T695" t="b">
        <v>1</v>
      </c>
    </row>
    <row r="696" spans="2:20" x14ac:dyDescent="0.35">
      <c r="B696">
        <v>2019</v>
      </c>
      <c r="C696" s="41">
        <v>43400</v>
      </c>
      <c r="D696" t="s">
        <v>1558</v>
      </c>
      <c r="E696" t="s">
        <v>219</v>
      </c>
      <c r="F696" t="s">
        <v>458</v>
      </c>
      <c r="G696" t="s">
        <v>304</v>
      </c>
      <c r="H696" t="s">
        <v>1559</v>
      </c>
      <c r="I696" t="s">
        <v>310</v>
      </c>
      <c r="J696">
        <v>1</v>
      </c>
      <c r="L696">
        <v>504.59</v>
      </c>
      <c r="M696">
        <v>859.93</v>
      </c>
      <c r="N696">
        <v>1283.1399999999901</v>
      </c>
      <c r="O696">
        <v>1829.62</v>
      </c>
      <c r="P696">
        <v>1</v>
      </c>
      <c r="Q696">
        <v>1</v>
      </c>
      <c r="R696">
        <v>0</v>
      </c>
      <c r="S696">
        <v>200289</v>
      </c>
      <c r="T696" t="b">
        <v>1</v>
      </c>
    </row>
    <row r="697" spans="2:20" x14ac:dyDescent="0.35">
      <c r="B697">
        <v>2019</v>
      </c>
      <c r="C697" s="41">
        <v>43400</v>
      </c>
      <c r="D697" t="s">
        <v>1560</v>
      </c>
      <c r="E697" t="s">
        <v>219</v>
      </c>
      <c r="F697" t="s">
        <v>458</v>
      </c>
      <c r="G697" t="s">
        <v>304</v>
      </c>
      <c r="H697" t="s">
        <v>1561</v>
      </c>
      <c r="I697" t="s">
        <v>1555</v>
      </c>
      <c r="J697">
        <v>1</v>
      </c>
      <c r="L697">
        <v>582.79999999999995</v>
      </c>
      <c r="M697">
        <v>993.21</v>
      </c>
      <c r="N697">
        <v>1482.03</v>
      </c>
      <c r="O697">
        <v>2113.2199999999998</v>
      </c>
      <c r="P697">
        <v>0</v>
      </c>
      <c r="Q697">
        <v>3</v>
      </c>
      <c r="R697">
        <v>0</v>
      </c>
      <c r="S697">
        <v>200289</v>
      </c>
      <c r="T697" t="b">
        <v>1</v>
      </c>
    </row>
    <row r="698" spans="2:20" x14ac:dyDescent="0.35">
      <c r="B698">
        <v>2019</v>
      </c>
      <c r="C698" s="41">
        <v>43400</v>
      </c>
      <c r="D698" t="s">
        <v>1562</v>
      </c>
      <c r="E698" t="s">
        <v>219</v>
      </c>
      <c r="F698" t="s">
        <v>458</v>
      </c>
      <c r="G698" t="s">
        <v>304</v>
      </c>
      <c r="H698" t="s">
        <v>1557</v>
      </c>
      <c r="I698" t="s">
        <v>310</v>
      </c>
      <c r="J698">
        <v>1</v>
      </c>
      <c r="L698">
        <v>578.27</v>
      </c>
      <c r="M698">
        <v>985.48</v>
      </c>
      <c r="N698">
        <v>1470.49</v>
      </c>
      <c r="O698">
        <v>2096.7600000000002</v>
      </c>
      <c r="P698">
        <v>1</v>
      </c>
      <c r="Q698">
        <v>1</v>
      </c>
      <c r="R698">
        <v>0</v>
      </c>
      <c r="S698">
        <v>200289</v>
      </c>
      <c r="T698" t="b">
        <v>1</v>
      </c>
    </row>
    <row r="699" spans="2:20" x14ac:dyDescent="0.35">
      <c r="B699">
        <v>2019</v>
      </c>
      <c r="C699" s="41">
        <v>43400</v>
      </c>
      <c r="D699" t="s">
        <v>1563</v>
      </c>
      <c r="E699" t="s">
        <v>219</v>
      </c>
      <c r="F699" t="s">
        <v>458</v>
      </c>
      <c r="G699" t="s">
        <v>304</v>
      </c>
      <c r="H699" t="s">
        <v>1564</v>
      </c>
      <c r="I699" t="s">
        <v>310</v>
      </c>
      <c r="J699">
        <v>1</v>
      </c>
      <c r="L699">
        <v>578.27</v>
      </c>
      <c r="M699">
        <v>985.48</v>
      </c>
      <c r="N699">
        <v>1470.49</v>
      </c>
      <c r="O699">
        <v>2096.7600000000002</v>
      </c>
      <c r="P699">
        <v>1</v>
      </c>
      <c r="Q699">
        <v>1</v>
      </c>
      <c r="R699">
        <v>0</v>
      </c>
      <c r="S699">
        <v>200289</v>
      </c>
      <c r="T699" t="b">
        <v>1</v>
      </c>
    </row>
    <row r="700" spans="2:20" x14ac:dyDescent="0.35">
      <c r="B700">
        <v>2019</v>
      </c>
      <c r="C700" s="41">
        <v>43400</v>
      </c>
      <c r="D700" t="s">
        <v>1565</v>
      </c>
      <c r="E700" t="s">
        <v>219</v>
      </c>
      <c r="F700" t="s">
        <v>461</v>
      </c>
      <c r="G700" t="s">
        <v>304</v>
      </c>
      <c r="H700" t="s">
        <v>1566</v>
      </c>
      <c r="I700" t="s">
        <v>310</v>
      </c>
      <c r="J700">
        <v>1</v>
      </c>
      <c r="L700">
        <v>484.21</v>
      </c>
      <c r="M700">
        <v>825.2</v>
      </c>
      <c r="N700">
        <v>1231.33</v>
      </c>
      <c r="O700">
        <v>1755.73999999999</v>
      </c>
      <c r="P700">
        <v>1</v>
      </c>
      <c r="Q700">
        <v>1</v>
      </c>
      <c r="R700">
        <v>0</v>
      </c>
      <c r="S700">
        <v>200289</v>
      </c>
      <c r="T700" t="b">
        <v>1</v>
      </c>
    </row>
    <row r="701" spans="2:20" x14ac:dyDescent="0.35">
      <c r="B701">
        <v>2019</v>
      </c>
      <c r="C701" s="41">
        <v>43400</v>
      </c>
      <c r="D701" t="s">
        <v>1567</v>
      </c>
      <c r="E701" t="s">
        <v>219</v>
      </c>
      <c r="F701" t="s">
        <v>458</v>
      </c>
      <c r="G701" t="s">
        <v>304</v>
      </c>
      <c r="H701" t="s">
        <v>1559</v>
      </c>
      <c r="I701" t="s">
        <v>310</v>
      </c>
      <c r="J701">
        <v>1</v>
      </c>
      <c r="L701">
        <v>504.59</v>
      </c>
      <c r="M701">
        <v>859.93</v>
      </c>
      <c r="N701">
        <v>1283.1399999999901</v>
      </c>
      <c r="O701">
        <v>1829.62</v>
      </c>
      <c r="P701">
        <v>1</v>
      </c>
      <c r="Q701">
        <v>1</v>
      </c>
      <c r="R701">
        <v>0</v>
      </c>
      <c r="S701">
        <v>200289</v>
      </c>
      <c r="T701" t="b">
        <v>1</v>
      </c>
    </row>
    <row r="702" spans="2:20" x14ac:dyDescent="0.35">
      <c r="B702">
        <v>2019</v>
      </c>
      <c r="C702" s="41">
        <v>43400</v>
      </c>
      <c r="D702" t="s">
        <v>1568</v>
      </c>
      <c r="E702" t="s">
        <v>219</v>
      </c>
      <c r="F702" t="s">
        <v>458</v>
      </c>
      <c r="G702" t="s">
        <v>304</v>
      </c>
      <c r="H702" t="s">
        <v>1550</v>
      </c>
      <c r="I702" t="s">
        <v>310</v>
      </c>
      <c r="J702">
        <v>1</v>
      </c>
      <c r="L702">
        <v>578.27</v>
      </c>
      <c r="M702">
        <v>985.48</v>
      </c>
      <c r="N702">
        <v>1470.49</v>
      </c>
      <c r="O702">
        <v>2096.7600000000002</v>
      </c>
      <c r="P702">
        <v>1</v>
      </c>
      <c r="Q702">
        <v>1</v>
      </c>
      <c r="R702">
        <v>0</v>
      </c>
      <c r="S702">
        <v>200289</v>
      </c>
      <c r="T702" t="b">
        <v>1</v>
      </c>
    </row>
    <row r="703" spans="2:20" x14ac:dyDescent="0.35">
      <c r="B703">
        <v>2019</v>
      </c>
      <c r="C703" s="41">
        <v>43400</v>
      </c>
      <c r="D703" t="s">
        <v>1569</v>
      </c>
      <c r="E703" t="s">
        <v>219</v>
      </c>
      <c r="F703" t="s">
        <v>458</v>
      </c>
      <c r="G703" t="s">
        <v>304</v>
      </c>
      <c r="H703" t="s">
        <v>1570</v>
      </c>
      <c r="I703" t="s">
        <v>843</v>
      </c>
      <c r="J703">
        <v>1</v>
      </c>
      <c r="L703">
        <v>510.65</v>
      </c>
      <c r="M703">
        <v>870.24</v>
      </c>
      <c r="N703">
        <v>1298.54</v>
      </c>
      <c r="O703">
        <v>1851.58</v>
      </c>
      <c r="P703">
        <v>0</v>
      </c>
      <c r="Q703">
        <v>3</v>
      </c>
      <c r="R703">
        <v>0</v>
      </c>
      <c r="S703">
        <v>200289</v>
      </c>
      <c r="T703" t="b">
        <v>1</v>
      </c>
    </row>
    <row r="704" spans="2:20" x14ac:dyDescent="0.35">
      <c r="B704">
        <v>2019</v>
      </c>
      <c r="C704" s="41">
        <v>43400</v>
      </c>
      <c r="D704" t="s">
        <v>1571</v>
      </c>
      <c r="E704" t="s">
        <v>219</v>
      </c>
      <c r="F704" t="s">
        <v>461</v>
      </c>
      <c r="G704" t="s">
        <v>304</v>
      </c>
      <c r="H704" t="s">
        <v>1572</v>
      </c>
      <c r="I704" t="s">
        <v>310</v>
      </c>
      <c r="J704">
        <v>1</v>
      </c>
      <c r="L704">
        <v>484.21</v>
      </c>
      <c r="M704">
        <v>825.2</v>
      </c>
      <c r="N704">
        <v>1231.33</v>
      </c>
      <c r="O704">
        <v>1755.73999999999</v>
      </c>
      <c r="P704">
        <v>1</v>
      </c>
      <c r="Q704">
        <v>1</v>
      </c>
      <c r="R704">
        <v>0</v>
      </c>
      <c r="S704">
        <v>200289</v>
      </c>
      <c r="T704" t="b">
        <v>1</v>
      </c>
    </row>
    <row r="705" spans="2:20" x14ac:dyDescent="0.35">
      <c r="B705">
        <v>2019</v>
      </c>
      <c r="C705" s="41">
        <v>43400</v>
      </c>
      <c r="D705" t="s">
        <v>1573</v>
      </c>
      <c r="E705" t="s">
        <v>219</v>
      </c>
      <c r="F705" t="s">
        <v>458</v>
      </c>
      <c r="G705" t="s">
        <v>304</v>
      </c>
      <c r="H705" t="s">
        <v>1559</v>
      </c>
      <c r="I705" t="s">
        <v>310</v>
      </c>
      <c r="J705">
        <v>1</v>
      </c>
      <c r="L705">
        <v>504.59</v>
      </c>
      <c r="M705">
        <v>859.93</v>
      </c>
      <c r="N705">
        <v>1283.1399999999901</v>
      </c>
      <c r="O705">
        <v>1829.62</v>
      </c>
      <c r="P705">
        <v>0</v>
      </c>
      <c r="Q705">
        <v>3</v>
      </c>
      <c r="R705">
        <v>0</v>
      </c>
      <c r="S705">
        <v>200289</v>
      </c>
      <c r="T705" t="b">
        <v>1</v>
      </c>
    </row>
    <row r="706" spans="2:20" x14ac:dyDescent="0.35">
      <c r="B706">
        <v>2019</v>
      </c>
      <c r="C706" s="41">
        <v>43400</v>
      </c>
      <c r="D706" t="s">
        <v>1574</v>
      </c>
      <c r="E706" t="s">
        <v>219</v>
      </c>
      <c r="F706" t="s">
        <v>458</v>
      </c>
      <c r="G706" t="s">
        <v>304</v>
      </c>
      <c r="H706" t="s">
        <v>1575</v>
      </c>
      <c r="I706" t="s">
        <v>310</v>
      </c>
      <c r="J706">
        <v>1</v>
      </c>
      <c r="L706">
        <v>578.27</v>
      </c>
      <c r="M706">
        <v>985.48</v>
      </c>
      <c r="N706">
        <v>1470.49</v>
      </c>
      <c r="O706">
        <v>2096.7600000000002</v>
      </c>
      <c r="P706">
        <v>1</v>
      </c>
      <c r="Q706">
        <v>1</v>
      </c>
      <c r="R706">
        <v>0</v>
      </c>
      <c r="S706">
        <v>200289</v>
      </c>
      <c r="T706" t="b">
        <v>1</v>
      </c>
    </row>
    <row r="707" spans="2:20" x14ac:dyDescent="0.35">
      <c r="B707">
        <v>2019</v>
      </c>
      <c r="C707" s="41">
        <v>43400</v>
      </c>
      <c r="D707" t="s">
        <v>1576</v>
      </c>
      <c r="E707" t="s">
        <v>219</v>
      </c>
      <c r="F707" t="s">
        <v>458</v>
      </c>
      <c r="G707" t="s">
        <v>304</v>
      </c>
      <c r="H707" t="s">
        <v>1577</v>
      </c>
      <c r="I707" t="s">
        <v>310</v>
      </c>
      <c r="J707">
        <v>1</v>
      </c>
      <c r="L707">
        <v>578.27</v>
      </c>
      <c r="M707">
        <v>985.48</v>
      </c>
      <c r="N707">
        <v>1470.49</v>
      </c>
      <c r="O707">
        <v>2096.7600000000002</v>
      </c>
      <c r="P707">
        <v>0</v>
      </c>
      <c r="Q707">
        <v>3</v>
      </c>
      <c r="R707">
        <v>0</v>
      </c>
      <c r="S707">
        <v>200289</v>
      </c>
      <c r="T707" t="b">
        <v>1</v>
      </c>
    </row>
    <row r="708" spans="2:20" x14ac:dyDescent="0.35">
      <c r="B708">
        <v>2019</v>
      </c>
      <c r="C708" s="41">
        <v>43400</v>
      </c>
      <c r="D708" t="s">
        <v>1578</v>
      </c>
      <c r="E708" t="s">
        <v>219</v>
      </c>
      <c r="F708" t="s">
        <v>458</v>
      </c>
      <c r="G708" t="s">
        <v>304</v>
      </c>
      <c r="H708" t="s">
        <v>1575</v>
      </c>
      <c r="I708" t="s">
        <v>310</v>
      </c>
      <c r="J708">
        <v>1</v>
      </c>
      <c r="L708">
        <v>578.27</v>
      </c>
      <c r="M708">
        <v>985.48</v>
      </c>
      <c r="N708">
        <v>1470.49</v>
      </c>
      <c r="O708">
        <v>2096.7600000000002</v>
      </c>
      <c r="P708">
        <v>1</v>
      </c>
      <c r="Q708">
        <v>1</v>
      </c>
      <c r="R708">
        <v>0</v>
      </c>
      <c r="S708">
        <v>200289</v>
      </c>
      <c r="T708" t="b">
        <v>1</v>
      </c>
    </row>
    <row r="709" spans="2:20" x14ac:dyDescent="0.35">
      <c r="B709">
        <v>2019</v>
      </c>
      <c r="C709" s="41">
        <v>43400</v>
      </c>
      <c r="D709" t="s">
        <v>1579</v>
      </c>
      <c r="E709" t="s">
        <v>219</v>
      </c>
      <c r="F709" t="s">
        <v>461</v>
      </c>
      <c r="G709" t="s">
        <v>304</v>
      </c>
      <c r="H709" t="s">
        <v>1580</v>
      </c>
      <c r="I709" t="s">
        <v>310</v>
      </c>
      <c r="J709">
        <v>1</v>
      </c>
      <c r="L709">
        <v>555.17999999999995</v>
      </c>
      <c r="M709">
        <v>946.14</v>
      </c>
      <c r="N709">
        <v>1411.79</v>
      </c>
      <c r="O709">
        <v>2013.06</v>
      </c>
      <c r="P709">
        <v>0</v>
      </c>
      <c r="Q709">
        <v>3</v>
      </c>
      <c r="R709">
        <v>0</v>
      </c>
      <c r="S709">
        <v>200289</v>
      </c>
      <c r="T709" t="b">
        <v>1</v>
      </c>
    </row>
    <row r="710" spans="2:20" x14ac:dyDescent="0.35">
      <c r="B710">
        <v>2019</v>
      </c>
      <c r="C710" s="41">
        <v>43400</v>
      </c>
      <c r="D710" t="s">
        <v>1581</v>
      </c>
      <c r="E710" t="s">
        <v>219</v>
      </c>
      <c r="F710" t="s">
        <v>1302</v>
      </c>
      <c r="G710" t="s">
        <v>304</v>
      </c>
      <c r="H710" t="s">
        <v>1582</v>
      </c>
      <c r="I710" t="s">
        <v>310</v>
      </c>
      <c r="J710">
        <v>1</v>
      </c>
      <c r="L710">
        <v>507</v>
      </c>
      <c r="M710">
        <v>864.02</v>
      </c>
      <c r="N710">
        <v>1289.26</v>
      </c>
      <c r="O710">
        <v>1838.34</v>
      </c>
      <c r="P710">
        <v>1</v>
      </c>
      <c r="Q710">
        <v>1</v>
      </c>
      <c r="R710">
        <v>0</v>
      </c>
      <c r="S710">
        <v>200289</v>
      </c>
      <c r="T710" t="b">
        <v>1</v>
      </c>
    </row>
    <row r="711" spans="2:20" x14ac:dyDescent="0.35">
      <c r="B711">
        <v>2019</v>
      </c>
      <c r="C711" s="41">
        <v>43400</v>
      </c>
      <c r="D711" t="s">
        <v>1583</v>
      </c>
      <c r="E711" t="s">
        <v>219</v>
      </c>
      <c r="F711" t="s">
        <v>458</v>
      </c>
      <c r="G711" t="s">
        <v>304</v>
      </c>
      <c r="H711" t="s">
        <v>1548</v>
      </c>
      <c r="I711" t="s">
        <v>310</v>
      </c>
      <c r="J711">
        <v>1</v>
      </c>
      <c r="L711">
        <v>578.27</v>
      </c>
      <c r="M711">
        <v>985.48</v>
      </c>
      <c r="N711">
        <v>1470.49</v>
      </c>
      <c r="O711">
        <v>2096.7600000000002</v>
      </c>
      <c r="P711">
        <v>1</v>
      </c>
      <c r="Q711">
        <v>1</v>
      </c>
      <c r="R711">
        <v>0</v>
      </c>
      <c r="S711">
        <v>200289</v>
      </c>
      <c r="T711" t="b">
        <v>1</v>
      </c>
    </row>
    <row r="712" spans="2:20" x14ac:dyDescent="0.35">
      <c r="B712">
        <v>2019</v>
      </c>
      <c r="C712" s="41">
        <v>43400</v>
      </c>
      <c r="D712" t="s">
        <v>1584</v>
      </c>
      <c r="E712" t="s">
        <v>219</v>
      </c>
      <c r="F712" t="s">
        <v>458</v>
      </c>
      <c r="G712" t="s">
        <v>304</v>
      </c>
      <c r="H712" t="s">
        <v>1564</v>
      </c>
      <c r="I712" t="s">
        <v>310</v>
      </c>
      <c r="J712">
        <v>1</v>
      </c>
      <c r="L712">
        <v>578.27</v>
      </c>
      <c r="M712">
        <v>985.48</v>
      </c>
      <c r="N712">
        <v>1470.49</v>
      </c>
      <c r="O712">
        <v>2096.7600000000002</v>
      </c>
      <c r="P712">
        <v>0</v>
      </c>
      <c r="Q712">
        <v>3</v>
      </c>
      <c r="R712">
        <v>0</v>
      </c>
      <c r="S712">
        <v>200289</v>
      </c>
      <c r="T712" t="b">
        <v>1</v>
      </c>
    </row>
    <row r="713" spans="2:20" x14ac:dyDescent="0.35">
      <c r="B713">
        <v>2019</v>
      </c>
      <c r="C713" s="41">
        <v>43400</v>
      </c>
      <c r="D713" t="s">
        <v>1585</v>
      </c>
      <c r="E713" t="s">
        <v>219</v>
      </c>
      <c r="F713" t="s">
        <v>461</v>
      </c>
      <c r="G713" t="s">
        <v>304</v>
      </c>
      <c r="H713" t="s">
        <v>1586</v>
      </c>
      <c r="I713" t="s">
        <v>1555</v>
      </c>
      <c r="J713">
        <v>1</v>
      </c>
      <c r="L713">
        <v>559.35</v>
      </c>
      <c r="M713">
        <v>953.25</v>
      </c>
      <c r="N713">
        <v>1422.4099999999901</v>
      </c>
      <c r="O713">
        <v>2028.19999999999</v>
      </c>
      <c r="P713">
        <v>0</v>
      </c>
      <c r="Q713">
        <v>3</v>
      </c>
      <c r="R713">
        <v>0</v>
      </c>
      <c r="S713">
        <v>200289</v>
      </c>
      <c r="T713" t="b">
        <v>1</v>
      </c>
    </row>
    <row r="714" spans="2:20" x14ac:dyDescent="0.35">
      <c r="B714">
        <v>2019</v>
      </c>
      <c r="C714" s="41">
        <v>43400</v>
      </c>
      <c r="D714" t="s">
        <v>1587</v>
      </c>
      <c r="E714" t="s">
        <v>219</v>
      </c>
      <c r="F714" t="s">
        <v>458</v>
      </c>
      <c r="G714" t="s">
        <v>304</v>
      </c>
      <c r="H714" t="s">
        <v>1588</v>
      </c>
      <c r="I714" t="s">
        <v>1555</v>
      </c>
      <c r="J714">
        <v>1</v>
      </c>
      <c r="L714">
        <v>582.79999999999995</v>
      </c>
      <c r="M714">
        <v>993.21</v>
      </c>
      <c r="N714">
        <v>1482.03</v>
      </c>
      <c r="O714">
        <v>2113.2199999999998</v>
      </c>
      <c r="P714">
        <v>0</v>
      </c>
      <c r="Q714">
        <v>3</v>
      </c>
      <c r="R714">
        <v>0</v>
      </c>
      <c r="S714">
        <v>200289</v>
      </c>
      <c r="T714" t="b">
        <v>1</v>
      </c>
    </row>
    <row r="715" spans="2:20" x14ac:dyDescent="0.35">
      <c r="B715">
        <v>2019</v>
      </c>
      <c r="C715" s="41">
        <v>43400</v>
      </c>
      <c r="D715" t="s">
        <v>1589</v>
      </c>
      <c r="E715" t="s">
        <v>219</v>
      </c>
      <c r="F715" t="s">
        <v>461</v>
      </c>
      <c r="G715" t="s">
        <v>304</v>
      </c>
      <c r="H715" t="s">
        <v>1590</v>
      </c>
      <c r="I715" t="s">
        <v>843</v>
      </c>
      <c r="J715">
        <v>1</v>
      </c>
      <c r="L715">
        <v>490.24</v>
      </c>
      <c r="M715">
        <v>835.47</v>
      </c>
      <c r="N715">
        <v>1246.6600000000001</v>
      </c>
      <c r="O715">
        <v>1777.6</v>
      </c>
      <c r="P715">
        <v>0</v>
      </c>
      <c r="Q715">
        <v>3</v>
      </c>
      <c r="R715">
        <v>0</v>
      </c>
      <c r="S715">
        <v>200289</v>
      </c>
      <c r="T715" t="b">
        <v>1</v>
      </c>
    </row>
    <row r="716" spans="2:20" x14ac:dyDescent="0.35">
      <c r="B716">
        <v>2019</v>
      </c>
      <c r="C716" s="41">
        <v>43400</v>
      </c>
      <c r="D716" t="s">
        <v>1591</v>
      </c>
      <c r="E716" t="s">
        <v>219</v>
      </c>
      <c r="F716" t="s">
        <v>1302</v>
      </c>
      <c r="G716" t="s">
        <v>304</v>
      </c>
      <c r="H716" t="s">
        <v>1592</v>
      </c>
      <c r="I716" t="s">
        <v>310</v>
      </c>
      <c r="J716">
        <v>1</v>
      </c>
      <c r="L716">
        <v>400.12</v>
      </c>
      <c r="M716">
        <v>681.88</v>
      </c>
      <c r="N716">
        <v>1017.47</v>
      </c>
      <c r="O716">
        <v>1450.8</v>
      </c>
      <c r="P716">
        <v>0</v>
      </c>
      <c r="Q716">
        <v>3</v>
      </c>
      <c r="R716">
        <v>0</v>
      </c>
      <c r="S716">
        <v>200289</v>
      </c>
      <c r="T716" t="b">
        <v>1</v>
      </c>
    </row>
    <row r="717" spans="2:20" x14ac:dyDescent="0.35">
      <c r="B717">
        <v>2019</v>
      </c>
      <c r="C717" s="41">
        <v>43400</v>
      </c>
      <c r="D717" t="s">
        <v>1593</v>
      </c>
      <c r="E717" t="s">
        <v>219</v>
      </c>
      <c r="F717" t="s">
        <v>461</v>
      </c>
      <c r="G717" t="s">
        <v>304</v>
      </c>
      <c r="H717" t="s">
        <v>1594</v>
      </c>
      <c r="I717" t="s">
        <v>842</v>
      </c>
      <c r="J717">
        <v>1</v>
      </c>
      <c r="L717">
        <v>390.06</v>
      </c>
      <c r="M717">
        <v>664.74</v>
      </c>
      <c r="N717">
        <v>991.9</v>
      </c>
      <c r="O717">
        <v>1414.34</v>
      </c>
      <c r="P717">
        <v>0</v>
      </c>
      <c r="Q717">
        <v>3</v>
      </c>
      <c r="R717">
        <v>0</v>
      </c>
      <c r="S717">
        <v>200289</v>
      </c>
      <c r="T717" t="b">
        <v>1</v>
      </c>
    </row>
    <row r="718" spans="2:20" x14ac:dyDescent="0.35">
      <c r="B718">
        <v>2019</v>
      </c>
      <c r="C718" s="41">
        <v>43400</v>
      </c>
      <c r="D718" t="s">
        <v>1595</v>
      </c>
      <c r="E718" t="s">
        <v>219</v>
      </c>
      <c r="F718" t="s">
        <v>458</v>
      </c>
      <c r="G718" t="s">
        <v>304</v>
      </c>
      <c r="H718" t="s">
        <v>1596</v>
      </c>
      <c r="I718" t="s">
        <v>842</v>
      </c>
      <c r="J718">
        <v>1</v>
      </c>
      <c r="L718">
        <v>406.2</v>
      </c>
      <c r="M718">
        <v>692.24</v>
      </c>
      <c r="N718">
        <v>1032.94</v>
      </c>
      <c r="O718">
        <v>1472.86</v>
      </c>
      <c r="P718">
        <v>0</v>
      </c>
      <c r="Q718">
        <v>3</v>
      </c>
      <c r="R718">
        <v>0</v>
      </c>
      <c r="S718">
        <v>200289</v>
      </c>
      <c r="T718" t="b">
        <v>1</v>
      </c>
    </row>
    <row r="719" spans="2:20" x14ac:dyDescent="0.35">
      <c r="B719">
        <v>2019</v>
      </c>
      <c r="C719" s="41">
        <v>43400</v>
      </c>
      <c r="D719" t="s">
        <v>1597</v>
      </c>
      <c r="E719" t="s">
        <v>219</v>
      </c>
      <c r="F719" t="s">
        <v>461</v>
      </c>
      <c r="G719" t="s">
        <v>304</v>
      </c>
      <c r="H719" t="s">
        <v>1598</v>
      </c>
      <c r="I719" t="s">
        <v>842</v>
      </c>
      <c r="J719">
        <v>1</v>
      </c>
      <c r="L719">
        <v>381.25</v>
      </c>
      <c r="M719">
        <v>649.72</v>
      </c>
      <c r="N719">
        <v>969.5</v>
      </c>
      <c r="O719">
        <v>1382.4</v>
      </c>
      <c r="P719">
        <v>0</v>
      </c>
      <c r="Q719">
        <v>3</v>
      </c>
      <c r="R719">
        <v>0</v>
      </c>
      <c r="S719">
        <v>200289</v>
      </c>
      <c r="T719" t="b">
        <v>1</v>
      </c>
    </row>
    <row r="720" spans="2:20" x14ac:dyDescent="0.35">
      <c r="B720">
        <v>2019</v>
      </c>
      <c r="C720" s="41">
        <v>43400</v>
      </c>
      <c r="D720" t="s">
        <v>1599</v>
      </c>
      <c r="E720" t="s">
        <v>219</v>
      </c>
      <c r="F720" t="s">
        <v>458</v>
      </c>
      <c r="G720" t="s">
        <v>304</v>
      </c>
      <c r="H720" t="s">
        <v>1600</v>
      </c>
      <c r="I720" t="s">
        <v>310</v>
      </c>
      <c r="J720">
        <v>1</v>
      </c>
      <c r="L720">
        <v>578.27</v>
      </c>
      <c r="M720">
        <v>985.48</v>
      </c>
      <c r="N720">
        <v>1470.49</v>
      </c>
      <c r="O720">
        <v>2096.7600000000002</v>
      </c>
      <c r="P720">
        <v>0</v>
      </c>
      <c r="Q720">
        <v>3</v>
      </c>
      <c r="R720">
        <v>0</v>
      </c>
      <c r="S720">
        <v>200289</v>
      </c>
      <c r="T720" t="b">
        <v>1</v>
      </c>
    </row>
    <row r="721" spans="2:20" x14ac:dyDescent="0.35">
      <c r="B721">
        <v>2019</v>
      </c>
      <c r="C721" s="41">
        <v>43400</v>
      </c>
      <c r="D721" t="s">
        <v>1601</v>
      </c>
      <c r="E721" t="s">
        <v>219</v>
      </c>
      <c r="F721" t="s">
        <v>461</v>
      </c>
      <c r="G721" t="s">
        <v>304</v>
      </c>
      <c r="H721" t="s">
        <v>1580</v>
      </c>
      <c r="I721" t="s">
        <v>310</v>
      </c>
      <c r="J721">
        <v>1</v>
      </c>
      <c r="L721">
        <v>555.17999999999995</v>
      </c>
      <c r="M721">
        <v>946.14</v>
      </c>
      <c r="N721">
        <v>1411.79</v>
      </c>
      <c r="O721">
        <v>2013.06</v>
      </c>
      <c r="P721">
        <v>1</v>
      </c>
      <c r="Q721">
        <v>1</v>
      </c>
      <c r="R721">
        <v>0</v>
      </c>
      <c r="S721">
        <v>200289</v>
      </c>
      <c r="T721" t="b">
        <v>1</v>
      </c>
    </row>
    <row r="722" spans="2:20" x14ac:dyDescent="0.35">
      <c r="B722">
        <v>2019</v>
      </c>
      <c r="C722" s="41">
        <v>43400</v>
      </c>
      <c r="D722" t="s">
        <v>1602</v>
      </c>
      <c r="E722" t="s">
        <v>219</v>
      </c>
      <c r="F722" t="s">
        <v>461</v>
      </c>
      <c r="G722" t="s">
        <v>304</v>
      </c>
      <c r="H722" t="s">
        <v>1603</v>
      </c>
      <c r="I722" t="s">
        <v>310</v>
      </c>
      <c r="J722">
        <v>1</v>
      </c>
      <c r="L722">
        <v>555.17999999999995</v>
      </c>
      <c r="M722">
        <v>946.14</v>
      </c>
      <c r="N722">
        <v>1411.79</v>
      </c>
      <c r="O722">
        <v>2013.06</v>
      </c>
      <c r="P722">
        <v>1</v>
      </c>
      <c r="Q722">
        <v>1</v>
      </c>
      <c r="R722">
        <v>0</v>
      </c>
      <c r="S722">
        <v>200289</v>
      </c>
      <c r="T722" t="b">
        <v>1</v>
      </c>
    </row>
    <row r="723" spans="2:20" x14ac:dyDescent="0.35">
      <c r="B723">
        <v>2019</v>
      </c>
      <c r="C723" s="41">
        <v>43400</v>
      </c>
      <c r="D723" t="s">
        <v>1604</v>
      </c>
      <c r="E723" t="s">
        <v>219</v>
      </c>
      <c r="F723" t="s">
        <v>458</v>
      </c>
      <c r="G723" t="s">
        <v>304</v>
      </c>
      <c r="H723" t="s">
        <v>1605</v>
      </c>
      <c r="I723" t="s">
        <v>310</v>
      </c>
      <c r="J723">
        <v>1</v>
      </c>
      <c r="L723">
        <v>578.27</v>
      </c>
      <c r="M723">
        <v>985.48</v>
      </c>
      <c r="N723">
        <v>1470.49</v>
      </c>
      <c r="O723">
        <v>2096.7600000000002</v>
      </c>
      <c r="P723">
        <v>1</v>
      </c>
      <c r="Q723">
        <v>1</v>
      </c>
      <c r="R723">
        <v>0</v>
      </c>
      <c r="S723">
        <v>200289</v>
      </c>
      <c r="T723" t="b">
        <v>1</v>
      </c>
    </row>
    <row r="724" spans="2:20" x14ac:dyDescent="0.35">
      <c r="B724">
        <v>2019</v>
      </c>
      <c r="C724" s="41">
        <v>43400</v>
      </c>
      <c r="D724" t="s">
        <v>1606</v>
      </c>
      <c r="E724" t="s">
        <v>219</v>
      </c>
      <c r="F724" t="s">
        <v>458</v>
      </c>
      <c r="G724" t="s">
        <v>304</v>
      </c>
      <c r="H724" t="s">
        <v>1607</v>
      </c>
      <c r="I724" t="s">
        <v>310</v>
      </c>
      <c r="J724">
        <v>1</v>
      </c>
      <c r="L724">
        <v>578.27</v>
      </c>
      <c r="M724">
        <v>985.48</v>
      </c>
      <c r="N724">
        <v>1470.49</v>
      </c>
      <c r="O724">
        <v>2096.7600000000002</v>
      </c>
      <c r="P724">
        <v>1</v>
      </c>
      <c r="Q724">
        <v>1</v>
      </c>
      <c r="R724">
        <v>0</v>
      </c>
      <c r="S724">
        <v>200289</v>
      </c>
      <c r="T724" t="b">
        <v>1</v>
      </c>
    </row>
    <row r="725" spans="2:20" x14ac:dyDescent="0.35">
      <c r="B725">
        <v>2019</v>
      </c>
      <c r="C725" s="41">
        <v>43400</v>
      </c>
      <c r="D725" t="s">
        <v>1608</v>
      </c>
      <c r="E725" t="s">
        <v>219</v>
      </c>
      <c r="F725" t="s">
        <v>1302</v>
      </c>
      <c r="G725" t="s">
        <v>304</v>
      </c>
      <c r="H725" t="s">
        <v>1609</v>
      </c>
      <c r="I725" t="s">
        <v>310</v>
      </c>
      <c r="J725">
        <v>1</v>
      </c>
      <c r="L725">
        <v>458.69</v>
      </c>
      <c r="M725">
        <v>781.7</v>
      </c>
      <c r="N725">
        <v>1166.4299999999901</v>
      </c>
      <c r="O725">
        <v>1663.19999999999</v>
      </c>
      <c r="P725">
        <v>0</v>
      </c>
      <c r="Q725">
        <v>3</v>
      </c>
      <c r="R725">
        <v>0</v>
      </c>
      <c r="S725">
        <v>200289</v>
      </c>
      <c r="T725" t="b">
        <v>1</v>
      </c>
    </row>
    <row r="726" spans="2:20" x14ac:dyDescent="0.35">
      <c r="B726">
        <v>2019</v>
      </c>
      <c r="C726" s="41">
        <v>43400</v>
      </c>
      <c r="D726" t="s">
        <v>1610</v>
      </c>
      <c r="E726" t="s">
        <v>219</v>
      </c>
      <c r="F726" t="s">
        <v>458</v>
      </c>
      <c r="G726" t="s">
        <v>304</v>
      </c>
      <c r="H726" t="s">
        <v>1611</v>
      </c>
      <c r="I726" t="s">
        <v>310</v>
      </c>
      <c r="J726">
        <v>1</v>
      </c>
      <c r="L726">
        <v>578.27</v>
      </c>
      <c r="M726">
        <v>985.48</v>
      </c>
      <c r="N726">
        <v>1470.49</v>
      </c>
      <c r="O726">
        <v>2096.7600000000002</v>
      </c>
      <c r="P726">
        <v>0</v>
      </c>
      <c r="Q726">
        <v>3</v>
      </c>
      <c r="R726">
        <v>0</v>
      </c>
      <c r="S726">
        <v>200289</v>
      </c>
      <c r="T726" t="b">
        <v>1</v>
      </c>
    </row>
    <row r="727" spans="2:20" x14ac:dyDescent="0.35">
      <c r="B727">
        <v>2019</v>
      </c>
      <c r="C727" s="41">
        <v>43400</v>
      </c>
      <c r="D727" t="s">
        <v>1612</v>
      </c>
      <c r="E727" t="s">
        <v>219</v>
      </c>
      <c r="F727" t="s">
        <v>461</v>
      </c>
      <c r="G727" t="s">
        <v>304</v>
      </c>
      <c r="H727" t="s">
        <v>1613</v>
      </c>
      <c r="I727" t="s">
        <v>310</v>
      </c>
      <c r="J727">
        <v>1</v>
      </c>
      <c r="L727">
        <v>555.17999999999995</v>
      </c>
      <c r="M727">
        <v>946.14</v>
      </c>
      <c r="N727">
        <v>1411.79</v>
      </c>
      <c r="O727">
        <v>2013.06</v>
      </c>
      <c r="P727">
        <v>0</v>
      </c>
      <c r="Q727">
        <v>3</v>
      </c>
      <c r="R727">
        <v>0</v>
      </c>
      <c r="S727">
        <v>200289</v>
      </c>
      <c r="T727" t="b">
        <v>1</v>
      </c>
    </row>
    <row r="728" spans="2:20" x14ac:dyDescent="0.35">
      <c r="B728">
        <v>2019</v>
      </c>
      <c r="C728" s="41">
        <v>43400</v>
      </c>
      <c r="D728" t="s">
        <v>1614</v>
      </c>
      <c r="E728" t="s">
        <v>219</v>
      </c>
      <c r="F728" t="s">
        <v>1311</v>
      </c>
      <c r="G728" t="s">
        <v>304</v>
      </c>
      <c r="H728" t="s">
        <v>1615</v>
      </c>
      <c r="I728" t="s">
        <v>310</v>
      </c>
      <c r="J728">
        <v>1</v>
      </c>
      <c r="L728">
        <v>578.27</v>
      </c>
      <c r="M728">
        <v>985.48</v>
      </c>
      <c r="N728">
        <v>1470.49</v>
      </c>
      <c r="O728">
        <v>2096.7600000000002</v>
      </c>
      <c r="P728">
        <v>1</v>
      </c>
      <c r="Q728">
        <v>1</v>
      </c>
      <c r="R728">
        <v>0</v>
      </c>
      <c r="S728">
        <v>200289</v>
      </c>
      <c r="T728" t="b">
        <v>1</v>
      </c>
    </row>
    <row r="729" spans="2:20" x14ac:dyDescent="0.35">
      <c r="B729">
        <v>2019</v>
      </c>
      <c r="C729" s="41">
        <v>43400</v>
      </c>
      <c r="D729" t="s">
        <v>1614</v>
      </c>
      <c r="E729" t="s">
        <v>219</v>
      </c>
      <c r="F729" t="s">
        <v>458</v>
      </c>
      <c r="G729" t="s">
        <v>304</v>
      </c>
      <c r="H729" t="s">
        <v>1615</v>
      </c>
      <c r="I729" t="s">
        <v>310</v>
      </c>
      <c r="J729">
        <v>1</v>
      </c>
      <c r="L729">
        <v>578.27</v>
      </c>
      <c r="M729">
        <v>985.48</v>
      </c>
      <c r="N729">
        <v>1470.49</v>
      </c>
      <c r="O729">
        <v>2096.7600000000002</v>
      </c>
      <c r="P729">
        <v>1</v>
      </c>
      <c r="Q729">
        <v>1</v>
      </c>
      <c r="R729">
        <v>0</v>
      </c>
      <c r="S729">
        <v>200289</v>
      </c>
      <c r="T729" t="b">
        <v>1</v>
      </c>
    </row>
    <row r="730" spans="2:20" x14ac:dyDescent="0.35">
      <c r="B730">
        <v>2019</v>
      </c>
      <c r="C730" s="41">
        <v>43400</v>
      </c>
      <c r="D730" t="s">
        <v>1616</v>
      </c>
      <c r="E730" t="s">
        <v>219</v>
      </c>
      <c r="F730" t="s">
        <v>458</v>
      </c>
      <c r="G730" t="s">
        <v>304</v>
      </c>
      <c r="H730" t="s">
        <v>1617</v>
      </c>
      <c r="I730" t="s">
        <v>1555</v>
      </c>
      <c r="J730">
        <v>1</v>
      </c>
      <c r="L730">
        <v>582.79999999999995</v>
      </c>
      <c r="M730">
        <v>993.21</v>
      </c>
      <c r="N730">
        <v>1482.03</v>
      </c>
      <c r="O730">
        <v>2113.2199999999998</v>
      </c>
      <c r="P730">
        <v>0</v>
      </c>
      <c r="Q730">
        <v>3</v>
      </c>
      <c r="R730">
        <v>0</v>
      </c>
      <c r="S730">
        <v>200289</v>
      </c>
      <c r="T730" t="b">
        <v>1</v>
      </c>
    </row>
    <row r="731" spans="2:20" x14ac:dyDescent="0.35">
      <c r="B731">
        <v>2019</v>
      </c>
      <c r="C731" s="41">
        <v>43400</v>
      </c>
      <c r="D731" t="s">
        <v>1618</v>
      </c>
      <c r="E731" t="s">
        <v>219</v>
      </c>
      <c r="F731" t="s">
        <v>458</v>
      </c>
      <c r="G731" t="s">
        <v>304</v>
      </c>
      <c r="H731" t="s">
        <v>1619</v>
      </c>
      <c r="I731" t="s">
        <v>1555</v>
      </c>
      <c r="J731">
        <v>1</v>
      </c>
      <c r="L731">
        <v>582.79999999999995</v>
      </c>
      <c r="M731">
        <v>993.21</v>
      </c>
      <c r="N731">
        <v>1482.03</v>
      </c>
      <c r="O731">
        <v>2113.2199999999998</v>
      </c>
      <c r="P731">
        <v>0</v>
      </c>
      <c r="Q731">
        <v>3</v>
      </c>
      <c r="R731">
        <v>0</v>
      </c>
      <c r="S731">
        <v>200289</v>
      </c>
      <c r="T731" t="b">
        <v>1</v>
      </c>
    </row>
    <row r="732" spans="2:20" x14ac:dyDescent="0.35">
      <c r="B732">
        <v>2019</v>
      </c>
      <c r="C732" s="41">
        <v>43400</v>
      </c>
      <c r="D732" t="s">
        <v>1620</v>
      </c>
      <c r="E732" t="s">
        <v>219</v>
      </c>
      <c r="F732" t="s">
        <v>458</v>
      </c>
      <c r="G732" t="s">
        <v>304</v>
      </c>
      <c r="H732" t="s">
        <v>1621</v>
      </c>
      <c r="I732" t="s">
        <v>843</v>
      </c>
      <c r="J732">
        <v>1</v>
      </c>
      <c r="L732">
        <v>510.65</v>
      </c>
      <c r="M732">
        <v>870.24</v>
      </c>
      <c r="N732">
        <v>1298.54</v>
      </c>
      <c r="O732">
        <v>1851.58</v>
      </c>
      <c r="P732">
        <v>0</v>
      </c>
      <c r="Q732">
        <v>3</v>
      </c>
      <c r="R732">
        <v>0</v>
      </c>
      <c r="S732">
        <v>200289</v>
      </c>
      <c r="T732" t="b">
        <v>1</v>
      </c>
    </row>
    <row r="733" spans="2:20" x14ac:dyDescent="0.35">
      <c r="B733">
        <v>2019</v>
      </c>
      <c r="C733" s="41">
        <v>43400</v>
      </c>
      <c r="D733" t="s">
        <v>1622</v>
      </c>
      <c r="E733" t="s">
        <v>219</v>
      </c>
      <c r="F733" t="s">
        <v>458</v>
      </c>
      <c r="G733" t="s">
        <v>304</v>
      </c>
      <c r="H733" t="s">
        <v>1600</v>
      </c>
      <c r="I733" t="s">
        <v>310</v>
      </c>
      <c r="J733">
        <v>1</v>
      </c>
      <c r="L733">
        <v>578.27</v>
      </c>
      <c r="M733">
        <v>985.48</v>
      </c>
      <c r="N733">
        <v>1470.49</v>
      </c>
      <c r="O733">
        <v>2096.7600000000002</v>
      </c>
      <c r="P733">
        <v>1</v>
      </c>
      <c r="Q733">
        <v>1</v>
      </c>
      <c r="R733">
        <v>0</v>
      </c>
      <c r="S733">
        <v>200289</v>
      </c>
      <c r="T733" t="b">
        <v>1</v>
      </c>
    </row>
    <row r="734" spans="2:20" x14ac:dyDescent="0.35">
      <c r="B734">
        <v>2019</v>
      </c>
      <c r="C734" s="41">
        <v>43400</v>
      </c>
      <c r="D734" t="s">
        <v>1623</v>
      </c>
      <c r="E734" t="s">
        <v>219</v>
      </c>
      <c r="F734" t="s">
        <v>458</v>
      </c>
      <c r="G734" t="s">
        <v>304</v>
      </c>
      <c r="H734" t="s">
        <v>1605</v>
      </c>
      <c r="I734" t="s">
        <v>310</v>
      </c>
      <c r="J734">
        <v>1</v>
      </c>
      <c r="L734">
        <v>578.27</v>
      </c>
      <c r="M734">
        <v>985.48</v>
      </c>
      <c r="N734">
        <v>1470.49</v>
      </c>
      <c r="O734">
        <v>2096.7600000000002</v>
      </c>
      <c r="P734">
        <v>1</v>
      </c>
      <c r="Q734">
        <v>1</v>
      </c>
      <c r="R734">
        <v>0</v>
      </c>
      <c r="S734">
        <v>200289</v>
      </c>
      <c r="T734" t="b">
        <v>1</v>
      </c>
    </row>
    <row r="735" spans="2:20" x14ac:dyDescent="0.35">
      <c r="B735">
        <v>2019</v>
      </c>
      <c r="C735" s="41">
        <v>43400</v>
      </c>
      <c r="D735" t="s">
        <v>1624</v>
      </c>
      <c r="E735" t="s">
        <v>219</v>
      </c>
      <c r="F735" t="s">
        <v>458</v>
      </c>
      <c r="G735" t="s">
        <v>304</v>
      </c>
      <c r="H735" t="s">
        <v>1607</v>
      </c>
      <c r="I735" t="s">
        <v>310</v>
      </c>
      <c r="J735">
        <v>1</v>
      </c>
      <c r="L735">
        <v>578.27</v>
      </c>
      <c r="M735">
        <v>985.48</v>
      </c>
      <c r="N735">
        <v>1470.49</v>
      </c>
      <c r="O735">
        <v>2096.7600000000002</v>
      </c>
      <c r="P735">
        <v>1</v>
      </c>
      <c r="Q735">
        <v>1</v>
      </c>
      <c r="R735">
        <v>0</v>
      </c>
      <c r="S735">
        <v>200289</v>
      </c>
      <c r="T735" t="b">
        <v>1</v>
      </c>
    </row>
    <row r="736" spans="2:20" x14ac:dyDescent="0.35">
      <c r="B736">
        <v>2019</v>
      </c>
      <c r="C736" s="41">
        <v>43400</v>
      </c>
      <c r="D736" t="s">
        <v>1625</v>
      </c>
      <c r="E736" t="s">
        <v>219</v>
      </c>
      <c r="F736" t="s">
        <v>461</v>
      </c>
      <c r="G736" t="s">
        <v>304</v>
      </c>
      <c r="H736" t="s">
        <v>1603</v>
      </c>
      <c r="I736" t="s">
        <v>310</v>
      </c>
      <c r="J736">
        <v>1</v>
      </c>
      <c r="L736">
        <v>555.17999999999995</v>
      </c>
      <c r="M736">
        <v>946.14</v>
      </c>
      <c r="N736">
        <v>1411.79</v>
      </c>
      <c r="O736">
        <v>2013.06</v>
      </c>
      <c r="P736">
        <v>1</v>
      </c>
      <c r="Q736">
        <v>1</v>
      </c>
      <c r="R736">
        <v>0</v>
      </c>
      <c r="S736">
        <v>200289</v>
      </c>
      <c r="T736" t="b">
        <v>1</v>
      </c>
    </row>
    <row r="737" spans="2:20" x14ac:dyDescent="0.35">
      <c r="B737">
        <v>2019</v>
      </c>
      <c r="C737" s="41">
        <v>43400</v>
      </c>
      <c r="D737" t="s">
        <v>1626</v>
      </c>
      <c r="E737" t="s">
        <v>219</v>
      </c>
      <c r="F737" t="s">
        <v>458</v>
      </c>
      <c r="G737" t="s">
        <v>304</v>
      </c>
      <c r="H737" t="s">
        <v>1627</v>
      </c>
      <c r="I737" t="s">
        <v>310</v>
      </c>
      <c r="J737">
        <v>1</v>
      </c>
      <c r="L737">
        <v>578.27</v>
      </c>
      <c r="M737">
        <v>985.48</v>
      </c>
      <c r="N737">
        <v>1470.49</v>
      </c>
      <c r="O737">
        <v>2096.7600000000002</v>
      </c>
      <c r="P737">
        <v>1</v>
      </c>
      <c r="Q737">
        <v>1</v>
      </c>
      <c r="R737">
        <v>0</v>
      </c>
      <c r="S737">
        <v>200289</v>
      </c>
      <c r="T737" t="b">
        <v>1</v>
      </c>
    </row>
    <row r="738" spans="2:20" x14ac:dyDescent="0.35">
      <c r="B738">
        <v>2019</v>
      </c>
      <c r="C738" s="41">
        <v>43400</v>
      </c>
      <c r="D738" t="s">
        <v>1628</v>
      </c>
      <c r="E738" t="s">
        <v>219</v>
      </c>
      <c r="F738" t="s">
        <v>458</v>
      </c>
      <c r="G738" t="s">
        <v>304</v>
      </c>
      <c r="H738" t="s">
        <v>1548</v>
      </c>
      <c r="I738" t="s">
        <v>310</v>
      </c>
      <c r="J738">
        <v>1</v>
      </c>
      <c r="L738">
        <v>578.27</v>
      </c>
      <c r="M738">
        <v>985.48</v>
      </c>
      <c r="N738">
        <v>1470.49</v>
      </c>
      <c r="O738">
        <v>2096.7600000000002</v>
      </c>
      <c r="P738">
        <v>1</v>
      </c>
      <c r="Q738">
        <v>1</v>
      </c>
      <c r="R738">
        <v>0</v>
      </c>
      <c r="S738">
        <v>200289</v>
      </c>
      <c r="T738" t="b">
        <v>1</v>
      </c>
    </row>
    <row r="739" spans="2:20" x14ac:dyDescent="0.35">
      <c r="B739">
        <v>2019</v>
      </c>
      <c r="C739" s="41">
        <v>43400</v>
      </c>
      <c r="D739" t="s">
        <v>1629</v>
      </c>
      <c r="E739" t="s">
        <v>219</v>
      </c>
      <c r="F739" t="s">
        <v>458</v>
      </c>
      <c r="G739" t="s">
        <v>304</v>
      </c>
      <c r="H739" t="s">
        <v>1611</v>
      </c>
      <c r="I739" t="s">
        <v>310</v>
      </c>
      <c r="J739">
        <v>1</v>
      </c>
      <c r="L739">
        <v>578.27</v>
      </c>
      <c r="M739">
        <v>985.48</v>
      </c>
      <c r="N739">
        <v>1470.49</v>
      </c>
      <c r="O739">
        <v>2096.7600000000002</v>
      </c>
      <c r="P739">
        <v>1</v>
      </c>
      <c r="Q739">
        <v>1</v>
      </c>
      <c r="R739">
        <v>0</v>
      </c>
      <c r="S739">
        <v>200289</v>
      </c>
      <c r="T739" t="b">
        <v>1</v>
      </c>
    </row>
    <row r="740" spans="2:20" x14ac:dyDescent="0.35">
      <c r="B740">
        <v>2019</v>
      </c>
      <c r="C740" s="41">
        <v>43400</v>
      </c>
      <c r="D740" t="s">
        <v>1630</v>
      </c>
      <c r="E740" t="s">
        <v>219</v>
      </c>
      <c r="F740" t="s">
        <v>461</v>
      </c>
      <c r="G740" t="s">
        <v>304</v>
      </c>
      <c r="H740" t="s">
        <v>1613</v>
      </c>
      <c r="I740" t="s">
        <v>310</v>
      </c>
      <c r="J740">
        <v>1</v>
      </c>
      <c r="L740">
        <v>555.17999999999995</v>
      </c>
      <c r="M740">
        <v>946.14</v>
      </c>
      <c r="N740">
        <v>1411.79</v>
      </c>
      <c r="O740">
        <v>2013.06</v>
      </c>
      <c r="P740">
        <v>1</v>
      </c>
      <c r="Q740">
        <v>1</v>
      </c>
      <c r="R740">
        <v>0</v>
      </c>
      <c r="S740">
        <v>200289</v>
      </c>
      <c r="T740" t="b">
        <v>1</v>
      </c>
    </row>
    <row r="741" spans="2:20" x14ac:dyDescent="0.35">
      <c r="B741">
        <v>2019</v>
      </c>
      <c r="C741" s="41">
        <v>43400</v>
      </c>
      <c r="D741" t="s">
        <v>1631</v>
      </c>
      <c r="E741" t="s">
        <v>219</v>
      </c>
      <c r="F741" t="s">
        <v>458</v>
      </c>
      <c r="G741" t="s">
        <v>304</v>
      </c>
      <c r="H741" t="s">
        <v>1632</v>
      </c>
      <c r="I741" t="s">
        <v>842</v>
      </c>
      <c r="J741">
        <v>1</v>
      </c>
      <c r="L741">
        <v>397.11</v>
      </c>
      <c r="M741">
        <v>676.76</v>
      </c>
      <c r="N741">
        <v>1009.83999999999</v>
      </c>
      <c r="O741">
        <v>1439.92</v>
      </c>
      <c r="P741">
        <v>0</v>
      </c>
      <c r="Q741">
        <v>3</v>
      </c>
      <c r="R741">
        <v>0</v>
      </c>
      <c r="S741">
        <v>200289</v>
      </c>
      <c r="T741" t="b">
        <v>1</v>
      </c>
    </row>
    <row r="742" spans="2:20" x14ac:dyDescent="0.35">
      <c r="B742">
        <v>2019</v>
      </c>
      <c r="C742" s="41">
        <v>43400</v>
      </c>
      <c r="D742" t="s">
        <v>1633</v>
      </c>
      <c r="E742" t="s">
        <v>219</v>
      </c>
      <c r="F742" t="s">
        <v>458</v>
      </c>
      <c r="G742" t="s">
        <v>304</v>
      </c>
      <c r="H742" t="s">
        <v>1634</v>
      </c>
      <c r="I742" t="s">
        <v>1555</v>
      </c>
      <c r="J742">
        <v>1</v>
      </c>
      <c r="L742">
        <v>582.79999999999995</v>
      </c>
      <c r="M742">
        <v>993.21</v>
      </c>
      <c r="N742">
        <v>1482.03</v>
      </c>
      <c r="O742">
        <v>2113.2199999999998</v>
      </c>
      <c r="P742">
        <v>0</v>
      </c>
      <c r="Q742">
        <v>3</v>
      </c>
      <c r="R742">
        <v>0</v>
      </c>
      <c r="S742">
        <v>200289</v>
      </c>
      <c r="T742" t="b">
        <v>1</v>
      </c>
    </row>
    <row r="743" spans="2:20" x14ac:dyDescent="0.35">
      <c r="B743">
        <v>2019</v>
      </c>
      <c r="C743" s="41">
        <v>43400</v>
      </c>
      <c r="D743" t="s">
        <v>1635</v>
      </c>
      <c r="E743" t="s">
        <v>219</v>
      </c>
      <c r="F743" t="s">
        <v>458</v>
      </c>
      <c r="G743" t="s">
        <v>304</v>
      </c>
      <c r="H743" t="s">
        <v>1636</v>
      </c>
      <c r="I743" t="s">
        <v>1555</v>
      </c>
      <c r="J743">
        <v>1</v>
      </c>
      <c r="L743">
        <v>582.79999999999995</v>
      </c>
      <c r="M743">
        <v>993.21</v>
      </c>
      <c r="N743">
        <v>1482.03</v>
      </c>
      <c r="O743">
        <v>2113.2199999999998</v>
      </c>
      <c r="P743">
        <v>0</v>
      </c>
      <c r="Q743">
        <v>3</v>
      </c>
      <c r="R743">
        <v>0</v>
      </c>
      <c r="S743">
        <v>200289</v>
      </c>
      <c r="T743" t="b">
        <v>1</v>
      </c>
    </row>
    <row r="744" spans="2:20" x14ac:dyDescent="0.35">
      <c r="B744">
        <v>2019</v>
      </c>
      <c r="C744" s="41">
        <v>43400</v>
      </c>
      <c r="D744" t="s">
        <v>1637</v>
      </c>
      <c r="E744" t="s">
        <v>219</v>
      </c>
      <c r="F744" t="s">
        <v>1302</v>
      </c>
      <c r="G744" t="s">
        <v>304</v>
      </c>
      <c r="H744" t="s">
        <v>1638</v>
      </c>
      <c r="I744" t="s">
        <v>843</v>
      </c>
      <c r="J744">
        <v>1</v>
      </c>
      <c r="L744">
        <v>447.66</v>
      </c>
      <c r="M744">
        <v>762.91</v>
      </c>
      <c r="N744">
        <v>1138.3899999999901</v>
      </c>
      <c r="O744">
        <v>1623.21999999999</v>
      </c>
      <c r="P744">
        <v>0</v>
      </c>
      <c r="Q744">
        <v>3</v>
      </c>
      <c r="R744">
        <v>0</v>
      </c>
      <c r="S744">
        <v>200289</v>
      </c>
      <c r="T744" t="b">
        <v>1</v>
      </c>
    </row>
    <row r="745" spans="2:20" x14ac:dyDescent="0.35">
      <c r="B745">
        <v>2019</v>
      </c>
      <c r="C745" s="41">
        <v>43400</v>
      </c>
      <c r="D745" t="s">
        <v>1639</v>
      </c>
      <c r="E745" t="s">
        <v>219</v>
      </c>
      <c r="F745" t="s">
        <v>461</v>
      </c>
      <c r="G745" t="s">
        <v>304</v>
      </c>
      <c r="H745" t="s">
        <v>1640</v>
      </c>
      <c r="I745" t="s">
        <v>843</v>
      </c>
      <c r="J745">
        <v>1</v>
      </c>
      <c r="L745">
        <v>490.24</v>
      </c>
      <c r="M745">
        <v>835.47</v>
      </c>
      <c r="N745">
        <v>1246.6600000000001</v>
      </c>
      <c r="O745">
        <v>1777.6</v>
      </c>
      <c r="P745">
        <v>0</v>
      </c>
      <c r="Q745">
        <v>3</v>
      </c>
      <c r="R745">
        <v>0</v>
      </c>
      <c r="S745">
        <v>200289</v>
      </c>
      <c r="T745" t="b">
        <v>1</v>
      </c>
    </row>
    <row r="746" spans="2:20" x14ac:dyDescent="0.35">
      <c r="B746">
        <v>2019</v>
      </c>
      <c r="C746" s="41">
        <v>43400</v>
      </c>
      <c r="D746" t="s">
        <v>1641</v>
      </c>
      <c r="E746" t="s">
        <v>219</v>
      </c>
      <c r="F746" t="s">
        <v>458</v>
      </c>
      <c r="G746" t="s">
        <v>304</v>
      </c>
      <c r="H746" t="s">
        <v>1642</v>
      </c>
      <c r="I746" t="s">
        <v>310</v>
      </c>
      <c r="J746">
        <v>1</v>
      </c>
      <c r="L746">
        <v>504.59</v>
      </c>
      <c r="M746">
        <v>859.93</v>
      </c>
      <c r="N746">
        <v>1283.1399999999901</v>
      </c>
      <c r="O746">
        <v>1829.62</v>
      </c>
      <c r="P746">
        <v>1</v>
      </c>
      <c r="Q746">
        <v>1</v>
      </c>
      <c r="R746">
        <v>0</v>
      </c>
      <c r="S746">
        <v>200289</v>
      </c>
      <c r="T746" t="b">
        <v>1</v>
      </c>
    </row>
    <row r="747" spans="2:20" x14ac:dyDescent="0.35">
      <c r="B747">
        <v>2019</v>
      </c>
      <c r="C747" s="41">
        <v>43400</v>
      </c>
      <c r="D747" t="s">
        <v>1643</v>
      </c>
      <c r="E747" t="s">
        <v>219</v>
      </c>
      <c r="F747" t="s">
        <v>461</v>
      </c>
      <c r="G747" t="s">
        <v>304</v>
      </c>
      <c r="H747" t="s">
        <v>1644</v>
      </c>
      <c r="I747" t="s">
        <v>842</v>
      </c>
      <c r="J747">
        <v>1</v>
      </c>
      <c r="L747">
        <v>390.06</v>
      </c>
      <c r="M747">
        <v>664.74</v>
      </c>
      <c r="N747">
        <v>991.9</v>
      </c>
      <c r="O747">
        <v>1414.34</v>
      </c>
      <c r="P747">
        <v>0</v>
      </c>
      <c r="Q747">
        <v>3</v>
      </c>
      <c r="R747">
        <v>0</v>
      </c>
      <c r="S747">
        <v>200289</v>
      </c>
      <c r="T747" t="b">
        <v>1</v>
      </c>
    </row>
    <row r="748" spans="2:20" x14ac:dyDescent="0.35">
      <c r="B748">
        <v>2019</v>
      </c>
      <c r="C748" s="41">
        <v>43400</v>
      </c>
      <c r="D748" t="s">
        <v>1645</v>
      </c>
      <c r="E748" t="s">
        <v>219</v>
      </c>
      <c r="F748" t="s">
        <v>1302</v>
      </c>
      <c r="G748" t="s">
        <v>304</v>
      </c>
      <c r="H748" t="s">
        <v>1646</v>
      </c>
      <c r="I748" t="s">
        <v>842</v>
      </c>
      <c r="J748">
        <v>1</v>
      </c>
      <c r="L748">
        <v>356</v>
      </c>
      <c r="M748">
        <v>606.70000000000005</v>
      </c>
      <c r="N748">
        <v>905.29</v>
      </c>
      <c r="O748">
        <v>1290.8399999999999</v>
      </c>
      <c r="P748">
        <v>0</v>
      </c>
      <c r="Q748">
        <v>3</v>
      </c>
      <c r="R748">
        <v>0</v>
      </c>
      <c r="S748">
        <v>200289</v>
      </c>
      <c r="T748" t="b">
        <v>1</v>
      </c>
    </row>
    <row r="749" spans="2:20" x14ac:dyDescent="0.35">
      <c r="B749">
        <v>2019</v>
      </c>
      <c r="C749" s="41">
        <v>43400</v>
      </c>
      <c r="D749" t="s">
        <v>1647</v>
      </c>
      <c r="E749" t="s">
        <v>219</v>
      </c>
      <c r="F749" t="s">
        <v>458</v>
      </c>
      <c r="G749" t="s">
        <v>304</v>
      </c>
      <c r="H749" t="s">
        <v>1648</v>
      </c>
      <c r="I749" t="s">
        <v>842</v>
      </c>
      <c r="J749">
        <v>1</v>
      </c>
      <c r="L749">
        <v>397.11</v>
      </c>
      <c r="M749">
        <v>676.76</v>
      </c>
      <c r="N749">
        <v>1009.83999999999</v>
      </c>
      <c r="O749">
        <v>1439.92</v>
      </c>
      <c r="P749">
        <v>0</v>
      </c>
      <c r="Q749">
        <v>3</v>
      </c>
      <c r="R749">
        <v>0</v>
      </c>
      <c r="S749">
        <v>200289</v>
      </c>
      <c r="T749" t="b">
        <v>1</v>
      </c>
    </row>
    <row r="750" spans="2:20" x14ac:dyDescent="0.35">
      <c r="B750">
        <v>2019</v>
      </c>
      <c r="C750" s="41">
        <v>43400</v>
      </c>
      <c r="D750" t="s">
        <v>1649</v>
      </c>
      <c r="E750" t="s">
        <v>219</v>
      </c>
      <c r="F750" t="s">
        <v>458</v>
      </c>
      <c r="G750" t="s">
        <v>304</v>
      </c>
      <c r="H750" t="s">
        <v>1650</v>
      </c>
      <c r="I750" t="s">
        <v>310</v>
      </c>
      <c r="J750">
        <v>1</v>
      </c>
      <c r="L750">
        <v>504.59</v>
      </c>
      <c r="M750">
        <v>859.93</v>
      </c>
      <c r="N750">
        <v>1283.1399999999901</v>
      </c>
      <c r="O750">
        <v>1829.62</v>
      </c>
      <c r="P750">
        <v>1</v>
      </c>
      <c r="Q750">
        <v>1</v>
      </c>
      <c r="R750">
        <v>0</v>
      </c>
      <c r="S750">
        <v>200289</v>
      </c>
      <c r="T750" t="b">
        <v>1</v>
      </c>
    </row>
    <row r="751" spans="2:20" x14ac:dyDescent="0.35">
      <c r="B751">
        <v>2019</v>
      </c>
      <c r="C751" s="41">
        <v>43400</v>
      </c>
      <c r="D751" t="s">
        <v>1651</v>
      </c>
      <c r="E751" t="s">
        <v>219</v>
      </c>
      <c r="F751" t="s">
        <v>458</v>
      </c>
      <c r="G751" t="s">
        <v>304</v>
      </c>
      <c r="H751" t="s">
        <v>1652</v>
      </c>
      <c r="I751" t="s">
        <v>310</v>
      </c>
      <c r="J751">
        <v>1</v>
      </c>
      <c r="L751">
        <v>504.59</v>
      </c>
      <c r="M751">
        <v>859.93</v>
      </c>
      <c r="N751">
        <v>1283.1399999999901</v>
      </c>
      <c r="O751">
        <v>1829.62</v>
      </c>
      <c r="P751">
        <v>0</v>
      </c>
      <c r="Q751">
        <v>3</v>
      </c>
      <c r="R751">
        <v>0</v>
      </c>
      <c r="S751">
        <v>200289</v>
      </c>
      <c r="T751" t="b">
        <v>1</v>
      </c>
    </row>
    <row r="752" spans="2:20" x14ac:dyDescent="0.35">
      <c r="B752">
        <v>2019</v>
      </c>
      <c r="C752" s="41">
        <v>43400</v>
      </c>
      <c r="D752" t="s">
        <v>1653</v>
      </c>
      <c r="E752" t="s">
        <v>219</v>
      </c>
      <c r="F752" t="s">
        <v>461</v>
      </c>
      <c r="G752" t="s">
        <v>304</v>
      </c>
      <c r="H752" t="s">
        <v>1580</v>
      </c>
      <c r="I752" t="s">
        <v>310</v>
      </c>
      <c r="J752">
        <v>1</v>
      </c>
      <c r="L752">
        <v>555.17999999999995</v>
      </c>
      <c r="M752">
        <v>946.14</v>
      </c>
      <c r="N752">
        <v>1411.79</v>
      </c>
      <c r="O752">
        <v>2013.06</v>
      </c>
      <c r="P752">
        <v>1</v>
      </c>
      <c r="Q752">
        <v>1</v>
      </c>
      <c r="R752">
        <v>0</v>
      </c>
      <c r="S752">
        <v>200289</v>
      </c>
      <c r="T752" t="b">
        <v>1</v>
      </c>
    </row>
    <row r="753" spans="2:20" x14ac:dyDescent="0.35">
      <c r="B753">
        <v>2019</v>
      </c>
      <c r="C753" s="41">
        <v>43400</v>
      </c>
      <c r="D753" t="s">
        <v>1654</v>
      </c>
      <c r="E753" t="s">
        <v>219</v>
      </c>
      <c r="F753" t="s">
        <v>458</v>
      </c>
      <c r="G753" t="s">
        <v>304</v>
      </c>
      <c r="H753" t="s">
        <v>1605</v>
      </c>
      <c r="I753" t="s">
        <v>310</v>
      </c>
      <c r="J753">
        <v>1</v>
      </c>
      <c r="L753">
        <v>578.27</v>
      </c>
      <c r="M753">
        <v>985.48</v>
      </c>
      <c r="N753">
        <v>1470.49</v>
      </c>
      <c r="O753">
        <v>2096.7600000000002</v>
      </c>
      <c r="P753">
        <v>1</v>
      </c>
      <c r="Q753">
        <v>1</v>
      </c>
      <c r="R753">
        <v>0</v>
      </c>
      <c r="S753">
        <v>200289</v>
      </c>
      <c r="T753" t="b">
        <v>1</v>
      </c>
    </row>
    <row r="754" spans="2:20" x14ac:dyDescent="0.35">
      <c r="B754">
        <v>2019</v>
      </c>
      <c r="C754" s="41">
        <v>43400</v>
      </c>
      <c r="D754" t="s">
        <v>1655</v>
      </c>
      <c r="E754" t="s">
        <v>219</v>
      </c>
      <c r="F754" t="s">
        <v>458</v>
      </c>
      <c r="G754" t="s">
        <v>304</v>
      </c>
      <c r="H754" t="s">
        <v>1607</v>
      </c>
      <c r="I754" t="s">
        <v>310</v>
      </c>
      <c r="J754">
        <v>1</v>
      </c>
      <c r="L754">
        <v>578.27</v>
      </c>
      <c r="M754">
        <v>985.48</v>
      </c>
      <c r="N754">
        <v>1470.49</v>
      </c>
      <c r="O754">
        <v>2096.7600000000002</v>
      </c>
      <c r="P754">
        <v>1</v>
      </c>
      <c r="Q754">
        <v>1</v>
      </c>
      <c r="R754">
        <v>0</v>
      </c>
      <c r="S754">
        <v>200289</v>
      </c>
      <c r="T754" t="b">
        <v>1</v>
      </c>
    </row>
    <row r="755" spans="2:20" x14ac:dyDescent="0.35">
      <c r="B755">
        <v>2019</v>
      </c>
      <c r="C755" s="41">
        <v>43400</v>
      </c>
      <c r="D755" t="s">
        <v>1656</v>
      </c>
      <c r="E755" t="s">
        <v>219</v>
      </c>
      <c r="F755" t="s">
        <v>461</v>
      </c>
      <c r="G755" t="s">
        <v>304</v>
      </c>
      <c r="H755" t="s">
        <v>1657</v>
      </c>
      <c r="I755" t="s">
        <v>310</v>
      </c>
      <c r="J755">
        <v>1</v>
      </c>
      <c r="L755">
        <v>555.17999999999995</v>
      </c>
      <c r="M755">
        <v>946.14</v>
      </c>
      <c r="N755">
        <v>1411.79</v>
      </c>
      <c r="O755">
        <v>2013.06</v>
      </c>
      <c r="P755">
        <v>1</v>
      </c>
      <c r="Q755">
        <v>1</v>
      </c>
      <c r="R755">
        <v>0</v>
      </c>
      <c r="S755">
        <v>200289</v>
      </c>
      <c r="T755" t="b">
        <v>1</v>
      </c>
    </row>
    <row r="756" spans="2:20" x14ac:dyDescent="0.35">
      <c r="B756">
        <v>2019</v>
      </c>
      <c r="C756" s="41">
        <v>43400</v>
      </c>
      <c r="D756" t="s">
        <v>1658</v>
      </c>
      <c r="E756" t="s">
        <v>219</v>
      </c>
      <c r="F756" t="s">
        <v>461</v>
      </c>
      <c r="G756" t="s">
        <v>304</v>
      </c>
      <c r="H756" t="s">
        <v>1659</v>
      </c>
      <c r="I756" t="s">
        <v>310</v>
      </c>
      <c r="J756">
        <v>1</v>
      </c>
      <c r="L756">
        <v>555.17999999999995</v>
      </c>
      <c r="M756">
        <v>946.14</v>
      </c>
      <c r="N756">
        <v>1411.79</v>
      </c>
      <c r="O756">
        <v>2013.06</v>
      </c>
      <c r="P756">
        <v>1</v>
      </c>
      <c r="Q756">
        <v>1</v>
      </c>
      <c r="R756">
        <v>0</v>
      </c>
      <c r="S756">
        <v>200289</v>
      </c>
      <c r="T756" t="b">
        <v>1</v>
      </c>
    </row>
    <row r="757" spans="2:20" x14ac:dyDescent="0.35">
      <c r="B757">
        <v>2019</v>
      </c>
      <c r="C757" s="41">
        <v>43400</v>
      </c>
      <c r="D757" t="s">
        <v>1660</v>
      </c>
      <c r="E757" t="s">
        <v>219</v>
      </c>
      <c r="F757" t="s">
        <v>458</v>
      </c>
      <c r="G757" t="s">
        <v>304</v>
      </c>
      <c r="H757" t="s">
        <v>1564</v>
      </c>
      <c r="I757" t="s">
        <v>310</v>
      </c>
      <c r="J757">
        <v>1</v>
      </c>
      <c r="L757">
        <v>578.27</v>
      </c>
      <c r="M757">
        <v>985.48</v>
      </c>
      <c r="N757">
        <v>1470.49</v>
      </c>
      <c r="O757">
        <v>2096.7600000000002</v>
      </c>
      <c r="P757">
        <v>1</v>
      </c>
      <c r="Q757">
        <v>1</v>
      </c>
      <c r="R757">
        <v>0</v>
      </c>
      <c r="S757">
        <v>200289</v>
      </c>
      <c r="T757" t="b">
        <v>1</v>
      </c>
    </row>
    <row r="758" spans="2:20" x14ac:dyDescent="0.35">
      <c r="B758">
        <v>2019</v>
      </c>
      <c r="C758" s="41">
        <v>43400</v>
      </c>
      <c r="D758" t="s">
        <v>1553</v>
      </c>
      <c r="E758" t="s">
        <v>219</v>
      </c>
      <c r="F758" t="s">
        <v>458</v>
      </c>
      <c r="G758" t="s">
        <v>304</v>
      </c>
      <c r="H758" t="s">
        <v>1554</v>
      </c>
      <c r="I758" t="s">
        <v>1555</v>
      </c>
      <c r="J758">
        <v>1</v>
      </c>
      <c r="L758">
        <v>582.79999999999995</v>
      </c>
      <c r="M758">
        <v>993.21</v>
      </c>
      <c r="N758">
        <v>1482.03</v>
      </c>
      <c r="O758">
        <v>2113.2199999999998</v>
      </c>
      <c r="P758">
        <v>0</v>
      </c>
      <c r="Q758">
        <v>3</v>
      </c>
      <c r="R758">
        <v>0</v>
      </c>
      <c r="S758">
        <v>200289</v>
      </c>
      <c r="T758" t="b">
        <v>1</v>
      </c>
    </row>
    <row r="759" spans="2:20" x14ac:dyDescent="0.35">
      <c r="B759">
        <v>2019</v>
      </c>
      <c r="C759" s="41">
        <v>43400</v>
      </c>
      <c r="D759" t="s">
        <v>1661</v>
      </c>
      <c r="E759" t="s">
        <v>219</v>
      </c>
      <c r="F759" t="s">
        <v>458</v>
      </c>
      <c r="G759" t="s">
        <v>304</v>
      </c>
      <c r="H759" t="s">
        <v>1662</v>
      </c>
      <c r="I759" t="s">
        <v>843</v>
      </c>
      <c r="J759">
        <v>1</v>
      </c>
      <c r="L759">
        <v>510.65</v>
      </c>
      <c r="M759">
        <v>870.24</v>
      </c>
      <c r="N759">
        <v>1298.54</v>
      </c>
      <c r="O759">
        <v>1851.58</v>
      </c>
      <c r="P759">
        <v>0</v>
      </c>
      <c r="Q759">
        <v>3</v>
      </c>
      <c r="R759">
        <v>0</v>
      </c>
      <c r="S759">
        <v>200289</v>
      </c>
      <c r="T759" t="b">
        <v>1</v>
      </c>
    </row>
    <row r="760" spans="2:20" x14ac:dyDescent="0.35">
      <c r="B760">
        <v>2019</v>
      </c>
      <c r="C760" s="41">
        <v>43400</v>
      </c>
      <c r="D760" t="s">
        <v>1663</v>
      </c>
      <c r="E760" t="s">
        <v>219</v>
      </c>
      <c r="F760" t="s">
        <v>458</v>
      </c>
      <c r="G760" t="s">
        <v>304</v>
      </c>
      <c r="H760" t="s">
        <v>1664</v>
      </c>
      <c r="I760" t="s">
        <v>843</v>
      </c>
      <c r="J760">
        <v>1</v>
      </c>
      <c r="L760">
        <v>510.65</v>
      </c>
      <c r="M760">
        <v>870.24</v>
      </c>
      <c r="N760">
        <v>1298.54</v>
      </c>
      <c r="O760">
        <v>1851.58</v>
      </c>
      <c r="P760">
        <v>0</v>
      </c>
      <c r="Q760">
        <v>3</v>
      </c>
      <c r="R760">
        <v>0</v>
      </c>
      <c r="S760">
        <v>200289</v>
      </c>
      <c r="T760" t="b">
        <v>1</v>
      </c>
    </row>
    <row r="761" spans="2:20" x14ac:dyDescent="0.35">
      <c r="B761">
        <v>2019</v>
      </c>
      <c r="C761" s="41">
        <v>43400</v>
      </c>
      <c r="D761" t="s">
        <v>1665</v>
      </c>
      <c r="E761" t="s">
        <v>219</v>
      </c>
      <c r="F761" t="s">
        <v>458</v>
      </c>
      <c r="G761" t="s">
        <v>304</v>
      </c>
      <c r="H761" t="s">
        <v>1642</v>
      </c>
      <c r="I761" t="s">
        <v>310</v>
      </c>
      <c r="J761">
        <v>1</v>
      </c>
      <c r="L761">
        <v>504.59</v>
      </c>
      <c r="M761">
        <v>859.93</v>
      </c>
      <c r="N761">
        <v>1283.1399999999901</v>
      </c>
      <c r="O761">
        <v>1829.62</v>
      </c>
      <c r="P761">
        <v>1</v>
      </c>
      <c r="Q761">
        <v>1</v>
      </c>
      <c r="R761">
        <v>0</v>
      </c>
      <c r="S761">
        <v>200289</v>
      </c>
      <c r="T761" t="b">
        <v>1</v>
      </c>
    </row>
    <row r="762" spans="2:20" x14ac:dyDescent="0.35">
      <c r="B762">
        <v>2019</v>
      </c>
      <c r="C762" s="41">
        <v>43400</v>
      </c>
      <c r="D762" t="s">
        <v>1663</v>
      </c>
      <c r="E762" t="s">
        <v>219</v>
      </c>
      <c r="F762" t="s">
        <v>1311</v>
      </c>
      <c r="G762" t="s">
        <v>304</v>
      </c>
      <c r="H762" t="s">
        <v>1664</v>
      </c>
      <c r="I762" t="s">
        <v>843</v>
      </c>
      <c r="J762">
        <v>1</v>
      </c>
      <c r="L762">
        <v>510.65</v>
      </c>
      <c r="M762">
        <v>870.24</v>
      </c>
      <c r="N762">
        <v>1298.54</v>
      </c>
      <c r="O762">
        <v>1851.58</v>
      </c>
      <c r="P762">
        <v>0</v>
      </c>
      <c r="Q762">
        <v>3</v>
      </c>
      <c r="R762">
        <v>0</v>
      </c>
      <c r="S762">
        <v>200289</v>
      </c>
      <c r="T762" t="b">
        <v>1</v>
      </c>
    </row>
    <row r="763" spans="2:20" x14ac:dyDescent="0.35">
      <c r="B763">
        <v>2019</v>
      </c>
      <c r="C763" s="41">
        <v>43400</v>
      </c>
      <c r="D763" t="s">
        <v>1666</v>
      </c>
      <c r="E763" t="s">
        <v>219</v>
      </c>
      <c r="F763" t="s">
        <v>1302</v>
      </c>
      <c r="G763" t="s">
        <v>304</v>
      </c>
      <c r="H763" t="s">
        <v>1609</v>
      </c>
      <c r="I763" t="s">
        <v>310</v>
      </c>
      <c r="J763">
        <v>1</v>
      </c>
      <c r="L763">
        <v>458.69</v>
      </c>
      <c r="M763">
        <v>781.7</v>
      </c>
      <c r="N763">
        <v>1166.4299999999901</v>
      </c>
      <c r="O763">
        <v>1663.19999999999</v>
      </c>
      <c r="P763">
        <v>1</v>
      </c>
      <c r="Q763">
        <v>1</v>
      </c>
      <c r="R763">
        <v>0</v>
      </c>
      <c r="S763">
        <v>200289</v>
      </c>
      <c r="T763" t="b">
        <v>1</v>
      </c>
    </row>
    <row r="764" spans="2:20" x14ac:dyDescent="0.35">
      <c r="B764">
        <v>2019</v>
      </c>
      <c r="C764" s="41">
        <v>43400</v>
      </c>
      <c r="D764" t="s">
        <v>1667</v>
      </c>
      <c r="E764" t="s">
        <v>219</v>
      </c>
      <c r="F764" t="s">
        <v>1302</v>
      </c>
      <c r="G764" t="s">
        <v>304</v>
      </c>
      <c r="H764" t="s">
        <v>1668</v>
      </c>
      <c r="I764" t="s">
        <v>842</v>
      </c>
      <c r="J764">
        <v>1</v>
      </c>
      <c r="L764">
        <v>322.52999999999997</v>
      </c>
      <c r="M764">
        <v>549.66</v>
      </c>
      <c r="N764">
        <v>820.19</v>
      </c>
      <c r="O764">
        <v>1169.5</v>
      </c>
      <c r="P764">
        <v>0</v>
      </c>
      <c r="Q764">
        <v>3</v>
      </c>
      <c r="R764">
        <v>0</v>
      </c>
      <c r="S764">
        <v>200289</v>
      </c>
      <c r="T764" t="b">
        <v>1</v>
      </c>
    </row>
    <row r="765" spans="2:20" x14ac:dyDescent="0.35">
      <c r="B765">
        <v>2019</v>
      </c>
      <c r="C765" s="41">
        <v>43400</v>
      </c>
      <c r="D765" t="s">
        <v>1669</v>
      </c>
      <c r="E765" t="s">
        <v>219</v>
      </c>
      <c r="F765" t="s">
        <v>458</v>
      </c>
      <c r="G765" t="s">
        <v>304</v>
      </c>
      <c r="H765" t="s">
        <v>1670</v>
      </c>
      <c r="I765" t="s">
        <v>842</v>
      </c>
      <c r="J765">
        <v>1</v>
      </c>
      <c r="L765">
        <v>397.11</v>
      </c>
      <c r="M765">
        <v>676.76</v>
      </c>
      <c r="N765">
        <v>1009.83999999999</v>
      </c>
      <c r="O765">
        <v>1439.92</v>
      </c>
      <c r="P765">
        <v>0</v>
      </c>
      <c r="Q765">
        <v>3</v>
      </c>
      <c r="R765">
        <v>0</v>
      </c>
      <c r="S765">
        <v>200289</v>
      </c>
      <c r="T765" t="b">
        <v>1</v>
      </c>
    </row>
    <row r="766" spans="2:20" x14ac:dyDescent="0.35">
      <c r="B766">
        <v>2019</v>
      </c>
      <c r="C766" s="41">
        <v>43400</v>
      </c>
      <c r="D766" t="s">
        <v>1671</v>
      </c>
      <c r="E766" t="s">
        <v>219</v>
      </c>
      <c r="F766" t="s">
        <v>461</v>
      </c>
      <c r="G766" t="s">
        <v>304</v>
      </c>
      <c r="H766" t="s">
        <v>1566</v>
      </c>
      <c r="I766" t="s">
        <v>310</v>
      </c>
      <c r="J766">
        <v>1</v>
      </c>
      <c r="L766">
        <v>484.21</v>
      </c>
      <c r="M766">
        <v>825.2</v>
      </c>
      <c r="N766">
        <v>1231.33</v>
      </c>
      <c r="O766">
        <v>1755.73999999999</v>
      </c>
      <c r="P766">
        <v>1</v>
      </c>
      <c r="Q766">
        <v>1</v>
      </c>
      <c r="R766">
        <v>0</v>
      </c>
      <c r="S766">
        <v>200289</v>
      </c>
      <c r="T766" t="b">
        <v>1</v>
      </c>
    </row>
    <row r="767" spans="2:20" x14ac:dyDescent="0.35">
      <c r="B767">
        <v>2019</v>
      </c>
      <c r="C767" s="41">
        <v>43400</v>
      </c>
      <c r="D767" t="s">
        <v>1672</v>
      </c>
      <c r="E767" t="s">
        <v>219</v>
      </c>
      <c r="F767" t="s">
        <v>461</v>
      </c>
      <c r="G767" t="s">
        <v>304</v>
      </c>
      <c r="H767" t="s">
        <v>1572</v>
      </c>
      <c r="I767" t="s">
        <v>310</v>
      </c>
      <c r="J767">
        <v>1</v>
      </c>
      <c r="L767">
        <v>484.21</v>
      </c>
      <c r="M767">
        <v>825.2</v>
      </c>
      <c r="N767">
        <v>1231.33</v>
      </c>
      <c r="O767">
        <v>1755.73999999999</v>
      </c>
      <c r="P767">
        <v>1</v>
      </c>
      <c r="Q767">
        <v>1</v>
      </c>
      <c r="R767">
        <v>0</v>
      </c>
      <c r="S767">
        <v>200289</v>
      </c>
      <c r="T767" t="b">
        <v>1</v>
      </c>
    </row>
    <row r="768" spans="2:20" x14ac:dyDescent="0.35">
      <c r="B768">
        <v>2019</v>
      </c>
      <c r="C768" s="41">
        <v>43400</v>
      </c>
      <c r="D768" t="s">
        <v>1673</v>
      </c>
      <c r="E768" t="s">
        <v>219</v>
      </c>
      <c r="F768" t="s">
        <v>458</v>
      </c>
      <c r="G768" t="s">
        <v>304</v>
      </c>
      <c r="H768" t="s">
        <v>1674</v>
      </c>
      <c r="I768" t="s">
        <v>310</v>
      </c>
      <c r="J768">
        <v>1</v>
      </c>
      <c r="L768">
        <v>504.59</v>
      </c>
      <c r="M768">
        <v>859.93</v>
      </c>
      <c r="N768">
        <v>1283.1399999999901</v>
      </c>
      <c r="O768">
        <v>1829.62</v>
      </c>
      <c r="P768">
        <v>1</v>
      </c>
      <c r="Q768">
        <v>1</v>
      </c>
      <c r="R768">
        <v>0</v>
      </c>
      <c r="S768">
        <v>200289</v>
      </c>
      <c r="T768" t="b">
        <v>1</v>
      </c>
    </row>
    <row r="769" spans="2:20" x14ac:dyDescent="0.35">
      <c r="B769">
        <v>2019</v>
      </c>
      <c r="C769" s="41">
        <v>43400</v>
      </c>
      <c r="D769" t="s">
        <v>1675</v>
      </c>
      <c r="E769" t="s">
        <v>219</v>
      </c>
      <c r="F769" t="s">
        <v>458</v>
      </c>
      <c r="G769" t="s">
        <v>304</v>
      </c>
      <c r="H769" t="s">
        <v>1600</v>
      </c>
      <c r="I769" t="s">
        <v>310</v>
      </c>
      <c r="J769">
        <v>1</v>
      </c>
      <c r="L769">
        <v>578.27</v>
      </c>
      <c r="M769">
        <v>985.48</v>
      </c>
      <c r="N769">
        <v>1470.49</v>
      </c>
      <c r="O769">
        <v>2096.7600000000002</v>
      </c>
      <c r="P769">
        <v>1</v>
      </c>
      <c r="Q769">
        <v>1</v>
      </c>
      <c r="R769">
        <v>0</v>
      </c>
      <c r="S769">
        <v>200289</v>
      </c>
      <c r="T769" t="b">
        <v>1</v>
      </c>
    </row>
    <row r="770" spans="2:20" x14ac:dyDescent="0.35">
      <c r="B770">
        <v>2019</v>
      </c>
      <c r="C770" s="41">
        <v>43400</v>
      </c>
      <c r="D770" t="s">
        <v>1676</v>
      </c>
      <c r="E770" t="s">
        <v>219</v>
      </c>
      <c r="F770" t="s">
        <v>461</v>
      </c>
      <c r="G770" t="s">
        <v>304</v>
      </c>
      <c r="H770" t="s">
        <v>1603</v>
      </c>
      <c r="I770" t="s">
        <v>310</v>
      </c>
      <c r="J770">
        <v>1</v>
      </c>
      <c r="L770">
        <v>555.17999999999995</v>
      </c>
      <c r="M770">
        <v>946.14</v>
      </c>
      <c r="N770">
        <v>1411.79</v>
      </c>
      <c r="O770">
        <v>2013.06</v>
      </c>
      <c r="P770">
        <v>0</v>
      </c>
      <c r="Q770">
        <v>3</v>
      </c>
      <c r="R770">
        <v>0</v>
      </c>
      <c r="S770">
        <v>200289</v>
      </c>
      <c r="T770" t="b">
        <v>1</v>
      </c>
    </row>
    <row r="771" spans="2:20" x14ac:dyDescent="0.35">
      <c r="B771">
        <v>2019</v>
      </c>
      <c r="C771" s="41">
        <v>43400</v>
      </c>
      <c r="D771" t="s">
        <v>1677</v>
      </c>
      <c r="E771" t="s">
        <v>219</v>
      </c>
      <c r="F771" t="s">
        <v>1302</v>
      </c>
      <c r="G771" t="s">
        <v>304</v>
      </c>
      <c r="H771" t="s">
        <v>1609</v>
      </c>
      <c r="I771" t="s">
        <v>310</v>
      </c>
      <c r="J771">
        <v>1</v>
      </c>
      <c r="L771">
        <v>458.69</v>
      </c>
      <c r="M771">
        <v>781.7</v>
      </c>
      <c r="N771">
        <v>1166.4299999999901</v>
      </c>
      <c r="O771">
        <v>1663.19999999999</v>
      </c>
      <c r="P771">
        <v>1</v>
      </c>
      <c r="Q771">
        <v>1</v>
      </c>
      <c r="R771">
        <v>0</v>
      </c>
      <c r="S771">
        <v>200289</v>
      </c>
      <c r="T771" t="b">
        <v>1</v>
      </c>
    </row>
    <row r="772" spans="2:20" x14ac:dyDescent="0.35">
      <c r="B772">
        <v>2019</v>
      </c>
      <c r="C772" s="41">
        <v>43400</v>
      </c>
      <c r="D772" t="s">
        <v>1678</v>
      </c>
      <c r="E772" t="s">
        <v>219</v>
      </c>
      <c r="F772" t="s">
        <v>458</v>
      </c>
      <c r="G772" t="s">
        <v>304</v>
      </c>
      <c r="H772" t="s">
        <v>1627</v>
      </c>
      <c r="I772" t="s">
        <v>310</v>
      </c>
      <c r="J772">
        <v>1</v>
      </c>
      <c r="L772">
        <v>578.27</v>
      </c>
      <c r="M772">
        <v>985.48</v>
      </c>
      <c r="N772">
        <v>1470.49</v>
      </c>
      <c r="O772">
        <v>2096.7600000000002</v>
      </c>
      <c r="P772">
        <v>0</v>
      </c>
      <c r="Q772">
        <v>3</v>
      </c>
      <c r="R772">
        <v>0</v>
      </c>
      <c r="S772">
        <v>200289</v>
      </c>
      <c r="T772" t="b">
        <v>1</v>
      </c>
    </row>
    <row r="773" spans="2:20" x14ac:dyDescent="0.35">
      <c r="B773">
        <v>2019</v>
      </c>
      <c r="C773" s="41">
        <v>43400</v>
      </c>
      <c r="D773" t="s">
        <v>1679</v>
      </c>
      <c r="E773" t="s">
        <v>219</v>
      </c>
      <c r="F773" t="s">
        <v>1302</v>
      </c>
      <c r="G773" t="s">
        <v>304</v>
      </c>
      <c r="H773" t="s">
        <v>1582</v>
      </c>
      <c r="I773" t="s">
        <v>310</v>
      </c>
      <c r="J773">
        <v>1</v>
      </c>
      <c r="L773">
        <v>507</v>
      </c>
      <c r="M773">
        <v>864.02</v>
      </c>
      <c r="N773">
        <v>1289.26</v>
      </c>
      <c r="O773">
        <v>1838.34</v>
      </c>
      <c r="P773">
        <v>1</v>
      </c>
      <c r="Q773">
        <v>1</v>
      </c>
      <c r="R773">
        <v>0</v>
      </c>
      <c r="S773">
        <v>200289</v>
      </c>
      <c r="T773" t="b">
        <v>1</v>
      </c>
    </row>
    <row r="774" spans="2:20" x14ac:dyDescent="0.35">
      <c r="B774">
        <v>2019</v>
      </c>
      <c r="C774" s="41">
        <v>43400</v>
      </c>
      <c r="D774" t="s">
        <v>1680</v>
      </c>
      <c r="E774" t="s">
        <v>219</v>
      </c>
      <c r="F774" t="s">
        <v>461</v>
      </c>
      <c r="G774" t="s">
        <v>304</v>
      </c>
      <c r="H774" t="s">
        <v>1659</v>
      </c>
      <c r="I774" t="s">
        <v>310</v>
      </c>
      <c r="J774">
        <v>1</v>
      </c>
      <c r="L774">
        <v>555.17999999999995</v>
      </c>
      <c r="M774">
        <v>946.14</v>
      </c>
      <c r="N774">
        <v>1411.79</v>
      </c>
      <c r="O774">
        <v>2013.06</v>
      </c>
      <c r="P774">
        <v>1</v>
      </c>
      <c r="Q774">
        <v>1</v>
      </c>
      <c r="R774">
        <v>0</v>
      </c>
      <c r="S774">
        <v>200289</v>
      </c>
      <c r="T774" t="b">
        <v>1</v>
      </c>
    </row>
    <row r="775" spans="2:20" x14ac:dyDescent="0.35">
      <c r="B775">
        <v>2019</v>
      </c>
      <c r="C775" s="41">
        <v>43400</v>
      </c>
      <c r="D775" t="s">
        <v>1681</v>
      </c>
      <c r="E775" t="s">
        <v>219</v>
      </c>
      <c r="F775" t="s">
        <v>458</v>
      </c>
      <c r="G775" t="s">
        <v>304</v>
      </c>
      <c r="H775" t="s">
        <v>1615</v>
      </c>
      <c r="I775" t="s">
        <v>310</v>
      </c>
      <c r="J775">
        <v>1</v>
      </c>
      <c r="L775">
        <v>578.27</v>
      </c>
      <c r="M775">
        <v>985.48</v>
      </c>
      <c r="N775">
        <v>1470.49</v>
      </c>
      <c r="O775">
        <v>2096.7600000000002</v>
      </c>
      <c r="P775">
        <v>0</v>
      </c>
      <c r="Q775">
        <v>3</v>
      </c>
      <c r="R775">
        <v>0</v>
      </c>
      <c r="S775">
        <v>200289</v>
      </c>
      <c r="T775" t="b">
        <v>1</v>
      </c>
    </row>
    <row r="776" spans="2:20" x14ac:dyDescent="0.35">
      <c r="B776">
        <v>2019</v>
      </c>
      <c r="C776" s="41">
        <v>43400</v>
      </c>
      <c r="D776" t="s">
        <v>1681</v>
      </c>
      <c r="E776" t="s">
        <v>219</v>
      </c>
      <c r="F776" t="s">
        <v>1311</v>
      </c>
      <c r="G776" t="s">
        <v>304</v>
      </c>
      <c r="H776" t="s">
        <v>1615</v>
      </c>
      <c r="I776" t="s">
        <v>310</v>
      </c>
      <c r="J776">
        <v>1</v>
      </c>
      <c r="L776">
        <v>578.27</v>
      </c>
      <c r="M776">
        <v>985.48</v>
      </c>
      <c r="N776">
        <v>1470.49</v>
      </c>
      <c r="O776">
        <v>2096.7600000000002</v>
      </c>
      <c r="P776">
        <v>0</v>
      </c>
      <c r="Q776">
        <v>3</v>
      </c>
      <c r="R776">
        <v>0</v>
      </c>
      <c r="S776">
        <v>200289</v>
      </c>
      <c r="T776" t="b">
        <v>1</v>
      </c>
    </row>
    <row r="777" spans="2:20" x14ac:dyDescent="0.35">
      <c r="B777">
        <v>2019</v>
      </c>
      <c r="C777" s="41">
        <v>43400</v>
      </c>
      <c r="D777" t="s">
        <v>1682</v>
      </c>
      <c r="E777" t="s">
        <v>219</v>
      </c>
      <c r="F777" t="s">
        <v>461</v>
      </c>
      <c r="G777" t="s">
        <v>304</v>
      </c>
      <c r="H777" t="s">
        <v>1683</v>
      </c>
      <c r="I777" t="s">
        <v>1555</v>
      </c>
      <c r="J777">
        <v>1</v>
      </c>
      <c r="L777">
        <v>559.35</v>
      </c>
      <c r="M777">
        <v>953.25</v>
      </c>
      <c r="N777">
        <v>1422.4099999999901</v>
      </c>
      <c r="O777">
        <v>2028.19999999999</v>
      </c>
      <c r="P777">
        <v>0</v>
      </c>
      <c r="Q777">
        <v>3</v>
      </c>
      <c r="R777">
        <v>0</v>
      </c>
      <c r="S777">
        <v>200289</v>
      </c>
      <c r="T777" t="b">
        <v>1</v>
      </c>
    </row>
    <row r="778" spans="2:20" x14ac:dyDescent="0.35">
      <c r="B778">
        <v>2019</v>
      </c>
      <c r="C778" s="41">
        <v>43400</v>
      </c>
      <c r="D778" t="s">
        <v>1684</v>
      </c>
      <c r="E778" t="s">
        <v>219</v>
      </c>
      <c r="F778" t="s">
        <v>458</v>
      </c>
      <c r="G778" t="s">
        <v>304</v>
      </c>
      <c r="H778" t="s">
        <v>1685</v>
      </c>
      <c r="I778" t="s">
        <v>843</v>
      </c>
      <c r="J778">
        <v>1</v>
      </c>
      <c r="L778">
        <v>510.65</v>
      </c>
      <c r="M778">
        <v>870.24</v>
      </c>
      <c r="N778">
        <v>1298.54</v>
      </c>
      <c r="O778">
        <v>1851.58</v>
      </c>
      <c r="P778">
        <v>0</v>
      </c>
      <c r="Q778">
        <v>3</v>
      </c>
      <c r="R778">
        <v>0</v>
      </c>
      <c r="S778">
        <v>200289</v>
      </c>
      <c r="T778" t="b">
        <v>1</v>
      </c>
    </row>
    <row r="779" spans="2:20" x14ac:dyDescent="0.35">
      <c r="B779">
        <v>2019</v>
      </c>
      <c r="C779" s="41">
        <v>43400</v>
      </c>
      <c r="D779" t="s">
        <v>1686</v>
      </c>
      <c r="E779" t="s">
        <v>219</v>
      </c>
      <c r="F779" t="s">
        <v>458</v>
      </c>
      <c r="G779" t="s">
        <v>304</v>
      </c>
      <c r="H779" t="s">
        <v>1687</v>
      </c>
      <c r="I779" t="s">
        <v>842</v>
      </c>
      <c r="J779">
        <v>1</v>
      </c>
      <c r="L779">
        <v>406.2</v>
      </c>
      <c r="M779">
        <v>692.24</v>
      </c>
      <c r="N779">
        <v>1032.94</v>
      </c>
      <c r="O779">
        <v>1472.86</v>
      </c>
      <c r="P779">
        <v>0</v>
      </c>
      <c r="Q779">
        <v>3</v>
      </c>
      <c r="R779">
        <v>0</v>
      </c>
      <c r="S779">
        <v>200289</v>
      </c>
      <c r="T779" t="b">
        <v>1</v>
      </c>
    </row>
    <row r="780" spans="2:20" x14ac:dyDescent="0.35">
      <c r="B780">
        <v>2019</v>
      </c>
      <c r="C780" s="41">
        <v>43400</v>
      </c>
      <c r="D780" t="s">
        <v>1688</v>
      </c>
      <c r="E780" t="s">
        <v>219</v>
      </c>
      <c r="F780" t="s">
        <v>1302</v>
      </c>
      <c r="G780" t="s">
        <v>304</v>
      </c>
      <c r="H780" t="s">
        <v>1689</v>
      </c>
      <c r="I780" t="s">
        <v>842</v>
      </c>
      <c r="J780">
        <v>1</v>
      </c>
      <c r="L780">
        <v>322.52999999999997</v>
      </c>
      <c r="M780">
        <v>549.66</v>
      </c>
      <c r="N780">
        <v>820.19</v>
      </c>
      <c r="O780">
        <v>1169.5</v>
      </c>
      <c r="P780">
        <v>0</v>
      </c>
      <c r="Q780">
        <v>3</v>
      </c>
      <c r="R780">
        <v>0</v>
      </c>
      <c r="S780">
        <v>200289</v>
      </c>
      <c r="T780" t="b">
        <v>1</v>
      </c>
    </row>
    <row r="781" spans="2:20" x14ac:dyDescent="0.35">
      <c r="B781">
        <v>2019</v>
      </c>
      <c r="C781" s="41">
        <v>43400</v>
      </c>
      <c r="D781" t="s">
        <v>1690</v>
      </c>
      <c r="E781" t="s">
        <v>219</v>
      </c>
      <c r="F781" t="s">
        <v>1311</v>
      </c>
      <c r="G781" t="s">
        <v>304</v>
      </c>
      <c r="H781" t="s">
        <v>1615</v>
      </c>
      <c r="I781" t="s">
        <v>310</v>
      </c>
      <c r="J781">
        <v>1</v>
      </c>
      <c r="L781">
        <v>578.27</v>
      </c>
      <c r="M781">
        <v>985.48</v>
      </c>
      <c r="N781">
        <v>1470.49</v>
      </c>
      <c r="O781">
        <v>2096.7600000000002</v>
      </c>
      <c r="P781">
        <v>1</v>
      </c>
      <c r="Q781">
        <v>1</v>
      </c>
      <c r="R781">
        <v>0</v>
      </c>
      <c r="S781">
        <v>200289</v>
      </c>
      <c r="T781" t="b">
        <v>1</v>
      </c>
    </row>
    <row r="782" spans="2:20" x14ac:dyDescent="0.35">
      <c r="B782">
        <v>2019</v>
      </c>
      <c r="C782" s="41">
        <v>43400</v>
      </c>
      <c r="D782" t="s">
        <v>1691</v>
      </c>
      <c r="E782" t="s">
        <v>219</v>
      </c>
      <c r="F782" t="s">
        <v>1302</v>
      </c>
      <c r="G782" t="s">
        <v>304</v>
      </c>
      <c r="H782" t="s">
        <v>1692</v>
      </c>
      <c r="I782" t="s">
        <v>310</v>
      </c>
      <c r="J782">
        <v>1</v>
      </c>
      <c r="L782">
        <v>458.69</v>
      </c>
      <c r="M782">
        <v>781.7</v>
      </c>
      <c r="N782">
        <v>1166.4299999999901</v>
      </c>
      <c r="O782">
        <v>1663.19999999999</v>
      </c>
      <c r="P782">
        <v>0</v>
      </c>
      <c r="Q782">
        <v>3</v>
      </c>
      <c r="R782">
        <v>0</v>
      </c>
      <c r="S782">
        <v>200289</v>
      </c>
      <c r="T782" t="b">
        <v>1</v>
      </c>
    </row>
    <row r="783" spans="2:20" x14ac:dyDescent="0.35">
      <c r="B783">
        <v>2019</v>
      </c>
      <c r="C783" s="41">
        <v>43400</v>
      </c>
      <c r="D783" t="s">
        <v>1690</v>
      </c>
      <c r="E783" t="s">
        <v>219</v>
      </c>
      <c r="F783" t="s">
        <v>458</v>
      </c>
      <c r="G783" t="s">
        <v>304</v>
      </c>
      <c r="H783" t="s">
        <v>1615</v>
      </c>
      <c r="I783" t="s">
        <v>310</v>
      </c>
      <c r="J783">
        <v>1</v>
      </c>
      <c r="L783">
        <v>578.27</v>
      </c>
      <c r="M783">
        <v>985.48</v>
      </c>
      <c r="N783">
        <v>1470.49</v>
      </c>
      <c r="O783">
        <v>2096.7600000000002</v>
      </c>
      <c r="P783">
        <v>1</v>
      </c>
      <c r="Q783">
        <v>1</v>
      </c>
      <c r="R783">
        <v>0</v>
      </c>
      <c r="S783">
        <v>200289</v>
      </c>
      <c r="T783" t="b">
        <v>1</v>
      </c>
    </row>
    <row r="784" spans="2:20" x14ac:dyDescent="0.35">
      <c r="B784">
        <v>2019</v>
      </c>
      <c r="C784" s="41">
        <v>43400</v>
      </c>
      <c r="D784" t="s">
        <v>1693</v>
      </c>
      <c r="E784" t="s">
        <v>219</v>
      </c>
      <c r="F784" t="s">
        <v>458</v>
      </c>
      <c r="G784" t="s">
        <v>304</v>
      </c>
      <c r="H784" t="s">
        <v>1577</v>
      </c>
      <c r="I784" t="s">
        <v>310</v>
      </c>
      <c r="J784">
        <v>1</v>
      </c>
      <c r="L784">
        <v>578.27</v>
      </c>
      <c r="M784">
        <v>985.48</v>
      </c>
      <c r="N784">
        <v>1470.49</v>
      </c>
      <c r="O784">
        <v>2096.7600000000002</v>
      </c>
      <c r="P784">
        <v>1</v>
      </c>
      <c r="Q784">
        <v>1</v>
      </c>
      <c r="R784">
        <v>0</v>
      </c>
      <c r="S784">
        <v>200289</v>
      </c>
      <c r="T784" t="b">
        <v>1</v>
      </c>
    </row>
    <row r="785" spans="2:20" x14ac:dyDescent="0.35">
      <c r="B785">
        <v>2019</v>
      </c>
      <c r="C785" s="41">
        <v>43400</v>
      </c>
      <c r="D785" t="s">
        <v>1694</v>
      </c>
      <c r="E785" t="s">
        <v>219</v>
      </c>
      <c r="F785" t="s">
        <v>458</v>
      </c>
      <c r="G785" t="s">
        <v>304</v>
      </c>
      <c r="H785" t="s">
        <v>1557</v>
      </c>
      <c r="I785" t="s">
        <v>310</v>
      </c>
      <c r="J785">
        <v>1</v>
      </c>
      <c r="L785">
        <v>578.27</v>
      </c>
      <c r="M785">
        <v>985.48</v>
      </c>
      <c r="N785">
        <v>1470.49</v>
      </c>
      <c r="O785">
        <v>2096.7600000000002</v>
      </c>
      <c r="P785">
        <v>1</v>
      </c>
      <c r="Q785">
        <v>1</v>
      </c>
      <c r="R785">
        <v>0</v>
      </c>
      <c r="S785">
        <v>200289</v>
      </c>
      <c r="T785" t="b">
        <v>1</v>
      </c>
    </row>
    <row r="786" spans="2:20" x14ac:dyDescent="0.35">
      <c r="B786">
        <v>2019</v>
      </c>
      <c r="C786" s="41">
        <v>43400</v>
      </c>
      <c r="D786" t="s">
        <v>1695</v>
      </c>
      <c r="E786" t="s">
        <v>219</v>
      </c>
      <c r="F786" t="s">
        <v>458</v>
      </c>
      <c r="G786" t="s">
        <v>304</v>
      </c>
      <c r="H786" t="s">
        <v>1550</v>
      </c>
      <c r="I786" t="s">
        <v>310</v>
      </c>
      <c r="J786">
        <v>1</v>
      </c>
      <c r="L786">
        <v>578.27</v>
      </c>
      <c r="M786">
        <v>985.48</v>
      </c>
      <c r="N786">
        <v>1470.49</v>
      </c>
      <c r="O786">
        <v>2096.7600000000002</v>
      </c>
      <c r="P786">
        <v>0</v>
      </c>
      <c r="Q786">
        <v>3</v>
      </c>
      <c r="R786">
        <v>0</v>
      </c>
      <c r="S786">
        <v>200289</v>
      </c>
      <c r="T786" t="b">
        <v>1</v>
      </c>
    </row>
    <row r="787" spans="2:20" x14ac:dyDescent="0.35">
      <c r="B787">
        <v>2019</v>
      </c>
      <c r="C787" s="41">
        <v>43400</v>
      </c>
      <c r="D787" t="s">
        <v>1696</v>
      </c>
      <c r="E787" t="s">
        <v>219</v>
      </c>
      <c r="F787" t="s">
        <v>461</v>
      </c>
      <c r="G787" t="s">
        <v>304</v>
      </c>
      <c r="H787" t="s">
        <v>1657</v>
      </c>
      <c r="I787" t="s">
        <v>310</v>
      </c>
      <c r="J787">
        <v>1</v>
      </c>
      <c r="L787">
        <v>555.17999999999995</v>
      </c>
      <c r="M787">
        <v>946.14</v>
      </c>
      <c r="N787">
        <v>1411.79</v>
      </c>
      <c r="O787">
        <v>2013.06</v>
      </c>
      <c r="P787">
        <v>0</v>
      </c>
      <c r="Q787">
        <v>3</v>
      </c>
      <c r="R787">
        <v>0</v>
      </c>
      <c r="S787">
        <v>200289</v>
      </c>
      <c r="T787" t="b">
        <v>1</v>
      </c>
    </row>
    <row r="788" spans="2:20" x14ac:dyDescent="0.35">
      <c r="B788">
        <v>2019</v>
      </c>
      <c r="C788" s="41">
        <v>43400</v>
      </c>
      <c r="D788" t="s">
        <v>1697</v>
      </c>
      <c r="E788" t="s">
        <v>219</v>
      </c>
      <c r="F788" t="s">
        <v>458</v>
      </c>
      <c r="G788" t="s">
        <v>304</v>
      </c>
      <c r="H788" t="s">
        <v>1627</v>
      </c>
      <c r="I788" t="s">
        <v>310</v>
      </c>
      <c r="J788">
        <v>1</v>
      </c>
      <c r="L788">
        <v>578.27</v>
      </c>
      <c r="M788">
        <v>985.48</v>
      </c>
      <c r="N788">
        <v>1470.49</v>
      </c>
      <c r="O788">
        <v>2096.7600000000002</v>
      </c>
      <c r="P788">
        <v>1</v>
      </c>
      <c r="Q788">
        <v>1</v>
      </c>
      <c r="R788">
        <v>0</v>
      </c>
      <c r="S788">
        <v>200289</v>
      </c>
      <c r="T788" t="b">
        <v>1</v>
      </c>
    </row>
    <row r="789" spans="2:20" x14ac:dyDescent="0.35">
      <c r="B789">
        <v>2019</v>
      </c>
      <c r="C789" s="41">
        <v>43400</v>
      </c>
      <c r="D789" t="s">
        <v>1698</v>
      </c>
      <c r="E789" t="s">
        <v>219</v>
      </c>
      <c r="F789" t="s">
        <v>461</v>
      </c>
      <c r="G789" t="s">
        <v>304</v>
      </c>
      <c r="H789" t="s">
        <v>1659</v>
      </c>
      <c r="I789" t="s">
        <v>310</v>
      </c>
      <c r="J789">
        <v>1</v>
      </c>
      <c r="L789">
        <v>555.17999999999995</v>
      </c>
      <c r="M789">
        <v>946.14</v>
      </c>
      <c r="N789">
        <v>1411.79</v>
      </c>
      <c r="O789">
        <v>2013.06</v>
      </c>
      <c r="P789">
        <v>1</v>
      </c>
      <c r="Q789">
        <v>1</v>
      </c>
      <c r="R789">
        <v>0</v>
      </c>
      <c r="S789">
        <v>200289</v>
      </c>
      <c r="T789" t="b">
        <v>1</v>
      </c>
    </row>
    <row r="790" spans="2:20" x14ac:dyDescent="0.35">
      <c r="B790">
        <v>2019</v>
      </c>
      <c r="C790" s="41">
        <v>43400</v>
      </c>
      <c r="D790" t="s">
        <v>1699</v>
      </c>
      <c r="E790" t="s">
        <v>219</v>
      </c>
      <c r="F790" t="s">
        <v>458</v>
      </c>
      <c r="G790" t="s">
        <v>304</v>
      </c>
      <c r="H790" t="s">
        <v>1700</v>
      </c>
      <c r="I790" t="s">
        <v>842</v>
      </c>
      <c r="J790">
        <v>1</v>
      </c>
      <c r="L790">
        <v>397.11</v>
      </c>
      <c r="M790">
        <v>676.76</v>
      </c>
      <c r="N790">
        <v>1009.83999999999</v>
      </c>
      <c r="O790">
        <v>1439.92</v>
      </c>
      <c r="P790">
        <v>0</v>
      </c>
      <c r="Q790">
        <v>3</v>
      </c>
      <c r="R790">
        <v>0</v>
      </c>
      <c r="S790">
        <v>200289</v>
      </c>
      <c r="T790" t="b">
        <v>1</v>
      </c>
    </row>
    <row r="791" spans="2:20" x14ac:dyDescent="0.35">
      <c r="B791">
        <v>2019</v>
      </c>
      <c r="C791" s="41">
        <v>43400</v>
      </c>
      <c r="D791" t="s">
        <v>1701</v>
      </c>
      <c r="E791" t="s">
        <v>219</v>
      </c>
      <c r="F791" t="s">
        <v>1302</v>
      </c>
      <c r="G791" t="s">
        <v>304</v>
      </c>
      <c r="H791" t="s">
        <v>1702</v>
      </c>
      <c r="I791" t="s">
        <v>1555</v>
      </c>
      <c r="J791">
        <v>1</v>
      </c>
      <c r="L791">
        <v>461.73</v>
      </c>
      <c r="M791">
        <v>786.89</v>
      </c>
      <c r="N791">
        <v>1174.17</v>
      </c>
      <c r="O791">
        <v>1674.24</v>
      </c>
      <c r="P791">
        <v>0</v>
      </c>
      <c r="Q791">
        <v>3</v>
      </c>
      <c r="R791">
        <v>0</v>
      </c>
      <c r="S791">
        <v>200289</v>
      </c>
      <c r="T791" t="b">
        <v>1</v>
      </c>
    </row>
    <row r="792" spans="2:20" x14ac:dyDescent="0.35">
      <c r="B792">
        <v>2019</v>
      </c>
      <c r="C792" s="41">
        <v>43400</v>
      </c>
      <c r="D792" t="s">
        <v>1703</v>
      </c>
      <c r="E792" t="s">
        <v>219</v>
      </c>
      <c r="F792" t="s">
        <v>458</v>
      </c>
      <c r="G792" t="s">
        <v>304</v>
      </c>
      <c r="H792" t="s">
        <v>1704</v>
      </c>
      <c r="I792" t="s">
        <v>1555</v>
      </c>
      <c r="J792">
        <v>1</v>
      </c>
      <c r="L792">
        <v>582.79999999999995</v>
      </c>
      <c r="M792">
        <v>993.21</v>
      </c>
      <c r="N792">
        <v>1482.03</v>
      </c>
      <c r="O792">
        <v>2113.2199999999998</v>
      </c>
      <c r="P792">
        <v>0</v>
      </c>
      <c r="Q792">
        <v>3</v>
      </c>
      <c r="R792">
        <v>0</v>
      </c>
      <c r="S792">
        <v>200289</v>
      </c>
      <c r="T792" t="b">
        <v>1</v>
      </c>
    </row>
    <row r="793" spans="2:20" x14ac:dyDescent="0.35">
      <c r="B793">
        <v>2019</v>
      </c>
      <c r="C793" s="41">
        <v>43400</v>
      </c>
      <c r="D793" t="s">
        <v>1705</v>
      </c>
      <c r="E793" t="s">
        <v>219</v>
      </c>
      <c r="F793" t="s">
        <v>458</v>
      </c>
      <c r="G793" t="s">
        <v>304</v>
      </c>
      <c r="H793" t="s">
        <v>1706</v>
      </c>
      <c r="I793" t="s">
        <v>1555</v>
      </c>
      <c r="J793">
        <v>1</v>
      </c>
      <c r="L793">
        <v>582.79999999999995</v>
      </c>
      <c r="M793">
        <v>993.21</v>
      </c>
      <c r="N793">
        <v>1482.03</v>
      </c>
      <c r="O793">
        <v>2113.2199999999998</v>
      </c>
      <c r="P793">
        <v>0</v>
      </c>
      <c r="Q793">
        <v>3</v>
      </c>
      <c r="R793">
        <v>0</v>
      </c>
      <c r="S793">
        <v>200289</v>
      </c>
      <c r="T793" t="b">
        <v>1</v>
      </c>
    </row>
    <row r="794" spans="2:20" x14ac:dyDescent="0.35">
      <c r="B794">
        <v>2019</v>
      </c>
      <c r="C794" s="41">
        <v>43400</v>
      </c>
      <c r="D794" t="s">
        <v>1707</v>
      </c>
      <c r="E794" t="s">
        <v>219</v>
      </c>
      <c r="F794" t="s">
        <v>461</v>
      </c>
      <c r="G794" t="s">
        <v>304</v>
      </c>
      <c r="H794" t="s">
        <v>1708</v>
      </c>
      <c r="I794" t="s">
        <v>843</v>
      </c>
      <c r="J794">
        <v>1</v>
      </c>
      <c r="L794">
        <v>490.24</v>
      </c>
      <c r="M794">
        <v>835.47</v>
      </c>
      <c r="N794">
        <v>1246.6600000000001</v>
      </c>
      <c r="O794">
        <v>1777.6</v>
      </c>
      <c r="P794">
        <v>0</v>
      </c>
      <c r="Q794">
        <v>3</v>
      </c>
      <c r="R794">
        <v>0</v>
      </c>
      <c r="S794">
        <v>200289</v>
      </c>
      <c r="T794" t="b">
        <v>1</v>
      </c>
    </row>
    <row r="795" spans="2:20" x14ac:dyDescent="0.35">
      <c r="B795">
        <v>2019</v>
      </c>
      <c r="C795" s="41">
        <v>43400</v>
      </c>
      <c r="D795" t="s">
        <v>1709</v>
      </c>
      <c r="E795" t="s">
        <v>219</v>
      </c>
      <c r="F795" t="s">
        <v>458</v>
      </c>
      <c r="G795" t="s">
        <v>304</v>
      </c>
      <c r="H795" t="s">
        <v>1615</v>
      </c>
      <c r="I795" t="s">
        <v>310</v>
      </c>
      <c r="J795">
        <v>1</v>
      </c>
      <c r="L795">
        <v>578.27</v>
      </c>
      <c r="M795">
        <v>985.48</v>
      </c>
      <c r="N795">
        <v>1470.49</v>
      </c>
      <c r="O795">
        <v>2096.7600000000002</v>
      </c>
      <c r="P795">
        <v>1</v>
      </c>
      <c r="Q795">
        <v>1</v>
      </c>
      <c r="R795">
        <v>0</v>
      </c>
      <c r="S795">
        <v>200289</v>
      </c>
      <c r="T795" t="b">
        <v>1</v>
      </c>
    </row>
    <row r="796" spans="2:20" x14ac:dyDescent="0.35">
      <c r="B796">
        <v>2019</v>
      </c>
      <c r="C796" s="41">
        <v>43400</v>
      </c>
      <c r="D796" t="s">
        <v>1709</v>
      </c>
      <c r="E796" t="s">
        <v>219</v>
      </c>
      <c r="F796" t="s">
        <v>1311</v>
      </c>
      <c r="G796" t="s">
        <v>304</v>
      </c>
      <c r="H796" t="s">
        <v>1615</v>
      </c>
      <c r="I796" t="s">
        <v>310</v>
      </c>
      <c r="J796">
        <v>1</v>
      </c>
      <c r="L796">
        <v>578.27</v>
      </c>
      <c r="M796">
        <v>985.48</v>
      </c>
      <c r="N796">
        <v>1470.49</v>
      </c>
      <c r="O796">
        <v>2096.7600000000002</v>
      </c>
      <c r="P796">
        <v>1</v>
      </c>
      <c r="Q796">
        <v>1</v>
      </c>
      <c r="R796">
        <v>0</v>
      </c>
      <c r="S796">
        <v>200289</v>
      </c>
      <c r="T796" t="b">
        <v>1</v>
      </c>
    </row>
    <row r="797" spans="2:20" x14ac:dyDescent="0.35">
      <c r="B797">
        <v>2019</v>
      </c>
      <c r="C797" s="41">
        <v>43400</v>
      </c>
      <c r="D797" t="s">
        <v>1710</v>
      </c>
      <c r="E797" t="s">
        <v>219</v>
      </c>
      <c r="F797" t="s">
        <v>1302</v>
      </c>
      <c r="G797" t="s">
        <v>304</v>
      </c>
      <c r="H797" t="s">
        <v>1692</v>
      </c>
      <c r="I797" t="s">
        <v>310</v>
      </c>
      <c r="J797">
        <v>1</v>
      </c>
      <c r="L797">
        <v>458.69</v>
      </c>
      <c r="M797">
        <v>781.7</v>
      </c>
      <c r="N797">
        <v>1166.4299999999901</v>
      </c>
      <c r="O797">
        <v>1663.19999999999</v>
      </c>
      <c r="P797">
        <v>1</v>
      </c>
      <c r="Q797">
        <v>1</v>
      </c>
      <c r="R797">
        <v>0</v>
      </c>
      <c r="S797">
        <v>200289</v>
      </c>
      <c r="T797" t="b">
        <v>1</v>
      </c>
    </row>
    <row r="798" spans="2:20" x14ac:dyDescent="0.35">
      <c r="B798">
        <v>2019</v>
      </c>
      <c r="C798" s="41">
        <v>43400</v>
      </c>
      <c r="D798" t="s">
        <v>1711</v>
      </c>
      <c r="E798" t="s">
        <v>219</v>
      </c>
      <c r="F798" t="s">
        <v>458</v>
      </c>
      <c r="G798" t="s">
        <v>304</v>
      </c>
      <c r="H798" t="s">
        <v>1605</v>
      </c>
      <c r="I798" t="s">
        <v>310</v>
      </c>
      <c r="J798">
        <v>1</v>
      </c>
      <c r="L798">
        <v>578.27</v>
      </c>
      <c r="M798">
        <v>985.48</v>
      </c>
      <c r="N798">
        <v>1470.49</v>
      </c>
      <c r="O798">
        <v>2096.7600000000002</v>
      </c>
      <c r="P798">
        <v>0</v>
      </c>
      <c r="Q798">
        <v>3</v>
      </c>
      <c r="R798">
        <v>0</v>
      </c>
      <c r="S798">
        <v>200289</v>
      </c>
      <c r="T798" t="b">
        <v>1</v>
      </c>
    </row>
    <row r="799" spans="2:20" x14ac:dyDescent="0.35">
      <c r="B799">
        <v>2019</v>
      </c>
      <c r="C799" s="41">
        <v>43400</v>
      </c>
      <c r="D799" t="s">
        <v>1712</v>
      </c>
      <c r="E799" t="s">
        <v>219</v>
      </c>
      <c r="F799" t="s">
        <v>1302</v>
      </c>
      <c r="G799" t="s">
        <v>304</v>
      </c>
      <c r="H799" t="s">
        <v>1713</v>
      </c>
      <c r="I799" t="s">
        <v>843</v>
      </c>
      <c r="J799">
        <v>1</v>
      </c>
      <c r="L799">
        <v>405.06</v>
      </c>
      <c r="M799">
        <v>690.3</v>
      </c>
      <c r="N799">
        <v>1030.05</v>
      </c>
      <c r="O799">
        <v>1468.74</v>
      </c>
      <c r="P799">
        <v>0</v>
      </c>
      <c r="Q799">
        <v>3</v>
      </c>
      <c r="R799">
        <v>0</v>
      </c>
      <c r="S799">
        <v>200289</v>
      </c>
      <c r="T799" t="b">
        <v>1</v>
      </c>
    </row>
    <row r="800" spans="2:20" x14ac:dyDescent="0.35">
      <c r="B800">
        <v>2019</v>
      </c>
      <c r="C800" s="41">
        <v>43400</v>
      </c>
      <c r="D800" t="s">
        <v>1714</v>
      </c>
      <c r="E800" t="s">
        <v>219</v>
      </c>
      <c r="F800" t="s">
        <v>1302</v>
      </c>
      <c r="G800" t="s">
        <v>304</v>
      </c>
      <c r="H800" t="s">
        <v>1609</v>
      </c>
      <c r="I800" t="s">
        <v>310</v>
      </c>
      <c r="J800">
        <v>1</v>
      </c>
      <c r="L800">
        <v>458.69</v>
      </c>
      <c r="M800">
        <v>781.7</v>
      </c>
      <c r="N800">
        <v>1166.4299999999901</v>
      </c>
      <c r="O800">
        <v>1663.19999999999</v>
      </c>
      <c r="P800">
        <v>1</v>
      </c>
      <c r="Q800">
        <v>1</v>
      </c>
      <c r="R800">
        <v>0</v>
      </c>
      <c r="S800">
        <v>200289</v>
      </c>
      <c r="T800" t="b">
        <v>1</v>
      </c>
    </row>
    <row r="801" spans="2:20" x14ac:dyDescent="0.35">
      <c r="B801">
        <v>2019</v>
      </c>
      <c r="C801" s="41">
        <v>43400</v>
      </c>
      <c r="D801" t="s">
        <v>1715</v>
      </c>
      <c r="E801" t="s">
        <v>219</v>
      </c>
      <c r="F801" t="s">
        <v>1302</v>
      </c>
      <c r="G801" t="s">
        <v>304</v>
      </c>
      <c r="H801" t="s">
        <v>1582</v>
      </c>
      <c r="I801" t="s">
        <v>310</v>
      </c>
      <c r="J801">
        <v>1</v>
      </c>
      <c r="L801">
        <v>507</v>
      </c>
      <c r="M801">
        <v>864.02</v>
      </c>
      <c r="N801">
        <v>1289.26</v>
      </c>
      <c r="O801">
        <v>1838.34</v>
      </c>
      <c r="P801">
        <v>1</v>
      </c>
      <c r="Q801">
        <v>1</v>
      </c>
      <c r="R801">
        <v>0</v>
      </c>
      <c r="S801">
        <v>200289</v>
      </c>
      <c r="T801" t="b">
        <v>1</v>
      </c>
    </row>
    <row r="802" spans="2:20" x14ac:dyDescent="0.35">
      <c r="B802">
        <v>2019</v>
      </c>
      <c r="C802" s="41">
        <v>43400</v>
      </c>
      <c r="D802" t="s">
        <v>1716</v>
      </c>
      <c r="E802" t="s">
        <v>219</v>
      </c>
      <c r="F802" t="s">
        <v>461</v>
      </c>
      <c r="G802" t="s">
        <v>304</v>
      </c>
      <c r="H802" t="s">
        <v>1659</v>
      </c>
      <c r="I802" t="s">
        <v>310</v>
      </c>
      <c r="J802">
        <v>1</v>
      </c>
      <c r="L802">
        <v>555.17999999999995</v>
      </c>
      <c r="M802">
        <v>946.14</v>
      </c>
      <c r="N802">
        <v>1411.79</v>
      </c>
      <c r="O802">
        <v>2013.06</v>
      </c>
      <c r="P802">
        <v>0</v>
      </c>
      <c r="Q802">
        <v>3</v>
      </c>
      <c r="R802">
        <v>0</v>
      </c>
      <c r="S802">
        <v>200289</v>
      </c>
      <c r="T802" t="b">
        <v>1</v>
      </c>
    </row>
    <row r="803" spans="2:20" x14ac:dyDescent="0.35">
      <c r="B803">
        <v>2019</v>
      </c>
      <c r="C803" s="41">
        <v>43400</v>
      </c>
      <c r="D803" t="s">
        <v>1717</v>
      </c>
      <c r="E803" t="s">
        <v>219</v>
      </c>
      <c r="F803" t="s">
        <v>458</v>
      </c>
      <c r="G803" t="s">
        <v>304</v>
      </c>
      <c r="H803" t="s">
        <v>1564</v>
      </c>
      <c r="I803" t="s">
        <v>310</v>
      </c>
      <c r="J803">
        <v>1</v>
      </c>
      <c r="L803">
        <v>578.27</v>
      </c>
      <c r="M803">
        <v>985.48</v>
      </c>
      <c r="N803">
        <v>1470.49</v>
      </c>
      <c r="O803">
        <v>2096.7600000000002</v>
      </c>
      <c r="P803">
        <v>1</v>
      </c>
      <c r="Q803">
        <v>1</v>
      </c>
      <c r="R803">
        <v>0</v>
      </c>
      <c r="S803">
        <v>200289</v>
      </c>
      <c r="T803" t="b">
        <v>1</v>
      </c>
    </row>
    <row r="804" spans="2:20" x14ac:dyDescent="0.35">
      <c r="B804">
        <v>2019</v>
      </c>
      <c r="C804" s="41">
        <v>43400</v>
      </c>
      <c r="D804" t="s">
        <v>1718</v>
      </c>
      <c r="E804" t="s">
        <v>219</v>
      </c>
      <c r="F804" t="s">
        <v>458</v>
      </c>
      <c r="G804" t="s">
        <v>304</v>
      </c>
      <c r="H804" t="s">
        <v>1719</v>
      </c>
      <c r="I804" t="s">
        <v>1555</v>
      </c>
      <c r="J804">
        <v>1</v>
      </c>
      <c r="L804">
        <v>582.79999999999995</v>
      </c>
      <c r="M804">
        <v>993.21</v>
      </c>
      <c r="N804">
        <v>1482.03</v>
      </c>
      <c r="O804">
        <v>2113.2199999999998</v>
      </c>
      <c r="P804">
        <v>0</v>
      </c>
      <c r="Q804">
        <v>3</v>
      </c>
      <c r="R804">
        <v>0</v>
      </c>
      <c r="S804">
        <v>200289</v>
      </c>
      <c r="T804" t="b">
        <v>1</v>
      </c>
    </row>
    <row r="805" spans="2:20" x14ac:dyDescent="0.35">
      <c r="B805">
        <v>2019</v>
      </c>
      <c r="C805" s="41">
        <v>43400</v>
      </c>
      <c r="D805" t="s">
        <v>1720</v>
      </c>
      <c r="E805" t="s">
        <v>219</v>
      </c>
      <c r="F805" t="s">
        <v>458</v>
      </c>
      <c r="G805" t="s">
        <v>304</v>
      </c>
      <c r="H805" t="s">
        <v>1721</v>
      </c>
      <c r="I805" t="s">
        <v>1555</v>
      </c>
      <c r="J805">
        <v>1</v>
      </c>
      <c r="L805">
        <v>582.79999999999995</v>
      </c>
      <c r="M805">
        <v>993.21</v>
      </c>
      <c r="N805">
        <v>1482.03</v>
      </c>
      <c r="O805">
        <v>2113.2199999999998</v>
      </c>
      <c r="P805">
        <v>0</v>
      </c>
      <c r="Q805">
        <v>3</v>
      </c>
      <c r="R805">
        <v>0</v>
      </c>
      <c r="S805">
        <v>200289</v>
      </c>
      <c r="T805" t="b">
        <v>1</v>
      </c>
    </row>
    <row r="806" spans="2:20" x14ac:dyDescent="0.35">
      <c r="B806">
        <v>2019</v>
      </c>
      <c r="C806" s="41">
        <v>43400</v>
      </c>
      <c r="D806" t="s">
        <v>1722</v>
      </c>
      <c r="E806" t="s">
        <v>219</v>
      </c>
      <c r="F806" t="s">
        <v>458</v>
      </c>
      <c r="G806" t="s">
        <v>304</v>
      </c>
      <c r="H806" t="s">
        <v>1723</v>
      </c>
      <c r="I806" t="s">
        <v>843</v>
      </c>
      <c r="J806">
        <v>1</v>
      </c>
      <c r="L806">
        <v>510.65</v>
      </c>
      <c r="M806">
        <v>870.24</v>
      </c>
      <c r="N806">
        <v>1298.54</v>
      </c>
      <c r="O806">
        <v>1851.58</v>
      </c>
      <c r="P806">
        <v>0</v>
      </c>
      <c r="Q806">
        <v>3</v>
      </c>
      <c r="R806">
        <v>0</v>
      </c>
      <c r="S806">
        <v>200289</v>
      </c>
      <c r="T806" t="b">
        <v>1</v>
      </c>
    </row>
    <row r="807" spans="2:20" x14ac:dyDescent="0.35">
      <c r="B807">
        <v>2019</v>
      </c>
      <c r="C807" s="41">
        <v>43400</v>
      </c>
      <c r="D807" t="s">
        <v>1724</v>
      </c>
      <c r="E807" t="s">
        <v>219</v>
      </c>
      <c r="F807" t="s">
        <v>461</v>
      </c>
      <c r="G807" t="s">
        <v>304</v>
      </c>
      <c r="H807" t="s">
        <v>1725</v>
      </c>
      <c r="I807" t="s">
        <v>842</v>
      </c>
      <c r="J807">
        <v>1</v>
      </c>
      <c r="L807">
        <v>390.06</v>
      </c>
      <c r="M807">
        <v>664.74</v>
      </c>
      <c r="N807">
        <v>991.9</v>
      </c>
      <c r="O807">
        <v>1414.34</v>
      </c>
      <c r="P807">
        <v>0</v>
      </c>
      <c r="Q807">
        <v>3</v>
      </c>
      <c r="R807">
        <v>0</v>
      </c>
      <c r="S807">
        <v>200289</v>
      </c>
      <c r="T807" t="b">
        <v>1</v>
      </c>
    </row>
    <row r="808" spans="2:20" x14ac:dyDescent="0.35">
      <c r="B808">
        <v>2019</v>
      </c>
      <c r="C808" s="41">
        <v>43400</v>
      </c>
      <c r="D808" t="s">
        <v>1726</v>
      </c>
      <c r="E808" t="s">
        <v>219</v>
      </c>
      <c r="F808" t="s">
        <v>458</v>
      </c>
      <c r="G808" t="s">
        <v>304</v>
      </c>
      <c r="H808" t="s">
        <v>1727</v>
      </c>
      <c r="I808" t="s">
        <v>842</v>
      </c>
      <c r="J808">
        <v>1</v>
      </c>
      <c r="L808">
        <v>406.2</v>
      </c>
      <c r="M808">
        <v>692.24</v>
      </c>
      <c r="N808">
        <v>1032.94</v>
      </c>
      <c r="O808">
        <v>1472.86</v>
      </c>
      <c r="P808">
        <v>0</v>
      </c>
      <c r="Q808">
        <v>3</v>
      </c>
      <c r="R808">
        <v>0</v>
      </c>
      <c r="S808">
        <v>200289</v>
      </c>
      <c r="T808" t="b">
        <v>1</v>
      </c>
    </row>
    <row r="809" spans="2:20" x14ac:dyDescent="0.35">
      <c r="B809">
        <v>2019</v>
      </c>
      <c r="C809" s="41">
        <v>43400</v>
      </c>
      <c r="D809" t="s">
        <v>1728</v>
      </c>
      <c r="E809" t="s">
        <v>219</v>
      </c>
      <c r="F809" t="s">
        <v>458</v>
      </c>
      <c r="G809" t="s">
        <v>304</v>
      </c>
      <c r="H809" t="s">
        <v>1729</v>
      </c>
      <c r="I809" t="s">
        <v>842</v>
      </c>
      <c r="J809">
        <v>1</v>
      </c>
      <c r="L809">
        <v>397.11</v>
      </c>
      <c r="M809">
        <v>676.76</v>
      </c>
      <c r="N809">
        <v>1009.83999999999</v>
      </c>
      <c r="O809">
        <v>1439.92</v>
      </c>
      <c r="P809">
        <v>0</v>
      </c>
      <c r="Q809">
        <v>3</v>
      </c>
      <c r="R809">
        <v>0</v>
      </c>
      <c r="S809">
        <v>200289</v>
      </c>
      <c r="T809" t="b">
        <v>1</v>
      </c>
    </row>
    <row r="810" spans="2:20" x14ac:dyDescent="0.35">
      <c r="B810">
        <v>2019</v>
      </c>
      <c r="C810" s="41">
        <v>43400</v>
      </c>
      <c r="D810" t="s">
        <v>1730</v>
      </c>
      <c r="E810" t="s">
        <v>219</v>
      </c>
      <c r="F810" t="s">
        <v>461</v>
      </c>
      <c r="G810" t="s">
        <v>304</v>
      </c>
      <c r="H810" t="s">
        <v>1731</v>
      </c>
      <c r="I810" t="s">
        <v>310</v>
      </c>
      <c r="J810">
        <v>1</v>
      </c>
      <c r="L810">
        <v>484.21</v>
      </c>
      <c r="M810">
        <v>825.2</v>
      </c>
      <c r="N810">
        <v>1231.33</v>
      </c>
      <c r="O810">
        <v>1755.73999999999</v>
      </c>
      <c r="P810">
        <v>1</v>
      </c>
      <c r="Q810">
        <v>1</v>
      </c>
      <c r="R810">
        <v>0</v>
      </c>
      <c r="S810">
        <v>200289</v>
      </c>
      <c r="T810" t="b">
        <v>1</v>
      </c>
    </row>
    <row r="811" spans="2:20" x14ac:dyDescent="0.35">
      <c r="B811">
        <v>2019</v>
      </c>
      <c r="C811" s="41">
        <v>43400</v>
      </c>
      <c r="D811" t="s">
        <v>1732</v>
      </c>
      <c r="E811" t="s">
        <v>219</v>
      </c>
      <c r="F811" t="s">
        <v>458</v>
      </c>
      <c r="G811" t="s">
        <v>304</v>
      </c>
      <c r="H811" t="s">
        <v>1652</v>
      </c>
      <c r="I811" t="s">
        <v>310</v>
      </c>
      <c r="J811">
        <v>1</v>
      </c>
      <c r="L811">
        <v>504.59</v>
      </c>
      <c r="M811">
        <v>859.93</v>
      </c>
      <c r="N811">
        <v>1283.1399999999901</v>
      </c>
      <c r="O811">
        <v>1829.62</v>
      </c>
      <c r="P811">
        <v>1</v>
      </c>
      <c r="Q811">
        <v>1</v>
      </c>
      <c r="R811">
        <v>0</v>
      </c>
      <c r="S811">
        <v>200289</v>
      </c>
      <c r="T811" t="b">
        <v>1</v>
      </c>
    </row>
    <row r="812" spans="2:20" x14ac:dyDescent="0.35">
      <c r="B812">
        <v>2019</v>
      </c>
      <c r="C812" s="41">
        <v>43400</v>
      </c>
      <c r="D812" t="s">
        <v>1733</v>
      </c>
      <c r="E812" t="s">
        <v>219</v>
      </c>
      <c r="F812" t="s">
        <v>1302</v>
      </c>
      <c r="G812" t="s">
        <v>304</v>
      </c>
      <c r="H812" t="s">
        <v>1592</v>
      </c>
      <c r="I812" t="s">
        <v>310</v>
      </c>
      <c r="J812">
        <v>1</v>
      </c>
      <c r="L812">
        <v>400.12</v>
      </c>
      <c r="M812">
        <v>681.88</v>
      </c>
      <c r="N812">
        <v>1017.47</v>
      </c>
      <c r="O812">
        <v>1450.8</v>
      </c>
      <c r="P812">
        <v>1</v>
      </c>
      <c r="Q812">
        <v>1</v>
      </c>
      <c r="R812">
        <v>0</v>
      </c>
      <c r="S812">
        <v>200289</v>
      </c>
      <c r="T812" t="b">
        <v>1</v>
      </c>
    </row>
    <row r="813" spans="2:20" x14ac:dyDescent="0.35">
      <c r="B813">
        <v>2019</v>
      </c>
      <c r="C813" s="41">
        <v>43400</v>
      </c>
      <c r="D813" t="s">
        <v>1734</v>
      </c>
      <c r="E813" t="s">
        <v>219</v>
      </c>
      <c r="F813" t="s">
        <v>461</v>
      </c>
      <c r="G813" t="s">
        <v>304</v>
      </c>
      <c r="H813" t="s">
        <v>1735</v>
      </c>
      <c r="I813" t="s">
        <v>310</v>
      </c>
      <c r="J813">
        <v>1</v>
      </c>
      <c r="L813">
        <v>484.21</v>
      </c>
      <c r="M813">
        <v>825.2</v>
      </c>
      <c r="N813">
        <v>1231.33</v>
      </c>
      <c r="O813">
        <v>1755.73999999999</v>
      </c>
      <c r="P813">
        <v>1</v>
      </c>
      <c r="Q813">
        <v>1</v>
      </c>
      <c r="R813">
        <v>0</v>
      </c>
      <c r="S813">
        <v>200289</v>
      </c>
      <c r="T813" t="b">
        <v>1</v>
      </c>
    </row>
    <row r="814" spans="2:20" x14ac:dyDescent="0.35">
      <c r="B814">
        <v>2019</v>
      </c>
      <c r="C814" s="41">
        <v>43400</v>
      </c>
      <c r="D814" t="s">
        <v>1736</v>
      </c>
      <c r="E814" t="s">
        <v>219</v>
      </c>
      <c r="F814" t="s">
        <v>458</v>
      </c>
      <c r="G814" t="s">
        <v>304</v>
      </c>
      <c r="H814" t="s">
        <v>1737</v>
      </c>
      <c r="I814" t="s">
        <v>310</v>
      </c>
      <c r="J814">
        <v>1</v>
      </c>
      <c r="L814">
        <v>504.59</v>
      </c>
      <c r="M814">
        <v>859.93</v>
      </c>
      <c r="N814">
        <v>1283.1399999999901</v>
      </c>
      <c r="O814">
        <v>1829.62</v>
      </c>
      <c r="P814">
        <v>1</v>
      </c>
      <c r="Q814">
        <v>1</v>
      </c>
      <c r="R814">
        <v>0</v>
      </c>
      <c r="S814">
        <v>200289</v>
      </c>
      <c r="T814" t="b">
        <v>1</v>
      </c>
    </row>
    <row r="815" spans="2:20" x14ac:dyDescent="0.35">
      <c r="B815">
        <v>2019</v>
      </c>
      <c r="C815" s="41">
        <v>43400</v>
      </c>
      <c r="D815" t="s">
        <v>1738</v>
      </c>
      <c r="E815" t="s">
        <v>219</v>
      </c>
      <c r="F815" t="s">
        <v>458</v>
      </c>
      <c r="G815" t="s">
        <v>304</v>
      </c>
      <c r="H815" t="s">
        <v>1739</v>
      </c>
      <c r="I815" t="s">
        <v>310</v>
      </c>
      <c r="J815">
        <v>1</v>
      </c>
      <c r="L815">
        <v>504.59</v>
      </c>
      <c r="M815">
        <v>859.93</v>
      </c>
      <c r="N815">
        <v>1283.1399999999901</v>
      </c>
      <c r="O815">
        <v>1829.62</v>
      </c>
      <c r="P815">
        <v>1</v>
      </c>
      <c r="Q815">
        <v>1</v>
      </c>
      <c r="R815">
        <v>0</v>
      </c>
      <c r="S815">
        <v>200289</v>
      </c>
      <c r="T815" t="b">
        <v>1</v>
      </c>
    </row>
    <row r="816" spans="2:20" x14ac:dyDescent="0.35">
      <c r="B816">
        <v>2019</v>
      </c>
      <c r="C816" s="41">
        <v>43400</v>
      </c>
      <c r="D816" t="s">
        <v>1740</v>
      </c>
      <c r="E816" t="s">
        <v>219</v>
      </c>
      <c r="F816" t="s">
        <v>458</v>
      </c>
      <c r="G816" t="s">
        <v>304</v>
      </c>
      <c r="H816" t="s">
        <v>1741</v>
      </c>
      <c r="I816" t="s">
        <v>310</v>
      </c>
      <c r="J816">
        <v>1</v>
      </c>
      <c r="L816">
        <v>504.59</v>
      </c>
      <c r="M816">
        <v>859.93</v>
      </c>
      <c r="N816">
        <v>1283.1399999999901</v>
      </c>
      <c r="O816">
        <v>1829.62</v>
      </c>
      <c r="P816">
        <v>1</v>
      </c>
      <c r="Q816">
        <v>1</v>
      </c>
      <c r="R816">
        <v>0</v>
      </c>
      <c r="S816">
        <v>200289</v>
      </c>
      <c r="T816" t="b">
        <v>1</v>
      </c>
    </row>
    <row r="817" spans="2:20" x14ac:dyDescent="0.35">
      <c r="B817">
        <v>2019</v>
      </c>
      <c r="C817" s="41">
        <v>43400</v>
      </c>
      <c r="D817" t="s">
        <v>1742</v>
      </c>
      <c r="E817" t="s">
        <v>219</v>
      </c>
      <c r="F817" t="s">
        <v>461</v>
      </c>
      <c r="G817" t="s">
        <v>304</v>
      </c>
      <c r="H817" t="s">
        <v>1743</v>
      </c>
      <c r="I817" t="s">
        <v>1555</v>
      </c>
      <c r="J817">
        <v>1</v>
      </c>
      <c r="L817">
        <v>531.05999999999995</v>
      </c>
      <c r="M817">
        <v>905.04</v>
      </c>
      <c r="N817">
        <v>1350.47</v>
      </c>
      <c r="O817">
        <v>1925.62</v>
      </c>
      <c r="P817">
        <v>0</v>
      </c>
      <c r="Q817">
        <v>3</v>
      </c>
      <c r="R817">
        <v>0</v>
      </c>
      <c r="S817">
        <v>200289</v>
      </c>
      <c r="T817" t="b">
        <v>1</v>
      </c>
    </row>
    <row r="818" spans="2:20" x14ac:dyDescent="0.35">
      <c r="B818">
        <v>2019</v>
      </c>
      <c r="C818" s="41">
        <v>43400</v>
      </c>
      <c r="D818" t="s">
        <v>1744</v>
      </c>
      <c r="E818" t="s">
        <v>219</v>
      </c>
      <c r="F818" t="s">
        <v>458</v>
      </c>
      <c r="G818" t="s">
        <v>304</v>
      </c>
      <c r="H818" t="s">
        <v>1745</v>
      </c>
      <c r="I818" t="s">
        <v>843</v>
      </c>
      <c r="J818">
        <v>1</v>
      </c>
      <c r="L818">
        <v>490.46</v>
      </c>
      <c r="M818">
        <v>835.85</v>
      </c>
      <c r="N818">
        <v>1247.21999999999</v>
      </c>
      <c r="O818">
        <v>1778.3999999999901</v>
      </c>
      <c r="P818">
        <v>0</v>
      </c>
      <c r="Q818">
        <v>3</v>
      </c>
      <c r="R818">
        <v>0</v>
      </c>
      <c r="S818">
        <v>200289</v>
      </c>
      <c r="T818" t="b">
        <v>1</v>
      </c>
    </row>
    <row r="819" spans="2:20" x14ac:dyDescent="0.35">
      <c r="B819">
        <v>2019</v>
      </c>
      <c r="C819" s="41">
        <v>43400</v>
      </c>
      <c r="D819" t="s">
        <v>1746</v>
      </c>
      <c r="E819" t="s">
        <v>219</v>
      </c>
      <c r="F819" t="s">
        <v>458</v>
      </c>
      <c r="G819" t="s">
        <v>304</v>
      </c>
      <c r="H819" t="s">
        <v>1747</v>
      </c>
      <c r="I819" t="s">
        <v>843</v>
      </c>
      <c r="J819">
        <v>1</v>
      </c>
      <c r="L819">
        <v>490.46</v>
      </c>
      <c r="M819">
        <v>835.85</v>
      </c>
      <c r="N819">
        <v>1247.21999999999</v>
      </c>
      <c r="O819">
        <v>1778.3999999999901</v>
      </c>
      <c r="P819">
        <v>0</v>
      </c>
      <c r="Q819">
        <v>3</v>
      </c>
      <c r="R819">
        <v>0</v>
      </c>
      <c r="S819">
        <v>200289</v>
      </c>
      <c r="T819" t="b">
        <v>1</v>
      </c>
    </row>
    <row r="820" spans="2:20" x14ac:dyDescent="0.35">
      <c r="B820">
        <v>2019</v>
      </c>
      <c r="C820" s="41">
        <v>43400</v>
      </c>
      <c r="D820" t="s">
        <v>1748</v>
      </c>
      <c r="E820" t="s">
        <v>219</v>
      </c>
      <c r="F820" t="s">
        <v>1311</v>
      </c>
      <c r="G820" t="s">
        <v>304</v>
      </c>
      <c r="H820" t="s">
        <v>1749</v>
      </c>
      <c r="I820" t="s">
        <v>842</v>
      </c>
      <c r="J820">
        <v>1</v>
      </c>
      <c r="L820">
        <v>406.2</v>
      </c>
      <c r="M820">
        <v>692.24</v>
      </c>
      <c r="N820">
        <v>1032.94</v>
      </c>
      <c r="O820">
        <v>1472.86</v>
      </c>
      <c r="P820">
        <v>0</v>
      </c>
      <c r="Q820">
        <v>3</v>
      </c>
      <c r="R820">
        <v>0</v>
      </c>
      <c r="S820">
        <v>200289</v>
      </c>
      <c r="T820" t="b">
        <v>1</v>
      </c>
    </row>
    <row r="821" spans="2:20" x14ac:dyDescent="0.35">
      <c r="B821">
        <v>2019</v>
      </c>
      <c r="C821" s="41">
        <v>43400</v>
      </c>
      <c r="D821" t="s">
        <v>1748</v>
      </c>
      <c r="E821" t="s">
        <v>219</v>
      </c>
      <c r="F821" t="s">
        <v>458</v>
      </c>
      <c r="G821" t="s">
        <v>304</v>
      </c>
      <c r="H821" t="s">
        <v>1749</v>
      </c>
      <c r="I821" t="s">
        <v>842</v>
      </c>
      <c r="J821">
        <v>1</v>
      </c>
      <c r="L821">
        <v>406.2</v>
      </c>
      <c r="M821">
        <v>692.24</v>
      </c>
      <c r="N821">
        <v>1032.94</v>
      </c>
      <c r="O821">
        <v>1472.86</v>
      </c>
      <c r="P821">
        <v>0</v>
      </c>
      <c r="Q821">
        <v>3</v>
      </c>
      <c r="R821">
        <v>0</v>
      </c>
      <c r="S821">
        <v>200289</v>
      </c>
      <c r="T821" t="b">
        <v>1</v>
      </c>
    </row>
    <row r="822" spans="2:20" x14ac:dyDescent="0.35">
      <c r="B822">
        <v>2019</v>
      </c>
      <c r="C822" s="41">
        <v>43400</v>
      </c>
      <c r="D822" t="s">
        <v>1750</v>
      </c>
      <c r="E822" t="s">
        <v>219</v>
      </c>
      <c r="F822" t="s">
        <v>458</v>
      </c>
      <c r="G822" t="s">
        <v>304</v>
      </c>
      <c r="H822" t="s">
        <v>1575</v>
      </c>
      <c r="I822" t="s">
        <v>310</v>
      </c>
      <c r="J822">
        <v>1</v>
      </c>
      <c r="L822">
        <v>578.27</v>
      </c>
      <c r="M822">
        <v>985.48</v>
      </c>
      <c r="N822">
        <v>1470.49</v>
      </c>
      <c r="O822">
        <v>2096.7600000000002</v>
      </c>
      <c r="P822">
        <v>0</v>
      </c>
      <c r="Q822">
        <v>3</v>
      </c>
      <c r="R822">
        <v>0</v>
      </c>
      <c r="S822">
        <v>200289</v>
      </c>
      <c r="T822" t="b">
        <v>1</v>
      </c>
    </row>
    <row r="823" spans="2:20" x14ac:dyDescent="0.35">
      <c r="B823">
        <v>2019</v>
      </c>
      <c r="C823" s="41">
        <v>43400</v>
      </c>
      <c r="D823" t="s">
        <v>1751</v>
      </c>
      <c r="E823" t="s">
        <v>219</v>
      </c>
      <c r="F823" t="s">
        <v>1302</v>
      </c>
      <c r="G823" t="s">
        <v>304</v>
      </c>
      <c r="H823" t="s">
        <v>1692</v>
      </c>
      <c r="I823" t="s">
        <v>310</v>
      </c>
      <c r="J823">
        <v>1</v>
      </c>
      <c r="L823">
        <v>458.69</v>
      </c>
      <c r="M823">
        <v>781.7</v>
      </c>
      <c r="N823">
        <v>1166.4299999999901</v>
      </c>
      <c r="O823">
        <v>1663.19999999999</v>
      </c>
      <c r="P823">
        <v>1</v>
      </c>
      <c r="Q823">
        <v>1</v>
      </c>
      <c r="R823">
        <v>0</v>
      </c>
      <c r="S823">
        <v>200289</v>
      </c>
      <c r="T823" t="b">
        <v>1</v>
      </c>
    </row>
    <row r="824" spans="2:20" x14ac:dyDescent="0.35">
      <c r="B824">
        <v>2019</v>
      </c>
      <c r="C824" s="41">
        <v>43400</v>
      </c>
      <c r="D824" t="s">
        <v>1752</v>
      </c>
      <c r="E824" t="s">
        <v>219</v>
      </c>
      <c r="F824" t="s">
        <v>458</v>
      </c>
      <c r="G824" t="s">
        <v>304</v>
      </c>
      <c r="H824" t="s">
        <v>1577</v>
      </c>
      <c r="I824" t="s">
        <v>310</v>
      </c>
      <c r="J824">
        <v>1</v>
      </c>
      <c r="L824">
        <v>578.27</v>
      </c>
      <c r="M824">
        <v>985.48</v>
      </c>
      <c r="N824">
        <v>1470.49</v>
      </c>
      <c r="O824">
        <v>2096.7600000000002</v>
      </c>
      <c r="P824">
        <v>1</v>
      </c>
      <c r="Q824">
        <v>1</v>
      </c>
      <c r="R824">
        <v>0</v>
      </c>
      <c r="S824">
        <v>200289</v>
      </c>
      <c r="T824" t="b">
        <v>1</v>
      </c>
    </row>
    <row r="825" spans="2:20" x14ac:dyDescent="0.35">
      <c r="B825">
        <v>2019</v>
      </c>
      <c r="C825" s="41">
        <v>43400</v>
      </c>
      <c r="D825" t="s">
        <v>1753</v>
      </c>
      <c r="E825" t="s">
        <v>219</v>
      </c>
      <c r="F825" t="s">
        <v>458</v>
      </c>
      <c r="G825" t="s">
        <v>304</v>
      </c>
      <c r="H825" t="s">
        <v>1550</v>
      </c>
      <c r="I825" t="s">
        <v>310</v>
      </c>
      <c r="J825">
        <v>1</v>
      </c>
      <c r="L825">
        <v>578.27</v>
      </c>
      <c r="M825">
        <v>985.48</v>
      </c>
      <c r="N825">
        <v>1470.49</v>
      </c>
      <c r="O825">
        <v>2096.7600000000002</v>
      </c>
      <c r="P825">
        <v>1</v>
      </c>
      <c r="Q825">
        <v>1</v>
      </c>
      <c r="R825">
        <v>0</v>
      </c>
      <c r="S825">
        <v>200289</v>
      </c>
      <c r="T825" t="b">
        <v>1</v>
      </c>
    </row>
    <row r="826" spans="2:20" x14ac:dyDescent="0.35">
      <c r="B826">
        <v>2019</v>
      </c>
      <c r="C826" s="41">
        <v>43400</v>
      </c>
      <c r="D826" t="s">
        <v>1754</v>
      </c>
      <c r="E826" t="s">
        <v>219</v>
      </c>
      <c r="F826" t="s">
        <v>458</v>
      </c>
      <c r="G826" t="s">
        <v>304</v>
      </c>
      <c r="H826" t="s">
        <v>1755</v>
      </c>
      <c r="I826" t="s">
        <v>843</v>
      </c>
      <c r="J826">
        <v>1</v>
      </c>
      <c r="L826">
        <v>510.65</v>
      </c>
      <c r="M826">
        <v>870.24</v>
      </c>
      <c r="N826">
        <v>1298.54</v>
      </c>
      <c r="O826">
        <v>1851.58</v>
      </c>
      <c r="P826">
        <v>0</v>
      </c>
      <c r="Q826">
        <v>3</v>
      </c>
      <c r="R826">
        <v>0</v>
      </c>
      <c r="S826">
        <v>200289</v>
      </c>
      <c r="T826" t="b">
        <v>1</v>
      </c>
    </row>
    <row r="827" spans="2:20" x14ac:dyDescent="0.35">
      <c r="B827">
        <v>2019</v>
      </c>
      <c r="C827" s="41">
        <v>43400</v>
      </c>
      <c r="D827" t="s">
        <v>1756</v>
      </c>
      <c r="E827" t="s">
        <v>219</v>
      </c>
      <c r="F827" t="s">
        <v>1302</v>
      </c>
      <c r="G827" t="s">
        <v>304</v>
      </c>
      <c r="H827" t="s">
        <v>1582</v>
      </c>
      <c r="I827" t="s">
        <v>310</v>
      </c>
      <c r="J827">
        <v>1</v>
      </c>
      <c r="L827">
        <v>507</v>
      </c>
      <c r="M827">
        <v>864.02</v>
      </c>
      <c r="N827">
        <v>1289.26</v>
      </c>
      <c r="O827">
        <v>1838.34</v>
      </c>
      <c r="P827">
        <v>0</v>
      </c>
      <c r="Q827">
        <v>3</v>
      </c>
      <c r="R827">
        <v>0</v>
      </c>
      <c r="S827">
        <v>200289</v>
      </c>
      <c r="T827" t="b">
        <v>1</v>
      </c>
    </row>
    <row r="828" spans="2:20" x14ac:dyDescent="0.35">
      <c r="B828">
        <v>2019</v>
      </c>
      <c r="C828" s="41">
        <v>43400</v>
      </c>
      <c r="D828" t="s">
        <v>1757</v>
      </c>
      <c r="E828" t="s">
        <v>219</v>
      </c>
      <c r="F828" t="s">
        <v>458</v>
      </c>
      <c r="G828" t="s">
        <v>304</v>
      </c>
      <c r="H828" t="s">
        <v>1548</v>
      </c>
      <c r="I828" t="s">
        <v>310</v>
      </c>
      <c r="J828">
        <v>1</v>
      </c>
      <c r="L828">
        <v>578.27</v>
      </c>
      <c r="M828">
        <v>985.48</v>
      </c>
      <c r="N828">
        <v>1470.49</v>
      </c>
      <c r="O828">
        <v>2096.7600000000002</v>
      </c>
      <c r="P828">
        <v>1</v>
      </c>
      <c r="Q828">
        <v>1</v>
      </c>
      <c r="R828">
        <v>0</v>
      </c>
      <c r="S828">
        <v>200289</v>
      </c>
      <c r="T828" t="b">
        <v>1</v>
      </c>
    </row>
    <row r="829" spans="2:20" x14ac:dyDescent="0.35">
      <c r="B829">
        <v>2019</v>
      </c>
      <c r="C829" s="41">
        <v>43400</v>
      </c>
      <c r="D829" t="s">
        <v>1758</v>
      </c>
      <c r="E829" t="s">
        <v>219</v>
      </c>
      <c r="F829" t="s">
        <v>1302</v>
      </c>
      <c r="G829" t="s">
        <v>304</v>
      </c>
      <c r="H829" t="s">
        <v>1759</v>
      </c>
      <c r="I829" t="s">
        <v>842</v>
      </c>
      <c r="J829">
        <v>1</v>
      </c>
      <c r="L829">
        <v>314.93</v>
      </c>
      <c r="M829">
        <v>536.70000000000005</v>
      </c>
      <c r="N829">
        <v>800.82999999999902</v>
      </c>
      <c r="O829">
        <v>1141.9000000000001</v>
      </c>
      <c r="P829">
        <v>0</v>
      </c>
      <c r="Q829">
        <v>3</v>
      </c>
      <c r="R829">
        <v>0</v>
      </c>
      <c r="S829">
        <v>200289</v>
      </c>
      <c r="T829" t="b">
        <v>1</v>
      </c>
    </row>
    <row r="830" spans="2:20" x14ac:dyDescent="0.35">
      <c r="B830">
        <v>2019</v>
      </c>
      <c r="C830" s="41">
        <v>43400</v>
      </c>
      <c r="D830" t="s">
        <v>1760</v>
      </c>
      <c r="E830" t="s">
        <v>219</v>
      </c>
      <c r="F830" t="s">
        <v>461</v>
      </c>
      <c r="G830" t="s">
        <v>304</v>
      </c>
      <c r="H830" t="s">
        <v>1761</v>
      </c>
      <c r="I830" t="s">
        <v>1555</v>
      </c>
      <c r="J830">
        <v>1</v>
      </c>
      <c r="L830">
        <v>559.35</v>
      </c>
      <c r="M830">
        <v>953.25</v>
      </c>
      <c r="N830">
        <v>1422.4099999999901</v>
      </c>
      <c r="O830">
        <v>2028.19999999999</v>
      </c>
      <c r="P830">
        <v>0</v>
      </c>
      <c r="Q830">
        <v>3</v>
      </c>
      <c r="R830">
        <v>0</v>
      </c>
      <c r="S830">
        <v>200289</v>
      </c>
      <c r="T830" t="b">
        <v>1</v>
      </c>
    </row>
    <row r="831" spans="2:20" x14ac:dyDescent="0.35">
      <c r="B831">
        <v>2019</v>
      </c>
      <c r="C831" s="41">
        <v>43400</v>
      </c>
      <c r="D831" t="s">
        <v>1762</v>
      </c>
      <c r="E831" t="s">
        <v>219</v>
      </c>
      <c r="F831" t="s">
        <v>461</v>
      </c>
      <c r="G831" t="s">
        <v>304</v>
      </c>
      <c r="H831" t="s">
        <v>1763</v>
      </c>
      <c r="I831" t="s">
        <v>1555</v>
      </c>
      <c r="J831">
        <v>1</v>
      </c>
      <c r="L831">
        <v>559.35</v>
      </c>
      <c r="M831">
        <v>953.25</v>
      </c>
      <c r="N831">
        <v>1422.4099999999901</v>
      </c>
      <c r="O831">
        <v>2028.19999999999</v>
      </c>
      <c r="P831">
        <v>0</v>
      </c>
      <c r="Q831">
        <v>3</v>
      </c>
      <c r="R831">
        <v>0</v>
      </c>
      <c r="S831">
        <v>200289</v>
      </c>
      <c r="T831" t="b">
        <v>1</v>
      </c>
    </row>
    <row r="832" spans="2:20" x14ac:dyDescent="0.35">
      <c r="B832">
        <v>2019</v>
      </c>
      <c r="C832" s="41">
        <v>43400</v>
      </c>
      <c r="D832" t="s">
        <v>1764</v>
      </c>
      <c r="E832" t="s">
        <v>219</v>
      </c>
      <c r="F832" t="s">
        <v>458</v>
      </c>
      <c r="G832" t="s">
        <v>304</v>
      </c>
      <c r="H832" t="s">
        <v>1765</v>
      </c>
      <c r="I832" t="s">
        <v>843</v>
      </c>
      <c r="J832">
        <v>1</v>
      </c>
      <c r="L832">
        <v>510.65</v>
      </c>
      <c r="M832">
        <v>870.24</v>
      </c>
      <c r="N832">
        <v>1298.54</v>
      </c>
      <c r="O832">
        <v>1851.58</v>
      </c>
      <c r="P832">
        <v>0</v>
      </c>
      <c r="Q832">
        <v>3</v>
      </c>
      <c r="R832">
        <v>0</v>
      </c>
      <c r="S832">
        <v>200289</v>
      </c>
      <c r="T832" t="b">
        <v>1</v>
      </c>
    </row>
    <row r="833" spans="2:20" x14ac:dyDescent="0.35">
      <c r="B833">
        <v>2019</v>
      </c>
      <c r="C833" s="41">
        <v>43400</v>
      </c>
      <c r="D833" t="s">
        <v>1766</v>
      </c>
      <c r="E833" t="s">
        <v>219</v>
      </c>
      <c r="F833" t="s">
        <v>1302</v>
      </c>
      <c r="G833" t="s">
        <v>304</v>
      </c>
      <c r="H833" t="s">
        <v>1592</v>
      </c>
      <c r="I833" t="s">
        <v>310</v>
      </c>
      <c r="J833">
        <v>1</v>
      </c>
      <c r="L833">
        <v>400.12</v>
      </c>
      <c r="M833">
        <v>681.88</v>
      </c>
      <c r="N833">
        <v>1017.47</v>
      </c>
      <c r="O833">
        <v>1450.8</v>
      </c>
      <c r="P833">
        <v>1</v>
      </c>
      <c r="Q833">
        <v>1</v>
      </c>
      <c r="R833">
        <v>0</v>
      </c>
      <c r="S833">
        <v>200289</v>
      </c>
      <c r="T833" t="b">
        <v>1</v>
      </c>
    </row>
    <row r="834" spans="2:20" x14ac:dyDescent="0.35">
      <c r="B834">
        <v>2019</v>
      </c>
      <c r="C834" s="41">
        <v>43400</v>
      </c>
      <c r="D834" t="s">
        <v>1767</v>
      </c>
      <c r="E834" t="s">
        <v>219</v>
      </c>
      <c r="F834" t="s">
        <v>1302</v>
      </c>
      <c r="G834" t="s">
        <v>304</v>
      </c>
      <c r="H834" t="s">
        <v>1768</v>
      </c>
      <c r="I834" t="s">
        <v>843</v>
      </c>
      <c r="J834">
        <v>1</v>
      </c>
      <c r="L834">
        <v>405.06</v>
      </c>
      <c r="M834">
        <v>690.3</v>
      </c>
      <c r="N834">
        <v>1030.05</v>
      </c>
      <c r="O834">
        <v>1468.74</v>
      </c>
      <c r="P834">
        <v>0</v>
      </c>
      <c r="Q834">
        <v>3</v>
      </c>
      <c r="R834">
        <v>0</v>
      </c>
      <c r="S834">
        <v>200289</v>
      </c>
      <c r="T834" t="b">
        <v>1</v>
      </c>
    </row>
    <row r="835" spans="2:20" x14ac:dyDescent="0.35">
      <c r="B835">
        <v>2019</v>
      </c>
      <c r="C835" s="41">
        <v>43400</v>
      </c>
      <c r="D835" t="s">
        <v>1769</v>
      </c>
      <c r="E835" t="s">
        <v>219</v>
      </c>
      <c r="F835" t="s">
        <v>458</v>
      </c>
      <c r="G835" t="s">
        <v>304</v>
      </c>
      <c r="H835" t="s">
        <v>1770</v>
      </c>
      <c r="I835" t="s">
        <v>842</v>
      </c>
      <c r="J835">
        <v>1</v>
      </c>
      <c r="L835">
        <v>406.2</v>
      </c>
      <c r="M835">
        <v>692.24</v>
      </c>
      <c r="N835">
        <v>1032.94</v>
      </c>
      <c r="O835">
        <v>1472.86</v>
      </c>
      <c r="P835">
        <v>0</v>
      </c>
      <c r="Q835">
        <v>3</v>
      </c>
      <c r="R835">
        <v>0</v>
      </c>
      <c r="S835">
        <v>200289</v>
      </c>
      <c r="T835" t="b">
        <v>1</v>
      </c>
    </row>
    <row r="836" spans="2:20" x14ac:dyDescent="0.35">
      <c r="B836">
        <v>2019</v>
      </c>
      <c r="C836" s="41">
        <v>43400</v>
      </c>
      <c r="D836" t="s">
        <v>1771</v>
      </c>
      <c r="E836" t="s">
        <v>219</v>
      </c>
      <c r="F836" t="s">
        <v>458</v>
      </c>
      <c r="G836" t="s">
        <v>304</v>
      </c>
      <c r="H836" t="s">
        <v>1772</v>
      </c>
      <c r="I836" t="s">
        <v>842</v>
      </c>
      <c r="J836">
        <v>1</v>
      </c>
      <c r="L836">
        <v>406.2</v>
      </c>
      <c r="M836">
        <v>692.24</v>
      </c>
      <c r="N836">
        <v>1032.94</v>
      </c>
      <c r="O836">
        <v>1472.86</v>
      </c>
      <c r="P836">
        <v>0</v>
      </c>
      <c r="Q836">
        <v>3</v>
      </c>
      <c r="R836">
        <v>0</v>
      </c>
      <c r="S836">
        <v>200289</v>
      </c>
      <c r="T836" t="b">
        <v>1</v>
      </c>
    </row>
    <row r="837" spans="2:20" x14ac:dyDescent="0.35">
      <c r="B837">
        <v>2019</v>
      </c>
      <c r="C837" s="41">
        <v>43400</v>
      </c>
      <c r="D837" t="s">
        <v>1773</v>
      </c>
      <c r="E837" t="s">
        <v>219</v>
      </c>
      <c r="F837" t="s">
        <v>458</v>
      </c>
      <c r="G837" t="s">
        <v>304</v>
      </c>
      <c r="H837" t="s">
        <v>1552</v>
      </c>
      <c r="I837" t="s">
        <v>310</v>
      </c>
      <c r="J837">
        <v>1</v>
      </c>
      <c r="L837">
        <v>504.59</v>
      </c>
      <c r="M837">
        <v>859.93</v>
      </c>
      <c r="N837">
        <v>1283.1399999999901</v>
      </c>
      <c r="O837">
        <v>1829.62</v>
      </c>
      <c r="P837">
        <v>0</v>
      </c>
      <c r="Q837">
        <v>3</v>
      </c>
      <c r="R837">
        <v>0</v>
      </c>
      <c r="S837">
        <v>200289</v>
      </c>
      <c r="T837" t="b">
        <v>1</v>
      </c>
    </row>
    <row r="838" spans="2:20" x14ac:dyDescent="0.35">
      <c r="B838">
        <v>2019</v>
      </c>
      <c r="C838" s="41">
        <v>43400</v>
      </c>
      <c r="D838" t="s">
        <v>1774</v>
      </c>
      <c r="E838" t="s">
        <v>219</v>
      </c>
      <c r="F838" t="s">
        <v>458</v>
      </c>
      <c r="G838" t="s">
        <v>304</v>
      </c>
      <c r="H838" t="s">
        <v>1674</v>
      </c>
      <c r="I838" t="s">
        <v>310</v>
      </c>
      <c r="J838">
        <v>1</v>
      </c>
      <c r="L838">
        <v>504.59</v>
      </c>
      <c r="M838">
        <v>859.93</v>
      </c>
      <c r="N838">
        <v>1283.1399999999901</v>
      </c>
      <c r="O838">
        <v>1829.62</v>
      </c>
      <c r="P838">
        <v>1</v>
      </c>
      <c r="Q838">
        <v>1</v>
      </c>
      <c r="R838">
        <v>0</v>
      </c>
      <c r="S838">
        <v>200289</v>
      </c>
      <c r="T838" t="b">
        <v>1</v>
      </c>
    </row>
    <row r="839" spans="2:20" x14ac:dyDescent="0.35">
      <c r="B839">
        <v>2019</v>
      </c>
      <c r="C839" s="41">
        <v>43400</v>
      </c>
      <c r="D839" t="s">
        <v>1775</v>
      </c>
      <c r="E839" t="s">
        <v>219</v>
      </c>
      <c r="F839" t="s">
        <v>461</v>
      </c>
      <c r="G839" t="s">
        <v>304</v>
      </c>
      <c r="H839" t="s">
        <v>1572</v>
      </c>
      <c r="I839" t="s">
        <v>310</v>
      </c>
      <c r="J839">
        <v>1</v>
      </c>
      <c r="L839">
        <v>484.21</v>
      </c>
      <c r="M839">
        <v>825.2</v>
      </c>
      <c r="N839">
        <v>1231.33</v>
      </c>
      <c r="O839">
        <v>1755.73999999999</v>
      </c>
      <c r="P839">
        <v>0</v>
      </c>
      <c r="Q839">
        <v>3</v>
      </c>
      <c r="R839">
        <v>0</v>
      </c>
      <c r="S839">
        <v>200289</v>
      </c>
      <c r="T839" t="b">
        <v>1</v>
      </c>
    </row>
    <row r="840" spans="2:20" x14ac:dyDescent="0.35">
      <c r="B840">
        <v>2019</v>
      </c>
      <c r="C840" s="41">
        <v>43400</v>
      </c>
      <c r="D840" t="s">
        <v>1776</v>
      </c>
      <c r="E840" t="s">
        <v>219</v>
      </c>
      <c r="F840" t="s">
        <v>461</v>
      </c>
      <c r="G840" t="s">
        <v>304</v>
      </c>
      <c r="H840" t="s">
        <v>1777</v>
      </c>
      <c r="I840" t="s">
        <v>310</v>
      </c>
      <c r="J840">
        <v>1</v>
      </c>
      <c r="L840">
        <v>484.21</v>
      </c>
      <c r="M840">
        <v>825.2</v>
      </c>
      <c r="N840">
        <v>1231.33</v>
      </c>
      <c r="O840">
        <v>1755.73999999999</v>
      </c>
      <c r="P840">
        <v>0</v>
      </c>
      <c r="Q840">
        <v>3</v>
      </c>
      <c r="R840">
        <v>0</v>
      </c>
      <c r="S840">
        <v>200289</v>
      </c>
      <c r="T840" t="b">
        <v>1</v>
      </c>
    </row>
    <row r="841" spans="2:20" x14ac:dyDescent="0.35">
      <c r="B841">
        <v>2019</v>
      </c>
      <c r="C841" s="41">
        <v>43400</v>
      </c>
      <c r="D841" t="s">
        <v>1778</v>
      </c>
      <c r="E841" t="s">
        <v>219</v>
      </c>
      <c r="F841" t="s">
        <v>461</v>
      </c>
      <c r="G841" t="s">
        <v>304</v>
      </c>
      <c r="H841" t="s">
        <v>1779</v>
      </c>
      <c r="I841" t="s">
        <v>1555</v>
      </c>
      <c r="J841">
        <v>1</v>
      </c>
      <c r="L841">
        <v>531.05999999999995</v>
      </c>
      <c r="M841">
        <v>905.04</v>
      </c>
      <c r="N841">
        <v>1350.47</v>
      </c>
      <c r="O841">
        <v>1925.62</v>
      </c>
      <c r="P841">
        <v>0</v>
      </c>
      <c r="Q841">
        <v>3</v>
      </c>
      <c r="R841">
        <v>0</v>
      </c>
      <c r="S841">
        <v>200289</v>
      </c>
      <c r="T841" t="b">
        <v>1</v>
      </c>
    </row>
    <row r="842" spans="2:20" x14ac:dyDescent="0.35">
      <c r="B842">
        <v>2019</v>
      </c>
      <c r="C842" s="41">
        <v>43400</v>
      </c>
      <c r="D842" t="s">
        <v>1780</v>
      </c>
      <c r="E842" t="s">
        <v>219</v>
      </c>
      <c r="F842" t="s">
        <v>1302</v>
      </c>
      <c r="G842" t="s">
        <v>304</v>
      </c>
      <c r="H842" t="s">
        <v>1781</v>
      </c>
      <c r="I842" t="s">
        <v>843</v>
      </c>
      <c r="J842">
        <v>1</v>
      </c>
      <c r="L842">
        <v>429.79</v>
      </c>
      <c r="M842">
        <v>732.44</v>
      </c>
      <c r="N842">
        <v>1092.93</v>
      </c>
      <c r="O842">
        <v>1558.4</v>
      </c>
      <c r="P842">
        <v>0</v>
      </c>
      <c r="Q842">
        <v>3</v>
      </c>
      <c r="R842">
        <v>0</v>
      </c>
      <c r="S842">
        <v>200289</v>
      </c>
      <c r="T842" t="b">
        <v>1</v>
      </c>
    </row>
    <row r="843" spans="2:20" x14ac:dyDescent="0.35">
      <c r="B843">
        <v>2019</v>
      </c>
      <c r="C843" s="41">
        <v>43400</v>
      </c>
      <c r="D843" t="s">
        <v>1782</v>
      </c>
      <c r="E843" t="s">
        <v>219</v>
      </c>
      <c r="F843" t="s">
        <v>461</v>
      </c>
      <c r="G843" t="s">
        <v>304</v>
      </c>
      <c r="H843" t="s">
        <v>1783</v>
      </c>
      <c r="I843" t="s">
        <v>843</v>
      </c>
      <c r="J843">
        <v>1</v>
      </c>
      <c r="L843">
        <v>470.77</v>
      </c>
      <c r="M843">
        <v>802.28</v>
      </c>
      <c r="N843">
        <v>1197.1300000000001</v>
      </c>
      <c r="O843">
        <v>1706.98</v>
      </c>
      <c r="P843">
        <v>0</v>
      </c>
      <c r="Q843">
        <v>3</v>
      </c>
      <c r="R843">
        <v>0</v>
      </c>
      <c r="S843">
        <v>200289</v>
      </c>
      <c r="T843" t="b">
        <v>1</v>
      </c>
    </row>
    <row r="844" spans="2:20" x14ac:dyDescent="0.35">
      <c r="B844">
        <v>2019</v>
      </c>
      <c r="C844" s="41">
        <v>43400</v>
      </c>
      <c r="D844" t="s">
        <v>1784</v>
      </c>
      <c r="E844" t="s">
        <v>219</v>
      </c>
      <c r="F844" t="s">
        <v>458</v>
      </c>
      <c r="G844" t="s">
        <v>304</v>
      </c>
      <c r="H844" t="s">
        <v>1785</v>
      </c>
      <c r="I844" t="s">
        <v>1555</v>
      </c>
      <c r="J844">
        <v>1</v>
      </c>
      <c r="L844">
        <v>553.53</v>
      </c>
      <c r="M844">
        <v>943.33</v>
      </c>
      <c r="N844">
        <v>1407.6</v>
      </c>
      <c r="O844">
        <v>2007.08</v>
      </c>
      <c r="P844">
        <v>0</v>
      </c>
      <c r="Q844">
        <v>3</v>
      </c>
      <c r="R844">
        <v>0</v>
      </c>
      <c r="S844">
        <v>200289</v>
      </c>
      <c r="T844" t="b">
        <v>1</v>
      </c>
    </row>
    <row r="845" spans="2:20" x14ac:dyDescent="0.35">
      <c r="B845">
        <v>2019</v>
      </c>
      <c r="C845" s="41">
        <v>43400</v>
      </c>
      <c r="D845" t="s">
        <v>1784</v>
      </c>
      <c r="E845" t="s">
        <v>219</v>
      </c>
      <c r="F845" t="s">
        <v>1311</v>
      </c>
      <c r="G845" t="s">
        <v>304</v>
      </c>
      <c r="H845" t="s">
        <v>1785</v>
      </c>
      <c r="I845" t="s">
        <v>1555</v>
      </c>
      <c r="J845">
        <v>1</v>
      </c>
      <c r="L845">
        <v>553.53</v>
      </c>
      <c r="M845">
        <v>943.33</v>
      </c>
      <c r="N845">
        <v>1407.6</v>
      </c>
      <c r="O845">
        <v>2007.08</v>
      </c>
      <c r="P845">
        <v>0</v>
      </c>
      <c r="Q845">
        <v>3</v>
      </c>
      <c r="R845">
        <v>0</v>
      </c>
      <c r="S845">
        <v>200289</v>
      </c>
      <c r="T845" t="b">
        <v>1</v>
      </c>
    </row>
    <row r="846" spans="2:20" x14ac:dyDescent="0.35">
      <c r="B846">
        <v>2019</v>
      </c>
      <c r="C846" s="41">
        <v>43400</v>
      </c>
      <c r="D846" t="s">
        <v>1786</v>
      </c>
      <c r="E846" t="s">
        <v>219</v>
      </c>
      <c r="F846" t="s">
        <v>1302</v>
      </c>
      <c r="G846" t="s">
        <v>304</v>
      </c>
      <c r="H846" t="s">
        <v>1692</v>
      </c>
      <c r="I846" t="s">
        <v>310</v>
      </c>
      <c r="J846">
        <v>1</v>
      </c>
      <c r="L846">
        <v>458.69</v>
      </c>
      <c r="M846">
        <v>781.7</v>
      </c>
      <c r="N846">
        <v>1166.4299999999901</v>
      </c>
      <c r="O846">
        <v>1663.19999999999</v>
      </c>
      <c r="P846">
        <v>1</v>
      </c>
      <c r="Q846">
        <v>1</v>
      </c>
      <c r="R846">
        <v>0</v>
      </c>
      <c r="S846">
        <v>200289</v>
      </c>
      <c r="T846" t="b">
        <v>1</v>
      </c>
    </row>
    <row r="847" spans="2:20" x14ac:dyDescent="0.35">
      <c r="B847">
        <v>2019</v>
      </c>
      <c r="C847" s="41">
        <v>43400</v>
      </c>
      <c r="D847" t="s">
        <v>1787</v>
      </c>
      <c r="E847" t="s">
        <v>219</v>
      </c>
      <c r="F847" t="s">
        <v>461</v>
      </c>
      <c r="G847" t="s">
        <v>304</v>
      </c>
      <c r="H847" t="s">
        <v>1603</v>
      </c>
      <c r="I847" t="s">
        <v>310</v>
      </c>
      <c r="J847">
        <v>1</v>
      </c>
      <c r="L847">
        <v>555.17999999999995</v>
      </c>
      <c r="M847">
        <v>946.14</v>
      </c>
      <c r="N847">
        <v>1411.79</v>
      </c>
      <c r="O847">
        <v>2013.06</v>
      </c>
      <c r="P847">
        <v>1</v>
      </c>
      <c r="Q847">
        <v>1</v>
      </c>
      <c r="R847">
        <v>0</v>
      </c>
      <c r="S847">
        <v>200289</v>
      </c>
      <c r="T847" t="b">
        <v>1</v>
      </c>
    </row>
    <row r="848" spans="2:20" x14ac:dyDescent="0.35">
      <c r="B848">
        <v>2019</v>
      </c>
      <c r="C848" s="41">
        <v>43400</v>
      </c>
      <c r="D848" t="s">
        <v>1788</v>
      </c>
      <c r="E848" t="s">
        <v>219</v>
      </c>
      <c r="F848" t="s">
        <v>458</v>
      </c>
      <c r="G848" t="s">
        <v>304</v>
      </c>
      <c r="H848" t="s">
        <v>1557</v>
      </c>
      <c r="I848" t="s">
        <v>310</v>
      </c>
      <c r="J848">
        <v>1</v>
      </c>
      <c r="L848">
        <v>578.27</v>
      </c>
      <c r="M848">
        <v>985.48</v>
      </c>
      <c r="N848">
        <v>1470.49</v>
      </c>
      <c r="O848">
        <v>2096.7600000000002</v>
      </c>
      <c r="P848">
        <v>1</v>
      </c>
      <c r="Q848">
        <v>1</v>
      </c>
      <c r="R848">
        <v>0</v>
      </c>
      <c r="S848">
        <v>200289</v>
      </c>
      <c r="T848" t="b">
        <v>1</v>
      </c>
    </row>
    <row r="849" spans="2:20" x14ac:dyDescent="0.35">
      <c r="B849">
        <v>2019</v>
      </c>
      <c r="C849" s="41">
        <v>43400</v>
      </c>
      <c r="D849" t="s">
        <v>1789</v>
      </c>
      <c r="E849" t="s">
        <v>219</v>
      </c>
      <c r="F849" t="s">
        <v>458</v>
      </c>
      <c r="G849" t="s">
        <v>304</v>
      </c>
      <c r="H849" t="s">
        <v>1611</v>
      </c>
      <c r="I849" t="s">
        <v>310</v>
      </c>
      <c r="J849">
        <v>1</v>
      </c>
      <c r="L849">
        <v>578.27</v>
      </c>
      <c r="M849">
        <v>985.48</v>
      </c>
      <c r="N849">
        <v>1470.49</v>
      </c>
      <c r="O849">
        <v>2096.7600000000002</v>
      </c>
      <c r="P849">
        <v>1</v>
      </c>
      <c r="Q849">
        <v>1</v>
      </c>
      <c r="R849">
        <v>0</v>
      </c>
      <c r="S849">
        <v>200289</v>
      </c>
      <c r="T849" t="b">
        <v>1</v>
      </c>
    </row>
    <row r="850" spans="2:20" x14ac:dyDescent="0.35">
      <c r="B850">
        <v>2019</v>
      </c>
      <c r="C850" s="41">
        <v>43400</v>
      </c>
      <c r="D850" t="s">
        <v>1790</v>
      </c>
      <c r="E850" t="s">
        <v>219</v>
      </c>
      <c r="F850" t="s">
        <v>458</v>
      </c>
      <c r="G850" t="s">
        <v>304</v>
      </c>
      <c r="H850" t="s">
        <v>1627</v>
      </c>
      <c r="I850" t="s">
        <v>310</v>
      </c>
      <c r="J850">
        <v>1</v>
      </c>
      <c r="L850">
        <v>578.27</v>
      </c>
      <c r="M850">
        <v>985.48</v>
      </c>
      <c r="N850">
        <v>1470.49</v>
      </c>
      <c r="O850">
        <v>2096.7600000000002</v>
      </c>
      <c r="P850">
        <v>1</v>
      </c>
      <c r="Q850">
        <v>1</v>
      </c>
      <c r="R850">
        <v>0</v>
      </c>
      <c r="S850">
        <v>200289</v>
      </c>
      <c r="T850" t="b">
        <v>1</v>
      </c>
    </row>
    <row r="851" spans="2:20" x14ac:dyDescent="0.35">
      <c r="B851">
        <v>2019</v>
      </c>
      <c r="C851" s="41">
        <v>43400</v>
      </c>
      <c r="D851" t="s">
        <v>1791</v>
      </c>
      <c r="E851" t="s">
        <v>219</v>
      </c>
      <c r="F851" t="s">
        <v>461</v>
      </c>
      <c r="G851" t="s">
        <v>304</v>
      </c>
      <c r="H851" t="s">
        <v>1657</v>
      </c>
      <c r="I851" t="s">
        <v>310</v>
      </c>
      <c r="J851">
        <v>1</v>
      </c>
      <c r="L851">
        <v>555.17999999999995</v>
      </c>
      <c r="M851">
        <v>946.14</v>
      </c>
      <c r="N851">
        <v>1411.79</v>
      </c>
      <c r="O851">
        <v>2013.06</v>
      </c>
      <c r="P851">
        <v>1</v>
      </c>
      <c r="Q851">
        <v>1</v>
      </c>
      <c r="R851">
        <v>0</v>
      </c>
      <c r="S851">
        <v>200289</v>
      </c>
      <c r="T851" t="b">
        <v>1</v>
      </c>
    </row>
    <row r="852" spans="2:20" x14ac:dyDescent="0.35">
      <c r="B852">
        <v>2019</v>
      </c>
      <c r="C852" s="41">
        <v>43400</v>
      </c>
      <c r="D852" t="s">
        <v>1792</v>
      </c>
      <c r="E852" t="s">
        <v>219</v>
      </c>
      <c r="F852" t="s">
        <v>461</v>
      </c>
      <c r="G852" t="s">
        <v>304</v>
      </c>
      <c r="H852" t="s">
        <v>1613</v>
      </c>
      <c r="I852" t="s">
        <v>310</v>
      </c>
      <c r="J852">
        <v>1</v>
      </c>
      <c r="L852">
        <v>555.17999999999995</v>
      </c>
      <c r="M852">
        <v>946.14</v>
      </c>
      <c r="N852">
        <v>1411.79</v>
      </c>
      <c r="O852">
        <v>2013.06</v>
      </c>
      <c r="P852">
        <v>1</v>
      </c>
      <c r="Q852">
        <v>1</v>
      </c>
      <c r="R852">
        <v>0</v>
      </c>
      <c r="S852">
        <v>200289</v>
      </c>
      <c r="T852" t="b">
        <v>1</v>
      </c>
    </row>
    <row r="853" spans="2:20" x14ac:dyDescent="0.35">
      <c r="B853">
        <v>2019</v>
      </c>
      <c r="C853" s="41">
        <v>43400</v>
      </c>
      <c r="D853" t="s">
        <v>1793</v>
      </c>
      <c r="E853" t="s">
        <v>219</v>
      </c>
      <c r="F853" t="s">
        <v>458</v>
      </c>
      <c r="G853" t="s">
        <v>304</v>
      </c>
      <c r="H853" t="s">
        <v>1794</v>
      </c>
      <c r="I853" t="s">
        <v>1555</v>
      </c>
      <c r="J853">
        <v>1</v>
      </c>
      <c r="L853">
        <v>582.79999999999995</v>
      </c>
      <c r="M853">
        <v>993.21</v>
      </c>
      <c r="N853">
        <v>1482.03</v>
      </c>
      <c r="O853">
        <v>2113.2199999999998</v>
      </c>
      <c r="P853">
        <v>0</v>
      </c>
      <c r="Q853">
        <v>3</v>
      </c>
      <c r="R853">
        <v>0</v>
      </c>
      <c r="S853">
        <v>200289</v>
      </c>
      <c r="T853" t="b">
        <v>1</v>
      </c>
    </row>
    <row r="854" spans="2:20" x14ac:dyDescent="0.35">
      <c r="B854">
        <v>2019</v>
      </c>
      <c r="C854" s="41">
        <v>43400</v>
      </c>
      <c r="D854" t="s">
        <v>1795</v>
      </c>
      <c r="E854" t="s">
        <v>219</v>
      </c>
      <c r="F854" t="s">
        <v>458</v>
      </c>
      <c r="G854" t="s">
        <v>304</v>
      </c>
      <c r="H854" t="s">
        <v>1796</v>
      </c>
      <c r="I854" t="s">
        <v>843</v>
      </c>
      <c r="J854">
        <v>1</v>
      </c>
      <c r="L854">
        <v>510.65</v>
      </c>
      <c r="M854">
        <v>870.24</v>
      </c>
      <c r="N854">
        <v>1298.54</v>
      </c>
      <c r="O854">
        <v>1851.58</v>
      </c>
      <c r="P854">
        <v>0</v>
      </c>
      <c r="Q854">
        <v>3</v>
      </c>
      <c r="R854">
        <v>0</v>
      </c>
      <c r="S854">
        <v>200289</v>
      </c>
      <c r="T854" t="b">
        <v>1</v>
      </c>
    </row>
    <row r="855" spans="2:20" x14ac:dyDescent="0.35">
      <c r="B855">
        <v>2019</v>
      </c>
      <c r="C855" s="41">
        <v>43400</v>
      </c>
      <c r="D855" t="s">
        <v>1797</v>
      </c>
      <c r="E855" t="s">
        <v>219</v>
      </c>
      <c r="F855" t="s">
        <v>458</v>
      </c>
      <c r="G855" t="s">
        <v>304</v>
      </c>
      <c r="H855" t="s">
        <v>1642</v>
      </c>
      <c r="I855" t="s">
        <v>310</v>
      </c>
      <c r="J855">
        <v>1</v>
      </c>
      <c r="L855">
        <v>504.59</v>
      </c>
      <c r="M855">
        <v>859.93</v>
      </c>
      <c r="N855">
        <v>1283.1399999999901</v>
      </c>
      <c r="O855">
        <v>1829.62</v>
      </c>
      <c r="P855">
        <v>0</v>
      </c>
      <c r="Q855">
        <v>3</v>
      </c>
      <c r="R855">
        <v>0</v>
      </c>
      <c r="S855">
        <v>200289</v>
      </c>
      <c r="T855" t="b">
        <v>1</v>
      </c>
    </row>
    <row r="856" spans="2:20" x14ac:dyDescent="0.35">
      <c r="B856">
        <v>2019</v>
      </c>
      <c r="C856" s="41">
        <v>43400</v>
      </c>
      <c r="D856" t="s">
        <v>1798</v>
      </c>
      <c r="E856" t="s">
        <v>219</v>
      </c>
      <c r="F856" t="s">
        <v>458</v>
      </c>
      <c r="G856" t="s">
        <v>304</v>
      </c>
      <c r="H856" t="s">
        <v>1799</v>
      </c>
      <c r="I856" t="s">
        <v>842</v>
      </c>
      <c r="J856">
        <v>1</v>
      </c>
      <c r="L856">
        <v>406.2</v>
      </c>
      <c r="M856">
        <v>692.24</v>
      </c>
      <c r="N856">
        <v>1032.94</v>
      </c>
      <c r="O856">
        <v>1472.86</v>
      </c>
      <c r="P856">
        <v>0</v>
      </c>
      <c r="Q856">
        <v>3</v>
      </c>
      <c r="R856">
        <v>0</v>
      </c>
      <c r="S856">
        <v>200289</v>
      </c>
      <c r="T856" t="b">
        <v>1</v>
      </c>
    </row>
    <row r="857" spans="2:20" x14ac:dyDescent="0.35">
      <c r="B857">
        <v>2019</v>
      </c>
      <c r="C857" s="41">
        <v>43400</v>
      </c>
      <c r="D857" t="s">
        <v>1800</v>
      </c>
      <c r="E857" t="s">
        <v>219</v>
      </c>
      <c r="F857" t="s">
        <v>461</v>
      </c>
      <c r="G857" t="s">
        <v>304</v>
      </c>
      <c r="H857" t="s">
        <v>1801</v>
      </c>
      <c r="I857" t="s">
        <v>842</v>
      </c>
      <c r="J857">
        <v>1</v>
      </c>
      <c r="L857">
        <v>390.06</v>
      </c>
      <c r="M857">
        <v>664.74</v>
      </c>
      <c r="N857">
        <v>991.9</v>
      </c>
      <c r="O857">
        <v>1414.34</v>
      </c>
      <c r="P857">
        <v>0</v>
      </c>
      <c r="Q857">
        <v>3</v>
      </c>
      <c r="R857">
        <v>0</v>
      </c>
      <c r="S857">
        <v>200289</v>
      </c>
      <c r="T857" t="b">
        <v>1</v>
      </c>
    </row>
    <row r="858" spans="2:20" x14ac:dyDescent="0.35">
      <c r="B858">
        <v>2019</v>
      </c>
      <c r="C858" s="41">
        <v>43400</v>
      </c>
      <c r="D858" t="s">
        <v>1802</v>
      </c>
      <c r="E858" t="s">
        <v>219</v>
      </c>
      <c r="F858" t="s">
        <v>458</v>
      </c>
      <c r="G858" t="s">
        <v>304</v>
      </c>
      <c r="H858" t="s">
        <v>1803</v>
      </c>
      <c r="I858" t="s">
        <v>842</v>
      </c>
      <c r="J858">
        <v>1</v>
      </c>
      <c r="L858">
        <v>397.11</v>
      </c>
      <c r="M858">
        <v>676.76</v>
      </c>
      <c r="N858">
        <v>1009.83999999999</v>
      </c>
      <c r="O858">
        <v>1439.92</v>
      </c>
      <c r="P858">
        <v>0</v>
      </c>
      <c r="Q858">
        <v>3</v>
      </c>
      <c r="R858">
        <v>0</v>
      </c>
      <c r="S858">
        <v>200289</v>
      </c>
      <c r="T858" t="b">
        <v>1</v>
      </c>
    </row>
    <row r="859" spans="2:20" x14ac:dyDescent="0.35">
      <c r="B859">
        <v>2019</v>
      </c>
      <c r="C859" s="41">
        <v>43400</v>
      </c>
      <c r="D859" t="s">
        <v>1804</v>
      </c>
      <c r="E859" t="s">
        <v>219</v>
      </c>
      <c r="F859" t="s">
        <v>458</v>
      </c>
      <c r="G859" t="s">
        <v>304</v>
      </c>
      <c r="H859" t="s">
        <v>1805</v>
      </c>
      <c r="I859" t="s">
        <v>842</v>
      </c>
      <c r="J859">
        <v>1</v>
      </c>
      <c r="L859">
        <v>397.11</v>
      </c>
      <c r="M859">
        <v>676.76</v>
      </c>
      <c r="N859">
        <v>1009.83999999999</v>
      </c>
      <c r="O859">
        <v>1439.92</v>
      </c>
      <c r="P859">
        <v>0</v>
      </c>
      <c r="Q859">
        <v>3</v>
      </c>
      <c r="R859">
        <v>0</v>
      </c>
      <c r="S859">
        <v>200289</v>
      </c>
      <c r="T859" t="b">
        <v>1</v>
      </c>
    </row>
    <row r="860" spans="2:20" x14ac:dyDescent="0.35">
      <c r="B860">
        <v>2019</v>
      </c>
      <c r="C860" s="41">
        <v>43400</v>
      </c>
      <c r="D860" t="s">
        <v>1806</v>
      </c>
      <c r="E860" t="s">
        <v>219</v>
      </c>
      <c r="F860" t="s">
        <v>461</v>
      </c>
      <c r="G860" t="s">
        <v>304</v>
      </c>
      <c r="H860" t="s">
        <v>1566</v>
      </c>
      <c r="I860" t="s">
        <v>310</v>
      </c>
      <c r="J860">
        <v>1</v>
      </c>
      <c r="L860">
        <v>484.21</v>
      </c>
      <c r="M860">
        <v>825.2</v>
      </c>
      <c r="N860">
        <v>1231.33</v>
      </c>
      <c r="O860">
        <v>1755.73999999999</v>
      </c>
      <c r="P860">
        <v>0</v>
      </c>
      <c r="Q860">
        <v>3</v>
      </c>
      <c r="R860">
        <v>0</v>
      </c>
      <c r="S860">
        <v>200289</v>
      </c>
      <c r="T860" t="b">
        <v>1</v>
      </c>
    </row>
    <row r="861" spans="2:20" x14ac:dyDescent="0.35">
      <c r="B861">
        <v>2019</v>
      </c>
      <c r="C861" s="41">
        <v>43400</v>
      </c>
      <c r="D861" t="s">
        <v>1807</v>
      </c>
      <c r="E861" t="s">
        <v>219</v>
      </c>
      <c r="F861" t="s">
        <v>458</v>
      </c>
      <c r="G861" t="s">
        <v>304</v>
      </c>
      <c r="H861" t="s">
        <v>1650</v>
      </c>
      <c r="I861" t="s">
        <v>310</v>
      </c>
      <c r="J861">
        <v>1</v>
      </c>
      <c r="L861">
        <v>504.59</v>
      </c>
      <c r="M861">
        <v>859.93</v>
      </c>
      <c r="N861">
        <v>1283.1399999999901</v>
      </c>
      <c r="O861">
        <v>1829.62</v>
      </c>
      <c r="P861">
        <v>1</v>
      </c>
      <c r="Q861">
        <v>1</v>
      </c>
      <c r="R861">
        <v>0</v>
      </c>
      <c r="S861">
        <v>200289</v>
      </c>
      <c r="T861" t="b">
        <v>1</v>
      </c>
    </row>
    <row r="862" spans="2:20" x14ac:dyDescent="0.35">
      <c r="B862">
        <v>2019</v>
      </c>
      <c r="C862" s="41">
        <v>43400</v>
      </c>
      <c r="D862" t="s">
        <v>1808</v>
      </c>
      <c r="E862" t="s">
        <v>219</v>
      </c>
      <c r="F862" t="s">
        <v>1302</v>
      </c>
      <c r="G862" t="s">
        <v>304</v>
      </c>
      <c r="H862" t="s">
        <v>1809</v>
      </c>
      <c r="I862" t="s">
        <v>310</v>
      </c>
      <c r="J862">
        <v>1</v>
      </c>
      <c r="L862">
        <v>400.12</v>
      </c>
      <c r="M862">
        <v>681.88</v>
      </c>
      <c r="N862">
        <v>1017.47</v>
      </c>
      <c r="O862">
        <v>1450.8</v>
      </c>
      <c r="P862">
        <v>0</v>
      </c>
      <c r="Q862">
        <v>3</v>
      </c>
      <c r="R862">
        <v>0</v>
      </c>
      <c r="S862">
        <v>200289</v>
      </c>
      <c r="T862" t="b">
        <v>1</v>
      </c>
    </row>
    <row r="863" spans="2:20" x14ac:dyDescent="0.35">
      <c r="B863">
        <v>2019</v>
      </c>
      <c r="C863" s="41">
        <v>43400</v>
      </c>
      <c r="D863" t="s">
        <v>1810</v>
      </c>
      <c r="E863" t="s">
        <v>219</v>
      </c>
      <c r="F863" t="s">
        <v>461</v>
      </c>
      <c r="G863" t="s">
        <v>304</v>
      </c>
      <c r="H863" t="s">
        <v>1735</v>
      </c>
      <c r="I863" t="s">
        <v>310</v>
      </c>
      <c r="J863">
        <v>1</v>
      </c>
      <c r="L863">
        <v>484.21</v>
      </c>
      <c r="M863">
        <v>825.2</v>
      </c>
      <c r="N863">
        <v>1231.33</v>
      </c>
      <c r="O863">
        <v>1755.73999999999</v>
      </c>
      <c r="P863">
        <v>1</v>
      </c>
      <c r="Q863">
        <v>1</v>
      </c>
      <c r="R863">
        <v>0</v>
      </c>
      <c r="S863">
        <v>200289</v>
      </c>
      <c r="T863" t="b">
        <v>1</v>
      </c>
    </row>
    <row r="864" spans="2:20" x14ac:dyDescent="0.35">
      <c r="B864">
        <v>2019</v>
      </c>
      <c r="C864" s="41">
        <v>43400</v>
      </c>
      <c r="D864" t="s">
        <v>1811</v>
      </c>
      <c r="E864" t="s">
        <v>219</v>
      </c>
      <c r="F864" t="s">
        <v>458</v>
      </c>
      <c r="G864" t="s">
        <v>304</v>
      </c>
      <c r="H864" t="s">
        <v>1812</v>
      </c>
      <c r="I864" t="s">
        <v>310</v>
      </c>
      <c r="J864">
        <v>1</v>
      </c>
      <c r="L864">
        <v>504.59</v>
      </c>
      <c r="M864">
        <v>859.93</v>
      </c>
      <c r="N864">
        <v>1283.1399999999901</v>
      </c>
      <c r="O864">
        <v>1829.62</v>
      </c>
      <c r="P864">
        <v>0</v>
      </c>
      <c r="Q864">
        <v>3</v>
      </c>
      <c r="R864">
        <v>0</v>
      </c>
      <c r="S864">
        <v>200289</v>
      </c>
      <c r="T864" t="b">
        <v>1</v>
      </c>
    </row>
    <row r="865" spans="2:20" x14ac:dyDescent="0.35">
      <c r="B865">
        <v>2019</v>
      </c>
      <c r="C865" s="41">
        <v>43400</v>
      </c>
      <c r="D865" t="s">
        <v>1813</v>
      </c>
      <c r="E865" t="s">
        <v>219</v>
      </c>
      <c r="F865" t="s">
        <v>1302</v>
      </c>
      <c r="G865" t="s">
        <v>304</v>
      </c>
      <c r="H865" t="s">
        <v>1814</v>
      </c>
      <c r="I865" t="s">
        <v>310</v>
      </c>
      <c r="J865">
        <v>1</v>
      </c>
      <c r="L865">
        <v>442.34</v>
      </c>
      <c r="M865">
        <v>753.83</v>
      </c>
      <c r="N865">
        <v>1124.8399999999999</v>
      </c>
      <c r="O865">
        <v>1603.9</v>
      </c>
      <c r="P865">
        <v>0</v>
      </c>
      <c r="Q865">
        <v>3</v>
      </c>
      <c r="R865">
        <v>0</v>
      </c>
      <c r="S865">
        <v>200289</v>
      </c>
      <c r="T865" t="b">
        <v>1</v>
      </c>
    </row>
    <row r="866" spans="2:20" x14ac:dyDescent="0.35">
      <c r="B866">
        <v>2019</v>
      </c>
      <c r="C866" s="41">
        <v>43400</v>
      </c>
      <c r="D866" t="s">
        <v>1815</v>
      </c>
      <c r="E866" t="s">
        <v>219</v>
      </c>
      <c r="F866" t="s">
        <v>461</v>
      </c>
      <c r="G866" t="s">
        <v>304</v>
      </c>
      <c r="H866" t="s">
        <v>1777</v>
      </c>
      <c r="I866" t="s">
        <v>310</v>
      </c>
      <c r="J866">
        <v>1</v>
      </c>
      <c r="L866">
        <v>484.21</v>
      </c>
      <c r="M866">
        <v>825.2</v>
      </c>
      <c r="N866">
        <v>1231.33</v>
      </c>
      <c r="O866">
        <v>1755.73999999999</v>
      </c>
      <c r="P866">
        <v>1</v>
      </c>
      <c r="Q866">
        <v>1</v>
      </c>
      <c r="R866">
        <v>0</v>
      </c>
      <c r="S866">
        <v>200289</v>
      </c>
      <c r="T866" t="b">
        <v>1</v>
      </c>
    </row>
    <row r="867" spans="2:20" x14ac:dyDescent="0.35">
      <c r="B867">
        <v>2019</v>
      </c>
      <c r="C867" s="41">
        <v>43400</v>
      </c>
      <c r="D867" t="s">
        <v>1816</v>
      </c>
      <c r="E867" t="s">
        <v>219</v>
      </c>
      <c r="F867" t="s">
        <v>461</v>
      </c>
      <c r="G867" t="s">
        <v>304</v>
      </c>
      <c r="H867" t="s">
        <v>1817</v>
      </c>
      <c r="I867" t="s">
        <v>1555</v>
      </c>
      <c r="J867">
        <v>1</v>
      </c>
      <c r="L867">
        <v>531.05999999999995</v>
      </c>
      <c r="M867">
        <v>905.04</v>
      </c>
      <c r="N867">
        <v>1350.47</v>
      </c>
      <c r="O867">
        <v>1925.62</v>
      </c>
      <c r="P867">
        <v>0</v>
      </c>
      <c r="Q867">
        <v>3</v>
      </c>
      <c r="R867">
        <v>0</v>
      </c>
      <c r="S867">
        <v>200289</v>
      </c>
      <c r="T867" t="b">
        <v>1</v>
      </c>
    </row>
    <row r="868" spans="2:20" x14ac:dyDescent="0.35">
      <c r="B868">
        <v>2019</v>
      </c>
      <c r="C868" s="41">
        <v>43400</v>
      </c>
      <c r="D868" t="s">
        <v>1818</v>
      </c>
      <c r="E868" t="s">
        <v>219</v>
      </c>
      <c r="F868" t="s">
        <v>458</v>
      </c>
      <c r="G868" t="s">
        <v>304</v>
      </c>
      <c r="H868" t="s">
        <v>1819</v>
      </c>
      <c r="I868" t="s">
        <v>1555</v>
      </c>
      <c r="J868">
        <v>1</v>
      </c>
      <c r="L868">
        <v>553.53</v>
      </c>
      <c r="M868">
        <v>943.33</v>
      </c>
      <c r="N868">
        <v>1407.6</v>
      </c>
      <c r="O868">
        <v>2007.08</v>
      </c>
      <c r="P868">
        <v>0</v>
      </c>
      <c r="Q868">
        <v>3</v>
      </c>
      <c r="R868">
        <v>0</v>
      </c>
      <c r="S868">
        <v>200289</v>
      </c>
      <c r="T868" t="b">
        <v>1</v>
      </c>
    </row>
    <row r="869" spans="2:20" x14ac:dyDescent="0.35">
      <c r="B869">
        <v>2019</v>
      </c>
      <c r="C869" s="41">
        <v>43400</v>
      </c>
      <c r="D869" t="s">
        <v>1820</v>
      </c>
      <c r="E869" t="s">
        <v>219</v>
      </c>
      <c r="F869" t="s">
        <v>458</v>
      </c>
      <c r="G869" t="s">
        <v>304</v>
      </c>
      <c r="H869" t="s">
        <v>1821</v>
      </c>
      <c r="I869" t="s">
        <v>843</v>
      </c>
      <c r="J869">
        <v>1</v>
      </c>
      <c r="L869">
        <v>490.46</v>
      </c>
      <c r="M869">
        <v>835.85</v>
      </c>
      <c r="N869">
        <v>1247.21999999999</v>
      </c>
      <c r="O869">
        <v>1778.3999999999901</v>
      </c>
      <c r="P869">
        <v>0</v>
      </c>
      <c r="Q869">
        <v>3</v>
      </c>
      <c r="R869">
        <v>0</v>
      </c>
      <c r="S869">
        <v>200289</v>
      </c>
      <c r="T869" t="b">
        <v>1</v>
      </c>
    </row>
    <row r="870" spans="2:20" x14ac:dyDescent="0.35">
      <c r="B870">
        <v>2019</v>
      </c>
      <c r="C870" s="41">
        <v>43400</v>
      </c>
      <c r="D870" t="s">
        <v>1822</v>
      </c>
      <c r="E870" t="s">
        <v>219</v>
      </c>
      <c r="F870" t="s">
        <v>458</v>
      </c>
      <c r="G870" t="s">
        <v>304</v>
      </c>
      <c r="H870" t="s">
        <v>1823</v>
      </c>
      <c r="I870" t="s">
        <v>843</v>
      </c>
      <c r="J870">
        <v>1</v>
      </c>
      <c r="L870">
        <v>490.46</v>
      </c>
      <c r="M870">
        <v>835.85</v>
      </c>
      <c r="N870">
        <v>1247.21999999999</v>
      </c>
      <c r="O870">
        <v>1778.3999999999901</v>
      </c>
      <c r="P870">
        <v>0</v>
      </c>
      <c r="Q870">
        <v>3</v>
      </c>
      <c r="R870">
        <v>0</v>
      </c>
      <c r="S870">
        <v>200289</v>
      </c>
      <c r="T870" t="b">
        <v>1</v>
      </c>
    </row>
    <row r="871" spans="2:20" x14ac:dyDescent="0.35">
      <c r="B871">
        <v>2019</v>
      </c>
      <c r="C871" s="41">
        <v>43400</v>
      </c>
      <c r="D871" t="s">
        <v>916</v>
      </c>
      <c r="E871" t="s">
        <v>219</v>
      </c>
      <c r="F871" t="s">
        <v>1311</v>
      </c>
      <c r="G871" t="s">
        <v>304</v>
      </c>
      <c r="H871" t="s">
        <v>1824</v>
      </c>
      <c r="I871" t="s">
        <v>310</v>
      </c>
      <c r="J871">
        <v>1</v>
      </c>
      <c r="L871">
        <v>504.59</v>
      </c>
      <c r="M871">
        <v>859.93</v>
      </c>
      <c r="N871">
        <v>1283.1399999999901</v>
      </c>
      <c r="O871">
        <v>1829.62</v>
      </c>
      <c r="P871">
        <v>0</v>
      </c>
      <c r="Q871">
        <v>3</v>
      </c>
      <c r="R871">
        <v>0</v>
      </c>
      <c r="S871">
        <v>200289</v>
      </c>
      <c r="T871" t="b">
        <v>1</v>
      </c>
    </row>
    <row r="872" spans="2:20" x14ac:dyDescent="0.35">
      <c r="B872">
        <v>2019</v>
      </c>
      <c r="C872" s="41">
        <v>43400</v>
      </c>
      <c r="D872" t="s">
        <v>916</v>
      </c>
      <c r="E872" t="s">
        <v>219</v>
      </c>
      <c r="F872" t="s">
        <v>458</v>
      </c>
      <c r="G872" t="s">
        <v>304</v>
      </c>
      <c r="H872" t="s">
        <v>1824</v>
      </c>
      <c r="I872" t="s">
        <v>310</v>
      </c>
      <c r="J872">
        <v>1</v>
      </c>
      <c r="L872">
        <v>504.59</v>
      </c>
      <c r="M872">
        <v>859.93</v>
      </c>
      <c r="N872">
        <v>1283.1399999999901</v>
      </c>
      <c r="O872">
        <v>1829.62</v>
      </c>
      <c r="P872">
        <v>0</v>
      </c>
      <c r="Q872">
        <v>3</v>
      </c>
      <c r="R872">
        <v>0</v>
      </c>
      <c r="S872">
        <v>200289</v>
      </c>
      <c r="T872" t="b">
        <v>1</v>
      </c>
    </row>
    <row r="873" spans="2:20" x14ac:dyDescent="0.35">
      <c r="B873">
        <v>2019</v>
      </c>
      <c r="C873" s="41">
        <v>43400</v>
      </c>
      <c r="D873" t="s">
        <v>1825</v>
      </c>
      <c r="E873" t="s">
        <v>219</v>
      </c>
      <c r="F873" t="s">
        <v>458</v>
      </c>
      <c r="G873" t="s">
        <v>304</v>
      </c>
      <c r="H873" t="s">
        <v>1575</v>
      </c>
      <c r="I873" t="s">
        <v>310</v>
      </c>
      <c r="J873">
        <v>1</v>
      </c>
      <c r="L873">
        <v>578.27</v>
      </c>
      <c r="M873">
        <v>985.48</v>
      </c>
      <c r="N873">
        <v>1470.49</v>
      </c>
      <c r="O873">
        <v>2096.7600000000002</v>
      </c>
      <c r="P873">
        <v>1</v>
      </c>
      <c r="Q873">
        <v>1</v>
      </c>
      <c r="R873">
        <v>0</v>
      </c>
      <c r="S873">
        <v>200289</v>
      </c>
      <c r="T873" t="b">
        <v>1</v>
      </c>
    </row>
    <row r="874" spans="2:20" x14ac:dyDescent="0.35">
      <c r="B874">
        <v>2019</v>
      </c>
      <c r="C874" s="41">
        <v>43400</v>
      </c>
      <c r="D874" t="s">
        <v>1826</v>
      </c>
      <c r="E874" t="s">
        <v>219</v>
      </c>
      <c r="F874" t="s">
        <v>461</v>
      </c>
      <c r="G874" t="s">
        <v>304</v>
      </c>
      <c r="H874" t="s">
        <v>1580</v>
      </c>
      <c r="I874" t="s">
        <v>310</v>
      </c>
      <c r="J874">
        <v>1</v>
      </c>
      <c r="L874">
        <v>555.17999999999995</v>
      </c>
      <c r="M874">
        <v>946.14</v>
      </c>
      <c r="N874">
        <v>1411.79</v>
      </c>
      <c r="O874">
        <v>2013.06</v>
      </c>
      <c r="P874">
        <v>1</v>
      </c>
      <c r="Q874">
        <v>1</v>
      </c>
      <c r="R874">
        <v>0</v>
      </c>
      <c r="S874">
        <v>200289</v>
      </c>
      <c r="T874" t="b">
        <v>1</v>
      </c>
    </row>
    <row r="875" spans="2:20" x14ac:dyDescent="0.35">
      <c r="B875">
        <v>2019</v>
      </c>
      <c r="C875" s="41">
        <v>43400</v>
      </c>
      <c r="D875" t="s">
        <v>1827</v>
      </c>
      <c r="E875" t="s">
        <v>219</v>
      </c>
      <c r="F875" t="s">
        <v>458</v>
      </c>
      <c r="G875" t="s">
        <v>304</v>
      </c>
      <c r="H875" t="s">
        <v>1577</v>
      </c>
      <c r="I875" t="s">
        <v>310</v>
      </c>
      <c r="J875">
        <v>1</v>
      </c>
      <c r="L875">
        <v>578.27</v>
      </c>
      <c r="M875">
        <v>985.48</v>
      </c>
      <c r="N875">
        <v>1470.49</v>
      </c>
      <c r="O875">
        <v>2096.7600000000002</v>
      </c>
      <c r="P875">
        <v>1</v>
      </c>
      <c r="Q875">
        <v>1</v>
      </c>
      <c r="R875">
        <v>0</v>
      </c>
      <c r="S875">
        <v>200289</v>
      </c>
      <c r="T875" t="b">
        <v>1</v>
      </c>
    </row>
    <row r="876" spans="2:20" x14ac:dyDescent="0.35">
      <c r="B876">
        <v>2019</v>
      </c>
      <c r="C876" s="41">
        <v>43400</v>
      </c>
      <c r="D876" t="s">
        <v>1828</v>
      </c>
      <c r="E876" t="s">
        <v>219</v>
      </c>
      <c r="F876" t="s">
        <v>458</v>
      </c>
      <c r="G876" t="s">
        <v>304</v>
      </c>
      <c r="H876" t="s">
        <v>1607</v>
      </c>
      <c r="I876" t="s">
        <v>310</v>
      </c>
      <c r="J876">
        <v>1</v>
      </c>
      <c r="L876">
        <v>578.27</v>
      </c>
      <c r="M876">
        <v>985.48</v>
      </c>
      <c r="N876">
        <v>1470.49</v>
      </c>
      <c r="O876">
        <v>2096.7600000000002</v>
      </c>
      <c r="P876">
        <v>0</v>
      </c>
      <c r="Q876">
        <v>3</v>
      </c>
      <c r="R876">
        <v>0</v>
      </c>
      <c r="S876">
        <v>200289</v>
      </c>
      <c r="T876" t="b">
        <v>1</v>
      </c>
    </row>
    <row r="877" spans="2:20" x14ac:dyDescent="0.35">
      <c r="B877">
        <v>2019</v>
      </c>
      <c r="C877" s="41">
        <v>43400</v>
      </c>
      <c r="D877" t="s">
        <v>1829</v>
      </c>
      <c r="E877" t="s">
        <v>219</v>
      </c>
      <c r="F877" t="s">
        <v>458</v>
      </c>
      <c r="G877" t="s">
        <v>304</v>
      </c>
      <c r="H877" t="s">
        <v>1611</v>
      </c>
      <c r="I877" t="s">
        <v>310</v>
      </c>
      <c r="J877">
        <v>1</v>
      </c>
      <c r="L877">
        <v>578.27</v>
      </c>
      <c r="M877">
        <v>985.48</v>
      </c>
      <c r="N877">
        <v>1470.49</v>
      </c>
      <c r="O877">
        <v>2096.7600000000002</v>
      </c>
      <c r="P877">
        <v>1</v>
      </c>
      <c r="Q877">
        <v>1</v>
      </c>
      <c r="R877">
        <v>0</v>
      </c>
      <c r="S877">
        <v>200289</v>
      </c>
      <c r="T877" t="b">
        <v>1</v>
      </c>
    </row>
    <row r="878" spans="2:20" x14ac:dyDescent="0.35">
      <c r="B878">
        <v>2019</v>
      </c>
      <c r="C878" s="41">
        <v>43400</v>
      </c>
      <c r="D878" t="s">
        <v>1830</v>
      </c>
      <c r="E878" t="s">
        <v>219</v>
      </c>
      <c r="F878" t="s">
        <v>458</v>
      </c>
      <c r="G878" t="s">
        <v>304</v>
      </c>
      <c r="H878" t="s">
        <v>1831</v>
      </c>
      <c r="I878" t="s">
        <v>843</v>
      </c>
      <c r="J878">
        <v>1</v>
      </c>
      <c r="L878">
        <v>510.65</v>
      </c>
      <c r="M878">
        <v>870.24</v>
      </c>
      <c r="N878">
        <v>1298.54</v>
      </c>
      <c r="O878">
        <v>1851.58</v>
      </c>
      <c r="P878">
        <v>0</v>
      </c>
      <c r="Q878">
        <v>3</v>
      </c>
      <c r="R878">
        <v>0</v>
      </c>
      <c r="S878">
        <v>200289</v>
      </c>
      <c r="T878" t="b">
        <v>1</v>
      </c>
    </row>
    <row r="879" spans="2:20" x14ac:dyDescent="0.35">
      <c r="B879">
        <v>2019</v>
      </c>
      <c r="C879" s="41">
        <v>43400</v>
      </c>
      <c r="D879" t="s">
        <v>1832</v>
      </c>
      <c r="E879" t="s">
        <v>219</v>
      </c>
      <c r="F879" t="s">
        <v>461</v>
      </c>
      <c r="G879" t="s">
        <v>304</v>
      </c>
      <c r="H879" t="s">
        <v>1657</v>
      </c>
      <c r="I879" t="s">
        <v>310</v>
      </c>
      <c r="J879">
        <v>1</v>
      </c>
      <c r="L879">
        <v>555.17999999999995</v>
      </c>
      <c r="M879">
        <v>946.14</v>
      </c>
      <c r="N879">
        <v>1411.79</v>
      </c>
      <c r="O879">
        <v>2013.06</v>
      </c>
      <c r="P879">
        <v>1</v>
      </c>
      <c r="Q879">
        <v>1</v>
      </c>
      <c r="R879">
        <v>0</v>
      </c>
      <c r="S879">
        <v>200289</v>
      </c>
      <c r="T879" t="b">
        <v>1</v>
      </c>
    </row>
    <row r="880" spans="2:20" x14ac:dyDescent="0.35">
      <c r="B880">
        <v>2019</v>
      </c>
      <c r="C880" s="41">
        <v>43400</v>
      </c>
      <c r="D880" t="s">
        <v>1833</v>
      </c>
      <c r="E880" t="s">
        <v>219</v>
      </c>
      <c r="F880" t="s">
        <v>461</v>
      </c>
      <c r="G880" t="s">
        <v>304</v>
      </c>
      <c r="H880" t="s">
        <v>1613</v>
      </c>
      <c r="I880" t="s">
        <v>310</v>
      </c>
      <c r="J880">
        <v>1</v>
      </c>
      <c r="L880">
        <v>555.17999999999995</v>
      </c>
      <c r="M880">
        <v>946.14</v>
      </c>
      <c r="N880">
        <v>1411.79</v>
      </c>
      <c r="O880">
        <v>2013.06</v>
      </c>
      <c r="P880">
        <v>1</v>
      </c>
      <c r="Q880">
        <v>1</v>
      </c>
      <c r="R880">
        <v>0</v>
      </c>
      <c r="S880">
        <v>200289</v>
      </c>
      <c r="T880" t="b">
        <v>1</v>
      </c>
    </row>
    <row r="881" spans="2:20" x14ac:dyDescent="0.35">
      <c r="B881">
        <v>2019</v>
      </c>
      <c r="C881" s="41">
        <v>43400</v>
      </c>
      <c r="D881" t="s">
        <v>1834</v>
      </c>
      <c r="E881" t="s">
        <v>219</v>
      </c>
      <c r="F881" t="s">
        <v>458</v>
      </c>
      <c r="G881" t="s">
        <v>304</v>
      </c>
      <c r="H881" t="s">
        <v>1835</v>
      </c>
      <c r="I881" t="s">
        <v>842</v>
      </c>
      <c r="J881">
        <v>1</v>
      </c>
      <c r="L881">
        <v>397.11</v>
      </c>
      <c r="M881">
        <v>676.76</v>
      </c>
      <c r="N881">
        <v>1009.83999999999</v>
      </c>
      <c r="O881">
        <v>1439.92</v>
      </c>
      <c r="P881">
        <v>0</v>
      </c>
      <c r="Q881">
        <v>3</v>
      </c>
      <c r="R881">
        <v>0</v>
      </c>
      <c r="S881">
        <v>200289</v>
      </c>
      <c r="T881" t="b">
        <v>1</v>
      </c>
    </row>
    <row r="882" spans="2:20" x14ac:dyDescent="0.35">
      <c r="B882">
        <v>2019</v>
      </c>
      <c r="C882" s="41">
        <v>43400</v>
      </c>
      <c r="D882" t="s">
        <v>1836</v>
      </c>
      <c r="E882" t="s">
        <v>219</v>
      </c>
      <c r="F882" t="s">
        <v>1302</v>
      </c>
      <c r="G882" t="s">
        <v>304</v>
      </c>
      <c r="H882" t="s">
        <v>1837</v>
      </c>
      <c r="I882" t="s">
        <v>1555</v>
      </c>
      <c r="J882">
        <v>1</v>
      </c>
      <c r="L882">
        <v>510.79</v>
      </c>
      <c r="M882">
        <v>870.5</v>
      </c>
      <c r="N882">
        <v>1298.92</v>
      </c>
      <c r="O882">
        <v>1852.12</v>
      </c>
      <c r="P882">
        <v>0</v>
      </c>
      <c r="Q882">
        <v>3</v>
      </c>
      <c r="R882">
        <v>0</v>
      </c>
      <c r="S882">
        <v>200289</v>
      </c>
      <c r="T882" t="b">
        <v>1</v>
      </c>
    </row>
    <row r="883" spans="2:20" x14ac:dyDescent="0.35">
      <c r="B883">
        <v>2019</v>
      </c>
      <c r="C883" s="41">
        <v>43400</v>
      </c>
      <c r="D883" t="s">
        <v>1838</v>
      </c>
      <c r="E883" t="s">
        <v>219</v>
      </c>
      <c r="F883" t="s">
        <v>461</v>
      </c>
      <c r="G883" t="s">
        <v>304</v>
      </c>
      <c r="H883" t="s">
        <v>1839</v>
      </c>
      <c r="I883" t="s">
        <v>1555</v>
      </c>
      <c r="J883">
        <v>1</v>
      </c>
      <c r="L883">
        <v>559.35</v>
      </c>
      <c r="M883">
        <v>953.25</v>
      </c>
      <c r="N883">
        <v>1422.4099999999901</v>
      </c>
      <c r="O883">
        <v>2028.19999999999</v>
      </c>
      <c r="P883">
        <v>0</v>
      </c>
      <c r="Q883">
        <v>3</v>
      </c>
      <c r="R883">
        <v>0</v>
      </c>
      <c r="S883">
        <v>200289</v>
      </c>
      <c r="T883" t="b">
        <v>1</v>
      </c>
    </row>
    <row r="884" spans="2:20" x14ac:dyDescent="0.35">
      <c r="B884">
        <v>2019</v>
      </c>
      <c r="C884" s="41">
        <v>43400</v>
      </c>
      <c r="D884" t="s">
        <v>1840</v>
      </c>
      <c r="E884" t="s">
        <v>219</v>
      </c>
      <c r="F884" t="s">
        <v>461</v>
      </c>
      <c r="G884" t="s">
        <v>304</v>
      </c>
      <c r="H884" t="s">
        <v>1841</v>
      </c>
      <c r="I884" t="s">
        <v>843</v>
      </c>
      <c r="J884">
        <v>1</v>
      </c>
      <c r="L884">
        <v>490.24</v>
      </c>
      <c r="M884">
        <v>835.47</v>
      </c>
      <c r="N884">
        <v>1246.6600000000001</v>
      </c>
      <c r="O884">
        <v>1777.6</v>
      </c>
      <c r="P884">
        <v>0</v>
      </c>
      <c r="Q884">
        <v>3</v>
      </c>
      <c r="R884">
        <v>0</v>
      </c>
      <c r="S884">
        <v>200289</v>
      </c>
      <c r="T884" t="b">
        <v>1</v>
      </c>
    </row>
    <row r="885" spans="2:20" x14ac:dyDescent="0.35">
      <c r="B885">
        <v>2019</v>
      </c>
      <c r="C885" s="41">
        <v>43400</v>
      </c>
      <c r="D885" t="s">
        <v>1842</v>
      </c>
      <c r="E885" t="s">
        <v>219</v>
      </c>
      <c r="F885" t="s">
        <v>1302</v>
      </c>
      <c r="G885" t="s">
        <v>304</v>
      </c>
      <c r="H885" t="s">
        <v>1843</v>
      </c>
      <c r="I885" t="s">
        <v>1555</v>
      </c>
      <c r="J885">
        <v>1</v>
      </c>
      <c r="L885">
        <v>461.73</v>
      </c>
      <c r="M885">
        <v>786.89</v>
      </c>
      <c r="N885">
        <v>1174.17</v>
      </c>
      <c r="O885">
        <v>1674.24</v>
      </c>
      <c r="P885">
        <v>0</v>
      </c>
      <c r="Q885">
        <v>3</v>
      </c>
      <c r="R885">
        <v>0</v>
      </c>
      <c r="S885">
        <v>200289</v>
      </c>
      <c r="T885" t="b">
        <v>1</v>
      </c>
    </row>
    <row r="886" spans="2:20" x14ac:dyDescent="0.35">
      <c r="B886">
        <v>2019</v>
      </c>
      <c r="C886" s="41">
        <v>43400</v>
      </c>
      <c r="D886" t="s">
        <v>1844</v>
      </c>
      <c r="E886" t="s">
        <v>219</v>
      </c>
      <c r="F886" t="s">
        <v>458</v>
      </c>
      <c r="G886" t="s">
        <v>304</v>
      </c>
      <c r="H886" t="s">
        <v>1845</v>
      </c>
      <c r="I886" t="s">
        <v>843</v>
      </c>
      <c r="J886">
        <v>1</v>
      </c>
      <c r="L886">
        <v>510.65</v>
      </c>
      <c r="M886">
        <v>870.24</v>
      </c>
      <c r="N886">
        <v>1298.54</v>
      </c>
      <c r="O886">
        <v>1851.58</v>
      </c>
      <c r="P886">
        <v>0</v>
      </c>
      <c r="Q886">
        <v>3</v>
      </c>
      <c r="R886">
        <v>0</v>
      </c>
      <c r="S886">
        <v>200289</v>
      </c>
      <c r="T886" t="b">
        <v>1</v>
      </c>
    </row>
    <row r="887" spans="2:20" x14ac:dyDescent="0.35">
      <c r="B887">
        <v>2019</v>
      </c>
      <c r="C887" s="41">
        <v>43400</v>
      </c>
      <c r="D887" t="s">
        <v>1846</v>
      </c>
      <c r="E887" t="s">
        <v>219</v>
      </c>
      <c r="F887" t="s">
        <v>458</v>
      </c>
      <c r="G887" t="s">
        <v>304</v>
      </c>
      <c r="H887" t="s">
        <v>1847</v>
      </c>
      <c r="I887" t="s">
        <v>842</v>
      </c>
      <c r="J887">
        <v>1</v>
      </c>
      <c r="L887">
        <v>406.2</v>
      </c>
      <c r="M887">
        <v>692.24</v>
      </c>
      <c r="N887">
        <v>1032.94</v>
      </c>
      <c r="O887">
        <v>1472.86</v>
      </c>
      <c r="P887">
        <v>0</v>
      </c>
      <c r="Q887">
        <v>3</v>
      </c>
      <c r="R887">
        <v>0</v>
      </c>
      <c r="S887">
        <v>200289</v>
      </c>
      <c r="T887" t="b">
        <v>1</v>
      </c>
    </row>
    <row r="888" spans="2:20" x14ac:dyDescent="0.35">
      <c r="B888">
        <v>2019</v>
      </c>
      <c r="C888" s="41">
        <v>43400</v>
      </c>
      <c r="D888" t="s">
        <v>1848</v>
      </c>
      <c r="E888" t="s">
        <v>219</v>
      </c>
      <c r="F888" t="s">
        <v>458</v>
      </c>
      <c r="G888" t="s">
        <v>304</v>
      </c>
      <c r="H888" t="s">
        <v>1849</v>
      </c>
      <c r="I888" t="s">
        <v>842</v>
      </c>
      <c r="J888">
        <v>1</v>
      </c>
      <c r="L888">
        <v>397.11</v>
      </c>
      <c r="M888">
        <v>676.76</v>
      </c>
      <c r="N888">
        <v>1009.83999999999</v>
      </c>
      <c r="O888">
        <v>1439.92</v>
      </c>
      <c r="P888">
        <v>0</v>
      </c>
      <c r="Q888">
        <v>3</v>
      </c>
      <c r="R888">
        <v>0</v>
      </c>
      <c r="S888">
        <v>200289</v>
      </c>
      <c r="T888" t="b">
        <v>1</v>
      </c>
    </row>
    <row r="889" spans="2:20" x14ac:dyDescent="0.35">
      <c r="B889">
        <v>2019</v>
      </c>
      <c r="C889" s="41">
        <v>43400</v>
      </c>
      <c r="D889" t="s">
        <v>1850</v>
      </c>
      <c r="E889" t="s">
        <v>219</v>
      </c>
      <c r="F889" t="s">
        <v>1302</v>
      </c>
      <c r="G889" t="s">
        <v>304</v>
      </c>
      <c r="H889" t="s">
        <v>1851</v>
      </c>
      <c r="I889" t="s">
        <v>842</v>
      </c>
      <c r="J889">
        <v>1</v>
      </c>
      <c r="L889">
        <v>314.93</v>
      </c>
      <c r="M889">
        <v>536.70000000000005</v>
      </c>
      <c r="N889">
        <v>800.82999999999902</v>
      </c>
      <c r="O889">
        <v>1141.9000000000001</v>
      </c>
      <c r="P889">
        <v>0</v>
      </c>
      <c r="Q889">
        <v>3</v>
      </c>
      <c r="R889">
        <v>0</v>
      </c>
      <c r="S889">
        <v>200289</v>
      </c>
      <c r="T889" t="b">
        <v>1</v>
      </c>
    </row>
    <row r="890" spans="2:20" x14ac:dyDescent="0.35">
      <c r="B890">
        <v>2019</v>
      </c>
      <c r="C890" s="41">
        <v>43400</v>
      </c>
      <c r="D890" t="s">
        <v>1852</v>
      </c>
      <c r="E890" t="s">
        <v>219</v>
      </c>
      <c r="F890" t="s">
        <v>458</v>
      </c>
      <c r="G890" t="s">
        <v>304</v>
      </c>
      <c r="H890" t="s">
        <v>1650</v>
      </c>
      <c r="I890" t="s">
        <v>310</v>
      </c>
      <c r="J890">
        <v>1</v>
      </c>
      <c r="L890">
        <v>504.59</v>
      </c>
      <c r="M890">
        <v>859.93</v>
      </c>
      <c r="N890">
        <v>1283.1399999999901</v>
      </c>
      <c r="O890">
        <v>1829.62</v>
      </c>
      <c r="P890">
        <v>1</v>
      </c>
      <c r="Q890">
        <v>1</v>
      </c>
      <c r="R890">
        <v>0</v>
      </c>
      <c r="S890">
        <v>200289</v>
      </c>
      <c r="T890" t="b">
        <v>1</v>
      </c>
    </row>
    <row r="891" spans="2:20" x14ac:dyDescent="0.35">
      <c r="B891">
        <v>2019</v>
      </c>
      <c r="C891" s="41">
        <v>43400</v>
      </c>
      <c r="D891" t="s">
        <v>1853</v>
      </c>
      <c r="E891" t="s">
        <v>219</v>
      </c>
      <c r="F891" t="s">
        <v>461</v>
      </c>
      <c r="G891" t="s">
        <v>304</v>
      </c>
      <c r="H891" t="s">
        <v>1566</v>
      </c>
      <c r="I891" t="s">
        <v>310</v>
      </c>
      <c r="J891">
        <v>1</v>
      </c>
      <c r="L891">
        <v>484.21</v>
      </c>
      <c r="M891">
        <v>825.2</v>
      </c>
      <c r="N891">
        <v>1231.33</v>
      </c>
      <c r="O891">
        <v>1755.73999999999</v>
      </c>
      <c r="P891">
        <v>1</v>
      </c>
      <c r="Q891">
        <v>1</v>
      </c>
      <c r="R891">
        <v>0</v>
      </c>
      <c r="S891">
        <v>200289</v>
      </c>
      <c r="T891" t="b">
        <v>1</v>
      </c>
    </row>
    <row r="892" spans="2:20" x14ac:dyDescent="0.35">
      <c r="B892">
        <v>2019</v>
      </c>
      <c r="C892" s="41">
        <v>43400</v>
      </c>
      <c r="D892" t="s">
        <v>1854</v>
      </c>
      <c r="E892" t="s">
        <v>219</v>
      </c>
      <c r="F892" t="s">
        <v>1302</v>
      </c>
      <c r="G892" t="s">
        <v>304</v>
      </c>
      <c r="H892" t="s">
        <v>1809</v>
      </c>
      <c r="I892" t="s">
        <v>310</v>
      </c>
      <c r="J892">
        <v>1</v>
      </c>
      <c r="L892">
        <v>400.12</v>
      </c>
      <c r="M892">
        <v>681.88</v>
      </c>
      <c r="N892">
        <v>1017.47</v>
      </c>
      <c r="O892">
        <v>1450.8</v>
      </c>
      <c r="P892">
        <v>1</v>
      </c>
      <c r="Q892">
        <v>1</v>
      </c>
      <c r="R892">
        <v>0</v>
      </c>
      <c r="S892">
        <v>200289</v>
      </c>
      <c r="T892" t="b">
        <v>1</v>
      </c>
    </row>
    <row r="893" spans="2:20" x14ac:dyDescent="0.35">
      <c r="B893">
        <v>2019</v>
      </c>
      <c r="C893" s="41">
        <v>43400</v>
      </c>
      <c r="D893" t="s">
        <v>1855</v>
      </c>
      <c r="E893" t="s">
        <v>219</v>
      </c>
      <c r="F893" t="s">
        <v>458</v>
      </c>
      <c r="G893" t="s">
        <v>304</v>
      </c>
      <c r="H893" t="s">
        <v>1674</v>
      </c>
      <c r="I893" t="s">
        <v>310</v>
      </c>
      <c r="J893">
        <v>1</v>
      </c>
      <c r="L893">
        <v>504.59</v>
      </c>
      <c r="M893">
        <v>859.93</v>
      </c>
      <c r="N893">
        <v>1283.1399999999901</v>
      </c>
      <c r="O893">
        <v>1829.62</v>
      </c>
      <c r="P893">
        <v>0</v>
      </c>
      <c r="Q893">
        <v>3</v>
      </c>
      <c r="R893">
        <v>0</v>
      </c>
      <c r="S893">
        <v>200289</v>
      </c>
      <c r="T893" t="b">
        <v>1</v>
      </c>
    </row>
    <row r="894" spans="2:20" x14ac:dyDescent="0.35">
      <c r="B894">
        <v>2019</v>
      </c>
      <c r="C894" s="41">
        <v>43400</v>
      </c>
      <c r="D894" t="s">
        <v>1856</v>
      </c>
      <c r="E894" t="s">
        <v>219</v>
      </c>
      <c r="F894" t="s">
        <v>458</v>
      </c>
      <c r="G894" t="s">
        <v>304</v>
      </c>
      <c r="H894" t="s">
        <v>1812</v>
      </c>
      <c r="I894" t="s">
        <v>310</v>
      </c>
      <c r="J894">
        <v>1</v>
      </c>
      <c r="L894">
        <v>504.59</v>
      </c>
      <c r="M894">
        <v>859.93</v>
      </c>
      <c r="N894">
        <v>1283.1399999999901</v>
      </c>
      <c r="O894">
        <v>1829.62</v>
      </c>
      <c r="P894">
        <v>1</v>
      </c>
      <c r="Q894">
        <v>1</v>
      </c>
      <c r="R894">
        <v>0</v>
      </c>
      <c r="S894">
        <v>200289</v>
      </c>
      <c r="T894" t="b">
        <v>1</v>
      </c>
    </row>
    <row r="895" spans="2:20" x14ac:dyDescent="0.35">
      <c r="B895">
        <v>2019</v>
      </c>
      <c r="C895" s="41">
        <v>43400</v>
      </c>
      <c r="D895" t="s">
        <v>1857</v>
      </c>
      <c r="E895" t="s">
        <v>219</v>
      </c>
      <c r="F895" t="s">
        <v>458</v>
      </c>
      <c r="G895" t="s">
        <v>304</v>
      </c>
      <c r="H895" t="s">
        <v>1858</v>
      </c>
      <c r="I895" t="s">
        <v>310</v>
      </c>
      <c r="J895">
        <v>1</v>
      </c>
      <c r="L895">
        <v>504.59</v>
      </c>
      <c r="M895">
        <v>859.93</v>
      </c>
      <c r="N895">
        <v>1283.1399999999901</v>
      </c>
      <c r="O895">
        <v>1829.62</v>
      </c>
      <c r="P895">
        <v>1</v>
      </c>
      <c r="Q895">
        <v>1</v>
      </c>
      <c r="R895">
        <v>0</v>
      </c>
      <c r="S895">
        <v>200289</v>
      </c>
      <c r="T895" t="b">
        <v>1</v>
      </c>
    </row>
    <row r="896" spans="2:20" x14ac:dyDescent="0.35">
      <c r="B896">
        <v>2019</v>
      </c>
      <c r="C896" s="41">
        <v>43400</v>
      </c>
      <c r="D896" t="s">
        <v>1859</v>
      </c>
      <c r="E896" t="s">
        <v>219</v>
      </c>
      <c r="F896" t="s">
        <v>458</v>
      </c>
      <c r="G896" t="s">
        <v>304</v>
      </c>
      <c r="H896" t="s">
        <v>1860</v>
      </c>
      <c r="I896" t="s">
        <v>1555</v>
      </c>
      <c r="J896">
        <v>1</v>
      </c>
      <c r="L896">
        <v>553.53</v>
      </c>
      <c r="M896">
        <v>943.33</v>
      </c>
      <c r="N896">
        <v>1407.6</v>
      </c>
      <c r="O896">
        <v>2007.08</v>
      </c>
      <c r="P896">
        <v>0</v>
      </c>
      <c r="Q896">
        <v>3</v>
      </c>
      <c r="R896">
        <v>0</v>
      </c>
      <c r="S896">
        <v>200289</v>
      </c>
      <c r="T896" t="b">
        <v>1</v>
      </c>
    </row>
    <row r="897" spans="2:20" x14ac:dyDescent="0.35">
      <c r="B897">
        <v>2019</v>
      </c>
      <c r="C897" s="41">
        <v>43400</v>
      </c>
      <c r="D897" t="s">
        <v>1861</v>
      </c>
      <c r="E897" t="s">
        <v>219</v>
      </c>
      <c r="F897" t="s">
        <v>1302</v>
      </c>
      <c r="G897" t="s">
        <v>304</v>
      </c>
      <c r="H897" t="s">
        <v>1862</v>
      </c>
      <c r="I897" t="s">
        <v>843</v>
      </c>
      <c r="J897">
        <v>1</v>
      </c>
      <c r="L897">
        <v>388.71</v>
      </c>
      <c r="M897">
        <v>662.44</v>
      </c>
      <c r="N897">
        <v>988.48</v>
      </c>
      <c r="O897">
        <v>1409.46</v>
      </c>
      <c r="P897">
        <v>0</v>
      </c>
      <c r="Q897">
        <v>3</v>
      </c>
      <c r="R897">
        <v>0</v>
      </c>
      <c r="S897">
        <v>200289</v>
      </c>
      <c r="T897" t="b">
        <v>1</v>
      </c>
    </row>
    <row r="898" spans="2:20" x14ac:dyDescent="0.35">
      <c r="B898">
        <v>2019</v>
      </c>
      <c r="C898" s="41">
        <v>43400</v>
      </c>
      <c r="D898" t="s">
        <v>1863</v>
      </c>
      <c r="E898" t="s">
        <v>219</v>
      </c>
      <c r="F898" t="s">
        <v>1302</v>
      </c>
      <c r="G898" t="s">
        <v>304</v>
      </c>
      <c r="H898" t="s">
        <v>1814</v>
      </c>
      <c r="I898" t="s">
        <v>310</v>
      </c>
      <c r="J898">
        <v>1</v>
      </c>
      <c r="L898">
        <v>442.34</v>
      </c>
      <c r="M898">
        <v>753.83</v>
      </c>
      <c r="N898">
        <v>1124.8399999999999</v>
      </c>
      <c r="O898">
        <v>1603.9</v>
      </c>
      <c r="P898">
        <v>1</v>
      </c>
      <c r="Q898">
        <v>1</v>
      </c>
      <c r="R898">
        <v>0</v>
      </c>
      <c r="S898">
        <v>200289</v>
      </c>
      <c r="T898" t="b">
        <v>1</v>
      </c>
    </row>
    <row r="899" spans="2:20" x14ac:dyDescent="0.35">
      <c r="B899">
        <v>2019</v>
      </c>
      <c r="C899" s="41">
        <v>43400</v>
      </c>
      <c r="D899" t="s">
        <v>1864</v>
      </c>
      <c r="E899" t="s">
        <v>219</v>
      </c>
      <c r="F899" t="s">
        <v>458</v>
      </c>
      <c r="G899" t="s">
        <v>304</v>
      </c>
      <c r="H899" t="s">
        <v>1824</v>
      </c>
      <c r="I899" t="s">
        <v>310</v>
      </c>
      <c r="J899">
        <v>1</v>
      </c>
      <c r="L899">
        <v>504.59</v>
      </c>
      <c r="M899">
        <v>859.93</v>
      </c>
      <c r="N899">
        <v>1283.1399999999901</v>
      </c>
      <c r="O899">
        <v>1829.62</v>
      </c>
      <c r="P899">
        <v>1</v>
      </c>
      <c r="Q899">
        <v>1</v>
      </c>
      <c r="R899">
        <v>0</v>
      </c>
      <c r="S899">
        <v>200289</v>
      </c>
      <c r="T899" t="b">
        <v>1</v>
      </c>
    </row>
    <row r="900" spans="2:20" x14ac:dyDescent="0.35">
      <c r="B900">
        <v>2019</v>
      </c>
      <c r="C900" s="41">
        <v>43400</v>
      </c>
      <c r="D900" t="s">
        <v>1864</v>
      </c>
      <c r="E900" t="s">
        <v>219</v>
      </c>
      <c r="F900" t="s">
        <v>1311</v>
      </c>
      <c r="G900" t="s">
        <v>304</v>
      </c>
      <c r="H900" t="s">
        <v>1824</v>
      </c>
      <c r="I900" t="s">
        <v>310</v>
      </c>
      <c r="J900">
        <v>1</v>
      </c>
      <c r="L900">
        <v>504.59</v>
      </c>
      <c r="M900">
        <v>859.93</v>
      </c>
      <c r="N900">
        <v>1283.1399999999901</v>
      </c>
      <c r="O900">
        <v>1829.62</v>
      </c>
      <c r="P900">
        <v>1</v>
      </c>
      <c r="Q900">
        <v>1</v>
      </c>
      <c r="R900">
        <v>0</v>
      </c>
      <c r="S900">
        <v>200289</v>
      </c>
      <c r="T900" t="b">
        <v>1</v>
      </c>
    </row>
    <row r="901" spans="2:20" x14ac:dyDescent="0.35">
      <c r="B901">
        <v>2019</v>
      </c>
      <c r="C901" s="41">
        <v>43400</v>
      </c>
      <c r="D901" t="s">
        <v>1865</v>
      </c>
      <c r="E901" t="s">
        <v>219</v>
      </c>
      <c r="F901" t="s">
        <v>458</v>
      </c>
      <c r="G901" t="s">
        <v>304</v>
      </c>
      <c r="H901" t="s">
        <v>1866</v>
      </c>
      <c r="I901" t="s">
        <v>843</v>
      </c>
      <c r="J901">
        <v>1</v>
      </c>
      <c r="L901">
        <v>510.65</v>
      </c>
      <c r="M901">
        <v>870.24</v>
      </c>
      <c r="N901">
        <v>1298.54</v>
      </c>
      <c r="O901">
        <v>1851.58</v>
      </c>
      <c r="P901">
        <v>0</v>
      </c>
      <c r="Q901">
        <v>3</v>
      </c>
      <c r="R901">
        <v>0</v>
      </c>
      <c r="S901">
        <v>200289</v>
      </c>
      <c r="T901" t="b">
        <v>1</v>
      </c>
    </row>
    <row r="902" spans="2:20" x14ac:dyDescent="0.35">
      <c r="B902">
        <v>2019</v>
      </c>
      <c r="C902" s="41">
        <v>43400</v>
      </c>
      <c r="D902" t="s">
        <v>1867</v>
      </c>
      <c r="E902" t="s">
        <v>219</v>
      </c>
      <c r="F902" t="s">
        <v>1302</v>
      </c>
      <c r="G902" t="s">
        <v>304</v>
      </c>
      <c r="H902" t="s">
        <v>1592</v>
      </c>
      <c r="I902" t="s">
        <v>310</v>
      </c>
      <c r="J902">
        <v>1</v>
      </c>
      <c r="L902">
        <v>400.12</v>
      </c>
      <c r="M902">
        <v>681.88</v>
      </c>
      <c r="N902">
        <v>1017.47</v>
      </c>
      <c r="O902">
        <v>1450.8</v>
      </c>
      <c r="P902">
        <v>1</v>
      </c>
      <c r="Q902">
        <v>1</v>
      </c>
      <c r="R902">
        <v>0</v>
      </c>
      <c r="S902">
        <v>200289</v>
      </c>
      <c r="T902" t="b">
        <v>1</v>
      </c>
    </row>
    <row r="903" spans="2:20" x14ac:dyDescent="0.35">
      <c r="B903">
        <v>2019</v>
      </c>
      <c r="C903" s="41">
        <v>43400</v>
      </c>
      <c r="D903" t="s">
        <v>1868</v>
      </c>
      <c r="E903" t="s">
        <v>219</v>
      </c>
      <c r="F903" t="s">
        <v>461</v>
      </c>
      <c r="G903" t="s">
        <v>304</v>
      </c>
      <c r="H903" t="s">
        <v>1869</v>
      </c>
      <c r="I903" t="s">
        <v>842</v>
      </c>
      <c r="J903">
        <v>1</v>
      </c>
      <c r="L903">
        <v>390.06</v>
      </c>
      <c r="M903">
        <v>664.74</v>
      </c>
      <c r="N903">
        <v>991.9</v>
      </c>
      <c r="O903">
        <v>1414.34</v>
      </c>
      <c r="P903">
        <v>0</v>
      </c>
      <c r="Q903">
        <v>3</v>
      </c>
      <c r="R903">
        <v>0</v>
      </c>
      <c r="S903">
        <v>200289</v>
      </c>
      <c r="T903" t="b">
        <v>1</v>
      </c>
    </row>
    <row r="904" spans="2:20" x14ac:dyDescent="0.35">
      <c r="B904">
        <v>2019</v>
      </c>
      <c r="C904" s="41">
        <v>43400</v>
      </c>
      <c r="D904" t="s">
        <v>1870</v>
      </c>
      <c r="E904" t="s">
        <v>219</v>
      </c>
      <c r="F904" t="s">
        <v>458</v>
      </c>
      <c r="G904" t="s">
        <v>304</v>
      </c>
      <c r="H904" t="s">
        <v>1871</v>
      </c>
      <c r="I904" t="s">
        <v>842</v>
      </c>
      <c r="J904">
        <v>1</v>
      </c>
      <c r="L904">
        <v>406.2</v>
      </c>
      <c r="M904">
        <v>692.24</v>
      </c>
      <c r="N904">
        <v>1032.94</v>
      </c>
      <c r="O904">
        <v>1472.86</v>
      </c>
      <c r="P904">
        <v>0</v>
      </c>
      <c r="Q904">
        <v>3</v>
      </c>
      <c r="R904">
        <v>0</v>
      </c>
      <c r="S904">
        <v>200289</v>
      </c>
      <c r="T904" t="b">
        <v>1</v>
      </c>
    </row>
    <row r="905" spans="2:20" x14ac:dyDescent="0.35">
      <c r="B905">
        <v>2019</v>
      </c>
      <c r="C905" s="41">
        <v>43400</v>
      </c>
      <c r="D905" t="s">
        <v>1872</v>
      </c>
      <c r="E905" t="s">
        <v>219</v>
      </c>
      <c r="F905" t="s">
        <v>1302</v>
      </c>
      <c r="G905" t="s">
        <v>304</v>
      </c>
      <c r="H905" t="s">
        <v>1873</v>
      </c>
      <c r="I905" t="s">
        <v>842</v>
      </c>
      <c r="J905">
        <v>1</v>
      </c>
      <c r="L905">
        <v>348.02</v>
      </c>
      <c r="M905">
        <v>593.09</v>
      </c>
      <c r="N905">
        <v>884.99</v>
      </c>
      <c r="O905">
        <v>1261.9000000000001</v>
      </c>
      <c r="P905">
        <v>0</v>
      </c>
      <c r="Q905">
        <v>3</v>
      </c>
      <c r="R905">
        <v>0</v>
      </c>
      <c r="S905">
        <v>200289</v>
      </c>
      <c r="T905" t="b">
        <v>1</v>
      </c>
    </row>
    <row r="906" spans="2:20" x14ac:dyDescent="0.35">
      <c r="B906">
        <v>2019</v>
      </c>
      <c r="C906" s="41">
        <v>43400</v>
      </c>
      <c r="D906" t="s">
        <v>1874</v>
      </c>
      <c r="E906" t="s">
        <v>219</v>
      </c>
      <c r="F906" t="s">
        <v>461</v>
      </c>
      <c r="G906" t="s">
        <v>304</v>
      </c>
      <c r="H906" t="s">
        <v>1875</v>
      </c>
      <c r="I906" t="s">
        <v>842</v>
      </c>
      <c r="J906">
        <v>1</v>
      </c>
      <c r="L906">
        <v>381.25</v>
      </c>
      <c r="M906">
        <v>649.72</v>
      </c>
      <c r="N906">
        <v>969.5</v>
      </c>
      <c r="O906">
        <v>1382.4</v>
      </c>
      <c r="P906">
        <v>0</v>
      </c>
      <c r="Q906">
        <v>3</v>
      </c>
      <c r="R906">
        <v>0</v>
      </c>
      <c r="S906">
        <v>200289</v>
      </c>
      <c r="T906" t="b">
        <v>1</v>
      </c>
    </row>
    <row r="907" spans="2:20" x14ac:dyDescent="0.35">
      <c r="B907">
        <v>2019</v>
      </c>
      <c r="C907" s="41">
        <v>43400</v>
      </c>
      <c r="D907" t="s">
        <v>1876</v>
      </c>
      <c r="E907" t="s">
        <v>219</v>
      </c>
      <c r="F907" t="s">
        <v>461</v>
      </c>
      <c r="G907" t="s">
        <v>304</v>
      </c>
      <c r="H907" t="s">
        <v>1731</v>
      </c>
      <c r="I907" t="s">
        <v>310</v>
      </c>
      <c r="J907">
        <v>1</v>
      </c>
      <c r="L907">
        <v>484.21</v>
      </c>
      <c r="M907">
        <v>825.2</v>
      </c>
      <c r="N907">
        <v>1231.33</v>
      </c>
      <c r="O907">
        <v>1755.73999999999</v>
      </c>
      <c r="P907">
        <v>1</v>
      </c>
      <c r="Q907">
        <v>1</v>
      </c>
      <c r="R907">
        <v>0</v>
      </c>
      <c r="S907">
        <v>200289</v>
      </c>
      <c r="T907" t="b">
        <v>1</v>
      </c>
    </row>
    <row r="908" spans="2:20" x14ac:dyDescent="0.35">
      <c r="B908">
        <v>2019</v>
      </c>
      <c r="C908" s="41">
        <v>43400</v>
      </c>
      <c r="D908" t="s">
        <v>1877</v>
      </c>
      <c r="E908" t="s">
        <v>219</v>
      </c>
      <c r="F908" t="s">
        <v>458</v>
      </c>
      <c r="G908" t="s">
        <v>304</v>
      </c>
      <c r="H908" t="s">
        <v>1552</v>
      </c>
      <c r="I908" t="s">
        <v>310</v>
      </c>
      <c r="J908">
        <v>1</v>
      </c>
      <c r="L908">
        <v>504.59</v>
      </c>
      <c r="M908">
        <v>859.93</v>
      </c>
      <c r="N908">
        <v>1283.1399999999901</v>
      </c>
      <c r="O908">
        <v>1829.62</v>
      </c>
      <c r="P908">
        <v>1</v>
      </c>
      <c r="Q908">
        <v>1</v>
      </c>
      <c r="R908">
        <v>0</v>
      </c>
      <c r="S908">
        <v>200289</v>
      </c>
      <c r="T908" t="b">
        <v>1</v>
      </c>
    </row>
    <row r="909" spans="2:20" x14ac:dyDescent="0.35">
      <c r="B909">
        <v>2019</v>
      </c>
      <c r="C909" s="41">
        <v>43400</v>
      </c>
      <c r="D909" t="s">
        <v>1878</v>
      </c>
      <c r="E909" t="s">
        <v>219</v>
      </c>
      <c r="F909" t="s">
        <v>1302</v>
      </c>
      <c r="G909" t="s">
        <v>304</v>
      </c>
      <c r="H909" t="s">
        <v>1809</v>
      </c>
      <c r="I909" t="s">
        <v>310</v>
      </c>
      <c r="J909">
        <v>1</v>
      </c>
      <c r="L909">
        <v>400.12</v>
      </c>
      <c r="M909">
        <v>681.88</v>
      </c>
      <c r="N909">
        <v>1017.47</v>
      </c>
      <c r="O909">
        <v>1450.8</v>
      </c>
      <c r="P909">
        <v>1</v>
      </c>
      <c r="Q909">
        <v>1</v>
      </c>
      <c r="R909">
        <v>0</v>
      </c>
      <c r="S909">
        <v>200289</v>
      </c>
      <c r="T909" t="b">
        <v>1</v>
      </c>
    </row>
    <row r="910" spans="2:20" x14ac:dyDescent="0.35">
      <c r="B910">
        <v>2019</v>
      </c>
      <c r="C910" s="41">
        <v>43400</v>
      </c>
      <c r="D910" t="s">
        <v>1879</v>
      </c>
      <c r="E910" t="s">
        <v>219</v>
      </c>
      <c r="F910" t="s">
        <v>458</v>
      </c>
      <c r="G910" t="s">
        <v>304</v>
      </c>
      <c r="H910" t="s">
        <v>1674</v>
      </c>
      <c r="I910" t="s">
        <v>310</v>
      </c>
      <c r="J910">
        <v>1</v>
      </c>
      <c r="L910">
        <v>504.59</v>
      </c>
      <c r="M910">
        <v>859.93</v>
      </c>
      <c r="N910">
        <v>1283.1399999999901</v>
      </c>
      <c r="O910">
        <v>1829.62</v>
      </c>
      <c r="P910">
        <v>1</v>
      </c>
      <c r="Q910">
        <v>1</v>
      </c>
      <c r="R910">
        <v>0</v>
      </c>
      <c r="S910">
        <v>200289</v>
      </c>
      <c r="T910" t="b">
        <v>1</v>
      </c>
    </row>
    <row r="911" spans="2:20" x14ac:dyDescent="0.35">
      <c r="B911">
        <v>2019</v>
      </c>
      <c r="C911" s="41">
        <v>43400</v>
      </c>
      <c r="D911" t="s">
        <v>1880</v>
      </c>
      <c r="E911" t="s">
        <v>219</v>
      </c>
      <c r="F911" t="s">
        <v>461</v>
      </c>
      <c r="G911" t="s">
        <v>304</v>
      </c>
      <c r="H911" t="s">
        <v>1777</v>
      </c>
      <c r="I911" t="s">
        <v>310</v>
      </c>
      <c r="J911">
        <v>1</v>
      </c>
      <c r="L911">
        <v>484.21</v>
      </c>
      <c r="M911">
        <v>825.2</v>
      </c>
      <c r="N911">
        <v>1231.33</v>
      </c>
      <c r="O911">
        <v>1755.73999999999</v>
      </c>
      <c r="P911">
        <v>1</v>
      </c>
      <c r="Q911">
        <v>1</v>
      </c>
      <c r="R911">
        <v>0</v>
      </c>
      <c r="S911">
        <v>200289</v>
      </c>
      <c r="T911" t="b">
        <v>1</v>
      </c>
    </row>
    <row r="912" spans="2:20" x14ac:dyDescent="0.35">
      <c r="B912">
        <v>2019</v>
      </c>
      <c r="C912" s="41">
        <v>43400</v>
      </c>
      <c r="D912" t="s">
        <v>1881</v>
      </c>
      <c r="E912" t="s">
        <v>219</v>
      </c>
      <c r="F912" t="s">
        <v>458</v>
      </c>
      <c r="G912" t="s">
        <v>304</v>
      </c>
      <c r="H912" t="s">
        <v>1812</v>
      </c>
      <c r="I912" t="s">
        <v>310</v>
      </c>
      <c r="J912">
        <v>1</v>
      </c>
      <c r="L912">
        <v>504.59</v>
      </c>
      <c r="M912">
        <v>859.93</v>
      </c>
      <c r="N912">
        <v>1283.1399999999901</v>
      </c>
      <c r="O912">
        <v>1829.62</v>
      </c>
      <c r="P912">
        <v>1</v>
      </c>
      <c r="Q912">
        <v>1</v>
      </c>
      <c r="R912">
        <v>0</v>
      </c>
      <c r="S912">
        <v>200289</v>
      </c>
      <c r="T912" t="b">
        <v>1</v>
      </c>
    </row>
    <row r="913" spans="2:20" x14ac:dyDescent="0.35">
      <c r="B913">
        <v>2019</v>
      </c>
      <c r="C913" s="41">
        <v>43400</v>
      </c>
      <c r="D913" t="s">
        <v>1882</v>
      </c>
      <c r="E913" t="s">
        <v>219</v>
      </c>
      <c r="F913" t="s">
        <v>458</v>
      </c>
      <c r="G913" t="s">
        <v>304</v>
      </c>
      <c r="H913" t="s">
        <v>1883</v>
      </c>
      <c r="I913" t="s">
        <v>1555</v>
      </c>
      <c r="J913">
        <v>1</v>
      </c>
      <c r="L913">
        <v>553.53</v>
      </c>
      <c r="M913">
        <v>943.33</v>
      </c>
      <c r="N913">
        <v>1407.6</v>
      </c>
      <c r="O913">
        <v>2007.08</v>
      </c>
      <c r="P913">
        <v>0</v>
      </c>
      <c r="Q913">
        <v>3</v>
      </c>
      <c r="R913">
        <v>0</v>
      </c>
      <c r="S913">
        <v>200289</v>
      </c>
      <c r="T913" t="b">
        <v>1</v>
      </c>
    </row>
    <row r="914" spans="2:20" x14ac:dyDescent="0.35">
      <c r="B914">
        <v>2019</v>
      </c>
      <c r="C914" s="41">
        <v>43400</v>
      </c>
      <c r="D914" t="s">
        <v>1884</v>
      </c>
      <c r="E914" t="s">
        <v>219</v>
      </c>
      <c r="F914" t="s">
        <v>1302</v>
      </c>
      <c r="G914" t="s">
        <v>304</v>
      </c>
      <c r="H914" t="s">
        <v>1885</v>
      </c>
      <c r="I914" t="s">
        <v>1555</v>
      </c>
      <c r="J914">
        <v>1</v>
      </c>
      <c r="L914">
        <v>438.54</v>
      </c>
      <c r="M914">
        <v>747.35</v>
      </c>
      <c r="N914">
        <v>1115.18</v>
      </c>
      <c r="O914">
        <v>1590.12</v>
      </c>
      <c r="P914">
        <v>0</v>
      </c>
      <c r="Q914">
        <v>3</v>
      </c>
      <c r="R914">
        <v>0</v>
      </c>
      <c r="S914">
        <v>200289</v>
      </c>
      <c r="T914" t="b">
        <v>1</v>
      </c>
    </row>
    <row r="915" spans="2:20" x14ac:dyDescent="0.35">
      <c r="B915">
        <v>2019</v>
      </c>
      <c r="C915" s="41">
        <v>43400</v>
      </c>
      <c r="D915" t="s">
        <v>1886</v>
      </c>
      <c r="E915" t="s">
        <v>219</v>
      </c>
      <c r="F915" t="s">
        <v>458</v>
      </c>
      <c r="G915" t="s">
        <v>304</v>
      </c>
      <c r="H915" t="s">
        <v>1887</v>
      </c>
      <c r="I915" t="s">
        <v>843</v>
      </c>
      <c r="J915">
        <v>1</v>
      </c>
      <c r="L915">
        <v>490.46</v>
      </c>
      <c r="M915">
        <v>835.85</v>
      </c>
      <c r="N915">
        <v>1247.21999999999</v>
      </c>
      <c r="O915">
        <v>1778.3999999999901</v>
      </c>
      <c r="P915">
        <v>0</v>
      </c>
      <c r="Q915">
        <v>3</v>
      </c>
      <c r="R915">
        <v>0</v>
      </c>
      <c r="S915">
        <v>200289</v>
      </c>
      <c r="T915" t="b">
        <v>1</v>
      </c>
    </row>
    <row r="916" spans="2:20" x14ac:dyDescent="0.35">
      <c r="B916">
        <v>2019</v>
      </c>
      <c r="C916" s="41">
        <v>43400</v>
      </c>
      <c r="D916" t="s">
        <v>1888</v>
      </c>
      <c r="E916" t="s">
        <v>219</v>
      </c>
      <c r="F916" t="s">
        <v>461</v>
      </c>
      <c r="G916" t="s">
        <v>304</v>
      </c>
      <c r="H916" t="s">
        <v>1889</v>
      </c>
      <c r="I916" t="s">
        <v>843</v>
      </c>
      <c r="J916">
        <v>1</v>
      </c>
      <c r="L916">
        <v>470.77</v>
      </c>
      <c r="M916">
        <v>802.28</v>
      </c>
      <c r="N916">
        <v>1197.1300000000001</v>
      </c>
      <c r="O916">
        <v>1706.98</v>
      </c>
      <c r="P916">
        <v>0</v>
      </c>
      <c r="Q916">
        <v>3</v>
      </c>
      <c r="R916">
        <v>0</v>
      </c>
      <c r="S916">
        <v>200289</v>
      </c>
      <c r="T916" t="b">
        <v>1</v>
      </c>
    </row>
    <row r="917" spans="2:20" x14ac:dyDescent="0.35">
      <c r="B917">
        <v>2019</v>
      </c>
      <c r="C917" s="41">
        <v>43400</v>
      </c>
      <c r="D917" t="s">
        <v>922</v>
      </c>
      <c r="E917" t="s">
        <v>219</v>
      </c>
      <c r="F917" t="s">
        <v>458</v>
      </c>
      <c r="G917" t="s">
        <v>304</v>
      </c>
      <c r="H917" t="s">
        <v>1890</v>
      </c>
      <c r="I917" t="s">
        <v>842</v>
      </c>
      <c r="J917">
        <v>1</v>
      </c>
      <c r="L917">
        <v>397.11</v>
      </c>
      <c r="M917">
        <v>676.76</v>
      </c>
      <c r="N917">
        <v>1009.83999999999</v>
      </c>
      <c r="O917">
        <v>1439.92</v>
      </c>
      <c r="P917">
        <v>0</v>
      </c>
      <c r="Q917">
        <v>3</v>
      </c>
      <c r="R917">
        <v>0</v>
      </c>
      <c r="S917">
        <v>200289</v>
      </c>
      <c r="T917" t="b">
        <v>1</v>
      </c>
    </row>
    <row r="918" spans="2:20" x14ac:dyDescent="0.35">
      <c r="B918">
        <v>2019</v>
      </c>
      <c r="C918" s="41">
        <v>43400</v>
      </c>
      <c r="D918" t="s">
        <v>922</v>
      </c>
      <c r="E918" t="s">
        <v>219</v>
      </c>
      <c r="F918" t="s">
        <v>1311</v>
      </c>
      <c r="G918" t="s">
        <v>304</v>
      </c>
      <c r="H918" t="s">
        <v>1890</v>
      </c>
      <c r="I918" t="s">
        <v>842</v>
      </c>
      <c r="J918">
        <v>1</v>
      </c>
      <c r="L918">
        <v>397.11</v>
      </c>
      <c r="M918">
        <v>676.76</v>
      </c>
      <c r="N918">
        <v>1009.83999999999</v>
      </c>
      <c r="O918">
        <v>1439.92</v>
      </c>
      <c r="P918">
        <v>0</v>
      </c>
      <c r="Q918">
        <v>3</v>
      </c>
      <c r="R918">
        <v>0</v>
      </c>
      <c r="S918">
        <v>200289</v>
      </c>
      <c r="T918" t="b">
        <v>1</v>
      </c>
    </row>
    <row r="919" spans="2:20" x14ac:dyDescent="0.35">
      <c r="B919">
        <v>2019</v>
      </c>
      <c r="C919" s="41">
        <v>43400</v>
      </c>
      <c r="D919" t="s">
        <v>1891</v>
      </c>
      <c r="E919" t="s">
        <v>219</v>
      </c>
      <c r="F919" t="s">
        <v>458</v>
      </c>
      <c r="G919" t="s">
        <v>304</v>
      </c>
      <c r="H919" t="s">
        <v>1642</v>
      </c>
      <c r="I919" t="s">
        <v>310</v>
      </c>
      <c r="J919">
        <v>1</v>
      </c>
      <c r="L919">
        <v>504.59</v>
      </c>
      <c r="M919">
        <v>859.93</v>
      </c>
      <c r="N919">
        <v>1283.1399999999901</v>
      </c>
      <c r="O919">
        <v>1829.62</v>
      </c>
      <c r="P919">
        <v>1</v>
      </c>
      <c r="Q919">
        <v>1</v>
      </c>
      <c r="R919">
        <v>0</v>
      </c>
      <c r="S919">
        <v>200289</v>
      </c>
      <c r="T919" t="b">
        <v>1</v>
      </c>
    </row>
    <row r="920" spans="2:20" x14ac:dyDescent="0.35">
      <c r="B920">
        <v>2019</v>
      </c>
      <c r="C920" s="41">
        <v>43400</v>
      </c>
      <c r="D920" t="s">
        <v>1892</v>
      </c>
      <c r="E920" t="s">
        <v>219</v>
      </c>
      <c r="F920" t="s">
        <v>458</v>
      </c>
      <c r="G920" t="s">
        <v>304</v>
      </c>
      <c r="H920" t="s">
        <v>1893</v>
      </c>
      <c r="I920" t="s">
        <v>842</v>
      </c>
      <c r="J920">
        <v>1</v>
      </c>
      <c r="L920">
        <v>406.2</v>
      </c>
      <c r="M920">
        <v>692.24</v>
      </c>
      <c r="N920">
        <v>1032.94</v>
      </c>
      <c r="O920">
        <v>1472.86</v>
      </c>
      <c r="P920">
        <v>0</v>
      </c>
      <c r="Q920">
        <v>3</v>
      </c>
      <c r="R920">
        <v>0</v>
      </c>
      <c r="S920">
        <v>200289</v>
      </c>
      <c r="T920" t="b">
        <v>1</v>
      </c>
    </row>
    <row r="921" spans="2:20" x14ac:dyDescent="0.35">
      <c r="B921">
        <v>2019</v>
      </c>
      <c r="C921" s="41">
        <v>43400</v>
      </c>
      <c r="D921" t="s">
        <v>1894</v>
      </c>
      <c r="E921" t="s">
        <v>219</v>
      </c>
      <c r="F921" t="s">
        <v>458</v>
      </c>
      <c r="G921" t="s">
        <v>304</v>
      </c>
      <c r="H921" t="s">
        <v>1895</v>
      </c>
      <c r="I921" t="s">
        <v>842</v>
      </c>
      <c r="J921">
        <v>1</v>
      </c>
      <c r="L921">
        <v>406.2</v>
      </c>
      <c r="M921">
        <v>692.24</v>
      </c>
      <c r="N921">
        <v>1032.94</v>
      </c>
      <c r="O921">
        <v>1472.86</v>
      </c>
      <c r="P921">
        <v>0</v>
      </c>
      <c r="Q921">
        <v>3</v>
      </c>
      <c r="R921">
        <v>0</v>
      </c>
      <c r="S921">
        <v>200289</v>
      </c>
      <c r="T921" t="b">
        <v>1</v>
      </c>
    </row>
    <row r="922" spans="2:20" x14ac:dyDescent="0.35">
      <c r="B922">
        <v>2019</v>
      </c>
      <c r="C922" s="41">
        <v>43400</v>
      </c>
      <c r="D922" t="s">
        <v>1896</v>
      </c>
      <c r="E922" t="s">
        <v>219</v>
      </c>
      <c r="F922" t="s">
        <v>458</v>
      </c>
      <c r="G922" t="s">
        <v>304</v>
      </c>
      <c r="H922" t="s">
        <v>1897</v>
      </c>
      <c r="I922" t="s">
        <v>842</v>
      </c>
      <c r="J922">
        <v>1</v>
      </c>
      <c r="L922">
        <v>406.2</v>
      </c>
      <c r="M922">
        <v>692.24</v>
      </c>
      <c r="N922">
        <v>1032.94</v>
      </c>
      <c r="O922">
        <v>1472.86</v>
      </c>
      <c r="P922">
        <v>0</v>
      </c>
      <c r="Q922">
        <v>3</v>
      </c>
      <c r="R922">
        <v>0</v>
      </c>
      <c r="S922">
        <v>200289</v>
      </c>
      <c r="T922" t="b">
        <v>1</v>
      </c>
    </row>
    <row r="923" spans="2:20" x14ac:dyDescent="0.35">
      <c r="B923">
        <v>2019</v>
      </c>
      <c r="C923" s="41">
        <v>43400</v>
      </c>
      <c r="D923" t="s">
        <v>1898</v>
      </c>
      <c r="E923" t="s">
        <v>219</v>
      </c>
      <c r="F923" t="s">
        <v>461</v>
      </c>
      <c r="G923" t="s">
        <v>304</v>
      </c>
      <c r="H923" t="s">
        <v>1899</v>
      </c>
      <c r="I923" t="s">
        <v>842</v>
      </c>
      <c r="J923">
        <v>1</v>
      </c>
      <c r="L923">
        <v>381.25</v>
      </c>
      <c r="M923">
        <v>649.72</v>
      </c>
      <c r="N923">
        <v>969.5</v>
      </c>
      <c r="O923">
        <v>1382.4</v>
      </c>
      <c r="P923">
        <v>0</v>
      </c>
      <c r="Q923">
        <v>3</v>
      </c>
      <c r="R923">
        <v>0</v>
      </c>
      <c r="S923">
        <v>200289</v>
      </c>
      <c r="T923" t="b">
        <v>1</v>
      </c>
    </row>
    <row r="924" spans="2:20" x14ac:dyDescent="0.35">
      <c r="B924">
        <v>2019</v>
      </c>
      <c r="C924" s="41">
        <v>43400</v>
      </c>
      <c r="D924" t="s">
        <v>1900</v>
      </c>
      <c r="E924" t="s">
        <v>219</v>
      </c>
      <c r="F924" t="s">
        <v>458</v>
      </c>
      <c r="G924" t="s">
        <v>304</v>
      </c>
      <c r="H924" t="s">
        <v>1901</v>
      </c>
      <c r="I924" t="s">
        <v>842</v>
      </c>
      <c r="J924">
        <v>1</v>
      </c>
      <c r="L924">
        <v>397.11</v>
      </c>
      <c r="M924">
        <v>676.76</v>
      </c>
      <c r="N924">
        <v>1009.83999999999</v>
      </c>
      <c r="O924">
        <v>1439.92</v>
      </c>
      <c r="P924">
        <v>0</v>
      </c>
      <c r="Q924">
        <v>3</v>
      </c>
      <c r="R924">
        <v>0</v>
      </c>
      <c r="S924">
        <v>200289</v>
      </c>
      <c r="T924" t="b">
        <v>1</v>
      </c>
    </row>
    <row r="925" spans="2:20" x14ac:dyDescent="0.35">
      <c r="B925">
        <v>2019</v>
      </c>
      <c r="C925" s="41">
        <v>43400</v>
      </c>
      <c r="D925" t="s">
        <v>1902</v>
      </c>
      <c r="E925" t="s">
        <v>219</v>
      </c>
      <c r="F925" t="s">
        <v>461</v>
      </c>
      <c r="G925" t="s">
        <v>304</v>
      </c>
      <c r="H925" t="s">
        <v>1731</v>
      </c>
      <c r="I925" t="s">
        <v>310</v>
      </c>
      <c r="J925">
        <v>1</v>
      </c>
      <c r="L925">
        <v>484.21</v>
      </c>
      <c r="M925">
        <v>825.2</v>
      </c>
      <c r="N925">
        <v>1231.33</v>
      </c>
      <c r="O925">
        <v>1755.73999999999</v>
      </c>
      <c r="P925">
        <v>1</v>
      </c>
      <c r="Q925">
        <v>1</v>
      </c>
      <c r="R925">
        <v>0</v>
      </c>
      <c r="S925">
        <v>200289</v>
      </c>
      <c r="T925" t="b">
        <v>1</v>
      </c>
    </row>
    <row r="926" spans="2:20" x14ac:dyDescent="0.35">
      <c r="B926">
        <v>2019</v>
      </c>
      <c r="C926" s="41">
        <v>43400</v>
      </c>
      <c r="D926" t="s">
        <v>1903</v>
      </c>
      <c r="E926" t="s">
        <v>219</v>
      </c>
      <c r="F926" t="s">
        <v>458</v>
      </c>
      <c r="G926" t="s">
        <v>304</v>
      </c>
      <c r="H926" t="s">
        <v>1552</v>
      </c>
      <c r="I926" t="s">
        <v>310</v>
      </c>
      <c r="J926">
        <v>1</v>
      </c>
      <c r="L926">
        <v>504.59</v>
      </c>
      <c r="M926">
        <v>859.93</v>
      </c>
      <c r="N926">
        <v>1283.1399999999901</v>
      </c>
      <c r="O926">
        <v>1829.62</v>
      </c>
      <c r="P926">
        <v>1</v>
      </c>
      <c r="Q926">
        <v>1</v>
      </c>
      <c r="R926">
        <v>0</v>
      </c>
      <c r="S926">
        <v>200289</v>
      </c>
      <c r="T926" t="b">
        <v>1</v>
      </c>
    </row>
    <row r="927" spans="2:20" x14ac:dyDescent="0.35">
      <c r="B927">
        <v>2019</v>
      </c>
      <c r="C927" s="41">
        <v>43400</v>
      </c>
      <c r="D927" t="s">
        <v>1904</v>
      </c>
      <c r="E927" t="s">
        <v>219</v>
      </c>
      <c r="F927" t="s">
        <v>1302</v>
      </c>
      <c r="G927" t="s">
        <v>304</v>
      </c>
      <c r="H927" t="s">
        <v>1809</v>
      </c>
      <c r="I927" t="s">
        <v>310</v>
      </c>
      <c r="J927">
        <v>1</v>
      </c>
      <c r="L927">
        <v>400.12</v>
      </c>
      <c r="M927">
        <v>681.88</v>
      </c>
      <c r="N927">
        <v>1017.47</v>
      </c>
      <c r="O927">
        <v>1450.8</v>
      </c>
      <c r="P927">
        <v>1</v>
      </c>
      <c r="Q927">
        <v>1</v>
      </c>
      <c r="R927">
        <v>0</v>
      </c>
      <c r="S927">
        <v>200289</v>
      </c>
      <c r="T927" t="b">
        <v>1</v>
      </c>
    </row>
    <row r="928" spans="2:20" x14ac:dyDescent="0.35">
      <c r="B928">
        <v>2019</v>
      </c>
      <c r="C928" s="41">
        <v>43400</v>
      </c>
      <c r="D928" t="s">
        <v>1905</v>
      </c>
      <c r="E928" t="s">
        <v>219</v>
      </c>
      <c r="F928" t="s">
        <v>461</v>
      </c>
      <c r="G928" t="s">
        <v>304</v>
      </c>
      <c r="H928" t="s">
        <v>1735</v>
      </c>
      <c r="I928" t="s">
        <v>310</v>
      </c>
      <c r="J928">
        <v>1</v>
      </c>
      <c r="L928">
        <v>484.21</v>
      </c>
      <c r="M928">
        <v>825.2</v>
      </c>
      <c r="N928">
        <v>1231.33</v>
      </c>
      <c r="O928">
        <v>1755.73999999999</v>
      </c>
      <c r="P928">
        <v>1</v>
      </c>
      <c r="Q928">
        <v>1</v>
      </c>
      <c r="R928">
        <v>0</v>
      </c>
      <c r="S928">
        <v>200289</v>
      </c>
      <c r="T928" t="b">
        <v>1</v>
      </c>
    </row>
    <row r="929" spans="2:20" x14ac:dyDescent="0.35">
      <c r="B929">
        <v>2019</v>
      </c>
      <c r="C929" s="41">
        <v>43400</v>
      </c>
      <c r="D929" t="s">
        <v>1906</v>
      </c>
      <c r="E929" t="s">
        <v>219</v>
      </c>
      <c r="F929" t="s">
        <v>458</v>
      </c>
      <c r="G929" t="s">
        <v>304</v>
      </c>
      <c r="H929" t="s">
        <v>1812</v>
      </c>
      <c r="I929" t="s">
        <v>310</v>
      </c>
      <c r="J929">
        <v>1</v>
      </c>
      <c r="L929">
        <v>504.59</v>
      </c>
      <c r="M929">
        <v>859.93</v>
      </c>
      <c r="N929">
        <v>1283.1399999999901</v>
      </c>
      <c r="O929">
        <v>1829.62</v>
      </c>
      <c r="P929">
        <v>1</v>
      </c>
      <c r="Q929">
        <v>1</v>
      </c>
      <c r="R929">
        <v>0</v>
      </c>
      <c r="S929">
        <v>200289</v>
      </c>
      <c r="T929" t="b">
        <v>1</v>
      </c>
    </row>
    <row r="930" spans="2:20" x14ac:dyDescent="0.35">
      <c r="B930">
        <v>2019</v>
      </c>
      <c r="C930" s="41">
        <v>43400</v>
      </c>
      <c r="D930" t="s">
        <v>1907</v>
      </c>
      <c r="E930" t="s">
        <v>219</v>
      </c>
      <c r="F930" t="s">
        <v>458</v>
      </c>
      <c r="G930" t="s">
        <v>304</v>
      </c>
      <c r="H930" t="s">
        <v>1741</v>
      </c>
      <c r="I930" t="s">
        <v>310</v>
      </c>
      <c r="J930">
        <v>1</v>
      </c>
      <c r="L930">
        <v>504.59</v>
      </c>
      <c r="M930">
        <v>859.93</v>
      </c>
      <c r="N930">
        <v>1283.1399999999901</v>
      </c>
      <c r="O930">
        <v>1829.62</v>
      </c>
      <c r="P930">
        <v>1</v>
      </c>
      <c r="Q930">
        <v>1</v>
      </c>
      <c r="R930">
        <v>0</v>
      </c>
      <c r="S930">
        <v>200289</v>
      </c>
      <c r="T930" t="b">
        <v>1</v>
      </c>
    </row>
    <row r="931" spans="2:20" x14ac:dyDescent="0.35">
      <c r="B931">
        <v>2019</v>
      </c>
      <c r="C931" s="41">
        <v>43400</v>
      </c>
      <c r="D931" t="s">
        <v>1908</v>
      </c>
      <c r="E931" t="s">
        <v>219</v>
      </c>
      <c r="F931" t="s">
        <v>461</v>
      </c>
      <c r="G931" t="s">
        <v>304</v>
      </c>
      <c r="H931" t="s">
        <v>1777</v>
      </c>
      <c r="I931" t="s">
        <v>310</v>
      </c>
      <c r="J931">
        <v>1</v>
      </c>
      <c r="L931">
        <v>484.21</v>
      </c>
      <c r="M931">
        <v>825.2</v>
      </c>
      <c r="N931">
        <v>1231.33</v>
      </c>
      <c r="O931">
        <v>1755.73999999999</v>
      </c>
      <c r="P931">
        <v>1</v>
      </c>
      <c r="Q931">
        <v>1</v>
      </c>
      <c r="R931">
        <v>0</v>
      </c>
      <c r="S931">
        <v>200289</v>
      </c>
      <c r="T931" t="b">
        <v>1</v>
      </c>
    </row>
    <row r="932" spans="2:20" x14ac:dyDescent="0.35">
      <c r="B932">
        <v>2019</v>
      </c>
      <c r="C932" s="41">
        <v>43400</v>
      </c>
      <c r="D932" t="s">
        <v>1909</v>
      </c>
      <c r="E932" t="s">
        <v>219</v>
      </c>
      <c r="F932" t="s">
        <v>458</v>
      </c>
      <c r="G932" t="s">
        <v>304</v>
      </c>
      <c r="H932" t="s">
        <v>1910</v>
      </c>
      <c r="I932" t="s">
        <v>1555</v>
      </c>
      <c r="J932">
        <v>1</v>
      </c>
      <c r="L932">
        <v>553.53</v>
      </c>
      <c r="M932">
        <v>943.33</v>
      </c>
      <c r="N932">
        <v>1407.6</v>
      </c>
      <c r="O932">
        <v>2007.08</v>
      </c>
      <c r="P932">
        <v>0</v>
      </c>
      <c r="Q932">
        <v>3</v>
      </c>
      <c r="R932">
        <v>0</v>
      </c>
      <c r="S932">
        <v>200289</v>
      </c>
      <c r="T932" t="b">
        <v>1</v>
      </c>
    </row>
    <row r="933" spans="2:20" x14ac:dyDescent="0.35">
      <c r="B933">
        <v>2019</v>
      </c>
      <c r="C933" s="41">
        <v>43400</v>
      </c>
      <c r="D933" t="s">
        <v>1911</v>
      </c>
      <c r="E933" t="s">
        <v>219</v>
      </c>
      <c r="F933" t="s">
        <v>461</v>
      </c>
      <c r="G933" t="s">
        <v>304</v>
      </c>
      <c r="H933" t="s">
        <v>1912</v>
      </c>
      <c r="I933" t="s">
        <v>1555</v>
      </c>
      <c r="J933">
        <v>1</v>
      </c>
      <c r="L933">
        <v>531.05999999999995</v>
      </c>
      <c r="M933">
        <v>905.04</v>
      </c>
      <c r="N933">
        <v>1350.47</v>
      </c>
      <c r="O933">
        <v>1925.62</v>
      </c>
      <c r="P933">
        <v>0</v>
      </c>
      <c r="Q933">
        <v>3</v>
      </c>
      <c r="R933">
        <v>0</v>
      </c>
      <c r="S933">
        <v>200289</v>
      </c>
      <c r="T933" t="b">
        <v>1</v>
      </c>
    </row>
    <row r="934" spans="2:20" x14ac:dyDescent="0.35">
      <c r="B934">
        <v>2019</v>
      </c>
      <c r="C934" s="41">
        <v>43400</v>
      </c>
      <c r="D934" t="s">
        <v>1913</v>
      </c>
      <c r="E934" t="s">
        <v>219</v>
      </c>
      <c r="F934" t="s">
        <v>458</v>
      </c>
      <c r="G934" t="s">
        <v>304</v>
      </c>
      <c r="H934" t="s">
        <v>1914</v>
      </c>
      <c r="I934" t="s">
        <v>843</v>
      </c>
      <c r="J934">
        <v>1</v>
      </c>
      <c r="L934">
        <v>490.46</v>
      </c>
      <c r="M934">
        <v>835.85</v>
      </c>
      <c r="N934">
        <v>1247.21999999999</v>
      </c>
      <c r="O934">
        <v>1778.3999999999901</v>
      </c>
      <c r="P934">
        <v>0</v>
      </c>
      <c r="Q934">
        <v>3</v>
      </c>
      <c r="R934">
        <v>0</v>
      </c>
      <c r="S934">
        <v>200289</v>
      </c>
      <c r="T934" t="b">
        <v>1</v>
      </c>
    </row>
    <row r="935" spans="2:20" x14ac:dyDescent="0.35">
      <c r="B935">
        <v>2019</v>
      </c>
      <c r="C935" s="41">
        <v>43400</v>
      </c>
      <c r="D935" t="s">
        <v>1915</v>
      </c>
      <c r="E935" t="s">
        <v>219</v>
      </c>
      <c r="F935" t="s">
        <v>458</v>
      </c>
      <c r="G935" t="s">
        <v>304</v>
      </c>
      <c r="H935" t="s">
        <v>1916</v>
      </c>
      <c r="I935" t="s">
        <v>843</v>
      </c>
      <c r="J935">
        <v>1</v>
      </c>
      <c r="L935">
        <v>490.46</v>
      </c>
      <c r="M935">
        <v>835.85</v>
      </c>
      <c r="N935">
        <v>1247.21999999999</v>
      </c>
      <c r="O935">
        <v>1778.3999999999901</v>
      </c>
      <c r="P935">
        <v>0</v>
      </c>
      <c r="Q935">
        <v>3</v>
      </c>
      <c r="R935">
        <v>0</v>
      </c>
      <c r="S935">
        <v>200289</v>
      </c>
      <c r="T935" t="b">
        <v>1</v>
      </c>
    </row>
    <row r="936" spans="2:20" x14ac:dyDescent="0.35">
      <c r="B936">
        <v>2019</v>
      </c>
      <c r="C936" s="41">
        <v>43400</v>
      </c>
      <c r="D936" t="s">
        <v>1917</v>
      </c>
      <c r="E936" t="s">
        <v>219</v>
      </c>
      <c r="F936" t="s">
        <v>458</v>
      </c>
      <c r="G936" t="s">
        <v>304</v>
      </c>
      <c r="H936" t="s">
        <v>1918</v>
      </c>
      <c r="I936" t="s">
        <v>843</v>
      </c>
      <c r="J936">
        <v>1</v>
      </c>
      <c r="L936">
        <v>490.46</v>
      </c>
      <c r="M936">
        <v>835.85</v>
      </c>
      <c r="N936">
        <v>1247.21999999999</v>
      </c>
      <c r="O936">
        <v>1778.3999999999901</v>
      </c>
      <c r="P936">
        <v>0</v>
      </c>
      <c r="Q936">
        <v>3</v>
      </c>
      <c r="R936">
        <v>0</v>
      </c>
      <c r="S936">
        <v>200289</v>
      </c>
      <c r="T936" t="b">
        <v>1</v>
      </c>
    </row>
    <row r="937" spans="2:20" x14ac:dyDescent="0.35">
      <c r="B937">
        <v>2019</v>
      </c>
      <c r="C937" s="41">
        <v>43400</v>
      </c>
      <c r="D937" t="s">
        <v>898</v>
      </c>
      <c r="E937" t="s">
        <v>219</v>
      </c>
      <c r="F937" t="s">
        <v>1311</v>
      </c>
      <c r="G937" t="s">
        <v>304</v>
      </c>
      <c r="H937" t="s">
        <v>1919</v>
      </c>
      <c r="I937" t="s">
        <v>310</v>
      </c>
      <c r="J937">
        <v>1</v>
      </c>
      <c r="L937">
        <v>421.84</v>
      </c>
      <c r="M937">
        <v>718.9</v>
      </c>
      <c r="N937">
        <v>1072.72</v>
      </c>
      <c r="O937">
        <v>1529.58</v>
      </c>
      <c r="P937">
        <v>0</v>
      </c>
      <c r="Q937">
        <v>2</v>
      </c>
      <c r="R937">
        <v>0</v>
      </c>
      <c r="S937">
        <v>200289</v>
      </c>
      <c r="T937" t="b">
        <v>1</v>
      </c>
    </row>
    <row r="938" spans="2:20" x14ac:dyDescent="0.35">
      <c r="B938">
        <v>2019</v>
      </c>
      <c r="C938" s="41">
        <v>43400</v>
      </c>
      <c r="D938" t="s">
        <v>898</v>
      </c>
      <c r="E938" t="s">
        <v>219</v>
      </c>
      <c r="F938" t="s">
        <v>458</v>
      </c>
      <c r="G938" t="s">
        <v>304</v>
      </c>
      <c r="H938" t="s">
        <v>1919</v>
      </c>
      <c r="I938" t="s">
        <v>310</v>
      </c>
      <c r="J938">
        <v>1</v>
      </c>
      <c r="L938">
        <v>421.84</v>
      </c>
      <c r="M938">
        <v>718.9</v>
      </c>
      <c r="N938">
        <v>1072.72</v>
      </c>
      <c r="O938">
        <v>1529.58</v>
      </c>
      <c r="P938">
        <v>0</v>
      </c>
      <c r="Q938">
        <v>2</v>
      </c>
      <c r="R938">
        <v>0</v>
      </c>
      <c r="S938">
        <v>200289</v>
      </c>
      <c r="T938" t="b">
        <v>1</v>
      </c>
    </row>
    <row r="939" spans="2:20" x14ac:dyDescent="0.35">
      <c r="B939">
        <v>2019</v>
      </c>
      <c r="C939" s="41">
        <v>43400</v>
      </c>
      <c r="D939" t="s">
        <v>1920</v>
      </c>
      <c r="E939" t="s">
        <v>219</v>
      </c>
      <c r="F939" t="s">
        <v>461</v>
      </c>
      <c r="G939" t="s">
        <v>304</v>
      </c>
      <c r="H939" t="s">
        <v>1921</v>
      </c>
      <c r="I939" t="s">
        <v>842</v>
      </c>
      <c r="J939">
        <v>1</v>
      </c>
      <c r="L939">
        <v>381.25</v>
      </c>
      <c r="M939">
        <v>649.72</v>
      </c>
      <c r="N939">
        <v>969.5</v>
      </c>
      <c r="O939">
        <v>1382.4</v>
      </c>
      <c r="P939">
        <v>0</v>
      </c>
      <c r="Q939">
        <v>3</v>
      </c>
      <c r="R939">
        <v>0</v>
      </c>
      <c r="S939">
        <v>200289</v>
      </c>
      <c r="T939" t="b">
        <v>1</v>
      </c>
    </row>
    <row r="940" spans="2:20" x14ac:dyDescent="0.35">
      <c r="B940">
        <v>2019</v>
      </c>
      <c r="C940" s="41">
        <v>43400</v>
      </c>
      <c r="D940" t="s">
        <v>1922</v>
      </c>
      <c r="E940" t="s">
        <v>219</v>
      </c>
      <c r="F940" t="s">
        <v>461</v>
      </c>
      <c r="G940" t="s">
        <v>304</v>
      </c>
      <c r="H940" t="s">
        <v>1731</v>
      </c>
      <c r="I940" t="s">
        <v>310</v>
      </c>
      <c r="J940">
        <v>1</v>
      </c>
      <c r="L940">
        <v>484.21</v>
      </c>
      <c r="M940">
        <v>825.2</v>
      </c>
      <c r="N940">
        <v>1231.33</v>
      </c>
      <c r="O940">
        <v>1755.73999999999</v>
      </c>
      <c r="P940">
        <v>0</v>
      </c>
      <c r="Q940">
        <v>3</v>
      </c>
      <c r="R940">
        <v>0</v>
      </c>
      <c r="S940">
        <v>200289</v>
      </c>
      <c r="T940" t="b">
        <v>1</v>
      </c>
    </row>
    <row r="941" spans="2:20" x14ac:dyDescent="0.35">
      <c r="B941">
        <v>2019</v>
      </c>
      <c r="C941" s="41">
        <v>43400</v>
      </c>
      <c r="D941" t="s">
        <v>1923</v>
      </c>
      <c r="E941" t="s">
        <v>219</v>
      </c>
      <c r="F941" t="s">
        <v>458</v>
      </c>
      <c r="G941" t="s">
        <v>304</v>
      </c>
      <c r="H941" t="s">
        <v>1652</v>
      </c>
      <c r="I941" t="s">
        <v>310</v>
      </c>
      <c r="J941">
        <v>1</v>
      </c>
      <c r="L941">
        <v>504.59</v>
      </c>
      <c r="M941">
        <v>859.93</v>
      </c>
      <c r="N941">
        <v>1283.1399999999901</v>
      </c>
      <c r="O941">
        <v>1829.62</v>
      </c>
      <c r="P941">
        <v>1</v>
      </c>
      <c r="Q941">
        <v>1</v>
      </c>
      <c r="R941">
        <v>0</v>
      </c>
      <c r="S941">
        <v>200289</v>
      </c>
      <c r="T941" t="b">
        <v>1</v>
      </c>
    </row>
    <row r="942" spans="2:20" x14ac:dyDescent="0.35">
      <c r="B942">
        <v>2019</v>
      </c>
      <c r="C942" s="41">
        <v>43400</v>
      </c>
      <c r="D942" t="s">
        <v>1924</v>
      </c>
      <c r="E942" t="s">
        <v>219</v>
      </c>
      <c r="F942" t="s">
        <v>461</v>
      </c>
      <c r="G942" t="s">
        <v>304</v>
      </c>
      <c r="H942" t="s">
        <v>1572</v>
      </c>
      <c r="I942" t="s">
        <v>310</v>
      </c>
      <c r="J942">
        <v>1</v>
      </c>
      <c r="L942">
        <v>484.21</v>
      </c>
      <c r="M942">
        <v>825.2</v>
      </c>
      <c r="N942">
        <v>1231.33</v>
      </c>
      <c r="O942">
        <v>1755.73999999999</v>
      </c>
      <c r="P942">
        <v>1</v>
      </c>
      <c r="Q942">
        <v>1</v>
      </c>
      <c r="R942">
        <v>0</v>
      </c>
      <c r="S942">
        <v>200289</v>
      </c>
      <c r="T942" t="b">
        <v>1</v>
      </c>
    </row>
    <row r="943" spans="2:20" x14ac:dyDescent="0.35">
      <c r="B943">
        <v>2019</v>
      </c>
      <c r="C943" s="41">
        <v>43400</v>
      </c>
      <c r="D943" t="s">
        <v>1925</v>
      </c>
      <c r="E943" t="s">
        <v>219</v>
      </c>
      <c r="F943" t="s">
        <v>458</v>
      </c>
      <c r="G943" t="s">
        <v>304</v>
      </c>
      <c r="H943" t="s">
        <v>1737</v>
      </c>
      <c r="I943" t="s">
        <v>310</v>
      </c>
      <c r="J943">
        <v>1</v>
      </c>
      <c r="L943">
        <v>504.59</v>
      </c>
      <c r="M943">
        <v>859.93</v>
      </c>
      <c r="N943">
        <v>1283.1399999999901</v>
      </c>
      <c r="O943">
        <v>1829.62</v>
      </c>
      <c r="P943">
        <v>1</v>
      </c>
      <c r="Q943">
        <v>1</v>
      </c>
      <c r="R943">
        <v>0</v>
      </c>
      <c r="S943">
        <v>200289</v>
      </c>
      <c r="T943" t="b">
        <v>1</v>
      </c>
    </row>
    <row r="944" spans="2:20" x14ac:dyDescent="0.35">
      <c r="B944">
        <v>2019</v>
      </c>
      <c r="C944" s="41">
        <v>43400</v>
      </c>
      <c r="D944" t="s">
        <v>1926</v>
      </c>
      <c r="E944" t="s">
        <v>219</v>
      </c>
      <c r="F944" t="s">
        <v>458</v>
      </c>
      <c r="G944" t="s">
        <v>304</v>
      </c>
      <c r="H944" t="s">
        <v>1559</v>
      </c>
      <c r="I944" t="s">
        <v>310</v>
      </c>
      <c r="J944">
        <v>1</v>
      </c>
      <c r="L944">
        <v>504.59</v>
      </c>
      <c r="M944">
        <v>859.93</v>
      </c>
      <c r="N944">
        <v>1283.1399999999901</v>
      </c>
      <c r="O944">
        <v>1829.62</v>
      </c>
      <c r="P944">
        <v>1</v>
      </c>
      <c r="Q944">
        <v>1</v>
      </c>
      <c r="R944">
        <v>0</v>
      </c>
      <c r="S944">
        <v>200289</v>
      </c>
      <c r="T944" t="b">
        <v>1</v>
      </c>
    </row>
    <row r="945" spans="2:20" x14ac:dyDescent="0.35">
      <c r="B945">
        <v>2019</v>
      </c>
      <c r="C945" s="41">
        <v>43400</v>
      </c>
      <c r="D945" t="s">
        <v>1927</v>
      </c>
      <c r="E945" t="s">
        <v>219</v>
      </c>
      <c r="F945" t="s">
        <v>458</v>
      </c>
      <c r="G945" t="s">
        <v>304</v>
      </c>
      <c r="H945" t="s">
        <v>1741</v>
      </c>
      <c r="I945" t="s">
        <v>310</v>
      </c>
      <c r="J945">
        <v>1</v>
      </c>
      <c r="L945">
        <v>504.59</v>
      </c>
      <c r="M945">
        <v>859.93</v>
      </c>
      <c r="N945">
        <v>1283.1399999999901</v>
      </c>
      <c r="O945">
        <v>1829.62</v>
      </c>
      <c r="P945">
        <v>1</v>
      </c>
      <c r="Q945">
        <v>1</v>
      </c>
      <c r="R945">
        <v>0</v>
      </c>
      <c r="S945">
        <v>200289</v>
      </c>
      <c r="T945" t="b">
        <v>1</v>
      </c>
    </row>
    <row r="946" spans="2:20" x14ac:dyDescent="0.35">
      <c r="B946">
        <v>2019</v>
      </c>
      <c r="C946" s="41">
        <v>43400</v>
      </c>
      <c r="D946" t="s">
        <v>1928</v>
      </c>
      <c r="E946" t="s">
        <v>219</v>
      </c>
      <c r="F946" t="s">
        <v>458</v>
      </c>
      <c r="G946" t="s">
        <v>304</v>
      </c>
      <c r="H946" t="s">
        <v>1739</v>
      </c>
      <c r="I946" t="s">
        <v>310</v>
      </c>
      <c r="J946">
        <v>1</v>
      </c>
      <c r="L946">
        <v>504.59</v>
      </c>
      <c r="M946">
        <v>859.93</v>
      </c>
      <c r="N946">
        <v>1283.1399999999901</v>
      </c>
      <c r="O946">
        <v>1829.62</v>
      </c>
      <c r="P946">
        <v>1</v>
      </c>
      <c r="Q946">
        <v>1</v>
      </c>
      <c r="R946">
        <v>0</v>
      </c>
      <c r="S946">
        <v>200289</v>
      </c>
      <c r="T946" t="b">
        <v>1</v>
      </c>
    </row>
    <row r="947" spans="2:20" x14ac:dyDescent="0.35">
      <c r="B947">
        <v>2019</v>
      </c>
      <c r="C947" s="41">
        <v>43400</v>
      </c>
      <c r="D947" t="s">
        <v>1929</v>
      </c>
      <c r="E947" t="s">
        <v>219</v>
      </c>
      <c r="F947" t="s">
        <v>458</v>
      </c>
      <c r="G947" t="s">
        <v>304</v>
      </c>
      <c r="H947" t="s">
        <v>1858</v>
      </c>
      <c r="I947" t="s">
        <v>310</v>
      </c>
      <c r="J947">
        <v>1</v>
      </c>
      <c r="L947">
        <v>504.59</v>
      </c>
      <c r="M947">
        <v>859.93</v>
      </c>
      <c r="N947">
        <v>1283.1399999999901</v>
      </c>
      <c r="O947">
        <v>1829.62</v>
      </c>
      <c r="P947">
        <v>1</v>
      </c>
      <c r="Q947">
        <v>1</v>
      </c>
      <c r="R947">
        <v>0</v>
      </c>
      <c r="S947">
        <v>200289</v>
      </c>
      <c r="T947" t="b">
        <v>1</v>
      </c>
    </row>
    <row r="948" spans="2:20" x14ac:dyDescent="0.35">
      <c r="B948">
        <v>2019</v>
      </c>
      <c r="C948" s="41">
        <v>43400</v>
      </c>
      <c r="D948" t="s">
        <v>1930</v>
      </c>
      <c r="E948" t="s">
        <v>219</v>
      </c>
      <c r="F948" t="s">
        <v>458</v>
      </c>
      <c r="G948" t="s">
        <v>304</v>
      </c>
      <c r="H948" t="s">
        <v>1931</v>
      </c>
      <c r="I948" t="s">
        <v>1555</v>
      </c>
      <c r="J948">
        <v>1</v>
      </c>
      <c r="L948">
        <v>553.53</v>
      </c>
      <c r="M948">
        <v>943.33</v>
      </c>
      <c r="N948">
        <v>1407.6</v>
      </c>
      <c r="O948">
        <v>2007.08</v>
      </c>
      <c r="P948">
        <v>0</v>
      </c>
      <c r="Q948">
        <v>3</v>
      </c>
      <c r="R948">
        <v>0</v>
      </c>
      <c r="S948">
        <v>200289</v>
      </c>
      <c r="T948" t="b">
        <v>1</v>
      </c>
    </row>
    <row r="949" spans="2:20" x14ac:dyDescent="0.35">
      <c r="B949">
        <v>2019</v>
      </c>
      <c r="C949" s="41">
        <v>43400</v>
      </c>
      <c r="D949" t="s">
        <v>1932</v>
      </c>
      <c r="E949" t="s">
        <v>219</v>
      </c>
      <c r="F949" t="s">
        <v>458</v>
      </c>
      <c r="G949" t="s">
        <v>304</v>
      </c>
      <c r="H949" t="s">
        <v>1933</v>
      </c>
      <c r="I949" t="s">
        <v>1555</v>
      </c>
      <c r="J949">
        <v>1</v>
      </c>
      <c r="L949">
        <v>553.53</v>
      </c>
      <c r="M949">
        <v>943.33</v>
      </c>
      <c r="N949">
        <v>1407.6</v>
      </c>
      <c r="O949">
        <v>2007.08</v>
      </c>
      <c r="P949">
        <v>0</v>
      </c>
      <c r="Q949">
        <v>3</v>
      </c>
      <c r="R949">
        <v>0</v>
      </c>
      <c r="S949">
        <v>200289</v>
      </c>
      <c r="T949" t="b">
        <v>1</v>
      </c>
    </row>
    <row r="950" spans="2:20" x14ac:dyDescent="0.35">
      <c r="B950">
        <v>2019</v>
      </c>
      <c r="C950" s="41">
        <v>43400</v>
      </c>
      <c r="D950" t="s">
        <v>1934</v>
      </c>
      <c r="E950" t="s">
        <v>219</v>
      </c>
      <c r="F950" t="s">
        <v>461</v>
      </c>
      <c r="G950" t="s">
        <v>304</v>
      </c>
      <c r="H950" t="s">
        <v>1935</v>
      </c>
      <c r="I950" t="s">
        <v>843</v>
      </c>
      <c r="J950">
        <v>1</v>
      </c>
      <c r="L950">
        <v>470.77</v>
      </c>
      <c r="M950">
        <v>802.28</v>
      </c>
      <c r="N950">
        <v>1197.1300000000001</v>
      </c>
      <c r="O950">
        <v>1706.98</v>
      </c>
      <c r="P950">
        <v>0</v>
      </c>
      <c r="Q950">
        <v>3</v>
      </c>
      <c r="R950">
        <v>0</v>
      </c>
      <c r="S950">
        <v>200289</v>
      </c>
      <c r="T950" t="b">
        <v>1</v>
      </c>
    </row>
    <row r="951" spans="2:20" x14ac:dyDescent="0.35">
      <c r="B951">
        <v>2019</v>
      </c>
      <c r="C951" s="41">
        <v>43400</v>
      </c>
      <c r="D951" t="s">
        <v>1936</v>
      </c>
      <c r="E951" t="s">
        <v>219</v>
      </c>
      <c r="F951" t="s">
        <v>458</v>
      </c>
      <c r="G951" t="s">
        <v>304</v>
      </c>
      <c r="H951" t="s">
        <v>1937</v>
      </c>
      <c r="I951" t="s">
        <v>843</v>
      </c>
      <c r="J951">
        <v>1</v>
      </c>
      <c r="L951">
        <v>490.46</v>
      </c>
      <c r="M951">
        <v>835.85</v>
      </c>
      <c r="N951">
        <v>1247.21999999999</v>
      </c>
      <c r="O951">
        <v>1778.3999999999901</v>
      </c>
      <c r="P951">
        <v>0</v>
      </c>
      <c r="Q951">
        <v>3</v>
      </c>
      <c r="R951">
        <v>0</v>
      </c>
      <c r="S951">
        <v>200289</v>
      </c>
      <c r="T951" t="b">
        <v>1</v>
      </c>
    </row>
    <row r="952" spans="2:20" x14ac:dyDescent="0.35">
      <c r="B952">
        <v>2019</v>
      </c>
      <c r="C952" s="41">
        <v>43400</v>
      </c>
      <c r="D952" t="s">
        <v>1938</v>
      </c>
      <c r="E952" t="s">
        <v>219</v>
      </c>
      <c r="F952" t="s">
        <v>458</v>
      </c>
      <c r="G952" t="s">
        <v>304</v>
      </c>
      <c r="H952" t="s">
        <v>1939</v>
      </c>
      <c r="I952" t="s">
        <v>1555</v>
      </c>
      <c r="J952">
        <v>1</v>
      </c>
      <c r="L952">
        <v>553.53</v>
      </c>
      <c r="M952">
        <v>943.33</v>
      </c>
      <c r="N952">
        <v>1407.6</v>
      </c>
      <c r="O952">
        <v>2007.08</v>
      </c>
      <c r="P952">
        <v>0</v>
      </c>
      <c r="Q952">
        <v>3</v>
      </c>
      <c r="R952">
        <v>0</v>
      </c>
      <c r="S952">
        <v>200289</v>
      </c>
      <c r="T952" t="b">
        <v>1</v>
      </c>
    </row>
    <row r="953" spans="2:20" x14ac:dyDescent="0.35">
      <c r="B953">
        <v>2019</v>
      </c>
      <c r="C953" s="41">
        <v>43400</v>
      </c>
      <c r="D953" t="s">
        <v>1940</v>
      </c>
      <c r="E953" t="s">
        <v>219</v>
      </c>
      <c r="F953" t="s">
        <v>461</v>
      </c>
      <c r="G953" t="s">
        <v>304</v>
      </c>
      <c r="H953" t="s">
        <v>1941</v>
      </c>
      <c r="I953" t="s">
        <v>842</v>
      </c>
      <c r="J953">
        <v>1</v>
      </c>
      <c r="L953">
        <v>381.25</v>
      </c>
      <c r="M953">
        <v>649.72</v>
      </c>
      <c r="N953">
        <v>969.5</v>
      </c>
      <c r="O953">
        <v>1382.4</v>
      </c>
      <c r="P953">
        <v>0</v>
      </c>
      <c r="Q953">
        <v>3</v>
      </c>
      <c r="R953">
        <v>0</v>
      </c>
      <c r="S953">
        <v>200289</v>
      </c>
      <c r="T953" t="b">
        <v>1</v>
      </c>
    </row>
    <row r="954" spans="2:20" x14ac:dyDescent="0.35">
      <c r="B954">
        <v>2019</v>
      </c>
      <c r="C954" s="41">
        <v>43400</v>
      </c>
      <c r="D954" t="s">
        <v>1942</v>
      </c>
      <c r="E954" t="s">
        <v>219</v>
      </c>
      <c r="F954" t="s">
        <v>458</v>
      </c>
      <c r="G954" t="s">
        <v>304</v>
      </c>
      <c r="H954" t="s">
        <v>1650</v>
      </c>
      <c r="I954" t="s">
        <v>310</v>
      </c>
      <c r="J954">
        <v>1</v>
      </c>
      <c r="L954">
        <v>504.59</v>
      </c>
      <c r="M954">
        <v>859.93</v>
      </c>
      <c r="N954">
        <v>1283.1399999999901</v>
      </c>
      <c r="O954">
        <v>1829.62</v>
      </c>
      <c r="P954">
        <v>0</v>
      </c>
      <c r="Q954">
        <v>3</v>
      </c>
      <c r="R954">
        <v>0</v>
      </c>
      <c r="S954">
        <v>200289</v>
      </c>
      <c r="T954" t="b">
        <v>1</v>
      </c>
    </row>
    <row r="955" spans="2:20" x14ac:dyDescent="0.35">
      <c r="B955">
        <v>2019</v>
      </c>
      <c r="C955" s="41">
        <v>43400</v>
      </c>
      <c r="D955" t="s">
        <v>1943</v>
      </c>
      <c r="E955" t="s">
        <v>219</v>
      </c>
      <c r="F955" t="s">
        <v>458</v>
      </c>
      <c r="G955" t="s">
        <v>304</v>
      </c>
      <c r="H955" t="s">
        <v>1652</v>
      </c>
      <c r="I955" t="s">
        <v>310</v>
      </c>
      <c r="J955">
        <v>1</v>
      </c>
      <c r="L955">
        <v>504.59</v>
      </c>
      <c r="M955">
        <v>859.93</v>
      </c>
      <c r="N955">
        <v>1283.1399999999901</v>
      </c>
      <c r="O955">
        <v>1829.62</v>
      </c>
      <c r="P955">
        <v>1</v>
      </c>
      <c r="Q955">
        <v>1</v>
      </c>
      <c r="R955">
        <v>0</v>
      </c>
      <c r="S955">
        <v>200289</v>
      </c>
      <c r="T955" t="b">
        <v>1</v>
      </c>
    </row>
    <row r="956" spans="2:20" x14ac:dyDescent="0.35">
      <c r="B956">
        <v>2019</v>
      </c>
      <c r="C956" s="41">
        <v>43400</v>
      </c>
      <c r="D956" t="s">
        <v>1944</v>
      </c>
      <c r="E956" t="s">
        <v>219</v>
      </c>
      <c r="F956" t="s">
        <v>461</v>
      </c>
      <c r="G956" t="s">
        <v>304</v>
      </c>
      <c r="H956" t="s">
        <v>1735</v>
      </c>
      <c r="I956" t="s">
        <v>310</v>
      </c>
      <c r="J956">
        <v>1</v>
      </c>
      <c r="L956">
        <v>484.21</v>
      </c>
      <c r="M956">
        <v>825.2</v>
      </c>
      <c r="N956">
        <v>1231.33</v>
      </c>
      <c r="O956">
        <v>1755.73999999999</v>
      </c>
      <c r="P956">
        <v>0</v>
      </c>
      <c r="Q956">
        <v>3</v>
      </c>
      <c r="R956">
        <v>0</v>
      </c>
      <c r="S956">
        <v>200289</v>
      </c>
      <c r="T956" t="b">
        <v>1</v>
      </c>
    </row>
    <row r="957" spans="2:20" x14ac:dyDescent="0.35">
      <c r="B957">
        <v>2019</v>
      </c>
      <c r="C957" s="41">
        <v>43400</v>
      </c>
      <c r="D957" t="s">
        <v>1945</v>
      </c>
      <c r="E957" t="s">
        <v>219</v>
      </c>
      <c r="F957" t="s">
        <v>458</v>
      </c>
      <c r="G957" t="s">
        <v>304</v>
      </c>
      <c r="H957" t="s">
        <v>1858</v>
      </c>
      <c r="I957" t="s">
        <v>310</v>
      </c>
      <c r="J957">
        <v>1</v>
      </c>
      <c r="L957">
        <v>504.59</v>
      </c>
      <c r="M957">
        <v>859.93</v>
      </c>
      <c r="N957">
        <v>1283.1399999999901</v>
      </c>
      <c r="O957">
        <v>1829.62</v>
      </c>
      <c r="P957">
        <v>0</v>
      </c>
      <c r="Q957">
        <v>3</v>
      </c>
      <c r="R957">
        <v>0</v>
      </c>
      <c r="S957">
        <v>200289</v>
      </c>
      <c r="T957" t="b">
        <v>1</v>
      </c>
    </row>
    <row r="958" spans="2:20" x14ac:dyDescent="0.35">
      <c r="B958">
        <v>2019</v>
      </c>
      <c r="C958" s="41">
        <v>43400</v>
      </c>
      <c r="D958" t="s">
        <v>1946</v>
      </c>
      <c r="E958" t="s">
        <v>219</v>
      </c>
      <c r="F958" t="s">
        <v>458</v>
      </c>
      <c r="G958" t="s">
        <v>304</v>
      </c>
      <c r="H958" t="s">
        <v>1737</v>
      </c>
      <c r="I958" t="s">
        <v>310</v>
      </c>
      <c r="J958">
        <v>1</v>
      </c>
      <c r="L958">
        <v>504.59</v>
      </c>
      <c r="M958">
        <v>859.93</v>
      </c>
      <c r="N958">
        <v>1283.1399999999901</v>
      </c>
      <c r="O958">
        <v>1829.62</v>
      </c>
      <c r="P958">
        <v>1</v>
      </c>
      <c r="Q958">
        <v>1</v>
      </c>
      <c r="R958">
        <v>0</v>
      </c>
      <c r="S958">
        <v>200289</v>
      </c>
      <c r="T958" t="b">
        <v>1</v>
      </c>
    </row>
    <row r="959" spans="2:20" x14ac:dyDescent="0.35">
      <c r="B959">
        <v>2019</v>
      </c>
      <c r="C959" s="41">
        <v>43400</v>
      </c>
      <c r="D959" t="s">
        <v>1947</v>
      </c>
      <c r="E959" t="s">
        <v>219</v>
      </c>
      <c r="F959" t="s">
        <v>1302</v>
      </c>
      <c r="G959" t="s">
        <v>304</v>
      </c>
      <c r="H959" t="s">
        <v>1814</v>
      </c>
      <c r="I959" t="s">
        <v>310</v>
      </c>
      <c r="J959">
        <v>1</v>
      </c>
      <c r="L959">
        <v>442.34</v>
      </c>
      <c r="M959">
        <v>753.83</v>
      </c>
      <c r="N959">
        <v>1124.8399999999999</v>
      </c>
      <c r="O959">
        <v>1603.9</v>
      </c>
      <c r="P959">
        <v>1</v>
      </c>
      <c r="Q959">
        <v>1</v>
      </c>
      <c r="R959">
        <v>0</v>
      </c>
      <c r="S959">
        <v>200289</v>
      </c>
      <c r="T959" t="b">
        <v>1</v>
      </c>
    </row>
    <row r="960" spans="2:20" x14ac:dyDescent="0.35">
      <c r="B960">
        <v>2019</v>
      </c>
      <c r="C960" s="41">
        <v>43400</v>
      </c>
      <c r="D960" t="s">
        <v>1948</v>
      </c>
      <c r="E960" t="s">
        <v>219</v>
      </c>
      <c r="F960" t="s">
        <v>458</v>
      </c>
      <c r="G960" t="s">
        <v>304</v>
      </c>
      <c r="H960" t="s">
        <v>1739</v>
      </c>
      <c r="I960" t="s">
        <v>310</v>
      </c>
      <c r="J960">
        <v>1</v>
      </c>
      <c r="L960">
        <v>504.59</v>
      </c>
      <c r="M960">
        <v>859.93</v>
      </c>
      <c r="N960">
        <v>1283.1399999999901</v>
      </c>
      <c r="O960">
        <v>1829.62</v>
      </c>
      <c r="P960">
        <v>1</v>
      </c>
      <c r="Q960">
        <v>1</v>
      </c>
      <c r="R960">
        <v>0</v>
      </c>
      <c r="S960">
        <v>200289</v>
      </c>
      <c r="T960" t="b">
        <v>1</v>
      </c>
    </row>
    <row r="961" spans="2:20" x14ac:dyDescent="0.35">
      <c r="B961">
        <v>2019</v>
      </c>
      <c r="C961" s="41">
        <v>43400</v>
      </c>
      <c r="D961" t="s">
        <v>1949</v>
      </c>
      <c r="E961" t="s">
        <v>219</v>
      </c>
      <c r="F961" t="s">
        <v>458</v>
      </c>
      <c r="G961" t="s">
        <v>304</v>
      </c>
      <c r="H961" t="s">
        <v>1950</v>
      </c>
      <c r="I961" t="s">
        <v>1555</v>
      </c>
      <c r="J961">
        <v>1</v>
      </c>
      <c r="L961">
        <v>553.53</v>
      </c>
      <c r="M961">
        <v>943.33</v>
      </c>
      <c r="N961">
        <v>1407.6</v>
      </c>
      <c r="O961">
        <v>2007.08</v>
      </c>
      <c r="P961">
        <v>0</v>
      </c>
      <c r="Q961">
        <v>3</v>
      </c>
      <c r="R961">
        <v>0</v>
      </c>
      <c r="S961">
        <v>200289</v>
      </c>
      <c r="T961" t="b">
        <v>1</v>
      </c>
    </row>
    <row r="962" spans="2:20" x14ac:dyDescent="0.35">
      <c r="B962">
        <v>2019</v>
      </c>
      <c r="C962" s="41">
        <v>43400</v>
      </c>
      <c r="D962" t="s">
        <v>1951</v>
      </c>
      <c r="E962" t="s">
        <v>219</v>
      </c>
      <c r="F962" t="s">
        <v>458</v>
      </c>
      <c r="G962" t="s">
        <v>304</v>
      </c>
      <c r="H962" t="s">
        <v>1952</v>
      </c>
      <c r="I962" t="s">
        <v>1555</v>
      </c>
      <c r="J962">
        <v>1</v>
      </c>
      <c r="L962">
        <v>553.53</v>
      </c>
      <c r="M962">
        <v>943.33</v>
      </c>
      <c r="N962">
        <v>1407.6</v>
      </c>
      <c r="O962">
        <v>2007.08</v>
      </c>
      <c r="P962">
        <v>0</v>
      </c>
      <c r="Q962">
        <v>3</v>
      </c>
      <c r="R962">
        <v>0</v>
      </c>
      <c r="S962">
        <v>200289</v>
      </c>
      <c r="T962" t="b">
        <v>1</v>
      </c>
    </row>
    <row r="963" spans="2:20" x14ac:dyDescent="0.35">
      <c r="B963">
        <v>2019</v>
      </c>
      <c r="C963" s="41">
        <v>43400</v>
      </c>
      <c r="D963" t="s">
        <v>1953</v>
      </c>
      <c r="E963" t="s">
        <v>219</v>
      </c>
      <c r="F963" t="s">
        <v>458</v>
      </c>
      <c r="G963" t="s">
        <v>304</v>
      </c>
      <c r="H963" t="s">
        <v>1954</v>
      </c>
      <c r="I963" t="s">
        <v>843</v>
      </c>
      <c r="J963">
        <v>1</v>
      </c>
      <c r="L963">
        <v>490.46</v>
      </c>
      <c r="M963">
        <v>835.85</v>
      </c>
      <c r="N963">
        <v>1247.21999999999</v>
      </c>
      <c r="O963">
        <v>1778.3999999999901</v>
      </c>
      <c r="P963">
        <v>0</v>
      </c>
      <c r="Q963">
        <v>3</v>
      </c>
      <c r="R963">
        <v>0</v>
      </c>
      <c r="S963">
        <v>200289</v>
      </c>
      <c r="T963" t="b">
        <v>1</v>
      </c>
    </row>
    <row r="964" spans="2:20" x14ac:dyDescent="0.35">
      <c r="B964">
        <v>2019</v>
      </c>
      <c r="C964" s="41">
        <v>43400</v>
      </c>
      <c r="D964" t="s">
        <v>1955</v>
      </c>
      <c r="E964" t="s">
        <v>219</v>
      </c>
      <c r="F964" t="s">
        <v>1302</v>
      </c>
      <c r="G964" t="s">
        <v>304</v>
      </c>
      <c r="H964" t="s">
        <v>1956</v>
      </c>
      <c r="I964" t="s">
        <v>843</v>
      </c>
      <c r="J964">
        <v>1</v>
      </c>
      <c r="L964">
        <v>388.71</v>
      </c>
      <c r="M964">
        <v>662.44</v>
      </c>
      <c r="N964">
        <v>988.48</v>
      </c>
      <c r="O964">
        <v>1409.46</v>
      </c>
      <c r="P964">
        <v>0</v>
      </c>
      <c r="Q964">
        <v>3</v>
      </c>
      <c r="R964">
        <v>0</v>
      </c>
      <c r="S964">
        <v>200289</v>
      </c>
      <c r="T964" t="b">
        <v>1</v>
      </c>
    </row>
    <row r="965" spans="2:20" x14ac:dyDescent="0.35">
      <c r="B965">
        <v>2019</v>
      </c>
      <c r="C965" s="41">
        <v>43400</v>
      </c>
      <c r="D965" t="s">
        <v>1957</v>
      </c>
      <c r="E965" t="s">
        <v>219</v>
      </c>
      <c r="F965" t="s">
        <v>1311</v>
      </c>
      <c r="G965" t="s">
        <v>304</v>
      </c>
      <c r="H965" t="s">
        <v>1824</v>
      </c>
      <c r="I965" t="s">
        <v>310</v>
      </c>
      <c r="J965">
        <v>1</v>
      </c>
      <c r="L965">
        <v>504.59</v>
      </c>
      <c r="M965">
        <v>859.93</v>
      </c>
      <c r="N965">
        <v>1283.1399999999901</v>
      </c>
      <c r="O965">
        <v>1829.62</v>
      </c>
      <c r="P965">
        <v>1</v>
      </c>
      <c r="Q965">
        <v>1</v>
      </c>
      <c r="R965">
        <v>0</v>
      </c>
      <c r="S965">
        <v>200289</v>
      </c>
      <c r="T965" t="b">
        <v>1</v>
      </c>
    </row>
    <row r="966" spans="2:20" x14ac:dyDescent="0.35">
      <c r="B966">
        <v>2019</v>
      </c>
      <c r="C966" s="41">
        <v>43400</v>
      </c>
      <c r="D966" t="s">
        <v>1957</v>
      </c>
      <c r="E966" t="s">
        <v>219</v>
      </c>
      <c r="F966" t="s">
        <v>458</v>
      </c>
      <c r="G966" t="s">
        <v>304</v>
      </c>
      <c r="H966" t="s">
        <v>1824</v>
      </c>
      <c r="I966" t="s">
        <v>310</v>
      </c>
      <c r="J966">
        <v>1</v>
      </c>
      <c r="L966">
        <v>504.59</v>
      </c>
      <c r="M966">
        <v>859.93</v>
      </c>
      <c r="N966">
        <v>1283.1399999999901</v>
      </c>
      <c r="O966">
        <v>1829.62</v>
      </c>
      <c r="P966">
        <v>1</v>
      </c>
      <c r="Q966">
        <v>1</v>
      </c>
      <c r="R966">
        <v>0</v>
      </c>
      <c r="S966">
        <v>200289</v>
      </c>
      <c r="T966" t="b">
        <v>1</v>
      </c>
    </row>
    <row r="967" spans="2:20" x14ac:dyDescent="0.35">
      <c r="B967">
        <v>2019</v>
      </c>
      <c r="C967" s="41">
        <v>43400</v>
      </c>
      <c r="D967" t="s">
        <v>1958</v>
      </c>
      <c r="E967" t="s">
        <v>219</v>
      </c>
      <c r="F967" t="s">
        <v>458</v>
      </c>
      <c r="G967" t="s">
        <v>304</v>
      </c>
      <c r="H967" t="s">
        <v>1737</v>
      </c>
      <c r="I967" t="s">
        <v>310</v>
      </c>
      <c r="J967">
        <v>1</v>
      </c>
      <c r="L967">
        <v>504.59</v>
      </c>
      <c r="M967">
        <v>859.93</v>
      </c>
      <c r="N967">
        <v>1283.1399999999901</v>
      </c>
      <c r="O967">
        <v>1829.62</v>
      </c>
      <c r="P967">
        <v>0</v>
      </c>
      <c r="Q967">
        <v>3</v>
      </c>
      <c r="R967">
        <v>0</v>
      </c>
      <c r="S967">
        <v>200289</v>
      </c>
      <c r="T967" t="b">
        <v>1</v>
      </c>
    </row>
    <row r="968" spans="2:20" x14ac:dyDescent="0.35">
      <c r="B968">
        <v>2019</v>
      </c>
      <c r="C968" s="41">
        <v>43400</v>
      </c>
      <c r="D968" t="s">
        <v>1959</v>
      </c>
      <c r="E968" t="s">
        <v>219</v>
      </c>
      <c r="F968" t="s">
        <v>458</v>
      </c>
      <c r="G968" t="s">
        <v>304</v>
      </c>
      <c r="H968" t="s">
        <v>1858</v>
      </c>
      <c r="I968" t="s">
        <v>310</v>
      </c>
      <c r="J968">
        <v>1</v>
      </c>
      <c r="L968">
        <v>504.59</v>
      </c>
      <c r="M968">
        <v>859.93</v>
      </c>
      <c r="N968">
        <v>1283.1399999999901</v>
      </c>
      <c r="O968">
        <v>1829.62</v>
      </c>
      <c r="P968">
        <v>1</v>
      </c>
      <c r="Q968">
        <v>1</v>
      </c>
      <c r="R968">
        <v>0</v>
      </c>
      <c r="S968">
        <v>200289</v>
      </c>
      <c r="T968" t="b">
        <v>1</v>
      </c>
    </row>
    <row r="969" spans="2:20" x14ac:dyDescent="0.35">
      <c r="B969">
        <v>2019</v>
      </c>
      <c r="C969" s="41">
        <v>43400</v>
      </c>
      <c r="D969" t="s">
        <v>1960</v>
      </c>
      <c r="E969" t="s">
        <v>219</v>
      </c>
      <c r="F969" t="s">
        <v>458</v>
      </c>
      <c r="G969" t="s">
        <v>304</v>
      </c>
      <c r="H969" t="s">
        <v>1741</v>
      </c>
      <c r="I969" t="s">
        <v>310</v>
      </c>
      <c r="J969">
        <v>1</v>
      </c>
      <c r="L969">
        <v>504.59</v>
      </c>
      <c r="M969">
        <v>859.93</v>
      </c>
      <c r="N969">
        <v>1283.1399999999901</v>
      </c>
      <c r="O969">
        <v>1829.62</v>
      </c>
      <c r="P969">
        <v>0</v>
      </c>
      <c r="Q969">
        <v>3</v>
      </c>
      <c r="R969">
        <v>0</v>
      </c>
      <c r="S969">
        <v>200289</v>
      </c>
      <c r="T969" t="b">
        <v>1</v>
      </c>
    </row>
    <row r="970" spans="2:20" x14ac:dyDescent="0.35">
      <c r="B970">
        <v>2019</v>
      </c>
      <c r="C970" s="41">
        <v>43400</v>
      </c>
      <c r="D970" t="s">
        <v>1961</v>
      </c>
      <c r="E970" t="s">
        <v>219</v>
      </c>
      <c r="F970" t="s">
        <v>458</v>
      </c>
      <c r="G970" t="s">
        <v>304</v>
      </c>
      <c r="H970" t="s">
        <v>1739</v>
      </c>
      <c r="I970" t="s">
        <v>310</v>
      </c>
      <c r="J970">
        <v>1</v>
      </c>
      <c r="L970">
        <v>504.59</v>
      </c>
      <c r="M970">
        <v>859.93</v>
      </c>
      <c r="N970">
        <v>1283.1399999999901</v>
      </c>
      <c r="O970">
        <v>1829.62</v>
      </c>
      <c r="P970">
        <v>0</v>
      </c>
      <c r="Q970">
        <v>3</v>
      </c>
      <c r="R970">
        <v>0</v>
      </c>
      <c r="S970">
        <v>200289</v>
      </c>
      <c r="T970" t="b">
        <v>1</v>
      </c>
    </row>
    <row r="971" spans="2:20" x14ac:dyDescent="0.35">
      <c r="B971">
        <v>2019</v>
      </c>
      <c r="C971" s="41">
        <v>43400</v>
      </c>
      <c r="D971" t="s">
        <v>1962</v>
      </c>
      <c r="E971" t="s">
        <v>219</v>
      </c>
      <c r="F971" t="s">
        <v>1302</v>
      </c>
      <c r="G971" t="s">
        <v>304</v>
      </c>
      <c r="H971" t="s">
        <v>1963</v>
      </c>
      <c r="I971" t="s">
        <v>1555</v>
      </c>
      <c r="J971">
        <v>1</v>
      </c>
      <c r="L971">
        <v>485.32</v>
      </c>
      <c r="M971">
        <v>827.08</v>
      </c>
      <c r="N971">
        <v>1234.1300000000001</v>
      </c>
      <c r="O971">
        <v>1759.74</v>
      </c>
      <c r="P971">
        <v>0</v>
      </c>
      <c r="Q971">
        <v>3</v>
      </c>
      <c r="R971">
        <v>0</v>
      </c>
      <c r="S971">
        <v>200289</v>
      </c>
      <c r="T971" t="b">
        <v>1</v>
      </c>
    </row>
    <row r="972" spans="2:20" x14ac:dyDescent="0.35">
      <c r="B972">
        <v>2019</v>
      </c>
      <c r="C972" s="41">
        <v>43400</v>
      </c>
      <c r="D972" t="s">
        <v>1964</v>
      </c>
      <c r="E972" t="s">
        <v>219</v>
      </c>
      <c r="F972" t="s">
        <v>461</v>
      </c>
      <c r="G972" t="s">
        <v>304</v>
      </c>
      <c r="H972" t="s">
        <v>1965</v>
      </c>
      <c r="I972" t="s">
        <v>1555</v>
      </c>
      <c r="J972">
        <v>1</v>
      </c>
      <c r="L972">
        <v>531.05999999999995</v>
      </c>
      <c r="M972">
        <v>905.04</v>
      </c>
      <c r="N972">
        <v>1350.47</v>
      </c>
      <c r="O972">
        <v>1925.62</v>
      </c>
      <c r="P972">
        <v>0</v>
      </c>
      <c r="Q972">
        <v>3</v>
      </c>
      <c r="R972">
        <v>0</v>
      </c>
      <c r="S972">
        <v>200289</v>
      </c>
      <c r="T972" t="b">
        <v>1</v>
      </c>
    </row>
    <row r="973" spans="2:20" x14ac:dyDescent="0.35">
      <c r="B973">
        <v>2019</v>
      </c>
      <c r="C973" s="41">
        <v>43400</v>
      </c>
      <c r="D973" t="s">
        <v>1966</v>
      </c>
      <c r="E973" t="s">
        <v>219</v>
      </c>
      <c r="F973" t="s">
        <v>1302</v>
      </c>
      <c r="G973" t="s">
        <v>304</v>
      </c>
      <c r="H973" t="s">
        <v>1967</v>
      </c>
      <c r="I973" t="s">
        <v>1555</v>
      </c>
      <c r="J973">
        <v>1</v>
      </c>
      <c r="L973">
        <v>438.54</v>
      </c>
      <c r="M973">
        <v>747.35</v>
      </c>
      <c r="N973">
        <v>1115.18</v>
      </c>
      <c r="O973">
        <v>1590.12</v>
      </c>
      <c r="P973">
        <v>0</v>
      </c>
      <c r="Q973">
        <v>3</v>
      </c>
      <c r="R973">
        <v>0</v>
      </c>
      <c r="S973">
        <v>200289</v>
      </c>
      <c r="T973" t="b">
        <v>1</v>
      </c>
    </row>
    <row r="974" spans="2:20" x14ac:dyDescent="0.35">
      <c r="B974">
        <v>2019</v>
      </c>
      <c r="C974" s="41">
        <v>43400</v>
      </c>
      <c r="D974" t="s">
        <v>1968</v>
      </c>
      <c r="E974" t="s">
        <v>219</v>
      </c>
      <c r="F974" t="s">
        <v>461</v>
      </c>
      <c r="G974" t="s">
        <v>304</v>
      </c>
      <c r="H974" t="s">
        <v>1969</v>
      </c>
      <c r="I974" t="s">
        <v>843</v>
      </c>
      <c r="J974">
        <v>1</v>
      </c>
      <c r="L974">
        <v>470.77</v>
      </c>
      <c r="M974">
        <v>802.28</v>
      </c>
      <c r="N974">
        <v>1197.1300000000001</v>
      </c>
      <c r="O974">
        <v>1706.98</v>
      </c>
      <c r="P974">
        <v>0</v>
      </c>
      <c r="Q974">
        <v>3</v>
      </c>
      <c r="R974">
        <v>0</v>
      </c>
      <c r="S974">
        <v>200289</v>
      </c>
      <c r="T974" t="b">
        <v>1</v>
      </c>
    </row>
    <row r="975" spans="2:20" x14ac:dyDescent="0.35">
      <c r="B975">
        <v>2019</v>
      </c>
      <c r="C975" s="41">
        <v>43400</v>
      </c>
      <c r="D975" t="s">
        <v>1970</v>
      </c>
      <c r="E975" t="s">
        <v>219</v>
      </c>
      <c r="F975" t="s">
        <v>458</v>
      </c>
      <c r="G975" t="s">
        <v>304</v>
      </c>
      <c r="H975" t="s">
        <v>1971</v>
      </c>
      <c r="I975" t="s">
        <v>843</v>
      </c>
      <c r="J975">
        <v>1</v>
      </c>
      <c r="L975">
        <v>490.46</v>
      </c>
      <c r="M975">
        <v>835.85</v>
      </c>
      <c r="N975">
        <v>1247.21999999999</v>
      </c>
      <c r="O975">
        <v>1778.3999999999901</v>
      </c>
      <c r="P975">
        <v>0</v>
      </c>
      <c r="Q975">
        <v>3</v>
      </c>
      <c r="R975">
        <v>0</v>
      </c>
      <c r="S975">
        <v>200289</v>
      </c>
      <c r="T975" t="b">
        <v>1</v>
      </c>
    </row>
    <row r="976" spans="2:20" x14ac:dyDescent="0.35">
      <c r="B976">
        <v>2019</v>
      </c>
      <c r="C976" s="41">
        <v>43400</v>
      </c>
      <c r="D976" t="s">
        <v>890</v>
      </c>
      <c r="E976" t="s">
        <v>219</v>
      </c>
      <c r="F976" t="s">
        <v>1311</v>
      </c>
      <c r="G976" t="s">
        <v>304</v>
      </c>
      <c r="H976" t="s">
        <v>1972</v>
      </c>
      <c r="I976" t="s">
        <v>843</v>
      </c>
      <c r="J976">
        <v>1</v>
      </c>
      <c r="L976">
        <v>490.46</v>
      </c>
      <c r="M976">
        <v>835.85</v>
      </c>
      <c r="N976">
        <v>1247.21999999999</v>
      </c>
      <c r="O976">
        <v>1778.3999999999901</v>
      </c>
      <c r="P976">
        <v>0</v>
      </c>
      <c r="Q976">
        <v>3</v>
      </c>
      <c r="R976">
        <v>0</v>
      </c>
      <c r="S976">
        <v>200289</v>
      </c>
      <c r="T976" t="b">
        <v>1</v>
      </c>
    </row>
    <row r="977" spans="2:20" x14ac:dyDescent="0.35">
      <c r="B977">
        <v>2019</v>
      </c>
      <c r="C977" s="41">
        <v>43400</v>
      </c>
      <c r="D977" t="s">
        <v>890</v>
      </c>
      <c r="E977" t="s">
        <v>219</v>
      </c>
      <c r="F977" t="s">
        <v>458</v>
      </c>
      <c r="G977" t="s">
        <v>304</v>
      </c>
      <c r="H977" t="s">
        <v>1972</v>
      </c>
      <c r="I977" t="s">
        <v>843</v>
      </c>
      <c r="J977">
        <v>1</v>
      </c>
      <c r="L977">
        <v>490.46</v>
      </c>
      <c r="M977">
        <v>835.85</v>
      </c>
      <c r="N977">
        <v>1247.21999999999</v>
      </c>
      <c r="O977">
        <v>1778.3999999999901</v>
      </c>
      <c r="P977">
        <v>0</v>
      </c>
      <c r="Q977">
        <v>3</v>
      </c>
      <c r="R977">
        <v>0</v>
      </c>
      <c r="S977">
        <v>200289</v>
      </c>
      <c r="T977" t="b">
        <v>1</v>
      </c>
    </row>
    <row r="978" spans="2:20" x14ac:dyDescent="0.35">
      <c r="B978">
        <v>2019</v>
      </c>
      <c r="C978" s="41">
        <v>43400</v>
      </c>
      <c r="D978" t="s">
        <v>1973</v>
      </c>
      <c r="E978" t="s">
        <v>219</v>
      </c>
      <c r="F978" t="s">
        <v>1302</v>
      </c>
      <c r="G978" t="s">
        <v>304</v>
      </c>
      <c r="H978" t="s">
        <v>1814</v>
      </c>
      <c r="I978" t="s">
        <v>310</v>
      </c>
      <c r="J978">
        <v>1</v>
      </c>
      <c r="L978">
        <v>442.34</v>
      </c>
      <c r="M978">
        <v>753.83</v>
      </c>
      <c r="N978">
        <v>1124.8399999999999</v>
      </c>
      <c r="O978">
        <v>1603.9</v>
      </c>
      <c r="P978">
        <v>1</v>
      </c>
      <c r="Q978">
        <v>1</v>
      </c>
      <c r="R978">
        <v>0</v>
      </c>
      <c r="S978">
        <v>200289</v>
      </c>
      <c r="T978" t="b">
        <v>1</v>
      </c>
    </row>
    <row r="979" spans="2:20" x14ac:dyDescent="0.35">
      <c r="B979">
        <v>2019</v>
      </c>
      <c r="C979" s="41">
        <v>43400</v>
      </c>
      <c r="D979" t="s">
        <v>1974</v>
      </c>
      <c r="E979" t="s">
        <v>219</v>
      </c>
      <c r="F979" t="s">
        <v>458</v>
      </c>
      <c r="G979" t="s">
        <v>304</v>
      </c>
      <c r="H979" t="s">
        <v>1975</v>
      </c>
      <c r="I979" t="s">
        <v>1555</v>
      </c>
      <c r="J979">
        <v>1</v>
      </c>
      <c r="L979">
        <v>553.53</v>
      </c>
      <c r="M979">
        <v>943.33</v>
      </c>
      <c r="N979">
        <v>1407.6</v>
      </c>
      <c r="O979">
        <v>2007.08</v>
      </c>
      <c r="P979">
        <v>0</v>
      </c>
      <c r="Q979">
        <v>3</v>
      </c>
      <c r="R979">
        <v>0</v>
      </c>
      <c r="S979">
        <v>200289</v>
      </c>
      <c r="T979" t="b">
        <v>1</v>
      </c>
    </row>
    <row r="980" spans="2:20" x14ac:dyDescent="0.35">
      <c r="B980">
        <v>2019</v>
      </c>
      <c r="C980" s="41">
        <v>43400</v>
      </c>
      <c r="D980" t="s">
        <v>1976</v>
      </c>
      <c r="E980" t="s">
        <v>219</v>
      </c>
      <c r="F980" t="s">
        <v>458</v>
      </c>
      <c r="G980" t="s">
        <v>304</v>
      </c>
      <c r="H980" t="s">
        <v>1977</v>
      </c>
      <c r="I980" t="s">
        <v>1555</v>
      </c>
      <c r="J980">
        <v>1</v>
      </c>
      <c r="L980">
        <v>553.53</v>
      </c>
      <c r="M980">
        <v>943.33</v>
      </c>
      <c r="N980">
        <v>1407.6</v>
      </c>
      <c r="O980">
        <v>2007.08</v>
      </c>
      <c r="P980">
        <v>0</v>
      </c>
      <c r="Q980">
        <v>3</v>
      </c>
      <c r="R980">
        <v>0</v>
      </c>
      <c r="S980">
        <v>200289</v>
      </c>
      <c r="T980" t="b">
        <v>1</v>
      </c>
    </row>
    <row r="981" spans="2:20" x14ac:dyDescent="0.35">
      <c r="B981">
        <v>2019</v>
      </c>
      <c r="C981" s="41">
        <v>43400</v>
      </c>
      <c r="D981" t="s">
        <v>1978</v>
      </c>
      <c r="E981" t="s">
        <v>219</v>
      </c>
      <c r="F981" t="s">
        <v>461</v>
      </c>
      <c r="G981" t="s">
        <v>304</v>
      </c>
      <c r="H981" t="s">
        <v>1979</v>
      </c>
      <c r="I981" t="s">
        <v>843</v>
      </c>
      <c r="J981">
        <v>1</v>
      </c>
      <c r="L981">
        <v>470.77</v>
      </c>
      <c r="M981">
        <v>802.28</v>
      </c>
      <c r="N981">
        <v>1197.1300000000001</v>
      </c>
      <c r="O981">
        <v>1706.98</v>
      </c>
      <c r="P981">
        <v>0</v>
      </c>
      <c r="Q981">
        <v>3</v>
      </c>
      <c r="R981">
        <v>0</v>
      </c>
      <c r="S981">
        <v>200289</v>
      </c>
      <c r="T981" t="b">
        <v>1</v>
      </c>
    </row>
    <row r="982" spans="2:20" x14ac:dyDescent="0.35">
      <c r="B982">
        <v>2019</v>
      </c>
      <c r="C982" s="41">
        <v>43400</v>
      </c>
      <c r="D982" t="s">
        <v>1980</v>
      </c>
      <c r="E982" t="s">
        <v>219</v>
      </c>
      <c r="F982" t="s">
        <v>1311</v>
      </c>
      <c r="G982" t="s">
        <v>304</v>
      </c>
      <c r="H982" t="s">
        <v>1824</v>
      </c>
      <c r="I982" t="s">
        <v>310</v>
      </c>
      <c r="J982">
        <v>1</v>
      </c>
      <c r="L982">
        <v>504.59</v>
      </c>
      <c r="M982">
        <v>859.93</v>
      </c>
      <c r="N982">
        <v>1283.1399999999901</v>
      </c>
      <c r="O982">
        <v>1829.62</v>
      </c>
      <c r="P982">
        <v>1</v>
      </c>
      <c r="Q982">
        <v>1</v>
      </c>
      <c r="R982">
        <v>0</v>
      </c>
      <c r="S982">
        <v>200289</v>
      </c>
      <c r="T982" t="b">
        <v>1</v>
      </c>
    </row>
    <row r="983" spans="2:20" x14ac:dyDescent="0.35">
      <c r="B983">
        <v>2019</v>
      </c>
      <c r="C983" s="41">
        <v>43400</v>
      </c>
      <c r="D983" t="s">
        <v>1980</v>
      </c>
      <c r="E983" t="s">
        <v>219</v>
      </c>
      <c r="F983" t="s">
        <v>458</v>
      </c>
      <c r="G983" t="s">
        <v>304</v>
      </c>
      <c r="H983" t="s">
        <v>1824</v>
      </c>
      <c r="I983" t="s">
        <v>310</v>
      </c>
      <c r="J983">
        <v>1</v>
      </c>
      <c r="L983">
        <v>504.59</v>
      </c>
      <c r="M983">
        <v>859.93</v>
      </c>
      <c r="N983">
        <v>1283.1399999999901</v>
      </c>
      <c r="O983">
        <v>1829.62</v>
      </c>
      <c r="P983">
        <v>1</v>
      </c>
      <c r="Q983">
        <v>1</v>
      </c>
      <c r="R983">
        <v>0</v>
      </c>
      <c r="S983">
        <v>200289</v>
      </c>
      <c r="T983" t="b">
        <v>1</v>
      </c>
    </row>
    <row r="984" spans="2:20" x14ac:dyDescent="0.35">
      <c r="B984">
        <v>2019</v>
      </c>
      <c r="C984" s="41">
        <v>43404</v>
      </c>
      <c r="D984" t="s">
        <v>1981</v>
      </c>
      <c r="E984" t="s">
        <v>219</v>
      </c>
      <c r="F984" t="s">
        <v>461</v>
      </c>
      <c r="G984" t="s">
        <v>304</v>
      </c>
      <c r="H984" t="s">
        <v>1982</v>
      </c>
      <c r="I984" t="s">
        <v>310</v>
      </c>
      <c r="J984">
        <v>1</v>
      </c>
      <c r="L984">
        <v>404.9</v>
      </c>
      <c r="M984">
        <v>690.04</v>
      </c>
      <c r="N984">
        <v>1029.6399999999901</v>
      </c>
      <c r="O984">
        <v>1468.1599999999901</v>
      </c>
      <c r="P984">
        <v>0</v>
      </c>
      <c r="Q984">
        <v>2</v>
      </c>
      <c r="R984">
        <v>0</v>
      </c>
      <c r="S984">
        <v>200289</v>
      </c>
      <c r="T984" t="b">
        <v>1</v>
      </c>
    </row>
    <row r="985" spans="2:20" x14ac:dyDescent="0.35">
      <c r="B985">
        <v>2019</v>
      </c>
      <c r="C985" s="41">
        <v>43404</v>
      </c>
      <c r="D985" t="s">
        <v>1983</v>
      </c>
      <c r="E985" t="s">
        <v>219</v>
      </c>
      <c r="F985" t="s">
        <v>458</v>
      </c>
      <c r="G985" t="s">
        <v>304</v>
      </c>
      <c r="H985" t="s">
        <v>1984</v>
      </c>
      <c r="I985" t="s">
        <v>310</v>
      </c>
      <c r="J985">
        <v>1</v>
      </c>
      <c r="L985">
        <v>421.84</v>
      </c>
      <c r="M985">
        <v>718.9</v>
      </c>
      <c r="N985">
        <v>1072.72</v>
      </c>
      <c r="O985">
        <v>1529.58</v>
      </c>
      <c r="P985">
        <v>0</v>
      </c>
      <c r="Q985">
        <v>2</v>
      </c>
      <c r="R985">
        <v>0</v>
      </c>
      <c r="S985">
        <v>200289</v>
      </c>
      <c r="T985" t="b">
        <v>1</v>
      </c>
    </row>
    <row r="986" spans="2:20" x14ac:dyDescent="0.35">
      <c r="B986">
        <v>2019</v>
      </c>
      <c r="C986" s="41">
        <v>43404</v>
      </c>
      <c r="D986" t="s">
        <v>1985</v>
      </c>
      <c r="E986" t="s">
        <v>219</v>
      </c>
      <c r="F986" t="s">
        <v>458</v>
      </c>
      <c r="G986" t="s">
        <v>304</v>
      </c>
      <c r="H986" t="s">
        <v>1986</v>
      </c>
      <c r="I986" t="s">
        <v>310</v>
      </c>
      <c r="J986">
        <v>1</v>
      </c>
      <c r="L986">
        <v>421.84</v>
      </c>
      <c r="M986">
        <v>718.9</v>
      </c>
      <c r="N986">
        <v>1072.72</v>
      </c>
      <c r="O986">
        <v>1529.58</v>
      </c>
      <c r="P986">
        <v>0</v>
      </c>
      <c r="Q986">
        <v>2</v>
      </c>
      <c r="R986">
        <v>0</v>
      </c>
      <c r="S986">
        <v>200289</v>
      </c>
      <c r="T986" t="b">
        <v>1</v>
      </c>
    </row>
    <row r="987" spans="2:20" x14ac:dyDescent="0.35">
      <c r="B987">
        <v>2019</v>
      </c>
      <c r="C987" s="41">
        <v>43404</v>
      </c>
      <c r="D987" t="s">
        <v>1987</v>
      </c>
      <c r="E987" t="s">
        <v>219</v>
      </c>
      <c r="F987" t="s">
        <v>458</v>
      </c>
      <c r="G987" t="s">
        <v>304</v>
      </c>
      <c r="H987" t="s">
        <v>1988</v>
      </c>
      <c r="I987" t="s">
        <v>310</v>
      </c>
      <c r="J987">
        <v>1</v>
      </c>
      <c r="L987">
        <v>421.84</v>
      </c>
      <c r="M987">
        <v>718.9</v>
      </c>
      <c r="N987">
        <v>1072.72</v>
      </c>
      <c r="O987">
        <v>1529.58</v>
      </c>
      <c r="P987">
        <v>0</v>
      </c>
      <c r="Q987">
        <v>2</v>
      </c>
      <c r="R987">
        <v>0</v>
      </c>
      <c r="S987">
        <v>200289</v>
      </c>
      <c r="T987" t="b">
        <v>1</v>
      </c>
    </row>
    <row r="988" spans="2:20" x14ac:dyDescent="0.35">
      <c r="B988">
        <v>2019</v>
      </c>
      <c r="C988" s="41">
        <v>43404</v>
      </c>
      <c r="D988" t="s">
        <v>1989</v>
      </c>
      <c r="E988" t="s">
        <v>219</v>
      </c>
      <c r="F988" t="s">
        <v>461</v>
      </c>
      <c r="G988" t="s">
        <v>304</v>
      </c>
      <c r="H988" t="s">
        <v>1990</v>
      </c>
      <c r="I988" t="s">
        <v>310</v>
      </c>
      <c r="J988">
        <v>1</v>
      </c>
      <c r="L988">
        <v>404.9</v>
      </c>
      <c r="M988">
        <v>690.04</v>
      </c>
      <c r="N988">
        <v>1029.6399999999901</v>
      </c>
      <c r="O988">
        <v>1468.1599999999901</v>
      </c>
      <c r="P988">
        <v>0</v>
      </c>
      <c r="Q988">
        <v>2</v>
      </c>
      <c r="R988">
        <v>0</v>
      </c>
      <c r="S988">
        <v>200289</v>
      </c>
      <c r="T988" t="b">
        <v>1</v>
      </c>
    </row>
    <row r="989" spans="2:20" x14ac:dyDescent="0.35">
      <c r="B989">
        <v>2019</v>
      </c>
      <c r="C989" s="41">
        <v>43404</v>
      </c>
      <c r="D989" t="s">
        <v>1991</v>
      </c>
      <c r="E989" t="s">
        <v>219</v>
      </c>
      <c r="F989" t="s">
        <v>458</v>
      </c>
      <c r="G989" t="s">
        <v>304</v>
      </c>
      <c r="H989" t="s">
        <v>1992</v>
      </c>
      <c r="I989" t="s">
        <v>310</v>
      </c>
      <c r="J989">
        <v>1</v>
      </c>
      <c r="L989">
        <v>421.84</v>
      </c>
      <c r="M989">
        <v>718.9</v>
      </c>
      <c r="N989">
        <v>1072.72</v>
      </c>
      <c r="O989">
        <v>1529.58</v>
      </c>
      <c r="P989">
        <v>0</v>
      </c>
      <c r="Q989">
        <v>2</v>
      </c>
      <c r="R989">
        <v>0</v>
      </c>
      <c r="S989">
        <v>200289</v>
      </c>
      <c r="T989" t="b">
        <v>1</v>
      </c>
    </row>
    <row r="990" spans="2:20" x14ac:dyDescent="0.35">
      <c r="B990">
        <v>2019</v>
      </c>
      <c r="C990" s="41">
        <v>43404</v>
      </c>
      <c r="D990" t="s">
        <v>1993</v>
      </c>
      <c r="E990" t="s">
        <v>219</v>
      </c>
      <c r="F990" t="s">
        <v>461</v>
      </c>
      <c r="G990" t="s">
        <v>304</v>
      </c>
      <c r="H990" t="s">
        <v>1994</v>
      </c>
      <c r="I990" t="s">
        <v>310</v>
      </c>
      <c r="J990">
        <v>1</v>
      </c>
      <c r="L990">
        <v>404.9</v>
      </c>
      <c r="M990">
        <v>690.04</v>
      </c>
      <c r="N990">
        <v>1029.6399999999901</v>
      </c>
      <c r="O990">
        <v>1468.1599999999901</v>
      </c>
      <c r="P990">
        <v>0</v>
      </c>
      <c r="Q990">
        <v>2</v>
      </c>
      <c r="R990">
        <v>0</v>
      </c>
      <c r="S990">
        <v>200289</v>
      </c>
      <c r="T990" t="b">
        <v>1</v>
      </c>
    </row>
    <row r="991" spans="2:20" x14ac:dyDescent="0.35">
      <c r="B991">
        <v>2019</v>
      </c>
      <c r="C991" s="41">
        <v>43404</v>
      </c>
      <c r="D991" t="s">
        <v>1995</v>
      </c>
      <c r="E991" t="s">
        <v>219</v>
      </c>
      <c r="F991" t="s">
        <v>461</v>
      </c>
      <c r="G991" t="s">
        <v>304</v>
      </c>
      <c r="H991" t="s">
        <v>1996</v>
      </c>
      <c r="I991" t="s">
        <v>310</v>
      </c>
      <c r="J991">
        <v>1</v>
      </c>
      <c r="L991">
        <v>404.9</v>
      </c>
      <c r="M991">
        <v>690.04</v>
      </c>
      <c r="N991">
        <v>1029.6399999999901</v>
      </c>
      <c r="O991">
        <v>1468.1599999999901</v>
      </c>
      <c r="P991">
        <v>0</v>
      </c>
      <c r="Q991">
        <v>2</v>
      </c>
      <c r="R991">
        <v>0</v>
      </c>
      <c r="S991">
        <v>200289</v>
      </c>
      <c r="T991" t="b">
        <v>1</v>
      </c>
    </row>
    <row r="992" spans="2:20" x14ac:dyDescent="0.35">
      <c r="B992">
        <v>2019</v>
      </c>
      <c r="C992" s="41">
        <v>43404</v>
      </c>
      <c r="D992" t="s">
        <v>1997</v>
      </c>
      <c r="E992" t="s">
        <v>219</v>
      </c>
      <c r="F992" t="s">
        <v>458</v>
      </c>
      <c r="G992" t="s">
        <v>304</v>
      </c>
      <c r="H992" t="s">
        <v>1998</v>
      </c>
      <c r="I992" t="s">
        <v>310</v>
      </c>
      <c r="J992">
        <v>1</v>
      </c>
      <c r="L992">
        <v>421.84</v>
      </c>
      <c r="M992">
        <v>718.9</v>
      </c>
      <c r="N992">
        <v>1072.72</v>
      </c>
      <c r="O992">
        <v>1529.58</v>
      </c>
      <c r="P992">
        <v>0</v>
      </c>
      <c r="Q992">
        <v>2</v>
      </c>
      <c r="R992">
        <v>0</v>
      </c>
      <c r="S992">
        <v>200289</v>
      </c>
      <c r="T992" t="b">
        <v>1</v>
      </c>
    </row>
    <row r="993" spans="2:20" x14ac:dyDescent="0.35">
      <c r="B993">
        <v>2019</v>
      </c>
      <c r="C993" s="41">
        <v>43404</v>
      </c>
      <c r="D993" t="s">
        <v>1999</v>
      </c>
      <c r="E993" t="s">
        <v>219</v>
      </c>
      <c r="F993" t="s">
        <v>458</v>
      </c>
      <c r="G993" t="s">
        <v>304</v>
      </c>
      <c r="H993" t="s">
        <v>2000</v>
      </c>
      <c r="I993" t="s">
        <v>310</v>
      </c>
      <c r="J993">
        <v>1</v>
      </c>
      <c r="L993">
        <v>421.84</v>
      </c>
      <c r="M993">
        <v>718.9</v>
      </c>
      <c r="N993">
        <v>1072.72</v>
      </c>
      <c r="O993">
        <v>1529.58</v>
      </c>
      <c r="P993">
        <v>0</v>
      </c>
      <c r="Q993">
        <v>2</v>
      </c>
      <c r="R993">
        <v>0</v>
      </c>
      <c r="S993">
        <v>200289</v>
      </c>
      <c r="T993" t="b">
        <v>1</v>
      </c>
    </row>
    <row r="994" spans="2:20" x14ac:dyDescent="0.35">
      <c r="B994">
        <v>2019</v>
      </c>
      <c r="C994" s="41">
        <v>43404</v>
      </c>
      <c r="D994" t="s">
        <v>2001</v>
      </c>
      <c r="E994" t="s">
        <v>219</v>
      </c>
      <c r="F994" t="s">
        <v>458</v>
      </c>
      <c r="G994" t="s">
        <v>304</v>
      </c>
      <c r="H994" t="s">
        <v>2002</v>
      </c>
      <c r="I994" t="s">
        <v>310</v>
      </c>
      <c r="J994">
        <v>1</v>
      </c>
      <c r="L994">
        <v>421.84</v>
      </c>
      <c r="M994">
        <v>718.9</v>
      </c>
      <c r="N994">
        <v>1072.72</v>
      </c>
      <c r="O994">
        <v>1529.58</v>
      </c>
      <c r="P994">
        <v>0</v>
      </c>
      <c r="Q994">
        <v>2</v>
      </c>
      <c r="R994">
        <v>0</v>
      </c>
      <c r="S994">
        <v>200289</v>
      </c>
      <c r="T994" t="b">
        <v>1</v>
      </c>
    </row>
    <row r="995" spans="2:20" x14ac:dyDescent="0.35">
      <c r="B995">
        <v>2019</v>
      </c>
      <c r="C995" s="41">
        <v>43404</v>
      </c>
      <c r="D995" t="s">
        <v>2003</v>
      </c>
      <c r="E995" t="s">
        <v>219</v>
      </c>
      <c r="F995" t="s">
        <v>458</v>
      </c>
      <c r="G995" t="s">
        <v>304</v>
      </c>
      <c r="H995" t="s">
        <v>2004</v>
      </c>
      <c r="I995" t="s">
        <v>310</v>
      </c>
      <c r="J995">
        <v>1</v>
      </c>
      <c r="L995">
        <v>421.84</v>
      </c>
      <c r="M995">
        <v>718.9</v>
      </c>
      <c r="N995">
        <v>1072.72</v>
      </c>
      <c r="O995">
        <v>1529.58</v>
      </c>
      <c r="P995">
        <v>0</v>
      </c>
      <c r="Q995">
        <v>2</v>
      </c>
      <c r="R995">
        <v>0</v>
      </c>
      <c r="S995">
        <v>200289</v>
      </c>
      <c r="T995" t="b">
        <v>1</v>
      </c>
    </row>
    <row r="996" spans="2:20" x14ac:dyDescent="0.35">
      <c r="B996">
        <v>2019</v>
      </c>
      <c r="C996" s="41">
        <v>43404</v>
      </c>
      <c r="D996" t="s">
        <v>2005</v>
      </c>
      <c r="E996" t="s">
        <v>219</v>
      </c>
      <c r="F996" t="s">
        <v>1302</v>
      </c>
      <c r="G996" t="s">
        <v>304</v>
      </c>
      <c r="H996" t="s">
        <v>2006</v>
      </c>
      <c r="I996" t="s">
        <v>310</v>
      </c>
      <c r="J996">
        <v>1</v>
      </c>
      <c r="L996">
        <v>334.32</v>
      </c>
      <c r="M996">
        <v>569.75</v>
      </c>
      <c r="N996">
        <v>850.16</v>
      </c>
      <c r="O996">
        <v>1212.24</v>
      </c>
      <c r="P996">
        <v>0</v>
      </c>
      <c r="Q996">
        <v>2</v>
      </c>
      <c r="R996">
        <v>0</v>
      </c>
      <c r="S996">
        <v>200289</v>
      </c>
      <c r="T996" t="b">
        <v>1</v>
      </c>
    </row>
    <row r="997" spans="2:20" x14ac:dyDescent="0.35">
      <c r="B997">
        <v>2019</v>
      </c>
      <c r="C997" s="41">
        <v>43404</v>
      </c>
      <c r="D997" t="s">
        <v>2007</v>
      </c>
      <c r="E997" t="s">
        <v>219</v>
      </c>
      <c r="F997" t="s">
        <v>1302</v>
      </c>
      <c r="G997" t="s">
        <v>304</v>
      </c>
      <c r="H997" t="s">
        <v>2008</v>
      </c>
      <c r="I997" t="s">
        <v>310</v>
      </c>
      <c r="J997">
        <v>1</v>
      </c>
      <c r="L997">
        <v>334.32</v>
      </c>
      <c r="M997">
        <v>569.75</v>
      </c>
      <c r="N997">
        <v>850.16</v>
      </c>
      <c r="O997">
        <v>1212.24</v>
      </c>
      <c r="P997">
        <v>0</v>
      </c>
      <c r="Q997">
        <v>2</v>
      </c>
      <c r="R997">
        <v>0</v>
      </c>
      <c r="S997">
        <v>200289</v>
      </c>
      <c r="T997" t="b">
        <v>1</v>
      </c>
    </row>
    <row r="998" spans="2:20" x14ac:dyDescent="0.35">
      <c r="B998">
        <v>2019</v>
      </c>
      <c r="C998" s="41">
        <v>43404</v>
      </c>
      <c r="D998" t="s">
        <v>2009</v>
      </c>
      <c r="E998" t="s">
        <v>219</v>
      </c>
      <c r="F998" t="s">
        <v>458</v>
      </c>
      <c r="G998" t="s">
        <v>304</v>
      </c>
      <c r="H998" t="s">
        <v>2010</v>
      </c>
      <c r="I998" t="s">
        <v>310</v>
      </c>
      <c r="J998">
        <v>1</v>
      </c>
      <c r="L998">
        <v>421.84</v>
      </c>
      <c r="M998">
        <v>718.9</v>
      </c>
      <c r="N998">
        <v>1072.72</v>
      </c>
      <c r="O998">
        <v>1529.58</v>
      </c>
      <c r="P998">
        <v>0</v>
      </c>
      <c r="Q998">
        <v>2</v>
      </c>
      <c r="R998">
        <v>0</v>
      </c>
      <c r="S998">
        <v>200289</v>
      </c>
      <c r="T998" t="b">
        <v>1</v>
      </c>
    </row>
    <row r="999" spans="2:20" x14ac:dyDescent="0.35">
      <c r="B999">
        <v>2019</v>
      </c>
      <c r="C999" s="41">
        <v>43404</v>
      </c>
      <c r="D999" t="s">
        <v>2011</v>
      </c>
      <c r="E999" t="s">
        <v>219</v>
      </c>
      <c r="F999" t="s">
        <v>458</v>
      </c>
      <c r="G999" t="s">
        <v>304</v>
      </c>
      <c r="H999" t="s">
        <v>2012</v>
      </c>
      <c r="I999" t="s">
        <v>310</v>
      </c>
      <c r="J999">
        <v>1</v>
      </c>
      <c r="L999">
        <v>421.84</v>
      </c>
      <c r="M999">
        <v>718.9</v>
      </c>
      <c r="N999">
        <v>1072.72</v>
      </c>
      <c r="O999">
        <v>1529.58</v>
      </c>
      <c r="P999">
        <v>0</v>
      </c>
      <c r="Q999">
        <v>2</v>
      </c>
      <c r="R999">
        <v>0</v>
      </c>
      <c r="S999">
        <v>200289</v>
      </c>
      <c r="T999" t="b">
        <v>1</v>
      </c>
    </row>
    <row r="1000" spans="2:20" x14ac:dyDescent="0.35">
      <c r="B1000">
        <v>2019</v>
      </c>
      <c r="C1000" s="41">
        <v>43404</v>
      </c>
      <c r="D1000" t="s">
        <v>2013</v>
      </c>
      <c r="E1000" t="s">
        <v>219</v>
      </c>
      <c r="F1000" t="s">
        <v>458</v>
      </c>
      <c r="G1000" t="s">
        <v>304</v>
      </c>
      <c r="H1000" t="s">
        <v>2014</v>
      </c>
      <c r="I1000" t="s">
        <v>310</v>
      </c>
      <c r="J1000">
        <v>1</v>
      </c>
      <c r="L1000">
        <v>421.84</v>
      </c>
      <c r="M1000">
        <v>718.9</v>
      </c>
      <c r="N1000">
        <v>1072.72</v>
      </c>
      <c r="O1000">
        <v>1529.58</v>
      </c>
      <c r="P1000">
        <v>0</v>
      </c>
      <c r="Q1000">
        <v>2</v>
      </c>
      <c r="R1000">
        <v>0</v>
      </c>
      <c r="S1000">
        <v>200289</v>
      </c>
      <c r="T1000" t="b">
        <v>1</v>
      </c>
    </row>
    <row r="1001" spans="2:20" x14ac:dyDescent="0.35">
      <c r="B1001">
        <v>2019</v>
      </c>
      <c r="C1001" s="41">
        <v>43404</v>
      </c>
      <c r="D1001" t="s">
        <v>2015</v>
      </c>
      <c r="E1001" t="s">
        <v>219</v>
      </c>
      <c r="F1001" t="s">
        <v>1302</v>
      </c>
      <c r="G1001" t="s">
        <v>304</v>
      </c>
      <c r="H1001" t="s">
        <v>2016</v>
      </c>
      <c r="I1001" t="s">
        <v>310</v>
      </c>
      <c r="J1001">
        <v>1</v>
      </c>
      <c r="L1001">
        <v>369.69</v>
      </c>
      <c r="M1001">
        <v>630.03</v>
      </c>
      <c r="N1001">
        <v>940.1</v>
      </c>
      <c r="O1001">
        <v>1340.48</v>
      </c>
      <c r="P1001">
        <v>0</v>
      </c>
      <c r="Q1001">
        <v>2</v>
      </c>
      <c r="R1001">
        <v>0</v>
      </c>
      <c r="S1001">
        <v>200289</v>
      </c>
      <c r="T1001" t="b">
        <v>1</v>
      </c>
    </row>
    <row r="1002" spans="2:20" x14ac:dyDescent="0.35">
      <c r="B1002">
        <v>2019</v>
      </c>
      <c r="C1002" s="41">
        <v>43404</v>
      </c>
      <c r="D1002" t="s">
        <v>2017</v>
      </c>
      <c r="E1002" t="s">
        <v>219</v>
      </c>
      <c r="F1002" t="s">
        <v>461</v>
      </c>
      <c r="G1002" t="s">
        <v>304</v>
      </c>
      <c r="H1002" t="s">
        <v>2018</v>
      </c>
      <c r="I1002" t="s">
        <v>310</v>
      </c>
      <c r="J1002">
        <v>1</v>
      </c>
      <c r="L1002">
        <v>404.9</v>
      </c>
      <c r="M1002">
        <v>690.04</v>
      </c>
      <c r="N1002">
        <v>1029.6399999999901</v>
      </c>
      <c r="O1002">
        <v>1468.1599999999901</v>
      </c>
      <c r="P1002">
        <v>0</v>
      </c>
      <c r="Q1002">
        <v>2</v>
      </c>
      <c r="R1002">
        <v>0</v>
      </c>
      <c r="S1002">
        <v>200289</v>
      </c>
      <c r="T1002" t="b">
        <v>1</v>
      </c>
    </row>
    <row r="1003" spans="2:20" x14ac:dyDescent="0.35">
      <c r="B1003">
        <v>2019</v>
      </c>
      <c r="C1003" s="41">
        <v>43399</v>
      </c>
      <c r="D1003" t="s">
        <v>1225</v>
      </c>
      <c r="E1003" t="s">
        <v>219</v>
      </c>
      <c r="F1003" t="s">
        <v>461</v>
      </c>
      <c r="G1003" t="s">
        <v>1299</v>
      </c>
      <c r="H1003" t="s">
        <v>1300</v>
      </c>
      <c r="I1003" t="s">
        <v>310</v>
      </c>
      <c r="J1003">
        <v>2</v>
      </c>
      <c r="L1003">
        <v>315.94</v>
      </c>
      <c r="M1003">
        <v>538.42999999999995</v>
      </c>
      <c r="N1003">
        <v>803.43</v>
      </c>
      <c r="O1003">
        <v>1145.5999999999999</v>
      </c>
      <c r="P1003">
        <v>0</v>
      </c>
      <c r="Q1003">
        <v>3</v>
      </c>
      <c r="R1003">
        <v>0</v>
      </c>
      <c r="S1003">
        <v>200138</v>
      </c>
      <c r="T1003" t="b">
        <v>1</v>
      </c>
    </row>
    <row r="1004" spans="2:20" x14ac:dyDescent="0.35">
      <c r="B1004">
        <v>2019</v>
      </c>
      <c r="C1004" s="41">
        <v>43399</v>
      </c>
      <c r="D1004" t="s">
        <v>1225</v>
      </c>
      <c r="E1004" t="s">
        <v>219</v>
      </c>
      <c r="F1004" t="s">
        <v>1302</v>
      </c>
      <c r="G1004" t="s">
        <v>1299</v>
      </c>
      <c r="H1004" t="s">
        <v>1300</v>
      </c>
      <c r="I1004" t="s">
        <v>310</v>
      </c>
      <c r="J1004">
        <v>2</v>
      </c>
      <c r="L1004">
        <v>355.78</v>
      </c>
      <c r="M1004">
        <v>606.30999999999995</v>
      </c>
      <c r="N1004">
        <v>904.71</v>
      </c>
      <c r="O1004">
        <v>1290.02</v>
      </c>
      <c r="P1004">
        <v>0</v>
      </c>
      <c r="Q1004">
        <v>3</v>
      </c>
      <c r="R1004">
        <v>0</v>
      </c>
      <c r="S1004">
        <v>200138</v>
      </c>
      <c r="T1004" t="b">
        <v>1</v>
      </c>
    </row>
    <row r="1005" spans="2:20" x14ac:dyDescent="0.35">
      <c r="B1005">
        <v>2019</v>
      </c>
      <c r="C1005" s="41">
        <v>43399</v>
      </c>
      <c r="D1005" t="s">
        <v>1225</v>
      </c>
      <c r="E1005" t="s">
        <v>219</v>
      </c>
      <c r="F1005" t="s">
        <v>1298</v>
      </c>
      <c r="G1005" t="s">
        <v>1299</v>
      </c>
      <c r="H1005" t="s">
        <v>1300</v>
      </c>
      <c r="I1005" t="s">
        <v>310</v>
      </c>
      <c r="J1005">
        <v>2</v>
      </c>
      <c r="L1005">
        <v>373.56</v>
      </c>
      <c r="M1005">
        <v>636.63</v>
      </c>
      <c r="N1005">
        <v>949.96</v>
      </c>
      <c r="O1005">
        <v>1354.54</v>
      </c>
      <c r="P1005">
        <v>0</v>
      </c>
      <c r="Q1005">
        <v>3</v>
      </c>
      <c r="R1005">
        <v>0</v>
      </c>
      <c r="S1005">
        <v>200138</v>
      </c>
      <c r="T1005" t="b">
        <v>1</v>
      </c>
    </row>
    <row r="1006" spans="2:20" x14ac:dyDescent="0.35">
      <c r="B1006">
        <v>2019</v>
      </c>
      <c r="C1006" s="41">
        <v>43399</v>
      </c>
      <c r="D1006" t="s">
        <v>1225</v>
      </c>
      <c r="E1006" t="s">
        <v>219</v>
      </c>
      <c r="F1006" t="s">
        <v>1301</v>
      </c>
      <c r="G1006" t="s">
        <v>1299</v>
      </c>
      <c r="H1006" t="s">
        <v>1300</v>
      </c>
      <c r="I1006" t="s">
        <v>310</v>
      </c>
      <c r="J1006">
        <v>2</v>
      </c>
      <c r="L1006">
        <v>394.45</v>
      </c>
      <c r="M1006">
        <v>672.22</v>
      </c>
      <c r="N1006">
        <v>1003.05</v>
      </c>
      <c r="O1006">
        <v>1430.24</v>
      </c>
      <c r="P1006">
        <v>0</v>
      </c>
      <c r="Q1006">
        <v>3</v>
      </c>
      <c r="R1006">
        <v>0</v>
      </c>
      <c r="S1006">
        <v>200138</v>
      </c>
      <c r="T1006" t="b">
        <v>1</v>
      </c>
    </row>
    <row r="1007" spans="2:20" x14ac:dyDescent="0.35">
      <c r="B1007">
        <v>2019</v>
      </c>
      <c r="C1007" s="41">
        <v>43399</v>
      </c>
      <c r="D1007" t="s">
        <v>2019</v>
      </c>
      <c r="E1007" t="s">
        <v>219</v>
      </c>
      <c r="F1007" t="s">
        <v>1302</v>
      </c>
      <c r="G1007" t="s">
        <v>1299</v>
      </c>
      <c r="H1007" t="s">
        <v>1304</v>
      </c>
      <c r="I1007" t="s">
        <v>310</v>
      </c>
      <c r="J1007">
        <v>2</v>
      </c>
      <c r="L1007">
        <v>359.93</v>
      </c>
      <c r="M1007">
        <v>613.39</v>
      </c>
      <c r="N1007">
        <v>915.27</v>
      </c>
      <c r="O1007">
        <v>1305.08</v>
      </c>
      <c r="P1007">
        <v>1</v>
      </c>
      <c r="Q1007">
        <v>1</v>
      </c>
      <c r="R1007">
        <v>0</v>
      </c>
      <c r="S1007">
        <v>200138</v>
      </c>
      <c r="T1007" t="b">
        <v>1</v>
      </c>
    </row>
    <row r="1008" spans="2:20" x14ac:dyDescent="0.35">
      <c r="B1008">
        <v>2019</v>
      </c>
      <c r="C1008" s="41">
        <v>43399</v>
      </c>
      <c r="D1008" t="s">
        <v>2019</v>
      </c>
      <c r="E1008" t="s">
        <v>219</v>
      </c>
      <c r="F1008" t="s">
        <v>1298</v>
      </c>
      <c r="G1008" t="s">
        <v>1299</v>
      </c>
      <c r="H1008" t="s">
        <v>1304</v>
      </c>
      <c r="I1008" t="s">
        <v>310</v>
      </c>
      <c r="J1008">
        <v>2</v>
      </c>
      <c r="L1008">
        <v>377.93</v>
      </c>
      <c r="M1008">
        <v>644.05999999999995</v>
      </c>
      <c r="N1008">
        <v>961.04</v>
      </c>
      <c r="O1008">
        <v>1370.34</v>
      </c>
      <c r="P1008">
        <v>1</v>
      </c>
      <c r="Q1008">
        <v>1</v>
      </c>
      <c r="R1008">
        <v>0</v>
      </c>
      <c r="S1008">
        <v>200138</v>
      </c>
      <c r="T1008" t="b">
        <v>1</v>
      </c>
    </row>
    <row r="1009" spans="2:20" x14ac:dyDescent="0.35">
      <c r="B1009">
        <v>2019</v>
      </c>
      <c r="C1009" s="41">
        <v>43399</v>
      </c>
      <c r="D1009" t="s">
        <v>2019</v>
      </c>
      <c r="E1009" t="s">
        <v>219</v>
      </c>
      <c r="F1009" t="s">
        <v>1301</v>
      </c>
      <c r="G1009" t="s">
        <v>1299</v>
      </c>
      <c r="H1009" t="s">
        <v>1304</v>
      </c>
      <c r="I1009" t="s">
        <v>310</v>
      </c>
      <c r="J1009">
        <v>2</v>
      </c>
      <c r="L1009">
        <v>399.05</v>
      </c>
      <c r="M1009">
        <v>680.06</v>
      </c>
      <c r="N1009">
        <v>1014.76</v>
      </c>
      <c r="O1009">
        <v>1446.94</v>
      </c>
      <c r="P1009">
        <v>1</v>
      </c>
      <c r="Q1009">
        <v>1</v>
      </c>
      <c r="R1009">
        <v>0</v>
      </c>
      <c r="S1009">
        <v>200138</v>
      </c>
      <c r="T1009" t="b">
        <v>1</v>
      </c>
    </row>
    <row r="1010" spans="2:20" x14ac:dyDescent="0.35">
      <c r="B1010">
        <v>2019</v>
      </c>
      <c r="C1010" s="41">
        <v>43399</v>
      </c>
      <c r="D1010" t="s">
        <v>1218</v>
      </c>
      <c r="E1010" t="s">
        <v>219</v>
      </c>
      <c r="F1010" t="s">
        <v>1298</v>
      </c>
      <c r="G1010" t="s">
        <v>1299</v>
      </c>
      <c r="H1010" t="s">
        <v>1304</v>
      </c>
      <c r="I1010" t="s">
        <v>310</v>
      </c>
      <c r="J1010">
        <v>2</v>
      </c>
      <c r="L1010">
        <v>377.93</v>
      </c>
      <c r="M1010">
        <v>644.05999999999995</v>
      </c>
      <c r="N1010">
        <v>961.04</v>
      </c>
      <c r="O1010">
        <v>1370.34</v>
      </c>
      <c r="P1010">
        <v>0</v>
      </c>
      <c r="Q1010">
        <v>3</v>
      </c>
      <c r="R1010">
        <v>0</v>
      </c>
      <c r="S1010">
        <v>200138</v>
      </c>
      <c r="T1010" t="b">
        <v>1</v>
      </c>
    </row>
    <row r="1011" spans="2:20" x14ac:dyDescent="0.35">
      <c r="B1011">
        <v>2019</v>
      </c>
      <c r="C1011" s="41">
        <v>43399</v>
      </c>
      <c r="D1011" t="s">
        <v>2019</v>
      </c>
      <c r="E1011" t="s">
        <v>219</v>
      </c>
      <c r="F1011" t="s">
        <v>461</v>
      </c>
      <c r="G1011" t="s">
        <v>1299</v>
      </c>
      <c r="H1011" t="s">
        <v>1304</v>
      </c>
      <c r="I1011" t="s">
        <v>310</v>
      </c>
      <c r="J1011">
        <v>2</v>
      </c>
      <c r="L1011">
        <v>319.63</v>
      </c>
      <c r="M1011">
        <v>544.72</v>
      </c>
      <c r="N1011">
        <v>812.81</v>
      </c>
      <c r="O1011">
        <v>1158.98</v>
      </c>
      <c r="P1011">
        <v>1</v>
      </c>
      <c r="Q1011">
        <v>1</v>
      </c>
      <c r="R1011">
        <v>0</v>
      </c>
      <c r="S1011">
        <v>200138</v>
      </c>
      <c r="T1011" t="b">
        <v>1</v>
      </c>
    </row>
    <row r="1012" spans="2:20" x14ac:dyDescent="0.35">
      <c r="B1012">
        <v>2019</v>
      </c>
      <c r="C1012" s="41">
        <v>43399</v>
      </c>
      <c r="D1012" t="s">
        <v>1218</v>
      </c>
      <c r="E1012" t="s">
        <v>219</v>
      </c>
      <c r="F1012" t="s">
        <v>461</v>
      </c>
      <c r="G1012" t="s">
        <v>1299</v>
      </c>
      <c r="H1012" t="s">
        <v>1304</v>
      </c>
      <c r="I1012" t="s">
        <v>310</v>
      </c>
      <c r="J1012">
        <v>2</v>
      </c>
      <c r="L1012">
        <v>319.63</v>
      </c>
      <c r="M1012">
        <v>544.72</v>
      </c>
      <c r="N1012">
        <v>812.81</v>
      </c>
      <c r="O1012">
        <v>1158.98</v>
      </c>
      <c r="P1012">
        <v>0</v>
      </c>
      <c r="Q1012">
        <v>3</v>
      </c>
      <c r="R1012">
        <v>0</v>
      </c>
      <c r="S1012">
        <v>200138</v>
      </c>
      <c r="T1012" t="b">
        <v>1</v>
      </c>
    </row>
    <row r="1013" spans="2:20" x14ac:dyDescent="0.35">
      <c r="B1013">
        <v>2019</v>
      </c>
      <c r="C1013" s="41">
        <v>43399</v>
      </c>
      <c r="D1013" t="s">
        <v>1218</v>
      </c>
      <c r="E1013" t="s">
        <v>219</v>
      </c>
      <c r="F1013" t="s">
        <v>1301</v>
      </c>
      <c r="G1013" t="s">
        <v>1299</v>
      </c>
      <c r="H1013" t="s">
        <v>1304</v>
      </c>
      <c r="I1013" t="s">
        <v>310</v>
      </c>
      <c r="J1013">
        <v>2</v>
      </c>
      <c r="L1013">
        <v>399.05</v>
      </c>
      <c r="M1013">
        <v>680.06</v>
      </c>
      <c r="N1013">
        <v>1014.76</v>
      </c>
      <c r="O1013">
        <v>1446.94</v>
      </c>
      <c r="P1013">
        <v>0</v>
      </c>
      <c r="Q1013">
        <v>3</v>
      </c>
      <c r="R1013">
        <v>0</v>
      </c>
      <c r="S1013">
        <v>200138</v>
      </c>
      <c r="T1013" t="b">
        <v>1</v>
      </c>
    </row>
    <row r="1014" spans="2:20" x14ac:dyDescent="0.35">
      <c r="B1014">
        <v>2019</v>
      </c>
      <c r="C1014" s="41">
        <v>43399</v>
      </c>
      <c r="D1014" t="s">
        <v>2020</v>
      </c>
      <c r="E1014" t="s">
        <v>219</v>
      </c>
      <c r="F1014" t="s">
        <v>1302</v>
      </c>
      <c r="G1014" t="s">
        <v>1299</v>
      </c>
      <c r="H1014" t="s">
        <v>1319</v>
      </c>
      <c r="I1014" t="s">
        <v>842</v>
      </c>
      <c r="J1014">
        <v>2</v>
      </c>
      <c r="L1014">
        <v>304.06</v>
      </c>
      <c r="M1014">
        <v>518.17999999999995</v>
      </c>
      <c r="N1014">
        <v>773.2</v>
      </c>
      <c r="O1014">
        <v>1102.5</v>
      </c>
      <c r="P1014">
        <v>0</v>
      </c>
      <c r="Q1014">
        <v>3</v>
      </c>
      <c r="R1014">
        <v>0</v>
      </c>
      <c r="S1014">
        <v>200138</v>
      </c>
      <c r="T1014" t="b">
        <v>1</v>
      </c>
    </row>
    <row r="1015" spans="2:20" x14ac:dyDescent="0.35">
      <c r="B1015">
        <v>2019</v>
      </c>
      <c r="C1015" s="41">
        <v>43399</v>
      </c>
      <c r="D1015" t="s">
        <v>2021</v>
      </c>
      <c r="E1015" t="s">
        <v>219</v>
      </c>
      <c r="F1015" t="s">
        <v>1309</v>
      </c>
      <c r="G1015" t="s">
        <v>1299</v>
      </c>
      <c r="H1015" t="s">
        <v>1308</v>
      </c>
      <c r="I1015" t="s">
        <v>310</v>
      </c>
      <c r="J1015">
        <v>2</v>
      </c>
      <c r="L1015">
        <v>365.04</v>
      </c>
      <c r="M1015">
        <v>622.1</v>
      </c>
      <c r="N1015">
        <v>928.26</v>
      </c>
      <c r="O1015">
        <v>1323.6</v>
      </c>
      <c r="P1015">
        <v>1</v>
      </c>
      <c r="Q1015">
        <v>1</v>
      </c>
      <c r="R1015">
        <v>0</v>
      </c>
      <c r="S1015">
        <v>200138</v>
      </c>
      <c r="T1015" t="b">
        <v>1</v>
      </c>
    </row>
    <row r="1016" spans="2:20" x14ac:dyDescent="0.35">
      <c r="B1016">
        <v>2019</v>
      </c>
      <c r="C1016" s="41">
        <v>43399</v>
      </c>
      <c r="D1016" t="s">
        <v>2020</v>
      </c>
      <c r="E1016" t="s">
        <v>219</v>
      </c>
      <c r="F1016" t="s">
        <v>461</v>
      </c>
      <c r="G1016" t="s">
        <v>1299</v>
      </c>
      <c r="H1016" t="s">
        <v>1319</v>
      </c>
      <c r="I1016" t="s">
        <v>842</v>
      </c>
      <c r="J1016">
        <v>2</v>
      </c>
      <c r="L1016">
        <v>270.02</v>
      </c>
      <c r="M1016">
        <v>460.17</v>
      </c>
      <c r="N1016">
        <v>686.64</v>
      </c>
      <c r="O1016">
        <v>979.07999999999902</v>
      </c>
      <c r="P1016">
        <v>0</v>
      </c>
      <c r="Q1016">
        <v>3</v>
      </c>
      <c r="R1016">
        <v>0</v>
      </c>
      <c r="S1016">
        <v>200138</v>
      </c>
      <c r="T1016" t="b">
        <v>1</v>
      </c>
    </row>
    <row r="1017" spans="2:20" x14ac:dyDescent="0.35">
      <c r="B1017">
        <v>2019</v>
      </c>
      <c r="C1017" s="41">
        <v>43399</v>
      </c>
      <c r="D1017" t="s">
        <v>1218</v>
      </c>
      <c r="E1017" t="s">
        <v>219</v>
      </c>
      <c r="F1017" t="s">
        <v>1302</v>
      </c>
      <c r="G1017" t="s">
        <v>1299</v>
      </c>
      <c r="H1017" t="s">
        <v>1304</v>
      </c>
      <c r="I1017" t="s">
        <v>310</v>
      </c>
      <c r="J1017">
        <v>2</v>
      </c>
      <c r="L1017">
        <v>359.93</v>
      </c>
      <c r="M1017">
        <v>613.39</v>
      </c>
      <c r="N1017">
        <v>915.27</v>
      </c>
      <c r="O1017">
        <v>1305.08</v>
      </c>
      <c r="P1017">
        <v>0</v>
      </c>
      <c r="Q1017">
        <v>3</v>
      </c>
      <c r="R1017">
        <v>0</v>
      </c>
      <c r="S1017">
        <v>200138</v>
      </c>
      <c r="T1017" t="b">
        <v>1</v>
      </c>
    </row>
    <row r="1018" spans="2:20" x14ac:dyDescent="0.35">
      <c r="B1018">
        <v>2019</v>
      </c>
      <c r="C1018" s="41">
        <v>43399</v>
      </c>
      <c r="D1018" t="s">
        <v>2021</v>
      </c>
      <c r="E1018" t="s">
        <v>219</v>
      </c>
      <c r="F1018" t="s">
        <v>1311</v>
      </c>
      <c r="G1018" t="s">
        <v>1299</v>
      </c>
      <c r="H1018" t="s">
        <v>1308</v>
      </c>
      <c r="I1018" t="s">
        <v>310</v>
      </c>
      <c r="J1018">
        <v>2</v>
      </c>
      <c r="L1018">
        <v>354.49</v>
      </c>
      <c r="M1018">
        <v>604.13</v>
      </c>
      <c r="N1018">
        <v>901.46</v>
      </c>
      <c r="O1018">
        <v>1285.3800000000001</v>
      </c>
      <c r="P1018">
        <v>1</v>
      </c>
      <c r="Q1018">
        <v>1</v>
      </c>
      <c r="R1018">
        <v>0</v>
      </c>
      <c r="S1018">
        <v>200138</v>
      </c>
      <c r="T1018" t="b">
        <v>1</v>
      </c>
    </row>
    <row r="1019" spans="2:20" x14ac:dyDescent="0.35">
      <c r="B1019">
        <v>2019</v>
      </c>
      <c r="C1019" s="41">
        <v>43399</v>
      </c>
      <c r="D1019" t="s">
        <v>2021</v>
      </c>
      <c r="E1019" t="s">
        <v>219</v>
      </c>
      <c r="F1019" t="s">
        <v>1307</v>
      </c>
      <c r="G1019" t="s">
        <v>1299</v>
      </c>
      <c r="H1019" t="s">
        <v>1308</v>
      </c>
      <c r="I1019" t="s">
        <v>310</v>
      </c>
      <c r="J1019">
        <v>2</v>
      </c>
      <c r="L1019">
        <v>331.37</v>
      </c>
      <c r="M1019">
        <v>564.73</v>
      </c>
      <c r="N1019">
        <v>842.66</v>
      </c>
      <c r="O1019">
        <v>1201.54</v>
      </c>
      <c r="P1019">
        <v>1</v>
      </c>
      <c r="Q1019">
        <v>1</v>
      </c>
      <c r="R1019">
        <v>0</v>
      </c>
      <c r="S1019">
        <v>200138</v>
      </c>
      <c r="T1019" t="b">
        <v>1</v>
      </c>
    </row>
    <row r="1020" spans="2:20" x14ac:dyDescent="0.35">
      <c r="B1020">
        <v>2019</v>
      </c>
      <c r="C1020" s="41">
        <v>43399</v>
      </c>
      <c r="D1020" t="s">
        <v>2021</v>
      </c>
      <c r="E1020" t="s">
        <v>219</v>
      </c>
      <c r="F1020" t="s">
        <v>1310</v>
      </c>
      <c r="G1020" t="s">
        <v>1299</v>
      </c>
      <c r="H1020" t="s">
        <v>1308</v>
      </c>
      <c r="I1020" t="s">
        <v>310</v>
      </c>
      <c r="J1020">
        <v>2</v>
      </c>
      <c r="L1020">
        <v>473.74</v>
      </c>
      <c r="M1020">
        <v>807.35</v>
      </c>
      <c r="N1020">
        <v>1204.69</v>
      </c>
      <c r="O1020">
        <v>1717.76</v>
      </c>
      <c r="P1020">
        <v>1</v>
      </c>
      <c r="Q1020">
        <v>1</v>
      </c>
      <c r="R1020">
        <v>0</v>
      </c>
      <c r="S1020">
        <v>200138</v>
      </c>
      <c r="T1020" t="b">
        <v>1</v>
      </c>
    </row>
    <row r="1021" spans="2:20" x14ac:dyDescent="0.35">
      <c r="B1021">
        <v>2019</v>
      </c>
      <c r="C1021" s="41">
        <v>43399</v>
      </c>
      <c r="D1021" t="s">
        <v>2021</v>
      </c>
      <c r="E1021" t="s">
        <v>219</v>
      </c>
      <c r="F1021" t="s">
        <v>463</v>
      </c>
      <c r="G1021" t="s">
        <v>1299</v>
      </c>
      <c r="H1021" t="s">
        <v>1308</v>
      </c>
      <c r="I1021" t="s">
        <v>310</v>
      </c>
      <c r="J1021">
        <v>2</v>
      </c>
      <c r="L1021">
        <v>306.63</v>
      </c>
      <c r="M1021">
        <v>522.55999999999995</v>
      </c>
      <c r="N1021">
        <v>779.75</v>
      </c>
      <c r="O1021">
        <v>1111.8399999999999</v>
      </c>
      <c r="P1021">
        <v>1</v>
      </c>
      <c r="Q1021">
        <v>1</v>
      </c>
      <c r="R1021">
        <v>0</v>
      </c>
      <c r="S1021">
        <v>200138</v>
      </c>
      <c r="T1021" t="b">
        <v>1</v>
      </c>
    </row>
    <row r="1022" spans="2:20" x14ac:dyDescent="0.35">
      <c r="B1022">
        <v>2019</v>
      </c>
      <c r="C1022" s="41">
        <v>43399</v>
      </c>
      <c r="D1022" t="s">
        <v>2021</v>
      </c>
      <c r="E1022" t="s">
        <v>219</v>
      </c>
      <c r="F1022" t="s">
        <v>459</v>
      </c>
      <c r="G1022" t="s">
        <v>1299</v>
      </c>
      <c r="H1022" t="s">
        <v>1308</v>
      </c>
      <c r="I1022" t="s">
        <v>310</v>
      </c>
      <c r="J1022">
        <v>2</v>
      </c>
      <c r="L1022">
        <v>304.60000000000002</v>
      </c>
      <c r="M1022">
        <v>519.11</v>
      </c>
      <c r="N1022">
        <v>774.58999999999901</v>
      </c>
      <c r="O1022">
        <v>1104.48</v>
      </c>
      <c r="P1022">
        <v>1</v>
      </c>
      <c r="Q1022">
        <v>1</v>
      </c>
      <c r="R1022">
        <v>0</v>
      </c>
      <c r="S1022">
        <v>200138</v>
      </c>
      <c r="T1022" t="b">
        <v>1</v>
      </c>
    </row>
    <row r="1023" spans="2:20" x14ac:dyDescent="0.35">
      <c r="B1023">
        <v>2019</v>
      </c>
      <c r="C1023" s="41">
        <v>43399</v>
      </c>
      <c r="D1023" t="s">
        <v>2020</v>
      </c>
      <c r="E1023" t="s">
        <v>219</v>
      </c>
      <c r="F1023" t="s">
        <v>1301</v>
      </c>
      <c r="G1023" t="s">
        <v>1299</v>
      </c>
      <c r="H1023" t="s">
        <v>1319</v>
      </c>
      <c r="I1023" t="s">
        <v>842</v>
      </c>
      <c r="J1023">
        <v>2</v>
      </c>
      <c r="L1023">
        <v>337.11</v>
      </c>
      <c r="M1023">
        <v>574.5</v>
      </c>
      <c r="N1023">
        <v>857.26</v>
      </c>
      <c r="O1023">
        <v>1222.3599999999999</v>
      </c>
      <c r="P1023">
        <v>0</v>
      </c>
      <c r="Q1023">
        <v>3</v>
      </c>
      <c r="R1023">
        <v>0</v>
      </c>
      <c r="S1023">
        <v>200138</v>
      </c>
      <c r="T1023" t="b">
        <v>1</v>
      </c>
    </row>
    <row r="1024" spans="2:20" x14ac:dyDescent="0.35">
      <c r="B1024">
        <v>2019</v>
      </c>
      <c r="C1024" s="41">
        <v>43399</v>
      </c>
      <c r="D1024" t="s">
        <v>2020</v>
      </c>
      <c r="E1024" t="s">
        <v>219</v>
      </c>
      <c r="F1024" t="s">
        <v>1298</v>
      </c>
      <c r="G1024" t="s">
        <v>1299</v>
      </c>
      <c r="H1024" t="s">
        <v>1319</v>
      </c>
      <c r="I1024" t="s">
        <v>842</v>
      </c>
      <c r="J1024">
        <v>2</v>
      </c>
      <c r="L1024">
        <v>319.26</v>
      </c>
      <c r="M1024">
        <v>544.09</v>
      </c>
      <c r="N1024">
        <v>811.87</v>
      </c>
      <c r="O1024">
        <v>1157.6399999999901</v>
      </c>
      <c r="P1024">
        <v>0</v>
      </c>
      <c r="Q1024">
        <v>3</v>
      </c>
      <c r="R1024">
        <v>0</v>
      </c>
      <c r="S1024">
        <v>200138</v>
      </c>
      <c r="T1024" t="b">
        <v>1</v>
      </c>
    </row>
    <row r="1025" spans="2:20" x14ac:dyDescent="0.35">
      <c r="B1025">
        <v>2019</v>
      </c>
      <c r="C1025" s="41">
        <v>43399</v>
      </c>
      <c r="D1025" t="s">
        <v>2021</v>
      </c>
      <c r="E1025" t="s">
        <v>219</v>
      </c>
      <c r="F1025" t="s">
        <v>460</v>
      </c>
      <c r="G1025" t="s">
        <v>1299</v>
      </c>
      <c r="H1025" t="s">
        <v>1308</v>
      </c>
      <c r="I1025" t="s">
        <v>310</v>
      </c>
      <c r="J1025">
        <v>2</v>
      </c>
      <c r="L1025">
        <v>369.09</v>
      </c>
      <c r="M1025">
        <v>629.01</v>
      </c>
      <c r="N1025">
        <v>938.57</v>
      </c>
      <c r="O1025">
        <v>1338.3</v>
      </c>
      <c r="P1025">
        <v>1</v>
      </c>
      <c r="Q1025">
        <v>1</v>
      </c>
      <c r="R1025">
        <v>0</v>
      </c>
      <c r="S1025">
        <v>200138</v>
      </c>
      <c r="T1025" t="b">
        <v>1</v>
      </c>
    </row>
    <row r="1026" spans="2:20" x14ac:dyDescent="0.35">
      <c r="B1026">
        <v>2019</v>
      </c>
      <c r="C1026" s="41">
        <v>43399</v>
      </c>
      <c r="D1026" t="s">
        <v>2021</v>
      </c>
      <c r="E1026" t="s">
        <v>219</v>
      </c>
      <c r="F1026" t="s">
        <v>462</v>
      </c>
      <c r="G1026" t="s">
        <v>1299</v>
      </c>
      <c r="H1026" t="s">
        <v>1308</v>
      </c>
      <c r="I1026" t="s">
        <v>310</v>
      </c>
      <c r="J1026">
        <v>2</v>
      </c>
      <c r="L1026">
        <v>374.77</v>
      </c>
      <c r="M1026">
        <v>638.69000000000005</v>
      </c>
      <c r="N1026">
        <v>953.02</v>
      </c>
      <c r="O1026">
        <v>1358.9</v>
      </c>
      <c r="P1026">
        <v>1</v>
      </c>
      <c r="Q1026">
        <v>1</v>
      </c>
      <c r="R1026">
        <v>0</v>
      </c>
      <c r="S1026">
        <v>200138</v>
      </c>
      <c r="T1026" t="b">
        <v>1</v>
      </c>
    </row>
    <row r="1027" spans="2:20" x14ac:dyDescent="0.35">
      <c r="B1027">
        <v>2019</v>
      </c>
      <c r="C1027" s="41">
        <v>43399</v>
      </c>
      <c r="D1027" t="s">
        <v>2022</v>
      </c>
      <c r="E1027" t="s">
        <v>219</v>
      </c>
      <c r="F1027" t="s">
        <v>1309</v>
      </c>
      <c r="G1027" t="s">
        <v>1299</v>
      </c>
      <c r="H1027" t="s">
        <v>1308</v>
      </c>
      <c r="I1027" t="s">
        <v>310</v>
      </c>
      <c r="J1027">
        <v>2</v>
      </c>
      <c r="L1027">
        <v>365.04</v>
      </c>
      <c r="M1027">
        <v>622.1</v>
      </c>
      <c r="N1027">
        <v>928.26</v>
      </c>
      <c r="O1027">
        <v>1323.6</v>
      </c>
      <c r="P1027">
        <v>1</v>
      </c>
      <c r="Q1027">
        <v>1</v>
      </c>
      <c r="R1027">
        <v>0</v>
      </c>
      <c r="S1027">
        <v>200138</v>
      </c>
      <c r="T1027" t="b">
        <v>1</v>
      </c>
    </row>
    <row r="1028" spans="2:20" x14ac:dyDescent="0.35">
      <c r="B1028">
        <v>2019</v>
      </c>
      <c r="C1028" s="41">
        <v>43399</v>
      </c>
      <c r="D1028" t="s">
        <v>2022</v>
      </c>
      <c r="E1028" t="s">
        <v>219</v>
      </c>
      <c r="F1028" t="s">
        <v>1307</v>
      </c>
      <c r="G1028" t="s">
        <v>1299</v>
      </c>
      <c r="H1028" t="s">
        <v>1308</v>
      </c>
      <c r="I1028" t="s">
        <v>310</v>
      </c>
      <c r="J1028">
        <v>2</v>
      </c>
      <c r="L1028">
        <v>331.37</v>
      </c>
      <c r="M1028">
        <v>564.73</v>
      </c>
      <c r="N1028">
        <v>842.66</v>
      </c>
      <c r="O1028">
        <v>1201.54</v>
      </c>
      <c r="P1028">
        <v>1</v>
      </c>
      <c r="Q1028">
        <v>1</v>
      </c>
      <c r="R1028">
        <v>0</v>
      </c>
      <c r="S1028">
        <v>200138</v>
      </c>
      <c r="T1028" t="b">
        <v>1</v>
      </c>
    </row>
    <row r="1029" spans="2:20" x14ac:dyDescent="0.35">
      <c r="B1029">
        <v>2019</v>
      </c>
      <c r="C1029" s="41">
        <v>43399</v>
      </c>
      <c r="D1029" t="s">
        <v>2022</v>
      </c>
      <c r="E1029" t="s">
        <v>219</v>
      </c>
      <c r="F1029" t="s">
        <v>1311</v>
      </c>
      <c r="G1029" t="s">
        <v>1299</v>
      </c>
      <c r="H1029" t="s">
        <v>1308</v>
      </c>
      <c r="I1029" t="s">
        <v>310</v>
      </c>
      <c r="J1029">
        <v>2</v>
      </c>
      <c r="L1029">
        <v>354.49</v>
      </c>
      <c r="M1029">
        <v>604.13</v>
      </c>
      <c r="N1029">
        <v>901.46</v>
      </c>
      <c r="O1029">
        <v>1285.3800000000001</v>
      </c>
      <c r="P1029">
        <v>1</v>
      </c>
      <c r="Q1029">
        <v>1</v>
      </c>
      <c r="R1029">
        <v>0</v>
      </c>
      <c r="S1029">
        <v>200138</v>
      </c>
      <c r="T1029" t="b">
        <v>1</v>
      </c>
    </row>
    <row r="1030" spans="2:20" x14ac:dyDescent="0.35">
      <c r="B1030">
        <v>2019</v>
      </c>
      <c r="C1030" s="41">
        <v>43399</v>
      </c>
      <c r="D1030" t="s">
        <v>2022</v>
      </c>
      <c r="E1030" t="s">
        <v>219</v>
      </c>
      <c r="F1030" t="s">
        <v>463</v>
      </c>
      <c r="G1030" t="s">
        <v>1299</v>
      </c>
      <c r="H1030" t="s">
        <v>1308</v>
      </c>
      <c r="I1030" t="s">
        <v>310</v>
      </c>
      <c r="J1030">
        <v>2</v>
      </c>
      <c r="L1030">
        <v>306.63</v>
      </c>
      <c r="M1030">
        <v>522.55999999999995</v>
      </c>
      <c r="N1030">
        <v>779.75</v>
      </c>
      <c r="O1030">
        <v>1111.8399999999999</v>
      </c>
      <c r="P1030">
        <v>1</v>
      </c>
      <c r="Q1030">
        <v>1</v>
      </c>
      <c r="R1030">
        <v>0</v>
      </c>
      <c r="S1030">
        <v>200138</v>
      </c>
      <c r="T1030" t="b">
        <v>1</v>
      </c>
    </row>
    <row r="1031" spans="2:20" x14ac:dyDescent="0.35">
      <c r="B1031">
        <v>2019</v>
      </c>
      <c r="C1031" s="41">
        <v>43399</v>
      </c>
      <c r="D1031" t="s">
        <v>2022</v>
      </c>
      <c r="E1031" t="s">
        <v>219</v>
      </c>
      <c r="F1031" t="s">
        <v>460</v>
      </c>
      <c r="G1031" t="s">
        <v>1299</v>
      </c>
      <c r="H1031" t="s">
        <v>1308</v>
      </c>
      <c r="I1031" t="s">
        <v>310</v>
      </c>
      <c r="J1031">
        <v>2</v>
      </c>
      <c r="L1031">
        <v>369.09</v>
      </c>
      <c r="M1031">
        <v>629.01</v>
      </c>
      <c r="N1031">
        <v>938.57</v>
      </c>
      <c r="O1031">
        <v>1338.3</v>
      </c>
      <c r="P1031">
        <v>1</v>
      </c>
      <c r="Q1031">
        <v>1</v>
      </c>
      <c r="R1031">
        <v>0</v>
      </c>
      <c r="S1031">
        <v>200138</v>
      </c>
      <c r="T1031" t="b">
        <v>1</v>
      </c>
    </row>
    <row r="1032" spans="2:20" x14ac:dyDescent="0.35">
      <c r="B1032">
        <v>2019</v>
      </c>
      <c r="C1032" s="41">
        <v>43399</v>
      </c>
      <c r="D1032" t="s">
        <v>2022</v>
      </c>
      <c r="E1032" t="s">
        <v>219</v>
      </c>
      <c r="F1032" t="s">
        <v>462</v>
      </c>
      <c r="G1032" t="s">
        <v>1299</v>
      </c>
      <c r="H1032" t="s">
        <v>1308</v>
      </c>
      <c r="I1032" t="s">
        <v>310</v>
      </c>
      <c r="J1032">
        <v>2</v>
      </c>
      <c r="L1032">
        <v>374.77</v>
      </c>
      <c r="M1032">
        <v>638.69000000000005</v>
      </c>
      <c r="N1032">
        <v>953.02</v>
      </c>
      <c r="O1032">
        <v>1358.9</v>
      </c>
      <c r="P1032">
        <v>1</v>
      </c>
      <c r="Q1032">
        <v>1</v>
      </c>
      <c r="R1032">
        <v>0</v>
      </c>
      <c r="S1032">
        <v>200138</v>
      </c>
      <c r="T1032" t="b">
        <v>1</v>
      </c>
    </row>
    <row r="1033" spans="2:20" x14ac:dyDescent="0.35">
      <c r="B1033">
        <v>2019</v>
      </c>
      <c r="C1033" s="41">
        <v>43399</v>
      </c>
      <c r="D1033" t="s">
        <v>2023</v>
      </c>
      <c r="E1033" t="s">
        <v>219</v>
      </c>
      <c r="F1033" t="s">
        <v>1307</v>
      </c>
      <c r="G1033" t="s">
        <v>1299</v>
      </c>
      <c r="H1033" t="s">
        <v>1308</v>
      </c>
      <c r="I1033" t="s">
        <v>310</v>
      </c>
      <c r="J1033">
        <v>2</v>
      </c>
      <c r="L1033">
        <v>331.37</v>
      </c>
      <c r="M1033">
        <v>564.73</v>
      </c>
      <c r="N1033">
        <v>842.66</v>
      </c>
      <c r="O1033">
        <v>1201.54</v>
      </c>
      <c r="P1033">
        <v>0</v>
      </c>
      <c r="Q1033">
        <v>3</v>
      </c>
      <c r="R1033">
        <v>0</v>
      </c>
      <c r="S1033">
        <v>200138</v>
      </c>
      <c r="T1033" t="b">
        <v>1</v>
      </c>
    </row>
    <row r="1034" spans="2:20" x14ac:dyDescent="0.35">
      <c r="B1034">
        <v>2019</v>
      </c>
      <c r="C1034" s="41">
        <v>43399</v>
      </c>
      <c r="D1034" t="s">
        <v>2022</v>
      </c>
      <c r="E1034" t="s">
        <v>219</v>
      </c>
      <c r="F1034" t="s">
        <v>459</v>
      </c>
      <c r="G1034" t="s">
        <v>1299</v>
      </c>
      <c r="H1034" t="s">
        <v>1308</v>
      </c>
      <c r="I1034" t="s">
        <v>310</v>
      </c>
      <c r="J1034">
        <v>2</v>
      </c>
      <c r="L1034">
        <v>304.60000000000002</v>
      </c>
      <c r="M1034">
        <v>519.11</v>
      </c>
      <c r="N1034">
        <v>774.58999999999901</v>
      </c>
      <c r="O1034">
        <v>1104.48</v>
      </c>
      <c r="P1034">
        <v>1</v>
      </c>
      <c r="Q1034">
        <v>1</v>
      </c>
      <c r="R1034">
        <v>0</v>
      </c>
      <c r="S1034">
        <v>200138</v>
      </c>
      <c r="T1034" t="b">
        <v>1</v>
      </c>
    </row>
    <row r="1035" spans="2:20" x14ac:dyDescent="0.35">
      <c r="B1035">
        <v>2019</v>
      </c>
      <c r="C1035" s="41">
        <v>43399</v>
      </c>
      <c r="D1035" t="s">
        <v>2023</v>
      </c>
      <c r="E1035" t="s">
        <v>219</v>
      </c>
      <c r="F1035" t="s">
        <v>1311</v>
      </c>
      <c r="G1035" t="s">
        <v>1299</v>
      </c>
      <c r="H1035" t="s">
        <v>1308</v>
      </c>
      <c r="I1035" t="s">
        <v>310</v>
      </c>
      <c r="J1035">
        <v>2</v>
      </c>
      <c r="L1035">
        <v>354.49</v>
      </c>
      <c r="M1035">
        <v>604.13</v>
      </c>
      <c r="N1035">
        <v>901.46</v>
      </c>
      <c r="O1035">
        <v>1285.3800000000001</v>
      </c>
      <c r="P1035">
        <v>0</v>
      </c>
      <c r="Q1035">
        <v>3</v>
      </c>
      <c r="R1035">
        <v>0</v>
      </c>
      <c r="S1035">
        <v>200138</v>
      </c>
      <c r="T1035" t="b">
        <v>1</v>
      </c>
    </row>
    <row r="1036" spans="2:20" x14ac:dyDescent="0.35">
      <c r="B1036">
        <v>2019</v>
      </c>
      <c r="C1036" s="41">
        <v>43399</v>
      </c>
      <c r="D1036" t="s">
        <v>2023</v>
      </c>
      <c r="E1036" t="s">
        <v>219</v>
      </c>
      <c r="F1036" t="s">
        <v>462</v>
      </c>
      <c r="G1036" t="s">
        <v>1299</v>
      </c>
      <c r="H1036" t="s">
        <v>1308</v>
      </c>
      <c r="I1036" t="s">
        <v>310</v>
      </c>
      <c r="J1036">
        <v>2</v>
      </c>
      <c r="L1036">
        <v>374.77</v>
      </c>
      <c r="M1036">
        <v>638.69000000000005</v>
      </c>
      <c r="N1036">
        <v>953.02</v>
      </c>
      <c r="O1036">
        <v>1358.9</v>
      </c>
      <c r="P1036">
        <v>0</v>
      </c>
      <c r="Q1036">
        <v>3</v>
      </c>
      <c r="R1036">
        <v>0</v>
      </c>
      <c r="S1036">
        <v>200138</v>
      </c>
      <c r="T1036" t="b">
        <v>1</v>
      </c>
    </row>
    <row r="1037" spans="2:20" x14ac:dyDescent="0.35">
      <c r="B1037">
        <v>2019</v>
      </c>
      <c r="C1037" s="41">
        <v>43399</v>
      </c>
      <c r="D1037" t="s">
        <v>2023</v>
      </c>
      <c r="E1037" t="s">
        <v>219</v>
      </c>
      <c r="F1037" t="s">
        <v>459</v>
      </c>
      <c r="G1037" t="s">
        <v>1299</v>
      </c>
      <c r="H1037" t="s">
        <v>1308</v>
      </c>
      <c r="I1037" t="s">
        <v>310</v>
      </c>
      <c r="J1037">
        <v>2</v>
      </c>
      <c r="L1037">
        <v>304.60000000000002</v>
      </c>
      <c r="M1037">
        <v>519.11</v>
      </c>
      <c r="N1037">
        <v>774.58999999999901</v>
      </c>
      <c r="O1037">
        <v>1104.48</v>
      </c>
      <c r="P1037">
        <v>0</v>
      </c>
      <c r="Q1037">
        <v>3</v>
      </c>
      <c r="R1037">
        <v>0</v>
      </c>
      <c r="S1037">
        <v>200138</v>
      </c>
      <c r="T1037" t="b">
        <v>1</v>
      </c>
    </row>
    <row r="1038" spans="2:20" x14ac:dyDescent="0.35">
      <c r="B1038">
        <v>2019</v>
      </c>
      <c r="C1038" s="41">
        <v>43399</v>
      </c>
      <c r="D1038" t="s">
        <v>2023</v>
      </c>
      <c r="E1038" t="s">
        <v>219</v>
      </c>
      <c r="F1038" t="s">
        <v>463</v>
      </c>
      <c r="G1038" t="s">
        <v>1299</v>
      </c>
      <c r="H1038" t="s">
        <v>1308</v>
      </c>
      <c r="I1038" t="s">
        <v>310</v>
      </c>
      <c r="J1038">
        <v>2</v>
      </c>
      <c r="L1038">
        <v>306.63</v>
      </c>
      <c r="M1038">
        <v>522.55999999999995</v>
      </c>
      <c r="N1038">
        <v>779.75</v>
      </c>
      <c r="O1038">
        <v>1111.8399999999999</v>
      </c>
      <c r="P1038">
        <v>0</v>
      </c>
      <c r="Q1038">
        <v>3</v>
      </c>
      <c r="R1038">
        <v>0</v>
      </c>
      <c r="S1038">
        <v>200138</v>
      </c>
      <c r="T1038" t="b">
        <v>1</v>
      </c>
    </row>
    <row r="1039" spans="2:20" x14ac:dyDescent="0.35">
      <c r="B1039">
        <v>2019</v>
      </c>
      <c r="C1039" s="41">
        <v>43399</v>
      </c>
      <c r="D1039" t="s">
        <v>2023</v>
      </c>
      <c r="E1039" t="s">
        <v>219</v>
      </c>
      <c r="F1039" t="s">
        <v>1310</v>
      </c>
      <c r="G1039" t="s">
        <v>1299</v>
      </c>
      <c r="H1039" t="s">
        <v>1308</v>
      </c>
      <c r="I1039" t="s">
        <v>310</v>
      </c>
      <c r="J1039">
        <v>2</v>
      </c>
      <c r="L1039">
        <v>473.74</v>
      </c>
      <c r="M1039">
        <v>807.35</v>
      </c>
      <c r="N1039">
        <v>1204.69</v>
      </c>
      <c r="O1039">
        <v>1717.76</v>
      </c>
      <c r="P1039">
        <v>0</v>
      </c>
      <c r="Q1039">
        <v>3</v>
      </c>
      <c r="R1039">
        <v>0</v>
      </c>
      <c r="S1039">
        <v>200138</v>
      </c>
      <c r="T1039" t="b">
        <v>1</v>
      </c>
    </row>
    <row r="1040" spans="2:20" x14ac:dyDescent="0.35">
      <c r="B1040">
        <v>2019</v>
      </c>
      <c r="C1040" s="41">
        <v>43399</v>
      </c>
      <c r="D1040" t="s">
        <v>2022</v>
      </c>
      <c r="E1040" t="s">
        <v>219</v>
      </c>
      <c r="F1040" t="s">
        <v>1310</v>
      </c>
      <c r="G1040" t="s">
        <v>1299</v>
      </c>
      <c r="H1040" t="s">
        <v>1308</v>
      </c>
      <c r="I1040" t="s">
        <v>310</v>
      </c>
      <c r="J1040">
        <v>2</v>
      </c>
      <c r="L1040">
        <v>473.74</v>
      </c>
      <c r="M1040">
        <v>807.35</v>
      </c>
      <c r="N1040">
        <v>1204.69</v>
      </c>
      <c r="O1040">
        <v>1717.76</v>
      </c>
      <c r="P1040">
        <v>1</v>
      </c>
      <c r="Q1040">
        <v>1</v>
      </c>
      <c r="R1040">
        <v>0</v>
      </c>
      <c r="S1040">
        <v>200138</v>
      </c>
      <c r="T1040" t="b">
        <v>1</v>
      </c>
    </row>
    <row r="1041" spans="2:20" x14ac:dyDescent="0.35">
      <c r="B1041">
        <v>2019</v>
      </c>
      <c r="C1041" s="41">
        <v>43399</v>
      </c>
      <c r="D1041" t="s">
        <v>2023</v>
      </c>
      <c r="E1041" t="s">
        <v>219</v>
      </c>
      <c r="F1041" t="s">
        <v>1309</v>
      </c>
      <c r="G1041" t="s">
        <v>1299</v>
      </c>
      <c r="H1041" t="s">
        <v>1308</v>
      </c>
      <c r="I1041" t="s">
        <v>310</v>
      </c>
      <c r="J1041">
        <v>2</v>
      </c>
      <c r="L1041">
        <v>365.04</v>
      </c>
      <c r="M1041">
        <v>622.1</v>
      </c>
      <c r="N1041">
        <v>928.26</v>
      </c>
      <c r="O1041">
        <v>1323.6</v>
      </c>
      <c r="P1041">
        <v>0</v>
      </c>
      <c r="Q1041">
        <v>3</v>
      </c>
      <c r="R1041">
        <v>0</v>
      </c>
      <c r="S1041">
        <v>200138</v>
      </c>
      <c r="T1041" t="b">
        <v>1</v>
      </c>
    </row>
    <row r="1042" spans="2:20" x14ac:dyDescent="0.35">
      <c r="B1042">
        <v>2019</v>
      </c>
      <c r="C1042" s="41">
        <v>43399</v>
      </c>
      <c r="D1042" t="s">
        <v>2023</v>
      </c>
      <c r="E1042" t="s">
        <v>219</v>
      </c>
      <c r="F1042" t="s">
        <v>460</v>
      </c>
      <c r="G1042" t="s">
        <v>1299</v>
      </c>
      <c r="H1042" t="s">
        <v>1308</v>
      </c>
      <c r="I1042" t="s">
        <v>310</v>
      </c>
      <c r="J1042">
        <v>2</v>
      </c>
      <c r="L1042">
        <v>369.09</v>
      </c>
      <c r="M1042">
        <v>629.01</v>
      </c>
      <c r="N1042">
        <v>938.57</v>
      </c>
      <c r="O1042">
        <v>1338.3</v>
      </c>
      <c r="P1042">
        <v>0</v>
      </c>
      <c r="Q1042">
        <v>3</v>
      </c>
      <c r="R1042">
        <v>0</v>
      </c>
      <c r="S1042">
        <v>200138</v>
      </c>
      <c r="T1042" t="b">
        <v>1</v>
      </c>
    </row>
    <row r="1043" spans="2:20" x14ac:dyDescent="0.35">
      <c r="B1043">
        <v>2019</v>
      </c>
      <c r="C1043" s="41">
        <v>43399</v>
      </c>
      <c r="D1043" t="s">
        <v>2024</v>
      </c>
      <c r="E1043" t="s">
        <v>219</v>
      </c>
      <c r="F1043" t="s">
        <v>1309</v>
      </c>
      <c r="G1043" t="s">
        <v>1299</v>
      </c>
      <c r="H1043" t="s">
        <v>1313</v>
      </c>
      <c r="I1043" t="s">
        <v>310</v>
      </c>
      <c r="J1043">
        <v>2</v>
      </c>
      <c r="L1043">
        <v>318.2</v>
      </c>
      <c r="M1043">
        <v>542.27</v>
      </c>
      <c r="N1043">
        <v>809.15</v>
      </c>
      <c r="O1043">
        <v>1153.76</v>
      </c>
      <c r="P1043">
        <v>1</v>
      </c>
      <c r="Q1043">
        <v>1</v>
      </c>
      <c r="R1043">
        <v>0</v>
      </c>
      <c r="S1043">
        <v>200138</v>
      </c>
      <c r="T1043" t="b">
        <v>1</v>
      </c>
    </row>
    <row r="1044" spans="2:20" x14ac:dyDescent="0.35">
      <c r="B1044">
        <v>2019</v>
      </c>
      <c r="C1044" s="41">
        <v>43399</v>
      </c>
      <c r="D1044" t="s">
        <v>2024</v>
      </c>
      <c r="E1044" t="s">
        <v>219</v>
      </c>
      <c r="F1044" t="s">
        <v>1307</v>
      </c>
      <c r="G1044" t="s">
        <v>1299</v>
      </c>
      <c r="H1044" t="s">
        <v>1313</v>
      </c>
      <c r="I1044" t="s">
        <v>310</v>
      </c>
      <c r="J1044">
        <v>2</v>
      </c>
      <c r="L1044">
        <v>288.85000000000002</v>
      </c>
      <c r="M1044">
        <v>492.26</v>
      </c>
      <c r="N1044">
        <v>734.53</v>
      </c>
      <c r="O1044">
        <v>1047.3599999999999</v>
      </c>
      <c r="P1044">
        <v>1</v>
      </c>
      <c r="Q1044">
        <v>1</v>
      </c>
      <c r="R1044">
        <v>0</v>
      </c>
      <c r="S1044">
        <v>200138</v>
      </c>
      <c r="T1044" t="b">
        <v>1</v>
      </c>
    </row>
    <row r="1045" spans="2:20" x14ac:dyDescent="0.35">
      <c r="B1045">
        <v>2019</v>
      </c>
      <c r="C1045" s="41">
        <v>43399</v>
      </c>
      <c r="D1045" t="s">
        <v>2024</v>
      </c>
      <c r="E1045" t="s">
        <v>219</v>
      </c>
      <c r="F1045" t="s">
        <v>1311</v>
      </c>
      <c r="G1045" t="s">
        <v>1299</v>
      </c>
      <c r="H1045" t="s">
        <v>1313</v>
      </c>
      <c r="I1045" t="s">
        <v>310</v>
      </c>
      <c r="J1045">
        <v>2</v>
      </c>
      <c r="L1045">
        <v>309</v>
      </c>
      <c r="M1045">
        <v>526.6</v>
      </c>
      <c r="N1045">
        <v>785.78</v>
      </c>
      <c r="O1045">
        <v>1120.44</v>
      </c>
      <c r="P1045">
        <v>1</v>
      </c>
      <c r="Q1045">
        <v>1</v>
      </c>
      <c r="R1045">
        <v>0</v>
      </c>
      <c r="S1045">
        <v>200138</v>
      </c>
      <c r="T1045" t="b">
        <v>1</v>
      </c>
    </row>
    <row r="1046" spans="2:20" x14ac:dyDescent="0.35">
      <c r="B1046">
        <v>2019</v>
      </c>
      <c r="C1046" s="41">
        <v>43399</v>
      </c>
      <c r="D1046" t="s">
        <v>2024</v>
      </c>
      <c r="E1046" t="s">
        <v>219</v>
      </c>
      <c r="F1046" t="s">
        <v>459</v>
      </c>
      <c r="G1046" t="s">
        <v>1299</v>
      </c>
      <c r="H1046" t="s">
        <v>1313</v>
      </c>
      <c r="I1046" t="s">
        <v>310</v>
      </c>
      <c r="J1046">
        <v>2</v>
      </c>
      <c r="L1046">
        <v>265.52</v>
      </c>
      <c r="M1046">
        <v>452.49</v>
      </c>
      <c r="N1046">
        <v>675.2</v>
      </c>
      <c r="O1046">
        <v>962.76</v>
      </c>
      <c r="P1046">
        <v>1</v>
      </c>
      <c r="Q1046">
        <v>1</v>
      </c>
      <c r="R1046">
        <v>0</v>
      </c>
      <c r="S1046">
        <v>200138</v>
      </c>
      <c r="T1046" t="b">
        <v>1</v>
      </c>
    </row>
    <row r="1047" spans="2:20" x14ac:dyDescent="0.35">
      <c r="B1047">
        <v>2019</v>
      </c>
      <c r="C1047" s="41">
        <v>43399</v>
      </c>
      <c r="D1047" t="s">
        <v>2024</v>
      </c>
      <c r="E1047" t="s">
        <v>219</v>
      </c>
      <c r="F1047" t="s">
        <v>1310</v>
      </c>
      <c r="G1047" t="s">
        <v>1299</v>
      </c>
      <c r="H1047" t="s">
        <v>1313</v>
      </c>
      <c r="I1047" t="s">
        <v>310</v>
      </c>
      <c r="J1047">
        <v>2</v>
      </c>
      <c r="L1047">
        <v>412.95</v>
      </c>
      <c r="M1047">
        <v>703.74</v>
      </c>
      <c r="N1047">
        <v>1050.1099999999999</v>
      </c>
      <c r="O1047">
        <v>1497.34</v>
      </c>
      <c r="P1047">
        <v>1</v>
      </c>
      <c r="Q1047">
        <v>1</v>
      </c>
      <c r="R1047">
        <v>0</v>
      </c>
      <c r="S1047">
        <v>200138</v>
      </c>
      <c r="T1047" t="b">
        <v>1</v>
      </c>
    </row>
    <row r="1048" spans="2:20" x14ac:dyDescent="0.35">
      <c r="B1048">
        <v>2019</v>
      </c>
      <c r="C1048" s="41">
        <v>43399</v>
      </c>
      <c r="D1048" t="s">
        <v>2024</v>
      </c>
      <c r="E1048" t="s">
        <v>219</v>
      </c>
      <c r="F1048" t="s">
        <v>462</v>
      </c>
      <c r="G1048" t="s">
        <v>1299</v>
      </c>
      <c r="H1048" t="s">
        <v>1313</v>
      </c>
      <c r="I1048" t="s">
        <v>310</v>
      </c>
      <c r="J1048">
        <v>2</v>
      </c>
      <c r="L1048">
        <v>326.68</v>
      </c>
      <c r="M1048">
        <v>556.73</v>
      </c>
      <c r="N1048">
        <v>830.72</v>
      </c>
      <c r="O1048">
        <v>1184.52</v>
      </c>
      <c r="P1048">
        <v>1</v>
      </c>
      <c r="Q1048">
        <v>1</v>
      </c>
      <c r="R1048">
        <v>0</v>
      </c>
      <c r="S1048">
        <v>200138</v>
      </c>
      <c r="T1048" t="b">
        <v>1</v>
      </c>
    </row>
    <row r="1049" spans="2:20" x14ac:dyDescent="0.35">
      <c r="B1049">
        <v>2019</v>
      </c>
      <c r="C1049" s="41">
        <v>43399</v>
      </c>
      <c r="D1049" t="s">
        <v>2024</v>
      </c>
      <c r="E1049" t="s">
        <v>219</v>
      </c>
      <c r="F1049" t="s">
        <v>463</v>
      </c>
      <c r="G1049" t="s">
        <v>1299</v>
      </c>
      <c r="H1049" t="s">
        <v>1313</v>
      </c>
      <c r="I1049" t="s">
        <v>310</v>
      </c>
      <c r="J1049">
        <v>2</v>
      </c>
      <c r="L1049">
        <v>267.27999999999997</v>
      </c>
      <c r="M1049">
        <v>455.51</v>
      </c>
      <c r="N1049">
        <v>679.69</v>
      </c>
      <c r="O1049">
        <v>969.16</v>
      </c>
      <c r="P1049">
        <v>1</v>
      </c>
      <c r="Q1049">
        <v>1</v>
      </c>
      <c r="R1049">
        <v>0</v>
      </c>
      <c r="S1049">
        <v>200138</v>
      </c>
      <c r="T1049" t="b">
        <v>1</v>
      </c>
    </row>
    <row r="1050" spans="2:20" x14ac:dyDescent="0.35">
      <c r="B1050">
        <v>2019</v>
      </c>
      <c r="C1050" s="41">
        <v>43399</v>
      </c>
      <c r="D1050" t="s">
        <v>2025</v>
      </c>
      <c r="E1050" t="s">
        <v>219</v>
      </c>
      <c r="F1050" t="s">
        <v>1302</v>
      </c>
      <c r="G1050" t="s">
        <v>1299</v>
      </c>
      <c r="H1050" t="s">
        <v>1313</v>
      </c>
      <c r="I1050" t="s">
        <v>310</v>
      </c>
      <c r="J1050">
        <v>2</v>
      </c>
      <c r="L1050">
        <v>325.27</v>
      </c>
      <c r="M1050">
        <v>554.32000000000005</v>
      </c>
      <c r="N1050">
        <v>827.13</v>
      </c>
      <c r="O1050">
        <v>1179.4000000000001</v>
      </c>
      <c r="P1050">
        <v>1</v>
      </c>
      <c r="Q1050">
        <v>1</v>
      </c>
      <c r="R1050">
        <v>0</v>
      </c>
      <c r="S1050">
        <v>200138</v>
      </c>
      <c r="T1050" t="b">
        <v>1</v>
      </c>
    </row>
    <row r="1051" spans="2:20" x14ac:dyDescent="0.35">
      <c r="B1051">
        <v>2019</v>
      </c>
      <c r="C1051" s="41">
        <v>43399</v>
      </c>
      <c r="D1051" t="s">
        <v>2024</v>
      </c>
      <c r="E1051" t="s">
        <v>219</v>
      </c>
      <c r="F1051" t="s">
        <v>460</v>
      </c>
      <c r="G1051" t="s">
        <v>1299</v>
      </c>
      <c r="H1051" t="s">
        <v>1313</v>
      </c>
      <c r="I1051" t="s">
        <v>310</v>
      </c>
      <c r="J1051">
        <v>2</v>
      </c>
      <c r="L1051">
        <v>321.73</v>
      </c>
      <c r="M1051">
        <v>548.29</v>
      </c>
      <c r="N1051">
        <v>818.14</v>
      </c>
      <c r="O1051">
        <v>1166.58</v>
      </c>
      <c r="P1051">
        <v>1</v>
      </c>
      <c r="Q1051">
        <v>1</v>
      </c>
      <c r="R1051">
        <v>0</v>
      </c>
      <c r="S1051">
        <v>200138</v>
      </c>
      <c r="T1051" t="b">
        <v>1</v>
      </c>
    </row>
    <row r="1052" spans="2:20" x14ac:dyDescent="0.35">
      <c r="B1052">
        <v>2019</v>
      </c>
      <c r="C1052" s="41">
        <v>43399</v>
      </c>
      <c r="D1052" t="s">
        <v>2025</v>
      </c>
      <c r="E1052" t="s">
        <v>219</v>
      </c>
      <c r="F1052" t="s">
        <v>1298</v>
      </c>
      <c r="G1052" t="s">
        <v>1299</v>
      </c>
      <c r="H1052" t="s">
        <v>1313</v>
      </c>
      <c r="I1052" t="s">
        <v>310</v>
      </c>
      <c r="J1052">
        <v>2</v>
      </c>
      <c r="L1052">
        <v>341.53</v>
      </c>
      <c r="M1052">
        <v>582.04</v>
      </c>
      <c r="N1052">
        <v>868.48</v>
      </c>
      <c r="O1052">
        <v>1238.3599999999999</v>
      </c>
      <c r="P1052">
        <v>1</v>
      </c>
      <c r="Q1052">
        <v>1</v>
      </c>
      <c r="R1052">
        <v>0</v>
      </c>
      <c r="S1052">
        <v>200138</v>
      </c>
      <c r="T1052" t="b">
        <v>1</v>
      </c>
    </row>
    <row r="1053" spans="2:20" x14ac:dyDescent="0.35">
      <c r="B1053">
        <v>2019</v>
      </c>
      <c r="C1053" s="41">
        <v>43399</v>
      </c>
      <c r="D1053" t="s">
        <v>2025</v>
      </c>
      <c r="E1053" t="s">
        <v>219</v>
      </c>
      <c r="F1053" t="s">
        <v>461</v>
      </c>
      <c r="G1053" t="s">
        <v>1299</v>
      </c>
      <c r="H1053" t="s">
        <v>1313</v>
      </c>
      <c r="I1053" t="s">
        <v>310</v>
      </c>
      <c r="J1053">
        <v>2</v>
      </c>
      <c r="L1053">
        <v>288.85000000000002</v>
      </c>
      <c r="M1053">
        <v>492.26</v>
      </c>
      <c r="N1053">
        <v>734.53</v>
      </c>
      <c r="O1053">
        <v>1047.3599999999999</v>
      </c>
      <c r="P1053">
        <v>1</v>
      </c>
      <c r="Q1053">
        <v>1</v>
      </c>
      <c r="R1053">
        <v>0</v>
      </c>
      <c r="S1053">
        <v>200138</v>
      </c>
      <c r="T1053" t="b">
        <v>1</v>
      </c>
    </row>
    <row r="1054" spans="2:20" x14ac:dyDescent="0.35">
      <c r="B1054">
        <v>2019</v>
      </c>
      <c r="C1054" s="41">
        <v>43399</v>
      </c>
      <c r="D1054" t="s">
        <v>2026</v>
      </c>
      <c r="E1054" t="s">
        <v>219</v>
      </c>
      <c r="F1054" t="s">
        <v>1302</v>
      </c>
      <c r="G1054" t="s">
        <v>1299</v>
      </c>
      <c r="H1054" t="s">
        <v>1313</v>
      </c>
      <c r="I1054" t="s">
        <v>310</v>
      </c>
      <c r="J1054">
        <v>2</v>
      </c>
      <c r="L1054">
        <v>325.27</v>
      </c>
      <c r="M1054">
        <v>554.32000000000005</v>
      </c>
      <c r="N1054">
        <v>827.13</v>
      </c>
      <c r="O1054">
        <v>1179.4000000000001</v>
      </c>
      <c r="P1054">
        <v>1</v>
      </c>
      <c r="Q1054">
        <v>1</v>
      </c>
      <c r="R1054">
        <v>0</v>
      </c>
      <c r="S1054">
        <v>200138</v>
      </c>
      <c r="T1054" t="b">
        <v>1</v>
      </c>
    </row>
    <row r="1055" spans="2:20" x14ac:dyDescent="0.35">
      <c r="B1055">
        <v>2019</v>
      </c>
      <c r="C1055" s="41">
        <v>43399</v>
      </c>
      <c r="D1055" t="s">
        <v>2026</v>
      </c>
      <c r="E1055" t="s">
        <v>219</v>
      </c>
      <c r="F1055" t="s">
        <v>1298</v>
      </c>
      <c r="G1055" t="s">
        <v>1299</v>
      </c>
      <c r="H1055" t="s">
        <v>1313</v>
      </c>
      <c r="I1055" t="s">
        <v>310</v>
      </c>
      <c r="J1055">
        <v>2</v>
      </c>
      <c r="L1055">
        <v>341.53</v>
      </c>
      <c r="M1055">
        <v>582.04</v>
      </c>
      <c r="N1055">
        <v>868.48</v>
      </c>
      <c r="O1055">
        <v>1238.3599999999999</v>
      </c>
      <c r="P1055">
        <v>1</v>
      </c>
      <c r="Q1055">
        <v>1</v>
      </c>
      <c r="R1055">
        <v>0</v>
      </c>
      <c r="S1055">
        <v>200138</v>
      </c>
      <c r="T1055" t="b">
        <v>1</v>
      </c>
    </row>
    <row r="1056" spans="2:20" x14ac:dyDescent="0.35">
      <c r="B1056">
        <v>2019</v>
      </c>
      <c r="C1056" s="41">
        <v>43399</v>
      </c>
      <c r="D1056" t="s">
        <v>2026</v>
      </c>
      <c r="E1056" t="s">
        <v>219</v>
      </c>
      <c r="F1056" t="s">
        <v>1301</v>
      </c>
      <c r="G1056" t="s">
        <v>1299</v>
      </c>
      <c r="H1056" t="s">
        <v>1313</v>
      </c>
      <c r="I1056" t="s">
        <v>310</v>
      </c>
      <c r="J1056">
        <v>2</v>
      </c>
      <c r="L1056">
        <v>360.62</v>
      </c>
      <c r="M1056">
        <v>614.57000000000005</v>
      </c>
      <c r="N1056">
        <v>917.04</v>
      </c>
      <c r="O1056">
        <v>1307.5999999999999</v>
      </c>
      <c r="P1056">
        <v>1</v>
      </c>
      <c r="Q1056">
        <v>1</v>
      </c>
      <c r="R1056">
        <v>0</v>
      </c>
      <c r="S1056">
        <v>200138</v>
      </c>
      <c r="T1056" t="b">
        <v>1</v>
      </c>
    </row>
    <row r="1057" spans="2:20" x14ac:dyDescent="0.35">
      <c r="B1057">
        <v>2019</v>
      </c>
      <c r="C1057" s="41">
        <v>43399</v>
      </c>
      <c r="D1057" t="s">
        <v>2025</v>
      </c>
      <c r="E1057" t="s">
        <v>219</v>
      </c>
      <c r="F1057" t="s">
        <v>1301</v>
      </c>
      <c r="G1057" t="s">
        <v>1299</v>
      </c>
      <c r="H1057" t="s">
        <v>1313</v>
      </c>
      <c r="I1057" t="s">
        <v>310</v>
      </c>
      <c r="J1057">
        <v>2</v>
      </c>
      <c r="L1057">
        <v>360.62</v>
      </c>
      <c r="M1057">
        <v>614.57000000000005</v>
      </c>
      <c r="N1057">
        <v>917.04</v>
      </c>
      <c r="O1057">
        <v>1307.5999999999999</v>
      </c>
      <c r="P1057">
        <v>1</v>
      </c>
      <c r="Q1057">
        <v>1</v>
      </c>
      <c r="R1057">
        <v>0</v>
      </c>
      <c r="S1057">
        <v>200138</v>
      </c>
      <c r="T1057" t="b">
        <v>1</v>
      </c>
    </row>
    <row r="1058" spans="2:20" x14ac:dyDescent="0.35">
      <c r="B1058">
        <v>2019</v>
      </c>
      <c r="C1058" s="41">
        <v>43399</v>
      </c>
      <c r="D1058" t="s">
        <v>2026</v>
      </c>
      <c r="E1058" t="s">
        <v>219</v>
      </c>
      <c r="F1058" t="s">
        <v>461</v>
      </c>
      <c r="G1058" t="s">
        <v>1299</v>
      </c>
      <c r="H1058" t="s">
        <v>1313</v>
      </c>
      <c r="I1058" t="s">
        <v>310</v>
      </c>
      <c r="J1058">
        <v>2</v>
      </c>
      <c r="L1058">
        <v>288.85000000000002</v>
      </c>
      <c r="M1058">
        <v>492.26</v>
      </c>
      <c r="N1058">
        <v>734.53</v>
      </c>
      <c r="O1058">
        <v>1047.3599999999999</v>
      </c>
      <c r="P1058">
        <v>1</v>
      </c>
      <c r="Q1058">
        <v>1</v>
      </c>
      <c r="R1058">
        <v>0</v>
      </c>
      <c r="S1058">
        <v>200138</v>
      </c>
      <c r="T1058" t="b">
        <v>1</v>
      </c>
    </row>
    <row r="1059" spans="2:20" x14ac:dyDescent="0.35">
      <c r="B1059">
        <v>2019</v>
      </c>
      <c r="C1059" s="41">
        <v>43374</v>
      </c>
      <c r="D1059" t="s">
        <v>2027</v>
      </c>
      <c r="E1059" t="s">
        <v>219</v>
      </c>
      <c r="F1059" t="s">
        <v>1309</v>
      </c>
      <c r="G1059" t="s">
        <v>1299</v>
      </c>
      <c r="H1059" t="s">
        <v>1323</v>
      </c>
      <c r="I1059" t="s">
        <v>310</v>
      </c>
      <c r="J1059">
        <v>2</v>
      </c>
      <c r="L1059">
        <v>334.59</v>
      </c>
      <c r="M1059">
        <v>570.21</v>
      </c>
      <c r="N1059">
        <v>850.85</v>
      </c>
      <c r="O1059">
        <v>1213.22</v>
      </c>
      <c r="P1059">
        <v>1</v>
      </c>
      <c r="Q1059">
        <v>2</v>
      </c>
      <c r="R1059">
        <v>0</v>
      </c>
      <c r="S1059">
        <v>200138</v>
      </c>
      <c r="T1059" t="b">
        <v>1</v>
      </c>
    </row>
    <row r="1060" spans="2:20" x14ac:dyDescent="0.35">
      <c r="B1060">
        <v>2019</v>
      </c>
      <c r="C1060" s="41">
        <v>43374</v>
      </c>
      <c r="D1060" t="s">
        <v>2027</v>
      </c>
      <c r="E1060" t="s">
        <v>219</v>
      </c>
      <c r="F1060" t="s">
        <v>1307</v>
      </c>
      <c r="G1060" t="s">
        <v>1299</v>
      </c>
      <c r="H1060" t="s">
        <v>1323</v>
      </c>
      <c r="I1060" t="s">
        <v>310</v>
      </c>
      <c r="J1060">
        <v>2</v>
      </c>
      <c r="L1060">
        <v>303.73</v>
      </c>
      <c r="M1060">
        <v>517.62</v>
      </c>
      <c r="N1060">
        <v>772.37</v>
      </c>
      <c r="O1060">
        <v>1101.32</v>
      </c>
      <c r="P1060">
        <v>1</v>
      </c>
      <c r="Q1060">
        <v>2</v>
      </c>
      <c r="R1060">
        <v>0</v>
      </c>
      <c r="S1060">
        <v>200138</v>
      </c>
      <c r="T1060" t="b">
        <v>1</v>
      </c>
    </row>
    <row r="1061" spans="2:20" x14ac:dyDescent="0.35">
      <c r="B1061">
        <v>2019</v>
      </c>
      <c r="C1061" s="41">
        <v>43374</v>
      </c>
      <c r="D1061" t="s">
        <v>2027</v>
      </c>
      <c r="E1061" t="s">
        <v>219</v>
      </c>
      <c r="F1061" t="s">
        <v>1311</v>
      </c>
      <c r="G1061" t="s">
        <v>1299</v>
      </c>
      <c r="H1061" t="s">
        <v>1323</v>
      </c>
      <c r="I1061" t="s">
        <v>310</v>
      </c>
      <c r="J1061">
        <v>2</v>
      </c>
      <c r="L1061">
        <v>324.92</v>
      </c>
      <c r="M1061">
        <v>553.74</v>
      </c>
      <c r="N1061">
        <v>826.26</v>
      </c>
      <c r="O1061">
        <v>1178.1599999999901</v>
      </c>
      <c r="P1061">
        <v>1</v>
      </c>
      <c r="Q1061">
        <v>2</v>
      </c>
      <c r="R1061">
        <v>0</v>
      </c>
      <c r="S1061">
        <v>200138</v>
      </c>
      <c r="T1061" t="b">
        <v>1</v>
      </c>
    </row>
    <row r="1062" spans="2:20" x14ac:dyDescent="0.35">
      <c r="B1062">
        <v>2019</v>
      </c>
      <c r="C1062" s="41">
        <v>43374</v>
      </c>
      <c r="D1062" t="s">
        <v>2027</v>
      </c>
      <c r="E1062" t="s">
        <v>219</v>
      </c>
      <c r="F1062" t="s">
        <v>462</v>
      </c>
      <c r="G1062" t="s">
        <v>1299</v>
      </c>
      <c r="H1062" t="s">
        <v>1323</v>
      </c>
      <c r="I1062" t="s">
        <v>310</v>
      </c>
      <c r="J1062">
        <v>2</v>
      </c>
      <c r="L1062">
        <v>343.51</v>
      </c>
      <c r="M1062">
        <v>585.41</v>
      </c>
      <c r="N1062">
        <v>873.53</v>
      </c>
      <c r="O1062">
        <v>1245.56</v>
      </c>
      <c r="P1062">
        <v>1</v>
      </c>
      <c r="Q1062">
        <v>2</v>
      </c>
      <c r="R1062">
        <v>0</v>
      </c>
      <c r="S1062">
        <v>200138</v>
      </c>
      <c r="T1062" t="b">
        <v>1</v>
      </c>
    </row>
    <row r="1063" spans="2:20" x14ac:dyDescent="0.35">
      <c r="B1063">
        <v>2019</v>
      </c>
      <c r="C1063" s="41">
        <v>43374</v>
      </c>
      <c r="D1063" t="s">
        <v>2027</v>
      </c>
      <c r="E1063" t="s">
        <v>219</v>
      </c>
      <c r="F1063" t="s">
        <v>463</v>
      </c>
      <c r="G1063" t="s">
        <v>1299</v>
      </c>
      <c r="H1063" t="s">
        <v>1323</v>
      </c>
      <c r="I1063" t="s">
        <v>310</v>
      </c>
      <c r="J1063">
        <v>2</v>
      </c>
      <c r="L1063">
        <v>281.06</v>
      </c>
      <c r="M1063">
        <v>478.98</v>
      </c>
      <c r="N1063">
        <v>714.71</v>
      </c>
      <c r="O1063">
        <v>1019.09999999999</v>
      </c>
      <c r="P1063">
        <v>1</v>
      </c>
      <c r="Q1063">
        <v>2</v>
      </c>
      <c r="R1063">
        <v>0</v>
      </c>
      <c r="S1063">
        <v>200138</v>
      </c>
      <c r="T1063" t="b">
        <v>1</v>
      </c>
    </row>
    <row r="1064" spans="2:20" x14ac:dyDescent="0.35">
      <c r="B1064">
        <v>2019</v>
      </c>
      <c r="C1064" s="41">
        <v>43374</v>
      </c>
      <c r="D1064" t="s">
        <v>2027</v>
      </c>
      <c r="E1064" t="s">
        <v>219</v>
      </c>
      <c r="F1064" t="s">
        <v>1310</v>
      </c>
      <c r="G1064" t="s">
        <v>1299</v>
      </c>
      <c r="H1064" t="s">
        <v>1323</v>
      </c>
      <c r="I1064" t="s">
        <v>310</v>
      </c>
      <c r="J1064">
        <v>2</v>
      </c>
      <c r="L1064">
        <v>434.22</v>
      </c>
      <c r="M1064">
        <v>740</v>
      </c>
      <c r="N1064">
        <v>1104.21</v>
      </c>
      <c r="O1064">
        <v>1574.48</v>
      </c>
      <c r="P1064">
        <v>1</v>
      </c>
      <c r="Q1064">
        <v>2</v>
      </c>
      <c r="R1064">
        <v>0</v>
      </c>
      <c r="S1064">
        <v>200138</v>
      </c>
      <c r="T1064" t="b">
        <v>1</v>
      </c>
    </row>
    <row r="1065" spans="2:20" x14ac:dyDescent="0.35">
      <c r="B1065">
        <v>2019</v>
      </c>
      <c r="C1065" s="41">
        <v>43374</v>
      </c>
      <c r="D1065" t="s">
        <v>2027</v>
      </c>
      <c r="E1065" t="s">
        <v>219</v>
      </c>
      <c r="F1065" t="s">
        <v>460</v>
      </c>
      <c r="G1065" t="s">
        <v>1299</v>
      </c>
      <c r="H1065" t="s">
        <v>1323</v>
      </c>
      <c r="I1065" t="s">
        <v>310</v>
      </c>
      <c r="J1065">
        <v>2</v>
      </c>
      <c r="L1065">
        <v>338.31</v>
      </c>
      <c r="M1065">
        <v>576.54</v>
      </c>
      <c r="N1065">
        <v>860.29</v>
      </c>
      <c r="O1065">
        <v>1226.6799999999901</v>
      </c>
      <c r="P1065">
        <v>1</v>
      </c>
      <c r="Q1065">
        <v>2</v>
      </c>
      <c r="R1065">
        <v>0</v>
      </c>
      <c r="S1065">
        <v>200138</v>
      </c>
      <c r="T1065" t="b">
        <v>1</v>
      </c>
    </row>
    <row r="1066" spans="2:20" x14ac:dyDescent="0.35">
      <c r="B1066">
        <v>2019</v>
      </c>
      <c r="C1066" s="41">
        <v>43374</v>
      </c>
      <c r="D1066" t="s">
        <v>2027</v>
      </c>
      <c r="E1066" t="s">
        <v>219</v>
      </c>
      <c r="F1066" t="s">
        <v>459</v>
      </c>
      <c r="G1066" t="s">
        <v>1299</v>
      </c>
      <c r="H1066" t="s">
        <v>1323</v>
      </c>
      <c r="I1066" t="s">
        <v>310</v>
      </c>
      <c r="J1066">
        <v>2</v>
      </c>
      <c r="L1066">
        <v>279.2</v>
      </c>
      <c r="M1066">
        <v>475.81</v>
      </c>
      <c r="N1066">
        <v>709.98</v>
      </c>
      <c r="O1066">
        <v>1012.36</v>
      </c>
      <c r="P1066">
        <v>1</v>
      </c>
      <c r="Q1066">
        <v>2</v>
      </c>
      <c r="R1066">
        <v>0</v>
      </c>
      <c r="S1066">
        <v>200138</v>
      </c>
      <c r="T1066" t="b">
        <v>1</v>
      </c>
    </row>
    <row r="1067" spans="2:20" x14ac:dyDescent="0.35">
      <c r="B1067">
        <v>2019</v>
      </c>
      <c r="C1067" s="41">
        <v>43399</v>
      </c>
      <c r="D1067" t="s">
        <v>2028</v>
      </c>
      <c r="E1067" t="s">
        <v>219</v>
      </c>
      <c r="F1067" t="s">
        <v>1298</v>
      </c>
      <c r="G1067" t="s">
        <v>1299</v>
      </c>
      <c r="H1067" t="s">
        <v>1308</v>
      </c>
      <c r="I1067" t="s">
        <v>310</v>
      </c>
      <c r="J1067">
        <v>2</v>
      </c>
      <c r="L1067">
        <v>391.81</v>
      </c>
      <c r="M1067">
        <v>667.72</v>
      </c>
      <c r="N1067">
        <v>996.32999999999902</v>
      </c>
      <c r="O1067">
        <v>1420.6599999999901</v>
      </c>
      <c r="P1067">
        <v>1</v>
      </c>
      <c r="Q1067">
        <v>1</v>
      </c>
      <c r="R1067">
        <v>0</v>
      </c>
      <c r="S1067">
        <v>200138</v>
      </c>
      <c r="T1067" t="b">
        <v>1</v>
      </c>
    </row>
    <row r="1068" spans="2:20" x14ac:dyDescent="0.35">
      <c r="B1068">
        <v>2019</v>
      </c>
      <c r="C1068" s="41">
        <v>43399</v>
      </c>
      <c r="D1068" t="s">
        <v>2028</v>
      </c>
      <c r="E1068" t="s">
        <v>219</v>
      </c>
      <c r="F1068" t="s">
        <v>1301</v>
      </c>
      <c r="G1068" t="s">
        <v>1299</v>
      </c>
      <c r="H1068" t="s">
        <v>1308</v>
      </c>
      <c r="I1068" t="s">
        <v>310</v>
      </c>
      <c r="J1068">
        <v>2</v>
      </c>
      <c r="L1068">
        <v>413.71</v>
      </c>
      <c r="M1068">
        <v>705.04</v>
      </c>
      <c r="N1068">
        <v>1052.03</v>
      </c>
      <c r="O1068">
        <v>1500.08</v>
      </c>
      <c r="P1068">
        <v>1</v>
      </c>
      <c r="Q1068">
        <v>1</v>
      </c>
      <c r="R1068">
        <v>0</v>
      </c>
      <c r="S1068">
        <v>200138</v>
      </c>
      <c r="T1068" t="b">
        <v>1</v>
      </c>
    </row>
    <row r="1069" spans="2:20" x14ac:dyDescent="0.35">
      <c r="B1069">
        <v>2019</v>
      </c>
      <c r="C1069" s="41">
        <v>43399</v>
      </c>
      <c r="D1069" t="s">
        <v>2028</v>
      </c>
      <c r="E1069" t="s">
        <v>219</v>
      </c>
      <c r="F1069" t="s">
        <v>1302</v>
      </c>
      <c r="G1069" t="s">
        <v>1299</v>
      </c>
      <c r="H1069" t="s">
        <v>1308</v>
      </c>
      <c r="I1069" t="s">
        <v>310</v>
      </c>
      <c r="J1069">
        <v>2</v>
      </c>
      <c r="L1069">
        <v>373.15</v>
      </c>
      <c r="M1069">
        <v>635.91999999999996</v>
      </c>
      <c r="N1069">
        <v>948.91</v>
      </c>
      <c r="O1069">
        <v>1353.04</v>
      </c>
      <c r="P1069">
        <v>1</v>
      </c>
      <c r="Q1069">
        <v>1</v>
      </c>
      <c r="R1069">
        <v>0</v>
      </c>
      <c r="S1069">
        <v>200138</v>
      </c>
      <c r="T1069" t="b">
        <v>1</v>
      </c>
    </row>
    <row r="1070" spans="2:20" x14ac:dyDescent="0.35">
      <c r="B1070">
        <v>2019</v>
      </c>
      <c r="C1070" s="41">
        <v>43399</v>
      </c>
      <c r="D1070" t="s">
        <v>2028</v>
      </c>
      <c r="E1070" t="s">
        <v>219</v>
      </c>
      <c r="F1070" t="s">
        <v>461</v>
      </c>
      <c r="G1070" t="s">
        <v>1299</v>
      </c>
      <c r="H1070" t="s">
        <v>1308</v>
      </c>
      <c r="I1070" t="s">
        <v>310</v>
      </c>
      <c r="J1070">
        <v>2</v>
      </c>
      <c r="L1070">
        <v>331.37</v>
      </c>
      <c r="M1070">
        <v>564.73</v>
      </c>
      <c r="N1070">
        <v>842.66</v>
      </c>
      <c r="O1070">
        <v>1201.54</v>
      </c>
      <c r="P1070">
        <v>1</v>
      </c>
      <c r="Q1070">
        <v>1</v>
      </c>
      <c r="R1070">
        <v>0</v>
      </c>
      <c r="S1070">
        <v>200138</v>
      </c>
      <c r="T1070" t="b">
        <v>1</v>
      </c>
    </row>
    <row r="1071" spans="2:20" x14ac:dyDescent="0.35">
      <c r="B1071">
        <v>2019</v>
      </c>
      <c r="C1071" s="41">
        <v>43374</v>
      </c>
      <c r="D1071" t="s">
        <v>2029</v>
      </c>
      <c r="E1071" t="s">
        <v>219</v>
      </c>
      <c r="F1071" t="s">
        <v>1307</v>
      </c>
      <c r="G1071" t="s">
        <v>1299</v>
      </c>
      <c r="H1071" t="s">
        <v>1330</v>
      </c>
      <c r="I1071" t="s">
        <v>310</v>
      </c>
      <c r="J1071">
        <v>2</v>
      </c>
      <c r="L1071">
        <v>312.24</v>
      </c>
      <c r="M1071">
        <v>532.12</v>
      </c>
      <c r="N1071">
        <v>794</v>
      </c>
      <c r="O1071">
        <v>1132.1600000000001</v>
      </c>
      <c r="P1071">
        <v>0</v>
      </c>
      <c r="Q1071">
        <v>2</v>
      </c>
      <c r="R1071">
        <v>0</v>
      </c>
      <c r="S1071">
        <v>200138</v>
      </c>
      <c r="T1071" t="b">
        <v>1</v>
      </c>
    </row>
    <row r="1072" spans="2:20" x14ac:dyDescent="0.35">
      <c r="B1072">
        <v>2019</v>
      </c>
      <c r="C1072" s="41">
        <v>43374</v>
      </c>
      <c r="D1072" t="s">
        <v>2029</v>
      </c>
      <c r="E1072" t="s">
        <v>219</v>
      </c>
      <c r="F1072" t="s">
        <v>1309</v>
      </c>
      <c r="G1072" t="s">
        <v>1299</v>
      </c>
      <c r="H1072" t="s">
        <v>1330</v>
      </c>
      <c r="I1072" t="s">
        <v>310</v>
      </c>
      <c r="J1072">
        <v>2</v>
      </c>
      <c r="L1072">
        <v>343.96</v>
      </c>
      <c r="M1072">
        <v>586.16999999999996</v>
      </c>
      <c r="N1072">
        <v>874.67</v>
      </c>
      <c r="O1072">
        <v>1247.18</v>
      </c>
      <c r="P1072">
        <v>0</v>
      </c>
      <c r="Q1072">
        <v>2</v>
      </c>
      <c r="R1072">
        <v>0</v>
      </c>
      <c r="S1072">
        <v>200138</v>
      </c>
      <c r="T1072" t="b">
        <v>1</v>
      </c>
    </row>
    <row r="1073" spans="2:20" x14ac:dyDescent="0.35">
      <c r="B1073">
        <v>2019</v>
      </c>
      <c r="C1073" s="41">
        <v>43374</v>
      </c>
      <c r="D1073" t="s">
        <v>2029</v>
      </c>
      <c r="E1073" t="s">
        <v>219</v>
      </c>
      <c r="F1073" t="s">
        <v>1311</v>
      </c>
      <c r="G1073" t="s">
        <v>1299</v>
      </c>
      <c r="H1073" t="s">
        <v>1330</v>
      </c>
      <c r="I1073" t="s">
        <v>310</v>
      </c>
      <c r="J1073">
        <v>2</v>
      </c>
      <c r="L1073">
        <v>334.02</v>
      </c>
      <c r="M1073">
        <v>569.24</v>
      </c>
      <c r="N1073">
        <v>849.39</v>
      </c>
      <c r="O1073">
        <v>1211.1399999999901</v>
      </c>
      <c r="P1073">
        <v>0</v>
      </c>
      <c r="Q1073">
        <v>2</v>
      </c>
      <c r="R1073">
        <v>0</v>
      </c>
      <c r="S1073">
        <v>200138</v>
      </c>
      <c r="T1073" t="b">
        <v>1</v>
      </c>
    </row>
    <row r="1074" spans="2:20" x14ac:dyDescent="0.35">
      <c r="B1074">
        <v>2019</v>
      </c>
      <c r="C1074" s="41">
        <v>43374</v>
      </c>
      <c r="D1074" t="s">
        <v>2029</v>
      </c>
      <c r="E1074" t="s">
        <v>219</v>
      </c>
      <c r="F1074" t="s">
        <v>459</v>
      </c>
      <c r="G1074" t="s">
        <v>1299</v>
      </c>
      <c r="H1074" t="s">
        <v>1330</v>
      </c>
      <c r="I1074" t="s">
        <v>310</v>
      </c>
      <c r="J1074">
        <v>2</v>
      </c>
      <c r="L1074">
        <v>287.01</v>
      </c>
      <c r="M1074">
        <v>489.13</v>
      </c>
      <c r="N1074">
        <v>729.85999999999899</v>
      </c>
      <c r="O1074">
        <v>1040.69999999999</v>
      </c>
      <c r="P1074">
        <v>0</v>
      </c>
      <c r="Q1074">
        <v>2</v>
      </c>
      <c r="R1074">
        <v>0</v>
      </c>
      <c r="S1074">
        <v>200138</v>
      </c>
      <c r="T1074" t="b">
        <v>1</v>
      </c>
    </row>
    <row r="1075" spans="2:20" x14ac:dyDescent="0.35">
      <c r="B1075">
        <v>2019</v>
      </c>
      <c r="C1075" s="41">
        <v>43374</v>
      </c>
      <c r="D1075" t="s">
        <v>2029</v>
      </c>
      <c r="E1075" t="s">
        <v>219</v>
      </c>
      <c r="F1075" t="s">
        <v>463</v>
      </c>
      <c r="G1075" t="s">
        <v>1299</v>
      </c>
      <c r="H1075" t="s">
        <v>1330</v>
      </c>
      <c r="I1075" t="s">
        <v>310</v>
      </c>
      <c r="J1075">
        <v>2</v>
      </c>
      <c r="L1075">
        <v>288.93</v>
      </c>
      <c r="M1075">
        <v>492.39</v>
      </c>
      <c r="N1075">
        <v>734.71</v>
      </c>
      <c r="O1075">
        <v>1047.6199999999999</v>
      </c>
      <c r="P1075">
        <v>0</v>
      </c>
      <c r="Q1075">
        <v>2</v>
      </c>
      <c r="R1075">
        <v>0</v>
      </c>
      <c r="S1075">
        <v>200138</v>
      </c>
      <c r="T1075" t="b">
        <v>1</v>
      </c>
    </row>
    <row r="1076" spans="2:20" x14ac:dyDescent="0.35">
      <c r="B1076">
        <v>2019</v>
      </c>
      <c r="C1076" s="41">
        <v>43374</v>
      </c>
      <c r="D1076" t="s">
        <v>2029</v>
      </c>
      <c r="E1076" t="s">
        <v>219</v>
      </c>
      <c r="F1076" t="s">
        <v>1310</v>
      </c>
      <c r="G1076" t="s">
        <v>1299</v>
      </c>
      <c r="H1076" t="s">
        <v>1330</v>
      </c>
      <c r="I1076" t="s">
        <v>310</v>
      </c>
      <c r="J1076">
        <v>2</v>
      </c>
      <c r="L1076">
        <v>446.38</v>
      </c>
      <c r="M1076">
        <v>760.72</v>
      </c>
      <c r="N1076">
        <v>1135.1199999999999</v>
      </c>
      <c r="O1076">
        <v>1618.56</v>
      </c>
      <c r="P1076">
        <v>0</v>
      </c>
      <c r="Q1076">
        <v>2</v>
      </c>
      <c r="R1076">
        <v>0</v>
      </c>
      <c r="S1076">
        <v>200138</v>
      </c>
      <c r="T1076" t="b">
        <v>1</v>
      </c>
    </row>
    <row r="1077" spans="2:20" x14ac:dyDescent="0.35">
      <c r="B1077">
        <v>2019</v>
      </c>
      <c r="C1077" s="41">
        <v>43374</v>
      </c>
      <c r="D1077" t="s">
        <v>2029</v>
      </c>
      <c r="E1077" t="s">
        <v>219</v>
      </c>
      <c r="F1077" t="s">
        <v>462</v>
      </c>
      <c r="G1077" t="s">
        <v>1299</v>
      </c>
      <c r="H1077" t="s">
        <v>1330</v>
      </c>
      <c r="I1077" t="s">
        <v>310</v>
      </c>
      <c r="J1077">
        <v>2</v>
      </c>
      <c r="L1077">
        <v>353.13</v>
      </c>
      <c r="M1077">
        <v>601.80999999999995</v>
      </c>
      <c r="N1077">
        <v>897.99</v>
      </c>
      <c r="O1077">
        <v>1280.44</v>
      </c>
      <c r="P1077">
        <v>0</v>
      </c>
      <c r="Q1077">
        <v>2</v>
      </c>
      <c r="R1077">
        <v>0</v>
      </c>
      <c r="S1077">
        <v>200138</v>
      </c>
      <c r="T1077" t="b">
        <v>1</v>
      </c>
    </row>
    <row r="1078" spans="2:20" x14ac:dyDescent="0.35">
      <c r="B1078">
        <v>2019</v>
      </c>
      <c r="C1078" s="41">
        <v>43374</v>
      </c>
      <c r="D1078" t="s">
        <v>2029</v>
      </c>
      <c r="E1078" t="s">
        <v>219</v>
      </c>
      <c r="F1078" t="s">
        <v>460</v>
      </c>
      <c r="G1078" t="s">
        <v>1299</v>
      </c>
      <c r="H1078" t="s">
        <v>1330</v>
      </c>
      <c r="I1078" t="s">
        <v>310</v>
      </c>
      <c r="J1078">
        <v>2</v>
      </c>
      <c r="L1078">
        <v>347.78</v>
      </c>
      <c r="M1078">
        <v>592.69000000000005</v>
      </c>
      <c r="N1078">
        <v>884.39</v>
      </c>
      <c r="O1078">
        <v>1261.04</v>
      </c>
      <c r="P1078">
        <v>0</v>
      </c>
      <c r="Q1078">
        <v>2</v>
      </c>
      <c r="R1078">
        <v>0</v>
      </c>
      <c r="S1078">
        <v>200138</v>
      </c>
      <c r="T1078" t="b">
        <v>1</v>
      </c>
    </row>
    <row r="1079" spans="2:20" x14ac:dyDescent="0.35">
      <c r="B1079">
        <v>2019</v>
      </c>
      <c r="C1079" s="41">
        <v>43399</v>
      </c>
      <c r="D1079" t="s">
        <v>2030</v>
      </c>
      <c r="E1079" t="s">
        <v>219</v>
      </c>
      <c r="F1079" t="s">
        <v>1298</v>
      </c>
      <c r="G1079" t="s">
        <v>1299</v>
      </c>
      <c r="H1079" t="s">
        <v>1323</v>
      </c>
      <c r="I1079" t="s">
        <v>310</v>
      </c>
      <c r="J1079">
        <v>2</v>
      </c>
      <c r="L1079">
        <v>359.13</v>
      </c>
      <c r="M1079">
        <v>612.02</v>
      </c>
      <c r="N1079">
        <v>913.24</v>
      </c>
      <c r="O1079">
        <v>1302.1799999999901</v>
      </c>
      <c r="P1079">
        <v>0</v>
      </c>
      <c r="Q1079">
        <v>3</v>
      </c>
      <c r="R1079">
        <v>0</v>
      </c>
      <c r="S1079">
        <v>200138</v>
      </c>
      <c r="T1079" t="b">
        <v>1</v>
      </c>
    </row>
    <row r="1080" spans="2:20" x14ac:dyDescent="0.35">
      <c r="B1080">
        <v>2019</v>
      </c>
      <c r="C1080" s="41">
        <v>43399</v>
      </c>
      <c r="D1080" t="s">
        <v>2030</v>
      </c>
      <c r="E1080" t="s">
        <v>219</v>
      </c>
      <c r="F1080" t="s">
        <v>1301</v>
      </c>
      <c r="G1080" t="s">
        <v>1299</v>
      </c>
      <c r="H1080" t="s">
        <v>1323</v>
      </c>
      <c r="I1080" t="s">
        <v>310</v>
      </c>
      <c r="J1080">
        <v>2</v>
      </c>
      <c r="L1080">
        <v>379.2</v>
      </c>
      <c r="M1080">
        <v>646.24</v>
      </c>
      <c r="N1080">
        <v>964.28</v>
      </c>
      <c r="O1080">
        <v>1374.96</v>
      </c>
      <c r="P1080">
        <v>0</v>
      </c>
      <c r="Q1080">
        <v>3</v>
      </c>
      <c r="R1080">
        <v>0</v>
      </c>
      <c r="S1080">
        <v>200138</v>
      </c>
      <c r="T1080" t="b">
        <v>1</v>
      </c>
    </row>
    <row r="1081" spans="2:20" x14ac:dyDescent="0.35">
      <c r="B1081">
        <v>2019</v>
      </c>
      <c r="C1081" s="41">
        <v>43399</v>
      </c>
      <c r="D1081" t="s">
        <v>2030</v>
      </c>
      <c r="E1081" t="s">
        <v>219</v>
      </c>
      <c r="F1081" t="s">
        <v>461</v>
      </c>
      <c r="G1081" t="s">
        <v>1299</v>
      </c>
      <c r="H1081" t="s">
        <v>1323</v>
      </c>
      <c r="I1081" t="s">
        <v>310</v>
      </c>
      <c r="J1081">
        <v>2</v>
      </c>
      <c r="L1081">
        <v>303.73</v>
      </c>
      <c r="M1081">
        <v>517.62</v>
      </c>
      <c r="N1081">
        <v>772.37</v>
      </c>
      <c r="O1081">
        <v>1101.32</v>
      </c>
      <c r="P1081">
        <v>0</v>
      </c>
      <c r="Q1081">
        <v>3</v>
      </c>
      <c r="R1081">
        <v>0</v>
      </c>
      <c r="S1081">
        <v>200138</v>
      </c>
      <c r="T1081" t="b">
        <v>1</v>
      </c>
    </row>
    <row r="1082" spans="2:20" x14ac:dyDescent="0.35">
      <c r="B1082">
        <v>2019</v>
      </c>
      <c r="C1082" s="41">
        <v>43399</v>
      </c>
      <c r="D1082" t="s">
        <v>2030</v>
      </c>
      <c r="E1082" t="s">
        <v>219</v>
      </c>
      <c r="F1082" t="s">
        <v>1302</v>
      </c>
      <c r="G1082" t="s">
        <v>1299</v>
      </c>
      <c r="H1082" t="s">
        <v>1323</v>
      </c>
      <c r="I1082" t="s">
        <v>310</v>
      </c>
      <c r="J1082">
        <v>2</v>
      </c>
      <c r="L1082">
        <v>342.03</v>
      </c>
      <c r="M1082">
        <v>582.88</v>
      </c>
      <c r="N1082">
        <v>869.76</v>
      </c>
      <c r="O1082">
        <v>1240.18</v>
      </c>
      <c r="P1082">
        <v>0</v>
      </c>
      <c r="Q1082">
        <v>3</v>
      </c>
      <c r="R1082">
        <v>0</v>
      </c>
      <c r="S1082">
        <v>200138</v>
      </c>
      <c r="T1082" t="b">
        <v>1</v>
      </c>
    </row>
    <row r="1083" spans="2:20" x14ac:dyDescent="0.35">
      <c r="B1083">
        <v>2019</v>
      </c>
      <c r="C1083" s="41">
        <v>43399</v>
      </c>
      <c r="D1083" t="s">
        <v>2031</v>
      </c>
      <c r="E1083" t="s">
        <v>219</v>
      </c>
      <c r="F1083" t="s">
        <v>1302</v>
      </c>
      <c r="G1083" t="s">
        <v>1299</v>
      </c>
      <c r="H1083" t="s">
        <v>1330</v>
      </c>
      <c r="I1083" t="s">
        <v>310</v>
      </c>
      <c r="J1083">
        <v>2</v>
      </c>
      <c r="L1083">
        <v>351.6</v>
      </c>
      <c r="M1083">
        <v>599.20000000000005</v>
      </c>
      <c r="N1083">
        <v>894.11</v>
      </c>
      <c r="O1083">
        <v>1274.9000000000001</v>
      </c>
      <c r="P1083">
        <v>1</v>
      </c>
      <c r="Q1083">
        <v>1</v>
      </c>
      <c r="R1083">
        <v>0</v>
      </c>
      <c r="S1083">
        <v>200138</v>
      </c>
      <c r="T1083" t="b">
        <v>1</v>
      </c>
    </row>
    <row r="1084" spans="2:20" x14ac:dyDescent="0.35">
      <c r="B1084">
        <v>2019</v>
      </c>
      <c r="C1084" s="41">
        <v>43399</v>
      </c>
      <c r="D1084" t="s">
        <v>2031</v>
      </c>
      <c r="E1084" t="s">
        <v>219</v>
      </c>
      <c r="F1084" t="s">
        <v>1301</v>
      </c>
      <c r="G1084" t="s">
        <v>1299</v>
      </c>
      <c r="H1084" t="s">
        <v>1330</v>
      </c>
      <c r="I1084" t="s">
        <v>310</v>
      </c>
      <c r="J1084">
        <v>2</v>
      </c>
      <c r="L1084">
        <v>389.82</v>
      </c>
      <c r="M1084">
        <v>664.33</v>
      </c>
      <c r="N1084">
        <v>991.28</v>
      </c>
      <c r="O1084">
        <v>1413.46</v>
      </c>
      <c r="P1084">
        <v>1</v>
      </c>
      <c r="Q1084">
        <v>1</v>
      </c>
      <c r="R1084">
        <v>0</v>
      </c>
      <c r="S1084">
        <v>200138</v>
      </c>
      <c r="T1084" t="b">
        <v>1</v>
      </c>
    </row>
    <row r="1085" spans="2:20" x14ac:dyDescent="0.35">
      <c r="B1085">
        <v>2019</v>
      </c>
      <c r="C1085" s="41">
        <v>43399</v>
      </c>
      <c r="D1085" t="s">
        <v>2031</v>
      </c>
      <c r="E1085" t="s">
        <v>219</v>
      </c>
      <c r="F1085" t="s">
        <v>461</v>
      </c>
      <c r="G1085" t="s">
        <v>1299</v>
      </c>
      <c r="H1085" t="s">
        <v>1330</v>
      </c>
      <c r="I1085" t="s">
        <v>310</v>
      </c>
      <c r="J1085">
        <v>2</v>
      </c>
      <c r="L1085">
        <v>312.24</v>
      </c>
      <c r="M1085">
        <v>532.12</v>
      </c>
      <c r="N1085">
        <v>794</v>
      </c>
      <c r="O1085">
        <v>1132.1600000000001</v>
      </c>
      <c r="P1085">
        <v>1</v>
      </c>
      <c r="Q1085">
        <v>1</v>
      </c>
      <c r="R1085">
        <v>0</v>
      </c>
      <c r="S1085">
        <v>200138</v>
      </c>
      <c r="T1085" t="b">
        <v>1</v>
      </c>
    </row>
    <row r="1086" spans="2:20" x14ac:dyDescent="0.35">
      <c r="B1086">
        <v>2019</v>
      </c>
      <c r="C1086" s="41">
        <v>43399</v>
      </c>
      <c r="D1086" t="s">
        <v>2032</v>
      </c>
      <c r="E1086" t="s">
        <v>219</v>
      </c>
      <c r="F1086" t="s">
        <v>1302</v>
      </c>
      <c r="G1086" t="s">
        <v>1299</v>
      </c>
      <c r="H1086" t="s">
        <v>1330</v>
      </c>
      <c r="I1086" t="s">
        <v>310</v>
      </c>
      <c r="J1086">
        <v>2</v>
      </c>
      <c r="L1086">
        <v>351.6</v>
      </c>
      <c r="M1086">
        <v>599.20000000000005</v>
      </c>
      <c r="N1086">
        <v>894.11</v>
      </c>
      <c r="O1086">
        <v>1274.9000000000001</v>
      </c>
      <c r="P1086">
        <v>1</v>
      </c>
      <c r="Q1086">
        <v>1</v>
      </c>
      <c r="R1086">
        <v>0</v>
      </c>
      <c r="S1086">
        <v>200138</v>
      </c>
      <c r="T1086" t="b">
        <v>1</v>
      </c>
    </row>
    <row r="1087" spans="2:20" x14ac:dyDescent="0.35">
      <c r="B1087">
        <v>2019</v>
      </c>
      <c r="C1087" s="41">
        <v>43399</v>
      </c>
      <c r="D1087" t="s">
        <v>2031</v>
      </c>
      <c r="E1087" t="s">
        <v>219</v>
      </c>
      <c r="F1087" t="s">
        <v>1298</v>
      </c>
      <c r="G1087" t="s">
        <v>1299</v>
      </c>
      <c r="H1087" t="s">
        <v>1330</v>
      </c>
      <c r="I1087" t="s">
        <v>310</v>
      </c>
      <c r="J1087">
        <v>2</v>
      </c>
      <c r="L1087">
        <v>369.18</v>
      </c>
      <c r="M1087">
        <v>629.16</v>
      </c>
      <c r="N1087">
        <v>938.81</v>
      </c>
      <c r="O1087">
        <v>1338.6399999999901</v>
      </c>
      <c r="P1087">
        <v>1</v>
      </c>
      <c r="Q1087">
        <v>1</v>
      </c>
      <c r="R1087">
        <v>0</v>
      </c>
      <c r="S1087">
        <v>200138</v>
      </c>
      <c r="T1087" t="b">
        <v>1</v>
      </c>
    </row>
    <row r="1088" spans="2:20" x14ac:dyDescent="0.35">
      <c r="B1088">
        <v>2019</v>
      </c>
      <c r="C1088" s="41">
        <v>43399</v>
      </c>
      <c r="D1088" t="s">
        <v>2032</v>
      </c>
      <c r="E1088" t="s">
        <v>219</v>
      </c>
      <c r="F1088" t="s">
        <v>461</v>
      </c>
      <c r="G1088" t="s">
        <v>1299</v>
      </c>
      <c r="H1088" t="s">
        <v>1330</v>
      </c>
      <c r="I1088" t="s">
        <v>310</v>
      </c>
      <c r="J1088">
        <v>2</v>
      </c>
      <c r="L1088">
        <v>312.24</v>
      </c>
      <c r="M1088">
        <v>532.12</v>
      </c>
      <c r="N1088">
        <v>794</v>
      </c>
      <c r="O1088">
        <v>1132.1600000000001</v>
      </c>
      <c r="P1088">
        <v>1</v>
      </c>
      <c r="Q1088">
        <v>1</v>
      </c>
      <c r="R1088">
        <v>0</v>
      </c>
      <c r="S1088">
        <v>200138</v>
      </c>
      <c r="T1088" t="b">
        <v>1</v>
      </c>
    </row>
    <row r="1089" spans="2:20" x14ac:dyDescent="0.35">
      <c r="B1089">
        <v>2019</v>
      </c>
      <c r="C1089" s="41">
        <v>43399</v>
      </c>
      <c r="D1089" t="s">
        <v>2032</v>
      </c>
      <c r="E1089" t="s">
        <v>219</v>
      </c>
      <c r="F1089" t="s">
        <v>1301</v>
      </c>
      <c r="G1089" t="s">
        <v>1299</v>
      </c>
      <c r="H1089" t="s">
        <v>1330</v>
      </c>
      <c r="I1089" t="s">
        <v>310</v>
      </c>
      <c r="J1089">
        <v>2</v>
      </c>
      <c r="L1089">
        <v>389.82</v>
      </c>
      <c r="M1089">
        <v>664.33</v>
      </c>
      <c r="N1089">
        <v>991.28</v>
      </c>
      <c r="O1089">
        <v>1413.46</v>
      </c>
      <c r="P1089">
        <v>1</v>
      </c>
      <c r="Q1089">
        <v>1</v>
      </c>
      <c r="R1089">
        <v>0</v>
      </c>
      <c r="S1089">
        <v>200138</v>
      </c>
      <c r="T1089" t="b">
        <v>1</v>
      </c>
    </row>
    <row r="1090" spans="2:20" x14ac:dyDescent="0.35">
      <c r="B1090">
        <v>2019</v>
      </c>
      <c r="C1090" s="41">
        <v>43399</v>
      </c>
      <c r="D1090" t="s">
        <v>2032</v>
      </c>
      <c r="E1090" t="s">
        <v>219</v>
      </c>
      <c r="F1090" t="s">
        <v>1298</v>
      </c>
      <c r="G1090" t="s">
        <v>1299</v>
      </c>
      <c r="H1090" t="s">
        <v>1330</v>
      </c>
      <c r="I1090" t="s">
        <v>310</v>
      </c>
      <c r="J1090">
        <v>2</v>
      </c>
      <c r="L1090">
        <v>369.18</v>
      </c>
      <c r="M1090">
        <v>629.16</v>
      </c>
      <c r="N1090">
        <v>938.81</v>
      </c>
      <c r="O1090">
        <v>1338.6399999999901</v>
      </c>
      <c r="P1090">
        <v>1</v>
      </c>
      <c r="Q1090">
        <v>1</v>
      </c>
      <c r="R1090">
        <v>0</v>
      </c>
      <c r="S1090">
        <v>200138</v>
      </c>
      <c r="T1090" t="b">
        <v>1</v>
      </c>
    </row>
    <row r="1091" spans="2:20" x14ac:dyDescent="0.35">
      <c r="B1091">
        <v>2019</v>
      </c>
      <c r="C1091" s="41">
        <v>43399</v>
      </c>
      <c r="D1091" t="s">
        <v>2033</v>
      </c>
      <c r="E1091" t="s">
        <v>219</v>
      </c>
      <c r="F1091" t="s">
        <v>1302</v>
      </c>
      <c r="G1091" t="s">
        <v>1299</v>
      </c>
      <c r="H1091" t="s">
        <v>1334</v>
      </c>
      <c r="I1091" t="s">
        <v>310</v>
      </c>
      <c r="J1091">
        <v>2</v>
      </c>
      <c r="L1091">
        <v>355.71</v>
      </c>
      <c r="M1091">
        <v>606.20000000000005</v>
      </c>
      <c r="N1091">
        <v>904.54</v>
      </c>
      <c r="O1091">
        <v>1289.78</v>
      </c>
      <c r="P1091">
        <v>1</v>
      </c>
      <c r="Q1091">
        <v>1</v>
      </c>
      <c r="R1091">
        <v>0</v>
      </c>
      <c r="S1091">
        <v>200138</v>
      </c>
      <c r="T1091" t="b">
        <v>1</v>
      </c>
    </row>
    <row r="1092" spans="2:20" x14ac:dyDescent="0.35">
      <c r="B1092">
        <v>2019</v>
      </c>
      <c r="C1092" s="41">
        <v>43399</v>
      </c>
      <c r="D1092" t="s">
        <v>2033</v>
      </c>
      <c r="E1092" t="s">
        <v>219</v>
      </c>
      <c r="F1092" t="s">
        <v>461</v>
      </c>
      <c r="G1092" t="s">
        <v>1299</v>
      </c>
      <c r="H1092" t="s">
        <v>1334</v>
      </c>
      <c r="I1092" t="s">
        <v>310</v>
      </c>
      <c r="J1092">
        <v>2</v>
      </c>
      <c r="L1092">
        <v>315.88</v>
      </c>
      <c r="M1092">
        <v>538.33000000000004</v>
      </c>
      <c r="N1092">
        <v>803.27</v>
      </c>
      <c r="O1092">
        <v>1145.3800000000001</v>
      </c>
      <c r="P1092">
        <v>1</v>
      </c>
      <c r="Q1092">
        <v>1</v>
      </c>
      <c r="R1092">
        <v>0</v>
      </c>
      <c r="S1092">
        <v>200138</v>
      </c>
      <c r="T1092" t="b">
        <v>1</v>
      </c>
    </row>
    <row r="1093" spans="2:20" x14ac:dyDescent="0.35">
      <c r="B1093">
        <v>2019</v>
      </c>
      <c r="C1093" s="41">
        <v>43399</v>
      </c>
      <c r="D1093" t="s">
        <v>2033</v>
      </c>
      <c r="E1093" t="s">
        <v>219</v>
      </c>
      <c r="F1093" t="s">
        <v>1298</v>
      </c>
      <c r="G1093" t="s">
        <v>1299</v>
      </c>
      <c r="H1093" t="s">
        <v>1334</v>
      </c>
      <c r="I1093" t="s">
        <v>310</v>
      </c>
      <c r="J1093">
        <v>2</v>
      </c>
      <c r="L1093">
        <v>373.49</v>
      </c>
      <c r="M1093">
        <v>636.51</v>
      </c>
      <c r="N1093">
        <v>949.78</v>
      </c>
      <c r="O1093">
        <v>1354.28</v>
      </c>
      <c r="P1093">
        <v>1</v>
      </c>
      <c r="Q1093">
        <v>1</v>
      </c>
      <c r="R1093">
        <v>0</v>
      </c>
      <c r="S1093">
        <v>200138</v>
      </c>
      <c r="T1093" t="b">
        <v>1</v>
      </c>
    </row>
    <row r="1094" spans="2:20" x14ac:dyDescent="0.35">
      <c r="B1094">
        <v>2019</v>
      </c>
      <c r="C1094" s="41">
        <v>43399</v>
      </c>
      <c r="D1094" t="s">
        <v>2033</v>
      </c>
      <c r="E1094" t="s">
        <v>219</v>
      </c>
      <c r="F1094" t="s">
        <v>1301</v>
      </c>
      <c r="G1094" t="s">
        <v>1299</v>
      </c>
      <c r="H1094" t="s">
        <v>1334</v>
      </c>
      <c r="I1094" t="s">
        <v>310</v>
      </c>
      <c r="J1094">
        <v>2</v>
      </c>
      <c r="L1094">
        <v>394.37</v>
      </c>
      <c r="M1094">
        <v>672.09</v>
      </c>
      <c r="N1094">
        <v>1002.87</v>
      </c>
      <c r="O1094">
        <v>1429.98</v>
      </c>
      <c r="P1094">
        <v>1</v>
      </c>
      <c r="Q1094">
        <v>1</v>
      </c>
      <c r="R1094">
        <v>0</v>
      </c>
      <c r="S1094">
        <v>200138</v>
      </c>
      <c r="T1094" t="b">
        <v>1</v>
      </c>
    </row>
    <row r="1095" spans="2:20" x14ac:dyDescent="0.35">
      <c r="B1095">
        <v>2019</v>
      </c>
      <c r="C1095" s="41">
        <v>43399</v>
      </c>
      <c r="D1095" t="s">
        <v>2034</v>
      </c>
      <c r="E1095" t="s">
        <v>219</v>
      </c>
      <c r="F1095" t="s">
        <v>460</v>
      </c>
      <c r="G1095" t="s">
        <v>1299</v>
      </c>
      <c r="H1095" t="s">
        <v>1346</v>
      </c>
      <c r="I1095" t="s">
        <v>310</v>
      </c>
      <c r="J1095">
        <v>2</v>
      </c>
      <c r="L1095">
        <v>385.66</v>
      </c>
      <c r="M1095">
        <v>657.24</v>
      </c>
      <c r="N1095">
        <v>980.71</v>
      </c>
      <c r="O1095">
        <v>1398.38</v>
      </c>
      <c r="P1095">
        <v>1</v>
      </c>
      <c r="Q1095">
        <v>1</v>
      </c>
      <c r="R1095">
        <v>0</v>
      </c>
      <c r="S1095">
        <v>200138</v>
      </c>
      <c r="T1095" t="b">
        <v>1</v>
      </c>
    </row>
    <row r="1096" spans="2:20" x14ac:dyDescent="0.35">
      <c r="B1096">
        <v>2019</v>
      </c>
      <c r="C1096" s="41">
        <v>43399</v>
      </c>
      <c r="D1096" t="s">
        <v>2034</v>
      </c>
      <c r="E1096" t="s">
        <v>219</v>
      </c>
      <c r="F1096" t="s">
        <v>1311</v>
      </c>
      <c r="G1096" t="s">
        <v>1299</v>
      </c>
      <c r="H1096" t="s">
        <v>1346</v>
      </c>
      <c r="I1096" t="s">
        <v>310</v>
      </c>
      <c r="J1096">
        <v>2</v>
      </c>
      <c r="L1096">
        <v>370.4</v>
      </c>
      <c r="M1096">
        <v>631.24</v>
      </c>
      <c r="N1096">
        <v>941.91</v>
      </c>
      <c r="O1096">
        <v>1343.06</v>
      </c>
      <c r="P1096">
        <v>1</v>
      </c>
      <c r="Q1096">
        <v>1</v>
      </c>
      <c r="R1096">
        <v>0</v>
      </c>
      <c r="S1096">
        <v>200138</v>
      </c>
      <c r="T1096" t="b">
        <v>1</v>
      </c>
    </row>
    <row r="1097" spans="2:20" x14ac:dyDescent="0.35">
      <c r="B1097">
        <v>2019</v>
      </c>
      <c r="C1097" s="41">
        <v>43399</v>
      </c>
      <c r="D1097" t="s">
        <v>2034</v>
      </c>
      <c r="E1097" t="s">
        <v>219</v>
      </c>
      <c r="F1097" t="s">
        <v>462</v>
      </c>
      <c r="G1097" t="s">
        <v>1299</v>
      </c>
      <c r="H1097" t="s">
        <v>1346</v>
      </c>
      <c r="I1097" t="s">
        <v>310</v>
      </c>
      <c r="J1097">
        <v>2</v>
      </c>
      <c r="L1097">
        <v>391.59</v>
      </c>
      <c r="M1097">
        <v>667.35</v>
      </c>
      <c r="N1097">
        <v>995.8</v>
      </c>
      <c r="O1097">
        <v>1419.9</v>
      </c>
      <c r="P1097">
        <v>1</v>
      </c>
      <c r="Q1097">
        <v>1</v>
      </c>
      <c r="R1097">
        <v>0</v>
      </c>
      <c r="S1097">
        <v>200138</v>
      </c>
      <c r="T1097" t="b">
        <v>1</v>
      </c>
    </row>
    <row r="1098" spans="2:20" x14ac:dyDescent="0.35">
      <c r="B1098">
        <v>2019</v>
      </c>
      <c r="C1098" s="41">
        <v>43399</v>
      </c>
      <c r="D1098" t="s">
        <v>2034</v>
      </c>
      <c r="E1098" t="s">
        <v>219</v>
      </c>
      <c r="F1098" t="s">
        <v>1309</v>
      </c>
      <c r="G1098" t="s">
        <v>1299</v>
      </c>
      <c r="H1098" t="s">
        <v>1346</v>
      </c>
      <c r="I1098" t="s">
        <v>310</v>
      </c>
      <c r="J1098">
        <v>2</v>
      </c>
      <c r="L1098">
        <v>381.42</v>
      </c>
      <c r="M1098">
        <v>650.02</v>
      </c>
      <c r="N1098">
        <v>969.92</v>
      </c>
      <c r="O1098">
        <v>1383</v>
      </c>
      <c r="P1098">
        <v>1</v>
      </c>
      <c r="Q1098">
        <v>1</v>
      </c>
      <c r="R1098">
        <v>0</v>
      </c>
      <c r="S1098">
        <v>200138</v>
      </c>
      <c r="T1098" t="b">
        <v>1</v>
      </c>
    </row>
    <row r="1099" spans="2:20" x14ac:dyDescent="0.35">
      <c r="B1099">
        <v>2019</v>
      </c>
      <c r="C1099" s="41">
        <v>43399</v>
      </c>
      <c r="D1099" t="s">
        <v>2034</v>
      </c>
      <c r="E1099" t="s">
        <v>219</v>
      </c>
      <c r="F1099" t="s">
        <v>459</v>
      </c>
      <c r="G1099" t="s">
        <v>1299</v>
      </c>
      <c r="H1099" t="s">
        <v>1346</v>
      </c>
      <c r="I1099" t="s">
        <v>310</v>
      </c>
      <c r="J1099">
        <v>2</v>
      </c>
      <c r="L1099">
        <v>318.27</v>
      </c>
      <c r="M1099">
        <v>542.4</v>
      </c>
      <c r="N1099">
        <v>809.36</v>
      </c>
      <c r="O1099">
        <v>1154.06</v>
      </c>
      <c r="P1099">
        <v>1</v>
      </c>
      <c r="Q1099">
        <v>1</v>
      </c>
      <c r="R1099">
        <v>0</v>
      </c>
      <c r="S1099">
        <v>200138</v>
      </c>
      <c r="T1099" t="b">
        <v>1</v>
      </c>
    </row>
    <row r="1100" spans="2:20" x14ac:dyDescent="0.35">
      <c r="B1100">
        <v>2019</v>
      </c>
      <c r="C1100" s="41">
        <v>43399</v>
      </c>
      <c r="D1100" t="s">
        <v>2034</v>
      </c>
      <c r="E1100" t="s">
        <v>219</v>
      </c>
      <c r="F1100" t="s">
        <v>463</v>
      </c>
      <c r="G1100" t="s">
        <v>1299</v>
      </c>
      <c r="H1100" t="s">
        <v>1346</v>
      </c>
      <c r="I1100" t="s">
        <v>310</v>
      </c>
      <c r="J1100">
        <v>2</v>
      </c>
      <c r="L1100">
        <v>320.39</v>
      </c>
      <c r="M1100">
        <v>546.01</v>
      </c>
      <c r="N1100">
        <v>814.73</v>
      </c>
      <c r="O1100">
        <v>1161.72</v>
      </c>
      <c r="P1100">
        <v>1</v>
      </c>
      <c r="Q1100">
        <v>1</v>
      </c>
      <c r="R1100">
        <v>0</v>
      </c>
      <c r="S1100">
        <v>200138</v>
      </c>
      <c r="T1100" t="b">
        <v>1</v>
      </c>
    </row>
    <row r="1101" spans="2:20" x14ac:dyDescent="0.35">
      <c r="B1101">
        <v>2019</v>
      </c>
      <c r="C1101" s="41">
        <v>43399</v>
      </c>
      <c r="D1101" t="s">
        <v>2034</v>
      </c>
      <c r="E1101" t="s">
        <v>219</v>
      </c>
      <c r="F1101" t="s">
        <v>1310</v>
      </c>
      <c r="G1101" t="s">
        <v>1299</v>
      </c>
      <c r="H1101" t="s">
        <v>1346</v>
      </c>
      <c r="I1101" t="s">
        <v>310</v>
      </c>
      <c r="J1101">
        <v>2</v>
      </c>
      <c r="L1101">
        <v>495</v>
      </c>
      <c r="M1101">
        <v>843.58</v>
      </c>
      <c r="N1101">
        <v>1258.75</v>
      </c>
      <c r="O1101">
        <v>1794.84</v>
      </c>
      <c r="P1101">
        <v>1</v>
      </c>
      <c r="Q1101">
        <v>1</v>
      </c>
      <c r="R1101">
        <v>0</v>
      </c>
      <c r="S1101">
        <v>200138</v>
      </c>
      <c r="T1101" t="b">
        <v>1</v>
      </c>
    </row>
    <row r="1102" spans="2:20" x14ac:dyDescent="0.35">
      <c r="B1102">
        <v>2019</v>
      </c>
      <c r="C1102" s="41">
        <v>43399</v>
      </c>
      <c r="D1102" t="s">
        <v>2034</v>
      </c>
      <c r="E1102" t="s">
        <v>219</v>
      </c>
      <c r="F1102" t="s">
        <v>1307</v>
      </c>
      <c r="G1102" t="s">
        <v>1299</v>
      </c>
      <c r="H1102" t="s">
        <v>1346</v>
      </c>
      <c r="I1102" t="s">
        <v>310</v>
      </c>
      <c r="J1102">
        <v>2</v>
      </c>
      <c r="L1102">
        <v>346.25</v>
      </c>
      <c r="M1102">
        <v>590.07000000000005</v>
      </c>
      <c r="N1102">
        <v>880.49</v>
      </c>
      <c r="O1102">
        <v>1255.48</v>
      </c>
      <c r="P1102">
        <v>1</v>
      </c>
      <c r="Q1102">
        <v>1</v>
      </c>
      <c r="R1102">
        <v>0</v>
      </c>
      <c r="S1102">
        <v>200138</v>
      </c>
      <c r="T1102" t="b">
        <v>1</v>
      </c>
    </row>
    <row r="1103" spans="2:20" x14ac:dyDescent="0.35">
      <c r="B1103">
        <v>2019</v>
      </c>
      <c r="C1103" s="41">
        <v>43399</v>
      </c>
      <c r="D1103" t="s">
        <v>2035</v>
      </c>
      <c r="E1103" t="s">
        <v>219</v>
      </c>
      <c r="F1103" t="s">
        <v>1309</v>
      </c>
      <c r="G1103" t="s">
        <v>1299</v>
      </c>
      <c r="H1103" t="s">
        <v>1346</v>
      </c>
      <c r="I1103" t="s">
        <v>310</v>
      </c>
      <c r="J1103">
        <v>2</v>
      </c>
      <c r="L1103">
        <v>381.42</v>
      </c>
      <c r="M1103">
        <v>650.02</v>
      </c>
      <c r="N1103">
        <v>969.92</v>
      </c>
      <c r="O1103">
        <v>1383</v>
      </c>
      <c r="P1103">
        <v>1</v>
      </c>
      <c r="Q1103">
        <v>1</v>
      </c>
      <c r="R1103">
        <v>0</v>
      </c>
      <c r="S1103">
        <v>200138</v>
      </c>
      <c r="T1103" t="b">
        <v>1</v>
      </c>
    </row>
    <row r="1104" spans="2:20" x14ac:dyDescent="0.35">
      <c r="B1104">
        <v>2019</v>
      </c>
      <c r="C1104" s="41">
        <v>43399</v>
      </c>
      <c r="D1104" t="s">
        <v>2035</v>
      </c>
      <c r="E1104" t="s">
        <v>219</v>
      </c>
      <c r="F1104" t="s">
        <v>1307</v>
      </c>
      <c r="G1104" t="s">
        <v>1299</v>
      </c>
      <c r="H1104" t="s">
        <v>1346</v>
      </c>
      <c r="I1104" t="s">
        <v>310</v>
      </c>
      <c r="J1104">
        <v>2</v>
      </c>
      <c r="L1104">
        <v>346.25</v>
      </c>
      <c r="M1104">
        <v>590.07000000000005</v>
      </c>
      <c r="N1104">
        <v>880.49</v>
      </c>
      <c r="O1104">
        <v>1255.48</v>
      </c>
      <c r="P1104">
        <v>1</v>
      </c>
      <c r="Q1104">
        <v>1</v>
      </c>
      <c r="R1104">
        <v>0</v>
      </c>
      <c r="S1104">
        <v>200138</v>
      </c>
      <c r="T1104" t="b">
        <v>1</v>
      </c>
    </row>
    <row r="1105" spans="2:20" x14ac:dyDescent="0.35">
      <c r="B1105">
        <v>2019</v>
      </c>
      <c r="C1105" s="41">
        <v>43399</v>
      </c>
      <c r="D1105" t="s">
        <v>2035</v>
      </c>
      <c r="E1105" t="s">
        <v>219</v>
      </c>
      <c r="F1105" t="s">
        <v>1311</v>
      </c>
      <c r="G1105" t="s">
        <v>1299</v>
      </c>
      <c r="H1105" t="s">
        <v>1346</v>
      </c>
      <c r="I1105" t="s">
        <v>310</v>
      </c>
      <c r="J1105">
        <v>2</v>
      </c>
      <c r="L1105">
        <v>370.4</v>
      </c>
      <c r="M1105">
        <v>631.24</v>
      </c>
      <c r="N1105">
        <v>941.91</v>
      </c>
      <c r="O1105">
        <v>1343.06</v>
      </c>
      <c r="P1105">
        <v>1</v>
      </c>
      <c r="Q1105">
        <v>1</v>
      </c>
      <c r="R1105">
        <v>0</v>
      </c>
      <c r="S1105">
        <v>200138</v>
      </c>
      <c r="T1105" t="b">
        <v>1</v>
      </c>
    </row>
    <row r="1106" spans="2:20" x14ac:dyDescent="0.35">
      <c r="B1106">
        <v>2019</v>
      </c>
      <c r="C1106" s="41">
        <v>43399</v>
      </c>
      <c r="D1106" t="s">
        <v>2035</v>
      </c>
      <c r="E1106" t="s">
        <v>219</v>
      </c>
      <c r="F1106" t="s">
        <v>463</v>
      </c>
      <c r="G1106" t="s">
        <v>1299</v>
      </c>
      <c r="H1106" t="s">
        <v>1346</v>
      </c>
      <c r="I1106" t="s">
        <v>310</v>
      </c>
      <c r="J1106">
        <v>2</v>
      </c>
      <c r="L1106">
        <v>320.39</v>
      </c>
      <c r="M1106">
        <v>546.01</v>
      </c>
      <c r="N1106">
        <v>814.73</v>
      </c>
      <c r="O1106">
        <v>1161.72</v>
      </c>
      <c r="P1106">
        <v>1</v>
      </c>
      <c r="Q1106">
        <v>1</v>
      </c>
      <c r="R1106">
        <v>0</v>
      </c>
      <c r="S1106">
        <v>200138</v>
      </c>
      <c r="T1106" t="b">
        <v>1</v>
      </c>
    </row>
    <row r="1107" spans="2:20" x14ac:dyDescent="0.35">
      <c r="B1107">
        <v>2019</v>
      </c>
      <c r="C1107" s="41">
        <v>43399</v>
      </c>
      <c r="D1107" t="s">
        <v>2035</v>
      </c>
      <c r="E1107" t="s">
        <v>219</v>
      </c>
      <c r="F1107" t="s">
        <v>462</v>
      </c>
      <c r="G1107" t="s">
        <v>1299</v>
      </c>
      <c r="H1107" t="s">
        <v>1346</v>
      </c>
      <c r="I1107" t="s">
        <v>310</v>
      </c>
      <c r="J1107">
        <v>2</v>
      </c>
      <c r="L1107">
        <v>391.59</v>
      </c>
      <c r="M1107">
        <v>667.35</v>
      </c>
      <c r="N1107">
        <v>995.8</v>
      </c>
      <c r="O1107">
        <v>1419.9</v>
      </c>
      <c r="P1107">
        <v>1</v>
      </c>
      <c r="Q1107">
        <v>1</v>
      </c>
      <c r="R1107">
        <v>0</v>
      </c>
      <c r="S1107">
        <v>200138</v>
      </c>
      <c r="T1107" t="b">
        <v>1</v>
      </c>
    </row>
    <row r="1108" spans="2:20" x14ac:dyDescent="0.35">
      <c r="B1108">
        <v>2019</v>
      </c>
      <c r="C1108" s="41">
        <v>43399</v>
      </c>
      <c r="D1108" t="s">
        <v>2035</v>
      </c>
      <c r="E1108" t="s">
        <v>219</v>
      </c>
      <c r="F1108" t="s">
        <v>460</v>
      </c>
      <c r="G1108" t="s">
        <v>1299</v>
      </c>
      <c r="H1108" t="s">
        <v>1346</v>
      </c>
      <c r="I1108" t="s">
        <v>310</v>
      </c>
      <c r="J1108">
        <v>2</v>
      </c>
      <c r="L1108">
        <v>385.66</v>
      </c>
      <c r="M1108">
        <v>657.24</v>
      </c>
      <c r="N1108">
        <v>980.71</v>
      </c>
      <c r="O1108">
        <v>1398.38</v>
      </c>
      <c r="P1108">
        <v>1</v>
      </c>
      <c r="Q1108">
        <v>1</v>
      </c>
      <c r="R1108">
        <v>0</v>
      </c>
      <c r="S1108">
        <v>200138</v>
      </c>
      <c r="T1108" t="b">
        <v>1</v>
      </c>
    </row>
    <row r="1109" spans="2:20" x14ac:dyDescent="0.35">
      <c r="B1109">
        <v>2019</v>
      </c>
      <c r="C1109" s="41">
        <v>43399</v>
      </c>
      <c r="D1109" t="s">
        <v>2035</v>
      </c>
      <c r="E1109" t="s">
        <v>219</v>
      </c>
      <c r="F1109" t="s">
        <v>459</v>
      </c>
      <c r="G1109" t="s">
        <v>1299</v>
      </c>
      <c r="H1109" t="s">
        <v>1346</v>
      </c>
      <c r="I1109" t="s">
        <v>310</v>
      </c>
      <c r="J1109">
        <v>2</v>
      </c>
      <c r="L1109">
        <v>318.27</v>
      </c>
      <c r="M1109">
        <v>542.4</v>
      </c>
      <c r="N1109">
        <v>809.36</v>
      </c>
      <c r="O1109">
        <v>1154.06</v>
      </c>
      <c r="P1109">
        <v>1</v>
      </c>
      <c r="Q1109">
        <v>1</v>
      </c>
      <c r="R1109">
        <v>0</v>
      </c>
      <c r="S1109">
        <v>200138</v>
      </c>
      <c r="T1109" t="b">
        <v>1</v>
      </c>
    </row>
    <row r="1110" spans="2:20" x14ac:dyDescent="0.35">
      <c r="B1110">
        <v>2019</v>
      </c>
      <c r="C1110" s="41">
        <v>43399</v>
      </c>
      <c r="D1110" t="s">
        <v>2035</v>
      </c>
      <c r="E1110" t="s">
        <v>219</v>
      </c>
      <c r="F1110" t="s">
        <v>1310</v>
      </c>
      <c r="G1110" t="s">
        <v>1299</v>
      </c>
      <c r="H1110" t="s">
        <v>1346</v>
      </c>
      <c r="I1110" t="s">
        <v>310</v>
      </c>
      <c r="J1110">
        <v>2</v>
      </c>
      <c r="L1110">
        <v>495</v>
      </c>
      <c r="M1110">
        <v>843.58</v>
      </c>
      <c r="N1110">
        <v>1258.75</v>
      </c>
      <c r="O1110">
        <v>1794.84</v>
      </c>
      <c r="P1110">
        <v>1</v>
      </c>
      <c r="Q1110">
        <v>1</v>
      </c>
      <c r="R1110">
        <v>0</v>
      </c>
      <c r="S1110">
        <v>200138</v>
      </c>
      <c r="T1110" t="b">
        <v>1</v>
      </c>
    </row>
    <row r="1111" spans="2:20" x14ac:dyDescent="0.35">
      <c r="B1111">
        <v>2019</v>
      </c>
      <c r="C1111" s="41">
        <v>43399</v>
      </c>
      <c r="D1111" t="s">
        <v>2036</v>
      </c>
      <c r="E1111" t="s">
        <v>219</v>
      </c>
      <c r="F1111" t="s">
        <v>1309</v>
      </c>
      <c r="G1111" t="s">
        <v>1299</v>
      </c>
      <c r="H1111" t="s">
        <v>1346</v>
      </c>
      <c r="I1111" t="s">
        <v>310</v>
      </c>
      <c r="J1111">
        <v>2</v>
      </c>
      <c r="L1111">
        <v>381.42</v>
      </c>
      <c r="M1111">
        <v>650.02</v>
      </c>
      <c r="N1111">
        <v>969.92</v>
      </c>
      <c r="O1111">
        <v>1383</v>
      </c>
      <c r="P1111">
        <v>0</v>
      </c>
      <c r="Q1111">
        <v>3</v>
      </c>
      <c r="R1111">
        <v>0</v>
      </c>
      <c r="S1111">
        <v>200138</v>
      </c>
      <c r="T1111" t="b">
        <v>1</v>
      </c>
    </row>
    <row r="1112" spans="2:20" x14ac:dyDescent="0.35">
      <c r="B1112">
        <v>2019</v>
      </c>
      <c r="C1112" s="41">
        <v>43399</v>
      </c>
      <c r="D1112" t="s">
        <v>2036</v>
      </c>
      <c r="E1112" t="s">
        <v>219</v>
      </c>
      <c r="F1112" t="s">
        <v>1307</v>
      </c>
      <c r="G1112" t="s">
        <v>1299</v>
      </c>
      <c r="H1112" t="s">
        <v>1346</v>
      </c>
      <c r="I1112" t="s">
        <v>310</v>
      </c>
      <c r="J1112">
        <v>2</v>
      </c>
      <c r="L1112">
        <v>346.25</v>
      </c>
      <c r="M1112">
        <v>590.07000000000005</v>
      </c>
      <c r="N1112">
        <v>880.49</v>
      </c>
      <c r="O1112">
        <v>1255.48</v>
      </c>
      <c r="P1112">
        <v>0</v>
      </c>
      <c r="Q1112">
        <v>3</v>
      </c>
      <c r="R1112">
        <v>0</v>
      </c>
      <c r="S1112">
        <v>200138</v>
      </c>
      <c r="T1112" t="b">
        <v>1</v>
      </c>
    </row>
    <row r="1113" spans="2:20" x14ac:dyDescent="0.35">
      <c r="B1113">
        <v>2019</v>
      </c>
      <c r="C1113" s="41">
        <v>43399</v>
      </c>
      <c r="D1113" t="s">
        <v>2036</v>
      </c>
      <c r="E1113" t="s">
        <v>219</v>
      </c>
      <c r="F1113" t="s">
        <v>462</v>
      </c>
      <c r="G1113" t="s">
        <v>1299</v>
      </c>
      <c r="H1113" t="s">
        <v>1346</v>
      </c>
      <c r="I1113" t="s">
        <v>310</v>
      </c>
      <c r="J1113">
        <v>2</v>
      </c>
      <c r="L1113">
        <v>391.59</v>
      </c>
      <c r="M1113">
        <v>667.35</v>
      </c>
      <c r="N1113">
        <v>995.8</v>
      </c>
      <c r="O1113">
        <v>1419.9</v>
      </c>
      <c r="P1113">
        <v>0</v>
      </c>
      <c r="Q1113">
        <v>3</v>
      </c>
      <c r="R1113">
        <v>0</v>
      </c>
      <c r="S1113">
        <v>200138</v>
      </c>
      <c r="T1113" t="b">
        <v>1</v>
      </c>
    </row>
    <row r="1114" spans="2:20" x14ac:dyDescent="0.35">
      <c r="B1114">
        <v>2019</v>
      </c>
      <c r="C1114" s="41">
        <v>43399</v>
      </c>
      <c r="D1114" t="s">
        <v>2036</v>
      </c>
      <c r="E1114" t="s">
        <v>219</v>
      </c>
      <c r="F1114" t="s">
        <v>1311</v>
      </c>
      <c r="G1114" t="s">
        <v>1299</v>
      </c>
      <c r="H1114" t="s">
        <v>1346</v>
      </c>
      <c r="I1114" t="s">
        <v>310</v>
      </c>
      <c r="J1114">
        <v>2</v>
      </c>
      <c r="L1114">
        <v>370.4</v>
      </c>
      <c r="M1114">
        <v>631.24</v>
      </c>
      <c r="N1114">
        <v>941.91</v>
      </c>
      <c r="O1114">
        <v>1343.06</v>
      </c>
      <c r="P1114">
        <v>0</v>
      </c>
      <c r="Q1114">
        <v>3</v>
      </c>
      <c r="R1114">
        <v>0</v>
      </c>
      <c r="S1114">
        <v>200138</v>
      </c>
      <c r="T1114" t="b">
        <v>1</v>
      </c>
    </row>
    <row r="1115" spans="2:20" x14ac:dyDescent="0.35">
      <c r="B1115">
        <v>2019</v>
      </c>
      <c r="C1115" s="41">
        <v>43399</v>
      </c>
      <c r="D1115" t="s">
        <v>2036</v>
      </c>
      <c r="E1115" t="s">
        <v>219</v>
      </c>
      <c r="F1115" t="s">
        <v>460</v>
      </c>
      <c r="G1115" t="s">
        <v>1299</v>
      </c>
      <c r="H1115" t="s">
        <v>1346</v>
      </c>
      <c r="I1115" t="s">
        <v>310</v>
      </c>
      <c r="J1115">
        <v>2</v>
      </c>
      <c r="L1115">
        <v>385.66</v>
      </c>
      <c r="M1115">
        <v>657.24</v>
      </c>
      <c r="N1115">
        <v>980.71</v>
      </c>
      <c r="O1115">
        <v>1398.38</v>
      </c>
      <c r="P1115">
        <v>0</v>
      </c>
      <c r="Q1115">
        <v>3</v>
      </c>
      <c r="R1115">
        <v>0</v>
      </c>
      <c r="S1115">
        <v>200138</v>
      </c>
      <c r="T1115" t="b">
        <v>1</v>
      </c>
    </row>
    <row r="1116" spans="2:20" x14ac:dyDescent="0.35">
      <c r="B1116">
        <v>2019</v>
      </c>
      <c r="C1116" s="41">
        <v>43399</v>
      </c>
      <c r="D1116" t="s">
        <v>2036</v>
      </c>
      <c r="E1116" t="s">
        <v>219</v>
      </c>
      <c r="F1116" t="s">
        <v>463</v>
      </c>
      <c r="G1116" t="s">
        <v>1299</v>
      </c>
      <c r="H1116" t="s">
        <v>1346</v>
      </c>
      <c r="I1116" t="s">
        <v>310</v>
      </c>
      <c r="J1116">
        <v>2</v>
      </c>
      <c r="L1116">
        <v>320.39</v>
      </c>
      <c r="M1116">
        <v>546.01</v>
      </c>
      <c r="N1116">
        <v>814.73</v>
      </c>
      <c r="O1116">
        <v>1161.72</v>
      </c>
      <c r="P1116">
        <v>0</v>
      </c>
      <c r="Q1116">
        <v>3</v>
      </c>
      <c r="R1116">
        <v>0</v>
      </c>
      <c r="S1116">
        <v>200138</v>
      </c>
      <c r="T1116" t="b">
        <v>1</v>
      </c>
    </row>
    <row r="1117" spans="2:20" x14ac:dyDescent="0.35">
      <c r="B1117">
        <v>2019</v>
      </c>
      <c r="C1117" s="41">
        <v>43399</v>
      </c>
      <c r="D1117" t="s">
        <v>2036</v>
      </c>
      <c r="E1117" t="s">
        <v>219</v>
      </c>
      <c r="F1117" t="s">
        <v>459</v>
      </c>
      <c r="G1117" t="s">
        <v>1299</v>
      </c>
      <c r="H1117" t="s">
        <v>1346</v>
      </c>
      <c r="I1117" t="s">
        <v>310</v>
      </c>
      <c r="J1117">
        <v>2</v>
      </c>
      <c r="L1117">
        <v>318.27</v>
      </c>
      <c r="M1117">
        <v>542.4</v>
      </c>
      <c r="N1117">
        <v>809.36</v>
      </c>
      <c r="O1117">
        <v>1154.06</v>
      </c>
      <c r="P1117">
        <v>0</v>
      </c>
      <c r="Q1117">
        <v>3</v>
      </c>
      <c r="R1117">
        <v>0</v>
      </c>
      <c r="S1117">
        <v>200138</v>
      </c>
      <c r="T1117" t="b">
        <v>1</v>
      </c>
    </row>
    <row r="1118" spans="2:20" x14ac:dyDescent="0.35">
      <c r="B1118">
        <v>2019</v>
      </c>
      <c r="C1118" s="41">
        <v>43399</v>
      </c>
      <c r="D1118" t="s">
        <v>2036</v>
      </c>
      <c r="E1118" t="s">
        <v>219</v>
      </c>
      <c r="F1118" t="s">
        <v>1310</v>
      </c>
      <c r="G1118" t="s">
        <v>1299</v>
      </c>
      <c r="H1118" t="s">
        <v>1346</v>
      </c>
      <c r="I1118" t="s">
        <v>310</v>
      </c>
      <c r="J1118">
        <v>2</v>
      </c>
      <c r="L1118">
        <v>495</v>
      </c>
      <c r="M1118">
        <v>843.58</v>
      </c>
      <c r="N1118">
        <v>1258.75</v>
      </c>
      <c r="O1118">
        <v>1794.84</v>
      </c>
      <c r="P1118">
        <v>0</v>
      </c>
      <c r="Q1118">
        <v>3</v>
      </c>
      <c r="R1118">
        <v>0</v>
      </c>
      <c r="S1118">
        <v>200138</v>
      </c>
      <c r="T1118" t="b">
        <v>1</v>
      </c>
    </row>
    <row r="1119" spans="2:20" x14ac:dyDescent="0.35">
      <c r="B1119">
        <v>2019</v>
      </c>
      <c r="C1119" s="41">
        <v>43399</v>
      </c>
      <c r="D1119" t="s">
        <v>2037</v>
      </c>
      <c r="E1119" t="s">
        <v>219</v>
      </c>
      <c r="F1119" t="s">
        <v>1298</v>
      </c>
      <c r="G1119" t="s">
        <v>1299</v>
      </c>
      <c r="H1119" t="s">
        <v>1346</v>
      </c>
      <c r="I1119" t="s">
        <v>310</v>
      </c>
      <c r="J1119">
        <v>2</v>
      </c>
      <c r="L1119">
        <v>409.39</v>
      </c>
      <c r="M1119">
        <v>697.68</v>
      </c>
      <c r="N1119">
        <v>1041.06</v>
      </c>
      <c r="O1119">
        <v>1484.44</v>
      </c>
      <c r="P1119">
        <v>1</v>
      </c>
      <c r="Q1119">
        <v>1</v>
      </c>
      <c r="R1119">
        <v>0</v>
      </c>
      <c r="S1119">
        <v>200138</v>
      </c>
      <c r="T1119" t="b">
        <v>1</v>
      </c>
    </row>
    <row r="1120" spans="2:20" x14ac:dyDescent="0.35">
      <c r="B1120">
        <v>2019</v>
      </c>
      <c r="C1120" s="41">
        <v>43399</v>
      </c>
      <c r="D1120" t="s">
        <v>2037</v>
      </c>
      <c r="E1120" t="s">
        <v>219</v>
      </c>
      <c r="F1120" t="s">
        <v>1302</v>
      </c>
      <c r="G1120" t="s">
        <v>1299</v>
      </c>
      <c r="H1120" t="s">
        <v>1346</v>
      </c>
      <c r="I1120" t="s">
        <v>310</v>
      </c>
      <c r="J1120">
        <v>2</v>
      </c>
      <c r="L1120">
        <v>389.9</v>
      </c>
      <c r="M1120">
        <v>664.46</v>
      </c>
      <c r="N1120">
        <v>991.48</v>
      </c>
      <c r="O1120">
        <v>1413.74</v>
      </c>
      <c r="P1120">
        <v>1</v>
      </c>
      <c r="Q1120">
        <v>1</v>
      </c>
      <c r="R1120">
        <v>0</v>
      </c>
      <c r="S1120">
        <v>200138</v>
      </c>
      <c r="T1120" t="b">
        <v>1</v>
      </c>
    </row>
    <row r="1121" spans="2:20" x14ac:dyDescent="0.35">
      <c r="B1121">
        <v>2019</v>
      </c>
      <c r="C1121" s="41">
        <v>43399</v>
      </c>
      <c r="D1121" t="s">
        <v>2037</v>
      </c>
      <c r="E1121" t="s">
        <v>219</v>
      </c>
      <c r="F1121" t="s">
        <v>1301</v>
      </c>
      <c r="G1121" t="s">
        <v>1299</v>
      </c>
      <c r="H1121" t="s">
        <v>1346</v>
      </c>
      <c r="I1121" t="s">
        <v>310</v>
      </c>
      <c r="J1121">
        <v>2</v>
      </c>
      <c r="L1121">
        <v>432.28</v>
      </c>
      <c r="M1121">
        <v>736.69</v>
      </c>
      <c r="N1121">
        <v>1099.26</v>
      </c>
      <c r="O1121">
        <v>1567.42</v>
      </c>
      <c r="P1121">
        <v>1</v>
      </c>
      <c r="Q1121">
        <v>1</v>
      </c>
      <c r="R1121">
        <v>0</v>
      </c>
      <c r="S1121">
        <v>200138</v>
      </c>
      <c r="T1121" t="b">
        <v>1</v>
      </c>
    </row>
    <row r="1122" spans="2:20" x14ac:dyDescent="0.35">
      <c r="B1122">
        <v>2019</v>
      </c>
      <c r="C1122" s="41">
        <v>43399</v>
      </c>
      <c r="D1122" t="s">
        <v>2037</v>
      </c>
      <c r="E1122" t="s">
        <v>219</v>
      </c>
      <c r="F1122" t="s">
        <v>461</v>
      </c>
      <c r="G1122" t="s">
        <v>1299</v>
      </c>
      <c r="H1122" t="s">
        <v>1346</v>
      </c>
      <c r="I1122" t="s">
        <v>310</v>
      </c>
      <c r="J1122">
        <v>2</v>
      </c>
      <c r="L1122">
        <v>346.25</v>
      </c>
      <c r="M1122">
        <v>590.07000000000005</v>
      </c>
      <c r="N1122">
        <v>880.49</v>
      </c>
      <c r="O1122">
        <v>1255.48</v>
      </c>
      <c r="P1122">
        <v>1</v>
      </c>
      <c r="Q1122">
        <v>1</v>
      </c>
      <c r="R1122">
        <v>0</v>
      </c>
      <c r="S1122">
        <v>200138</v>
      </c>
      <c r="T1122" t="b">
        <v>1</v>
      </c>
    </row>
    <row r="1123" spans="2:20" x14ac:dyDescent="0.35">
      <c r="B1123">
        <v>2019</v>
      </c>
      <c r="C1123" s="41">
        <v>43399</v>
      </c>
      <c r="D1123" t="s">
        <v>2038</v>
      </c>
      <c r="E1123" t="s">
        <v>219</v>
      </c>
      <c r="F1123" t="s">
        <v>1298</v>
      </c>
      <c r="G1123" t="s">
        <v>1299</v>
      </c>
      <c r="H1123" t="s">
        <v>1351</v>
      </c>
      <c r="I1123" t="s">
        <v>310</v>
      </c>
      <c r="J1123">
        <v>2</v>
      </c>
      <c r="L1123">
        <v>385.75</v>
      </c>
      <c r="M1123">
        <v>657.4</v>
      </c>
      <c r="N1123">
        <v>980.93</v>
      </c>
      <c r="O1123">
        <v>1398.69999999999</v>
      </c>
      <c r="P1123">
        <v>1</v>
      </c>
      <c r="Q1123">
        <v>1</v>
      </c>
      <c r="R1123">
        <v>0</v>
      </c>
      <c r="S1123">
        <v>200138</v>
      </c>
      <c r="T1123" t="b">
        <v>1</v>
      </c>
    </row>
    <row r="1124" spans="2:20" x14ac:dyDescent="0.35">
      <c r="B1124">
        <v>2019</v>
      </c>
      <c r="C1124" s="41">
        <v>43399</v>
      </c>
      <c r="D1124" t="s">
        <v>2038</v>
      </c>
      <c r="E1124" t="s">
        <v>219</v>
      </c>
      <c r="F1124" t="s">
        <v>1301</v>
      </c>
      <c r="G1124" t="s">
        <v>1299</v>
      </c>
      <c r="H1124" t="s">
        <v>1351</v>
      </c>
      <c r="I1124" t="s">
        <v>310</v>
      </c>
      <c r="J1124">
        <v>2</v>
      </c>
      <c r="L1124">
        <v>407.31</v>
      </c>
      <c r="M1124">
        <v>694.15</v>
      </c>
      <c r="N1124">
        <v>1035.77</v>
      </c>
      <c r="O1124">
        <v>1476.9</v>
      </c>
      <c r="P1124">
        <v>1</v>
      </c>
      <c r="Q1124">
        <v>1</v>
      </c>
      <c r="R1124">
        <v>0</v>
      </c>
      <c r="S1124">
        <v>200138</v>
      </c>
      <c r="T1124" t="b">
        <v>1</v>
      </c>
    </row>
    <row r="1125" spans="2:20" x14ac:dyDescent="0.35">
      <c r="B1125">
        <v>2019</v>
      </c>
      <c r="C1125" s="41">
        <v>43399</v>
      </c>
      <c r="D1125" t="s">
        <v>2038</v>
      </c>
      <c r="E1125" t="s">
        <v>219</v>
      </c>
      <c r="F1125" t="s">
        <v>461</v>
      </c>
      <c r="G1125" t="s">
        <v>1299</v>
      </c>
      <c r="H1125" t="s">
        <v>1351</v>
      </c>
      <c r="I1125" t="s">
        <v>310</v>
      </c>
      <c r="J1125">
        <v>2</v>
      </c>
      <c r="L1125">
        <v>326.25</v>
      </c>
      <c r="M1125">
        <v>556</v>
      </c>
      <c r="N1125">
        <v>829.64</v>
      </c>
      <c r="O1125">
        <v>1182.98</v>
      </c>
      <c r="P1125">
        <v>1</v>
      </c>
      <c r="Q1125">
        <v>1</v>
      </c>
      <c r="R1125">
        <v>0</v>
      </c>
      <c r="S1125">
        <v>200138</v>
      </c>
      <c r="T1125" t="b">
        <v>1</v>
      </c>
    </row>
    <row r="1126" spans="2:20" x14ac:dyDescent="0.35">
      <c r="B1126">
        <v>2019</v>
      </c>
      <c r="C1126" s="41">
        <v>43399</v>
      </c>
      <c r="D1126" t="s">
        <v>1226</v>
      </c>
      <c r="E1126" t="s">
        <v>219</v>
      </c>
      <c r="F1126" t="s">
        <v>1298</v>
      </c>
      <c r="G1126" t="s">
        <v>1299</v>
      </c>
      <c r="H1126" t="s">
        <v>1351</v>
      </c>
      <c r="I1126" t="s">
        <v>310</v>
      </c>
      <c r="J1126">
        <v>2</v>
      </c>
      <c r="L1126">
        <v>385.75</v>
      </c>
      <c r="M1126">
        <v>657.4</v>
      </c>
      <c r="N1126">
        <v>980.93</v>
      </c>
      <c r="O1126">
        <v>1398.69999999999</v>
      </c>
      <c r="P1126">
        <v>0</v>
      </c>
      <c r="Q1126">
        <v>3</v>
      </c>
      <c r="R1126">
        <v>0</v>
      </c>
      <c r="S1126">
        <v>200138</v>
      </c>
      <c r="T1126" t="b">
        <v>1</v>
      </c>
    </row>
    <row r="1127" spans="2:20" x14ac:dyDescent="0.35">
      <c r="B1127">
        <v>2019</v>
      </c>
      <c r="C1127" s="41">
        <v>43399</v>
      </c>
      <c r="D1127" t="s">
        <v>2038</v>
      </c>
      <c r="E1127" t="s">
        <v>219</v>
      </c>
      <c r="F1127" t="s">
        <v>1302</v>
      </c>
      <c r="G1127" t="s">
        <v>1299</v>
      </c>
      <c r="H1127" t="s">
        <v>1351</v>
      </c>
      <c r="I1127" t="s">
        <v>310</v>
      </c>
      <c r="J1127">
        <v>2</v>
      </c>
      <c r="L1127">
        <v>367.38</v>
      </c>
      <c r="M1127">
        <v>626.09</v>
      </c>
      <c r="N1127">
        <v>934.22</v>
      </c>
      <c r="O1127">
        <v>1332.1</v>
      </c>
      <c r="P1127">
        <v>1</v>
      </c>
      <c r="Q1127">
        <v>1</v>
      </c>
      <c r="R1127">
        <v>0</v>
      </c>
      <c r="S1127">
        <v>200138</v>
      </c>
      <c r="T1127" t="b">
        <v>1</v>
      </c>
    </row>
    <row r="1128" spans="2:20" x14ac:dyDescent="0.35">
      <c r="B1128">
        <v>2019</v>
      </c>
      <c r="C1128" s="41">
        <v>43399</v>
      </c>
      <c r="D1128" t="s">
        <v>1226</v>
      </c>
      <c r="E1128" t="s">
        <v>219</v>
      </c>
      <c r="F1128" t="s">
        <v>1302</v>
      </c>
      <c r="G1128" t="s">
        <v>1299</v>
      </c>
      <c r="H1128" t="s">
        <v>1351</v>
      </c>
      <c r="I1128" t="s">
        <v>310</v>
      </c>
      <c r="J1128">
        <v>2</v>
      </c>
      <c r="L1128">
        <v>367.38</v>
      </c>
      <c r="M1128">
        <v>626.09</v>
      </c>
      <c r="N1128">
        <v>934.22</v>
      </c>
      <c r="O1128">
        <v>1332.1</v>
      </c>
      <c r="P1128">
        <v>0</v>
      </c>
      <c r="Q1128">
        <v>3</v>
      </c>
      <c r="R1128">
        <v>0</v>
      </c>
      <c r="S1128">
        <v>200138</v>
      </c>
      <c r="T1128" t="b">
        <v>1</v>
      </c>
    </row>
    <row r="1129" spans="2:20" x14ac:dyDescent="0.35">
      <c r="B1129">
        <v>2019</v>
      </c>
      <c r="C1129" s="41">
        <v>43399</v>
      </c>
      <c r="D1129" t="s">
        <v>1226</v>
      </c>
      <c r="E1129" t="s">
        <v>219</v>
      </c>
      <c r="F1129" t="s">
        <v>1301</v>
      </c>
      <c r="G1129" t="s">
        <v>1299</v>
      </c>
      <c r="H1129" t="s">
        <v>1351</v>
      </c>
      <c r="I1129" t="s">
        <v>310</v>
      </c>
      <c r="J1129">
        <v>2</v>
      </c>
      <c r="L1129">
        <v>407.31</v>
      </c>
      <c r="M1129">
        <v>694.15</v>
      </c>
      <c r="N1129">
        <v>1035.77</v>
      </c>
      <c r="O1129">
        <v>1476.9</v>
      </c>
      <c r="P1129">
        <v>0</v>
      </c>
      <c r="Q1129">
        <v>3</v>
      </c>
      <c r="R1129">
        <v>0</v>
      </c>
      <c r="S1129">
        <v>200138</v>
      </c>
      <c r="T1129" t="b">
        <v>1</v>
      </c>
    </row>
    <row r="1130" spans="2:20" x14ac:dyDescent="0.35">
      <c r="B1130">
        <v>2019</v>
      </c>
      <c r="C1130" s="41">
        <v>43399</v>
      </c>
      <c r="D1130" t="s">
        <v>1226</v>
      </c>
      <c r="E1130" t="s">
        <v>219</v>
      </c>
      <c r="F1130" t="s">
        <v>461</v>
      </c>
      <c r="G1130" t="s">
        <v>1299</v>
      </c>
      <c r="H1130" t="s">
        <v>1351</v>
      </c>
      <c r="I1130" t="s">
        <v>310</v>
      </c>
      <c r="J1130">
        <v>2</v>
      </c>
      <c r="L1130">
        <v>326.25</v>
      </c>
      <c r="M1130">
        <v>556</v>
      </c>
      <c r="N1130">
        <v>829.64</v>
      </c>
      <c r="O1130">
        <v>1182.98</v>
      </c>
      <c r="P1130">
        <v>0</v>
      </c>
      <c r="Q1130">
        <v>3</v>
      </c>
      <c r="R1130">
        <v>0</v>
      </c>
      <c r="S1130">
        <v>200138</v>
      </c>
      <c r="T1130" t="b">
        <v>1</v>
      </c>
    </row>
    <row r="1131" spans="2:20" x14ac:dyDescent="0.35">
      <c r="B1131">
        <v>2019</v>
      </c>
      <c r="C1131" s="41">
        <v>43399</v>
      </c>
      <c r="D1131" t="s">
        <v>1219</v>
      </c>
      <c r="E1131" t="s">
        <v>219</v>
      </c>
      <c r="F1131" t="s">
        <v>461</v>
      </c>
      <c r="G1131" t="s">
        <v>1299</v>
      </c>
      <c r="H1131" t="s">
        <v>1356</v>
      </c>
      <c r="I1131" t="s">
        <v>310</v>
      </c>
      <c r="J1131">
        <v>2</v>
      </c>
      <c r="L1131">
        <v>330.06</v>
      </c>
      <c r="M1131">
        <v>562.49</v>
      </c>
      <c r="N1131">
        <v>839.31999999999903</v>
      </c>
      <c r="O1131">
        <v>1196.78</v>
      </c>
      <c r="P1131">
        <v>0</v>
      </c>
      <c r="Q1131">
        <v>3</v>
      </c>
      <c r="R1131">
        <v>0</v>
      </c>
      <c r="S1131">
        <v>200138</v>
      </c>
      <c r="T1131" t="b">
        <v>1</v>
      </c>
    </row>
    <row r="1132" spans="2:20" x14ac:dyDescent="0.35">
      <c r="B1132">
        <v>2019</v>
      </c>
      <c r="C1132" s="41">
        <v>43399</v>
      </c>
      <c r="D1132" t="s">
        <v>1219</v>
      </c>
      <c r="E1132" t="s">
        <v>219</v>
      </c>
      <c r="F1132" t="s">
        <v>1298</v>
      </c>
      <c r="G1132" t="s">
        <v>1299</v>
      </c>
      <c r="H1132" t="s">
        <v>1356</v>
      </c>
      <c r="I1132" t="s">
        <v>310</v>
      </c>
      <c r="J1132">
        <v>2</v>
      </c>
      <c r="L1132">
        <v>390.25</v>
      </c>
      <c r="M1132">
        <v>665.07</v>
      </c>
      <c r="N1132">
        <v>992.39</v>
      </c>
      <c r="O1132">
        <v>1415.04</v>
      </c>
      <c r="P1132">
        <v>0</v>
      </c>
      <c r="Q1132">
        <v>3</v>
      </c>
      <c r="R1132">
        <v>0</v>
      </c>
      <c r="S1132">
        <v>200138</v>
      </c>
      <c r="T1132" t="b">
        <v>1</v>
      </c>
    </row>
    <row r="1133" spans="2:20" x14ac:dyDescent="0.35">
      <c r="B1133">
        <v>2019</v>
      </c>
      <c r="C1133" s="41">
        <v>43399</v>
      </c>
      <c r="D1133" t="s">
        <v>1219</v>
      </c>
      <c r="E1133" t="s">
        <v>219</v>
      </c>
      <c r="F1133" t="s">
        <v>1301</v>
      </c>
      <c r="G1133" t="s">
        <v>1299</v>
      </c>
      <c r="H1133" t="s">
        <v>1356</v>
      </c>
      <c r="I1133" t="s">
        <v>310</v>
      </c>
      <c r="J1133">
        <v>2</v>
      </c>
      <c r="L1133">
        <v>412.07</v>
      </c>
      <c r="M1133">
        <v>702.25</v>
      </c>
      <c r="N1133">
        <v>1047.8800000000001</v>
      </c>
      <c r="O1133">
        <v>1494.1599999999901</v>
      </c>
      <c r="P1133">
        <v>0</v>
      </c>
      <c r="Q1133">
        <v>3</v>
      </c>
      <c r="R1133">
        <v>0</v>
      </c>
      <c r="S1133">
        <v>200138</v>
      </c>
      <c r="T1133" t="b">
        <v>1</v>
      </c>
    </row>
    <row r="1134" spans="2:20" x14ac:dyDescent="0.35">
      <c r="B1134">
        <v>2019</v>
      </c>
      <c r="C1134" s="41">
        <v>43399</v>
      </c>
      <c r="D1134" t="s">
        <v>2039</v>
      </c>
      <c r="E1134" t="s">
        <v>219</v>
      </c>
      <c r="F1134" t="s">
        <v>1302</v>
      </c>
      <c r="G1134" t="s">
        <v>1299</v>
      </c>
      <c r="H1134" t="s">
        <v>1356</v>
      </c>
      <c r="I1134" t="s">
        <v>310</v>
      </c>
      <c r="J1134">
        <v>2</v>
      </c>
      <c r="L1134">
        <v>371.67</v>
      </c>
      <c r="M1134">
        <v>633.4</v>
      </c>
      <c r="N1134">
        <v>945.14</v>
      </c>
      <c r="O1134">
        <v>1347.6599999999901</v>
      </c>
      <c r="P1134">
        <v>1</v>
      </c>
      <c r="Q1134">
        <v>1</v>
      </c>
      <c r="R1134">
        <v>0</v>
      </c>
      <c r="S1134">
        <v>200138</v>
      </c>
      <c r="T1134" t="b">
        <v>1</v>
      </c>
    </row>
    <row r="1135" spans="2:20" x14ac:dyDescent="0.35">
      <c r="B1135">
        <v>2019</v>
      </c>
      <c r="C1135" s="41">
        <v>43399</v>
      </c>
      <c r="D1135" t="s">
        <v>2039</v>
      </c>
      <c r="E1135" t="s">
        <v>219</v>
      </c>
      <c r="F1135" t="s">
        <v>1298</v>
      </c>
      <c r="G1135" t="s">
        <v>1299</v>
      </c>
      <c r="H1135" t="s">
        <v>1356</v>
      </c>
      <c r="I1135" t="s">
        <v>310</v>
      </c>
      <c r="J1135">
        <v>2</v>
      </c>
      <c r="L1135">
        <v>390.25</v>
      </c>
      <c r="M1135">
        <v>665.07</v>
      </c>
      <c r="N1135">
        <v>992.39</v>
      </c>
      <c r="O1135">
        <v>1415.04</v>
      </c>
      <c r="P1135">
        <v>1</v>
      </c>
      <c r="Q1135">
        <v>1</v>
      </c>
      <c r="R1135">
        <v>0</v>
      </c>
      <c r="S1135">
        <v>200138</v>
      </c>
      <c r="T1135" t="b">
        <v>1</v>
      </c>
    </row>
    <row r="1136" spans="2:20" x14ac:dyDescent="0.35">
      <c r="B1136">
        <v>2019</v>
      </c>
      <c r="C1136" s="41">
        <v>43399</v>
      </c>
      <c r="D1136" t="s">
        <v>2039</v>
      </c>
      <c r="E1136" t="s">
        <v>219</v>
      </c>
      <c r="F1136" t="s">
        <v>1301</v>
      </c>
      <c r="G1136" t="s">
        <v>1299</v>
      </c>
      <c r="H1136" t="s">
        <v>1356</v>
      </c>
      <c r="I1136" t="s">
        <v>310</v>
      </c>
      <c r="J1136">
        <v>2</v>
      </c>
      <c r="L1136">
        <v>412.07</v>
      </c>
      <c r="M1136">
        <v>702.25</v>
      </c>
      <c r="N1136">
        <v>1047.8800000000001</v>
      </c>
      <c r="O1136">
        <v>1494.1599999999901</v>
      </c>
      <c r="P1136">
        <v>1</v>
      </c>
      <c r="Q1136">
        <v>1</v>
      </c>
      <c r="R1136">
        <v>0</v>
      </c>
      <c r="S1136">
        <v>200138</v>
      </c>
      <c r="T1136" t="b">
        <v>1</v>
      </c>
    </row>
    <row r="1137" spans="2:20" x14ac:dyDescent="0.35">
      <c r="B1137">
        <v>2019</v>
      </c>
      <c r="C1137" s="41">
        <v>43399</v>
      </c>
      <c r="D1137" t="s">
        <v>2039</v>
      </c>
      <c r="E1137" t="s">
        <v>219</v>
      </c>
      <c r="F1137" t="s">
        <v>461</v>
      </c>
      <c r="G1137" t="s">
        <v>1299</v>
      </c>
      <c r="H1137" t="s">
        <v>1356</v>
      </c>
      <c r="I1137" t="s">
        <v>310</v>
      </c>
      <c r="J1137">
        <v>2</v>
      </c>
      <c r="L1137">
        <v>330.06</v>
      </c>
      <c r="M1137">
        <v>562.49</v>
      </c>
      <c r="N1137">
        <v>839.31999999999903</v>
      </c>
      <c r="O1137">
        <v>1196.78</v>
      </c>
      <c r="P1137">
        <v>1</v>
      </c>
      <c r="Q1137">
        <v>1</v>
      </c>
      <c r="R1137">
        <v>0</v>
      </c>
      <c r="S1137">
        <v>200138</v>
      </c>
      <c r="T1137" t="b">
        <v>1</v>
      </c>
    </row>
    <row r="1138" spans="2:20" x14ac:dyDescent="0.35">
      <c r="B1138">
        <v>2019</v>
      </c>
      <c r="C1138" s="41">
        <v>43399</v>
      </c>
      <c r="D1138" t="s">
        <v>1219</v>
      </c>
      <c r="E1138" t="s">
        <v>219</v>
      </c>
      <c r="F1138" t="s">
        <v>1302</v>
      </c>
      <c r="G1138" t="s">
        <v>1299</v>
      </c>
      <c r="H1138" t="s">
        <v>1356</v>
      </c>
      <c r="I1138" t="s">
        <v>310</v>
      </c>
      <c r="J1138">
        <v>2</v>
      </c>
      <c r="L1138">
        <v>371.67</v>
      </c>
      <c r="M1138">
        <v>633.4</v>
      </c>
      <c r="N1138">
        <v>945.14</v>
      </c>
      <c r="O1138">
        <v>1347.6599999999901</v>
      </c>
      <c r="P1138">
        <v>0</v>
      </c>
      <c r="Q1138">
        <v>3</v>
      </c>
      <c r="R1138">
        <v>0</v>
      </c>
      <c r="S1138">
        <v>200138</v>
      </c>
      <c r="T1138" t="b">
        <v>1</v>
      </c>
    </row>
    <row r="1139" spans="2:20" x14ac:dyDescent="0.35">
      <c r="B1139">
        <v>2019</v>
      </c>
      <c r="C1139" s="41">
        <v>43399</v>
      </c>
      <c r="D1139" t="s">
        <v>2040</v>
      </c>
      <c r="E1139" t="s">
        <v>219</v>
      </c>
      <c r="F1139" t="s">
        <v>1309</v>
      </c>
      <c r="G1139" t="s">
        <v>1299</v>
      </c>
      <c r="H1139" t="s">
        <v>1364</v>
      </c>
      <c r="I1139" t="s">
        <v>310</v>
      </c>
      <c r="J1139">
        <v>2</v>
      </c>
      <c r="L1139">
        <v>369.37</v>
      </c>
      <c r="M1139">
        <v>629.48</v>
      </c>
      <c r="N1139">
        <v>939.29</v>
      </c>
      <c r="O1139">
        <v>1339.32</v>
      </c>
      <c r="P1139">
        <v>1</v>
      </c>
      <c r="Q1139">
        <v>1</v>
      </c>
      <c r="R1139">
        <v>0</v>
      </c>
      <c r="S1139">
        <v>200138</v>
      </c>
      <c r="T1139" t="b">
        <v>1</v>
      </c>
    </row>
    <row r="1140" spans="2:20" x14ac:dyDescent="0.35">
      <c r="B1140">
        <v>2019</v>
      </c>
      <c r="C1140" s="41">
        <v>43399</v>
      </c>
      <c r="D1140" t="s">
        <v>2040</v>
      </c>
      <c r="E1140" t="s">
        <v>219</v>
      </c>
      <c r="F1140" t="s">
        <v>460</v>
      </c>
      <c r="G1140" t="s">
        <v>1299</v>
      </c>
      <c r="H1140" t="s">
        <v>1364</v>
      </c>
      <c r="I1140" t="s">
        <v>310</v>
      </c>
      <c r="J1140">
        <v>2</v>
      </c>
      <c r="L1140">
        <v>373.47</v>
      </c>
      <c r="M1140">
        <v>636.48</v>
      </c>
      <c r="N1140">
        <v>949.72</v>
      </c>
      <c r="O1140">
        <v>1354.2</v>
      </c>
      <c r="P1140">
        <v>1</v>
      </c>
      <c r="Q1140">
        <v>1</v>
      </c>
      <c r="R1140">
        <v>0</v>
      </c>
      <c r="S1140">
        <v>200138</v>
      </c>
      <c r="T1140" t="b">
        <v>1</v>
      </c>
    </row>
    <row r="1141" spans="2:20" x14ac:dyDescent="0.35">
      <c r="B1141">
        <v>2019</v>
      </c>
      <c r="C1141" s="41">
        <v>43399</v>
      </c>
      <c r="D1141" t="s">
        <v>2040</v>
      </c>
      <c r="E1141" t="s">
        <v>219</v>
      </c>
      <c r="F1141" t="s">
        <v>1307</v>
      </c>
      <c r="G1141" t="s">
        <v>1299</v>
      </c>
      <c r="H1141" t="s">
        <v>1364</v>
      </c>
      <c r="I1141" t="s">
        <v>310</v>
      </c>
      <c r="J1141">
        <v>2</v>
      </c>
      <c r="L1141">
        <v>335.31</v>
      </c>
      <c r="M1141">
        <v>571.42999999999995</v>
      </c>
      <c r="N1141">
        <v>852.66</v>
      </c>
      <c r="O1141">
        <v>1215.8</v>
      </c>
      <c r="P1141">
        <v>1</v>
      </c>
      <c r="Q1141">
        <v>1</v>
      </c>
      <c r="R1141">
        <v>0</v>
      </c>
      <c r="S1141">
        <v>200138</v>
      </c>
      <c r="T1141" t="b">
        <v>1</v>
      </c>
    </row>
    <row r="1142" spans="2:20" x14ac:dyDescent="0.35">
      <c r="B1142">
        <v>2019</v>
      </c>
      <c r="C1142" s="41">
        <v>43399</v>
      </c>
      <c r="D1142" t="s">
        <v>2040</v>
      </c>
      <c r="E1142" t="s">
        <v>219</v>
      </c>
      <c r="F1142" t="s">
        <v>459</v>
      </c>
      <c r="G1142" t="s">
        <v>1299</v>
      </c>
      <c r="H1142" t="s">
        <v>1364</v>
      </c>
      <c r="I1142" t="s">
        <v>310</v>
      </c>
      <c r="J1142">
        <v>2</v>
      </c>
      <c r="L1142">
        <v>308.22000000000003</v>
      </c>
      <c r="M1142">
        <v>525.27</v>
      </c>
      <c r="N1142">
        <v>783.79</v>
      </c>
      <c r="O1142">
        <v>1117.5999999999999</v>
      </c>
      <c r="P1142">
        <v>1</v>
      </c>
      <c r="Q1142">
        <v>1</v>
      </c>
      <c r="R1142">
        <v>0</v>
      </c>
      <c r="S1142">
        <v>200138</v>
      </c>
      <c r="T1142" t="b">
        <v>1</v>
      </c>
    </row>
    <row r="1143" spans="2:20" x14ac:dyDescent="0.35">
      <c r="B1143">
        <v>2019</v>
      </c>
      <c r="C1143" s="41">
        <v>43399</v>
      </c>
      <c r="D1143" t="s">
        <v>2040</v>
      </c>
      <c r="E1143" t="s">
        <v>219</v>
      </c>
      <c r="F1143" t="s">
        <v>1310</v>
      </c>
      <c r="G1143" t="s">
        <v>1299</v>
      </c>
      <c r="H1143" t="s">
        <v>1364</v>
      </c>
      <c r="I1143" t="s">
        <v>310</v>
      </c>
      <c r="J1143">
        <v>2</v>
      </c>
      <c r="L1143">
        <v>479.36</v>
      </c>
      <c r="M1143">
        <v>816.93</v>
      </c>
      <c r="N1143">
        <v>1219</v>
      </c>
      <c r="O1143">
        <v>1738.1599999999901</v>
      </c>
      <c r="P1143">
        <v>1</v>
      </c>
      <c r="Q1143">
        <v>1</v>
      </c>
      <c r="R1143">
        <v>0</v>
      </c>
      <c r="S1143">
        <v>200138</v>
      </c>
      <c r="T1143" t="b">
        <v>1</v>
      </c>
    </row>
    <row r="1144" spans="2:20" x14ac:dyDescent="0.35">
      <c r="B1144">
        <v>2019</v>
      </c>
      <c r="C1144" s="41">
        <v>43399</v>
      </c>
      <c r="D1144" t="s">
        <v>2040</v>
      </c>
      <c r="E1144" t="s">
        <v>219</v>
      </c>
      <c r="F1144" t="s">
        <v>1311</v>
      </c>
      <c r="G1144" t="s">
        <v>1299</v>
      </c>
      <c r="H1144" t="s">
        <v>1364</v>
      </c>
      <c r="I1144" t="s">
        <v>310</v>
      </c>
      <c r="J1144">
        <v>2</v>
      </c>
      <c r="L1144">
        <v>358.7</v>
      </c>
      <c r="M1144">
        <v>611.29999999999995</v>
      </c>
      <c r="N1144">
        <v>912.16</v>
      </c>
      <c r="O1144">
        <v>1300.6399999999901</v>
      </c>
      <c r="P1144">
        <v>1</v>
      </c>
      <c r="Q1144">
        <v>1</v>
      </c>
      <c r="R1144">
        <v>0</v>
      </c>
      <c r="S1144">
        <v>200138</v>
      </c>
      <c r="T1144" t="b">
        <v>1</v>
      </c>
    </row>
    <row r="1145" spans="2:20" x14ac:dyDescent="0.35">
      <c r="B1145">
        <v>2019</v>
      </c>
      <c r="C1145" s="41">
        <v>43399</v>
      </c>
      <c r="D1145" t="s">
        <v>2040</v>
      </c>
      <c r="E1145" t="s">
        <v>219</v>
      </c>
      <c r="F1145" t="s">
        <v>463</v>
      </c>
      <c r="G1145" t="s">
        <v>1299</v>
      </c>
      <c r="H1145" t="s">
        <v>1364</v>
      </c>
      <c r="I1145" t="s">
        <v>310</v>
      </c>
      <c r="J1145">
        <v>2</v>
      </c>
      <c r="L1145">
        <v>310.27</v>
      </c>
      <c r="M1145">
        <v>528.76</v>
      </c>
      <c r="N1145">
        <v>789.01</v>
      </c>
      <c r="O1145">
        <v>1125.04</v>
      </c>
      <c r="P1145">
        <v>1</v>
      </c>
      <c r="Q1145">
        <v>1</v>
      </c>
      <c r="R1145">
        <v>0</v>
      </c>
      <c r="S1145">
        <v>200138</v>
      </c>
      <c r="T1145" t="b">
        <v>1</v>
      </c>
    </row>
    <row r="1146" spans="2:20" x14ac:dyDescent="0.35">
      <c r="B1146">
        <v>2019</v>
      </c>
      <c r="C1146" s="41">
        <v>43399</v>
      </c>
      <c r="D1146" t="s">
        <v>2040</v>
      </c>
      <c r="E1146" t="s">
        <v>219</v>
      </c>
      <c r="F1146" t="s">
        <v>462</v>
      </c>
      <c r="G1146" t="s">
        <v>1299</v>
      </c>
      <c r="H1146" t="s">
        <v>1364</v>
      </c>
      <c r="I1146" t="s">
        <v>310</v>
      </c>
      <c r="J1146">
        <v>2</v>
      </c>
      <c r="L1146">
        <v>379.22</v>
      </c>
      <c r="M1146">
        <v>646.27</v>
      </c>
      <c r="N1146">
        <v>964.33999999999901</v>
      </c>
      <c r="O1146">
        <v>1375.04</v>
      </c>
      <c r="P1146">
        <v>1</v>
      </c>
      <c r="Q1146">
        <v>1</v>
      </c>
      <c r="R1146">
        <v>0</v>
      </c>
      <c r="S1146">
        <v>200138</v>
      </c>
      <c r="T1146" t="b">
        <v>1</v>
      </c>
    </row>
    <row r="1147" spans="2:20" x14ac:dyDescent="0.35">
      <c r="B1147">
        <v>2019</v>
      </c>
      <c r="C1147" s="41">
        <v>43399</v>
      </c>
      <c r="D1147" t="s">
        <v>2041</v>
      </c>
      <c r="E1147" t="s">
        <v>219</v>
      </c>
      <c r="F1147" t="s">
        <v>1298</v>
      </c>
      <c r="G1147" t="s">
        <v>1299</v>
      </c>
      <c r="H1147" t="s">
        <v>1364</v>
      </c>
      <c r="I1147" t="s">
        <v>310</v>
      </c>
      <c r="J1147">
        <v>2</v>
      </c>
      <c r="L1147">
        <v>396.46</v>
      </c>
      <c r="M1147">
        <v>675.64</v>
      </c>
      <c r="N1147">
        <v>1008.17</v>
      </c>
      <c r="O1147">
        <v>1437.54</v>
      </c>
      <c r="P1147">
        <v>1</v>
      </c>
      <c r="Q1147">
        <v>1</v>
      </c>
      <c r="R1147">
        <v>0</v>
      </c>
      <c r="S1147">
        <v>200138</v>
      </c>
      <c r="T1147" t="b">
        <v>1</v>
      </c>
    </row>
    <row r="1148" spans="2:20" x14ac:dyDescent="0.35">
      <c r="B1148">
        <v>2019</v>
      </c>
      <c r="C1148" s="41">
        <v>43399</v>
      </c>
      <c r="D1148" t="s">
        <v>2041</v>
      </c>
      <c r="E1148" t="s">
        <v>219</v>
      </c>
      <c r="F1148" t="s">
        <v>1302</v>
      </c>
      <c r="G1148" t="s">
        <v>1299</v>
      </c>
      <c r="H1148" t="s">
        <v>1364</v>
      </c>
      <c r="I1148" t="s">
        <v>310</v>
      </c>
      <c r="J1148">
        <v>2</v>
      </c>
      <c r="L1148">
        <v>377.58</v>
      </c>
      <c r="M1148">
        <v>643.47</v>
      </c>
      <c r="N1148">
        <v>960.16</v>
      </c>
      <c r="O1148">
        <v>1369.08</v>
      </c>
      <c r="P1148">
        <v>1</v>
      </c>
      <c r="Q1148">
        <v>1</v>
      </c>
      <c r="R1148">
        <v>0</v>
      </c>
      <c r="S1148">
        <v>200138</v>
      </c>
      <c r="T1148" t="b">
        <v>1</v>
      </c>
    </row>
    <row r="1149" spans="2:20" x14ac:dyDescent="0.35">
      <c r="B1149">
        <v>2019</v>
      </c>
      <c r="C1149" s="41">
        <v>43399</v>
      </c>
      <c r="D1149" t="s">
        <v>2041</v>
      </c>
      <c r="E1149" t="s">
        <v>219</v>
      </c>
      <c r="F1149" t="s">
        <v>1301</v>
      </c>
      <c r="G1149" t="s">
        <v>1299</v>
      </c>
      <c r="H1149" t="s">
        <v>1364</v>
      </c>
      <c r="I1149" t="s">
        <v>310</v>
      </c>
      <c r="J1149">
        <v>2</v>
      </c>
      <c r="L1149">
        <v>418.62</v>
      </c>
      <c r="M1149">
        <v>713.41</v>
      </c>
      <c r="N1149">
        <v>1064.53</v>
      </c>
      <c r="O1149">
        <v>1517.9</v>
      </c>
      <c r="P1149">
        <v>1</v>
      </c>
      <c r="Q1149">
        <v>1</v>
      </c>
      <c r="R1149">
        <v>0</v>
      </c>
      <c r="S1149">
        <v>200138</v>
      </c>
      <c r="T1149" t="b">
        <v>1</v>
      </c>
    </row>
    <row r="1150" spans="2:20" x14ac:dyDescent="0.35">
      <c r="B1150">
        <v>2019</v>
      </c>
      <c r="C1150" s="41">
        <v>43399</v>
      </c>
      <c r="D1150" t="s">
        <v>2041</v>
      </c>
      <c r="E1150" t="s">
        <v>219</v>
      </c>
      <c r="F1150" t="s">
        <v>461</v>
      </c>
      <c r="G1150" t="s">
        <v>1299</v>
      </c>
      <c r="H1150" t="s">
        <v>1364</v>
      </c>
      <c r="I1150" t="s">
        <v>310</v>
      </c>
      <c r="J1150">
        <v>2</v>
      </c>
      <c r="L1150">
        <v>335.31</v>
      </c>
      <c r="M1150">
        <v>571.42999999999995</v>
      </c>
      <c r="N1150">
        <v>852.66</v>
      </c>
      <c r="O1150">
        <v>1215.8</v>
      </c>
      <c r="P1150">
        <v>1</v>
      </c>
      <c r="Q1150">
        <v>1</v>
      </c>
      <c r="R1150">
        <v>0</v>
      </c>
      <c r="S1150">
        <v>200138</v>
      </c>
      <c r="T1150" t="b">
        <v>1</v>
      </c>
    </row>
    <row r="1151" spans="2:20" x14ac:dyDescent="0.35">
      <c r="B1151">
        <v>2019</v>
      </c>
      <c r="C1151" s="41">
        <v>43399</v>
      </c>
      <c r="D1151" t="s">
        <v>2042</v>
      </c>
      <c r="E1151" t="s">
        <v>219</v>
      </c>
      <c r="F1151" t="s">
        <v>1302</v>
      </c>
      <c r="G1151" t="s">
        <v>1299</v>
      </c>
      <c r="H1151" t="s">
        <v>1364</v>
      </c>
      <c r="I1151" t="s">
        <v>310</v>
      </c>
      <c r="J1151">
        <v>2</v>
      </c>
      <c r="L1151">
        <v>377.58</v>
      </c>
      <c r="M1151">
        <v>643.47</v>
      </c>
      <c r="N1151">
        <v>960.16</v>
      </c>
      <c r="O1151">
        <v>1369.08</v>
      </c>
      <c r="P1151">
        <v>0</v>
      </c>
      <c r="Q1151">
        <v>3</v>
      </c>
      <c r="R1151">
        <v>0</v>
      </c>
      <c r="S1151">
        <v>200138</v>
      </c>
      <c r="T1151" t="b">
        <v>1</v>
      </c>
    </row>
    <row r="1152" spans="2:20" x14ac:dyDescent="0.35">
      <c r="B1152">
        <v>2019</v>
      </c>
      <c r="C1152" s="41">
        <v>43399</v>
      </c>
      <c r="D1152" t="s">
        <v>2042</v>
      </c>
      <c r="E1152" t="s">
        <v>219</v>
      </c>
      <c r="F1152" t="s">
        <v>1298</v>
      </c>
      <c r="G1152" t="s">
        <v>1299</v>
      </c>
      <c r="H1152" t="s">
        <v>1364</v>
      </c>
      <c r="I1152" t="s">
        <v>310</v>
      </c>
      <c r="J1152">
        <v>2</v>
      </c>
      <c r="L1152">
        <v>396.46</v>
      </c>
      <c r="M1152">
        <v>675.64</v>
      </c>
      <c r="N1152">
        <v>1008.17</v>
      </c>
      <c r="O1152">
        <v>1437.54</v>
      </c>
      <c r="P1152">
        <v>0</v>
      </c>
      <c r="Q1152">
        <v>3</v>
      </c>
      <c r="R1152">
        <v>0</v>
      </c>
      <c r="S1152">
        <v>200138</v>
      </c>
      <c r="T1152" t="b">
        <v>1</v>
      </c>
    </row>
    <row r="1153" spans="2:20" x14ac:dyDescent="0.35">
      <c r="B1153">
        <v>2019</v>
      </c>
      <c r="C1153" s="41">
        <v>43399</v>
      </c>
      <c r="D1153" t="s">
        <v>2042</v>
      </c>
      <c r="E1153" t="s">
        <v>219</v>
      </c>
      <c r="F1153" t="s">
        <v>1301</v>
      </c>
      <c r="G1153" t="s">
        <v>1299</v>
      </c>
      <c r="H1153" t="s">
        <v>1364</v>
      </c>
      <c r="I1153" t="s">
        <v>310</v>
      </c>
      <c r="J1153">
        <v>2</v>
      </c>
      <c r="L1153">
        <v>418.62</v>
      </c>
      <c r="M1153">
        <v>713.41</v>
      </c>
      <c r="N1153">
        <v>1064.53</v>
      </c>
      <c r="O1153">
        <v>1517.9</v>
      </c>
      <c r="P1153">
        <v>0</v>
      </c>
      <c r="Q1153">
        <v>3</v>
      </c>
      <c r="R1153">
        <v>0</v>
      </c>
      <c r="S1153">
        <v>200138</v>
      </c>
      <c r="T1153" t="b">
        <v>1</v>
      </c>
    </row>
    <row r="1154" spans="2:20" x14ac:dyDescent="0.35">
      <c r="B1154">
        <v>2019</v>
      </c>
      <c r="C1154" s="41">
        <v>43399</v>
      </c>
      <c r="D1154" t="s">
        <v>2042</v>
      </c>
      <c r="E1154" t="s">
        <v>219</v>
      </c>
      <c r="F1154" t="s">
        <v>461</v>
      </c>
      <c r="G1154" t="s">
        <v>1299</v>
      </c>
      <c r="H1154" t="s">
        <v>1364</v>
      </c>
      <c r="I1154" t="s">
        <v>310</v>
      </c>
      <c r="J1154">
        <v>2</v>
      </c>
      <c r="L1154">
        <v>335.31</v>
      </c>
      <c r="M1154">
        <v>571.42999999999995</v>
      </c>
      <c r="N1154">
        <v>852.66</v>
      </c>
      <c r="O1154">
        <v>1215.8</v>
      </c>
      <c r="P1154">
        <v>0</v>
      </c>
      <c r="Q1154">
        <v>3</v>
      </c>
      <c r="R1154">
        <v>0</v>
      </c>
      <c r="S1154">
        <v>200138</v>
      </c>
      <c r="T1154" t="b">
        <v>1</v>
      </c>
    </row>
    <row r="1155" spans="2:20" x14ac:dyDescent="0.35">
      <c r="B1155">
        <v>2019</v>
      </c>
      <c r="C1155" s="41">
        <v>43398</v>
      </c>
      <c r="D1155" t="s">
        <v>2043</v>
      </c>
      <c r="E1155" t="s">
        <v>219</v>
      </c>
      <c r="F1155" t="s">
        <v>1301</v>
      </c>
      <c r="G1155" t="s">
        <v>1381</v>
      </c>
      <c r="H1155" t="s">
        <v>2044</v>
      </c>
      <c r="I1155" t="s">
        <v>310</v>
      </c>
      <c r="J1155">
        <v>2</v>
      </c>
      <c r="L1155">
        <v>359.45</v>
      </c>
      <c r="M1155">
        <v>612.58000000000004</v>
      </c>
      <c r="N1155">
        <v>914.06999999999903</v>
      </c>
      <c r="O1155">
        <v>1303.3599999999999</v>
      </c>
      <c r="P1155">
        <v>0</v>
      </c>
      <c r="Q1155">
        <v>3</v>
      </c>
      <c r="R1155">
        <v>0</v>
      </c>
      <c r="S1155">
        <v>100283</v>
      </c>
      <c r="T1155" t="b">
        <v>1</v>
      </c>
    </row>
    <row r="1156" spans="2:20" x14ac:dyDescent="0.35">
      <c r="B1156">
        <v>2019</v>
      </c>
      <c r="C1156" s="41">
        <v>43398</v>
      </c>
      <c r="D1156" t="s">
        <v>2045</v>
      </c>
      <c r="E1156" t="s">
        <v>219</v>
      </c>
      <c r="F1156" t="s">
        <v>1389</v>
      </c>
      <c r="G1156" t="s">
        <v>1381</v>
      </c>
      <c r="H1156" t="s">
        <v>1406</v>
      </c>
      <c r="I1156" t="s">
        <v>842</v>
      </c>
      <c r="J1156">
        <v>2</v>
      </c>
      <c r="L1156">
        <v>279.61</v>
      </c>
      <c r="M1156">
        <v>476.5</v>
      </c>
      <c r="N1156">
        <v>711.02</v>
      </c>
      <c r="O1156">
        <v>1013.83999999999</v>
      </c>
      <c r="P1156">
        <v>0</v>
      </c>
      <c r="Q1156">
        <v>3</v>
      </c>
      <c r="R1156">
        <v>0</v>
      </c>
      <c r="S1156">
        <v>100283</v>
      </c>
      <c r="T1156" t="b">
        <v>1</v>
      </c>
    </row>
    <row r="1157" spans="2:20" x14ac:dyDescent="0.35">
      <c r="B1157">
        <v>2019</v>
      </c>
      <c r="C1157" s="41">
        <v>43398</v>
      </c>
      <c r="D1157" t="s">
        <v>2046</v>
      </c>
      <c r="E1157" t="s">
        <v>219</v>
      </c>
      <c r="F1157" t="s">
        <v>1301</v>
      </c>
      <c r="G1157" t="s">
        <v>1381</v>
      </c>
      <c r="H1157" t="s">
        <v>2047</v>
      </c>
      <c r="I1157" t="s">
        <v>310</v>
      </c>
      <c r="J1157">
        <v>2</v>
      </c>
      <c r="L1157">
        <v>380.72</v>
      </c>
      <c r="M1157">
        <v>648.82000000000005</v>
      </c>
      <c r="N1157">
        <v>968.14</v>
      </c>
      <c r="O1157">
        <v>1380.46</v>
      </c>
      <c r="P1157">
        <v>0</v>
      </c>
      <c r="Q1157">
        <v>3</v>
      </c>
      <c r="R1157">
        <v>0</v>
      </c>
      <c r="S1157">
        <v>100283</v>
      </c>
      <c r="T1157" t="b">
        <v>1</v>
      </c>
    </row>
    <row r="1158" spans="2:20" x14ac:dyDescent="0.35">
      <c r="B1158">
        <v>2019</v>
      </c>
      <c r="C1158" s="41">
        <v>43398</v>
      </c>
      <c r="D1158" t="s">
        <v>2048</v>
      </c>
      <c r="E1158" t="s">
        <v>219</v>
      </c>
      <c r="F1158" t="s">
        <v>1389</v>
      </c>
      <c r="G1158" t="s">
        <v>1381</v>
      </c>
      <c r="H1158" t="s">
        <v>2049</v>
      </c>
      <c r="I1158" t="s">
        <v>1427</v>
      </c>
      <c r="J1158">
        <v>2</v>
      </c>
      <c r="L1158">
        <v>190.17</v>
      </c>
      <c r="M1158">
        <v>324.08999999999997</v>
      </c>
      <c r="N1158">
        <v>483.6</v>
      </c>
      <c r="O1158">
        <v>689.56</v>
      </c>
      <c r="P1158">
        <v>0</v>
      </c>
      <c r="Q1158">
        <v>3</v>
      </c>
      <c r="R1158">
        <v>0</v>
      </c>
      <c r="S1158">
        <v>100283</v>
      </c>
      <c r="T1158" t="b">
        <v>1</v>
      </c>
    </row>
    <row r="1159" spans="2:20" x14ac:dyDescent="0.35">
      <c r="B1159">
        <v>2019</v>
      </c>
      <c r="C1159" s="41">
        <v>43398</v>
      </c>
      <c r="D1159" t="s">
        <v>2050</v>
      </c>
      <c r="E1159" t="s">
        <v>219</v>
      </c>
      <c r="F1159" t="s">
        <v>1301</v>
      </c>
      <c r="G1159" t="s">
        <v>1381</v>
      </c>
      <c r="H1159" t="s">
        <v>2051</v>
      </c>
      <c r="I1159" t="s">
        <v>310</v>
      </c>
      <c r="J1159">
        <v>2</v>
      </c>
      <c r="L1159">
        <v>406.97</v>
      </c>
      <c r="M1159">
        <v>693.56</v>
      </c>
      <c r="N1159">
        <v>1034.8899999999901</v>
      </c>
      <c r="O1159">
        <v>1475.6399999999901</v>
      </c>
      <c r="P1159">
        <v>0</v>
      </c>
      <c r="Q1159">
        <v>3</v>
      </c>
      <c r="R1159">
        <v>0</v>
      </c>
      <c r="S1159">
        <v>100283</v>
      </c>
      <c r="T1159" t="b">
        <v>1</v>
      </c>
    </row>
    <row r="1160" spans="2:20" x14ac:dyDescent="0.35">
      <c r="B1160">
        <v>2019</v>
      </c>
      <c r="C1160" s="41">
        <v>43398</v>
      </c>
      <c r="D1160" t="s">
        <v>2052</v>
      </c>
      <c r="E1160" t="s">
        <v>219</v>
      </c>
      <c r="F1160" t="s">
        <v>1301</v>
      </c>
      <c r="G1160" t="s">
        <v>1381</v>
      </c>
      <c r="H1160" t="s">
        <v>2049</v>
      </c>
      <c r="I1160" t="s">
        <v>1427</v>
      </c>
      <c r="J1160">
        <v>2</v>
      </c>
      <c r="L1160">
        <v>176.37</v>
      </c>
      <c r="M1160">
        <v>300.57</v>
      </c>
      <c r="N1160">
        <v>448.49</v>
      </c>
      <c r="O1160">
        <v>639.5</v>
      </c>
      <c r="P1160">
        <v>0</v>
      </c>
      <c r="Q1160">
        <v>3</v>
      </c>
      <c r="R1160">
        <v>0</v>
      </c>
      <c r="S1160">
        <v>100283</v>
      </c>
      <c r="T1160" t="b">
        <v>1</v>
      </c>
    </row>
    <row r="1161" spans="2:20" x14ac:dyDescent="0.35">
      <c r="B1161">
        <v>2019</v>
      </c>
      <c r="C1161" s="41">
        <v>43398</v>
      </c>
      <c r="D1161" t="s">
        <v>2053</v>
      </c>
      <c r="E1161" t="s">
        <v>219</v>
      </c>
      <c r="F1161" t="s">
        <v>1389</v>
      </c>
      <c r="G1161" t="s">
        <v>1381</v>
      </c>
      <c r="H1161" t="s">
        <v>1382</v>
      </c>
      <c r="I1161" t="s">
        <v>310</v>
      </c>
      <c r="J1161">
        <v>2</v>
      </c>
      <c r="L1161">
        <v>465.47</v>
      </c>
      <c r="M1161">
        <v>793.25</v>
      </c>
      <c r="N1161">
        <v>1183.6500000000001</v>
      </c>
      <c r="O1161">
        <v>1687.76</v>
      </c>
      <c r="P1161">
        <v>0</v>
      </c>
      <c r="Q1161">
        <v>3</v>
      </c>
      <c r="R1161">
        <v>0</v>
      </c>
      <c r="S1161">
        <v>100283</v>
      </c>
      <c r="T1161" t="b">
        <v>1</v>
      </c>
    </row>
    <row r="1162" spans="2:20" x14ac:dyDescent="0.35">
      <c r="B1162">
        <v>2019</v>
      </c>
      <c r="C1162" s="41">
        <v>43398</v>
      </c>
      <c r="D1162" t="s">
        <v>965</v>
      </c>
      <c r="E1162" t="s">
        <v>219</v>
      </c>
      <c r="F1162" t="s">
        <v>1301</v>
      </c>
      <c r="G1162" t="s">
        <v>1381</v>
      </c>
      <c r="H1162" t="s">
        <v>2054</v>
      </c>
      <c r="I1162" t="s">
        <v>310</v>
      </c>
      <c r="J1162">
        <v>2</v>
      </c>
      <c r="L1162">
        <v>535.04999999999995</v>
      </c>
      <c r="M1162">
        <v>911.82</v>
      </c>
      <c r="N1162">
        <v>1360.58</v>
      </c>
      <c r="O1162">
        <v>1940.04</v>
      </c>
      <c r="P1162">
        <v>0</v>
      </c>
      <c r="Q1162">
        <v>3</v>
      </c>
      <c r="R1162">
        <v>0</v>
      </c>
      <c r="S1162">
        <v>100284</v>
      </c>
      <c r="T1162" t="b">
        <v>1</v>
      </c>
    </row>
    <row r="1163" spans="2:20" x14ac:dyDescent="0.35">
      <c r="B1163">
        <v>2019</v>
      </c>
      <c r="C1163" s="41">
        <v>43398</v>
      </c>
      <c r="D1163" t="s">
        <v>965</v>
      </c>
      <c r="E1163" t="s">
        <v>219</v>
      </c>
      <c r="F1163" t="s">
        <v>461</v>
      </c>
      <c r="G1163" t="s">
        <v>1381</v>
      </c>
      <c r="H1163" t="s">
        <v>2054</v>
      </c>
      <c r="I1163" t="s">
        <v>310</v>
      </c>
      <c r="J1163">
        <v>2</v>
      </c>
      <c r="L1163">
        <v>560.77</v>
      </c>
      <c r="M1163">
        <v>955.67</v>
      </c>
      <c r="N1163">
        <v>1426.01</v>
      </c>
      <c r="O1163">
        <v>2033.34</v>
      </c>
      <c r="P1163">
        <v>0</v>
      </c>
      <c r="Q1163">
        <v>3</v>
      </c>
      <c r="R1163">
        <v>0</v>
      </c>
      <c r="S1163">
        <v>100284</v>
      </c>
      <c r="T1163" t="b">
        <v>1</v>
      </c>
    </row>
    <row r="1164" spans="2:20" x14ac:dyDescent="0.35">
      <c r="B1164">
        <v>2019</v>
      </c>
      <c r="C1164" s="41">
        <v>43398</v>
      </c>
      <c r="D1164" t="s">
        <v>965</v>
      </c>
      <c r="E1164" t="s">
        <v>219</v>
      </c>
      <c r="F1164" t="s">
        <v>458</v>
      </c>
      <c r="G1164" t="s">
        <v>1381</v>
      </c>
      <c r="H1164" t="s">
        <v>2054</v>
      </c>
      <c r="I1164" t="s">
        <v>310</v>
      </c>
      <c r="J1164">
        <v>2</v>
      </c>
      <c r="L1164">
        <v>590.61</v>
      </c>
      <c r="M1164">
        <v>1006.52</v>
      </c>
      <c r="N1164">
        <v>1501.88</v>
      </c>
      <c r="O1164">
        <v>2141.52</v>
      </c>
      <c r="P1164">
        <v>0</v>
      </c>
      <c r="Q1164">
        <v>3</v>
      </c>
      <c r="R1164">
        <v>0</v>
      </c>
      <c r="S1164">
        <v>100284</v>
      </c>
      <c r="T1164" t="b">
        <v>1</v>
      </c>
    </row>
    <row r="1165" spans="2:20" x14ac:dyDescent="0.35">
      <c r="B1165">
        <v>2019</v>
      </c>
      <c r="C1165" s="41">
        <v>43398</v>
      </c>
      <c r="D1165" t="s">
        <v>957</v>
      </c>
      <c r="E1165" t="s">
        <v>219</v>
      </c>
      <c r="F1165" t="s">
        <v>1309</v>
      </c>
      <c r="G1165" t="s">
        <v>1381</v>
      </c>
      <c r="H1165" t="s">
        <v>2055</v>
      </c>
      <c r="I1165" t="s">
        <v>842</v>
      </c>
      <c r="J1165">
        <v>2</v>
      </c>
      <c r="L1165">
        <v>374.39</v>
      </c>
      <c r="M1165">
        <v>638.03</v>
      </c>
      <c r="N1165">
        <v>952.05</v>
      </c>
      <c r="O1165">
        <v>1357.52</v>
      </c>
      <c r="P1165">
        <v>0</v>
      </c>
      <c r="Q1165">
        <v>3</v>
      </c>
      <c r="R1165">
        <v>0</v>
      </c>
      <c r="S1165">
        <v>100284</v>
      </c>
      <c r="T1165" t="b">
        <v>1</v>
      </c>
    </row>
    <row r="1166" spans="2:20" x14ac:dyDescent="0.35">
      <c r="B1166">
        <v>2019</v>
      </c>
      <c r="C1166" s="41">
        <v>43398</v>
      </c>
      <c r="D1166" t="s">
        <v>957</v>
      </c>
      <c r="E1166" t="s">
        <v>219</v>
      </c>
      <c r="F1166" t="s">
        <v>1302</v>
      </c>
      <c r="G1166" t="s">
        <v>1381</v>
      </c>
      <c r="H1166" t="s">
        <v>2055</v>
      </c>
      <c r="I1166" t="s">
        <v>842</v>
      </c>
      <c r="J1166">
        <v>2</v>
      </c>
      <c r="L1166">
        <v>369.7</v>
      </c>
      <c r="M1166">
        <v>630.04999999999995</v>
      </c>
      <c r="N1166">
        <v>940.13</v>
      </c>
      <c r="O1166">
        <v>1340.52</v>
      </c>
      <c r="P1166">
        <v>0</v>
      </c>
      <c r="Q1166">
        <v>3</v>
      </c>
      <c r="R1166">
        <v>0</v>
      </c>
      <c r="S1166">
        <v>100284</v>
      </c>
      <c r="T1166" t="b">
        <v>1</v>
      </c>
    </row>
    <row r="1167" spans="2:20" x14ac:dyDescent="0.35">
      <c r="B1167">
        <v>2019</v>
      </c>
      <c r="C1167" s="41">
        <v>43398</v>
      </c>
      <c r="D1167" t="s">
        <v>957</v>
      </c>
      <c r="E1167" t="s">
        <v>219</v>
      </c>
      <c r="F1167" t="s">
        <v>1307</v>
      </c>
      <c r="G1167" t="s">
        <v>1381</v>
      </c>
      <c r="H1167" t="s">
        <v>2055</v>
      </c>
      <c r="I1167" t="s">
        <v>842</v>
      </c>
      <c r="J1167">
        <v>2</v>
      </c>
      <c r="L1167">
        <v>406.57</v>
      </c>
      <c r="M1167">
        <v>692.88</v>
      </c>
      <c r="N1167">
        <v>1033.8799999999901</v>
      </c>
      <c r="O1167">
        <v>1474.19999999999</v>
      </c>
      <c r="P1167">
        <v>0</v>
      </c>
      <c r="Q1167">
        <v>3</v>
      </c>
      <c r="R1167">
        <v>0</v>
      </c>
      <c r="S1167">
        <v>100284</v>
      </c>
      <c r="T1167" t="b">
        <v>1</v>
      </c>
    </row>
    <row r="1168" spans="2:20" x14ac:dyDescent="0.35">
      <c r="B1168">
        <v>2019</v>
      </c>
      <c r="C1168" s="41">
        <v>43398</v>
      </c>
      <c r="D1168" t="s">
        <v>957</v>
      </c>
      <c r="E1168" t="s">
        <v>219</v>
      </c>
      <c r="F1168" t="s">
        <v>1389</v>
      </c>
      <c r="G1168" t="s">
        <v>1381</v>
      </c>
      <c r="H1168" t="s">
        <v>2055</v>
      </c>
      <c r="I1168" t="s">
        <v>842</v>
      </c>
      <c r="J1168">
        <v>2</v>
      </c>
      <c r="L1168">
        <v>305.66000000000003</v>
      </c>
      <c r="M1168">
        <v>520.9</v>
      </c>
      <c r="N1168">
        <v>777.27</v>
      </c>
      <c r="O1168">
        <v>1108.3</v>
      </c>
      <c r="P1168">
        <v>0</v>
      </c>
      <c r="Q1168">
        <v>3</v>
      </c>
      <c r="R1168">
        <v>0</v>
      </c>
      <c r="S1168">
        <v>100284</v>
      </c>
      <c r="T1168" t="b">
        <v>1</v>
      </c>
    </row>
    <row r="1169" spans="2:20" x14ac:dyDescent="0.35">
      <c r="B1169">
        <v>2019</v>
      </c>
      <c r="C1169" s="41">
        <v>43398</v>
      </c>
      <c r="D1169" t="s">
        <v>957</v>
      </c>
      <c r="E1169" t="s">
        <v>219</v>
      </c>
      <c r="F1169" t="s">
        <v>1390</v>
      </c>
      <c r="G1169" t="s">
        <v>1381</v>
      </c>
      <c r="H1169" t="s">
        <v>2055</v>
      </c>
      <c r="I1169" t="s">
        <v>842</v>
      </c>
      <c r="J1169">
        <v>2</v>
      </c>
      <c r="L1169">
        <v>453.82</v>
      </c>
      <c r="M1169">
        <v>773.39</v>
      </c>
      <c r="N1169">
        <v>1154.03</v>
      </c>
      <c r="O1169">
        <v>1645.52</v>
      </c>
      <c r="P1169">
        <v>0</v>
      </c>
      <c r="Q1169">
        <v>3</v>
      </c>
      <c r="R1169">
        <v>0</v>
      </c>
      <c r="S1169">
        <v>100284</v>
      </c>
      <c r="T1169" t="b">
        <v>1</v>
      </c>
    </row>
    <row r="1170" spans="2:20" x14ac:dyDescent="0.35">
      <c r="B1170">
        <v>2019</v>
      </c>
      <c r="C1170" s="41">
        <v>43398</v>
      </c>
      <c r="D1170" t="s">
        <v>957</v>
      </c>
      <c r="E1170" t="s">
        <v>219</v>
      </c>
      <c r="F1170" t="s">
        <v>1301</v>
      </c>
      <c r="G1170" t="s">
        <v>1381</v>
      </c>
      <c r="H1170" t="s">
        <v>2055</v>
      </c>
      <c r="I1170" t="s">
        <v>842</v>
      </c>
      <c r="J1170">
        <v>2</v>
      </c>
      <c r="L1170">
        <v>359.3</v>
      </c>
      <c r="M1170">
        <v>612.30999999999995</v>
      </c>
      <c r="N1170">
        <v>913.66</v>
      </c>
      <c r="O1170">
        <v>1302.78</v>
      </c>
      <c r="P1170">
        <v>0</v>
      </c>
      <c r="Q1170">
        <v>3</v>
      </c>
      <c r="R1170">
        <v>0</v>
      </c>
      <c r="S1170">
        <v>100284</v>
      </c>
      <c r="T1170" t="b">
        <v>1</v>
      </c>
    </row>
    <row r="1171" spans="2:20" x14ac:dyDescent="0.35">
      <c r="B1171">
        <v>2019</v>
      </c>
      <c r="C1171" s="41">
        <v>43398</v>
      </c>
      <c r="D1171" t="s">
        <v>957</v>
      </c>
      <c r="E1171" t="s">
        <v>219</v>
      </c>
      <c r="F1171" t="s">
        <v>1311</v>
      </c>
      <c r="G1171" t="s">
        <v>1381</v>
      </c>
      <c r="H1171" t="s">
        <v>2055</v>
      </c>
      <c r="I1171" t="s">
        <v>842</v>
      </c>
      <c r="J1171">
        <v>2</v>
      </c>
      <c r="L1171">
        <v>350.86</v>
      </c>
      <c r="M1171">
        <v>597.92999999999995</v>
      </c>
      <c r="N1171">
        <v>892.21</v>
      </c>
      <c r="O1171">
        <v>1272.2</v>
      </c>
      <c r="P1171">
        <v>0</v>
      </c>
      <c r="Q1171">
        <v>3</v>
      </c>
      <c r="R1171">
        <v>0</v>
      </c>
      <c r="S1171">
        <v>100284</v>
      </c>
      <c r="T1171" t="b">
        <v>1</v>
      </c>
    </row>
    <row r="1172" spans="2:20" x14ac:dyDescent="0.35">
      <c r="B1172">
        <v>2019</v>
      </c>
      <c r="C1172" s="41">
        <v>43398</v>
      </c>
      <c r="D1172" t="s">
        <v>957</v>
      </c>
      <c r="E1172" t="s">
        <v>219</v>
      </c>
      <c r="F1172" t="s">
        <v>464</v>
      </c>
      <c r="G1172" t="s">
        <v>1381</v>
      </c>
      <c r="H1172" t="s">
        <v>2055</v>
      </c>
      <c r="I1172" t="s">
        <v>842</v>
      </c>
      <c r="J1172">
        <v>2</v>
      </c>
      <c r="L1172">
        <v>348.29</v>
      </c>
      <c r="M1172">
        <v>593.55999999999995</v>
      </c>
      <c r="N1172">
        <v>885.69</v>
      </c>
      <c r="O1172">
        <v>1262.9000000000001</v>
      </c>
      <c r="P1172">
        <v>0</v>
      </c>
      <c r="Q1172">
        <v>3</v>
      </c>
      <c r="R1172">
        <v>0</v>
      </c>
      <c r="S1172">
        <v>100284</v>
      </c>
      <c r="T1172" t="b">
        <v>1</v>
      </c>
    </row>
    <row r="1173" spans="2:20" x14ac:dyDescent="0.35">
      <c r="B1173">
        <v>2019</v>
      </c>
      <c r="C1173" s="41">
        <v>43398</v>
      </c>
      <c r="D1173" t="s">
        <v>957</v>
      </c>
      <c r="E1173" t="s">
        <v>219</v>
      </c>
      <c r="F1173" t="s">
        <v>463</v>
      </c>
      <c r="G1173" t="s">
        <v>1381</v>
      </c>
      <c r="H1173" t="s">
        <v>2055</v>
      </c>
      <c r="I1173" t="s">
        <v>842</v>
      </c>
      <c r="J1173">
        <v>2</v>
      </c>
      <c r="L1173">
        <v>469.87</v>
      </c>
      <c r="M1173">
        <v>800.75</v>
      </c>
      <c r="N1173">
        <v>1194.8599999999999</v>
      </c>
      <c r="O1173">
        <v>1703.74</v>
      </c>
      <c r="P1173">
        <v>0</v>
      </c>
      <c r="Q1173">
        <v>3</v>
      </c>
      <c r="R1173">
        <v>0</v>
      </c>
      <c r="S1173">
        <v>100284</v>
      </c>
      <c r="T1173" t="b">
        <v>1</v>
      </c>
    </row>
    <row r="1174" spans="2:20" x14ac:dyDescent="0.35">
      <c r="B1174">
        <v>2019</v>
      </c>
      <c r="C1174" s="41">
        <v>43398</v>
      </c>
      <c r="D1174" t="s">
        <v>957</v>
      </c>
      <c r="E1174" t="s">
        <v>219</v>
      </c>
      <c r="F1174" t="s">
        <v>460</v>
      </c>
      <c r="G1174" t="s">
        <v>1381</v>
      </c>
      <c r="H1174" t="s">
        <v>2055</v>
      </c>
      <c r="I1174" t="s">
        <v>842</v>
      </c>
      <c r="J1174">
        <v>2</v>
      </c>
      <c r="L1174">
        <v>365.17</v>
      </c>
      <c r="M1174">
        <v>622.30999999999995</v>
      </c>
      <c r="N1174">
        <v>928.6</v>
      </c>
      <c r="O1174">
        <v>1324.08</v>
      </c>
      <c r="P1174">
        <v>0</v>
      </c>
      <c r="Q1174">
        <v>3</v>
      </c>
      <c r="R1174">
        <v>0</v>
      </c>
      <c r="S1174">
        <v>100284</v>
      </c>
      <c r="T1174" t="b">
        <v>1</v>
      </c>
    </row>
    <row r="1175" spans="2:20" x14ac:dyDescent="0.35">
      <c r="B1175">
        <v>2019</v>
      </c>
      <c r="C1175" s="41">
        <v>43398</v>
      </c>
      <c r="D1175" t="s">
        <v>957</v>
      </c>
      <c r="E1175" t="s">
        <v>219</v>
      </c>
      <c r="F1175" t="s">
        <v>459</v>
      </c>
      <c r="G1175" t="s">
        <v>1381</v>
      </c>
      <c r="H1175" t="s">
        <v>2055</v>
      </c>
      <c r="I1175" t="s">
        <v>842</v>
      </c>
      <c r="J1175">
        <v>2</v>
      </c>
      <c r="L1175">
        <v>415.56</v>
      </c>
      <c r="M1175">
        <v>708.2</v>
      </c>
      <c r="N1175">
        <v>1056.76</v>
      </c>
      <c r="O1175">
        <v>1506.82</v>
      </c>
      <c r="P1175">
        <v>0</v>
      </c>
      <c r="Q1175">
        <v>3</v>
      </c>
      <c r="R1175">
        <v>0</v>
      </c>
      <c r="S1175">
        <v>100284</v>
      </c>
      <c r="T1175" t="b">
        <v>1</v>
      </c>
    </row>
    <row r="1176" spans="2:20" x14ac:dyDescent="0.35">
      <c r="B1176">
        <v>2019</v>
      </c>
      <c r="C1176" s="41">
        <v>43398</v>
      </c>
      <c r="D1176" t="s">
        <v>957</v>
      </c>
      <c r="E1176" t="s">
        <v>219</v>
      </c>
      <c r="F1176" t="s">
        <v>461</v>
      </c>
      <c r="G1176" t="s">
        <v>1381</v>
      </c>
      <c r="H1176" t="s">
        <v>2055</v>
      </c>
      <c r="I1176" t="s">
        <v>842</v>
      </c>
      <c r="J1176">
        <v>2</v>
      </c>
      <c r="L1176">
        <v>376.58</v>
      </c>
      <c r="M1176">
        <v>641.76</v>
      </c>
      <c r="N1176">
        <v>957.61999999999898</v>
      </c>
      <c r="O1176">
        <v>1365.46</v>
      </c>
      <c r="P1176">
        <v>0</v>
      </c>
      <c r="Q1176">
        <v>3</v>
      </c>
      <c r="R1176">
        <v>0</v>
      </c>
      <c r="S1176">
        <v>100284</v>
      </c>
      <c r="T1176" t="b">
        <v>1</v>
      </c>
    </row>
    <row r="1177" spans="2:20" x14ac:dyDescent="0.35">
      <c r="B1177">
        <v>2019</v>
      </c>
      <c r="C1177" s="41">
        <v>43398</v>
      </c>
      <c r="D1177" t="s">
        <v>957</v>
      </c>
      <c r="E1177" t="s">
        <v>219</v>
      </c>
      <c r="F1177" t="s">
        <v>458</v>
      </c>
      <c r="G1177" t="s">
        <v>1381</v>
      </c>
      <c r="H1177" t="s">
        <v>2055</v>
      </c>
      <c r="I1177" t="s">
        <v>842</v>
      </c>
      <c r="J1177">
        <v>2</v>
      </c>
      <c r="L1177">
        <v>396.62</v>
      </c>
      <c r="M1177">
        <v>675.91</v>
      </c>
      <c r="N1177">
        <v>1008.56</v>
      </c>
      <c r="O1177">
        <v>1438.1</v>
      </c>
      <c r="P1177">
        <v>0</v>
      </c>
      <c r="Q1177">
        <v>3</v>
      </c>
      <c r="R1177">
        <v>0</v>
      </c>
      <c r="S1177">
        <v>100284</v>
      </c>
      <c r="T1177" t="b">
        <v>1</v>
      </c>
    </row>
    <row r="1178" spans="2:20" x14ac:dyDescent="0.35">
      <c r="B1178">
        <v>2019</v>
      </c>
      <c r="C1178" s="41">
        <v>43398</v>
      </c>
      <c r="D1178" t="s">
        <v>950</v>
      </c>
      <c r="E1178" t="s">
        <v>219</v>
      </c>
      <c r="F1178" t="s">
        <v>1302</v>
      </c>
      <c r="G1178" t="s">
        <v>1381</v>
      </c>
      <c r="H1178" t="s">
        <v>2056</v>
      </c>
      <c r="I1178" t="s">
        <v>842</v>
      </c>
      <c r="J1178">
        <v>2</v>
      </c>
      <c r="L1178">
        <v>360.27</v>
      </c>
      <c r="M1178">
        <v>613.97</v>
      </c>
      <c r="N1178">
        <v>916.14</v>
      </c>
      <c r="O1178">
        <v>1306.32</v>
      </c>
      <c r="P1178">
        <v>0</v>
      </c>
      <c r="Q1178">
        <v>3</v>
      </c>
      <c r="R1178">
        <v>0</v>
      </c>
      <c r="S1178">
        <v>100284</v>
      </c>
      <c r="T1178" t="b">
        <v>1</v>
      </c>
    </row>
    <row r="1179" spans="2:20" x14ac:dyDescent="0.35">
      <c r="B1179">
        <v>2019</v>
      </c>
      <c r="C1179" s="41">
        <v>43398</v>
      </c>
      <c r="D1179" t="s">
        <v>950</v>
      </c>
      <c r="E1179" t="s">
        <v>219</v>
      </c>
      <c r="F1179" t="s">
        <v>1309</v>
      </c>
      <c r="G1179" t="s">
        <v>1381</v>
      </c>
      <c r="H1179" t="s">
        <v>2056</v>
      </c>
      <c r="I1179" t="s">
        <v>842</v>
      </c>
      <c r="J1179">
        <v>2</v>
      </c>
      <c r="L1179">
        <v>364.83</v>
      </c>
      <c r="M1179">
        <v>621.74</v>
      </c>
      <c r="N1179">
        <v>927.74</v>
      </c>
      <c r="O1179">
        <v>1322.86</v>
      </c>
      <c r="P1179">
        <v>0</v>
      </c>
      <c r="Q1179">
        <v>3</v>
      </c>
      <c r="R1179">
        <v>0</v>
      </c>
      <c r="S1179">
        <v>100284</v>
      </c>
      <c r="T1179" t="b">
        <v>1</v>
      </c>
    </row>
    <row r="1180" spans="2:20" x14ac:dyDescent="0.35">
      <c r="B1180">
        <v>2019</v>
      </c>
      <c r="C1180" s="41">
        <v>43398</v>
      </c>
      <c r="D1180" t="s">
        <v>950</v>
      </c>
      <c r="E1180" t="s">
        <v>219</v>
      </c>
      <c r="F1180" t="s">
        <v>1307</v>
      </c>
      <c r="G1180" t="s">
        <v>1381</v>
      </c>
      <c r="H1180" t="s">
        <v>2056</v>
      </c>
      <c r="I1180" t="s">
        <v>842</v>
      </c>
      <c r="J1180">
        <v>2</v>
      </c>
      <c r="L1180">
        <v>396.2</v>
      </c>
      <c r="M1180">
        <v>675.2</v>
      </c>
      <c r="N1180">
        <v>1007.51</v>
      </c>
      <c r="O1180">
        <v>1436.6</v>
      </c>
      <c r="P1180">
        <v>0</v>
      </c>
      <c r="Q1180">
        <v>3</v>
      </c>
      <c r="R1180">
        <v>0</v>
      </c>
      <c r="S1180">
        <v>100284</v>
      </c>
      <c r="T1180" t="b">
        <v>1</v>
      </c>
    </row>
    <row r="1181" spans="2:20" x14ac:dyDescent="0.35">
      <c r="B1181">
        <v>2019</v>
      </c>
      <c r="C1181" s="41">
        <v>43398</v>
      </c>
      <c r="D1181" t="s">
        <v>950</v>
      </c>
      <c r="E1181" t="s">
        <v>219</v>
      </c>
      <c r="F1181" t="s">
        <v>1389</v>
      </c>
      <c r="G1181" t="s">
        <v>1381</v>
      </c>
      <c r="H1181" t="s">
        <v>2056</v>
      </c>
      <c r="I1181" t="s">
        <v>842</v>
      </c>
      <c r="J1181">
        <v>2</v>
      </c>
      <c r="L1181">
        <v>297.86</v>
      </c>
      <c r="M1181">
        <v>507.62</v>
      </c>
      <c r="N1181">
        <v>757.45</v>
      </c>
      <c r="O1181">
        <v>1080.04</v>
      </c>
      <c r="P1181">
        <v>0</v>
      </c>
      <c r="Q1181">
        <v>3</v>
      </c>
      <c r="R1181">
        <v>0</v>
      </c>
      <c r="S1181">
        <v>100284</v>
      </c>
      <c r="T1181" t="b">
        <v>1</v>
      </c>
    </row>
    <row r="1182" spans="2:20" x14ac:dyDescent="0.35">
      <c r="B1182">
        <v>2019</v>
      </c>
      <c r="C1182" s="41">
        <v>43398</v>
      </c>
      <c r="D1182" t="s">
        <v>950</v>
      </c>
      <c r="E1182" t="s">
        <v>219</v>
      </c>
      <c r="F1182" t="s">
        <v>1390</v>
      </c>
      <c r="G1182" t="s">
        <v>1381</v>
      </c>
      <c r="H1182" t="s">
        <v>2056</v>
      </c>
      <c r="I1182" t="s">
        <v>842</v>
      </c>
      <c r="J1182">
        <v>2</v>
      </c>
      <c r="L1182">
        <v>442.24</v>
      </c>
      <c r="M1182">
        <v>753.66</v>
      </c>
      <c r="N1182">
        <v>1124.57</v>
      </c>
      <c r="O1182">
        <v>1603.52</v>
      </c>
      <c r="P1182">
        <v>0</v>
      </c>
      <c r="Q1182">
        <v>3</v>
      </c>
      <c r="R1182">
        <v>0</v>
      </c>
      <c r="S1182">
        <v>100284</v>
      </c>
      <c r="T1182" t="b">
        <v>1</v>
      </c>
    </row>
    <row r="1183" spans="2:20" x14ac:dyDescent="0.35">
      <c r="B1183">
        <v>2019</v>
      </c>
      <c r="C1183" s="41">
        <v>43398</v>
      </c>
      <c r="D1183" t="s">
        <v>950</v>
      </c>
      <c r="E1183" t="s">
        <v>219</v>
      </c>
      <c r="F1183" t="s">
        <v>1301</v>
      </c>
      <c r="G1183" t="s">
        <v>1381</v>
      </c>
      <c r="H1183" t="s">
        <v>2056</v>
      </c>
      <c r="I1183" t="s">
        <v>842</v>
      </c>
      <c r="J1183">
        <v>2</v>
      </c>
      <c r="L1183">
        <v>350.13</v>
      </c>
      <c r="M1183">
        <v>596.67999999999995</v>
      </c>
      <c r="N1183">
        <v>890.35</v>
      </c>
      <c r="O1183">
        <v>1269.54</v>
      </c>
      <c r="P1183">
        <v>0</v>
      </c>
      <c r="Q1183">
        <v>3</v>
      </c>
      <c r="R1183">
        <v>0</v>
      </c>
      <c r="S1183">
        <v>100284</v>
      </c>
      <c r="T1183" t="b">
        <v>1</v>
      </c>
    </row>
    <row r="1184" spans="2:20" x14ac:dyDescent="0.35">
      <c r="B1184">
        <v>2019</v>
      </c>
      <c r="C1184" s="41">
        <v>43398</v>
      </c>
      <c r="D1184" t="s">
        <v>950</v>
      </c>
      <c r="E1184" t="s">
        <v>219</v>
      </c>
      <c r="F1184" t="s">
        <v>1311</v>
      </c>
      <c r="G1184" t="s">
        <v>1381</v>
      </c>
      <c r="H1184" t="s">
        <v>2056</v>
      </c>
      <c r="I1184" t="s">
        <v>842</v>
      </c>
      <c r="J1184">
        <v>2</v>
      </c>
      <c r="L1184">
        <v>341.91</v>
      </c>
      <c r="M1184">
        <v>582.67999999999995</v>
      </c>
      <c r="N1184">
        <v>869.45</v>
      </c>
      <c r="O1184">
        <v>1239.74</v>
      </c>
      <c r="P1184">
        <v>0</v>
      </c>
      <c r="Q1184">
        <v>3</v>
      </c>
      <c r="R1184">
        <v>0</v>
      </c>
      <c r="S1184">
        <v>100284</v>
      </c>
      <c r="T1184" t="b">
        <v>1</v>
      </c>
    </row>
    <row r="1185" spans="2:20" x14ac:dyDescent="0.35">
      <c r="B1185">
        <v>2019</v>
      </c>
      <c r="C1185" s="41">
        <v>43398</v>
      </c>
      <c r="D1185" t="s">
        <v>950</v>
      </c>
      <c r="E1185" t="s">
        <v>219</v>
      </c>
      <c r="F1185" t="s">
        <v>464</v>
      </c>
      <c r="G1185" t="s">
        <v>1381</v>
      </c>
      <c r="H1185" t="s">
        <v>2056</v>
      </c>
      <c r="I1185" t="s">
        <v>842</v>
      </c>
      <c r="J1185">
        <v>2</v>
      </c>
      <c r="L1185">
        <v>339.41</v>
      </c>
      <c r="M1185">
        <v>578.41</v>
      </c>
      <c r="N1185">
        <v>863.07999999999902</v>
      </c>
      <c r="O1185">
        <v>1230.6599999999901</v>
      </c>
      <c r="P1185">
        <v>0</v>
      </c>
      <c r="Q1185">
        <v>3</v>
      </c>
      <c r="R1185">
        <v>0</v>
      </c>
      <c r="S1185">
        <v>100284</v>
      </c>
      <c r="T1185" t="b">
        <v>1</v>
      </c>
    </row>
    <row r="1186" spans="2:20" x14ac:dyDescent="0.35">
      <c r="B1186">
        <v>2019</v>
      </c>
      <c r="C1186" s="41">
        <v>43398</v>
      </c>
      <c r="D1186" t="s">
        <v>950</v>
      </c>
      <c r="E1186" t="s">
        <v>219</v>
      </c>
      <c r="F1186" t="s">
        <v>463</v>
      </c>
      <c r="G1186" t="s">
        <v>1381</v>
      </c>
      <c r="H1186" t="s">
        <v>2056</v>
      </c>
      <c r="I1186" t="s">
        <v>842</v>
      </c>
      <c r="J1186">
        <v>2</v>
      </c>
      <c r="L1186">
        <v>457.88</v>
      </c>
      <c r="M1186">
        <v>780.32</v>
      </c>
      <c r="N1186">
        <v>1164.3699999999999</v>
      </c>
      <c r="O1186">
        <v>1660.26</v>
      </c>
      <c r="P1186">
        <v>0</v>
      </c>
      <c r="Q1186">
        <v>3</v>
      </c>
      <c r="R1186">
        <v>0</v>
      </c>
      <c r="S1186">
        <v>100284</v>
      </c>
      <c r="T1186" t="b">
        <v>1</v>
      </c>
    </row>
    <row r="1187" spans="2:20" x14ac:dyDescent="0.35">
      <c r="B1187">
        <v>2019</v>
      </c>
      <c r="C1187" s="41">
        <v>43398</v>
      </c>
      <c r="D1187" t="s">
        <v>950</v>
      </c>
      <c r="E1187" t="s">
        <v>219</v>
      </c>
      <c r="F1187" t="s">
        <v>461</v>
      </c>
      <c r="G1187" t="s">
        <v>1381</v>
      </c>
      <c r="H1187" t="s">
        <v>2056</v>
      </c>
      <c r="I1187" t="s">
        <v>842</v>
      </c>
      <c r="J1187">
        <v>2</v>
      </c>
      <c r="L1187">
        <v>366.97</v>
      </c>
      <c r="M1187">
        <v>625.39</v>
      </c>
      <c r="N1187">
        <v>933.17</v>
      </c>
      <c r="O1187">
        <v>1330.6</v>
      </c>
      <c r="P1187">
        <v>0</v>
      </c>
      <c r="Q1187">
        <v>3</v>
      </c>
      <c r="R1187">
        <v>0</v>
      </c>
      <c r="S1187">
        <v>100284</v>
      </c>
      <c r="T1187" t="b">
        <v>1</v>
      </c>
    </row>
    <row r="1188" spans="2:20" x14ac:dyDescent="0.35">
      <c r="B1188">
        <v>2019</v>
      </c>
      <c r="C1188" s="41">
        <v>43398</v>
      </c>
      <c r="D1188" t="s">
        <v>950</v>
      </c>
      <c r="E1188" t="s">
        <v>219</v>
      </c>
      <c r="F1188" t="s">
        <v>458</v>
      </c>
      <c r="G1188" t="s">
        <v>1381</v>
      </c>
      <c r="H1188" t="s">
        <v>2056</v>
      </c>
      <c r="I1188" t="s">
        <v>842</v>
      </c>
      <c r="J1188">
        <v>2</v>
      </c>
      <c r="L1188">
        <v>386.49</v>
      </c>
      <c r="M1188">
        <v>658.66</v>
      </c>
      <c r="N1188">
        <v>982.81999999999903</v>
      </c>
      <c r="O1188">
        <v>1401.4</v>
      </c>
      <c r="P1188">
        <v>0</v>
      </c>
      <c r="Q1188">
        <v>3</v>
      </c>
      <c r="R1188">
        <v>0</v>
      </c>
      <c r="S1188">
        <v>100284</v>
      </c>
      <c r="T1188" t="b">
        <v>1</v>
      </c>
    </row>
    <row r="1189" spans="2:20" x14ac:dyDescent="0.35">
      <c r="B1189">
        <v>2019</v>
      </c>
      <c r="C1189" s="41">
        <v>43398</v>
      </c>
      <c r="D1189" t="s">
        <v>950</v>
      </c>
      <c r="E1189" t="s">
        <v>219</v>
      </c>
      <c r="F1189" t="s">
        <v>460</v>
      </c>
      <c r="G1189" t="s">
        <v>1381</v>
      </c>
      <c r="H1189" t="s">
        <v>2056</v>
      </c>
      <c r="I1189" t="s">
        <v>842</v>
      </c>
      <c r="J1189">
        <v>2</v>
      </c>
      <c r="L1189">
        <v>355.85</v>
      </c>
      <c r="M1189">
        <v>606.44000000000005</v>
      </c>
      <c r="N1189">
        <v>904.91</v>
      </c>
      <c r="O1189">
        <v>1290.3</v>
      </c>
      <c r="P1189">
        <v>0</v>
      </c>
      <c r="Q1189">
        <v>3</v>
      </c>
      <c r="R1189">
        <v>0</v>
      </c>
      <c r="S1189">
        <v>100284</v>
      </c>
      <c r="T1189" t="b">
        <v>1</v>
      </c>
    </row>
    <row r="1190" spans="2:20" x14ac:dyDescent="0.35">
      <c r="B1190">
        <v>2019</v>
      </c>
      <c r="C1190" s="41">
        <v>43398</v>
      </c>
      <c r="D1190" t="s">
        <v>965</v>
      </c>
      <c r="E1190" t="s">
        <v>219</v>
      </c>
      <c r="F1190" t="s">
        <v>1302</v>
      </c>
      <c r="G1190" t="s">
        <v>1381</v>
      </c>
      <c r="H1190" t="s">
        <v>2054</v>
      </c>
      <c r="I1190" t="s">
        <v>310</v>
      </c>
      <c r="J1190">
        <v>2</v>
      </c>
      <c r="L1190">
        <v>550.54</v>
      </c>
      <c r="M1190">
        <v>938.22</v>
      </c>
      <c r="N1190">
        <v>1399.98</v>
      </c>
      <c r="O1190">
        <v>1996.22</v>
      </c>
      <c r="P1190">
        <v>0</v>
      </c>
      <c r="Q1190">
        <v>3</v>
      </c>
      <c r="R1190">
        <v>0</v>
      </c>
      <c r="S1190">
        <v>100284</v>
      </c>
      <c r="T1190" t="b">
        <v>1</v>
      </c>
    </row>
    <row r="1191" spans="2:20" x14ac:dyDescent="0.35">
      <c r="B1191">
        <v>2019</v>
      </c>
      <c r="C1191" s="41">
        <v>43398</v>
      </c>
      <c r="D1191" t="s">
        <v>950</v>
      </c>
      <c r="E1191" t="s">
        <v>219</v>
      </c>
      <c r="F1191" t="s">
        <v>459</v>
      </c>
      <c r="G1191" t="s">
        <v>1381</v>
      </c>
      <c r="H1191" t="s">
        <v>2056</v>
      </c>
      <c r="I1191" t="s">
        <v>842</v>
      </c>
      <c r="J1191">
        <v>2</v>
      </c>
      <c r="L1191">
        <v>404.97</v>
      </c>
      <c r="M1191">
        <v>690.15</v>
      </c>
      <c r="N1191">
        <v>1029.81</v>
      </c>
      <c r="O1191">
        <v>1468.4</v>
      </c>
      <c r="P1191">
        <v>0</v>
      </c>
      <c r="Q1191">
        <v>3</v>
      </c>
      <c r="R1191">
        <v>0</v>
      </c>
      <c r="S1191">
        <v>100284</v>
      </c>
      <c r="T1191" t="b">
        <v>1</v>
      </c>
    </row>
    <row r="1192" spans="2:20" x14ac:dyDescent="0.35">
      <c r="B1192">
        <v>2019</v>
      </c>
      <c r="C1192" s="41">
        <v>43398</v>
      </c>
      <c r="D1192" t="s">
        <v>2057</v>
      </c>
      <c r="E1192" t="s">
        <v>219</v>
      </c>
      <c r="F1192" t="s">
        <v>1301</v>
      </c>
      <c r="G1192" t="s">
        <v>1381</v>
      </c>
      <c r="H1192" t="s">
        <v>2058</v>
      </c>
      <c r="I1192" t="s">
        <v>310</v>
      </c>
      <c r="J1192">
        <v>2</v>
      </c>
      <c r="L1192">
        <v>359.45</v>
      </c>
      <c r="M1192">
        <v>612.58000000000004</v>
      </c>
      <c r="N1192">
        <v>914.06999999999903</v>
      </c>
      <c r="O1192">
        <v>1303.3599999999999</v>
      </c>
      <c r="P1192">
        <v>1</v>
      </c>
      <c r="Q1192">
        <v>3</v>
      </c>
      <c r="R1192">
        <v>0</v>
      </c>
      <c r="S1192">
        <v>100283</v>
      </c>
      <c r="T1192" t="b">
        <v>1</v>
      </c>
    </row>
    <row r="1193" spans="2:20" x14ac:dyDescent="0.35">
      <c r="B1193">
        <v>2019</v>
      </c>
      <c r="C1193" s="41">
        <v>43398</v>
      </c>
      <c r="D1193" t="s">
        <v>2059</v>
      </c>
      <c r="E1193" t="s">
        <v>219</v>
      </c>
      <c r="F1193" t="s">
        <v>1302</v>
      </c>
      <c r="G1193" t="s">
        <v>1381</v>
      </c>
      <c r="H1193" t="s">
        <v>2060</v>
      </c>
      <c r="I1193" t="s">
        <v>310</v>
      </c>
      <c r="J1193">
        <v>2</v>
      </c>
      <c r="L1193">
        <v>486.16</v>
      </c>
      <c r="M1193">
        <v>828.51</v>
      </c>
      <c r="N1193">
        <v>1236.28</v>
      </c>
      <c r="O1193">
        <v>1762.8</v>
      </c>
      <c r="P1193">
        <v>1</v>
      </c>
      <c r="Q1193">
        <v>3</v>
      </c>
      <c r="R1193">
        <v>0</v>
      </c>
      <c r="S1193">
        <v>100284</v>
      </c>
      <c r="T1193" t="b">
        <v>1</v>
      </c>
    </row>
    <row r="1194" spans="2:20" x14ac:dyDescent="0.35">
      <c r="B1194">
        <v>2019</v>
      </c>
      <c r="C1194" s="41">
        <v>43398</v>
      </c>
      <c r="D1194" t="s">
        <v>2059</v>
      </c>
      <c r="E1194" t="s">
        <v>219</v>
      </c>
      <c r="F1194" t="s">
        <v>1301</v>
      </c>
      <c r="G1194" t="s">
        <v>1381</v>
      </c>
      <c r="H1194" t="s">
        <v>2060</v>
      </c>
      <c r="I1194" t="s">
        <v>310</v>
      </c>
      <c r="J1194">
        <v>2</v>
      </c>
      <c r="L1194">
        <v>472.47</v>
      </c>
      <c r="M1194">
        <v>805.18</v>
      </c>
      <c r="N1194">
        <v>1201.45</v>
      </c>
      <c r="O1194">
        <v>1713.1399999999901</v>
      </c>
      <c r="P1194">
        <v>1</v>
      </c>
      <c r="Q1194">
        <v>3</v>
      </c>
      <c r="R1194">
        <v>0</v>
      </c>
      <c r="S1194">
        <v>100284</v>
      </c>
      <c r="T1194" t="b">
        <v>1</v>
      </c>
    </row>
    <row r="1195" spans="2:20" x14ac:dyDescent="0.35">
      <c r="B1195">
        <v>2019</v>
      </c>
      <c r="C1195" s="41">
        <v>43398</v>
      </c>
      <c r="D1195" t="s">
        <v>2059</v>
      </c>
      <c r="E1195" t="s">
        <v>219</v>
      </c>
      <c r="F1195" t="s">
        <v>461</v>
      </c>
      <c r="G1195" t="s">
        <v>1381</v>
      </c>
      <c r="H1195" t="s">
        <v>2060</v>
      </c>
      <c r="I1195" t="s">
        <v>310</v>
      </c>
      <c r="J1195">
        <v>2</v>
      </c>
      <c r="L1195">
        <v>495.19</v>
      </c>
      <c r="M1195">
        <v>843.9</v>
      </c>
      <c r="N1195">
        <v>1259.24</v>
      </c>
      <c r="O1195">
        <v>1795.54</v>
      </c>
      <c r="P1195">
        <v>1</v>
      </c>
      <c r="Q1195">
        <v>3</v>
      </c>
      <c r="R1195">
        <v>0</v>
      </c>
      <c r="S1195">
        <v>100284</v>
      </c>
      <c r="T1195" t="b">
        <v>1</v>
      </c>
    </row>
    <row r="1196" spans="2:20" x14ac:dyDescent="0.35">
      <c r="B1196">
        <v>2019</v>
      </c>
      <c r="C1196" s="41">
        <v>43398</v>
      </c>
      <c r="D1196" t="s">
        <v>2059</v>
      </c>
      <c r="E1196" t="s">
        <v>219</v>
      </c>
      <c r="F1196" t="s">
        <v>458</v>
      </c>
      <c r="G1196" t="s">
        <v>1381</v>
      </c>
      <c r="H1196" t="s">
        <v>2060</v>
      </c>
      <c r="I1196" t="s">
        <v>310</v>
      </c>
      <c r="J1196">
        <v>2</v>
      </c>
      <c r="L1196">
        <v>521.54</v>
      </c>
      <c r="M1196">
        <v>888.8</v>
      </c>
      <c r="N1196">
        <v>1326.23</v>
      </c>
      <c r="O1196">
        <v>1891.06</v>
      </c>
      <c r="P1196">
        <v>1</v>
      </c>
      <c r="Q1196">
        <v>3</v>
      </c>
      <c r="R1196">
        <v>0</v>
      </c>
      <c r="S1196">
        <v>100284</v>
      </c>
      <c r="T1196" t="b">
        <v>1</v>
      </c>
    </row>
    <row r="1197" spans="2:20" x14ac:dyDescent="0.35">
      <c r="B1197">
        <v>2019</v>
      </c>
      <c r="C1197" s="41">
        <v>43398</v>
      </c>
      <c r="D1197" t="s">
        <v>2061</v>
      </c>
      <c r="E1197" t="s">
        <v>219</v>
      </c>
      <c r="F1197" t="s">
        <v>1301</v>
      </c>
      <c r="G1197" t="s">
        <v>1381</v>
      </c>
      <c r="H1197" t="s">
        <v>2062</v>
      </c>
      <c r="I1197" t="s">
        <v>310</v>
      </c>
      <c r="J1197">
        <v>2</v>
      </c>
      <c r="L1197">
        <v>472.47</v>
      </c>
      <c r="M1197">
        <v>805.18</v>
      </c>
      <c r="N1197">
        <v>1201.45</v>
      </c>
      <c r="O1197">
        <v>1713.1399999999901</v>
      </c>
      <c r="P1197">
        <v>1</v>
      </c>
      <c r="Q1197">
        <v>3</v>
      </c>
      <c r="R1197">
        <v>0</v>
      </c>
      <c r="S1197">
        <v>100284</v>
      </c>
      <c r="T1197" t="b">
        <v>1</v>
      </c>
    </row>
    <row r="1198" spans="2:20" x14ac:dyDescent="0.35">
      <c r="B1198">
        <v>2019</v>
      </c>
      <c r="C1198" s="41">
        <v>43398</v>
      </c>
      <c r="D1198" t="s">
        <v>2061</v>
      </c>
      <c r="E1198" t="s">
        <v>219</v>
      </c>
      <c r="F1198" t="s">
        <v>458</v>
      </c>
      <c r="G1198" t="s">
        <v>1381</v>
      </c>
      <c r="H1198" t="s">
        <v>2062</v>
      </c>
      <c r="I1198" t="s">
        <v>310</v>
      </c>
      <c r="J1198">
        <v>2</v>
      </c>
      <c r="L1198">
        <v>521.54</v>
      </c>
      <c r="M1198">
        <v>888.8</v>
      </c>
      <c r="N1198">
        <v>1326.23</v>
      </c>
      <c r="O1198">
        <v>1891.06</v>
      </c>
      <c r="P1198">
        <v>1</v>
      </c>
      <c r="Q1198">
        <v>3</v>
      </c>
      <c r="R1198">
        <v>0</v>
      </c>
      <c r="S1198">
        <v>100284</v>
      </c>
      <c r="T1198" t="b">
        <v>1</v>
      </c>
    </row>
    <row r="1199" spans="2:20" x14ac:dyDescent="0.35">
      <c r="B1199">
        <v>2019</v>
      </c>
      <c r="C1199" s="41">
        <v>43398</v>
      </c>
      <c r="D1199" t="s">
        <v>2061</v>
      </c>
      <c r="E1199" t="s">
        <v>219</v>
      </c>
      <c r="F1199" t="s">
        <v>1302</v>
      </c>
      <c r="G1199" t="s">
        <v>1381</v>
      </c>
      <c r="H1199" t="s">
        <v>2062</v>
      </c>
      <c r="I1199" t="s">
        <v>310</v>
      </c>
      <c r="J1199">
        <v>2</v>
      </c>
      <c r="L1199">
        <v>486.16</v>
      </c>
      <c r="M1199">
        <v>828.51</v>
      </c>
      <c r="N1199">
        <v>1236.28</v>
      </c>
      <c r="O1199">
        <v>1762.8</v>
      </c>
      <c r="P1199">
        <v>1</v>
      </c>
      <c r="Q1199">
        <v>3</v>
      </c>
      <c r="R1199">
        <v>0</v>
      </c>
      <c r="S1199">
        <v>100284</v>
      </c>
      <c r="T1199" t="b">
        <v>1</v>
      </c>
    </row>
    <row r="1200" spans="2:20" x14ac:dyDescent="0.35">
      <c r="B1200">
        <v>2019</v>
      </c>
      <c r="C1200" s="41">
        <v>43398</v>
      </c>
      <c r="D1200" t="s">
        <v>2061</v>
      </c>
      <c r="E1200" t="s">
        <v>219</v>
      </c>
      <c r="F1200" t="s">
        <v>461</v>
      </c>
      <c r="G1200" t="s">
        <v>1381</v>
      </c>
      <c r="H1200" t="s">
        <v>2062</v>
      </c>
      <c r="I1200" t="s">
        <v>310</v>
      </c>
      <c r="J1200">
        <v>2</v>
      </c>
      <c r="L1200">
        <v>495.19</v>
      </c>
      <c r="M1200">
        <v>843.9</v>
      </c>
      <c r="N1200">
        <v>1259.24</v>
      </c>
      <c r="O1200">
        <v>1795.54</v>
      </c>
      <c r="P1200">
        <v>1</v>
      </c>
      <c r="Q1200">
        <v>3</v>
      </c>
      <c r="R1200">
        <v>0</v>
      </c>
      <c r="S1200">
        <v>100284</v>
      </c>
      <c r="T1200" t="b">
        <v>1</v>
      </c>
    </row>
    <row r="1201" spans="2:20" x14ac:dyDescent="0.35">
      <c r="B1201">
        <v>2019</v>
      </c>
      <c r="C1201" s="41">
        <v>43398</v>
      </c>
      <c r="D1201" t="s">
        <v>2063</v>
      </c>
      <c r="E1201" t="s">
        <v>219</v>
      </c>
      <c r="F1201" t="s">
        <v>1389</v>
      </c>
      <c r="G1201" t="s">
        <v>1381</v>
      </c>
      <c r="H1201" t="s">
        <v>2064</v>
      </c>
      <c r="I1201" t="s">
        <v>310</v>
      </c>
      <c r="J1201">
        <v>2</v>
      </c>
      <c r="L1201">
        <v>388.3</v>
      </c>
      <c r="M1201">
        <v>661.75</v>
      </c>
      <c r="N1201">
        <v>987.44</v>
      </c>
      <c r="O1201">
        <v>1407.98</v>
      </c>
      <c r="P1201">
        <v>1</v>
      </c>
      <c r="Q1201">
        <v>3</v>
      </c>
      <c r="R1201">
        <v>0</v>
      </c>
      <c r="S1201">
        <v>100283</v>
      </c>
      <c r="T1201" t="b">
        <v>1</v>
      </c>
    </row>
    <row r="1202" spans="2:20" x14ac:dyDescent="0.35">
      <c r="B1202">
        <v>2019</v>
      </c>
      <c r="C1202" s="41">
        <v>43398</v>
      </c>
      <c r="D1202" t="s">
        <v>2065</v>
      </c>
      <c r="E1202" t="s">
        <v>219</v>
      </c>
      <c r="F1202" t="s">
        <v>1301</v>
      </c>
      <c r="G1202" t="s">
        <v>1381</v>
      </c>
      <c r="H1202" t="s">
        <v>2066</v>
      </c>
      <c r="I1202" t="s">
        <v>310</v>
      </c>
      <c r="J1202">
        <v>2</v>
      </c>
      <c r="L1202">
        <v>364.64</v>
      </c>
      <c r="M1202">
        <v>621.41999999999996</v>
      </c>
      <c r="N1202">
        <v>927.25</v>
      </c>
      <c r="O1202">
        <v>1322.16</v>
      </c>
      <c r="P1202">
        <v>1</v>
      </c>
      <c r="Q1202">
        <v>3</v>
      </c>
      <c r="R1202">
        <v>0</v>
      </c>
      <c r="S1202">
        <v>100283</v>
      </c>
      <c r="T1202" t="b">
        <v>1</v>
      </c>
    </row>
    <row r="1203" spans="2:20" x14ac:dyDescent="0.35">
      <c r="B1203">
        <v>2019</v>
      </c>
      <c r="C1203" s="41">
        <v>43398</v>
      </c>
      <c r="D1203" t="s">
        <v>2067</v>
      </c>
      <c r="E1203" t="s">
        <v>219</v>
      </c>
      <c r="F1203" t="s">
        <v>1301</v>
      </c>
      <c r="G1203" t="s">
        <v>1381</v>
      </c>
      <c r="H1203" t="s">
        <v>2068</v>
      </c>
      <c r="I1203" t="s">
        <v>310</v>
      </c>
      <c r="J1203">
        <v>2</v>
      </c>
      <c r="L1203">
        <v>403.19</v>
      </c>
      <c r="M1203">
        <v>687.11</v>
      </c>
      <c r="N1203">
        <v>1025.28</v>
      </c>
      <c r="O1203">
        <v>1461.94</v>
      </c>
      <c r="P1203">
        <v>1</v>
      </c>
      <c r="Q1203">
        <v>3</v>
      </c>
      <c r="R1203">
        <v>0</v>
      </c>
      <c r="S1203">
        <v>100283</v>
      </c>
      <c r="T1203" t="b">
        <v>1</v>
      </c>
    </row>
    <row r="1204" spans="2:20" x14ac:dyDescent="0.35">
      <c r="B1204">
        <v>2019</v>
      </c>
      <c r="C1204" s="41">
        <v>43398</v>
      </c>
      <c r="D1204" t="s">
        <v>2069</v>
      </c>
      <c r="E1204" t="s">
        <v>219</v>
      </c>
      <c r="F1204" t="s">
        <v>1302</v>
      </c>
      <c r="G1204" t="s">
        <v>1381</v>
      </c>
      <c r="H1204" t="s">
        <v>2070</v>
      </c>
      <c r="I1204" t="s">
        <v>310</v>
      </c>
      <c r="J1204">
        <v>2</v>
      </c>
      <c r="L1204">
        <v>545.4</v>
      </c>
      <c r="M1204">
        <v>929.47</v>
      </c>
      <c r="N1204">
        <v>1386.92</v>
      </c>
      <c r="O1204">
        <v>1977.6</v>
      </c>
      <c r="P1204">
        <v>1</v>
      </c>
      <c r="Q1204">
        <v>3</v>
      </c>
      <c r="R1204">
        <v>0</v>
      </c>
      <c r="S1204">
        <v>100284</v>
      </c>
      <c r="T1204" t="b">
        <v>1</v>
      </c>
    </row>
    <row r="1205" spans="2:20" x14ac:dyDescent="0.35">
      <c r="B1205">
        <v>2019</v>
      </c>
      <c r="C1205" s="41">
        <v>43398</v>
      </c>
      <c r="D1205" t="s">
        <v>2069</v>
      </c>
      <c r="E1205" t="s">
        <v>219</v>
      </c>
      <c r="F1205" t="s">
        <v>1301</v>
      </c>
      <c r="G1205" t="s">
        <v>1381</v>
      </c>
      <c r="H1205" t="s">
        <v>2070</v>
      </c>
      <c r="I1205" t="s">
        <v>310</v>
      </c>
      <c r="J1205">
        <v>2</v>
      </c>
      <c r="L1205">
        <v>530.04999999999995</v>
      </c>
      <c r="M1205">
        <v>903.31</v>
      </c>
      <c r="N1205">
        <v>1347.87</v>
      </c>
      <c r="O1205">
        <v>1921.92</v>
      </c>
      <c r="P1205">
        <v>1</v>
      </c>
      <c r="Q1205">
        <v>3</v>
      </c>
      <c r="R1205">
        <v>0</v>
      </c>
      <c r="S1205">
        <v>100284</v>
      </c>
      <c r="T1205" t="b">
        <v>1</v>
      </c>
    </row>
    <row r="1206" spans="2:20" x14ac:dyDescent="0.35">
      <c r="B1206">
        <v>2019</v>
      </c>
      <c r="C1206" s="41">
        <v>43398</v>
      </c>
      <c r="D1206" t="s">
        <v>2069</v>
      </c>
      <c r="E1206" t="s">
        <v>219</v>
      </c>
      <c r="F1206" t="s">
        <v>461</v>
      </c>
      <c r="G1206" t="s">
        <v>1381</v>
      </c>
      <c r="H1206" t="s">
        <v>2070</v>
      </c>
      <c r="I1206" t="s">
        <v>310</v>
      </c>
      <c r="J1206">
        <v>2</v>
      </c>
      <c r="L1206">
        <v>555.54</v>
      </c>
      <c r="M1206">
        <v>946.76</v>
      </c>
      <c r="N1206">
        <v>1412.71999999999</v>
      </c>
      <c r="O1206">
        <v>2014.3799999999901</v>
      </c>
      <c r="P1206">
        <v>1</v>
      </c>
      <c r="Q1206">
        <v>3</v>
      </c>
      <c r="R1206">
        <v>0</v>
      </c>
      <c r="S1206">
        <v>100284</v>
      </c>
      <c r="T1206" t="b">
        <v>1</v>
      </c>
    </row>
    <row r="1207" spans="2:20" x14ac:dyDescent="0.35">
      <c r="B1207">
        <v>2019</v>
      </c>
      <c r="C1207" s="41">
        <v>43398</v>
      </c>
      <c r="D1207" t="s">
        <v>2069</v>
      </c>
      <c r="E1207" t="s">
        <v>219</v>
      </c>
      <c r="F1207" t="s">
        <v>458</v>
      </c>
      <c r="G1207" t="s">
        <v>1381</v>
      </c>
      <c r="H1207" t="s">
        <v>2070</v>
      </c>
      <c r="I1207" t="s">
        <v>310</v>
      </c>
      <c r="J1207">
        <v>2</v>
      </c>
      <c r="L1207">
        <v>585.1</v>
      </c>
      <c r="M1207">
        <v>997.12</v>
      </c>
      <c r="N1207">
        <v>1487.87</v>
      </c>
      <c r="O1207">
        <v>2121.54</v>
      </c>
      <c r="P1207">
        <v>1</v>
      </c>
      <c r="Q1207">
        <v>3</v>
      </c>
      <c r="R1207">
        <v>0</v>
      </c>
      <c r="S1207">
        <v>100284</v>
      </c>
      <c r="T1207" t="b">
        <v>1</v>
      </c>
    </row>
    <row r="1208" spans="2:20" x14ac:dyDescent="0.35">
      <c r="B1208">
        <v>2019</v>
      </c>
      <c r="C1208" s="41">
        <v>43398</v>
      </c>
      <c r="D1208" t="s">
        <v>2071</v>
      </c>
      <c r="E1208" t="s">
        <v>219</v>
      </c>
      <c r="F1208" t="s">
        <v>1302</v>
      </c>
      <c r="G1208" t="s">
        <v>1381</v>
      </c>
      <c r="H1208" t="s">
        <v>2072</v>
      </c>
      <c r="I1208" t="s">
        <v>310</v>
      </c>
      <c r="J1208">
        <v>2</v>
      </c>
      <c r="L1208">
        <v>545.4</v>
      </c>
      <c r="M1208">
        <v>929.47</v>
      </c>
      <c r="N1208">
        <v>1386.92</v>
      </c>
      <c r="O1208">
        <v>1977.6</v>
      </c>
      <c r="P1208">
        <v>1</v>
      </c>
      <c r="Q1208">
        <v>3</v>
      </c>
      <c r="R1208">
        <v>0</v>
      </c>
      <c r="S1208">
        <v>100284</v>
      </c>
      <c r="T1208" t="b">
        <v>1</v>
      </c>
    </row>
    <row r="1209" spans="2:20" x14ac:dyDescent="0.35">
      <c r="B1209">
        <v>2019</v>
      </c>
      <c r="C1209" s="41">
        <v>43398</v>
      </c>
      <c r="D1209" t="s">
        <v>2071</v>
      </c>
      <c r="E1209" t="s">
        <v>219</v>
      </c>
      <c r="F1209" t="s">
        <v>1301</v>
      </c>
      <c r="G1209" t="s">
        <v>1381</v>
      </c>
      <c r="H1209" t="s">
        <v>2072</v>
      </c>
      <c r="I1209" t="s">
        <v>310</v>
      </c>
      <c r="J1209">
        <v>2</v>
      </c>
      <c r="L1209">
        <v>530.04999999999995</v>
      </c>
      <c r="M1209">
        <v>903.31</v>
      </c>
      <c r="N1209">
        <v>1347.87</v>
      </c>
      <c r="O1209">
        <v>1921.92</v>
      </c>
      <c r="P1209">
        <v>1</v>
      </c>
      <c r="Q1209">
        <v>3</v>
      </c>
      <c r="R1209">
        <v>0</v>
      </c>
      <c r="S1209">
        <v>100284</v>
      </c>
      <c r="T1209" t="b">
        <v>1</v>
      </c>
    </row>
    <row r="1210" spans="2:20" x14ac:dyDescent="0.35">
      <c r="B1210">
        <v>2019</v>
      </c>
      <c r="C1210" s="41">
        <v>43398</v>
      </c>
      <c r="D1210" t="s">
        <v>2071</v>
      </c>
      <c r="E1210" t="s">
        <v>219</v>
      </c>
      <c r="F1210" t="s">
        <v>461</v>
      </c>
      <c r="G1210" t="s">
        <v>1381</v>
      </c>
      <c r="H1210" t="s">
        <v>2072</v>
      </c>
      <c r="I1210" t="s">
        <v>310</v>
      </c>
      <c r="J1210">
        <v>2</v>
      </c>
      <c r="L1210">
        <v>555.54</v>
      </c>
      <c r="M1210">
        <v>946.76</v>
      </c>
      <c r="N1210">
        <v>1412.71999999999</v>
      </c>
      <c r="O1210">
        <v>2014.3799999999901</v>
      </c>
      <c r="P1210">
        <v>1</v>
      </c>
      <c r="Q1210">
        <v>3</v>
      </c>
      <c r="R1210">
        <v>0</v>
      </c>
      <c r="S1210">
        <v>100284</v>
      </c>
      <c r="T1210" t="b">
        <v>1</v>
      </c>
    </row>
    <row r="1211" spans="2:20" x14ac:dyDescent="0.35">
      <c r="B1211">
        <v>2019</v>
      </c>
      <c r="C1211" s="41">
        <v>43398</v>
      </c>
      <c r="D1211" t="s">
        <v>2071</v>
      </c>
      <c r="E1211" t="s">
        <v>219</v>
      </c>
      <c r="F1211" t="s">
        <v>458</v>
      </c>
      <c r="G1211" t="s">
        <v>1381</v>
      </c>
      <c r="H1211" t="s">
        <v>2072</v>
      </c>
      <c r="I1211" t="s">
        <v>310</v>
      </c>
      <c r="J1211">
        <v>2</v>
      </c>
      <c r="L1211">
        <v>585.1</v>
      </c>
      <c r="M1211">
        <v>997.12</v>
      </c>
      <c r="N1211">
        <v>1487.87</v>
      </c>
      <c r="O1211">
        <v>2121.54</v>
      </c>
      <c r="P1211">
        <v>1</v>
      </c>
      <c r="Q1211">
        <v>3</v>
      </c>
      <c r="R1211">
        <v>0</v>
      </c>
      <c r="S1211">
        <v>100284</v>
      </c>
      <c r="T1211" t="b">
        <v>1</v>
      </c>
    </row>
    <row r="1212" spans="2:20" x14ac:dyDescent="0.35">
      <c r="B1212">
        <v>2019</v>
      </c>
      <c r="C1212" s="41">
        <v>43398</v>
      </c>
      <c r="D1212" t="s">
        <v>2073</v>
      </c>
      <c r="E1212" t="s">
        <v>219</v>
      </c>
      <c r="F1212" t="s">
        <v>1302</v>
      </c>
      <c r="G1212" t="s">
        <v>1381</v>
      </c>
      <c r="H1212" t="s">
        <v>2074</v>
      </c>
      <c r="I1212" t="s">
        <v>310</v>
      </c>
      <c r="J1212">
        <v>2</v>
      </c>
      <c r="L1212">
        <v>550.54</v>
      </c>
      <c r="M1212">
        <v>938.22</v>
      </c>
      <c r="N1212">
        <v>1399.98</v>
      </c>
      <c r="O1212">
        <v>1996.22</v>
      </c>
      <c r="P1212">
        <v>1</v>
      </c>
      <c r="Q1212">
        <v>3</v>
      </c>
      <c r="R1212">
        <v>0</v>
      </c>
      <c r="S1212">
        <v>100284</v>
      </c>
      <c r="T1212" t="b">
        <v>1</v>
      </c>
    </row>
    <row r="1213" spans="2:20" x14ac:dyDescent="0.35">
      <c r="B1213">
        <v>2019</v>
      </c>
      <c r="C1213" s="41">
        <v>43398</v>
      </c>
      <c r="D1213" t="s">
        <v>2073</v>
      </c>
      <c r="E1213" t="s">
        <v>219</v>
      </c>
      <c r="F1213" t="s">
        <v>1301</v>
      </c>
      <c r="G1213" t="s">
        <v>1381</v>
      </c>
      <c r="H1213" t="s">
        <v>2074</v>
      </c>
      <c r="I1213" t="s">
        <v>310</v>
      </c>
      <c r="J1213">
        <v>2</v>
      </c>
      <c r="L1213">
        <v>535.04999999999995</v>
      </c>
      <c r="M1213">
        <v>911.82</v>
      </c>
      <c r="N1213">
        <v>1360.58</v>
      </c>
      <c r="O1213">
        <v>1940.04</v>
      </c>
      <c r="P1213">
        <v>1</v>
      </c>
      <c r="Q1213">
        <v>3</v>
      </c>
      <c r="R1213">
        <v>0</v>
      </c>
      <c r="S1213">
        <v>100284</v>
      </c>
      <c r="T1213" t="b">
        <v>1</v>
      </c>
    </row>
    <row r="1214" spans="2:20" x14ac:dyDescent="0.35">
      <c r="B1214">
        <v>2019</v>
      </c>
      <c r="C1214" s="41">
        <v>43398</v>
      </c>
      <c r="D1214" t="s">
        <v>2073</v>
      </c>
      <c r="E1214" t="s">
        <v>219</v>
      </c>
      <c r="F1214" t="s">
        <v>458</v>
      </c>
      <c r="G1214" t="s">
        <v>1381</v>
      </c>
      <c r="H1214" t="s">
        <v>2074</v>
      </c>
      <c r="I1214" t="s">
        <v>310</v>
      </c>
      <c r="J1214">
        <v>2</v>
      </c>
      <c r="L1214">
        <v>590.61</v>
      </c>
      <c r="M1214">
        <v>1006.52</v>
      </c>
      <c r="N1214">
        <v>1501.88</v>
      </c>
      <c r="O1214">
        <v>2141.52</v>
      </c>
      <c r="P1214">
        <v>1</v>
      </c>
      <c r="Q1214">
        <v>3</v>
      </c>
      <c r="R1214">
        <v>0</v>
      </c>
      <c r="S1214">
        <v>100284</v>
      </c>
      <c r="T1214" t="b">
        <v>1</v>
      </c>
    </row>
    <row r="1215" spans="2:20" x14ac:dyDescent="0.35">
      <c r="B1215">
        <v>2019</v>
      </c>
      <c r="C1215" s="41">
        <v>43398</v>
      </c>
      <c r="D1215" t="s">
        <v>2075</v>
      </c>
      <c r="E1215" t="s">
        <v>219</v>
      </c>
      <c r="F1215" t="s">
        <v>1302</v>
      </c>
      <c r="G1215" t="s">
        <v>1381</v>
      </c>
      <c r="H1215" t="s">
        <v>2076</v>
      </c>
      <c r="I1215" t="s">
        <v>310</v>
      </c>
      <c r="J1215">
        <v>2</v>
      </c>
      <c r="L1215">
        <v>550.54</v>
      </c>
      <c r="M1215">
        <v>938.22</v>
      </c>
      <c r="N1215">
        <v>1399.98</v>
      </c>
      <c r="O1215">
        <v>1996.22</v>
      </c>
      <c r="P1215">
        <v>1</v>
      </c>
      <c r="Q1215">
        <v>3</v>
      </c>
      <c r="R1215">
        <v>0</v>
      </c>
      <c r="S1215">
        <v>100284</v>
      </c>
      <c r="T1215" t="b">
        <v>1</v>
      </c>
    </row>
    <row r="1216" spans="2:20" x14ac:dyDescent="0.35">
      <c r="B1216">
        <v>2019</v>
      </c>
      <c r="C1216" s="41">
        <v>43398</v>
      </c>
      <c r="D1216" t="s">
        <v>2073</v>
      </c>
      <c r="E1216" t="s">
        <v>219</v>
      </c>
      <c r="F1216" t="s">
        <v>461</v>
      </c>
      <c r="G1216" t="s">
        <v>1381</v>
      </c>
      <c r="H1216" t="s">
        <v>2074</v>
      </c>
      <c r="I1216" t="s">
        <v>310</v>
      </c>
      <c r="J1216">
        <v>2</v>
      </c>
      <c r="L1216">
        <v>560.77</v>
      </c>
      <c r="M1216">
        <v>955.67</v>
      </c>
      <c r="N1216">
        <v>1426.01</v>
      </c>
      <c r="O1216">
        <v>2033.34</v>
      </c>
      <c r="P1216">
        <v>1</v>
      </c>
      <c r="Q1216">
        <v>3</v>
      </c>
      <c r="R1216">
        <v>0</v>
      </c>
      <c r="S1216">
        <v>100284</v>
      </c>
      <c r="T1216" t="b">
        <v>1</v>
      </c>
    </row>
    <row r="1217" spans="2:20" x14ac:dyDescent="0.35">
      <c r="B1217">
        <v>2019</v>
      </c>
      <c r="C1217" s="41">
        <v>43398</v>
      </c>
      <c r="D1217" t="s">
        <v>2075</v>
      </c>
      <c r="E1217" t="s">
        <v>219</v>
      </c>
      <c r="F1217" t="s">
        <v>461</v>
      </c>
      <c r="G1217" t="s">
        <v>1381</v>
      </c>
      <c r="H1217" t="s">
        <v>2076</v>
      </c>
      <c r="I1217" t="s">
        <v>310</v>
      </c>
      <c r="J1217">
        <v>2</v>
      </c>
      <c r="L1217">
        <v>560.77</v>
      </c>
      <c r="M1217">
        <v>955.67</v>
      </c>
      <c r="N1217">
        <v>1426.01</v>
      </c>
      <c r="O1217">
        <v>2033.34</v>
      </c>
      <c r="P1217">
        <v>1</v>
      </c>
      <c r="Q1217">
        <v>3</v>
      </c>
      <c r="R1217">
        <v>0</v>
      </c>
      <c r="S1217">
        <v>100284</v>
      </c>
      <c r="T1217" t="b">
        <v>1</v>
      </c>
    </row>
    <row r="1218" spans="2:20" x14ac:dyDescent="0.35">
      <c r="B1218">
        <v>2019</v>
      </c>
      <c r="C1218" s="41">
        <v>43398</v>
      </c>
      <c r="D1218" t="s">
        <v>2075</v>
      </c>
      <c r="E1218" t="s">
        <v>219</v>
      </c>
      <c r="F1218" t="s">
        <v>458</v>
      </c>
      <c r="G1218" t="s">
        <v>1381</v>
      </c>
      <c r="H1218" t="s">
        <v>2076</v>
      </c>
      <c r="I1218" t="s">
        <v>310</v>
      </c>
      <c r="J1218">
        <v>2</v>
      </c>
      <c r="L1218">
        <v>590.61</v>
      </c>
      <c r="M1218">
        <v>1006.52</v>
      </c>
      <c r="N1218">
        <v>1501.88</v>
      </c>
      <c r="O1218">
        <v>2141.52</v>
      </c>
      <c r="P1218">
        <v>1</v>
      </c>
      <c r="Q1218">
        <v>3</v>
      </c>
      <c r="R1218">
        <v>0</v>
      </c>
      <c r="S1218">
        <v>100284</v>
      </c>
      <c r="T1218" t="b">
        <v>1</v>
      </c>
    </row>
    <row r="1219" spans="2:20" x14ac:dyDescent="0.35">
      <c r="B1219">
        <v>2019</v>
      </c>
      <c r="C1219" s="41">
        <v>43398</v>
      </c>
      <c r="D1219" t="s">
        <v>2075</v>
      </c>
      <c r="E1219" t="s">
        <v>219</v>
      </c>
      <c r="F1219" t="s">
        <v>1301</v>
      </c>
      <c r="G1219" t="s">
        <v>1381</v>
      </c>
      <c r="H1219" t="s">
        <v>2076</v>
      </c>
      <c r="I1219" t="s">
        <v>310</v>
      </c>
      <c r="J1219">
        <v>2</v>
      </c>
      <c r="L1219">
        <v>535.04999999999995</v>
      </c>
      <c r="M1219">
        <v>911.82</v>
      </c>
      <c r="N1219">
        <v>1360.58</v>
      </c>
      <c r="O1219">
        <v>1940.04</v>
      </c>
      <c r="P1219">
        <v>1</v>
      </c>
      <c r="Q1219">
        <v>3</v>
      </c>
      <c r="R1219">
        <v>0</v>
      </c>
      <c r="S1219">
        <v>100284</v>
      </c>
      <c r="T1219" t="b">
        <v>1</v>
      </c>
    </row>
    <row r="1220" spans="2:20" x14ac:dyDescent="0.35">
      <c r="B1220">
        <v>2019</v>
      </c>
      <c r="C1220" s="41">
        <v>43399</v>
      </c>
      <c r="D1220" t="s">
        <v>2077</v>
      </c>
      <c r="E1220" t="s">
        <v>219</v>
      </c>
      <c r="F1220" t="s">
        <v>1301</v>
      </c>
      <c r="G1220" t="s">
        <v>245</v>
      </c>
      <c r="H1220" t="s">
        <v>2078</v>
      </c>
      <c r="I1220" t="s">
        <v>310</v>
      </c>
      <c r="J1220">
        <v>2</v>
      </c>
      <c r="L1220">
        <v>513.70000000000005</v>
      </c>
      <c r="M1220">
        <v>875.44</v>
      </c>
      <c r="N1220">
        <v>1306.3</v>
      </c>
      <c r="O1220">
        <v>1862.64</v>
      </c>
      <c r="P1220">
        <v>1</v>
      </c>
      <c r="Q1220">
        <v>1</v>
      </c>
      <c r="R1220">
        <v>0</v>
      </c>
      <c r="S1220">
        <v>200015</v>
      </c>
      <c r="T1220" t="b">
        <v>1</v>
      </c>
    </row>
    <row r="1221" spans="2:20" x14ac:dyDescent="0.35">
      <c r="B1221">
        <v>2019</v>
      </c>
      <c r="C1221" s="41">
        <v>43399</v>
      </c>
      <c r="D1221" t="s">
        <v>2079</v>
      </c>
      <c r="E1221" t="s">
        <v>219</v>
      </c>
      <c r="F1221" t="s">
        <v>1301</v>
      </c>
      <c r="G1221" t="s">
        <v>245</v>
      </c>
      <c r="H1221" t="s">
        <v>1540</v>
      </c>
      <c r="I1221" t="s">
        <v>310</v>
      </c>
      <c r="J1221">
        <v>2</v>
      </c>
      <c r="L1221">
        <v>491.14</v>
      </c>
      <c r="M1221">
        <v>837</v>
      </c>
      <c r="N1221">
        <v>1248.9299999999901</v>
      </c>
      <c r="O1221">
        <v>1780.84</v>
      </c>
      <c r="P1221">
        <v>1</v>
      </c>
      <c r="Q1221">
        <v>1</v>
      </c>
      <c r="R1221">
        <v>0</v>
      </c>
      <c r="S1221">
        <v>200015</v>
      </c>
      <c r="T1221" t="b">
        <v>1</v>
      </c>
    </row>
    <row r="1222" spans="2:20" x14ac:dyDescent="0.35">
      <c r="B1222">
        <v>2019</v>
      </c>
      <c r="C1222" s="41">
        <v>43399</v>
      </c>
      <c r="D1222" t="s">
        <v>1099</v>
      </c>
      <c r="E1222" t="s">
        <v>219</v>
      </c>
      <c r="F1222" t="s">
        <v>1301</v>
      </c>
      <c r="G1222" t="s">
        <v>245</v>
      </c>
      <c r="H1222" t="s">
        <v>1100</v>
      </c>
      <c r="I1222" t="s">
        <v>842</v>
      </c>
      <c r="J1222">
        <v>2</v>
      </c>
      <c r="L1222">
        <v>387.01</v>
      </c>
      <c r="M1222">
        <v>659.55</v>
      </c>
      <c r="N1222">
        <v>984.16</v>
      </c>
      <c r="O1222">
        <v>1403.3</v>
      </c>
      <c r="P1222">
        <v>0</v>
      </c>
      <c r="Q1222">
        <v>1</v>
      </c>
      <c r="R1222">
        <v>0</v>
      </c>
      <c r="S1222">
        <v>200015</v>
      </c>
      <c r="T1222" t="b">
        <v>1</v>
      </c>
    </row>
    <row r="1223" spans="2:20" x14ac:dyDescent="0.35">
      <c r="B1223">
        <v>2019</v>
      </c>
      <c r="C1223" s="41">
        <v>43399</v>
      </c>
      <c r="D1223" t="s">
        <v>2080</v>
      </c>
      <c r="E1223" t="s">
        <v>219</v>
      </c>
      <c r="F1223" t="s">
        <v>1301</v>
      </c>
      <c r="G1223" t="s">
        <v>245</v>
      </c>
      <c r="H1223" t="s">
        <v>2081</v>
      </c>
      <c r="I1223" t="s">
        <v>842</v>
      </c>
      <c r="J1223">
        <v>2</v>
      </c>
      <c r="L1223">
        <v>346.34</v>
      </c>
      <c r="M1223">
        <v>590.23</v>
      </c>
      <c r="N1223">
        <v>880.71</v>
      </c>
      <c r="O1223">
        <v>1255.8</v>
      </c>
      <c r="P1223">
        <v>0</v>
      </c>
      <c r="Q1223">
        <v>1</v>
      </c>
      <c r="R1223">
        <v>0</v>
      </c>
      <c r="S1223">
        <v>200015</v>
      </c>
      <c r="T1223" t="b">
        <v>1</v>
      </c>
    </row>
    <row r="1224" spans="2:20" x14ac:dyDescent="0.35">
      <c r="B1224">
        <v>2019</v>
      </c>
      <c r="C1224" s="41">
        <v>43399</v>
      </c>
      <c r="D1224" t="s">
        <v>1101</v>
      </c>
      <c r="E1224" t="s">
        <v>219</v>
      </c>
      <c r="F1224" t="s">
        <v>1301</v>
      </c>
      <c r="G1224" t="s">
        <v>245</v>
      </c>
      <c r="H1224" t="s">
        <v>1278</v>
      </c>
      <c r="I1224" t="s">
        <v>843</v>
      </c>
      <c r="J1224">
        <v>2</v>
      </c>
      <c r="L1224">
        <v>542.98</v>
      </c>
      <c r="M1224">
        <v>925.35</v>
      </c>
      <c r="N1224">
        <v>1380.78</v>
      </c>
      <c r="O1224">
        <v>1968.84</v>
      </c>
      <c r="P1224">
        <v>0</v>
      </c>
      <c r="Q1224">
        <v>1</v>
      </c>
      <c r="R1224">
        <v>0</v>
      </c>
      <c r="S1224">
        <v>200015</v>
      </c>
      <c r="T1224" t="b">
        <v>1</v>
      </c>
    </row>
    <row r="1225" spans="2:20" x14ac:dyDescent="0.35">
      <c r="B1225">
        <v>2019</v>
      </c>
      <c r="C1225" s="41">
        <v>43399</v>
      </c>
      <c r="D1225" t="s">
        <v>1097</v>
      </c>
      <c r="E1225" t="s">
        <v>219</v>
      </c>
      <c r="F1225" t="s">
        <v>1301</v>
      </c>
      <c r="G1225" t="s">
        <v>245</v>
      </c>
      <c r="H1225" t="s">
        <v>1542</v>
      </c>
      <c r="I1225" t="s">
        <v>842</v>
      </c>
      <c r="J1225">
        <v>2</v>
      </c>
      <c r="L1225">
        <v>380.61</v>
      </c>
      <c r="M1225">
        <v>648.64</v>
      </c>
      <c r="N1225">
        <v>967.86999999999898</v>
      </c>
      <c r="O1225">
        <v>1380.08</v>
      </c>
      <c r="P1225">
        <v>0</v>
      </c>
      <c r="Q1225">
        <v>1</v>
      </c>
      <c r="R1225">
        <v>0</v>
      </c>
      <c r="S1225">
        <v>200015</v>
      </c>
      <c r="T1225" t="b">
        <v>1</v>
      </c>
    </row>
    <row r="1226" spans="2:20" x14ac:dyDescent="0.35">
      <c r="B1226">
        <v>2019</v>
      </c>
      <c r="C1226" s="41">
        <v>43399</v>
      </c>
      <c r="D1226" t="s">
        <v>2082</v>
      </c>
      <c r="E1226" t="s">
        <v>219</v>
      </c>
      <c r="F1226" t="s">
        <v>1301</v>
      </c>
      <c r="G1226" t="s">
        <v>245</v>
      </c>
      <c r="H1226" t="s">
        <v>1100</v>
      </c>
      <c r="I1226" t="s">
        <v>842</v>
      </c>
      <c r="J1226">
        <v>2</v>
      </c>
      <c r="L1226">
        <v>387.33</v>
      </c>
      <c r="M1226">
        <v>660.09</v>
      </c>
      <c r="N1226">
        <v>984.97</v>
      </c>
      <c r="O1226">
        <v>1404.46</v>
      </c>
      <c r="P1226">
        <v>0</v>
      </c>
      <c r="Q1226">
        <v>2</v>
      </c>
      <c r="R1226">
        <v>0</v>
      </c>
      <c r="S1226">
        <v>200015</v>
      </c>
      <c r="T1226" t="b">
        <v>1</v>
      </c>
    </row>
    <row r="1227" spans="2:20" x14ac:dyDescent="0.35">
      <c r="B1227">
        <v>2019</v>
      </c>
      <c r="C1227" s="41">
        <v>43399</v>
      </c>
      <c r="D1227" t="s">
        <v>2083</v>
      </c>
      <c r="E1227" t="s">
        <v>219</v>
      </c>
      <c r="F1227" t="s">
        <v>1301</v>
      </c>
      <c r="G1227" t="s">
        <v>245</v>
      </c>
      <c r="H1227" t="s">
        <v>1533</v>
      </c>
      <c r="I1227" t="s">
        <v>310</v>
      </c>
      <c r="J1227">
        <v>2</v>
      </c>
      <c r="L1227">
        <v>491.14</v>
      </c>
      <c r="M1227">
        <v>837</v>
      </c>
      <c r="N1227">
        <v>1248.9299999999901</v>
      </c>
      <c r="O1227">
        <v>1780.84</v>
      </c>
      <c r="P1227">
        <v>1</v>
      </c>
      <c r="Q1227">
        <v>1</v>
      </c>
      <c r="R1227">
        <v>0</v>
      </c>
      <c r="S1227">
        <v>200015</v>
      </c>
      <c r="T1227" t="b">
        <v>1</v>
      </c>
    </row>
    <row r="1228" spans="2:20" x14ac:dyDescent="0.35">
      <c r="B1228">
        <v>2019</v>
      </c>
      <c r="C1228" s="41">
        <v>43399</v>
      </c>
      <c r="D1228" t="s">
        <v>2084</v>
      </c>
      <c r="E1228" t="s">
        <v>219</v>
      </c>
      <c r="F1228" t="s">
        <v>1301</v>
      </c>
      <c r="G1228" t="s">
        <v>245</v>
      </c>
      <c r="H1228" t="s">
        <v>1519</v>
      </c>
      <c r="I1228" t="s">
        <v>310</v>
      </c>
      <c r="J1228">
        <v>2</v>
      </c>
      <c r="L1228">
        <v>467.44</v>
      </c>
      <c r="M1228">
        <v>796.6</v>
      </c>
      <c r="N1228">
        <v>1188.6599999999901</v>
      </c>
      <c r="O1228">
        <v>1694.9</v>
      </c>
      <c r="P1228">
        <v>1</v>
      </c>
      <c r="Q1228">
        <v>1</v>
      </c>
      <c r="R1228">
        <v>0</v>
      </c>
      <c r="S1228">
        <v>200015</v>
      </c>
      <c r="T1228" t="b">
        <v>1</v>
      </c>
    </row>
    <row r="1229" spans="2:20" x14ac:dyDescent="0.35">
      <c r="B1229">
        <v>2019</v>
      </c>
      <c r="C1229" s="41">
        <v>43399</v>
      </c>
      <c r="D1229" t="s">
        <v>2085</v>
      </c>
      <c r="E1229" t="s">
        <v>219</v>
      </c>
      <c r="F1229" t="s">
        <v>1301</v>
      </c>
      <c r="G1229" t="s">
        <v>245</v>
      </c>
      <c r="H1229" t="s">
        <v>1515</v>
      </c>
      <c r="I1229" t="s">
        <v>1427</v>
      </c>
      <c r="J1229">
        <v>2</v>
      </c>
      <c r="L1229">
        <v>335.88</v>
      </c>
      <c r="M1229">
        <v>572.41</v>
      </c>
      <c r="N1229">
        <v>854.12</v>
      </c>
      <c r="O1229">
        <v>1217.8800000000001</v>
      </c>
      <c r="P1229">
        <v>0</v>
      </c>
      <c r="Q1229">
        <v>2</v>
      </c>
      <c r="R1229">
        <v>0</v>
      </c>
      <c r="S1229">
        <v>200015</v>
      </c>
      <c r="T1229" t="b">
        <v>1</v>
      </c>
    </row>
    <row r="1230" spans="2:20" x14ac:dyDescent="0.35">
      <c r="B1230">
        <v>2019</v>
      </c>
      <c r="C1230" s="41">
        <v>43399</v>
      </c>
      <c r="D1230" t="s">
        <v>2086</v>
      </c>
      <c r="E1230" t="s">
        <v>219</v>
      </c>
      <c r="F1230" t="s">
        <v>1301</v>
      </c>
      <c r="G1230" t="s">
        <v>245</v>
      </c>
      <c r="H1230" t="s">
        <v>1545</v>
      </c>
      <c r="I1230" t="s">
        <v>1427</v>
      </c>
      <c r="J1230">
        <v>2</v>
      </c>
      <c r="L1230">
        <v>305.38</v>
      </c>
      <c r="M1230">
        <v>520.42999999999995</v>
      </c>
      <c r="N1230">
        <v>776.56999999999903</v>
      </c>
      <c r="O1230">
        <v>1107.3</v>
      </c>
      <c r="P1230">
        <v>0</v>
      </c>
      <c r="Q1230">
        <v>1</v>
      </c>
      <c r="R1230">
        <v>0</v>
      </c>
      <c r="S1230">
        <v>200015</v>
      </c>
      <c r="T1230" t="b">
        <v>1</v>
      </c>
    </row>
    <row r="1231" spans="2:20" x14ac:dyDescent="0.35">
      <c r="B1231">
        <v>2019</v>
      </c>
      <c r="C1231" s="41">
        <v>43399</v>
      </c>
      <c r="D1231" t="s">
        <v>300</v>
      </c>
      <c r="E1231" t="s">
        <v>219</v>
      </c>
      <c r="F1231" t="s">
        <v>1301</v>
      </c>
      <c r="G1231" t="s">
        <v>245</v>
      </c>
      <c r="H1231" t="s">
        <v>1523</v>
      </c>
      <c r="I1231" t="s">
        <v>310</v>
      </c>
      <c r="J1231">
        <v>2</v>
      </c>
      <c r="L1231">
        <v>513.70000000000005</v>
      </c>
      <c r="M1231">
        <v>875.44</v>
      </c>
      <c r="N1231">
        <v>1306.3</v>
      </c>
      <c r="O1231">
        <v>1862.64</v>
      </c>
      <c r="P1231">
        <v>0</v>
      </c>
      <c r="Q1231">
        <v>1</v>
      </c>
      <c r="R1231">
        <v>0</v>
      </c>
      <c r="S1231">
        <v>200015</v>
      </c>
      <c r="T1231" t="b">
        <v>1</v>
      </c>
    </row>
    <row r="1232" spans="2:20" x14ac:dyDescent="0.35">
      <c r="B1232">
        <v>2019</v>
      </c>
      <c r="C1232" s="41">
        <v>43399</v>
      </c>
      <c r="D1232" t="s">
        <v>2087</v>
      </c>
      <c r="E1232" t="s">
        <v>219</v>
      </c>
      <c r="F1232" t="s">
        <v>1301</v>
      </c>
      <c r="G1232" t="s">
        <v>245</v>
      </c>
      <c r="H1232" t="s">
        <v>1538</v>
      </c>
      <c r="I1232" t="s">
        <v>310</v>
      </c>
      <c r="J1232">
        <v>2</v>
      </c>
      <c r="L1232">
        <v>433.42</v>
      </c>
      <c r="M1232">
        <v>738.63</v>
      </c>
      <c r="N1232">
        <v>1102.1599999999901</v>
      </c>
      <c r="O1232">
        <v>1571.56</v>
      </c>
      <c r="P1232">
        <v>0</v>
      </c>
      <c r="Q1232">
        <v>1</v>
      </c>
      <c r="R1232">
        <v>0</v>
      </c>
      <c r="S1232">
        <v>200015</v>
      </c>
      <c r="T1232" t="b">
        <v>1</v>
      </c>
    </row>
    <row r="1233" spans="2:20" x14ac:dyDescent="0.35">
      <c r="B1233">
        <v>2019</v>
      </c>
      <c r="C1233" s="41">
        <v>43399</v>
      </c>
      <c r="D1233" t="s">
        <v>2088</v>
      </c>
      <c r="E1233" t="s">
        <v>219</v>
      </c>
      <c r="F1233" t="s">
        <v>1301</v>
      </c>
      <c r="G1233" t="s">
        <v>245</v>
      </c>
      <c r="H1233" t="s">
        <v>1528</v>
      </c>
      <c r="I1233" t="s">
        <v>310</v>
      </c>
      <c r="J1233">
        <v>2</v>
      </c>
      <c r="L1233">
        <v>476.31</v>
      </c>
      <c r="M1233">
        <v>811.74</v>
      </c>
      <c r="N1233">
        <v>1211.24</v>
      </c>
      <c r="O1233">
        <v>1727.1</v>
      </c>
      <c r="P1233">
        <v>1</v>
      </c>
      <c r="Q1233">
        <v>1</v>
      </c>
      <c r="R1233">
        <v>0</v>
      </c>
      <c r="S1233">
        <v>200015</v>
      </c>
      <c r="T1233" t="b">
        <v>1</v>
      </c>
    </row>
    <row r="1234" spans="2:20" x14ac:dyDescent="0.35">
      <c r="B1234">
        <v>2019</v>
      </c>
      <c r="C1234" s="41">
        <v>43399</v>
      </c>
      <c r="D1234" t="s">
        <v>2089</v>
      </c>
      <c r="E1234" t="s">
        <v>219</v>
      </c>
      <c r="F1234" t="s">
        <v>1301</v>
      </c>
      <c r="G1234" t="s">
        <v>245</v>
      </c>
      <c r="H1234" t="s">
        <v>1499</v>
      </c>
      <c r="I1234" t="s">
        <v>310</v>
      </c>
      <c r="J1234">
        <v>2</v>
      </c>
      <c r="L1234">
        <v>513.70000000000005</v>
      </c>
      <c r="M1234">
        <v>875.44</v>
      </c>
      <c r="N1234">
        <v>1306.3</v>
      </c>
      <c r="O1234">
        <v>1862.64</v>
      </c>
      <c r="P1234">
        <v>1</v>
      </c>
      <c r="Q1234">
        <v>1</v>
      </c>
      <c r="R1234">
        <v>0</v>
      </c>
      <c r="S1234">
        <v>200015</v>
      </c>
      <c r="T1234" t="b">
        <v>1</v>
      </c>
    </row>
    <row r="1235" spans="2:20" x14ac:dyDescent="0.35">
      <c r="B1235">
        <v>2019</v>
      </c>
      <c r="C1235" s="41">
        <v>43399</v>
      </c>
      <c r="D1235" t="s">
        <v>2090</v>
      </c>
      <c r="E1235" t="s">
        <v>219</v>
      </c>
      <c r="F1235" t="s">
        <v>1301</v>
      </c>
      <c r="G1235" t="s">
        <v>245</v>
      </c>
      <c r="H1235" t="s">
        <v>1511</v>
      </c>
      <c r="I1235" t="s">
        <v>310</v>
      </c>
      <c r="J1235">
        <v>2</v>
      </c>
      <c r="L1235">
        <v>491.14</v>
      </c>
      <c r="M1235">
        <v>837</v>
      </c>
      <c r="N1235">
        <v>1248.9299999999901</v>
      </c>
      <c r="O1235">
        <v>1780.84</v>
      </c>
      <c r="P1235">
        <v>1</v>
      </c>
      <c r="Q1235">
        <v>1</v>
      </c>
      <c r="R1235">
        <v>0</v>
      </c>
      <c r="S1235">
        <v>200015</v>
      </c>
      <c r="T1235" t="b">
        <v>1</v>
      </c>
    </row>
    <row r="1236" spans="2:20" x14ac:dyDescent="0.35">
      <c r="B1236">
        <v>2019</v>
      </c>
      <c r="C1236" s="41">
        <v>43399</v>
      </c>
      <c r="D1236" t="s">
        <v>2091</v>
      </c>
      <c r="E1236" t="s">
        <v>219</v>
      </c>
      <c r="F1236" t="s">
        <v>1301</v>
      </c>
      <c r="G1236" t="s">
        <v>245</v>
      </c>
      <c r="H1236" t="s">
        <v>2081</v>
      </c>
      <c r="I1236" t="s">
        <v>842</v>
      </c>
      <c r="J1236">
        <v>2</v>
      </c>
      <c r="L1236">
        <v>346.62</v>
      </c>
      <c r="M1236">
        <v>590.71</v>
      </c>
      <c r="N1236">
        <v>881.44</v>
      </c>
      <c r="O1236">
        <v>1256.8399999999999</v>
      </c>
      <c r="P1236">
        <v>0</v>
      </c>
      <c r="Q1236">
        <v>2</v>
      </c>
      <c r="R1236">
        <v>0</v>
      </c>
      <c r="S1236">
        <v>200015</v>
      </c>
      <c r="T1236" t="b">
        <v>1</v>
      </c>
    </row>
    <row r="1237" spans="2:20" x14ac:dyDescent="0.35">
      <c r="B1237">
        <v>2019</v>
      </c>
      <c r="C1237" s="41">
        <v>43399</v>
      </c>
      <c r="D1237" t="s">
        <v>2092</v>
      </c>
      <c r="E1237" t="s">
        <v>219</v>
      </c>
      <c r="F1237" t="s">
        <v>1301</v>
      </c>
      <c r="G1237" t="s">
        <v>245</v>
      </c>
      <c r="H1237" t="s">
        <v>1536</v>
      </c>
      <c r="I1237" t="s">
        <v>843</v>
      </c>
      <c r="J1237">
        <v>2</v>
      </c>
      <c r="L1237">
        <v>494.49</v>
      </c>
      <c r="M1237">
        <v>842.71</v>
      </c>
      <c r="N1237">
        <v>1257.46</v>
      </c>
      <c r="O1237">
        <v>1793</v>
      </c>
      <c r="P1237">
        <v>0</v>
      </c>
      <c r="Q1237">
        <v>2</v>
      </c>
      <c r="R1237">
        <v>0</v>
      </c>
      <c r="S1237">
        <v>200015</v>
      </c>
      <c r="T1237" t="b">
        <v>1</v>
      </c>
    </row>
    <row r="1238" spans="2:20" x14ac:dyDescent="0.35">
      <c r="B1238">
        <v>2019</v>
      </c>
      <c r="C1238" s="41">
        <v>43400</v>
      </c>
      <c r="D1238" t="s">
        <v>2093</v>
      </c>
      <c r="E1238" t="s">
        <v>219</v>
      </c>
      <c r="F1238" t="s">
        <v>458</v>
      </c>
      <c r="G1238" t="s">
        <v>304</v>
      </c>
      <c r="H1238" t="s">
        <v>2094</v>
      </c>
      <c r="I1238" t="s">
        <v>842</v>
      </c>
      <c r="J1238">
        <v>1</v>
      </c>
      <c r="L1238">
        <v>397.11</v>
      </c>
      <c r="M1238">
        <v>676.76</v>
      </c>
      <c r="N1238">
        <v>1009.83999999999</v>
      </c>
      <c r="O1238">
        <v>1439.92</v>
      </c>
      <c r="P1238">
        <v>0</v>
      </c>
      <c r="Q1238">
        <v>3</v>
      </c>
      <c r="R1238">
        <v>0</v>
      </c>
      <c r="S1238">
        <v>200289</v>
      </c>
      <c r="T1238" t="b">
        <v>1</v>
      </c>
    </row>
    <row r="1239" spans="2:20" x14ac:dyDescent="0.35">
      <c r="B1239">
        <v>2019</v>
      </c>
      <c r="C1239" s="41">
        <v>43400</v>
      </c>
      <c r="D1239" t="s">
        <v>2095</v>
      </c>
      <c r="E1239" t="s">
        <v>219</v>
      </c>
      <c r="F1239" t="s">
        <v>461</v>
      </c>
      <c r="G1239" t="s">
        <v>304</v>
      </c>
      <c r="H1239" t="s">
        <v>2096</v>
      </c>
      <c r="I1239" t="s">
        <v>843</v>
      </c>
      <c r="J1239">
        <v>1</v>
      </c>
      <c r="L1239">
        <v>490.24</v>
      </c>
      <c r="M1239">
        <v>835.47</v>
      </c>
      <c r="N1239">
        <v>1246.6600000000001</v>
      </c>
      <c r="O1239">
        <v>1777.6</v>
      </c>
      <c r="P1239">
        <v>0</v>
      </c>
      <c r="Q1239">
        <v>3</v>
      </c>
      <c r="R1239">
        <v>0</v>
      </c>
      <c r="S1239">
        <v>200289</v>
      </c>
      <c r="T1239" t="b">
        <v>1</v>
      </c>
    </row>
    <row r="1240" spans="2:20" x14ac:dyDescent="0.35">
      <c r="B1240">
        <v>2019</v>
      </c>
      <c r="C1240" s="41">
        <v>43400</v>
      </c>
      <c r="D1240" t="s">
        <v>2097</v>
      </c>
      <c r="E1240" t="s">
        <v>219</v>
      </c>
      <c r="F1240" t="s">
        <v>458</v>
      </c>
      <c r="G1240" t="s">
        <v>304</v>
      </c>
      <c r="H1240" t="s">
        <v>1600</v>
      </c>
      <c r="I1240" t="s">
        <v>310</v>
      </c>
      <c r="J1240">
        <v>1</v>
      </c>
      <c r="L1240">
        <v>578.27</v>
      </c>
      <c r="M1240">
        <v>985.48</v>
      </c>
      <c r="N1240">
        <v>1470.49</v>
      </c>
      <c r="O1240">
        <v>2096.7600000000002</v>
      </c>
      <c r="P1240">
        <v>1</v>
      </c>
      <c r="Q1240">
        <v>1</v>
      </c>
      <c r="R1240">
        <v>0</v>
      </c>
      <c r="S1240">
        <v>200289</v>
      </c>
      <c r="T1240" t="b">
        <v>1</v>
      </c>
    </row>
    <row r="1241" spans="2:20" x14ac:dyDescent="0.35">
      <c r="B1241">
        <v>2014</v>
      </c>
      <c r="C1241" s="41">
        <v>42795</v>
      </c>
      <c r="D1241" t="s">
        <v>2098</v>
      </c>
      <c r="E1241" t="s">
        <v>219</v>
      </c>
      <c r="F1241" t="s">
        <v>1311</v>
      </c>
      <c r="G1241" t="s">
        <v>1299</v>
      </c>
      <c r="H1241" t="s">
        <v>267</v>
      </c>
      <c r="I1241" t="s">
        <v>310</v>
      </c>
      <c r="J1241">
        <v>2</v>
      </c>
      <c r="L1241">
        <v>209.86</v>
      </c>
      <c r="M1241">
        <v>357.65</v>
      </c>
      <c r="N1241">
        <v>481.61</v>
      </c>
      <c r="O1241">
        <v>708.9</v>
      </c>
      <c r="P1241">
        <v>1</v>
      </c>
      <c r="Q1241">
        <v>1</v>
      </c>
      <c r="R1241">
        <v>0</v>
      </c>
      <c r="T1241" t="b">
        <v>1</v>
      </c>
    </row>
    <row r="1242" spans="2:20" x14ac:dyDescent="0.35">
      <c r="B1242">
        <v>2014</v>
      </c>
      <c r="C1242" s="41">
        <v>42795</v>
      </c>
      <c r="D1242" t="s">
        <v>2098</v>
      </c>
      <c r="E1242" t="s">
        <v>219</v>
      </c>
      <c r="F1242" t="s">
        <v>1301</v>
      </c>
      <c r="G1242" t="s">
        <v>1299</v>
      </c>
      <c r="H1242" t="s">
        <v>267</v>
      </c>
      <c r="I1242" t="s">
        <v>310</v>
      </c>
      <c r="J1242">
        <v>2</v>
      </c>
      <c r="L1242">
        <v>263.74</v>
      </c>
      <c r="M1242">
        <v>449.46</v>
      </c>
      <c r="N1242">
        <v>605.23</v>
      </c>
      <c r="O1242">
        <v>890.86</v>
      </c>
      <c r="P1242">
        <v>1</v>
      </c>
      <c r="Q1242">
        <v>1</v>
      </c>
      <c r="R1242">
        <v>0</v>
      </c>
      <c r="T1242" t="b">
        <v>1</v>
      </c>
    </row>
    <row r="1243" spans="2:20" x14ac:dyDescent="0.35">
      <c r="B1243">
        <v>2014</v>
      </c>
      <c r="C1243" s="41">
        <v>42795</v>
      </c>
      <c r="D1243" t="s">
        <v>2098</v>
      </c>
      <c r="E1243" t="s">
        <v>219</v>
      </c>
      <c r="F1243" t="s">
        <v>1309</v>
      </c>
      <c r="G1243" t="s">
        <v>1299</v>
      </c>
      <c r="H1243" t="s">
        <v>267</v>
      </c>
      <c r="I1243" t="s">
        <v>310</v>
      </c>
      <c r="J1243">
        <v>2</v>
      </c>
      <c r="L1243">
        <v>231.31</v>
      </c>
      <c r="M1243">
        <v>394.2</v>
      </c>
      <c r="N1243">
        <v>530.80999999999995</v>
      </c>
      <c r="O1243">
        <v>781.31999999999903</v>
      </c>
      <c r="P1243">
        <v>1</v>
      </c>
      <c r="Q1243">
        <v>1</v>
      </c>
      <c r="R1243">
        <v>0</v>
      </c>
      <c r="T1243" t="b">
        <v>1</v>
      </c>
    </row>
    <row r="1244" spans="2:20" x14ac:dyDescent="0.35">
      <c r="B1244">
        <v>2014</v>
      </c>
      <c r="C1244" s="41">
        <v>42795</v>
      </c>
      <c r="D1244" t="s">
        <v>2099</v>
      </c>
      <c r="E1244" t="s">
        <v>219</v>
      </c>
      <c r="F1244" t="s">
        <v>458</v>
      </c>
      <c r="G1244" t="s">
        <v>2100</v>
      </c>
      <c r="H1244" t="s">
        <v>2101</v>
      </c>
      <c r="I1244" t="s">
        <v>1555</v>
      </c>
      <c r="J1244">
        <v>2</v>
      </c>
      <c r="L1244">
        <v>241.5</v>
      </c>
      <c r="M1244">
        <v>411.58</v>
      </c>
      <c r="N1244">
        <v>554.19000000000005</v>
      </c>
      <c r="O1244">
        <v>815.74</v>
      </c>
      <c r="P1244">
        <v>0</v>
      </c>
      <c r="Q1244">
        <v>3</v>
      </c>
      <c r="R1244">
        <v>0</v>
      </c>
      <c r="T1244" t="b">
        <v>1</v>
      </c>
    </row>
    <row r="1245" spans="2:20" x14ac:dyDescent="0.35">
      <c r="B1245">
        <v>2014</v>
      </c>
      <c r="C1245" s="41">
        <v>42795</v>
      </c>
      <c r="D1245" t="s">
        <v>2099</v>
      </c>
      <c r="E1245" t="s">
        <v>219</v>
      </c>
      <c r="F1245" t="s">
        <v>1301</v>
      </c>
      <c r="G1245" t="s">
        <v>2100</v>
      </c>
      <c r="H1245" t="s">
        <v>2101</v>
      </c>
      <c r="I1245" t="s">
        <v>1555</v>
      </c>
      <c r="J1245">
        <v>2</v>
      </c>
      <c r="L1245">
        <v>241.5</v>
      </c>
      <c r="M1245">
        <v>411.58</v>
      </c>
      <c r="N1245">
        <v>554.19000000000005</v>
      </c>
      <c r="O1245">
        <v>815.74</v>
      </c>
      <c r="P1245">
        <v>0</v>
      </c>
      <c r="Q1245">
        <v>3</v>
      </c>
      <c r="R1245">
        <v>0</v>
      </c>
      <c r="T1245" t="b">
        <v>1</v>
      </c>
    </row>
    <row r="1246" spans="2:20" x14ac:dyDescent="0.35">
      <c r="B1246">
        <v>2014</v>
      </c>
      <c r="C1246" s="41">
        <v>42795</v>
      </c>
      <c r="D1246" t="s">
        <v>2099</v>
      </c>
      <c r="E1246" t="s">
        <v>219</v>
      </c>
      <c r="F1246" t="s">
        <v>461</v>
      </c>
      <c r="G1246" t="s">
        <v>2100</v>
      </c>
      <c r="H1246" t="s">
        <v>2101</v>
      </c>
      <c r="I1246" t="s">
        <v>1555</v>
      </c>
      <c r="J1246">
        <v>2</v>
      </c>
      <c r="L1246">
        <v>241.5</v>
      </c>
      <c r="M1246">
        <v>411.58</v>
      </c>
      <c r="N1246">
        <v>554.19000000000005</v>
      </c>
      <c r="O1246">
        <v>815.74</v>
      </c>
      <c r="P1246">
        <v>0</v>
      </c>
      <c r="Q1246">
        <v>3</v>
      </c>
      <c r="R1246">
        <v>0</v>
      </c>
      <c r="T1246" t="b">
        <v>1</v>
      </c>
    </row>
    <row r="1247" spans="2:20" x14ac:dyDescent="0.35">
      <c r="B1247">
        <v>2014</v>
      </c>
      <c r="C1247" s="41">
        <v>42795</v>
      </c>
      <c r="D1247" t="s">
        <v>2102</v>
      </c>
      <c r="E1247" t="s">
        <v>219</v>
      </c>
      <c r="F1247" t="s">
        <v>458</v>
      </c>
      <c r="G1247" t="s">
        <v>2100</v>
      </c>
      <c r="H1247" t="s">
        <v>224</v>
      </c>
      <c r="I1247" t="s">
        <v>310</v>
      </c>
      <c r="J1247">
        <v>2</v>
      </c>
      <c r="L1247">
        <v>187.8</v>
      </c>
      <c r="M1247">
        <v>320.06</v>
      </c>
      <c r="N1247">
        <v>430.95</v>
      </c>
      <c r="O1247">
        <v>634.33999999999901</v>
      </c>
      <c r="P1247">
        <v>1</v>
      </c>
      <c r="Q1247">
        <v>1</v>
      </c>
      <c r="R1247">
        <v>0</v>
      </c>
      <c r="T1247" t="b">
        <v>1</v>
      </c>
    </row>
    <row r="1248" spans="2:20" x14ac:dyDescent="0.35">
      <c r="B1248">
        <v>2014</v>
      </c>
      <c r="C1248" s="41">
        <v>42795</v>
      </c>
      <c r="D1248" t="s">
        <v>2102</v>
      </c>
      <c r="E1248" t="s">
        <v>219</v>
      </c>
      <c r="F1248" t="s">
        <v>461</v>
      </c>
      <c r="G1248" t="s">
        <v>2100</v>
      </c>
      <c r="H1248" t="s">
        <v>224</v>
      </c>
      <c r="I1248" t="s">
        <v>310</v>
      </c>
      <c r="J1248">
        <v>2</v>
      </c>
      <c r="L1248">
        <v>187.8</v>
      </c>
      <c r="M1248">
        <v>320.06</v>
      </c>
      <c r="N1248">
        <v>430.95</v>
      </c>
      <c r="O1248">
        <v>634.33999999999901</v>
      </c>
      <c r="P1248">
        <v>1</v>
      </c>
      <c r="Q1248">
        <v>1</v>
      </c>
      <c r="R1248">
        <v>0</v>
      </c>
      <c r="T1248" t="b">
        <v>1</v>
      </c>
    </row>
    <row r="1249" spans="2:20" x14ac:dyDescent="0.35">
      <c r="B1249">
        <v>2014</v>
      </c>
      <c r="C1249" s="41">
        <v>42795</v>
      </c>
      <c r="D1249" t="s">
        <v>2102</v>
      </c>
      <c r="E1249" t="s">
        <v>219</v>
      </c>
      <c r="F1249" t="s">
        <v>1301</v>
      </c>
      <c r="G1249" t="s">
        <v>2100</v>
      </c>
      <c r="H1249" t="s">
        <v>224</v>
      </c>
      <c r="I1249" t="s">
        <v>310</v>
      </c>
      <c r="J1249">
        <v>2</v>
      </c>
      <c r="L1249">
        <v>187.8</v>
      </c>
      <c r="M1249">
        <v>320.06</v>
      </c>
      <c r="N1249">
        <v>430.95</v>
      </c>
      <c r="O1249">
        <v>634.33999999999901</v>
      </c>
      <c r="P1249">
        <v>1</v>
      </c>
      <c r="Q1249">
        <v>1</v>
      </c>
      <c r="R1249">
        <v>0</v>
      </c>
      <c r="T1249" t="b">
        <v>1</v>
      </c>
    </row>
    <row r="1250" spans="2:20" x14ac:dyDescent="0.35">
      <c r="B1250">
        <v>2014</v>
      </c>
      <c r="C1250" s="41">
        <v>42795</v>
      </c>
      <c r="D1250" t="s">
        <v>2103</v>
      </c>
      <c r="E1250" t="s">
        <v>219</v>
      </c>
      <c r="F1250" t="s">
        <v>1301</v>
      </c>
      <c r="G1250" t="s">
        <v>304</v>
      </c>
      <c r="H1250" t="s">
        <v>306</v>
      </c>
      <c r="I1250" t="s">
        <v>310</v>
      </c>
      <c r="J1250">
        <v>1</v>
      </c>
      <c r="L1250">
        <v>258.10000000000002</v>
      </c>
      <c r="M1250">
        <v>439.85</v>
      </c>
      <c r="N1250">
        <v>592.30999999999995</v>
      </c>
      <c r="O1250">
        <v>871.83999999999901</v>
      </c>
      <c r="P1250">
        <v>1</v>
      </c>
      <c r="Q1250">
        <v>1</v>
      </c>
      <c r="R1250">
        <v>0</v>
      </c>
      <c r="T1250" t="b">
        <v>1</v>
      </c>
    </row>
    <row r="1251" spans="2:20" x14ac:dyDescent="0.35">
      <c r="B1251">
        <v>2014</v>
      </c>
      <c r="C1251" s="41">
        <v>42795</v>
      </c>
      <c r="D1251" t="s">
        <v>2103</v>
      </c>
      <c r="E1251" t="s">
        <v>219</v>
      </c>
      <c r="F1251" t="s">
        <v>1302</v>
      </c>
      <c r="G1251" t="s">
        <v>304</v>
      </c>
      <c r="H1251" t="s">
        <v>306</v>
      </c>
      <c r="I1251" t="s">
        <v>310</v>
      </c>
      <c r="J1251">
        <v>1</v>
      </c>
      <c r="L1251">
        <v>286.77999999999997</v>
      </c>
      <c r="M1251">
        <v>488.73</v>
      </c>
      <c r="N1251">
        <v>658.099999999999</v>
      </c>
      <c r="O1251">
        <v>968.68</v>
      </c>
      <c r="P1251">
        <v>1</v>
      </c>
      <c r="Q1251">
        <v>1</v>
      </c>
      <c r="R1251">
        <v>0</v>
      </c>
      <c r="T1251" t="b">
        <v>1</v>
      </c>
    </row>
    <row r="1252" spans="2:20" x14ac:dyDescent="0.35">
      <c r="B1252">
        <v>2014</v>
      </c>
      <c r="C1252" s="41">
        <v>42795</v>
      </c>
      <c r="D1252" t="s">
        <v>2103</v>
      </c>
      <c r="E1252" t="s">
        <v>219</v>
      </c>
      <c r="F1252" t="s">
        <v>458</v>
      </c>
      <c r="G1252" t="s">
        <v>304</v>
      </c>
      <c r="H1252" t="s">
        <v>306</v>
      </c>
      <c r="I1252" t="s">
        <v>310</v>
      </c>
      <c r="J1252">
        <v>1</v>
      </c>
      <c r="L1252">
        <v>272.44</v>
      </c>
      <c r="M1252">
        <v>464.29</v>
      </c>
      <c r="N1252">
        <v>625.19000000000005</v>
      </c>
      <c r="O1252">
        <v>920.24</v>
      </c>
      <c r="P1252">
        <v>1</v>
      </c>
      <c r="Q1252">
        <v>1</v>
      </c>
      <c r="R1252">
        <v>0</v>
      </c>
      <c r="T1252" t="b">
        <v>1</v>
      </c>
    </row>
    <row r="1253" spans="2:20" x14ac:dyDescent="0.35">
      <c r="B1253">
        <v>2014</v>
      </c>
      <c r="C1253" s="41">
        <v>42795</v>
      </c>
      <c r="D1253" t="s">
        <v>2103</v>
      </c>
      <c r="E1253" t="s">
        <v>219</v>
      </c>
      <c r="F1253" t="s">
        <v>461</v>
      </c>
      <c r="G1253" t="s">
        <v>304</v>
      </c>
      <c r="H1253" t="s">
        <v>306</v>
      </c>
      <c r="I1253" t="s">
        <v>310</v>
      </c>
      <c r="J1253">
        <v>1</v>
      </c>
      <c r="L1253">
        <v>315.45</v>
      </c>
      <c r="M1253">
        <v>537.6</v>
      </c>
      <c r="N1253">
        <v>723.92</v>
      </c>
      <c r="O1253">
        <v>1065.56</v>
      </c>
      <c r="P1253">
        <v>1</v>
      </c>
      <c r="Q1253">
        <v>1</v>
      </c>
      <c r="R1253">
        <v>0</v>
      </c>
      <c r="T1253" t="b">
        <v>1</v>
      </c>
    </row>
    <row r="1254" spans="2:20" x14ac:dyDescent="0.35">
      <c r="B1254">
        <v>2014</v>
      </c>
      <c r="C1254" s="41">
        <v>42795</v>
      </c>
      <c r="D1254" t="s">
        <v>2103</v>
      </c>
      <c r="E1254" t="s">
        <v>219</v>
      </c>
      <c r="F1254" t="s">
        <v>1298</v>
      </c>
      <c r="G1254" t="s">
        <v>304</v>
      </c>
      <c r="H1254" t="s">
        <v>306</v>
      </c>
      <c r="I1254" t="s">
        <v>310</v>
      </c>
      <c r="J1254">
        <v>1</v>
      </c>
      <c r="L1254">
        <v>286.77999999999997</v>
      </c>
      <c r="M1254">
        <v>488.73</v>
      </c>
      <c r="N1254">
        <v>658.099999999999</v>
      </c>
      <c r="O1254">
        <v>968.68</v>
      </c>
      <c r="P1254">
        <v>1</v>
      </c>
      <c r="Q1254">
        <v>1</v>
      </c>
      <c r="R1254">
        <v>0</v>
      </c>
      <c r="T1254" t="b">
        <v>1</v>
      </c>
    </row>
    <row r="1255" spans="2:20" x14ac:dyDescent="0.35">
      <c r="B1255">
        <v>2014</v>
      </c>
      <c r="C1255" s="41">
        <v>42795</v>
      </c>
      <c r="D1255" t="s">
        <v>2103</v>
      </c>
      <c r="E1255" t="s">
        <v>219</v>
      </c>
      <c r="F1255" t="s">
        <v>1390</v>
      </c>
      <c r="G1255" t="s">
        <v>304</v>
      </c>
      <c r="H1255" t="s">
        <v>306</v>
      </c>
      <c r="I1255" t="s">
        <v>310</v>
      </c>
      <c r="J1255">
        <v>1</v>
      </c>
      <c r="L1255">
        <v>306.85000000000002</v>
      </c>
      <c r="M1255">
        <v>522.94000000000005</v>
      </c>
      <c r="N1255">
        <v>704.19</v>
      </c>
      <c r="O1255">
        <v>1036.52</v>
      </c>
      <c r="P1255">
        <v>1</v>
      </c>
      <c r="Q1255">
        <v>1</v>
      </c>
      <c r="R1255">
        <v>0</v>
      </c>
      <c r="T1255" t="b">
        <v>1</v>
      </c>
    </row>
    <row r="1256" spans="2:20" x14ac:dyDescent="0.35">
      <c r="B1256">
        <v>2014</v>
      </c>
      <c r="C1256" s="41">
        <v>42795</v>
      </c>
      <c r="D1256" t="s">
        <v>2103</v>
      </c>
      <c r="E1256" t="s">
        <v>219</v>
      </c>
      <c r="F1256" t="s">
        <v>1311</v>
      </c>
      <c r="G1256" t="s">
        <v>304</v>
      </c>
      <c r="H1256" t="s">
        <v>306</v>
      </c>
      <c r="I1256" t="s">
        <v>310</v>
      </c>
      <c r="J1256">
        <v>1</v>
      </c>
      <c r="L1256">
        <v>301.12</v>
      </c>
      <c r="M1256">
        <v>513.16</v>
      </c>
      <c r="N1256">
        <v>691.01</v>
      </c>
      <c r="O1256">
        <v>1017.12</v>
      </c>
      <c r="P1256">
        <v>1</v>
      </c>
      <c r="Q1256">
        <v>1</v>
      </c>
      <c r="R1256">
        <v>0</v>
      </c>
      <c r="T1256" t="b">
        <v>1</v>
      </c>
    </row>
    <row r="1257" spans="2:20" x14ac:dyDescent="0.35">
      <c r="B1257">
        <v>2014</v>
      </c>
      <c r="C1257" s="41">
        <v>42795</v>
      </c>
      <c r="D1257" t="s">
        <v>892</v>
      </c>
      <c r="E1257" t="s">
        <v>219</v>
      </c>
      <c r="F1257" t="s">
        <v>461</v>
      </c>
      <c r="G1257" t="s">
        <v>304</v>
      </c>
      <c r="H1257" t="s">
        <v>306</v>
      </c>
      <c r="I1257" t="s">
        <v>843</v>
      </c>
      <c r="J1257">
        <v>1</v>
      </c>
      <c r="L1257">
        <v>344.01</v>
      </c>
      <c r="M1257">
        <v>586.27</v>
      </c>
      <c r="N1257">
        <v>789.45</v>
      </c>
      <c r="O1257">
        <v>1162.02</v>
      </c>
      <c r="P1257">
        <v>0</v>
      </c>
      <c r="Q1257">
        <v>3</v>
      </c>
      <c r="R1257">
        <v>0</v>
      </c>
      <c r="T1257" t="b">
        <v>1</v>
      </c>
    </row>
    <row r="1258" spans="2:20" x14ac:dyDescent="0.35">
      <c r="B1258">
        <v>2014</v>
      </c>
      <c r="C1258" s="41">
        <v>42795</v>
      </c>
      <c r="D1258" t="s">
        <v>892</v>
      </c>
      <c r="E1258" t="s">
        <v>219</v>
      </c>
      <c r="F1258" t="s">
        <v>1390</v>
      </c>
      <c r="G1258" t="s">
        <v>304</v>
      </c>
      <c r="H1258" t="s">
        <v>306</v>
      </c>
      <c r="I1258" t="s">
        <v>843</v>
      </c>
      <c r="J1258">
        <v>1</v>
      </c>
      <c r="L1258">
        <v>334.63</v>
      </c>
      <c r="M1258">
        <v>570.28</v>
      </c>
      <c r="N1258">
        <v>767.93</v>
      </c>
      <c r="O1258">
        <v>1130.3399999999999</v>
      </c>
      <c r="P1258">
        <v>0</v>
      </c>
      <c r="Q1258">
        <v>3</v>
      </c>
      <c r="R1258">
        <v>0</v>
      </c>
      <c r="T1258" t="b">
        <v>1</v>
      </c>
    </row>
    <row r="1259" spans="2:20" x14ac:dyDescent="0.35">
      <c r="B1259">
        <v>2014</v>
      </c>
      <c r="C1259" s="41">
        <v>42795</v>
      </c>
      <c r="D1259" t="s">
        <v>892</v>
      </c>
      <c r="E1259" t="s">
        <v>219</v>
      </c>
      <c r="F1259" t="s">
        <v>1311</v>
      </c>
      <c r="G1259" t="s">
        <v>304</v>
      </c>
      <c r="H1259" t="s">
        <v>306</v>
      </c>
      <c r="I1259" t="s">
        <v>843</v>
      </c>
      <c r="J1259">
        <v>1</v>
      </c>
      <c r="L1259">
        <v>328.38</v>
      </c>
      <c r="M1259">
        <v>559.62</v>
      </c>
      <c r="N1259">
        <v>753.57999999999902</v>
      </c>
      <c r="O1259">
        <v>1109.22</v>
      </c>
      <c r="P1259">
        <v>0</v>
      </c>
      <c r="Q1259">
        <v>3</v>
      </c>
      <c r="R1259">
        <v>0</v>
      </c>
      <c r="T1259" t="b">
        <v>1</v>
      </c>
    </row>
    <row r="1260" spans="2:20" x14ac:dyDescent="0.35">
      <c r="B1260">
        <v>2014</v>
      </c>
      <c r="C1260" s="41">
        <v>42795</v>
      </c>
      <c r="D1260" t="s">
        <v>892</v>
      </c>
      <c r="E1260" t="s">
        <v>219</v>
      </c>
      <c r="F1260" t="s">
        <v>1301</v>
      </c>
      <c r="G1260" t="s">
        <v>304</v>
      </c>
      <c r="H1260" t="s">
        <v>306</v>
      </c>
      <c r="I1260" t="s">
        <v>843</v>
      </c>
      <c r="J1260">
        <v>1</v>
      </c>
      <c r="L1260">
        <v>281.47000000000003</v>
      </c>
      <c r="M1260">
        <v>479.67</v>
      </c>
      <c r="N1260">
        <v>645.91</v>
      </c>
      <c r="O1260">
        <v>950.74</v>
      </c>
      <c r="P1260">
        <v>0</v>
      </c>
      <c r="Q1260">
        <v>3</v>
      </c>
      <c r="R1260">
        <v>0</v>
      </c>
      <c r="T1260" t="b">
        <v>1</v>
      </c>
    </row>
    <row r="1261" spans="2:20" x14ac:dyDescent="0.35">
      <c r="B1261">
        <v>2014</v>
      </c>
      <c r="C1261" s="41">
        <v>42795</v>
      </c>
      <c r="D1261" t="s">
        <v>892</v>
      </c>
      <c r="E1261" t="s">
        <v>219</v>
      </c>
      <c r="F1261" t="s">
        <v>1298</v>
      </c>
      <c r="G1261" t="s">
        <v>304</v>
      </c>
      <c r="H1261" t="s">
        <v>306</v>
      </c>
      <c r="I1261" t="s">
        <v>843</v>
      </c>
      <c r="J1261">
        <v>1</v>
      </c>
      <c r="L1261">
        <v>312.74</v>
      </c>
      <c r="M1261">
        <v>532.97</v>
      </c>
      <c r="N1261">
        <v>717.68</v>
      </c>
      <c r="O1261">
        <v>1056.3800000000001</v>
      </c>
      <c r="P1261">
        <v>0</v>
      </c>
      <c r="Q1261">
        <v>3</v>
      </c>
      <c r="R1261">
        <v>0</v>
      </c>
      <c r="T1261" t="b">
        <v>1</v>
      </c>
    </row>
    <row r="1262" spans="2:20" x14ac:dyDescent="0.35">
      <c r="B1262">
        <v>2014</v>
      </c>
      <c r="C1262" s="41">
        <v>42795</v>
      </c>
      <c r="D1262" t="s">
        <v>892</v>
      </c>
      <c r="E1262" t="s">
        <v>219</v>
      </c>
      <c r="F1262" t="s">
        <v>1302</v>
      </c>
      <c r="G1262" t="s">
        <v>304</v>
      </c>
      <c r="H1262" t="s">
        <v>306</v>
      </c>
      <c r="I1262" t="s">
        <v>843</v>
      </c>
      <c r="J1262">
        <v>1</v>
      </c>
      <c r="L1262">
        <v>312.74</v>
      </c>
      <c r="M1262">
        <v>532.97</v>
      </c>
      <c r="N1262">
        <v>717.68</v>
      </c>
      <c r="O1262">
        <v>1056.3800000000001</v>
      </c>
      <c r="P1262">
        <v>0</v>
      </c>
      <c r="Q1262">
        <v>3</v>
      </c>
      <c r="R1262">
        <v>0</v>
      </c>
      <c r="T1262" t="b">
        <v>1</v>
      </c>
    </row>
    <row r="1263" spans="2:20" x14ac:dyDescent="0.35">
      <c r="B1263">
        <v>2014</v>
      </c>
      <c r="C1263" s="41">
        <v>42795</v>
      </c>
      <c r="D1263" t="s">
        <v>892</v>
      </c>
      <c r="E1263" t="s">
        <v>219</v>
      </c>
      <c r="F1263" t="s">
        <v>458</v>
      </c>
      <c r="G1263" t="s">
        <v>304</v>
      </c>
      <c r="H1263" t="s">
        <v>306</v>
      </c>
      <c r="I1263" t="s">
        <v>843</v>
      </c>
      <c r="J1263">
        <v>1</v>
      </c>
      <c r="L1263">
        <v>297.10000000000002</v>
      </c>
      <c r="M1263">
        <v>506.32</v>
      </c>
      <c r="N1263">
        <v>681.81</v>
      </c>
      <c r="O1263">
        <v>1003.57999999999</v>
      </c>
      <c r="P1263">
        <v>0</v>
      </c>
      <c r="Q1263">
        <v>3</v>
      </c>
      <c r="R1263">
        <v>0</v>
      </c>
      <c r="T1263" t="b">
        <v>1</v>
      </c>
    </row>
    <row r="1264" spans="2:20" x14ac:dyDescent="0.35">
      <c r="B1264">
        <v>2014</v>
      </c>
      <c r="C1264" s="41">
        <v>42795</v>
      </c>
      <c r="D1264" t="s">
        <v>1084</v>
      </c>
      <c r="E1264" t="s">
        <v>219</v>
      </c>
      <c r="F1264" t="s">
        <v>460</v>
      </c>
      <c r="G1264" t="s">
        <v>2100</v>
      </c>
      <c r="H1264" t="s">
        <v>2104</v>
      </c>
      <c r="I1264" t="s">
        <v>843</v>
      </c>
      <c r="J1264">
        <v>3</v>
      </c>
      <c r="L1264">
        <v>281.63</v>
      </c>
      <c r="M1264">
        <v>479.97</v>
      </c>
      <c r="N1264">
        <v>646.29</v>
      </c>
      <c r="O1264">
        <v>951.3</v>
      </c>
      <c r="P1264">
        <v>0</v>
      </c>
      <c r="Q1264">
        <v>3</v>
      </c>
      <c r="R1264">
        <v>0</v>
      </c>
      <c r="T1264" t="b">
        <v>1</v>
      </c>
    </row>
    <row r="1265" spans="2:20" x14ac:dyDescent="0.35">
      <c r="B1265">
        <v>2014</v>
      </c>
      <c r="C1265" s="41">
        <v>42795</v>
      </c>
      <c r="D1265" t="s">
        <v>1084</v>
      </c>
      <c r="E1265" t="s">
        <v>219</v>
      </c>
      <c r="F1265" t="s">
        <v>1301</v>
      </c>
      <c r="G1265" t="s">
        <v>2100</v>
      </c>
      <c r="H1265" t="s">
        <v>2104</v>
      </c>
      <c r="I1265" t="s">
        <v>843</v>
      </c>
      <c r="J1265">
        <v>3</v>
      </c>
      <c r="L1265">
        <v>235.62</v>
      </c>
      <c r="M1265">
        <v>401.57</v>
      </c>
      <c r="N1265">
        <v>540.70000000000005</v>
      </c>
      <c r="O1265">
        <v>795.88</v>
      </c>
      <c r="P1265">
        <v>0</v>
      </c>
      <c r="Q1265">
        <v>3</v>
      </c>
      <c r="R1265">
        <v>0</v>
      </c>
      <c r="T1265" t="b">
        <v>1</v>
      </c>
    </row>
    <row r="1266" spans="2:20" x14ac:dyDescent="0.35">
      <c r="B1266">
        <v>2014</v>
      </c>
      <c r="C1266" s="41">
        <v>42795</v>
      </c>
      <c r="D1266" t="s">
        <v>1084</v>
      </c>
      <c r="E1266" t="s">
        <v>219</v>
      </c>
      <c r="F1266" t="s">
        <v>1390</v>
      </c>
      <c r="G1266" t="s">
        <v>2100</v>
      </c>
      <c r="H1266" t="s">
        <v>2104</v>
      </c>
      <c r="I1266" t="s">
        <v>843</v>
      </c>
      <c r="J1266">
        <v>3</v>
      </c>
      <c r="L1266">
        <v>245.21</v>
      </c>
      <c r="M1266">
        <v>417.91</v>
      </c>
      <c r="N1266">
        <v>562.71</v>
      </c>
      <c r="O1266">
        <v>828.28</v>
      </c>
      <c r="P1266">
        <v>0</v>
      </c>
      <c r="Q1266">
        <v>3</v>
      </c>
      <c r="R1266">
        <v>0</v>
      </c>
      <c r="T1266" t="b">
        <v>1</v>
      </c>
    </row>
    <row r="1267" spans="2:20" x14ac:dyDescent="0.35">
      <c r="B1267">
        <v>2014</v>
      </c>
      <c r="C1267" s="41">
        <v>42795</v>
      </c>
      <c r="D1267" t="s">
        <v>1084</v>
      </c>
      <c r="E1267" t="s">
        <v>219</v>
      </c>
      <c r="F1267" t="s">
        <v>1307</v>
      </c>
      <c r="G1267" t="s">
        <v>2100</v>
      </c>
      <c r="H1267" t="s">
        <v>2104</v>
      </c>
      <c r="I1267" t="s">
        <v>843</v>
      </c>
      <c r="J1267">
        <v>3</v>
      </c>
      <c r="L1267">
        <v>227.9</v>
      </c>
      <c r="M1267">
        <v>388.4</v>
      </c>
      <c r="N1267">
        <v>522.98</v>
      </c>
      <c r="O1267">
        <v>769.8</v>
      </c>
      <c r="P1267">
        <v>0</v>
      </c>
      <c r="Q1267">
        <v>3</v>
      </c>
      <c r="R1267">
        <v>0</v>
      </c>
      <c r="T1267" t="b">
        <v>1</v>
      </c>
    </row>
    <row r="1268" spans="2:20" x14ac:dyDescent="0.35">
      <c r="B1268">
        <v>2014</v>
      </c>
      <c r="C1268" s="41">
        <v>42795</v>
      </c>
      <c r="D1268" t="s">
        <v>1084</v>
      </c>
      <c r="E1268" t="s">
        <v>219</v>
      </c>
      <c r="F1268" t="s">
        <v>464</v>
      </c>
      <c r="G1268" t="s">
        <v>2100</v>
      </c>
      <c r="H1268" t="s">
        <v>2104</v>
      </c>
      <c r="I1268" t="s">
        <v>843</v>
      </c>
      <c r="J1268">
        <v>3</v>
      </c>
      <c r="L1268">
        <v>235.37</v>
      </c>
      <c r="M1268">
        <v>401.13</v>
      </c>
      <c r="N1268">
        <v>540.13</v>
      </c>
      <c r="O1268">
        <v>795.04</v>
      </c>
      <c r="P1268">
        <v>0</v>
      </c>
      <c r="Q1268">
        <v>3</v>
      </c>
      <c r="R1268">
        <v>0</v>
      </c>
      <c r="T1268" t="b">
        <v>1</v>
      </c>
    </row>
    <row r="1269" spans="2:20" x14ac:dyDescent="0.35">
      <c r="B1269">
        <v>2014</v>
      </c>
      <c r="C1269" s="41">
        <v>42795</v>
      </c>
      <c r="D1269" t="s">
        <v>1084</v>
      </c>
      <c r="E1269" t="s">
        <v>219</v>
      </c>
      <c r="F1269" t="s">
        <v>1311</v>
      </c>
      <c r="G1269" t="s">
        <v>2100</v>
      </c>
      <c r="H1269" t="s">
        <v>2104</v>
      </c>
      <c r="I1269" t="s">
        <v>843</v>
      </c>
      <c r="J1269">
        <v>3</v>
      </c>
      <c r="L1269">
        <v>261.51</v>
      </c>
      <c r="M1269">
        <v>445.69</v>
      </c>
      <c r="N1269">
        <v>600.12</v>
      </c>
      <c r="O1269">
        <v>883.34</v>
      </c>
      <c r="P1269">
        <v>0</v>
      </c>
      <c r="Q1269">
        <v>3</v>
      </c>
      <c r="R1269">
        <v>0</v>
      </c>
      <c r="T1269" t="b">
        <v>1</v>
      </c>
    </row>
    <row r="1270" spans="2:20" x14ac:dyDescent="0.35">
      <c r="B1270">
        <v>2014</v>
      </c>
      <c r="C1270" s="41">
        <v>42795</v>
      </c>
      <c r="D1270" t="s">
        <v>1084</v>
      </c>
      <c r="E1270" t="s">
        <v>219</v>
      </c>
      <c r="F1270" t="s">
        <v>458</v>
      </c>
      <c r="G1270" t="s">
        <v>2100</v>
      </c>
      <c r="H1270" t="s">
        <v>2104</v>
      </c>
      <c r="I1270" t="s">
        <v>843</v>
      </c>
      <c r="J1270">
        <v>3</v>
      </c>
      <c r="L1270">
        <v>230.43</v>
      </c>
      <c r="M1270">
        <v>392.71</v>
      </c>
      <c r="N1270">
        <v>528.78</v>
      </c>
      <c r="O1270">
        <v>778.34</v>
      </c>
      <c r="P1270">
        <v>0</v>
      </c>
      <c r="Q1270">
        <v>3</v>
      </c>
      <c r="R1270">
        <v>0</v>
      </c>
      <c r="T1270" t="b">
        <v>1</v>
      </c>
    </row>
    <row r="1271" spans="2:20" x14ac:dyDescent="0.35">
      <c r="B1271">
        <v>2014</v>
      </c>
      <c r="C1271" s="41">
        <v>42795</v>
      </c>
      <c r="D1271" t="s">
        <v>1084</v>
      </c>
      <c r="E1271" t="s">
        <v>219</v>
      </c>
      <c r="F1271" t="s">
        <v>1309</v>
      </c>
      <c r="G1271" t="s">
        <v>2100</v>
      </c>
      <c r="H1271" t="s">
        <v>2104</v>
      </c>
      <c r="I1271" t="s">
        <v>843</v>
      </c>
      <c r="J1271">
        <v>3</v>
      </c>
      <c r="L1271">
        <v>239.92</v>
      </c>
      <c r="M1271">
        <v>408.89</v>
      </c>
      <c r="N1271">
        <v>550.57999999999902</v>
      </c>
      <c r="O1271">
        <v>810.42</v>
      </c>
      <c r="P1271">
        <v>0</v>
      </c>
      <c r="Q1271">
        <v>3</v>
      </c>
      <c r="R1271">
        <v>0</v>
      </c>
      <c r="T1271" t="b">
        <v>1</v>
      </c>
    </row>
    <row r="1272" spans="2:20" x14ac:dyDescent="0.35">
      <c r="B1272">
        <v>2014</v>
      </c>
      <c r="C1272" s="41">
        <v>42795</v>
      </c>
      <c r="D1272" t="s">
        <v>1084</v>
      </c>
      <c r="E1272" t="s">
        <v>219</v>
      </c>
      <c r="F1272" t="s">
        <v>461</v>
      </c>
      <c r="G1272" t="s">
        <v>2100</v>
      </c>
      <c r="H1272" t="s">
        <v>2104</v>
      </c>
      <c r="I1272" t="s">
        <v>843</v>
      </c>
      <c r="J1272">
        <v>3</v>
      </c>
      <c r="L1272">
        <v>251.44</v>
      </c>
      <c r="M1272">
        <v>428.53</v>
      </c>
      <c r="N1272">
        <v>577.02</v>
      </c>
      <c r="O1272">
        <v>849.33999999999901</v>
      </c>
      <c r="P1272">
        <v>0</v>
      </c>
      <c r="Q1272">
        <v>3</v>
      </c>
      <c r="R1272">
        <v>0</v>
      </c>
      <c r="T1272" t="b">
        <v>1</v>
      </c>
    </row>
    <row r="1273" spans="2:20" x14ac:dyDescent="0.35">
      <c r="B1273">
        <v>2014</v>
      </c>
      <c r="C1273" s="41">
        <v>42795</v>
      </c>
      <c r="D1273" t="s">
        <v>1084</v>
      </c>
      <c r="E1273" t="s">
        <v>219</v>
      </c>
      <c r="F1273" t="s">
        <v>1389</v>
      </c>
      <c r="G1273" t="s">
        <v>2100</v>
      </c>
      <c r="H1273" t="s">
        <v>2104</v>
      </c>
      <c r="I1273" t="s">
        <v>843</v>
      </c>
      <c r="J1273">
        <v>3</v>
      </c>
      <c r="L1273">
        <v>238.75</v>
      </c>
      <c r="M1273">
        <v>406.9</v>
      </c>
      <c r="N1273">
        <v>547.89</v>
      </c>
      <c r="O1273">
        <v>806.46</v>
      </c>
      <c r="P1273">
        <v>0</v>
      </c>
      <c r="Q1273">
        <v>3</v>
      </c>
      <c r="R1273">
        <v>0</v>
      </c>
      <c r="T1273" t="b">
        <v>1</v>
      </c>
    </row>
    <row r="1274" spans="2:20" x14ac:dyDescent="0.35">
      <c r="B1274">
        <v>2014</v>
      </c>
      <c r="C1274" s="41">
        <v>42795</v>
      </c>
      <c r="D1274" t="s">
        <v>1084</v>
      </c>
      <c r="E1274" t="s">
        <v>219</v>
      </c>
      <c r="F1274" t="s">
        <v>459</v>
      </c>
      <c r="G1274" t="s">
        <v>2100</v>
      </c>
      <c r="H1274" t="s">
        <v>2104</v>
      </c>
      <c r="I1274" t="s">
        <v>843</v>
      </c>
      <c r="J1274">
        <v>3</v>
      </c>
      <c r="L1274">
        <v>224.49</v>
      </c>
      <c r="M1274">
        <v>382.6</v>
      </c>
      <c r="N1274">
        <v>515.16999999999996</v>
      </c>
      <c r="O1274">
        <v>758.3</v>
      </c>
      <c r="P1274">
        <v>0</v>
      </c>
      <c r="Q1274">
        <v>3</v>
      </c>
      <c r="R1274">
        <v>0</v>
      </c>
      <c r="T1274" t="b">
        <v>1</v>
      </c>
    </row>
    <row r="1275" spans="2:20" x14ac:dyDescent="0.35">
      <c r="B1275">
        <v>2014</v>
      </c>
      <c r="C1275" s="41">
        <v>42795</v>
      </c>
      <c r="D1275" t="s">
        <v>1084</v>
      </c>
      <c r="E1275" t="s">
        <v>219</v>
      </c>
      <c r="F1275" t="s">
        <v>462</v>
      </c>
      <c r="G1275" t="s">
        <v>2100</v>
      </c>
      <c r="H1275" t="s">
        <v>2104</v>
      </c>
      <c r="I1275" t="s">
        <v>843</v>
      </c>
      <c r="J1275">
        <v>3</v>
      </c>
      <c r="L1275">
        <v>231.32</v>
      </c>
      <c r="M1275">
        <v>394.24</v>
      </c>
      <c r="N1275">
        <v>530.85</v>
      </c>
      <c r="O1275">
        <v>781.38</v>
      </c>
      <c r="P1275">
        <v>0</v>
      </c>
      <c r="Q1275">
        <v>3</v>
      </c>
      <c r="R1275">
        <v>0</v>
      </c>
      <c r="T1275" t="b">
        <v>1</v>
      </c>
    </row>
    <row r="1276" spans="2:20" x14ac:dyDescent="0.35">
      <c r="B1276">
        <v>2014</v>
      </c>
      <c r="C1276" s="41">
        <v>42795</v>
      </c>
      <c r="D1276" t="s">
        <v>2105</v>
      </c>
      <c r="E1276" t="s">
        <v>219</v>
      </c>
      <c r="F1276" t="s">
        <v>1301</v>
      </c>
      <c r="G1276" t="s">
        <v>2100</v>
      </c>
      <c r="H1276" t="s">
        <v>296</v>
      </c>
      <c r="I1276" t="s">
        <v>310</v>
      </c>
      <c r="J1276">
        <v>3</v>
      </c>
      <c r="L1276">
        <v>205.38</v>
      </c>
      <c r="M1276">
        <v>350.03</v>
      </c>
      <c r="N1276">
        <v>471.31</v>
      </c>
      <c r="O1276">
        <v>693.74</v>
      </c>
      <c r="P1276">
        <v>1</v>
      </c>
      <c r="Q1276">
        <v>1</v>
      </c>
      <c r="R1276">
        <v>0</v>
      </c>
      <c r="T1276" t="b">
        <v>1</v>
      </c>
    </row>
    <row r="1277" spans="2:20" x14ac:dyDescent="0.35">
      <c r="B1277">
        <v>2014</v>
      </c>
      <c r="C1277" s="41">
        <v>42795</v>
      </c>
      <c r="D1277" t="s">
        <v>2105</v>
      </c>
      <c r="E1277" t="s">
        <v>219</v>
      </c>
      <c r="F1277" t="s">
        <v>1309</v>
      </c>
      <c r="G1277" t="s">
        <v>2100</v>
      </c>
      <c r="H1277" t="s">
        <v>296</v>
      </c>
      <c r="I1277" t="s">
        <v>310</v>
      </c>
      <c r="J1277">
        <v>3</v>
      </c>
      <c r="L1277">
        <v>209.13</v>
      </c>
      <c r="M1277">
        <v>356.41</v>
      </c>
      <c r="N1277">
        <v>479.909999999999</v>
      </c>
      <c r="O1277">
        <v>706.4</v>
      </c>
      <c r="P1277">
        <v>1</v>
      </c>
      <c r="Q1277">
        <v>1</v>
      </c>
      <c r="R1277">
        <v>0</v>
      </c>
      <c r="T1277" t="b">
        <v>1</v>
      </c>
    </row>
    <row r="1278" spans="2:20" x14ac:dyDescent="0.35">
      <c r="B1278">
        <v>2014</v>
      </c>
      <c r="C1278" s="41">
        <v>42795</v>
      </c>
      <c r="D1278" t="s">
        <v>2105</v>
      </c>
      <c r="E1278" t="s">
        <v>219</v>
      </c>
      <c r="F1278" t="s">
        <v>462</v>
      </c>
      <c r="G1278" t="s">
        <v>2100</v>
      </c>
      <c r="H1278" t="s">
        <v>296</v>
      </c>
      <c r="I1278" t="s">
        <v>310</v>
      </c>
      <c r="J1278">
        <v>3</v>
      </c>
      <c r="L1278">
        <v>201.63</v>
      </c>
      <c r="M1278">
        <v>343.64</v>
      </c>
      <c r="N1278">
        <v>462.71</v>
      </c>
      <c r="O1278">
        <v>681.08</v>
      </c>
      <c r="P1278">
        <v>1</v>
      </c>
      <c r="Q1278">
        <v>1</v>
      </c>
      <c r="R1278">
        <v>0</v>
      </c>
      <c r="T1278" t="b">
        <v>1</v>
      </c>
    </row>
    <row r="1279" spans="2:20" x14ac:dyDescent="0.35">
      <c r="B1279">
        <v>2014</v>
      </c>
      <c r="C1279" s="41">
        <v>42795</v>
      </c>
      <c r="D1279" t="s">
        <v>2105</v>
      </c>
      <c r="E1279" t="s">
        <v>219</v>
      </c>
      <c r="F1279" t="s">
        <v>461</v>
      </c>
      <c r="G1279" t="s">
        <v>2100</v>
      </c>
      <c r="H1279" t="s">
        <v>296</v>
      </c>
      <c r="I1279" t="s">
        <v>310</v>
      </c>
      <c r="J1279">
        <v>3</v>
      </c>
      <c r="L1279">
        <v>219.17</v>
      </c>
      <c r="M1279">
        <v>373.52</v>
      </c>
      <c r="N1279">
        <v>502.94</v>
      </c>
      <c r="O1279">
        <v>740.3</v>
      </c>
      <c r="P1279">
        <v>1</v>
      </c>
      <c r="Q1279">
        <v>1</v>
      </c>
      <c r="R1279">
        <v>0</v>
      </c>
      <c r="T1279" t="b">
        <v>1</v>
      </c>
    </row>
    <row r="1280" spans="2:20" x14ac:dyDescent="0.35">
      <c r="B1280">
        <v>2014</v>
      </c>
      <c r="C1280" s="41">
        <v>42795</v>
      </c>
      <c r="D1280" t="s">
        <v>2105</v>
      </c>
      <c r="E1280" t="s">
        <v>219</v>
      </c>
      <c r="F1280" t="s">
        <v>464</v>
      </c>
      <c r="G1280" t="s">
        <v>2100</v>
      </c>
      <c r="H1280" t="s">
        <v>296</v>
      </c>
      <c r="I1280" t="s">
        <v>310</v>
      </c>
      <c r="J1280">
        <v>3</v>
      </c>
      <c r="L1280">
        <v>205.16</v>
      </c>
      <c r="M1280">
        <v>349.65</v>
      </c>
      <c r="N1280">
        <v>470.81</v>
      </c>
      <c r="O1280">
        <v>693</v>
      </c>
      <c r="P1280">
        <v>1</v>
      </c>
      <c r="Q1280">
        <v>1</v>
      </c>
      <c r="R1280">
        <v>0</v>
      </c>
      <c r="T1280" t="b">
        <v>1</v>
      </c>
    </row>
    <row r="1281" spans="2:20" x14ac:dyDescent="0.35">
      <c r="B1281">
        <v>2014</v>
      </c>
      <c r="C1281" s="41">
        <v>42795</v>
      </c>
      <c r="D1281" t="s">
        <v>2105</v>
      </c>
      <c r="E1281" t="s">
        <v>219</v>
      </c>
      <c r="F1281" t="s">
        <v>458</v>
      </c>
      <c r="G1281" t="s">
        <v>2100</v>
      </c>
      <c r="H1281" t="s">
        <v>296</v>
      </c>
      <c r="I1281" t="s">
        <v>310</v>
      </c>
      <c r="J1281">
        <v>3</v>
      </c>
      <c r="L1281">
        <v>200.85</v>
      </c>
      <c r="M1281">
        <v>342.31</v>
      </c>
      <c r="N1281">
        <v>460.909999999999</v>
      </c>
      <c r="O1281">
        <v>678.44</v>
      </c>
      <c r="P1281">
        <v>1</v>
      </c>
      <c r="Q1281">
        <v>1</v>
      </c>
      <c r="R1281">
        <v>0</v>
      </c>
      <c r="T1281" t="b">
        <v>1</v>
      </c>
    </row>
    <row r="1282" spans="2:20" x14ac:dyDescent="0.35">
      <c r="B1282">
        <v>2014</v>
      </c>
      <c r="C1282" s="41">
        <v>42795</v>
      </c>
      <c r="D1282" t="s">
        <v>2105</v>
      </c>
      <c r="E1282" t="s">
        <v>219</v>
      </c>
      <c r="F1282" t="s">
        <v>1389</v>
      </c>
      <c r="G1282" t="s">
        <v>2100</v>
      </c>
      <c r="H1282" t="s">
        <v>296</v>
      </c>
      <c r="I1282" t="s">
        <v>310</v>
      </c>
      <c r="J1282">
        <v>3</v>
      </c>
      <c r="L1282">
        <v>208.11</v>
      </c>
      <c r="M1282">
        <v>354.67</v>
      </c>
      <c r="N1282">
        <v>477.56</v>
      </c>
      <c r="O1282">
        <v>702.94</v>
      </c>
      <c r="P1282">
        <v>1</v>
      </c>
      <c r="Q1282">
        <v>1</v>
      </c>
      <c r="R1282">
        <v>0</v>
      </c>
      <c r="T1282" t="b">
        <v>1</v>
      </c>
    </row>
    <row r="1283" spans="2:20" x14ac:dyDescent="0.35">
      <c r="B1283">
        <v>2014</v>
      </c>
      <c r="C1283" s="41">
        <v>42795</v>
      </c>
      <c r="D1283" t="s">
        <v>2105</v>
      </c>
      <c r="E1283" t="s">
        <v>219</v>
      </c>
      <c r="F1283" t="s">
        <v>1390</v>
      </c>
      <c r="G1283" t="s">
        <v>2100</v>
      </c>
      <c r="H1283" t="s">
        <v>296</v>
      </c>
      <c r="I1283" t="s">
        <v>310</v>
      </c>
      <c r="J1283">
        <v>3</v>
      </c>
      <c r="L1283">
        <v>213.74</v>
      </c>
      <c r="M1283">
        <v>364.27</v>
      </c>
      <c r="N1283">
        <v>490.48</v>
      </c>
      <c r="O1283">
        <v>721.96</v>
      </c>
      <c r="P1283">
        <v>1</v>
      </c>
      <c r="Q1283">
        <v>1</v>
      </c>
      <c r="R1283">
        <v>0</v>
      </c>
      <c r="T1283" t="b">
        <v>1</v>
      </c>
    </row>
    <row r="1284" spans="2:20" x14ac:dyDescent="0.35">
      <c r="B1284">
        <v>2014</v>
      </c>
      <c r="C1284" s="41">
        <v>42795</v>
      </c>
      <c r="D1284" t="s">
        <v>2105</v>
      </c>
      <c r="E1284" t="s">
        <v>219</v>
      </c>
      <c r="F1284" t="s">
        <v>459</v>
      </c>
      <c r="G1284" t="s">
        <v>2100</v>
      </c>
      <c r="H1284" t="s">
        <v>296</v>
      </c>
      <c r="I1284" t="s">
        <v>310</v>
      </c>
      <c r="J1284">
        <v>3</v>
      </c>
      <c r="L1284">
        <v>195.68</v>
      </c>
      <c r="M1284">
        <v>333.49</v>
      </c>
      <c r="N1284">
        <v>449.05</v>
      </c>
      <c r="O1284">
        <v>660.98</v>
      </c>
      <c r="P1284">
        <v>1</v>
      </c>
      <c r="Q1284">
        <v>1</v>
      </c>
      <c r="R1284">
        <v>0</v>
      </c>
      <c r="T1284" t="b">
        <v>1</v>
      </c>
    </row>
    <row r="1285" spans="2:20" x14ac:dyDescent="0.35">
      <c r="B1285">
        <v>2014</v>
      </c>
      <c r="C1285" s="41">
        <v>42795</v>
      </c>
      <c r="D1285" t="s">
        <v>2105</v>
      </c>
      <c r="E1285" t="s">
        <v>219</v>
      </c>
      <c r="F1285" t="s">
        <v>460</v>
      </c>
      <c r="G1285" t="s">
        <v>2100</v>
      </c>
      <c r="H1285" t="s">
        <v>296</v>
      </c>
      <c r="I1285" t="s">
        <v>310</v>
      </c>
      <c r="J1285">
        <v>3</v>
      </c>
      <c r="L1285">
        <v>245.48</v>
      </c>
      <c r="M1285">
        <v>418.37</v>
      </c>
      <c r="N1285">
        <v>563.34</v>
      </c>
      <c r="O1285">
        <v>829.2</v>
      </c>
      <c r="P1285">
        <v>1</v>
      </c>
      <c r="Q1285">
        <v>1</v>
      </c>
      <c r="R1285">
        <v>0</v>
      </c>
      <c r="T1285" t="b">
        <v>1</v>
      </c>
    </row>
    <row r="1286" spans="2:20" x14ac:dyDescent="0.35">
      <c r="B1286">
        <v>2014</v>
      </c>
      <c r="C1286" s="41">
        <v>42795</v>
      </c>
      <c r="D1286" t="s">
        <v>2105</v>
      </c>
      <c r="E1286" t="s">
        <v>219</v>
      </c>
      <c r="F1286" t="s">
        <v>1311</v>
      </c>
      <c r="G1286" t="s">
        <v>2100</v>
      </c>
      <c r="H1286" t="s">
        <v>296</v>
      </c>
      <c r="I1286" t="s">
        <v>310</v>
      </c>
      <c r="J1286">
        <v>3</v>
      </c>
      <c r="L1286">
        <v>227.95</v>
      </c>
      <c r="M1286">
        <v>388.49</v>
      </c>
      <c r="N1286">
        <v>523.09</v>
      </c>
      <c r="O1286">
        <v>769.96</v>
      </c>
      <c r="P1286">
        <v>1</v>
      </c>
      <c r="Q1286">
        <v>1</v>
      </c>
      <c r="R1286">
        <v>0</v>
      </c>
      <c r="T1286" t="b">
        <v>1</v>
      </c>
    </row>
    <row r="1287" spans="2:20" x14ac:dyDescent="0.35">
      <c r="B1287">
        <v>2014</v>
      </c>
      <c r="C1287" s="41">
        <v>42795</v>
      </c>
      <c r="D1287" t="s">
        <v>2105</v>
      </c>
      <c r="E1287" t="s">
        <v>219</v>
      </c>
      <c r="F1287" t="s">
        <v>1307</v>
      </c>
      <c r="G1287" t="s">
        <v>2100</v>
      </c>
      <c r="H1287" t="s">
        <v>296</v>
      </c>
      <c r="I1287" t="s">
        <v>310</v>
      </c>
      <c r="J1287">
        <v>3</v>
      </c>
      <c r="L1287">
        <v>198.65</v>
      </c>
      <c r="M1287">
        <v>338.55</v>
      </c>
      <c r="N1287">
        <v>455.86</v>
      </c>
      <c r="O1287">
        <v>671</v>
      </c>
      <c r="P1287">
        <v>1</v>
      </c>
      <c r="Q1287">
        <v>1</v>
      </c>
      <c r="R1287">
        <v>0</v>
      </c>
      <c r="T1287" t="b">
        <v>1</v>
      </c>
    </row>
    <row r="1288" spans="2:20" x14ac:dyDescent="0.35">
      <c r="B1288">
        <v>2014</v>
      </c>
      <c r="C1288" s="41">
        <v>42795</v>
      </c>
      <c r="D1288" t="s">
        <v>2106</v>
      </c>
      <c r="E1288" t="s">
        <v>219</v>
      </c>
      <c r="F1288" t="s">
        <v>1309</v>
      </c>
      <c r="G1288" t="s">
        <v>2100</v>
      </c>
      <c r="H1288" t="s">
        <v>224</v>
      </c>
      <c r="I1288" t="s">
        <v>310</v>
      </c>
      <c r="J1288">
        <v>2</v>
      </c>
      <c r="L1288">
        <v>198.15</v>
      </c>
      <c r="M1288">
        <v>337.7</v>
      </c>
      <c r="N1288">
        <v>454.72</v>
      </c>
      <c r="O1288">
        <v>669.31999999999903</v>
      </c>
      <c r="P1288">
        <v>1</v>
      </c>
      <c r="Q1288">
        <v>1</v>
      </c>
      <c r="R1288">
        <v>0</v>
      </c>
      <c r="T1288" t="b">
        <v>1</v>
      </c>
    </row>
    <row r="1289" spans="2:20" x14ac:dyDescent="0.35">
      <c r="B1289">
        <v>2014</v>
      </c>
      <c r="C1289" s="41">
        <v>42795</v>
      </c>
      <c r="D1289" t="s">
        <v>2107</v>
      </c>
      <c r="E1289" t="s">
        <v>219</v>
      </c>
      <c r="F1289" t="s">
        <v>1309</v>
      </c>
      <c r="G1289" t="s">
        <v>2100</v>
      </c>
      <c r="H1289" t="s">
        <v>224</v>
      </c>
      <c r="I1289" t="s">
        <v>310</v>
      </c>
      <c r="J1289">
        <v>2</v>
      </c>
      <c r="L1289">
        <v>198.15</v>
      </c>
      <c r="M1289">
        <v>337.7</v>
      </c>
      <c r="N1289">
        <v>454.72</v>
      </c>
      <c r="O1289">
        <v>669.31999999999903</v>
      </c>
      <c r="P1289">
        <v>1</v>
      </c>
      <c r="Q1289">
        <v>1</v>
      </c>
      <c r="R1289">
        <v>0</v>
      </c>
      <c r="T1289" t="b">
        <v>1</v>
      </c>
    </row>
    <row r="1290" spans="2:20" x14ac:dyDescent="0.35">
      <c r="B1290">
        <v>2014</v>
      </c>
      <c r="C1290" s="41">
        <v>42795</v>
      </c>
      <c r="D1290" t="s">
        <v>1070</v>
      </c>
      <c r="E1290" t="s">
        <v>219</v>
      </c>
      <c r="F1290" t="s">
        <v>1309</v>
      </c>
      <c r="G1290" t="s">
        <v>2100</v>
      </c>
      <c r="H1290" t="s">
        <v>2108</v>
      </c>
      <c r="I1290" t="s">
        <v>842</v>
      </c>
      <c r="J1290">
        <v>2</v>
      </c>
      <c r="L1290">
        <v>174.74</v>
      </c>
      <c r="M1290">
        <v>297.8</v>
      </c>
      <c r="N1290">
        <v>400.98</v>
      </c>
      <c r="O1290">
        <v>590.22</v>
      </c>
      <c r="P1290">
        <v>0</v>
      </c>
      <c r="Q1290">
        <v>3</v>
      </c>
      <c r="R1290">
        <v>0</v>
      </c>
      <c r="T1290" t="b">
        <v>1</v>
      </c>
    </row>
    <row r="1291" spans="2:20" x14ac:dyDescent="0.35">
      <c r="B1291">
        <v>2014</v>
      </c>
      <c r="C1291" s="41">
        <v>42795</v>
      </c>
      <c r="D1291" t="s">
        <v>1068</v>
      </c>
      <c r="E1291" t="s">
        <v>219</v>
      </c>
      <c r="F1291" t="s">
        <v>458</v>
      </c>
      <c r="G1291" t="s">
        <v>2100</v>
      </c>
      <c r="H1291" t="s">
        <v>2108</v>
      </c>
      <c r="I1291" t="s">
        <v>842</v>
      </c>
      <c r="J1291">
        <v>2</v>
      </c>
      <c r="L1291">
        <v>165.61</v>
      </c>
      <c r="M1291">
        <v>282.24</v>
      </c>
      <c r="N1291">
        <v>380.04</v>
      </c>
      <c r="O1291">
        <v>559.4</v>
      </c>
      <c r="P1291">
        <v>0</v>
      </c>
      <c r="Q1291">
        <v>3</v>
      </c>
      <c r="R1291">
        <v>0</v>
      </c>
      <c r="T1291" t="b">
        <v>1</v>
      </c>
    </row>
    <row r="1292" spans="2:20" x14ac:dyDescent="0.35">
      <c r="B1292">
        <v>2014</v>
      </c>
      <c r="C1292" s="41">
        <v>42795</v>
      </c>
      <c r="D1292" t="s">
        <v>1068</v>
      </c>
      <c r="E1292" t="s">
        <v>219</v>
      </c>
      <c r="F1292" t="s">
        <v>1301</v>
      </c>
      <c r="G1292" t="s">
        <v>2100</v>
      </c>
      <c r="H1292" t="s">
        <v>2108</v>
      </c>
      <c r="I1292" t="s">
        <v>842</v>
      </c>
      <c r="J1292">
        <v>2</v>
      </c>
      <c r="L1292">
        <v>165.61</v>
      </c>
      <c r="M1292">
        <v>282.24</v>
      </c>
      <c r="N1292">
        <v>380.04</v>
      </c>
      <c r="O1292">
        <v>559.4</v>
      </c>
      <c r="P1292">
        <v>0</v>
      </c>
      <c r="Q1292">
        <v>3</v>
      </c>
      <c r="R1292">
        <v>0</v>
      </c>
      <c r="T1292" t="b">
        <v>1</v>
      </c>
    </row>
    <row r="1293" spans="2:20" x14ac:dyDescent="0.35">
      <c r="B1293">
        <v>2014</v>
      </c>
      <c r="C1293" s="41">
        <v>42795</v>
      </c>
      <c r="D1293" t="s">
        <v>1068</v>
      </c>
      <c r="E1293" t="s">
        <v>219</v>
      </c>
      <c r="F1293" t="s">
        <v>461</v>
      </c>
      <c r="G1293" t="s">
        <v>2100</v>
      </c>
      <c r="H1293" t="s">
        <v>2108</v>
      </c>
      <c r="I1293" t="s">
        <v>842</v>
      </c>
      <c r="J1293">
        <v>2</v>
      </c>
      <c r="L1293">
        <v>165.61</v>
      </c>
      <c r="M1293">
        <v>282.24</v>
      </c>
      <c r="N1293">
        <v>380.04</v>
      </c>
      <c r="O1293">
        <v>559.4</v>
      </c>
      <c r="P1293">
        <v>0</v>
      </c>
      <c r="Q1293">
        <v>3</v>
      </c>
      <c r="R1293">
        <v>0</v>
      </c>
      <c r="T1293" t="b">
        <v>1</v>
      </c>
    </row>
    <row r="1294" spans="2:20" x14ac:dyDescent="0.35">
      <c r="B1294">
        <v>2014</v>
      </c>
      <c r="C1294" s="41">
        <v>42795</v>
      </c>
      <c r="D1294" t="s">
        <v>2109</v>
      </c>
      <c r="E1294" t="s">
        <v>219</v>
      </c>
      <c r="F1294" t="s">
        <v>1310</v>
      </c>
      <c r="G1294" t="s">
        <v>1381</v>
      </c>
      <c r="H1294" t="s">
        <v>2110</v>
      </c>
      <c r="I1294" t="s">
        <v>843</v>
      </c>
      <c r="J1294">
        <v>2</v>
      </c>
      <c r="L1294">
        <v>484.95</v>
      </c>
      <c r="M1294">
        <v>826.45</v>
      </c>
      <c r="N1294">
        <v>1112.8899999999901</v>
      </c>
      <c r="O1294">
        <v>1638.1</v>
      </c>
      <c r="P1294">
        <v>0</v>
      </c>
      <c r="Q1294">
        <v>1</v>
      </c>
      <c r="R1294">
        <v>0</v>
      </c>
      <c r="T1294" t="b">
        <v>1</v>
      </c>
    </row>
    <row r="1295" spans="2:20" x14ac:dyDescent="0.35">
      <c r="B1295">
        <v>2014</v>
      </c>
      <c r="C1295" s="41">
        <v>42795</v>
      </c>
      <c r="D1295" t="s">
        <v>2109</v>
      </c>
      <c r="E1295" t="s">
        <v>219</v>
      </c>
      <c r="F1295" t="s">
        <v>1390</v>
      </c>
      <c r="G1295" t="s">
        <v>1381</v>
      </c>
      <c r="H1295" t="s">
        <v>2110</v>
      </c>
      <c r="I1295" t="s">
        <v>843</v>
      </c>
      <c r="J1295">
        <v>2</v>
      </c>
      <c r="L1295">
        <v>407.95</v>
      </c>
      <c r="M1295">
        <v>695.24</v>
      </c>
      <c r="N1295">
        <v>936.2</v>
      </c>
      <c r="O1295">
        <v>1378.02</v>
      </c>
      <c r="P1295">
        <v>0</v>
      </c>
      <c r="Q1295">
        <v>1</v>
      </c>
      <c r="R1295">
        <v>0</v>
      </c>
      <c r="T1295" t="b">
        <v>1</v>
      </c>
    </row>
    <row r="1296" spans="2:20" x14ac:dyDescent="0.35">
      <c r="B1296">
        <v>2014</v>
      </c>
      <c r="C1296" s="41">
        <v>42795</v>
      </c>
      <c r="D1296" t="s">
        <v>2109</v>
      </c>
      <c r="E1296" t="s">
        <v>219</v>
      </c>
      <c r="F1296" t="s">
        <v>1307</v>
      </c>
      <c r="G1296" t="s">
        <v>1381</v>
      </c>
      <c r="H1296" t="s">
        <v>2110</v>
      </c>
      <c r="I1296" t="s">
        <v>843</v>
      </c>
      <c r="J1296">
        <v>2</v>
      </c>
      <c r="L1296">
        <v>428.2</v>
      </c>
      <c r="M1296">
        <v>729.74</v>
      </c>
      <c r="N1296">
        <v>982.65</v>
      </c>
      <c r="O1296">
        <v>1446.4</v>
      </c>
      <c r="P1296">
        <v>0</v>
      </c>
      <c r="Q1296">
        <v>1</v>
      </c>
      <c r="R1296">
        <v>0</v>
      </c>
      <c r="T1296" t="b">
        <v>1</v>
      </c>
    </row>
    <row r="1297" spans="2:20" x14ac:dyDescent="0.35">
      <c r="B1297">
        <v>2014</v>
      </c>
      <c r="C1297" s="41">
        <v>42795</v>
      </c>
      <c r="D1297" t="s">
        <v>2109</v>
      </c>
      <c r="E1297" t="s">
        <v>219</v>
      </c>
      <c r="F1297" t="s">
        <v>464</v>
      </c>
      <c r="G1297" t="s">
        <v>1381</v>
      </c>
      <c r="H1297" t="s">
        <v>2110</v>
      </c>
      <c r="I1297" t="s">
        <v>843</v>
      </c>
      <c r="J1297">
        <v>2</v>
      </c>
      <c r="L1297">
        <v>334.36</v>
      </c>
      <c r="M1297">
        <v>569.82000000000005</v>
      </c>
      <c r="N1297">
        <v>767.31999999999903</v>
      </c>
      <c r="O1297">
        <v>1129.44</v>
      </c>
      <c r="P1297">
        <v>0</v>
      </c>
      <c r="Q1297">
        <v>1</v>
      </c>
      <c r="R1297">
        <v>0</v>
      </c>
      <c r="T1297" t="b">
        <v>1</v>
      </c>
    </row>
    <row r="1298" spans="2:20" x14ac:dyDescent="0.35">
      <c r="B1298">
        <v>2014</v>
      </c>
      <c r="C1298" s="41">
        <v>42795</v>
      </c>
      <c r="D1298" t="s">
        <v>2109</v>
      </c>
      <c r="E1298" t="s">
        <v>219</v>
      </c>
      <c r="F1298" t="s">
        <v>460</v>
      </c>
      <c r="G1298" t="s">
        <v>1381</v>
      </c>
      <c r="H1298" t="s">
        <v>2110</v>
      </c>
      <c r="I1298" t="s">
        <v>843</v>
      </c>
      <c r="J1298">
        <v>2</v>
      </c>
      <c r="L1298">
        <v>331.45</v>
      </c>
      <c r="M1298">
        <v>564.86</v>
      </c>
      <c r="N1298">
        <v>760.63</v>
      </c>
      <c r="O1298">
        <v>1119.5999999999999</v>
      </c>
      <c r="P1298">
        <v>0</v>
      </c>
      <c r="Q1298">
        <v>1</v>
      </c>
      <c r="R1298">
        <v>0</v>
      </c>
      <c r="T1298" t="b">
        <v>1</v>
      </c>
    </row>
    <row r="1299" spans="2:20" x14ac:dyDescent="0.35">
      <c r="B1299">
        <v>2014</v>
      </c>
      <c r="C1299" s="41">
        <v>42795</v>
      </c>
      <c r="D1299" t="s">
        <v>2109</v>
      </c>
      <c r="E1299" t="s">
        <v>219</v>
      </c>
      <c r="F1299" t="s">
        <v>458</v>
      </c>
      <c r="G1299" t="s">
        <v>1381</v>
      </c>
      <c r="H1299" t="s">
        <v>2110</v>
      </c>
      <c r="I1299" t="s">
        <v>843</v>
      </c>
      <c r="J1299">
        <v>2</v>
      </c>
      <c r="L1299">
        <v>310.61</v>
      </c>
      <c r="M1299">
        <v>529.33000000000004</v>
      </c>
      <c r="N1299">
        <v>712.79</v>
      </c>
      <c r="O1299">
        <v>1049.1799999999901</v>
      </c>
      <c r="P1299">
        <v>0</v>
      </c>
      <c r="Q1299">
        <v>1</v>
      </c>
      <c r="R1299">
        <v>0</v>
      </c>
      <c r="T1299" t="b">
        <v>1</v>
      </c>
    </row>
    <row r="1300" spans="2:20" x14ac:dyDescent="0.35">
      <c r="B1300">
        <v>2014</v>
      </c>
      <c r="C1300" s="41">
        <v>42795</v>
      </c>
      <c r="D1300" t="s">
        <v>2109</v>
      </c>
      <c r="E1300" t="s">
        <v>219</v>
      </c>
      <c r="F1300" t="s">
        <v>459</v>
      </c>
      <c r="G1300" t="s">
        <v>1381</v>
      </c>
      <c r="H1300" t="s">
        <v>2110</v>
      </c>
      <c r="I1300" t="s">
        <v>843</v>
      </c>
      <c r="J1300">
        <v>2</v>
      </c>
      <c r="L1300">
        <v>400.11</v>
      </c>
      <c r="M1300">
        <v>681.86</v>
      </c>
      <c r="N1300">
        <v>918.18</v>
      </c>
      <c r="O1300">
        <v>1351.5</v>
      </c>
      <c r="P1300">
        <v>0</v>
      </c>
      <c r="Q1300">
        <v>1</v>
      </c>
      <c r="R1300">
        <v>0</v>
      </c>
      <c r="T1300" t="b">
        <v>1</v>
      </c>
    </row>
    <row r="1301" spans="2:20" x14ac:dyDescent="0.35">
      <c r="B1301">
        <v>2014</v>
      </c>
      <c r="C1301" s="41">
        <v>42795</v>
      </c>
      <c r="D1301" t="s">
        <v>2109</v>
      </c>
      <c r="E1301" t="s">
        <v>219</v>
      </c>
      <c r="F1301" t="s">
        <v>462</v>
      </c>
      <c r="G1301" t="s">
        <v>1381</v>
      </c>
      <c r="H1301" t="s">
        <v>2110</v>
      </c>
      <c r="I1301" t="s">
        <v>843</v>
      </c>
      <c r="J1301">
        <v>2</v>
      </c>
      <c r="L1301">
        <v>359.96</v>
      </c>
      <c r="M1301">
        <v>613.44000000000005</v>
      </c>
      <c r="N1301">
        <v>826.04</v>
      </c>
      <c r="O1301">
        <v>1215.8799999999901</v>
      </c>
      <c r="P1301">
        <v>0</v>
      </c>
      <c r="Q1301">
        <v>1</v>
      </c>
      <c r="R1301">
        <v>0</v>
      </c>
      <c r="T1301" t="b">
        <v>1</v>
      </c>
    </row>
    <row r="1302" spans="2:20" x14ac:dyDescent="0.35">
      <c r="B1302">
        <v>2014</v>
      </c>
      <c r="C1302" s="41">
        <v>42795</v>
      </c>
      <c r="D1302" t="s">
        <v>2109</v>
      </c>
      <c r="E1302" t="s">
        <v>219</v>
      </c>
      <c r="F1302" t="s">
        <v>1302</v>
      </c>
      <c r="G1302" t="s">
        <v>1381</v>
      </c>
      <c r="H1302" t="s">
        <v>2110</v>
      </c>
      <c r="I1302" t="s">
        <v>843</v>
      </c>
      <c r="J1302">
        <v>2</v>
      </c>
      <c r="L1302">
        <v>346.84</v>
      </c>
      <c r="M1302">
        <v>591.08000000000004</v>
      </c>
      <c r="N1302">
        <v>795.93</v>
      </c>
      <c r="O1302">
        <v>1171.56</v>
      </c>
      <c r="P1302">
        <v>0</v>
      </c>
      <c r="Q1302">
        <v>1</v>
      </c>
      <c r="R1302">
        <v>0</v>
      </c>
      <c r="T1302" t="b">
        <v>1</v>
      </c>
    </row>
    <row r="1303" spans="2:20" x14ac:dyDescent="0.35">
      <c r="B1303">
        <v>2014</v>
      </c>
      <c r="C1303" s="41">
        <v>42795</v>
      </c>
      <c r="D1303" t="s">
        <v>2109</v>
      </c>
      <c r="E1303" t="s">
        <v>219</v>
      </c>
      <c r="F1303" t="s">
        <v>1309</v>
      </c>
      <c r="G1303" t="s">
        <v>1381</v>
      </c>
      <c r="H1303" t="s">
        <v>2110</v>
      </c>
      <c r="I1303" t="s">
        <v>843</v>
      </c>
      <c r="J1303">
        <v>2</v>
      </c>
      <c r="L1303">
        <v>337.8</v>
      </c>
      <c r="M1303">
        <v>575.67999999999995</v>
      </c>
      <c r="N1303">
        <v>775.2</v>
      </c>
      <c r="O1303">
        <v>1141.04</v>
      </c>
      <c r="P1303">
        <v>0</v>
      </c>
      <c r="Q1303">
        <v>1</v>
      </c>
      <c r="R1303">
        <v>0</v>
      </c>
      <c r="T1303" t="b">
        <v>1</v>
      </c>
    </row>
    <row r="1304" spans="2:20" x14ac:dyDescent="0.35">
      <c r="B1304">
        <v>2014</v>
      </c>
      <c r="C1304" s="41">
        <v>42795</v>
      </c>
      <c r="D1304" t="s">
        <v>2109</v>
      </c>
      <c r="E1304" t="s">
        <v>219</v>
      </c>
      <c r="F1304" t="s">
        <v>1298</v>
      </c>
      <c r="G1304" t="s">
        <v>1381</v>
      </c>
      <c r="H1304" t="s">
        <v>2110</v>
      </c>
      <c r="I1304" t="s">
        <v>843</v>
      </c>
      <c r="J1304">
        <v>2</v>
      </c>
      <c r="L1304">
        <v>374.72</v>
      </c>
      <c r="M1304">
        <v>638.6</v>
      </c>
      <c r="N1304">
        <v>859.93</v>
      </c>
      <c r="O1304">
        <v>1265.76</v>
      </c>
      <c r="P1304">
        <v>0</v>
      </c>
      <c r="Q1304">
        <v>1</v>
      </c>
      <c r="R1304">
        <v>0</v>
      </c>
      <c r="T1304" t="b">
        <v>1</v>
      </c>
    </row>
    <row r="1305" spans="2:20" x14ac:dyDescent="0.35">
      <c r="B1305">
        <v>2014</v>
      </c>
      <c r="C1305" s="41">
        <v>42795</v>
      </c>
      <c r="D1305" t="s">
        <v>2109</v>
      </c>
      <c r="E1305" t="s">
        <v>219</v>
      </c>
      <c r="F1305" t="s">
        <v>461</v>
      </c>
      <c r="G1305" t="s">
        <v>1381</v>
      </c>
      <c r="H1305" t="s">
        <v>2110</v>
      </c>
      <c r="I1305" t="s">
        <v>843</v>
      </c>
      <c r="J1305">
        <v>2</v>
      </c>
      <c r="L1305">
        <v>389.27</v>
      </c>
      <c r="M1305">
        <v>663.39</v>
      </c>
      <c r="N1305">
        <v>893.3</v>
      </c>
      <c r="O1305">
        <v>1314.88</v>
      </c>
      <c r="P1305">
        <v>0</v>
      </c>
      <c r="Q1305">
        <v>1</v>
      </c>
      <c r="R1305">
        <v>0</v>
      </c>
      <c r="T1305" t="b">
        <v>1</v>
      </c>
    </row>
    <row r="1306" spans="2:20" x14ac:dyDescent="0.35">
      <c r="B1306">
        <v>2014</v>
      </c>
      <c r="C1306" s="41">
        <v>42795</v>
      </c>
      <c r="D1306" t="s">
        <v>2109</v>
      </c>
      <c r="E1306" t="s">
        <v>219</v>
      </c>
      <c r="F1306" t="s">
        <v>1389</v>
      </c>
      <c r="G1306" t="s">
        <v>1381</v>
      </c>
      <c r="H1306" t="s">
        <v>2110</v>
      </c>
      <c r="I1306" t="s">
        <v>843</v>
      </c>
      <c r="J1306">
        <v>2</v>
      </c>
      <c r="L1306">
        <v>337.94</v>
      </c>
      <c r="M1306">
        <v>575.91</v>
      </c>
      <c r="N1306">
        <v>775.51</v>
      </c>
      <c r="O1306">
        <v>1141.5</v>
      </c>
      <c r="P1306">
        <v>0</v>
      </c>
      <c r="Q1306">
        <v>1</v>
      </c>
      <c r="R1306">
        <v>0</v>
      </c>
      <c r="T1306" t="b">
        <v>1</v>
      </c>
    </row>
    <row r="1307" spans="2:20" x14ac:dyDescent="0.35">
      <c r="B1307">
        <v>2014</v>
      </c>
      <c r="C1307" s="41">
        <v>42795</v>
      </c>
      <c r="D1307" t="s">
        <v>2109</v>
      </c>
      <c r="E1307" t="s">
        <v>219</v>
      </c>
      <c r="F1307" t="s">
        <v>1311</v>
      </c>
      <c r="G1307" t="s">
        <v>1381</v>
      </c>
      <c r="H1307" t="s">
        <v>2110</v>
      </c>
      <c r="I1307" t="s">
        <v>843</v>
      </c>
      <c r="J1307">
        <v>2</v>
      </c>
      <c r="L1307">
        <v>326.64999999999998</v>
      </c>
      <c r="M1307">
        <v>556.67999999999995</v>
      </c>
      <c r="N1307">
        <v>749.60999999999899</v>
      </c>
      <c r="O1307">
        <v>1103.3799999999901</v>
      </c>
      <c r="P1307">
        <v>0</v>
      </c>
      <c r="Q1307">
        <v>1</v>
      </c>
      <c r="R1307">
        <v>0</v>
      </c>
      <c r="T1307" t="b">
        <v>1</v>
      </c>
    </row>
    <row r="1308" spans="2:20" x14ac:dyDescent="0.35">
      <c r="B1308">
        <v>2014</v>
      </c>
      <c r="C1308" s="41">
        <v>42795</v>
      </c>
      <c r="D1308" t="s">
        <v>2109</v>
      </c>
      <c r="E1308" t="s">
        <v>219</v>
      </c>
      <c r="F1308" t="s">
        <v>463</v>
      </c>
      <c r="G1308" t="s">
        <v>1381</v>
      </c>
      <c r="H1308" t="s">
        <v>2110</v>
      </c>
      <c r="I1308" t="s">
        <v>843</v>
      </c>
      <c r="J1308">
        <v>2</v>
      </c>
      <c r="L1308">
        <v>444.49</v>
      </c>
      <c r="M1308">
        <v>757.5</v>
      </c>
      <c r="N1308">
        <v>1020.03</v>
      </c>
      <c r="O1308">
        <v>1501.42</v>
      </c>
      <c r="P1308">
        <v>0</v>
      </c>
      <c r="Q1308">
        <v>1</v>
      </c>
      <c r="R1308">
        <v>0</v>
      </c>
      <c r="T1308" t="b">
        <v>1</v>
      </c>
    </row>
    <row r="1309" spans="2:20" x14ac:dyDescent="0.35">
      <c r="B1309">
        <v>2014</v>
      </c>
      <c r="C1309" s="41">
        <v>42795</v>
      </c>
      <c r="D1309" t="s">
        <v>2109</v>
      </c>
      <c r="E1309" t="s">
        <v>219</v>
      </c>
      <c r="F1309" t="s">
        <v>1301</v>
      </c>
      <c r="G1309" t="s">
        <v>1381</v>
      </c>
      <c r="H1309" t="s">
        <v>2110</v>
      </c>
      <c r="I1309" t="s">
        <v>843</v>
      </c>
      <c r="J1309">
        <v>2</v>
      </c>
      <c r="L1309">
        <v>327.14</v>
      </c>
      <c r="M1309">
        <v>557.52</v>
      </c>
      <c r="N1309">
        <v>750.74</v>
      </c>
      <c r="O1309">
        <v>1105.04</v>
      </c>
      <c r="P1309">
        <v>0</v>
      </c>
      <c r="Q1309">
        <v>1</v>
      </c>
      <c r="R1309">
        <v>0</v>
      </c>
      <c r="T1309" t="b">
        <v>1</v>
      </c>
    </row>
    <row r="1310" spans="2:20" x14ac:dyDescent="0.35">
      <c r="B1310">
        <v>2014</v>
      </c>
      <c r="C1310" s="41">
        <v>42795</v>
      </c>
      <c r="D1310" t="s">
        <v>2111</v>
      </c>
      <c r="E1310" t="s">
        <v>219</v>
      </c>
      <c r="F1310" t="s">
        <v>458</v>
      </c>
      <c r="G1310" t="s">
        <v>2100</v>
      </c>
      <c r="H1310" t="s">
        <v>2112</v>
      </c>
      <c r="I1310" t="s">
        <v>1427</v>
      </c>
      <c r="J1310">
        <v>2</v>
      </c>
      <c r="L1310">
        <v>127.08</v>
      </c>
      <c r="M1310">
        <v>216.58</v>
      </c>
      <c r="N1310">
        <v>291.63</v>
      </c>
      <c r="O1310">
        <v>429.26</v>
      </c>
      <c r="P1310">
        <v>0</v>
      </c>
      <c r="Q1310">
        <v>3</v>
      </c>
      <c r="R1310">
        <v>0</v>
      </c>
      <c r="T1310" t="b">
        <v>1</v>
      </c>
    </row>
    <row r="1311" spans="2:20" x14ac:dyDescent="0.35">
      <c r="B1311">
        <v>2014</v>
      </c>
      <c r="C1311" s="41">
        <v>42795</v>
      </c>
      <c r="D1311" t="s">
        <v>2111</v>
      </c>
      <c r="E1311" t="s">
        <v>219</v>
      </c>
      <c r="F1311" t="s">
        <v>1301</v>
      </c>
      <c r="G1311" t="s">
        <v>2100</v>
      </c>
      <c r="H1311" t="s">
        <v>2112</v>
      </c>
      <c r="I1311" t="s">
        <v>1427</v>
      </c>
      <c r="J1311">
        <v>2</v>
      </c>
      <c r="L1311">
        <v>127.08</v>
      </c>
      <c r="M1311">
        <v>216.58</v>
      </c>
      <c r="N1311">
        <v>291.63</v>
      </c>
      <c r="O1311">
        <v>429.26</v>
      </c>
      <c r="P1311">
        <v>0</v>
      </c>
      <c r="Q1311">
        <v>3</v>
      </c>
      <c r="R1311">
        <v>0</v>
      </c>
      <c r="T1311" t="b">
        <v>1</v>
      </c>
    </row>
    <row r="1312" spans="2:20" x14ac:dyDescent="0.35">
      <c r="B1312">
        <v>2014</v>
      </c>
      <c r="C1312" s="41">
        <v>42795</v>
      </c>
      <c r="D1312" t="s">
        <v>2111</v>
      </c>
      <c r="E1312" t="s">
        <v>219</v>
      </c>
      <c r="F1312" t="s">
        <v>461</v>
      </c>
      <c r="G1312" t="s">
        <v>2100</v>
      </c>
      <c r="H1312" t="s">
        <v>2112</v>
      </c>
      <c r="I1312" t="s">
        <v>1427</v>
      </c>
      <c r="J1312">
        <v>2</v>
      </c>
      <c r="L1312">
        <v>127.08</v>
      </c>
      <c r="M1312">
        <v>216.58</v>
      </c>
      <c r="N1312">
        <v>291.63</v>
      </c>
      <c r="O1312">
        <v>429.26</v>
      </c>
      <c r="P1312">
        <v>0</v>
      </c>
      <c r="Q1312">
        <v>3</v>
      </c>
      <c r="R1312">
        <v>0</v>
      </c>
      <c r="T1312" t="b">
        <v>1</v>
      </c>
    </row>
    <row r="1313" spans="2:20" x14ac:dyDescent="0.35">
      <c r="B1313">
        <v>2014</v>
      </c>
      <c r="C1313" s="41">
        <v>42795</v>
      </c>
      <c r="D1313" t="s">
        <v>2113</v>
      </c>
      <c r="E1313" t="s">
        <v>219</v>
      </c>
      <c r="F1313" t="s">
        <v>1390</v>
      </c>
      <c r="G1313" t="s">
        <v>1381</v>
      </c>
      <c r="H1313" t="s">
        <v>278</v>
      </c>
      <c r="I1313" t="s">
        <v>310</v>
      </c>
      <c r="J1313">
        <v>2</v>
      </c>
      <c r="L1313">
        <v>341.22</v>
      </c>
      <c r="M1313">
        <v>581.5</v>
      </c>
      <c r="N1313">
        <v>783.04</v>
      </c>
      <c r="O1313">
        <v>1152.58</v>
      </c>
      <c r="P1313">
        <v>1</v>
      </c>
      <c r="Q1313">
        <v>1</v>
      </c>
      <c r="R1313">
        <v>0</v>
      </c>
      <c r="T1313" t="b">
        <v>1</v>
      </c>
    </row>
    <row r="1314" spans="2:20" x14ac:dyDescent="0.35">
      <c r="B1314">
        <v>2014</v>
      </c>
      <c r="C1314" s="41">
        <v>42795</v>
      </c>
      <c r="D1314" t="s">
        <v>2113</v>
      </c>
      <c r="E1314" t="s">
        <v>219</v>
      </c>
      <c r="F1314" t="s">
        <v>462</v>
      </c>
      <c r="G1314" t="s">
        <v>1381</v>
      </c>
      <c r="H1314" t="s">
        <v>278</v>
      </c>
      <c r="I1314" t="s">
        <v>310</v>
      </c>
      <c r="J1314">
        <v>2</v>
      </c>
      <c r="L1314">
        <v>301.08</v>
      </c>
      <c r="M1314">
        <v>513.1</v>
      </c>
      <c r="N1314">
        <v>690.93</v>
      </c>
      <c r="O1314">
        <v>1017</v>
      </c>
      <c r="P1314">
        <v>1</v>
      </c>
      <c r="Q1314">
        <v>1</v>
      </c>
      <c r="R1314">
        <v>0</v>
      </c>
      <c r="T1314" t="b">
        <v>1</v>
      </c>
    </row>
    <row r="1315" spans="2:20" x14ac:dyDescent="0.35">
      <c r="B1315">
        <v>2014</v>
      </c>
      <c r="C1315" s="41">
        <v>42795</v>
      </c>
      <c r="D1315" t="s">
        <v>2113</v>
      </c>
      <c r="E1315" t="s">
        <v>219</v>
      </c>
      <c r="F1315" t="s">
        <v>1310</v>
      </c>
      <c r="G1315" t="s">
        <v>1381</v>
      </c>
      <c r="H1315" t="s">
        <v>278</v>
      </c>
      <c r="I1315" t="s">
        <v>310</v>
      </c>
      <c r="J1315">
        <v>2</v>
      </c>
      <c r="L1315">
        <v>405.62</v>
      </c>
      <c r="M1315">
        <v>691.25</v>
      </c>
      <c r="N1315">
        <v>930.83</v>
      </c>
      <c r="O1315">
        <v>1370.12</v>
      </c>
      <c r="P1315">
        <v>1</v>
      </c>
      <c r="Q1315">
        <v>1</v>
      </c>
      <c r="R1315">
        <v>0</v>
      </c>
      <c r="T1315" t="b">
        <v>1</v>
      </c>
    </row>
    <row r="1316" spans="2:20" x14ac:dyDescent="0.35">
      <c r="B1316">
        <v>2014</v>
      </c>
      <c r="C1316" s="41">
        <v>42795</v>
      </c>
      <c r="D1316" t="s">
        <v>2113</v>
      </c>
      <c r="E1316" t="s">
        <v>219</v>
      </c>
      <c r="F1316" t="s">
        <v>463</v>
      </c>
      <c r="G1316" t="s">
        <v>1381</v>
      </c>
      <c r="H1316" t="s">
        <v>278</v>
      </c>
      <c r="I1316" t="s">
        <v>310</v>
      </c>
      <c r="J1316">
        <v>2</v>
      </c>
      <c r="L1316">
        <v>371.78</v>
      </c>
      <c r="M1316">
        <v>633.58000000000004</v>
      </c>
      <c r="N1316">
        <v>853.18</v>
      </c>
      <c r="O1316">
        <v>1255.82</v>
      </c>
      <c r="P1316">
        <v>1</v>
      </c>
      <c r="Q1316">
        <v>1</v>
      </c>
      <c r="R1316">
        <v>0</v>
      </c>
      <c r="T1316" t="b">
        <v>1</v>
      </c>
    </row>
    <row r="1317" spans="2:20" x14ac:dyDescent="0.35">
      <c r="B1317">
        <v>2014</v>
      </c>
      <c r="C1317" s="41">
        <v>42795</v>
      </c>
      <c r="D1317" t="s">
        <v>2113</v>
      </c>
      <c r="E1317" t="s">
        <v>219</v>
      </c>
      <c r="F1317" t="s">
        <v>459</v>
      </c>
      <c r="G1317" t="s">
        <v>1381</v>
      </c>
      <c r="H1317" t="s">
        <v>278</v>
      </c>
      <c r="I1317" t="s">
        <v>310</v>
      </c>
      <c r="J1317">
        <v>2</v>
      </c>
      <c r="L1317">
        <v>334.66</v>
      </c>
      <c r="M1317">
        <v>570.32000000000005</v>
      </c>
      <c r="N1317">
        <v>767.98</v>
      </c>
      <c r="O1317">
        <v>1130.42</v>
      </c>
      <c r="P1317">
        <v>1</v>
      </c>
      <c r="Q1317">
        <v>1</v>
      </c>
      <c r="R1317">
        <v>0</v>
      </c>
      <c r="T1317" t="b">
        <v>1</v>
      </c>
    </row>
    <row r="1318" spans="2:20" x14ac:dyDescent="0.35">
      <c r="B1318">
        <v>2014</v>
      </c>
      <c r="C1318" s="41">
        <v>42795</v>
      </c>
      <c r="D1318" t="s">
        <v>2113</v>
      </c>
      <c r="E1318" t="s">
        <v>219</v>
      </c>
      <c r="F1318" t="s">
        <v>461</v>
      </c>
      <c r="G1318" t="s">
        <v>1381</v>
      </c>
      <c r="H1318" t="s">
        <v>278</v>
      </c>
      <c r="I1318" t="s">
        <v>310</v>
      </c>
      <c r="J1318">
        <v>2</v>
      </c>
      <c r="L1318">
        <v>325.58999999999997</v>
      </c>
      <c r="M1318">
        <v>554.87</v>
      </c>
      <c r="N1318">
        <v>747.18</v>
      </c>
      <c r="O1318">
        <v>1099.8</v>
      </c>
      <c r="P1318">
        <v>1</v>
      </c>
      <c r="Q1318">
        <v>1</v>
      </c>
      <c r="R1318">
        <v>0</v>
      </c>
      <c r="T1318" t="b">
        <v>1</v>
      </c>
    </row>
    <row r="1319" spans="2:20" x14ac:dyDescent="0.35">
      <c r="B1319">
        <v>2014</v>
      </c>
      <c r="C1319" s="41">
        <v>42795</v>
      </c>
      <c r="D1319" t="s">
        <v>2113</v>
      </c>
      <c r="E1319" t="s">
        <v>219</v>
      </c>
      <c r="F1319" t="s">
        <v>1298</v>
      </c>
      <c r="G1319" t="s">
        <v>1381</v>
      </c>
      <c r="H1319" t="s">
        <v>278</v>
      </c>
      <c r="I1319" t="s">
        <v>310</v>
      </c>
      <c r="J1319">
        <v>2</v>
      </c>
      <c r="L1319">
        <v>313.41000000000003</v>
      </c>
      <c r="M1319">
        <v>534.12</v>
      </c>
      <c r="N1319">
        <v>719.23</v>
      </c>
      <c r="O1319">
        <v>1058.6600000000001</v>
      </c>
      <c r="P1319">
        <v>1</v>
      </c>
      <c r="Q1319">
        <v>1</v>
      </c>
      <c r="R1319">
        <v>0</v>
      </c>
      <c r="T1319" t="b">
        <v>1</v>
      </c>
    </row>
    <row r="1320" spans="2:20" x14ac:dyDescent="0.35">
      <c r="B1320">
        <v>2014</v>
      </c>
      <c r="C1320" s="41">
        <v>42795</v>
      </c>
      <c r="D1320" t="s">
        <v>2113</v>
      </c>
      <c r="E1320" t="s">
        <v>219</v>
      </c>
      <c r="F1320" t="s">
        <v>1389</v>
      </c>
      <c r="G1320" t="s">
        <v>1381</v>
      </c>
      <c r="H1320" t="s">
        <v>278</v>
      </c>
      <c r="I1320" t="s">
        <v>310</v>
      </c>
      <c r="J1320">
        <v>2</v>
      </c>
      <c r="L1320">
        <v>282.66000000000003</v>
      </c>
      <c r="M1320">
        <v>481.7</v>
      </c>
      <c r="N1320">
        <v>648.66</v>
      </c>
      <c r="O1320">
        <v>954.78</v>
      </c>
      <c r="P1320">
        <v>1</v>
      </c>
      <c r="Q1320">
        <v>1</v>
      </c>
      <c r="R1320">
        <v>0</v>
      </c>
      <c r="T1320" t="b">
        <v>1</v>
      </c>
    </row>
    <row r="1321" spans="2:20" x14ac:dyDescent="0.35">
      <c r="B1321">
        <v>2014</v>
      </c>
      <c r="C1321" s="41">
        <v>42795</v>
      </c>
      <c r="D1321" t="s">
        <v>2113</v>
      </c>
      <c r="E1321" t="s">
        <v>219</v>
      </c>
      <c r="F1321" t="s">
        <v>460</v>
      </c>
      <c r="G1321" t="s">
        <v>1381</v>
      </c>
      <c r="H1321" t="s">
        <v>278</v>
      </c>
      <c r="I1321" t="s">
        <v>310</v>
      </c>
      <c r="J1321">
        <v>2</v>
      </c>
      <c r="L1321">
        <v>277.23</v>
      </c>
      <c r="M1321">
        <v>472.45</v>
      </c>
      <c r="N1321">
        <v>636.20000000000005</v>
      </c>
      <c r="O1321">
        <v>936.44</v>
      </c>
      <c r="P1321">
        <v>1</v>
      </c>
      <c r="Q1321">
        <v>1</v>
      </c>
      <c r="R1321">
        <v>0</v>
      </c>
      <c r="T1321" t="b">
        <v>1</v>
      </c>
    </row>
    <row r="1322" spans="2:20" x14ac:dyDescent="0.35">
      <c r="B1322">
        <v>2014</v>
      </c>
      <c r="C1322" s="41">
        <v>42795</v>
      </c>
      <c r="D1322" t="s">
        <v>2113</v>
      </c>
      <c r="E1322" t="s">
        <v>219</v>
      </c>
      <c r="F1322" t="s">
        <v>458</v>
      </c>
      <c r="G1322" t="s">
        <v>1381</v>
      </c>
      <c r="H1322" t="s">
        <v>278</v>
      </c>
      <c r="I1322" t="s">
        <v>310</v>
      </c>
      <c r="J1322">
        <v>2</v>
      </c>
      <c r="L1322">
        <v>259.8</v>
      </c>
      <c r="M1322">
        <v>442.75</v>
      </c>
      <c r="N1322">
        <v>596.21</v>
      </c>
      <c r="O1322">
        <v>877.57999999999902</v>
      </c>
      <c r="P1322">
        <v>1</v>
      </c>
      <c r="Q1322">
        <v>1</v>
      </c>
      <c r="R1322">
        <v>0</v>
      </c>
      <c r="T1322" t="b">
        <v>1</v>
      </c>
    </row>
    <row r="1323" spans="2:20" x14ac:dyDescent="0.35">
      <c r="B1323">
        <v>2014</v>
      </c>
      <c r="C1323" s="41">
        <v>42795</v>
      </c>
      <c r="D1323" t="s">
        <v>2113</v>
      </c>
      <c r="E1323" t="s">
        <v>219</v>
      </c>
      <c r="F1323" t="s">
        <v>1307</v>
      </c>
      <c r="G1323" t="s">
        <v>1381</v>
      </c>
      <c r="H1323" t="s">
        <v>278</v>
      </c>
      <c r="I1323" t="s">
        <v>310</v>
      </c>
      <c r="J1323">
        <v>2</v>
      </c>
      <c r="L1323">
        <v>358.15</v>
      </c>
      <c r="M1323">
        <v>610.37</v>
      </c>
      <c r="N1323">
        <v>821.91</v>
      </c>
      <c r="O1323">
        <v>1209.8</v>
      </c>
      <c r="P1323">
        <v>1</v>
      </c>
      <c r="Q1323">
        <v>1</v>
      </c>
      <c r="R1323">
        <v>0</v>
      </c>
      <c r="T1323" t="b">
        <v>1</v>
      </c>
    </row>
    <row r="1324" spans="2:20" x14ac:dyDescent="0.35">
      <c r="B1324">
        <v>2014</v>
      </c>
      <c r="C1324" s="41">
        <v>42795</v>
      </c>
      <c r="D1324" t="s">
        <v>2113</v>
      </c>
      <c r="E1324" t="s">
        <v>219</v>
      </c>
      <c r="F1324" t="s">
        <v>1309</v>
      </c>
      <c r="G1324" t="s">
        <v>1381</v>
      </c>
      <c r="H1324" t="s">
        <v>278</v>
      </c>
      <c r="I1324" t="s">
        <v>310</v>
      </c>
      <c r="J1324">
        <v>2</v>
      </c>
      <c r="L1324">
        <v>282.54000000000002</v>
      </c>
      <c r="M1324">
        <v>481.51</v>
      </c>
      <c r="N1324">
        <v>648.4</v>
      </c>
      <c r="O1324">
        <v>954.4</v>
      </c>
      <c r="P1324">
        <v>1</v>
      </c>
      <c r="Q1324">
        <v>1</v>
      </c>
      <c r="R1324">
        <v>0</v>
      </c>
      <c r="T1324" t="b">
        <v>1</v>
      </c>
    </row>
    <row r="1325" spans="2:20" x14ac:dyDescent="0.35">
      <c r="B1325">
        <v>2014</v>
      </c>
      <c r="C1325" s="41">
        <v>42795</v>
      </c>
      <c r="D1325" t="s">
        <v>2113</v>
      </c>
      <c r="E1325" t="s">
        <v>219</v>
      </c>
      <c r="F1325" t="s">
        <v>1302</v>
      </c>
      <c r="G1325" t="s">
        <v>1381</v>
      </c>
      <c r="H1325" t="s">
        <v>278</v>
      </c>
      <c r="I1325" t="s">
        <v>310</v>
      </c>
      <c r="J1325">
        <v>2</v>
      </c>
      <c r="L1325">
        <v>290.10000000000002</v>
      </c>
      <c r="M1325">
        <v>494.38</v>
      </c>
      <c r="N1325">
        <v>665.72</v>
      </c>
      <c r="O1325">
        <v>979.9</v>
      </c>
      <c r="P1325">
        <v>1</v>
      </c>
      <c r="Q1325">
        <v>1</v>
      </c>
      <c r="R1325">
        <v>0</v>
      </c>
      <c r="T1325" t="b">
        <v>1</v>
      </c>
    </row>
    <row r="1326" spans="2:20" x14ac:dyDescent="0.35">
      <c r="B1326">
        <v>2014</v>
      </c>
      <c r="C1326" s="41">
        <v>42795</v>
      </c>
      <c r="D1326" t="s">
        <v>2113</v>
      </c>
      <c r="E1326" t="s">
        <v>219</v>
      </c>
      <c r="F1326" t="s">
        <v>1311</v>
      </c>
      <c r="G1326" t="s">
        <v>1381</v>
      </c>
      <c r="H1326" t="s">
        <v>278</v>
      </c>
      <c r="I1326" t="s">
        <v>310</v>
      </c>
      <c r="J1326">
        <v>2</v>
      </c>
      <c r="L1326">
        <v>273.20999999999998</v>
      </c>
      <c r="M1326">
        <v>465.61</v>
      </c>
      <c r="N1326">
        <v>626.97</v>
      </c>
      <c r="O1326">
        <v>922.85999999999899</v>
      </c>
      <c r="P1326">
        <v>1</v>
      </c>
      <c r="Q1326">
        <v>1</v>
      </c>
      <c r="R1326">
        <v>0</v>
      </c>
      <c r="T1326" t="b">
        <v>1</v>
      </c>
    </row>
    <row r="1327" spans="2:20" x14ac:dyDescent="0.35">
      <c r="B1327">
        <v>2014</v>
      </c>
      <c r="C1327" s="41">
        <v>42795</v>
      </c>
      <c r="D1327" t="s">
        <v>2113</v>
      </c>
      <c r="E1327" t="s">
        <v>219</v>
      </c>
      <c r="F1327" t="s">
        <v>464</v>
      </c>
      <c r="G1327" t="s">
        <v>1381</v>
      </c>
      <c r="H1327" t="s">
        <v>278</v>
      </c>
      <c r="I1327" t="s">
        <v>310</v>
      </c>
      <c r="J1327">
        <v>2</v>
      </c>
      <c r="L1327">
        <v>279.67</v>
      </c>
      <c r="M1327">
        <v>476.61</v>
      </c>
      <c r="N1327">
        <v>641.80999999999995</v>
      </c>
      <c r="O1327">
        <v>944.7</v>
      </c>
      <c r="P1327">
        <v>1</v>
      </c>
      <c r="Q1327">
        <v>1</v>
      </c>
      <c r="R1327">
        <v>0</v>
      </c>
      <c r="T1327" t="b">
        <v>1</v>
      </c>
    </row>
    <row r="1328" spans="2:20" x14ac:dyDescent="0.35">
      <c r="B1328">
        <v>2014</v>
      </c>
      <c r="C1328" s="41">
        <v>42795</v>
      </c>
      <c r="D1328" t="s">
        <v>2113</v>
      </c>
      <c r="E1328" t="s">
        <v>219</v>
      </c>
      <c r="F1328" t="s">
        <v>1301</v>
      </c>
      <c r="G1328" t="s">
        <v>1381</v>
      </c>
      <c r="H1328" t="s">
        <v>278</v>
      </c>
      <c r="I1328" t="s">
        <v>310</v>
      </c>
      <c r="J1328">
        <v>2</v>
      </c>
      <c r="L1328">
        <v>273.62</v>
      </c>
      <c r="M1328">
        <v>466.31</v>
      </c>
      <c r="N1328">
        <v>627.91999999999996</v>
      </c>
      <c r="O1328">
        <v>924.26</v>
      </c>
      <c r="P1328">
        <v>1</v>
      </c>
      <c r="Q1328">
        <v>1</v>
      </c>
      <c r="R1328">
        <v>0</v>
      </c>
      <c r="T1328" t="b">
        <v>1</v>
      </c>
    </row>
    <row r="1329" spans="2:20" x14ac:dyDescent="0.35">
      <c r="B1329">
        <v>2014</v>
      </c>
      <c r="C1329" s="41">
        <v>42795</v>
      </c>
      <c r="D1329" t="s">
        <v>277</v>
      </c>
      <c r="E1329" t="s">
        <v>219</v>
      </c>
      <c r="F1329" t="s">
        <v>1310</v>
      </c>
      <c r="G1329" t="s">
        <v>1381</v>
      </c>
      <c r="H1329" t="s">
        <v>278</v>
      </c>
      <c r="I1329" t="s">
        <v>310</v>
      </c>
      <c r="J1329">
        <v>2</v>
      </c>
      <c r="L1329">
        <v>405.62</v>
      </c>
      <c r="M1329">
        <v>691.25</v>
      </c>
      <c r="N1329">
        <v>930.83</v>
      </c>
      <c r="O1329">
        <v>1370.12</v>
      </c>
      <c r="P1329">
        <v>0</v>
      </c>
      <c r="Q1329">
        <v>1</v>
      </c>
      <c r="R1329">
        <v>0</v>
      </c>
      <c r="T1329" t="b">
        <v>1</v>
      </c>
    </row>
    <row r="1330" spans="2:20" x14ac:dyDescent="0.35">
      <c r="B1330">
        <v>2014</v>
      </c>
      <c r="C1330" s="41">
        <v>42795</v>
      </c>
      <c r="D1330" t="s">
        <v>277</v>
      </c>
      <c r="E1330" t="s">
        <v>219</v>
      </c>
      <c r="F1330" t="s">
        <v>1390</v>
      </c>
      <c r="G1330" t="s">
        <v>1381</v>
      </c>
      <c r="H1330" t="s">
        <v>278</v>
      </c>
      <c r="I1330" t="s">
        <v>310</v>
      </c>
      <c r="J1330">
        <v>2</v>
      </c>
      <c r="L1330">
        <v>341.22</v>
      </c>
      <c r="M1330">
        <v>581.5</v>
      </c>
      <c r="N1330">
        <v>783.04</v>
      </c>
      <c r="O1330">
        <v>1152.58</v>
      </c>
      <c r="P1330">
        <v>0</v>
      </c>
      <c r="Q1330">
        <v>1</v>
      </c>
      <c r="R1330">
        <v>0</v>
      </c>
      <c r="T1330" t="b">
        <v>1</v>
      </c>
    </row>
    <row r="1331" spans="2:20" x14ac:dyDescent="0.35">
      <c r="B1331">
        <v>2014</v>
      </c>
      <c r="C1331" s="41">
        <v>42795</v>
      </c>
      <c r="D1331" t="s">
        <v>277</v>
      </c>
      <c r="E1331" t="s">
        <v>219</v>
      </c>
      <c r="F1331" t="s">
        <v>458</v>
      </c>
      <c r="G1331" t="s">
        <v>1381</v>
      </c>
      <c r="H1331" t="s">
        <v>278</v>
      </c>
      <c r="I1331" t="s">
        <v>310</v>
      </c>
      <c r="J1331">
        <v>2</v>
      </c>
      <c r="L1331">
        <v>259.8</v>
      </c>
      <c r="M1331">
        <v>442.75</v>
      </c>
      <c r="N1331">
        <v>596.21</v>
      </c>
      <c r="O1331">
        <v>877.57999999999902</v>
      </c>
      <c r="P1331">
        <v>0</v>
      </c>
      <c r="Q1331">
        <v>1</v>
      </c>
      <c r="R1331">
        <v>0</v>
      </c>
      <c r="T1331" t="b">
        <v>1</v>
      </c>
    </row>
    <row r="1332" spans="2:20" x14ac:dyDescent="0.35">
      <c r="B1332">
        <v>2014</v>
      </c>
      <c r="C1332" s="41">
        <v>42795</v>
      </c>
      <c r="D1332" t="s">
        <v>277</v>
      </c>
      <c r="E1332" t="s">
        <v>219</v>
      </c>
      <c r="F1332" t="s">
        <v>1302</v>
      </c>
      <c r="G1332" t="s">
        <v>1381</v>
      </c>
      <c r="H1332" t="s">
        <v>278</v>
      </c>
      <c r="I1332" t="s">
        <v>310</v>
      </c>
      <c r="J1332">
        <v>2</v>
      </c>
      <c r="L1332">
        <v>290.10000000000002</v>
      </c>
      <c r="M1332">
        <v>494.38</v>
      </c>
      <c r="N1332">
        <v>665.72</v>
      </c>
      <c r="O1332">
        <v>979.9</v>
      </c>
      <c r="P1332">
        <v>0</v>
      </c>
      <c r="Q1332">
        <v>1</v>
      </c>
      <c r="R1332">
        <v>0</v>
      </c>
      <c r="T1332" t="b">
        <v>1</v>
      </c>
    </row>
    <row r="1333" spans="2:20" x14ac:dyDescent="0.35">
      <c r="B1333">
        <v>2014</v>
      </c>
      <c r="C1333" s="41">
        <v>42795</v>
      </c>
      <c r="D1333" t="s">
        <v>277</v>
      </c>
      <c r="E1333" t="s">
        <v>219</v>
      </c>
      <c r="F1333" t="s">
        <v>459</v>
      </c>
      <c r="G1333" t="s">
        <v>1381</v>
      </c>
      <c r="H1333" t="s">
        <v>278</v>
      </c>
      <c r="I1333" t="s">
        <v>310</v>
      </c>
      <c r="J1333">
        <v>2</v>
      </c>
      <c r="L1333">
        <v>334.66</v>
      </c>
      <c r="M1333">
        <v>570.32000000000005</v>
      </c>
      <c r="N1333">
        <v>767.98</v>
      </c>
      <c r="O1333">
        <v>1130.42</v>
      </c>
      <c r="P1333">
        <v>0</v>
      </c>
      <c r="Q1333">
        <v>1</v>
      </c>
      <c r="R1333">
        <v>0</v>
      </c>
      <c r="T1333" t="b">
        <v>1</v>
      </c>
    </row>
    <row r="1334" spans="2:20" x14ac:dyDescent="0.35">
      <c r="B1334">
        <v>2014</v>
      </c>
      <c r="C1334" s="41">
        <v>42795</v>
      </c>
      <c r="D1334" t="s">
        <v>277</v>
      </c>
      <c r="E1334" t="s">
        <v>219</v>
      </c>
      <c r="F1334" t="s">
        <v>461</v>
      </c>
      <c r="G1334" t="s">
        <v>1381</v>
      </c>
      <c r="H1334" t="s">
        <v>278</v>
      </c>
      <c r="I1334" t="s">
        <v>310</v>
      </c>
      <c r="J1334">
        <v>2</v>
      </c>
      <c r="L1334">
        <v>325.58999999999997</v>
      </c>
      <c r="M1334">
        <v>554.87</v>
      </c>
      <c r="N1334">
        <v>747.18</v>
      </c>
      <c r="O1334">
        <v>1099.8</v>
      </c>
      <c r="P1334">
        <v>0</v>
      </c>
      <c r="Q1334">
        <v>1</v>
      </c>
      <c r="R1334">
        <v>0</v>
      </c>
      <c r="T1334" t="b">
        <v>1</v>
      </c>
    </row>
    <row r="1335" spans="2:20" x14ac:dyDescent="0.35">
      <c r="B1335">
        <v>2014</v>
      </c>
      <c r="C1335" s="41">
        <v>42795</v>
      </c>
      <c r="D1335" t="s">
        <v>277</v>
      </c>
      <c r="E1335" t="s">
        <v>219</v>
      </c>
      <c r="F1335" t="s">
        <v>1309</v>
      </c>
      <c r="G1335" t="s">
        <v>1381</v>
      </c>
      <c r="H1335" t="s">
        <v>278</v>
      </c>
      <c r="I1335" t="s">
        <v>310</v>
      </c>
      <c r="J1335">
        <v>2</v>
      </c>
      <c r="L1335">
        <v>282.54000000000002</v>
      </c>
      <c r="M1335">
        <v>481.51</v>
      </c>
      <c r="N1335">
        <v>648.4</v>
      </c>
      <c r="O1335">
        <v>954.4</v>
      </c>
      <c r="P1335">
        <v>0</v>
      </c>
      <c r="Q1335">
        <v>1</v>
      </c>
      <c r="R1335">
        <v>0</v>
      </c>
      <c r="T1335" t="b">
        <v>1</v>
      </c>
    </row>
    <row r="1336" spans="2:20" x14ac:dyDescent="0.35">
      <c r="B1336">
        <v>2014</v>
      </c>
      <c r="C1336" s="41">
        <v>42795</v>
      </c>
      <c r="D1336" t="s">
        <v>277</v>
      </c>
      <c r="E1336" t="s">
        <v>219</v>
      </c>
      <c r="F1336" t="s">
        <v>464</v>
      </c>
      <c r="G1336" t="s">
        <v>1381</v>
      </c>
      <c r="H1336" t="s">
        <v>278</v>
      </c>
      <c r="I1336" t="s">
        <v>310</v>
      </c>
      <c r="J1336">
        <v>2</v>
      </c>
      <c r="L1336">
        <v>279.67</v>
      </c>
      <c r="M1336">
        <v>476.61</v>
      </c>
      <c r="N1336">
        <v>641.80999999999995</v>
      </c>
      <c r="O1336">
        <v>944.7</v>
      </c>
      <c r="P1336">
        <v>0</v>
      </c>
      <c r="Q1336">
        <v>1</v>
      </c>
      <c r="R1336">
        <v>0</v>
      </c>
      <c r="T1336" t="b">
        <v>1</v>
      </c>
    </row>
    <row r="1337" spans="2:20" x14ac:dyDescent="0.35">
      <c r="B1337">
        <v>2014</v>
      </c>
      <c r="C1337" s="41">
        <v>42795</v>
      </c>
      <c r="D1337" t="s">
        <v>277</v>
      </c>
      <c r="E1337" t="s">
        <v>219</v>
      </c>
      <c r="F1337" t="s">
        <v>460</v>
      </c>
      <c r="G1337" t="s">
        <v>1381</v>
      </c>
      <c r="H1337" t="s">
        <v>278</v>
      </c>
      <c r="I1337" t="s">
        <v>310</v>
      </c>
      <c r="J1337">
        <v>2</v>
      </c>
      <c r="L1337">
        <v>277.23</v>
      </c>
      <c r="M1337">
        <v>472.45</v>
      </c>
      <c r="N1337">
        <v>636.20000000000005</v>
      </c>
      <c r="O1337">
        <v>936.44</v>
      </c>
      <c r="P1337">
        <v>0</v>
      </c>
      <c r="Q1337">
        <v>1</v>
      </c>
      <c r="R1337">
        <v>0</v>
      </c>
      <c r="T1337" t="b">
        <v>1</v>
      </c>
    </row>
    <row r="1338" spans="2:20" x14ac:dyDescent="0.35">
      <c r="B1338">
        <v>2014</v>
      </c>
      <c r="C1338" s="41">
        <v>42795</v>
      </c>
      <c r="D1338" t="s">
        <v>277</v>
      </c>
      <c r="E1338" t="s">
        <v>219</v>
      </c>
      <c r="F1338" t="s">
        <v>1311</v>
      </c>
      <c r="G1338" t="s">
        <v>1381</v>
      </c>
      <c r="H1338" t="s">
        <v>278</v>
      </c>
      <c r="I1338" t="s">
        <v>310</v>
      </c>
      <c r="J1338">
        <v>2</v>
      </c>
      <c r="L1338">
        <v>273.20999999999998</v>
      </c>
      <c r="M1338">
        <v>465.61</v>
      </c>
      <c r="N1338">
        <v>626.97</v>
      </c>
      <c r="O1338">
        <v>922.85999999999899</v>
      </c>
      <c r="P1338">
        <v>0</v>
      </c>
      <c r="Q1338">
        <v>1</v>
      </c>
      <c r="R1338">
        <v>0</v>
      </c>
      <c r="T1338" t="b">
        <v>1</v>
      </c>
    </row>
    <row r="1339" spans="2:20" x14ac:dyDescent="0.35">
      <c r="B1339">
        <v>2014</v>
      </c>
      <c r="C1339" s="41">
        <v>42795</v>
      </c>
      <c r="D1339" t="s">
        <v>277</v>
      </c>
      <c r="E1339" t="s">
        <v>219</v>
      </c>
      <c r="F1339" t="s">
        <v>1389</v>
      </c>
      <c r="G1339" t="s">
        <v>1381</v>
      </c>
      <c r="H1339" t="s">
        <v>278</v>
      </c>
      <c r="I1339" t="s">
        <v>310</v>
      </c>
      <c r="J1339">
        <v>2</v>
      </c>
      <c r="L1339">
        <v>282.66000000000003</v>
      </c>
      <c r="M1339">
        <v>481.7</v>
      </c>
      <c r="N1339">
        <v>648.66</v>
      </c>
      <c r="O1339">
        <v>954.78</v>
      </c>
      <c r="P1339">
        <v>0</v>
      </c>
      <c r="Q1339">
        <v>1</v>
      </c>
      <c r="R1339">
        <v>0</v>
      </c>
      <c r="T1339" t="b">
        <v>1</v>
      </c>
    </row>
    <row r="1340" spans="2:20" x14ac:dyDescent="0.35">
      <c r="B1340">
        <v>2014</v>
      </c>
      <c r="C1340" s="41">
        <v>42795</v>
      </c>
      <c r="D1340" t="s">
        <v>277</v>
      </c>
      <c r="E1340" t="s">
        <v>219</v>
      </c>
      <c r="F1340" t="s">
        <v>463</v>
      </c>
      <c r="G1340" t="s">
        <v>1381</v>
      </c>
      <c r="H1340" t="s">
        <v>278</v>
      </c>
      <c r="I1340" t="s">
        <v>310</v>
      </c>
      <c r="J1340">
        <v>2</v>
      </c>
      <c r="L1340">
        <v>371.78</v>
      </c>
      <c r="M1340">
        <v>633.58000000000004</v>
      </c>
      <c r="N1340">
        <v>853.18</v>
      </c>
      <c r="O1340">
        <v>1255.82</v>
      </c>
      <c r="P1340">
        <v>0</v>
      </c>
      <c r="Q1340">
        <v>1</v>
      </c>
      <c r="R1340">
        <v>0</v>
      </c>
      <c r="T1340" t="b">
        <v>1</v>
      </c>
    </row>
    <row r="1341" spans="2:20" x14ac:dyDescent="0.35">
      <c r="B1341">
        <v>2014</v>
      </c>
      <c r="C1341" s="41">
        <v>42795</v>
      </c>
      <c r="D1341" t="s">
        <v>277</v>
      </c>
      <c r="E1341" t="s">
        <v>219</v>
      </c>
      <c r="F1341" t="s">
        <v>1301</v>
      </c>
      <c r="G1341" t="s">
        <v>1381</v>
      </c>
      <c r="H1341" t="s">
        <v>278</v>
      </c>
      <c r="I1341" t="s">
        <v>310</v>
      </c>
      <c r="J1341">
        <v>2</v>
      </c>
      <c r="L1341">
        <v>273.62</v>
      </c>
      <c r="M1341">
        <v>466.31</v>
      </c>
      <c r="N1341">
        <v>627.91999999999996</v>
      </c>
      <c r="O1341">
        <v>924.26</v>
      </c>
      <c r="P1341">
        <v>0</v>
      </c>
      <c r="Q1341">
        <v>1</v>
      </c>
      <c r="R1341">
        <v>0</v>
      </c>
      <c r="T1341" t="b">
        <v>1</v>
      </c>
    </row>
    <row r="1342" spans="2:20" x14ac:dyDescent="0.35">
      <c r="B1342">
        <v>2014</v>
      </c>
      <c r="C1342" s="41">
        <v>42795</v>
      </c>
      <c r="D1342" t="s">
        <v>277</v>
      </c>
      <c r="E1342" t="s">
        <v>219</v>
      </c>
      <c r="F1342" t="s">
        <v>1298</v>
      </c>
      <c r="G1342" t="s">
        <v>1381</v>
      </c>
      <c r="H1342" t="s">
        <v>278</v>
      </c>
      <c r="I1342" t="s">
        <v>310</v>
      </c>
      <c r="J1342">
        <v>2</v>
      </c>
      <c r="L1342">
        <v>313.41000000000003</v>
      </c>
      <c r="M1342">
        <v>534.12</v>
      </c>
      <c r="N1342">
        <v>719.23</v>
      </c>
      <c r="O1342">
        <v>1058.6600000000001</v>
      </c>
      <c r="P1342">
        <v>0</v>
      </c>
      <c r="Q1342">
        <v>1</v>
      </c>
      <c r="R1342">
        <v>0</v>
      </c>
      <c r="T1342" t="b">
        <v>1</v>
      </c>
    </row>
    <row r="1343" spans="2:20" x14ac:dyDescent="0.35">
      <c r="B1343">
        <v>2014</v>
      </c>
      <c r="C1343" s="41">
        <v>42795</v>
      </c>
      <c r="D1343" t="s">
        <v>277</v>
      </c>
      <c r="E1343" t="s">
        <v>219</v>
      </c>
      <c r="F1343" t="s">
        <v>1307</v>
      </c>
      <c r="G1343" t="s">
        <v>1381</v>
      </c>
      <c r="H1343" t="s">
        <v>278</v>
      </c>
      <c r="I1343" t="s">
        <v>310</v>
      </c>
      <c r="J1343">
        <v>2</v>
      </c>
      <c r="L1343">
        <v>358.15</v>
      </c>
      <c r="M1343">
        <v>610.37</v>
      </c>
      <c r="N1343">
        <v>821.91</v>
      </c>
      <c r="O1343">
        <v>1209.8</v>
      </c>
      <c r="P1343">
        <v>0</v>
      </c>
      <c r="Q1343">
        <v>1</v>
      </c>
      <c r="R1343">
        <v>0</v>
      </c>
      <c r="T1343" t="b">
        <v>1</v>
      </c>
    </row>
    <row r="1344" spans="2:20" x14ac:dyDescent="0.35">
      <c r="B1344">
        <v>2014</v>
      </c>
      <c r="C1344" s="41">
        <v>42795</v>
      </c>
      <c r="D1344" t="s">
        <v>277</v>
      </c>
      <c r="E1344" t="s">
        <v>219</v>
      </c>
      <c r="F1344" t="s">
        <v>462</v>
      </c>
      <c r="G1344" t="s">
        <v>1381</v>
      </c>
      <c r="H1344" t="s">
        <v>278</v>
      </c>
      <c r="I1344" t="s">
        <v>310</v>
      </c>
      <c r="J1344">
        <v>2</v>
      </c>
      <c r="L1344">
        <v>301.08</v>
      </c>
      <c r="M1344">
        <v>513.1</v>
      </c>
      <c r="N1344">
        <v>690.93</v>
      </c>
      <c r="O1344">
        <v>1017</v>
      </c>
      <c r="P1344">
        <v>0</v>
      </c>
      <c r="Q1344">
        <v>1</v>
      </c>
      <c r="R1344">
        <v>0</v>
      </c>
      <c r="T1344" t="b">
        <v>1</v>
      </c>
    </row>
    <row r="1345" spans="2:20" x14ac:dyDescent="0.35">
      <c r="B1345">
        <v>2014</v>
      </c>
      <c r="C1345" s="41">
        <v>42795</v>
      </c>
      <c r="D1345" t="s">
        <v>2114</v>
      </c>
      <c r="E1345" t="s">
        <v>219</v>
      </c>
      <c r="F1345" t="s">
        <v>1311</v>
      </c>
      <c r="G1345" t="s">
        <v>1299</v>
      </c>
      <c r="H1345" t="s">
        <v>265</v>
      </c>
      <c r="I1345" t="s">
        <v>310</v>
      </c>
      <c r="J1345">
        <v>2</v>
      </c>
      <c r="L1345">
        <v>206.25</v>
      </c>
      <c r="M1345">
        <v>351.49</v>
      </c>
      <c r="N1345">
        <v>473.31</v>
      </c>
      <c r="O1345">
        <v>696.68</v>
      </c>
      <c r="P1345">
        <v>1</v>
      </c>
      <c r="Q1345">
        <v>1</v>
      </c>
      <c r="R1345">
        <v>0</v>
      </c>
      <c r="T1345" t="b">
        <v>1</v>
      </c>
    </row>
    <row r="1346" spans="2:20" x14ac:dyDescent="0.35">
      <c r="B1346">
        <v>2014</v>
      </c>
      <c r="C1346" s="41">
        <v>42795</v>
      </c>
      <c r="D1346" t="s">
        <v>2114</v>
      </c>
      <c r="E1346" t="s">
        <v>219</v>
      </c>
      <c r="F1346" t="s">
        <v>1301</v>
      </c>
      <c r="G1346" t="s">
        <v>1299</v>
      </c>
      <c r="H1346" t="s">
        <v>265</v>
      </c>
      <c r="I1346" t="s">
        <v>310</v>
      </c>
      <c r="J1346">
        <v>2</v>
      </c>
      <c r="L1346">
        <v>259.19</v>
      </c>
      <c r="M1346">
        <v>441.71</v>
      </c>
      <c r="N1346">
        <v>594.80999999999995</v>
      </c>
      <c r="O1346">
        <v>875.52</v>
      </c>
      <c r="P1346">
        <v>1</v>
      </c>
      <c r="Q1346">
        <v>1</v>
      </c>
      <c r="R1346">
        <v>0</v>
      </c>
      <c r="T1346" t="b">
        <v>1</v>
      </c>
    </row>
    <row r="1347" spans="2:20" x14ac:dyDescent="0.35">
      <c r="B1347">
        <v>2014</v>
      </c>
      <c r="C1347" s="41">
        <v>42795</v>
      </c>
      <c r="D1347" t="s">
        <v>2114</v>
      </c>
      <c r="E1347" t="s">
        <v>219</v>
      </c>
      <c r="F1347" t="s">
        <v>1309</v>
      </c>
      <c r="G1347" t="s">
        <v>1299</v>
      </c>
      <c r="H1347" t="s">
        <v>265</v>
      </c>
      <c r="I1347" t="s">
        <v>310</v>
      </c>
      <c r="J1347">
        <v>2</v>
      </c>
      <c r="L1347">
        <v>227.32</v>
      </c>
      <c r="M1347">
        <v>387.41</v>
      </c>
      <c r="N1347">
        <v>521.67999999999995</v>
      </c>
      <c r="O1347">
        <v>767.88</v>
      </c>
      <c r="P1347">
        <v>1</v>
      </c>
      <c r="Q1347">
        <v>1</v>
      </c>
      <c r="R1347">
        <v>0</v>
      </c>
      <c r="T1347" t="b">
        <v>1</v>
      </c>
    </row>
    <row r="1348" spans="2:20" x14ac:dyDescent="0.35">
      <c r="B1348">
        <v>2014</v>
      </c>
      <c r="C1348" s="41">
        <v>42795</v>
      </c>
      <c r="D1348" t="s">
        <v>2115</v>
      </c>
      <c r="E1348" t="s">
        <v>219</v>
      </c>
      <c r="F1348" t="s">
        <v>1298</v>
      </c>
      <c r="G1348" t="s">
        <v>1381</v>
      </c>
      <c r="H1348" t="s">
        <v>2116</v>
      </c>
      <c r="I1348" t="s">
        <v>1427</v>
      </c>
      <c r="J1348">
        <v>2</v>
      </c>
      <c r="L1348">
        <v>199.36</v>
      </c>
      <c r="M1348">
        <v>339.75</v>
      </c>
      <c r="N1348">
        <v>457.51</v>
      </c>
      <c r="O1348">
        <v>673.42</v>
      </c>
      <c r="P1348">
        <v>0</v>
      </c>
      <c r="Q1348">
        <v>1</v>
      </c>
      <c r="R1348">
        <v>0</v>
      </c>
      <c r="T1348" t="b">
        <v>1</v>
      </c>
    </row>
    <row r="1349" spans="2:20" x14ac:dyDescent="0.35">
      <c r="B1349">
        <v>2014</v>
      </c>
      <c r="C1349" s="41">
        <v>42795</v>
      </c>
      <c r="D1349" t="s">
        <v>2115</v>
      </c>
      <c r="E1349" t="s">
        <v>219</v>
      </c>
      <c r="F1349" t="s">
        <v>1309</v>
      </c>
      <c r="G1349" t="s">
        <v>1381</v>
      </c>
      <c r="H1349" t="s">
        <v>2116</v>
      </c>
      <c r="I1349" t="s">
        <v>1427</v>
      </c>
      <c r="J1349">
        <v>2</v>
      </c>
      <c r="L1349">
        <v>179.72</v>
      </c>
      <c r="M1349">
        <v>306.27999999999997</v>
      </c>
      <c r="N1349">
        <v>412.44</v>
      </c>
      <c r="O1349">
        <v>607.07999999999902</v>
      </c>
      <c r="P1349">
        <v>0</v>
      </c>
      <c r="Q1349">
        <v>1</v>
      </c>
      <c r="R1349">
        <v>0</v>
      </c>
      <c r="T1349" t="b">
        <v>1</v>
      </c>
    </row>
    <row r="1350" spans="2:20" x14ac:dyDescent="0.35">
      <c r="B1350">
        <v>2014</v>
      </c>
      <c r="C1350" s="41">
        <v>42795</v>
      </c>
      <c r="D1350" t="s">
        <v>2115</v>
      </c>
      <c r="E1350" t="s">
        <v>219</v>
      </c>
      <c r="F1350" t="s">
        <v>460</v>
      </c>
      <c r="G1350" t="s">
        <v>1381</v>
      </c>
      <c r="H1350" t="s">
        <v>2116</v>
      </c>
      <c r="I1350" t="s">
        <v>1427</v>
      </c>
      <c r="J1350">
        <v>2</v>
      </c>
      <c r="L1350">
        <v>176.35</v>
      </c>
      <c r="M1350">
        <v>300.52999999999997</v>
      </c>
      <c r="N1350">
        <v>404.69</v>
      </c>
      <c r="O1350">
        <v>595.67999999999995</v>
      </c>
      <c r="P1350">
        <v>0</v>
      </c>
      <c r="Q1350">
        <v>1</v>
      </c>
      <c r="R1350">
        <v>0</v>
      </c>
      <c r="T1350" t="b">
        <v>1</v>
      </c>
    </row>
    <row r="1351" spans="2:20" x14ac:dyDescent="0.35">
      <c r="B1351">
        <v>2014</v>
      </c>
      <c r="C1351" s="41">
        <v>42795</v>
      </c>
      <c r="D1351" t="s">
        <v>2115</v>
      </c>
      <c r="E1351" t="s">
        <v>219</v>
      </c>
      <c r="F1351" t="s">
        <v>1310</v>
      </c>
      <c r="G1351" t="s">
        <v>1381</v>
      </c>
      <c r="H1351" t="s">
        <v>2116</v>
      </c>
      <c r="I1351" t="s">
        <v>1427</v>
      </c>
      <c r="J1351">
        <v>2</v>
      </c>
      <c r="L1351">
        <v>258.01</v>
      </c>
      <c r="M1351">
        <v>439.7</v>
      </c>
      <c r="N1351">
        <v>592.09</v>
      </c>
      <c r="O1351">
        <v>871.52</v>
      </c>
      <c r="P1351">
        <v>0</v>
      </c>
      <c r="Q1351">
        <v>1</v>
      </c>
      <c r="R1351">
        <v>0</v>
      </c>
      <c r="T1351" t="b">
        <v>1</v>
      </c>
    </row>
    <row r="1352" spans="2:20" x14ac:dyDescent="0.35">
      <c r="B1352">
        <v>2014</v>
      </c>
      <c r="C1352" s="41">
        <v>42795</v>
      </c>
      <c r="D1352" t="s">
        <v>2115</v>
      </c>
      <c r="E1352" t="s">
        <v>219</v>
      </c>
      <c r="F1352" t="s">
        <v>463</v>
      </c>
      <c r="G1352" t="s">
        <v>1381</v>
      </c>
      <c r="H1352" t="s">
        <v>2116</v>
      </c>
      <c r="I1352" t="s">
        <v>1427</v>
      </c>
      <c r="J1352">
        <v>2</v>
      </c>
      <c r="L1352">
        <v>236.48</v>
      </c>
      <c r="M1352">
        <v>403.01</v>
      </c>
      <c r="N1352">
        <v>542.69000000000005</v>
      </c>
      <c r="O1352">
        <v>798.8</v>
      </c>
      <c r="P1352">
        <v>0</v>
      </c>
      <c r="Q1352">
        <v>1</v>
      </c>
      <c r="R1352">
        <v>0</v>
      </c>
      <c r="T1352" t="b">
        <v>1</v>
      </c>
    </row>
    <row r="1353" spans="2:20" x14ac:dyDescent="0.35">
      <c r="B1353">
        <v>2014</v>
      </c>
      <c r="C1353" s="41">
        <v>42795</v>
      </c>
      <c r="D1353" t="s">
        <v>2115</v>
      </c>
      <c r="E1353" t="s">
        <v>219</v>
      </c>
      <c r="F1353" t="s">
        <v>1307</v>
      </c>
      <c r="G1353" t="s">
        <v>1381</v>
      </c>
      <c r="H1353" t="s">
        <v>2116</v>
      </c>
      <c r="I1353" t="s">
        <v>1427</v>
      </c>
      <c r="J1353">
        <v>2</v>
      </c>
      <c r="L1353">
        <v>227.82</v>
      </c>
      <c r="M1353">
        <v>388.26</v>
      </c>
      <c r="N1353">
        <v>522.81999999999903</v>
      </c>
      <c r="O1353">
        <v>769.56</v>
      </c>
      <c r="P1353">
        <v>0</v>
      </c>
      <c r="Q1353">
        <v>1</v>
      </c>
      <c r="R1353">
        <v>0</v>
      </c>
      <c r="T1353" t="b">
        <v>1</v>
      </c>
    </row>
    <row r="1354" spans="2:20" x14ac:dyDescent="0.35">
      <c r="B1354">
        <v>2014</v>
      </c>
      <c r="C1354" s="41">
        <v>42795</v>
      </c>
      <c r="D1354" t="s">
        <v>2115</v>
      </c>
      <c r="E1354" t="s">
        <v>219</v>
      </c>
      <c r="F1354" t="s">
        <v>1390</v>
      </c>
      <c r="G1354" t="s">
        <v>1381</v>
      </c>
      <c r="H1354" t="s">
        <v>2116</v>
      </c>
      <c r="I1354" t="s">
        <v>1427</v>
      </c>
      <c r="J1354">
        <v>2</v>
      </c>
      <c r="L1354">
        <v>217.05</v>
      </c>
      <c r="M1354">
        <v>369.9</v>
      </c>
      <c r="N1354">
        <v>498.09</v>
      </c>
      <c r="O1354">
        <v>733.16</v>
      </c>
      <c r="P1354">
        <v>0</v>
      </c>
      <c r="Q1354">
        <v>1</v>
      </c>
      <c r="R1354">
        <v>0</v>
      </c>
      <c r="T1354" t="b">
        <v>1</v>
      </c>
    </row>
    <row r="1355" spans="2:20" x14ac:dyDescent="0.35">
      <c r="B1355">
        <v>2014</v>
      </c>
      <c r="C1355" s="41">
        <v>42795</v>
      </c>
      <c r="D1355" t="s">
        <v>2115</v>
      </c>
      <c r="E1355" t="s">
        <v>219</v>
      </c>
      <c r="F1355" t="s">
        <v>459</v>
      </c>
      <c r="G1355" t="s">
        <v>1381</v>
      </c>
      <c r="H1355" t="s">
        <v>2116</v>
      </c>
      <c r="I1355" t="s">
        <v>1427</v>
      </c>
      <c r="J1355">
        <v>2</v>
      </c>
      <c r="L1355">
        <v>212.87</v>
      </c>
      <c r="M1355">
        <v>362.77</v>
      </c>
      <c r="N1355">
        <v>488.5</v>
      </c>
      <c r="O1355">
        <v>719.04</v>
      </c>
      <c r="P1355">
        <v>0</v>
      </c>
      <c r="Q1355">
        <v>1</v>
      </c>
      <c r="R1355">
        <v>0</v>
      </c>
      <c r="T1355" t="b">
        <v>1</v>
      </c>
    </row>
    <row r="1356" spans="2:20" x14ac:dyDescent="0.35">
      <c r="B1356">
        <v>2014</v>
      </c>
      <c r="C1356" s="41">
        <v>42795</v>
      </c>
      <c r="D1356" t="s">
        <v>2115</v>
      </c>
      <c r="E1356" t="s">
        <v>219</v>
      </c>
      <c r="F1356" t="s">
        <v>461</v>
      </c>
      <c r="G1356" t="s">
        <v>1381</v>
      </c>
      <c r="H1356" t="s">
        <v>2116</v>
      </c>
      <c r="I1356" t="s">
        <v>1427</v>
      </c>
      <c r="J1356">
        <v>2</v>
      </c>
      <c r="L1356">
        <v>207.11</v>
      </c>
      <c r="M1356">
        <v>352.95</v>
      </c>
      <c r="N1356">
        <v>475.28</v>
      </c>
      <c r="O1356">
        <v>699.58</v>
      </c>
      <c r="P1356">
        <v>0</v>
      </c>
      <c r="Q1356">
        <v>1</v>
      </c>
      <c r="R1356">
        <v>0</v>
      </c>
      <c r="T1356" t="b">
        <v>1</v>
      </c>
    </row>
    <row r="1357" spans="2:20" x14ac:dyDescent="0.35">
      <c r="B1357">
        <v>2014</v>
      </c>
      <c r="C1357" s="41">
        <v>42795</v>
      </c>
      <c r="D1357" t="s">
        <v>2115</v>
      </c>
      <c r="E1357" t="s">
        <v>219</v>
      </c>
      <c r="F1357" t="s">
        <v>462</v>
      </c>
      <c r="G1357" t="s">
        <v>1381</v>
      </c>
      <c r="H1357" t="s">
        <v>2116</v>
      </c>
      <c r="I1357" t="s">
        <v>1427</v>
      </c>
      <c r="J1357">
        <v>2</v>
      </c>
      <c r="L1357">
        <v>191.51</v>
      </c>
      <c r="M1357">
        <v>326.37</v>
      </c>
      <c r="N1357">
        <v>439.49</v>
      </c>
      <c r="O1357">
        <v>646.9</v>
      </c>
      <c r="P1357">
        <v>0</v>
      </c>
      <c r="Q1357">
        <v>1</v>
      </c>
      <c r="R1357">
        <v>0</v>
      </c>
      <c r="T1357" t="b">
        <v>1</v>
      </c>
    </row>
    <row r="1358" spans="2:20" x14ac:dyDescent="0.35">
      <c r="B1358">
        <v>2014</v>
      </c>
      <c r="C1358" s="41">
        <v>42795</v>
      </c>
      <c r="D1358" t="s">
        <v>2115</v>
      </c>
      <c r="E1358" t="s">
        <v>219</v>
      </c>
      <c r="F1358" t="s">
        <v>1302</v>
      </c>
      <c r="G1358" t="s">
        <v>1381</v>
      </c>
      <c r="H1358" t="s">
        <v>2116</v>
      </c>
      <c r="I1358" t="s">
        <v>1427</v>
      </c>
      <c r="J1358">
        <v>2</v>
      </c>
      <c r="L1358">
        <v>184.53</v>
      </c>
      <c r="M1358">
        <v>314.48</v>
      </c>
      <c r="N1358">
        <v>423.47</v>
      </c>
      <c r="O1358">
        <v>623.31999999999903</v>
      </c>
      <c r="P1358">
        <v>0</v>
      </c>
      <c r="Q1358">
        <v>1</v>
      </c>
      <c r="R1358">
        <v>0</v>
      </c>
      <c r="T1358" t="b">
        <v>1</v>
      </c>
    </row>
    <row r="1359" spans="2:20" x14ac:dyDescent="0.35">
      <c r="B1359">
        <v>2014</v>
      </c>
      <c r="C1359" s="41">
        <v>42795</v>
      </c>
      <c r="D1359" t="s">
        <v>2115</v>
      </c>
      <c r="E1359" t="s">
        <v>219</v>
      </c>
      <c r="F1359" t="s">
        <v>1389</v>
      </c>
      <c r="G1359" t="s">
        <v>1381</v>
      </c>
      <c r="H1359" t="s">
        <v>2116</v>
      </c>
      <c r="I1359" t="s">
        <v>1427</v>
      </c>
      <c r="J1359">
        <v>2</v>
      </c>
      <c r="L1359">
        <v>179.79</v>
      </c>
      <c r="M1359">
        <v>306.41000000000003</v>
      </c>
      <c r="N1359">
        <v>412.6</v>
      </c>
      <c r="O1359">
        <v>607.31999999999903</v>
      </c>
      <c r="P1359">
        <v>0</v>
      </c>
      <c r="Q1359">
        <v>1</v>
      </c>
      <c r="R1359">
        <v>0</v>
      </c>
      <c r="T1359" t="b">
        <v>1</v>
      </c>
    </row>
    <row r="1360" spans="2:20" x14ac:dyDescent="0.35">
      <c r="B1360">
        <v>2014</v>
      </c>
      <c r="C1360" s="41">
        <v>42795</v>
      </c>
      <c r="D1360" t="s">
        <v>2115</v>
      </c>
      <c r="E1360" t="s">
        <v>219</v>
      </c>
      <c r="F1360" t="s">
        <v>464</v>
      </c>
      <c r="G1360" t="s">
        <v>1381</v>
      </c>
      <c r="H1360" t="s">
        <v>2116</v>
      </c>
      <c r="I1360" t="s">
        <v>1427</v>
      </c>
      <c r="J1360">
        <v>2</v>
      </c>
      <c r="L1360">
        <v>177.9</v>
      </c>
      <c r="M1360">
        <v>303.17</v>
      </c>
      <c r="N1360">
        <v>408.25</v>
      </c>
      <c r="O1360">
        <v>600.91999999999996</v>
      </c>
      <c r="P1360">
        <v>0</v>
      </c>
      <c r="Q1360">
        <v>1</v>
      </c>
      <c r="R1360">
        <v>0</v>
      </c>
      <c r="T1360" t="b">
        <v>1</v>
      </c>
    </row>
    <row r="1361" spans="2:20" x14ac:dyDescent="0.35">
      <c r="B1361">
        <v>2014</v>
      </c>
      <c r="C1361" s="41">
        <v>42795</v>
      </c>
      <c r="D1361" t="s">
        <v>2115</v>
      </c>
      <c r="E1361" t="s">
        <v>219</v>
      </c>
      <c r="F1361" t="s">
        <v>1301</v>
      </c>
      <c r="G1361" t="s">
        <v>1381</v>
      </c>
      <c r="H1361" t="s">
        <v>2116</v>
      </c>
      <c r="I1361" t="s">
        <v>1427</v>
      </c>
      <c r="J1361">
        <v>2</v>
      </c>
      <c r="L1361">
        <v>174.05</v>
      </c>
      <c r="M1361">
        <v>296.62</v>
      </c>
      <c r="N1361">
        <v>399.41999999999899</v>
      </c>
      <c r="O1361">
        <v>587.91999999999996</v>
      </c>
      <c r="P1361">
        <v>0</v>
      </c>
      <c r="Q1361">
        <v>1</v>
      </c>
      <c r="R1361">
        <v>0</v>
      </c>
      <c r="T1361" t="b">
        <v>1</v>
      </c>
    </row>
    <row r="1362" spans="2:20" x14ac:dyDescent="0.35">
      <c r="B1362">
        <v>2014</v>
      </c>
      <c r="C1362" s="41">
        <v>42795</v>
      </c>
      <c r="D1362" t="s">
        <v>2115</v>
      </c>
      <c r="E1362" t="s">
        <v>219</v>
      </c>
      <c r="F1362" t="s">
        <v>1311</v>
      </c>
      <c r="G1362" t="s">
        <v>1381</v>
      </c>
      <c r="H1362" t="s">
        <v>2116</v>
      </c>
      <c r="I1362" t="s">
        <v>1427</v>
      </c>
      <c r="J1362">
        <v>2</v>
      </c>
      <c r="L1362">
        <v>173.79</v>
      </c>
      <c r="M1362">
        <v>296.17</v>
      </c>
      <c r="N1362">
        <v>398.82</v>
      </c>
      <c r="O1362">
        <v>587.04</v>
      </c>
      <c r="P1362">
        <v>0</v>
      </c>
      <c r="Q1362">
        <v>1</v>
      </c>
      <c r="R1362">
        <v>0</v>
      </c>
      <c r="T1362" t="b">
        <v>1</v>
      </c>
    </row>
    <row r="1363" spans="2:20" x14ac:dyDescent="0.35">
      <c r="B1363">
        <v>2014</v>
      </c>
      <c r="C1363" s="41">
        <v>42795</v>
      </c>
      <c r="D1363" t="s">
        <v>2115</v>
      </c>
      <c r="E1363" t="s">
        <v>219</v>
      </c>
      <c r="F1363" t="s">
        <v>458</v>
      </c>
      <c r="G1363" t="s">
        <v>1381</v>
      </c>
      <c r="H1363" t="s">
        <v>2116</v>
      </c>
      <c r="I1363" t="s">
        <v>1427</v>
      </c>
      <c r="J1363">
        <v>2</v>
      </c>
      <c r="L1363">
        <v>165.26</v>
      </c>
      <c r="M1363">
        <v>281.63</v>
      </c>
      <c r="N1363">
        <v>379.24</v>
      </c>
      <c r="O1363">
        <v>558.22</v>
      </c>
      <c r="P1363">
        <v>0</v>
      </c>
      <c r="Q1363">
        <v>1</v>
      </c>
      <c r="R1363">
        <v>0</v>
      </c>
      <c r="T1363" t="b">
        <v>1</v>
      </c>
    </row>
    <row r="1364" spans="2:20" x14ac:dyDescent="0.35">
      <c r="B1364">
        <v>2014</v>
      </c>
      <c r="C1364" s="41">
        <v>42795</v>
      </c>
      <c r="D1364" t="s">
        <v>2117</v>
      </c>
      <c r="E1364" t="s">
        <v>219</v>
      </c>
      <c r="F1364" t="s">
        <v>458</v>
      </c>
      <c r="G1364" t="s">
        <v>1381</v>
      </c>
      <c r="H1364" t="s">
        <v>276</v>
      </c>
      <c r="I1364" t="s">
        <v>310</v>
      </c>
      <c r="J1364">
        <v>2</v>
      </c>
      <c r="L1364">
        <v>259.8</v>
      </c>
      <c r="M1364">
        <v>442.75</v>
      </c>
      <c r="N1364">
        <v>596.21</v>
      </c>
      <c r="O1364">
        <v>877.57999999999902</v>
      </c>
      <c r="P1364">
        <v>1</v>
      </c>
      <c r="Q1364">
        <v>1</v>
      </c>
      <c r="R1364">
        <v>0</v>
      </c>
      <c r="T1364" t="b">
        <v>1</v>
      </c>
    </row>
    <row r="1365" spans="2:20" x14ac:dyDescent="0.35">
      <c r="B1365">
        <v>2014</v>
      </c>
      <c r="C1365" s="41">
        <v>42795</v>
      </c>
      <c r="D1365" t="s">
        <v>2117</v>
      </c>
      <c r="E1365" t="s">
        <v>219</v>
      </c>
      <c r="F1365" t="s">
        <v>1390</v>
      </c>
      <c r="G1365" t="s">
        <v>1381</v>
      </c>
      <c r="H1365" t="s">
        <v>276</v>
      </c>
      <c r="I1365" t="s">
        <v>310</v>
      </c>
      <c r="J1365">
        <v>2</v>
      </c>
      <c r="L1365">
        <v>341.22</v>
      </c>
      <c r="M1365">
        <v>581.5</v>
      </c>
      <c r="N1365">
        <v>783.04</v>
      </c>
      <c r="O1365">
        <v>1152.58</v>
      </c>
      <c r="P1365">
        <v>1</v>
      </c>
      <c r="Q1365">
        <v>1</v>
      </c>
      <c r="R1365">
        <v>0</v>
      </c>
      <c r="T1365" t="b">
        <v>1</v>
      </c>
    </row>
    <row r="1366" spans="2:20" x14ac:dyDescent="0.35">
      <c r="B1366">
        <v>2014</v>
      </c>
      <c r="C1366" s="41">
        <v>42795</v>
      </c>
      <c r="D1366" t="s">
        <v>2117</v>
      </c>
      <c r="E1366" t="s">
        <v>219</v>
      </c>
      <c r="F1366" t="s">
        <v>1389</v>
      </c>
      <c r="G1366" t="s">
        <v>1381</v>
      </c>
      <c r="H1366" t="s">
        <v>276</v>
      </c>
      <c r="I1366" t="s">
        <v>310</v>
      </c>
      <c r="J1366">
        <v>2</v>
      </c>
      <c r="L1366">
        <v>282.66000000000003</v>
      </c>
      <c r="M1366">
        <v>481.7</v>
      </c>
      <c r="N1366">
        <v>648.66</v>
      </c>
      <c r="O1366">
        <v>954.78</v>
      </c>
      <c r="P1366">
        <v>1</v>
      </c>
      <c r="Q1366">
        <v>1</v>
      </c>
      <c r="R1366">
        <v>0</v>
      </c>
      <c r="T1366" t="b">
        <v>1</v>
      </c>
    </row>
    <row r="1367" spans="2:20" x14ac:dyDescent="0.35">
      <c r="B1367">
        <v>2014</v>
      </c>
      <c r="C1367" s="41">
        <v>42795</v>
      </c>
      <c r="D1367" t="s">
        <v>2117</v>
      </c>
      <c r="E1367" t="s">
        <v>219</v>
      </c>
      <c r="F1367" t="s">
        <v>460</v>
      </c>
      <c r="G1367" t="s">
        <v>1381</v>
      </c>
      <c r="H1367" t="s">
        <v>276</v>
      </c>
      <c r="I1367" t="s">
        <v>310</v>
      </c>
      <c r="J1367">
        <v>2</v>
      </c>
      <c r="L1367">
        <v>277.23</v>
      </c>
      <c r="M1367">
        <v>472.45</v>
      </c>
      <c r="N1367">
        <v>636.20000000000005</v>
      </c>
      <c r="O1367">
        <v>936.44</v>
      </c>
      <c r="P1367">
        <v>1</v>
      </c>
      <c r="Q1367">
        <v>1</v>
      </c>
      <c r="R1367">
        <v>0</v>
      </c>
      <c r="T1367" t="b">
        <v>1</v>
      </c>
    </row>
    <row r="1368" spans="2:20" x14ac:dyDescent="0.35">
      <c r="B1368">
        <v>2014</v>
      </c>
      <c r="C1368" s="41">
        <v>42795</v>
      </c>
      <c r="D1368" t="s">
        <v>2117</v>
      </c>
      <c r="E1368" t="s">
        <v>219</v>
      </c>
      <c r="F1368" t="s">
        <v>1310</v>
      </c>
      <c r="G1368" t="s">
        <v>1381</v>
      </c>
      <c r="H1368" t="s">
        <v>276</v>
      </c>
      <c r="I1368" t="s">
        <v>310</v>
      </c>
      <c r="J1368">
        <v>2</v>
      </c>
      <c r="L1368">
        <v>405.62</v>
      </c>
      <c r="M1368">
        <v>691.25</v>
      </c>
      <c r="N1368">
        <v>930.83</v>
      </c>
      <c r="O1368">
        <v>1370.12</v>
      </c>
      <c r="P1368">
        <v>1</v>
      </c>
      <c r="Q1368">
        <v>1</v>
      </c>
      <c r="R1368">
        <v>0</v>
      </c>
      <c r="T1368" t="b">
        <v>1</v>
      </c>
    </row>
    <row r="1369" spans="2:20" x14ac:dyDescent="0.35">
      <c r="B1369">
        <v>2014</v>
      </c>
      <c r="C1369" s="41">
        <v>42795</v>
      </c>
      <c r="D1369" t="s">
        <v>2117</v>
      </c>
      <c r="E1369" t="s">
        <v>219</v>
      </c>
      <c r="F1369" t="s">
        <v>1298</v>
      </c>
      <c r="G1369" t="s">
        <v>1381</v>
      </c>
      <c r="H1369" t="s">
        <v>276</v>
      </c>
      <c r="I1369" t="s">
        <v>310</v>
      </c>
      <c r="J1369">
        <v>2</v>
      </c>
      <c r="L1369">
        <v>313.41000000000003</v>
      </c>
      <c r="M1369">
        <v>534.12</v>
      </c>
      <c r="N1369">
        <v>719.23</v>
      </c>
      <c r="O1369">
        <v>1058.6600000000001</v>
      </c>
      <c r="P1369">
        <v>1</v>
      </c>
      <c r="Q1369">
        <v>1</v>
      </c>
      <c r="R1369">
        <v>0</v>
      </c>
      <c r="T1369" t="b">
        <v>1</v>
      </c>
    </row>
    <row r="1370" spans="2:20" x14ac:dyDescent="0.35">
      <c r="B1370">
        <v>2014</v>
      </c>
      <c r="C1370" s="41">
        <v>42795</v>
      </c>
      <c r="D1370" t="s">
        <v>2117</v>
      </c>
      <c r="E1370" t="s">
        <v>219</v>
      </c>
      <c r="F1370" t="s">
        <v>1311</v>
      </c>
      <c r="G1370" t="s">
        <v>1381</v>
      </c>
      <c r="H1370" t="s">
        <v>276</v>
      </c>
      <c r="I1370" t="s">
        <v>310</v>
      </c>
      <c r="J1370">
        <v>2</v>
      </c>
      <c r="L1370">
        <v>273.20999999999998</v>
      </c>
      <c r="M1370">
        <v>465.61</v>
      </c>
      <c r="N1370">
        <v>626.97</v>
      </c>
      <c r="O1370">
        <v>922.85999999999899</v>
      </c>
      <c r="P1370">
        <v>1</v>
      </c>
      <c r="Q1370">
        <v>1</v>
      </c>
      <c r="R1370">
        <v>0</v>
      </c>
      <c r="T1370" t="b">
        <v>1</v>
      </c>
    </row>
    <row r="1371" spans="2:20" x14ac:dyDescent="0.35">
      <c r="B1371">
        <v>2014</v>
      </c>
      <c r="C1371" s="41">
        <v>42795</v>
      </c>
      <c r="D1371" t="s">
        <v>2117</v>
      </c>
      <c r="E1371" t="s">
        <v>219</v>
      </c>
      <c r="F1371" t="s">
        <v>463</v>
      </c>
      <c r="G1371" t="s">
        <v>1381</v>
      </c>
      <c r="H1371" t="s">
        <v>276</v>
      </c>
      <c r="I1371" t="s">
        <v>310</v>
      </c>
      <c r="J1371">
        <v>2</v>
      </c>
      <c r="L1371">
        <v>371.78</v>
      </c>
      <c r="M1371">
        <v>633.58000000000004</v>
      </c>
      <c r="N1371">
        <v>853.18</v>
      </c>
      <c r="O1371">
        <v>1255.82</v>
      </c>
      <c r="P1371">
        <v>1</v>
      </c>
      <c r="Q1371">
        <v>1</v>
      </c>
      <c r="R1371">
        <v>0</v>
      </c>
      <c r="T1371" t="b">
        <v>1</v>
      </c>
    </row>
    <row r="1372" spans="2:20" x14ac:dyDescent="0.35">
      <c r="B1372">
        <v>2014</v>
      </c>
      <c r="C1372" s="41">
        <v>42795</v>
      </c>
      <c r="D1372" t="s">
        <v>2117</v>
      </c>
      <c r="E1372" t="s">
        <v>219</v>
      </c>
      <c r="F1372" t="s">
        <v>459</v>
      </c>
      <c r="G1372" t="s">
        <v>1381</v>
      </c>
      <c r="H1372" t="s">
        <v>276</v>
      </c>
      <c r="I1372" t="s">
        <v>310</v>
      </c>
      <c r="J1372">
        <v>2</v>
      </c>
      <c r="L1372">
        <v>334.66</v>
      </c>
      <c r="M1372">
        <v>570.32000000000005</v>
      </c>
      <c r="N1372">
        <v>767.98</v>
      </c>
      <c r="O1372">
        <v>1130.42</v>
      </c>
      <c r="P1372">
        <v>1</v>
      </c>
      <c r="Q1372">
        <v>1</v>
      </c>
      <c r="R1372">
        <v>0</v>
      </c>
      <c r="T1372" t="b">
        <v>1</v>
      </c>
    </row>
    <row r="1373" spans="2:20" x14ac:dyDescent="0.35">
      <c r="B1373">
        <v>2014</v>
      </c>
      <c r="C1373" s="41">
        <v>42795</v>
      </c>
      <c r="D1373" t="s">
        <v>2117</v>
      </c>
      <c r="E1373" t="s">
        <v>219</v>
      </c>
      <c r="F1373" t="s">
        <v>1301</v>
      </c>
      <c r="G1373" t="s">
        <v>1381</v>
      </c>
      <c r="H1373" t="s">
        <v>276</v>
      </c>
      <c r="I1373" t="s">
        <v>310</v>
      </c>
      <c r="J1373">
        <v>2</v>
      </c>
      <c r="L1373">
        <v>273.62</v>
      </c>
      <c r="M1373">
        <v>466.31</v>
      </c>
      <c r="N1373">
        <v>627.91999999999996</v>
      </c>
      <c r="O1373">
        <v>924.26</v>
      </c>
      <c r="P1373">
        <v>1</v>
      </c>
      <c r="Q1373">
        <v>1</v>
      </c>
      <c r="R1373">
        <v>0</v>
      </c>
      <c r="T1373" t="b">
        <v>1</v>
      </c>
    </row>
    <row r="1374" spans="2:20" x14ac:dyDescent="0.35">
      <c r="B1374">
        <v>2014</v>
      </c>
      <c r="C1374" s="41">
        <v>42795</v>
      </c>
      <c r="D1374" t="s">
        <v>2117</v>
      </c>
      <c r="E1374" t="s">
        <v>219</v>
      </c>
      <c r="F1374" t="s">
        <v>1307</v>
      </c>
      <c r="G1374" t="s">
        <v>1381</v>
      </c>
      <c r="H1374" t="s">
        <v>276</v>
      </c>
      <c r="I1374" t="s">
        <v>310</v>
      </c>
      <c r="J1374">
        <v>2</v>
      </c>
      <c r="L1374">
        <v>358.15</v>
      </c>
      <c r="M1374">
        <v>610.37</v>
      </c>
      <c r="N1374">
        <v>821.91</v>
      </c>
      <c r="O1374">
        <v>1209.8</v>
      </c>
      <c r="P1374">
        <v>1</v>
      </c>
      <c r="Q1374">
        <v>1</v>
      </c>
      <c r="R1374">
        <v>0</v>
      </c>
      <c r="T1374" t="b">
        <v>1</v>
      </c>
    </row>
    <row r="1375" spans="2:20" x14ac:dyDescent="0.35">
      <c r="B1375">
        <v>2014</v>
      </c>
      <c r="C1375" s="41">
        <v>42795</v>
      </c>
      <c r="D1375" t="s">
        <v>2117</v>
      </c>
      <c r="E1375" t="s">
        <v>219</v>
      </c>
      <c r="F1375" t="s">
        <v>461</v>
      </c>
      <c r="G1375" t="s">
        <v>1381</v>
      </c>
      <c r="H1375" t="s">
        <v>276</v>
      </c>
      <c r="I1375" t="s">
        <v>310</v>
      </c>
      <c r="J1375">
        <v>2</v>
      </c>
      <c r="L1375">
        <v>325.58999999999997</v>
      </c>
      <c r="M1375">
        <v>554.87</v>
      </c>
      <c r="N1375">
        <v>747.18</v>
      </c>
      <c r="O1375">
        <v>1099.8</v>
      </c>
      <c r="P1375">
        <v>1</v>
      </c>
      <c r="Q1375">
        <v>1</v>
      </c>
      <c r="R1375">
        <v>0</v>
      </c>
      <c r="T1375" t="b">
        <v>1</v>
      </c>
    </row>
    <row r="1376" spans="2:20" x14ac:dyDescent="0.35">
      <c r="B1376">
        <v>2014</v>
      </c>
      <c r="C1376" s="41">
        <v>42795</v>
      </c>
      <c r="D1376" t="s">
        <v>2117</v>
      </c>
      <c r="E1376" t="s">
        <v>219</v>
      </c>
      <c r="F1376" t="s">
        <v>462</v>
      </c>
      <c r="G1376" t="s">
        <v>1381</v>
      </c>
      <c r="H1376" t="s">
        <v>276</v>
      </c>
      <c r="I1376" t="s">
        <v>310</v>
      </c>
      <c r="J1376">
        <v>2</v>
      </c>
      <c r="L1376">
        <v>301.08</v>
      </c>
      <c r="M1376">
        <v>513.1</v>
      </c>
      <c r="N1376">
        <v>690.93</v>
      </c>
      <c r="O1376">
        <v>1017</v>
      </c>
      <c r="P1376">
        <v>1</v>
      </c>
      <c r="Q1376">
        <v>1</v>
      </c>
      <c r="R1376">
        <v>0</v>
      </c>
      <c r="T1376" t="b">
        <v>1</v>
      </c>
    </row>
    <row r="1377" spans="2:20" x14ac:dyDescent="0.35">
      <c r="B1377">
        <v>2014</v>
      </c>
      <c r="C1377" s="41">
        <v>42795</v>
      </c>
      <c r="D1377" t="s">
        <v>2117</v>
      </c>
      <c r="E1377" t="s">
        <v>219</v>
      </c>
      <c r="F1377" t="s">
        <v>1302</v>
      </c>
      <c r="G1377" t="s">
        <v>1381</v>
      </c>
      <c r="H1377" t="s">
        <v>276</v>
      </c>
      <c r="I1377" t="s">
        <v>310</v>
      </c>
      <c r="J1377">
        <v>2</v>
      </c>
      <c r="L1377">
        <v>290.10000000000002</v>
      </c>
      <c r="M1377">
        <v>494.38</v>
      </c>
      <c r="N1377">
        <v>665.72</v>
      </c>
      <c r="O1377">
        <v>979.9</v>
      </c>
      <c r="P1377">
        <v>1</v>
      </c>
      <c r="Q1377">
        <v>1</v>
      </c>
      <c r="R1377">
        <v>0</v>
      </c>
      <c r="T1377" t="b">
        <v>1</v>
      </c>
    </row>
    <row r="1378" spans="2:20" x14ac:dyDescent="0.35">
      <c r="B1378">
        <v>2014</v>
      </c>
      <c r="C1378" s="41">
        <v>42795</v>
      </c>
      <c r="D1378" t="s">
        <v>2117</v>
      </c>
      <c r="E1378" t="s">
        <v>219</v>
      </c>
      <c r="F1378" t="s">
        <v>464</v>
      </c>
      <c r="G1378" t="s">
        <v>1381</v>
      </c>
      <c r="H1378" t="s">
        <v>276</v>
      </c>
      <c r="I1378" t="s">
        <v>310</v>
      </c>
      <c r="J1378">
        <v>2</v>
      </c>
      <c r="L1378">
        <v>279.67</v>
      </c>
      <c r="M1378">
        <v>476.61</v>
      </c>
      <c r="N1378">
        <v>641.80999999999995</v>
      </c>
      <c r="O1378">
        <v>944.7</v>
      </c>
      <c r="P1378">
        <v>1</v>
      </c>
      <c r="Q1378">
        <v>1</v>
      </c>
      <c r="R1378">
        <v>0</v>
      </c>
      <c r="T1378" t="b">
        <v>1</v>
      </c>
    </row>
    <row r="1379" spans="2:20" x14ac:dyDescent="0.35">
      <c r="B1379">
        <v>2014</v>
      </c>
      <c r="C1379" s="41">
        <v>42795</v>
      </c>
      <c r="D1379" t="s">
        <v>2117</v>
      </c>
      <c r="E1379" t="s">
        <v>219</v>
      </c>
      <c r="F1379" t="s">
        <v>1309</v>
      </c>
      <c r="G1379" t="s">
        <v>1381</v>
      </c>
      <c r="H1379" t="s">
        <v>276</v>
      </c>
      <c r="I1379" t="s">
        <v>310</v>
      </c>
      <c r="J1379">
        <v>2</v>
      </c>
      <c r="L1379">
        <v>282.54000000000002</v>
      </c>
      <c r="M1379">
        <v>481.51</v>
      </c>
      <c r="N1379">
        <v>648.4</v>
      </c>
      <c r="O1379">
        <v>954.4</v>
      </c>
      <c r="P1379">
        <v>1</v>
      </c>
      <c r="Q1379">
        <v>1</v>
      </c>
      <c r="R1379">
        <v>0</v>
      </c>
      <c r="T1379" t="b">
        <v>1</v>
      </c>
    </row>
    <row r="1380" spans="2:20" x14ac:dyDescent="0.35">
      <c r="B1380">
        <v>2014</v>
      </c>
      <c r="C1380" s="41">
        <v>42795</v>
      </c>
      <c r="D1380" t="s">
        <v>279</v>
      </c>
      <c r="E1380" t="s">
        <v>219</v>
      </c>
      <c r="F1380" t="s">
        <v>463</v>
      </c>
      <c r="G1380" t="s">
        <v>1381</v>
      </c>
      <c r="H1380" t="s">
        <v>280</v>
      </c>
      <c r="I1380" t="s">
        <v>310</v>
      </c>
      <c r="J1380">
        <v>2</v>
      </c>
      <c r="L1380">
        <v>375.93</v>
      </c>
      <c r="M1380">
        <v>640.66</v>
      </c>
      <c r="N1380">
        <v>862.7</v>
      </c>
      <c r="O1380">
        <v>1269.8399999999999</v>
      </c>
      <c r="P1380">
        <v>0</v>
      </c>
      <c r="Q1380">
        <v>1</v>
      </c>
      <c r="R1380">
        <v>0</v>
      </c>
      <c r="T1380" t="b">
        <v>1</v>
      </c>
    </row>
    <row r="1381" spans="2:20" x14ac:dyDescent="0.35">
      <c r="B1381">
        <v>2014</v>
      </c>
      <c r="C1381" s="41">
        <v>42795</v>
      </c>
      <c r="D1381" t="s">
        <v>279</v>
      </c>
      <c r="E1381" t="s">
        <v>219</v>
      </c>
      <c r="F1381" t="s">
        <v>1390</v>
      </c>
      <c r="G1381" t="s">
        <v>1381</v>
      </c>
      <c r="H1381" t="s">
        <v>280</v>
      </c>
      <c r="I1381" t="s">
        <v>310</v>
      </c>
      <c r="J1381">
        <v>2</v>
      </c>
      <c r="L1381">
        <v>345.03</v>
      </c>
      <c r="M1381">
        <v>588</v>
      </c>
      <c r="N1381">
        <v>791.8</v>
      </c>
      <c r="O1381">
        <v>1165.48</v>
      </c>
      <c r="P1381">
        <v>0</v>
      </c>
      <c r="Q1381">
        <v>1</v>
      </c>
      <c r="R1381">
        <v>0</v>
      </c>
      <c r="T1381" t="b">
        <v>1</v>
      </c>
    </row>
    <row r="1382" spans="2:20" x14ac:dyDescent="0.35">
      <c r="B1382">
        <v>2014</v>
      </c>
      <c r="C1382" s="41">
        <v>42795</v>
      </c>
      <c r="D1382" t="s">
        <v>279</v>
      </c>
      <c r="E1382" t="s">
        <v>219</v>
      </c>
      <c r="F1382" t="s">
        <v>460</v>
      </c>
      <c r="G1382" t="s">
        <v>1381</v>
      </c>
      <c r="H1382" t="s">
        <v>280</v>
      </c>
      <c r="I1382" t="s">
        <v>310</v>
      </c>
      <c r="J1382">
        <v>2</v>
      </c>
      <c r="L1382">
        <v>280.32</v>
      </c>
      <c r="M1382">
        <v>477.72</v>
      </c>
      <c r="N1382">
        <v>643.29</v>
      </c>
      <c r="O1382">
        <v>946.87999999999897</v>
      </c>
      <c r="P1382">
        <v>0</v>
      </c>
      <c r="Q1382">
        <v>1</v>
      </c>
      <c r="R1382">
        <v>0</v>
      </c>
      <c r="T1382" t="b">
        <v>1</v>
      </c>
    </row>
    <row r="1383" spans="2:20" x14ac:dyDescent="0.35">
      <c r="B1383">
        <v>2014</v>
      </c>
      <c r="C1383" s="41">
        <v>42795</v>
      </c>
      <c r="D1383" t="s">
        <v>279</v>
      </c>
      <c r="E1383" t="s">
        <v>219</v>
      </c>
      <c r="F1383" t="s">
        <v>459</v>
      </c>
      <c r="G1383" t="s">
        <v>1381</v>
      </c>
      <c r="H1383" t="s">
        <v>280</v>
      </c>
      <c r="I1383" t="s">
        <v>310</v>
      </c>
      <c r="J1383">
        <v>2</v>
      </c>
      <c r="L1383">
        <v>338.39</v>
      </c>
      <c r="M1383">
        <v>576.67999999999995</v>
      </c>
      <c r="N1383">
        <v>776.56</v>
      </c>
      <c r="O1383">
        <v>1143.04</v>
      </c>
      <c r="P1383">
        <v>0</v>
      </c>
      <c r="Q1383">
        <v>1</v>
      </c>
      <c r="R1383">
        <v>0</v>
      </c>
      <c r="T1383" t="b">
        <v>1</v>
      </c>
    </row>
    <row r="1384" spans="2:20" x14ac:dyDescent="0.35">
      <c r="B1384">
        <v>2014</v>
      </c>
      <c r="C1384" s="41">
        <v>42795</v>
      </c>
      <c r="D1384" t="s">
        <v>279</v>
      </c>
      <c r="E1384" t="s">
        <v>219</v>
      </c>
      <c r="F1384" t="s">
        <v>1389</v>
      </c>
      <c r="G1384" t="s">
        <v>1381</v>
      </c>
      <c r="H1384" t="s">
        <v>280</v>
      </c>
      <c r="I1384" t="s">
        <v>310</v>
      </c>
      <c r="J1384">
        <v>2</v>
      </c>
      <c r="L1384">
        <v>285.82</v>
      </c>
      <c r="M1384">
        <v>487.1</v>
      </c>
      <c r="N1384">
        <v>655.91</v>
      </c>
      <c r="O1384">
        <v>965.46</v>
      </c>
      <c r="P1384">
        <v>0</v>
      </c>
      <c r="Q1384">
        <v>1</v>
      </c>
      <c r="R1384">
        <v>0</v>
      </c>
      <c r="T1384" t="b">
        <v>1</v>
      </c>
    </row>
    <row r="1385" spans="2:20" x14ac:dyDescent="0.35">
      <c r="B1385">
        <v>2014</v>
      </c>
      <c r="C1385" s="41">
        <v>42795</v>
      </c>
      <c r="D1385" t="s">
        <v>279</v>
      </c>
      <c r="E1385" t="s">
        <v>219</v>
      </c>
      <c r="F1385" t="s">
        <v>1307</v>
      </c>
      <c r="G1385" t="s">
        <v>1381</v>
      </c>
      <c r="H1385" t="s">
        <v>280</v>
      </c>
      <c r="I1385" t="s">
        <v>310</v>
      </c>
      <c r="J1385">
        <v>2</v>
      </c>
      <c r="L1385">
        <v>362.16</v>
      </c>
      <c r="M1385">
        <v>617.19000000000005</v>
      </c>
      <c r="N1385">
        <v>831.1</v>
      </c>
      <c r="O1385">
        <v>1223.32</v>
      </c>
      <c r="P1385">
        <v>0</v>
      </c>
      <c r="Q1385">
        <v>1</v>
      </c>
      <c r="R1385">
        <v>0</v>
      </c>
      <c r="T1385" t="b">
        <v>1</v>
      </c>
    </row>
    <row r="1386" spans="2:20" x14ac:dyDescent="0.35">
      <c r="B1386">
        <v>2014</v>
      </c>
      <c r="C1386" s="41">
        <v>42795</v>
      </c>
      <c r="D1386" t="s">
        <v>279</v>
      </c>
      <c r="E1386" t="s">
        <v>219</v>
      </c>
      <c r="F1386" t="s">
        <v>462</v>
      </c>
      <c r="G1386" t="s">
        <v>1381</v>
      </c>
      <c r="H1386" t="s">
        <v>280</v>
      </c>
      <c r="I1386" t="s">
        <v>310</v>
      </c>
      <c r="J1386">
        <v>2</v>
      </c>
      <c r="L1386">
        <v>304.43</v>
      </c>
      <c r="M1386">
        <v>518.82000000000005</v>
      </c>
      <c r="N1386">
        <v>698.63</v>
      </c>
      <c r="O1386">
        <v>1028.3399999999999</v>
      </c>
      <c r="P1386">
        <v>0</v>
      </c>
      <c r="Q1386">
        <v>1</v>
      </c>
      <c r="R1386">
        <v>0</v>
      </c>
      <c r="T1386" t="b">
        <v>1</v>
      </c>
    </row>
    <row r="1387" spans="2:20" x14ac:dyDescent="0.35">
      <c r="B1387">
        <v>2014</v>
      </c>
      <c r="C1387" s="41">
        <v>42795</v>
      </c>
      <c r="D1387" t="s">
        <v>279</v>
      </c>
      <c r="E1387" t="s">
        <v>219</v>
      </c>
      <c r="F1387" t="s">
        <v>1302</v>
      </c>
      <c r="G1387" t="s">
        <v>1381</v>
      </c>
      <c r="H1387" t="s">
        <v>280</v>
      </c>
      <c r="I1387" t="s">
        <v>310</v>
      </c>
      <c r="J1387">
        <v>2</v>
      </c>
      <c r="L1387">
        <v>293.33999999999997</v>
      </c>
      <c r="M1387">
        <v>499.9</v>
      </c>
      <c r="N1387">
        <v>673.17</v>
      </c>
      <c r="O1387">
        <v>990.86</v>
      </c>
      <c r="P1387">
        <v>0</v>
      </c>
      <c r="Q1387">
        <v>1</v>
      </c>
      <c r="R1387">
        <v>0</v>
      </c>
      <c r="T1387" t="b">
        <v>1</v>
      </c>
    </row>
    <row r="1388" spans="2:20" x14ac:dyDescent="0.35">
      <c r="B1388">
        <v>2014</v>
      </c>
      <c r="C1388" s="41">
        <v>42795</v>
      </c>
      <c r="D1388" t="s">
        <v>279</v>
      </c>
      <c r="E1388" t="s">
        <v>219</v>
      </c>
      <c r="F1388" t="s">
        <v>1311</v>
      </c>
      <c r="G1388" t="s">
        <v>1381</v>
      </c>
      <c r="H1388" t="s">
        <v>280</v>
      </c>
      <c r="I1388" t="s">
        <v>310</v>
      </c>
      <c r="J1388">
        <v>2</v>
      </c>
      <c r="L1388">
        <v>276.27</v>
      </c>
      <c r="M1388">
        <v>470.83</v>
      </c>
      <c r="N1388">
        <v>634.01</v>
      </c>
      <c r="O1388">
        <v>933.22</v>
      </c>
      <c r="P1388">
        <v>0</v>
      </c>
      <c r="Q1388">
        <v>1</v>
      </c>
      <c r="R1388">
        <v>0</v>
      </c>
      <c r="T1388" t="b">
        <v>1</v>
      </c>
    </row>
    <row r="1389" spans="2:20" x14ac:dyDescent="0.35">
      <c r="B1389">
        <v>2014</v>
      </c>
      <c r="C1389" s="41">
        <v>42795</v>
      </c>
      <c r="D1389" t="s">
        <v>279</v>
      </c>
      <c r="E1389" t="s">
        <v>219</v>
      </c>
      <c r="F1389" t="s">
        <v>1309</v>
      </c>
      <c r="G1389" t="s">
        <v>1381</v>
      </c>
      <c r="H1389" t="s">
        <v>280</v>
      </c>
      <c r="I1389" t="s">
        <v>310</v>
      </c>
      <c r="J1389">
        <v>2</v>
      </c>
      <c r="L1389">
        <v>285.7</v>
      </c>
      <c r="M1389">
        <v>486.88</v>
      </c>
      <c r="N1389">
        <v>655.63</v>
      </c>
      <c r="O1389">
        <v>965.04</v>
      </c>
      <c r="P1389">
        <v>0</v>
      </c>
      <c r="Q1389">
        <v>1</v>
      </c>
      <c r="R1389">
        <v>0</v>
      </c>
      <c r="T1389" t="b">
        <v>1</v>
      </c>
    </row>
    <row r="1390" spans="2:20" x14ac:dyDescent="0.35">
      <c r="B1390">
        <v>2014</v>
      </c>
      <c r="C1390" s="41">
        <v>42795</v>
      </c>
      <c r="D1390" t="s">
        <v>279</v>
      </c>
      <c r="E1390" t="s">
        <v>219</v>
      </c>
      <c r="F1390" t="s">
        <v>458</v>
      </c>
      <c r="G1390" t="s">
        <v>1381</v>
      </c>
      <c r="H1390" t="s">
        <v>280</v>
      </c>
      <c r="I1390" t="s">
        <v>310</v>
      </c>
      <c r="J1390">
        <v>2</v>
      </c>
      <c r="L1390">
        <v>262.7</v>
      </c>
      <c r="M1390">
        <v>447.7</v>
      </c>
      <c r="N1390">
        <v>602.87</v>
      </c>
      <c r="O1390">
        <v>887.38</v>
      </c>
      <c r="P1390">
        <v>0</v>
      </c>
      <c r="Q1390">
        <v>1</v>
      </c>
      <c r="R1390">
        <v>0</v>
      </c>
      <c r="T1390" t="b">
        <v>1</v>
      </c>
    </row>
    <row r="1391" spans="2:20" x14ac:dyDescent="0.35">
      <c r="B1391">
        <v>2014</v>
      </c>
      <c r="C1391" s="41">
        <v>42795</v>
      </c>
      <c r="D1391" t="s">
        <v>279</v>
      </c>
      <c r="E1391" t="s">
        <v>219</v>
      </c>
      <c r="F1391" t="s">
        <v>1310</v>
      </c>
      <c r="G1391" t="s">
        <v>1381</v>
      </c>
      <c r="H1391" t="s">
        <v>280</v>
      </c>
      <c r="I1391" t="s">
        <v>310</v>
      </c>
      <c r="J1391">
        <v>2</v>
      </c>
      <c r="L1391">
        <v>410.15</v>
      </c>
      <c r="M1391">
        <v>698.97</v>
      </c>
      <c r="N1391">
        <v>941.21</v>
      </c>
      <c r="O1391">
        <v>1385.4</v>
      </c>
      <c r="P1391">
        <v>0</v>
      </c>
      <c r="Q1391">
        <v>1</v>
      </c>
      <c r="R1391">
        <v>0</v>
      </c>
      <c r="T1391" t="b">
        <v>1</v>
      </c>
    </row>
    <row r="1392" spans="2:20" x14ac:dyDescent="0.35">
      <c r="B1392">
        <v>2014</v>
      </c>
      <c r="C1392" s="41">
        <v>42795</v>
      </c>
      <c r="D1392" t="s">
        <v>279</v>
      </c>
      <c r="E1392" t="s">
        <v>219</v>
      </c>
      <c r="F1392" t="s">
        <v>464</v>
      </c>
      <c r="G1392" t="s">
        <v>1381</v>
      </c>
      <c r="H1392" t="s">
        <v>280</v>
      </c>
      <c r="I1392" t="s">
        <v>310</v>
      </c>
      <c r="J1392">
        <v>2</v>
      </c>
      <c r="L1392">
        <v>282.79000000000002</v>
      </c>
      <c r="M1392">
        <v>481.93</v>
      </c>
      <c r="N1392">
        <v>648.97</v>
      </c>
      <c r="O1392">
        <v>955.24</v>
      </c>
      <c r="P1392">
        <v>0</v>
      </c>
      <c r="Q1392">
        <v>1</v>
      </c>
      <c r="R1392">
        <v>0</v>
      </c>
      <c r="T1392" t="b">
        <v>1</v>
      </c>
    </row>
    <row r="1393" spans="2:20" x14ac:dyDescent="0.35">
      <c r="B1393">
        <v>2014</v>
      </c>
      <c r="C1393" s="41">
        <v>42795</v>
      </c>
      <c r="D1393" t="s">
        <v>279</v>
      </c>
      <c r="E1393" t="s">
        <v>219</v>
      </c>
      <c r="F1393" t="s">
        <v>1301</v>
      </c>
      <c r="G1393" t="s">
        <v>1381</v>
      </c>
      <c r="H1393" t="s">
        <v>280</v>
      </c>
      <c r="I1393" t="s">
        <v>310</v>
      </c>
      <c r="J1393">
        <v>2</v>
      </c>
      <c r="L1393">
        <v>276.68</v>
      </c>
      <c r="M1393">
        <v>471.52</v>
      </c>
      <c r="N1393">
        <v>634.95000000000005</v>
      </c>
      <c r="O1393">
        <v>934.599999999999</v>
      </c>
      <c r="P1393">
        <v>0</v>
      </c>
      <c r="Q1393">
        <v>1</v>
      </c>
      <c r="R1393">
        <v>0</v>
      </c>
      <c r="T1393" t="b">
        <v>1</v>
      </c>
    </row>
    <row r="1394" spans="2:20" x14ac:dyDescent="0.35">
      <c r="B1394">
        <v>2014</v>
      </c>
      <c r="C1394" s="41">
        <v>42795</v>
      </c>
      <c r="D1394" t="s">
        <v>279</v>
      </c>
      <c r="E1394" t="s">
        <v>219</v>
      </c>
      <c r="F1394" t="s">
        <v>1298</v>
      </c>
      <c r="G1394" t="s">
        <v>1381</v>
      </c>
      <c r="H1394" t="s">
        <v>280</v>
      </c>
      <c r="I1394" t="s">
        <v>310</v>
      </c>
      <c r="J1394">
        <v>2</v>
      </c>
      <c r="L1394">
        <v>316.93</v>
      </c>
      <c r="M1394">
        <v>540.1</v>
      </c>
      <c r="N1394">
        <v>727.3</v>
      </c>
      <c r="O1394">
        <v>1070.54</v>
      </c>
      <c r="P1394">
        <v>0</v>
      </c>
      <c r="Q1394">
        <v>1</v>
      </c>
      <c r="R1394">
        <v>0</v>
      </c>
      <c r="T1394" t="b">
        <v>1</v>
      </c>
    </row>
    <row r="1395" spans="2:20" x14ac:dyDescent="0.35">
      <c r="B1395">
        <v>2014</v>
      </c>
      <c r="C1395" s="41">
        <v>42795</v>
      </c>
      <c r="D1395" t="s">
        <v>279</v>
      </c>
      <c r="E1395" t="s">
        <v>219</v>
      </c>
      <c r="F1395" t="s">
        <v>461</v>
      </c>
      <c r="G1395" t="s">
        <v>1381</v>
      </c>
      <c r="H1395" t="s">
        <v>280</v>
      </c>
      <c r="I1395" t="s">
        <v>310</v>
      </c>
      <c r="J1395">
        <v>2</v>
      </c>
      <c r="L1395">
        <v>329.23</v>
      </c>
      <c r="M1395">
        <v>561.07000000000005</v>
      </c>
      <c r="N1395">
        <v>755.54</v>
      </c>
      <c r="O1395">
        <v>1112.0999999999999</v>
      </c>
      <c r="P1395">
        <v>0</v>
      </c>
      <c r="Q1395">
        <v>1</v>
      </c>
      <c r="R1395">
        <v>0</v>
      </c>
      <c r="T1395" t="b">
        <v>1</v>
      </c>
    </row>
    <row r="1396" spans="2:20" x14ac:dyDescent="0.35">
      <c r="B1396">
        <v>2014</v>
      </c>
      <c r="C1396" s="41">
        <v>42795</v>
      </c>
      <c r="D1396" t="s">
        <v>2118</v>
      </c>
      <c r="E1396" t="s">
        <v>219</v>
      </c>
      <c r="F1396" t="s">
        <v>463</v>
      </c>
      <c r="G1396" t="s">
        <v>1381</v>
      </c>
      <c r="H1396" t="s">
        <v>272</v>
      </c>
      <c r="I1396" t="s">
        <v>310</v>
      </c>
      <c r="J1396">
        <v>2</v>
      </c>
      <c r="L1396">
        <v>346.4</v>
      </c>
      <c r="M1396">
        <v>590.33000000000004</v>
      </c>
      <c r="N1396">
        <v>794.93</v>
      </c>
      <c r="O1396">
        <v>1170.08</v>
      </c>
      <c r="P1396">
        <v>1</v>
      </c>
      <c r="Q1396">
        <v>1</v>
      </c>
      <c r="R1396">
        <v>0</v>
      </c>
      <c r="T1396" t="b">
        <v>1</v>
      </c>
    </row>
    <row r="1397" spans="2:20" x14ac:dyDescent="0.35">
      <c r="B1397">
        <v>2014</v>
      </c>
      <c r="C1397" s="41">
        <v>42795</v>
      </c>
      <c r="D1397" t="s">
        <v>2118</v>
      </c>
      <c r="E1397" t="s">
        <v>219</v>
      </c>
      <c r="F1397" t="s">
        <v>459</v>
      </c>
      <c r="G1397" t="s">
        <v>1381</v>
      </c>
      <c r="H1397" t="s">
        <v>272</v>
      </c>
      <c r="I1397" t="s">
        <v>310</v>
      </c>
      <c r="J1397">
        <v>2</v>
      </c>
      <c r="L1397">
        <v>311.8</v>
      </c>
      <c r="M1397">
        <v>531.37</v>
      </c>
      <c r="N1397">
        <v>715.55</v>
      </c>
      <c r="O1397">
        <v>1053.24</v>
      </c>
      <c r="P1397">
        <v>1</v>
      </c>
      <c r="Q1397">
        <v>1</v>
      </c>
      <c r="R1397">
        <v>0</v>
      </c>
      <c r="T1397" t="b">
        <v>1</v>
      </c>
    </row>
    <row r="1398" spans="2:20" x14ac:dyDescent="0.35">
      <c r="B1398">
        <v>2014</v>
      </c>
      <c r="C1398" s="41">
        <v>42795</v>
      </c>
      <c r="D1398" t="s">
        <v>2118</v>
      </c>
      <c r="E1398" t="s">
        <v>219</v>
      </c>
      <c r="F1398" t="s">
        <v>464</v>
      </c>
      <c r="G1398" t="s">
        <v>1381</v>
      </c>
      <c r="H1398" t="s">
        <v>272</v>
      </c>
      <c r="I1398" t="s">
        <v>310</v>
      </c>
      <c r="J1398">
        <v>2</v>
      </c>
      <c r="L1398">
        <v>260.57</v>
      </c>
      <c r="M1398">
        <v>444.07</v>
      </c>
      <c r="N1398">
        <v>597.99</v>
      </c>
      <c r="O1398">
        <v>880.19999999999902</v>
      </c>
      <c r="P1398">
        <v>1</v>
      </c>
      <c r="Q1398">
        <v>1</v>
      </c>
      <c r="R1398">
        <v>0</v>
      </c>
      <c r="T1398" t="b">
        <v>1</v>
      </c>
    </row>
    <row r="1399" spans="2:20" x14ac:dyDescent="0.35">
      <c r="B1399">
        <v>2014</v>
      </c>
      <c r="C1399" s="41">
        <v>42795</v>
      </c>
      <c r="D1399" t="s">
        <v>2118</v>
      </c>
      <c r="E1399" t="s">
        <v>219</v>
      </c>
      <c r="F1399" t="s">
        <v>1301</v>
      </c>
      <c r="G1399" t="s">
        <v>1381</v>
      </c>
      <c r="H1399" t="s">
        <v>272</v>
      </c>
      <c r="I1399" t="s">
        <v>310</v>
      </c>
      <c r="J1399">
        <v>2</v>
      </c>
      <c r="L1399">
        <v>254.95</v>
      </c>
      <c r="M1399">
        <v>434.48</v>
      </c>
      <c r="N1399">
        <v>585.06999999999903</v>
      </c>
      <c r="O1399">
        <v>861.18</v>
      </c>
      <c r="P1399">
        <v>1</v>
      </c>
      <c r="Q1399">
        <v>1</v>
      </c>
      <c r="R1399">
        <v>0</v>
      </c>
      <c r="T1399" t="b">
        <v>1</v>
      </c>
    </row>
    <row r="1400" spans="2:20" x14ac:dyDescent="0.35">
      <c r="B1400">
        <v>2014</v>
      </c>
      <c r="C1400" s="41">
        <v>42795</v>
      </c>
      <c r="D1400" t="s">
        <v>2118</v>
      </c>
      <c r="E1400" t="s">
        <v>219</v>
      </c>
      <c r="F1400" t="s">
        <v>1309</v>
      </c>
      <c r="G1400" t="s">
        <v>1381</v>
      </c>
      <c r="H1400" t="s">
        <v>272</v>
      </c>
      <c r="I1400" t="s">
        <v>310</v>
      </c>
      <c r="J1400">
        <v>2</v>
      </c>
      <c r="L1400">
        <v>263.25</v>
      </c>
      <c r="M1400">
        <v>448.63</v>
      </c>
      <c r="N1400">
        <v>604.12</v>
      </c>
      <c r="O1400">
        <v>889.22</v>
      </c>
      <c r="P1400">
        <v>1</v>
      </c>
      <c r="Q1400">
        <v>1</v>
      </c>
      <c r="R1400">
        <v>0</v>
      </c>
      <c r="T1400" t="b">
        <v>1</v>
      </c>
    </row>
    <row r="1401" spans="2:20" x14ac:dyDescent="0.35">
      <c r="B1401">
        <v>2014</v>
      </c>
      <c r="C1401" s="41">
        <v>42795</v>
      </c>
      <c r="D1401" t="s">
        <v>2118</v>
      </c>
      <c r="E1401" t="s">
        <v>219</v>
      </c>
      <c r="F1401" t="s">
        <v>1310</v>
      </c>
      <c r="G1401" t="s">
        <v>1381</v>
      </c>
      <c r="H1401" t="s">
        <v>272</v>
      </c>
      <c r="I1401" t="s">
        <v>310</v>
      </c>
      <c r="J1401">
        <v>2</v>
      </c>
      <c r="L1401">
        <v>377.92</v>
      </c>
      <c r="M1401">
        <v>644.04999999999995</v>
      </c>
      <c r="N1401">
        <v>867.27</v>
      </c>
      <c r="O1401">
        <v>1276.56</v>
      </c>
      <c r="P1401">
        <v>1</v>
      </c>
      <c r="Q1401">
        <v>1</v>
      </c>
      <c r="R1401">
        <v>0</v>
      </c>
      <c r="T1401" t="b">
        <v>1</v>
      </c>
    </row>
    <row r="1402" spans="2:20" x14ac:dyDescent="0.35">
      <c r="B1402">
        <v>2014</v>
      </c>
      <c r="C1402" s="41">
        <v>42795</v>
      </c>
      <c r="D1402" t="s">
        <v>2118</v>
      </c>
      <c r="E1402" t="s">
        <v>219</v>
      </c>
      <c r="F1402" t="s">
        <v>1311</v>
      </c>
      <c r="G1402" t="s">
        <v>1381</v>
      </c>
      <c r="H1402" t="s">
        <v>272</v>
      </c>
      <c r="I1402" t="s">
        <v>310</v>
      </c>
      <c r="J1402">
        <v>2</v>
      </c>
      <c r="L1402">
        <v>254.56</v>
      </c>
      <c r="M1402">
        <v>433.82</v>
      </c>
      <c r="N1402">
        <v>584.16999999999996</v>
      </c>
      <c r="O1402">
        <v>859.86</v>
      </c>
      <c r="P1402">
        <v>1</v>
      </c>
      <c r="Q1402">
        <v>1</v>
      </c>
      <c r="R1402">
        <v>0</v>
      </c>
      <c r="T1402" t="b">
        <v>1</v>
      </c>
    </row>
    <row r="1403" spans="2:20" x14ac:dyDescent="0.35">
      <c r="B1403">
        <v>2014</v>
      </c>
      <c r="C1403" s="41">
        <v>42795</v>
      </c>
      <c r="D1403" t="s">
        <v>2118</v>
      </c>
      <c r="E1403" t="s">
        <v>219</v>
      </c>
      <c r="F1403" t="s">
        <v>1390</v>
      </c>
      <c r="G1403" t="s">
        <v>1381</v>
      </c>
      <c r="H1403" t="s">
        <v>272</v>
      </c>
      <c r="I1403" t="s">
        <v>310</v>
      </c>
      <c r="J1403">
        <v>2</v>
      </c>
      <c r="L1403">
        <v>317.92</v>
      </c>
      <c r="M1403">
        <v>541.79999999999995</v>
      </c>
      <c r="N1403">
        <v>729.56999999999903</v>
      </c>
      <c r="O1403">
        <v>1073.8800000000001</v>
      </c>
      <c r="P1403">
        <v>1</v>
      </c>
      <c r="Q1403">
        <v>1</v>
      </c>
      <c r="R1403">
        <v>0</v>
      </c>
      <c r="T1403" t="b">
        <v>1</v>
      </c>
    </row>
    <row r="1404" spans="2:20" x14ac:dyDescent="0.35">
      <c r="B1404">
        <v>2014</v>
      </c>
      <c r="C1404" s="41">
        <v>42795</v>
      </c>
      <c r="D1404" t="s">
        <v>2118</v>
      </c>
      <c r="E1404" t="s">
        <v>219</v>
      </c>
      <c r="F1404" t="s">
        <v>1298</v>
      </c>
      <c r="G1404" t="s">
        <v>1381</v>
      </c>
      <c r="H1404" t="s">
        <v>272</v>
      </c>
      <c r="I1404" t="s">
        <v>310</v>
      </c>
      <c r="J1404">
        <v>2</v>
      </c>
      <c r="L1404">
        <v>292.02999999999997</v>
      </c>
      <c r="M1404">
        <v>497.67</v>
      </c>
      <c r="N1404">
        <v>670.15</v>
      </c>
      <c r="O1404">
        <v>986.42</v>
      </c>
      <c r="P1404">
        <v>1</v>
      </c>
      <c r="Q1404">
        <v>1</v>
      </c>
      <c r="R1404">
        <v>0</v>
      </c>
      <c r="T1404" t="b">
        <v>1</v>
      </c>
    </row>
    <row r="1405" spans="2:20" x14ac:dyDescent="0.35">
      <c r="B1405">
        <v>2014</v>
      </c>
      <c r="C1405" s="41">
        <v>42795</v>
      </c>
      <c r="D1405" t="s">
        <v>2118</v>
      </c>
      <c r="E1405" t="s">
        <v>219</v>
      </c>
      <c r="F1405" t="s">
        <v>460</v>
      </c>
      <c r="G1405" t="s">
        <v>1381</v>
      </c>
      <c r="H1405" t="s">
        <v>272</v>
      </c>
      <c r="I1405" t="s">
        <v>310</v>
      </c>
      <c r="J1405">
        <v>2</v>
      </c>
      <c r="L1405">
        <v>258.3</v>
      </c>
      <c r="M1405">
        <v>440.2</v>
      </c>
      <c r="N1405">
        <v>592.76</v>
      </c>
      <c r="O1405">
        <v>872.5</v>
      </c>
      <c r="P1405">
        <v>1</v>
      </c>
      <c r="Q1405">
        <v>1</v>
      </c>
      <c r="R1405">
        <v>0</v>
      </c>
      <c r="T1405" t="b">
        <v>1</v>
      </c>
    </row>
    <row r="1406" spans="2:20" x14ac:dyDescent="0.35">
      <c r="B1406">
        <v>2014</v>
      </c>
      <c r="C1406" s="41">
        <v>42795</v>
      </c>
      <c r="D1406" t="s">
        <v>2118</v>
      </c>
      <c r="E1406" t="s">
        <v>219</v>
      </c>
      <c r="F1406" t="s">
        <v>458</v>
      </c>
      <c r="G1406" t="s">
        <v>1381</v>
      </c>
      <c r="H1406" t="s">
        <v>272</v>
      </c>
      <c r="I1406" t="s">
        <v>310</v>
      </c>
      <c r="J1406">
        <v>2</v>
      </c>
      <c r="L1406">
        <v>242.06</v>
      </c>
      <c r="M1406">
        <v>412.51</v>
      </c>
      <c r="N1406">
        <v>555.49</v>
      </c>
      <c r="O1406">
        <v>817.63999999999896</v>
      </c>
      <c r="P1406">
        <v>1</v>
      </c>
      <c r="Q1406">
        <v>1</v>
      </c>
      <c r="R1406">
        <v>0</v>
      </c>
      <c r="T1406" t="b">
        <v>1</v>
      </c>
    </row>
    <row r="1407" spans="2:20" x14ac:dyDescent="0.35">
      <c r="B1407">
        <v>2014</v>
      </c>
      <c r="C1407" s="41">
        <v>42795</v>
      </c>
      <c r="D1407" t="s">
        <v>2118</v>
      </c>
      <c r="E1407" t="s">
        <v>219</v>
      </c>
      <c r="F1407" t="s">
        <v>462</v>
      </c>
      <c r="G1407" t="s">
        <v>1381</v>
      </c>
      <c r="H1407" t="s">
        <v>272</v>
      </c>
      <c r="I1407" t="s">
        <v>310</v>
      </c>
      <c r="J1407">
        <v>2</v>
      </c>
      <c r="L1407">
        <v>280.52</v>
      </c>
      <c r="M1407">
        <v>478.06</v>
      </c>
      <c r="N1407">
        <v>643.75</v>
      </c>
      <c r="O1407">
        <v>947.56</v>
      </c>
      <c r="P1407">
        <v>1</v>
      </c>
      <c r="Q1407">
        <v>1</v>
      </c>
      <c r="R1407">
        <v>0</v>
      </c>
      <c r="T1407" t="b">
        <v>1</v>
      </c>
    </row>
    <row r="1408" spans="2:20" x14ac:dyDescent="0.35">
      <c r="B1408">
        <v>2014</v>
      </c>
      <c r="C1408" s="41">
        <v>42795</v>
      </c>
      <c r="D1408" t="s">
        <v>2118</v>
      </c>
      <c r="E1408" t="s">
        <v>219</v>
      </c>
      <c r="F1408" t="s">
        <v>1389</v>
      </c>
      <c r="G1408" t="s">
        <v>1381</v>
      </c>
      <c r="H1408" t="s">
        <v>272</v>
      </c>
      <c r="I1408" t="s">
        <v>310</v>
      </c>
      <c r="J1408">
        <v>2</v>
      </c>
      <c r="L1408">
        <v>263.36</v>
      </c>
      <c r="M1408">
        <v>448.82</v>
      </c>
      <c r="N1408">
        <v>604.39</v>
      </c>
      <c r="O1408">
        <v>889.62</v>
      </c>
      <c r="P1408">
        <v>1</v>
      </c>
      <c r="Q1408">
        <v>1</v>
      </c>
      <c r="R1408">
        <v>0</v>
      </c>
      <c r="T1408" t="b">
        <v>1</v>
      </c>
    </row>
    <row r="1409" spans="2:20" x14ac:dyDescent="0.35">
      <c r="B1409">
        <v>2014</v>
      </c>
      <c r="C1409" s="41">
        <v>42795</v>
      </c>
      <c r="D1409" t="s">
        <v>2118</v>
      </c>
      <c r="E1409" t="s">
        <v>219</v>
      </c>
      <c r="F1409" t="s">
        <v>1302</v>
      </c>
      <c r="G1409" t="s">
        <v>1381</v>
      </c>
      <c r="H1409" t="s">
        <v>272</v>
      </c>
      <c r="I1409" t="s">
        <v>310</v>
      </c>
      <c r="J1409">
        <v>2</v>
      </c>
      <c r="L1409">
        <v>270.29000000000002</v>
      </c>
      <c r="M1409">
        <v>460.63</v>
      </c>
      <c r="N1409">
        <v>620.27</v>
      </c>
      <c r="O1409">
        <v>913</v>
      </c>
      <c r="P1409">
        <v>1</v>
      </c>
      <c r="Q1409">
        <v>1</v>
      </c>
      <c r="R1409">
        <v>0</v>
      </c>
      <c r="T1409" t="b">
        <v>1</v>
      </c>
    </row>
    <row r="1410" spans="2:20" x14ac:dyDescent="0.35">
      <c r="B1410">
        <v>2014</v>
      </c>
      <c r="C1410" s="41">
        <v>42795</v>
      </c>
      <c r="D1410" t="s">
        <v>2118</v>
      </c>
      <c r="E1410" t="s">
        <v>219</v>
      </c>
      <c r="F1410" t="s">
        <v>1307</v>
      </c>
      <c r="G1410" t="s">
        <v>1381</v>
      </c>
      <c r="H1410" t="s">
        <v>272</v>
      </c>
      <c r="I1410" t="s">
        <v>310</v>
      </c>
      <c r="J1410">
        <v>2</v>
      </c>
      <c r="L1410">
        <v>333.69</v>
      </c>
      <c r="M1410">
        <v>568.67999999999995</v>
      </c>
      <c r="N1410">
        <v>765.78</v>
      </c>
      <c r="O1410">
        <v>1127.1799999999901</v>
      </c>
      <c r="P1410">
        <v>1</v>
      </c>
      <c r="Q1410">
        <v>1</v>
      </c>
      <c r="R1410">
        <v>0</v>
      </c>
      <c r="T1410" t="b">
        <v>1</v>
      </c>
    </row>
    <row r="1411" spans="2:20" x14ac:dyDescent="0.35">
      <c r="B1411">
        <v>2014</v>
      </c>
      <c r="C1411" s="41">
        <v>42795</v>
      </c>
      <c r="D1411" t="s">
        <v>2118</v>
      </c>
      <c r="E1411" t="s">
        <v>219</v>
      </c>
      <c r="F1411" t="s">
        <v>461</v>
      </c>
      <c r="G1411" t="s">
        <v>1381</v>
      </c>
      <c r="H1411" t="s">
        <v>272</v>
      </c>
      <c r="I1411" t="s">
        <v>310</v>
      </c>
      <c r="J1411">
        <v>2</v>
      </c>
      <c r="L1411">
        <v>303.36</v>
      </c>
      <c r="M1411">
        <v>516.99</v>
      </c>
      <c r="N1411">
        <v>696.17</v>
      </c>
      <c r="O1411">
        <v>1024.72</v>
      </c>
      <c r="P1411">
        <v>1</v>
      </c>
      <c r="Q1411">
        <v>1</v>
      </c>
      <c r="R1411">
        <v>0</v>
      </c>
      <c r="T1411" t="b">
        <v>1</v>
      </c>
    </row>
    <row r="1412" spans="2:20" x14ac:dyDescent="0.35">
      <c r="B1412">
        <v>2014</v>
      </c>
      <c r="C1412" s="41">
        <v>42795</v>
      </c>
      <c r="D1412" t="s">
        <v>2119</v>
      </c>
      <c r="E1412" t="s">
        <v>219</v>
      </c>
      <c r="F1412" t="s">
        <v>459</v>
      </c>
      <c r="G1412" t="s">
        <v>1381</v>
      </c>
      <c r="H1412" t="s">
        <v>2120</v>
      </c>
      <c r="I1412" t="s">
        <v>842</v>
      </c>
      <c r="J1412">
        <v>2</v>
      </c>
      <c r="L1412">
        <v>259.8</v>
      </c>
      <c r="M1412">
        <v>442.75</v>
      </c>
      <c r="N1412">
        <v>596.21</v>
      </c>
      <c r="O1412">
        <v>877.57999999999902</v>
      </c>
      <c r="P1412">
        <v>0</v>
      </c>
      <c r="Q1412">
        <v>1</v>
      </c>
      <c r="R1412">
        <v>0</v>
      </c>
      <c r="T1412" t="b">
        <v>1</v>
      </c>
    </row>
    <row r="1413" spans="2:20" x14ac:dyDescent="0.35">
      <c r="B1413">
        <v>2014</v>
      </c>
      <c r="C1413" s="41">
        <v>42795</v>
      </c>
      <c r="D1413" t="s">
        <v>2119</v>
      </c>
      <c r="E1413" t="s">
        <v>219</v>
      </c>
      <c r="F1413" t="s">
        <v>464</v>
      </c>
      <c r="G1413" t="s">
        <v>1381</v>
      </c>
      <c r="H1413" t="s">
        <v>2120</v>
      </c>
      <c r="I1413" t="s">
        <v>842</v>
      </c>
      <c r="J1413">
        <v>2</v>
      </c>
      <c r="L1413">
        <v>217.11</v>
      </c>
      <c r="M1413">
        <v>370.01</v>
      </c>
      <c r="N1413">
        <v>498.24</v>
      </c>
      <c r="O1413">
        <v>733.38</v>
      </c>
      <c r="P1413">
        <v>0</v>
      </c>
      <c r="Q1413">
        <v>1</v>
      </c>
      <c r="R1413">
        <v>0</v>
      </c>
      <c r="T1413" t="b">
        <v>1</v>
      </c>
    </row>
    <row r="1414" spans="2:20" x14ac:dyDescent="0.35">
      <c r="B1414">
        <v>2014</v>
      </c>
      <c r="C1414" s="41">
        <v>42795</v>
      </c>
      <c r="D1414" t="s">
        <v>2119</v>
      </c>
      <c r="E1414" t="s">
        <v>219</v>
      </c>
      <c r="F1414" t="s">
        <v>458</v>
      </c>
      <c r="G1414" t="s">
        <v>1381</v>
      </c>
      <c r="H1414" t="s">
        <v>2120</v>
      </c>
      <c r="I1414" t="s">
        <v>842</v>
      </c>
      <c r="J1414">
        <v>2</v>
      </c>
      <c r="L1414">
        <v>201.69</v>
      </c>
      <c r="M1414">
        <v>343.72</v>
      </c>
      <c r="N1414">
        <v>462.85</v>
      </c>
      <c r="O1414">
        <v>681.28</v>
      </c>
      <c r="P1414">
        <v>0</v>
      </c>
      <c r="Q1414">
        <v>1</v>
      </c>
      <c r="R1414">
        <v>0</v>
      </c>
      <c r="T1414" t="b">
        <v>1</v>
      </c>
    </row>
    <row r="1415" spans="2:20" x14ac:dyDescent="0.35">
      <c r="B1415">
        <v>2014</v>
      </c>
      <c r="C1415" s="41">
        <v>42795</v>
      </c>
      <c r="D1415" t="s">
        <v>2119</v>
      </c>
      <c r="E1415" t="s">
        <v>219</v>
      </c>
      <c r="F1415" t="s">
        <v>1298</v>
      </c>
      <c r="G1415" t="s">
        <v>1381</v>
      </c>
      <c r="H1415" t="s">
        <v>2120</v>
      </c>
      <c r="I1415" t="s">
        <v>842</v>
      </c>
      <c r="J1415">
        <v>2</v>
      </c>
      <c r="L1415">
        <v>243.31</v>
      </c>
      <c r="M1415">
        <v>414.66</v>
      </c>
      <c r="N1415">
        <v>558.37</v>
      </c>
      <c r="O1415">
        <v>821.88</v>
      </c>
      <c r="P1415">
        <v>0</v>
      </c>
      <c r="Q1415">
        <v>1</v>
      </c>
      <c r="R1415">
        <v>0</v>
      </c>
      <c r="T1415" t="b">
        <v>1</v>
      </c>
    </row>
    <row r="1416" spans="2:20" x14ac:dyDescent="0.35">
      <c r="B1416">
        <v>2014</v>
      </c>
      <c r="C1416" s="41">
        <v>42795</v>
      </c>
      <c r="D1416" t="s">
        <v>2119</v>
      </c>
      <c r="E1416" t="s">
        <v>219</v>
      </c>
      <c r="F1416" t="s">
        <v>1390</v>
      </c>
      <c r="G1416" t="s">
        <v>1381</v>
      </c>
      <c r="H1416" t="s">
        <v>2120</v>
      </c>
      <c r="I1416" t="s">
        <v>842</v>
      </c>
      <c r="J1416">
        <v>2</v>
      </c>
      <c r="L1416">
        <v>264.89</v>
      </c>
      <c r="M1416">
        <v>451.43</v>
      </c>
      <c r="N1416">
        <v>607.88</v>
      </c>
      <c r="O1416">
        <v>894.76</v>
      </c>
      <c r="P1416">
        <v>0</v>
      </c>
      <c r="Q1416">
        <v>1</v>
      </c>
      <c r="R1416">
        <v>0</v>
      </c>
      <c r="T1416" t="b">
        <v>1</v>
      </c>
    </row>
    <row r="1417" spans="2:20" x14ac:dyDescent="0.35">
      <c r="B1417">
        <v>2014</v>
      </c>
      <c r="C1417" s="41">
        <v>42795</v>
      </c>
      <c r="D1417" t="s">
        <v>2119</v>
      </c>
      <c r="E1417" t="s">
        <v>219</v>
      </c>
      <c r="F1417" t="s">
        <v>1307</v>
      </c>
      <c r="G1417" t="s">
        <v>1381</v>
      </c>
      <c r="H1417" t="s">
        <v>2120</v>
      </c>
      <c r="I1417" t="s">
        <v>842</v>
      </c>
      <c r="J1417">
        <v>2</v>
      </c>
      <c r="L1417">
        <v>278.04000000000002</v>
      </c>
      <c r="M1417">
        <v>473.84</v>
      </c>
      <c r="N1417">
        <v>638.06999999999903</v>
      </c>
      <c r="O1417">
        <v>939.2</v>
      </c>
      <c r="P1417">
        <v>0</v>
      </c>
      <c r="Q1417">
        <v>1</v>
      </c>
      <c r="R1417">
        <v>0</v>
      </c>
      <c r="T1417" t="b">
        <v>1</v>
      </c>
    </row>
    <row r="1418" spans="2:20" x14ac:dyDescent="0.35">
      <c r="B1418">
        <v>2014</v>
      </c>
      <c r="C1418" s="41">
        <v>42795</v>
      </c>
      <c r="D1418" t="s">
        <v>2119</v>
      </c>
      <c r="E1418" t="s">
        <v>219</v>
      </c>
      <c r="F1418" t="s">
        <v>1301</v>
      </c>
      <c r="G1418" t="s">
        <v>1381</v>
      </c>
      <c r="H1418" t="s">
        <v>2120</v>
      </c>
      <c r="I1418" t="s">
        <v>842</v>
      </c>
      <c r="J1418">
        <v>2</v>
      </c>
      <c r="L1418">
        <v>212.42</v>
      </c>
      <c r="M1418">
        <v>362</v>
      </c>
      <c r="N1418">
        <v>487.47</v>
      </c>
      <c r="O1418">
        <v>717.52</v>
      </c>
      <c r="P1418">
        <v>0</v>
      </c>
      <c r="Q1418">
        <v>1</v>
      </c>
      <c r="R1418">
        <v>0</v>
      </c>
      <c r="T1418" t="b">
        <v>1</v>
      </c>
    </row>
    <row r="1419" spans="2:20" x14ac:dyDescent="0.35">
      <c r="B1419">
        <v>2014</v>
      </c>
      <c r="C1419" s="41">
        <v>42795</v>
      </c>
      <c r="D1419" t="s">
        <v>2119</v>
      </c>
      <c r="E1419" t="s">
        <v>219</v>
      </c>
      <c r="F1419" t="s">
        <v>1389</v>
      </c>
      <c r="G1419" t="s">
        <v>1381</v>
      </c>
      <c r="H1419" t="s">
        <v>2120</v>
      </c>
      <c r="I1419" t="s">
        <v>842</v>
      </c>
      <c r="J1419">
        <v>2</v>
      </c>
      <c r="L1419">
        <v>219.43</v>
      </c>
      <c r="M1419">
        <v>373.95</v>
      </c>
      <c r="N1419">
        <v>503.57</v>
      </c>
      <c r="O1419">
        <v>741.22</v>
      </c>
      <c r="P1419">
        <v>0</v>
      </c>
      <c r="Q1419">
        <v>1</v>
      </c>
      <c r="R1419">
        <v>0</v>
      </c>
      <c r="T1419" t="b">
        <v>1</v>
      </c>
    </row>
    <row r="1420" spans="2:20" x14ac:dyDescent="0.35">
      <c r="B1420">
        <v>2014</v>
      </c>
      <c r="C1420" s="41">
        <v>42795</v>
      </c>
      <c r="D1420" t="s">
        <v>2119</v>
      </c>
      <c r="E1420" t="s">
        <v>219</v>
      </c>
      <c r="F1420" t="s">
        <v>461</v>
      </c>
      <c r="G1420" t="s">
        <v>1381</v>
      </c>
      <c r="H1420" t="s">
        <v>2120</v>
      </c>
      <c r="I1420" t="s">
        <v>842</v>
      </c>
      <c r="J1420">
        <v>2</v>
      </c>
      <c r="L1420">
        <v>252.77</v>
      </c>
      <c r="M1420">
        <v>430.77</v>
      </c>
      <c r="N1420">
        <v>580.06999999999903</v>
      </c>
      <c r="O1420">
        <v>853.81999999999903</v>
      </c>
      <c r="P1420">
        <v>0</v>
      </c>
      <c r="Q1420">
        <v>1</v>
      </c>
      <c r="R1420">
        <v>0</v>
      </c>
      <c r="T1420" t="b">
        <v>1</v>
      </c>
    </row>
    <row r="1421" spans="2:20" x14ac:dyDescent="0.35">
      <c r="B1421">
        <v>2014</v>
      </c>
      <c r="C1421" s="41">
        <v>42795</v>
      </c>
      <c r="D1421" t="s">
        <v>2119</v>
      </c>
      <c r="E1421" t="s">
        <v>219</v>
      </c>
      <c r="F1421" t="s">
        <v>462</v>
      </c>
      <c r="G1421" t="s">
        <v>1381</v>
      </c>
      <c r="H1421" t="s">
        <v>2120</v>
      </c>
      <c r="I1421" t="s">
        <v>842</v>
      </c>
      <c r="J1421">
        <v>2</v>
      </c>
      <c r="L1421">
        <v>233.74</v>
      </c>
      <c r="M1421">
        <v>398.33</v>
      </c>
      <c r="N1421">
        <v>536.38</v>
      </c>
      <c r="O1421">
        <v>789.52</v>
      </c>
      <c r="P1421">
        <v>0</v>
      </c>
      <c r="Q1421">
        <v>1</v>
      </c>
      <c r="R1421">
        <v>0</v>
      </c>
      <c r="T1421" t="b">
        <v>1</v>
      </c>
    </row>
    <row r="1422" spans="2:20" x14ac:dyDescent="0.35">
      <c r="B1422">
        <v>2014</v>
      </c>
      <c r="C1422" s="41">
        <v>42795</v>
      </c>
      <c r="D1422" t="s">
        <v>2119</v>
      </c>
      <c r="E1422" t="s">
        <v>219</v>
      </c>
      <c r="F1422" t="s">
        <v>460</v>
      </c>
      <c r="G1422" t="s">
        <v>1381</v>
      </c>
      <c r="H1422" t="s">
        <v>2120</v>
      </c>
      <c r="I1422" t="s">
        <v>842</v>
      </c>
      <c r="J1422">
        <v>2</v>
      </c>
      <c r="L1422">
        <v>215.22</v>
      </c>
      <c r="M1422">
        <v>366.77</v>
      </c>
      <c r="N1422">
        <v>493.88</v>
      </c>
      <c r="O1422">
        <v>726.96</v>
      </c>
      <c r="P1422">
        <v>0</v>
      </c>
      <c r="Q1422">
        <v>1</v>
      </c>
      <c r="R1422">
        <v>0</v>
      </c>
      <c r="T1422" t="b">
        <v>1</v>
      </c>
    </row>
    <row r="1423" spans="2:20" x14ac:dyDescent="0.35">
      <c r="B1423">
        <v>2014</v>
      </c>
      <c r="C1423" s="41">
        <v>42795</v>
      </c>
      <c r="D1423" t="s">
        <v>2119</v>
      </c>
      <c r="E1423" t="s">
        <v>219</v>
      </c>
      <c r="F1423" t="s">
        <v>1311</v>
      </c>
      <c r="G1423" t="s">
        <v>1381</v>
      </c>
      <c r="H1423" t="s">
        <v>2120</v>
      </c>
      <c r="I1423" t="s">
        <v>842</v>
      </c>
      <c r="J1423">
        <v>2</v>
      </c>
      <c r="L1423">
        <v>212.1</v>
      </c>
      <c r="M1423">
        <v>361.47</v>
      </c>
      <c r="N1423">
        <v>486.75</v>
      </c>
      <c r="O1423">
        <v>716.46</v>
      </c>
      <c r="P1423">
        <v>0</v>
      </c>
      <c r="Q1423">
        <v>1</v>
      </c>
      <c r="R1423">
        <v>0</v>
      </c>
      <c r="T1423" t="b">
        <v>1</v>
      </c>
    </row>
    <row r="1424" spans="2:20" x14ac:dyDescent="0.35">
      <c r="B1424">
        <v>2014</v>
      </c>
      <c r="C1424" s="41">
        <v>42795</v>
      </c>
      <c r="D1424" t="s">
        <v>2119</v>
      </c>
      <c r="E1424" t="s">
        <v>219</v>
      </c>
      <c r="F1424" t="s">
        <v>1302</v>
      </c>
      <c r="G1424" t="s">
        <v>1381</v>
      </c>
      <c r="H1424" t="s">
        <v>2120</v>
      </c>
      <c r="I1424" t="s">
        <v>842</v>
      </c>
      <c r="J1424">
        <v>2</v>
      </c>
      <c r="L1424">
        <v>225.2</v>
      </c>
      <c r="M1424">
        <v>383.79</v>
      </c>
      <c r="N1424">
        <v>516.82000000000005</v>
      </c>
      <c r="O1424">
        <v>760.72</v>
      </c>
      <c r="P1424">
        <v>0</v>
      </c>
      <c r="Q1424">
        <v>1</v>
      </c>
      <c r="R1424">
        <v>0</v>
      </c>
      <c r="T1424" t="b">
        <v>1</v>
      </c>
    </row>
    <row r="1425" spans="2:20" x14ac:dyDescent="0.35">
      <c r="B1425">
        <v>2014</v>
      </c>
      <c r="C1425" s="41">
        <v>42795</v>
      </c>
      <c r="D1425" t="s">
        <v>2119</v>
      </c>
      <c r="E1425" t="s">
        <v>219</v>
      </c>
      <c r="F1425" t="s">
        <v>1309</v>
      </c>
      <c r="G1425" t="s">
        <v>1381</v>
      </c>
      <c r="H1425" t="s">
        <v>2120</v>
      </c>
      <c r="I1425" t="s">
        <v>842</v>
      </c>
      <c r="J1425">
        <v>2</v>
      </c>
      <c r="L1425">
        <v>219.35</v>
      </c>
      <c r="M1425">
        <v>373.81</v>
      </c>
      <c r="N1425">
        <v>503.38</v>
      </c>
      <c r="O1425">
        <v>740.94</v>
      </c>
      <c r="P1425">
        <v>0</v>
      </c>
      <c r="Q1425">
        <v>1</v>
      </c>
      <c r="R1425">
        <v>0</v>
      </c>
      <c r="T1425" t="b">
        <v>1</v>
      </c>
    </row>
    <row r="1426" spans="2:20" x14ac:dyDescent="0.35">
      <c r="B1426">
        <v>2014</v>
      </c>
      <c r="C1426" s="41">
        <v>42795</v>
      </c>
      <c r="D1426" t="s">
        <v>2119</v>
      </c>
      <c r="E1426" t="s">
        <v>219</v>
      </c>
      <c r="F1426" t="s">
        <v>1310</v>
      </c>
      <c r="G1426" t="s">
        <v>1381</v>
      </c>
      <c r="H1426" t="s">
        <v>2120</v>
      </c>
      <c r="I1426" t="s">
        <v>842</v>
      </c>
      <c r="J1426">
        <v>2</v>
      </c>
      <c r="L1426">
        <v>314.89</v>
      </c>
      <c r="M1426">
        <v>536.64</v>
      </c>
      <c r="N1426">
        <v>722.63</v>
      </c>
      <c r="O1426">
        <v>1063.6599999999901</v>
      </c>
      <c r="P1426">
        <v>0</v>
      </c>
      <c r="Q1426">
        <v>1</v>
      </c>
      <c r="R1426">
        <v>0</v>
      </c>
      <c r="T1426" t="b">
        <v>1</v>
      </c>
    </row>
    <row r="1427" spans="2:20" x14ac:dyDescent="0.35">
      <c r="B1427">
        <v>2014</v>
      </c>
      <c r="C1427" s="41">
        <v>42795</v>
      </c>
      <c r="D1427" t="s">
        <v>2119</v>
      </c>
      <c r="E1427" t="s">
        <v>219</v>
      </c>
      <c r="F1427" t="s">
        <v>463</v>
      </c>
      <c r="G1427" t="s">
        <v>1381</v>
      </c>
      <c r="H1427" t="s">
        <v>2120</v>
      </c>
      <c r="I1427" t="s">
        <v>842</v>
      </c>
      <c r="J1427">
        <v>2</v>
      </c>
      <c r="L1427">
        <v>288.62</v>
      </c>
      <c r="M1427">
        <v>491.86</v>
      </c>
      <c r="N1427">
        <v>662.33999999999901</v>
      </c>
      <c r="O1427">
        <v>974.92</v>
      </c>
      <c r="P1427">
        <v>0</v>
      </c>
      <c r="Q1427">
        <v>1</v>
      </c>
      <c r="R1427">
        <v>0</v>
      </c>
      <c r="T1427" t="b">
        <v>1</v>
      </c>
    </row>
    <row r="1428" spans="2:20" x14ac:dyDescent="0.35">
      <c r="B1428">
        <v>2014</v>
      </c>
      <c r="C1428" s="41">
        <v>42795</v>
      </c>
      <c r="D1428" t="s">
        <v>2083</v>
      </c>
      <c r="E1428" t="s">
        <v>219</v>
      </c>
      <c r="F1428" t="s">
        <v>1390</v>
      </c>
      <c r="G1428" t="s">
        <v>245</v>
      </c>
      <c r="H1428" t="s">
        <v>299</v>
      </c>
      <c r="I1428" t="s">
        <v>310</v>
      </c>
      <c r="J1428">
        <v>2</v>
      </c>
      <c r="L1428">
        <v>243</v>
      </c>
      <c r="M1428">
        <v>415</v>
      </c>
      <c r="N1428">
        <v>560</v>
      </c>
      <c r="O1428">
        <v>824</v>
      </c>
      <c r="P1428">
        <v>1</v>
      </c>
      <c r="Q1428">
        <v>1</v>
      </c>
      <c r="R1428">
        <v>0</v>
      </c>
      <c r="T1428" t="b">
        <v>1</v>
      </c>
    </row>
    <row r="1429" spans="2:20" x14ac:dyDescent="0.35">
      <c r="B1429">
        <v>2014</v>
      </c>
      <c r="C1429" s="41">
        <v>42795</v>
      </c>
      <c r="D1429" t="s">
        <v>2083</v>
      </c>
      <c r="E1429" t="s">
        <v>219</v>
      </c>
      <c r="F1429" t="s">
        <v>458</v>
      </c>
      <c r="G1429" t="s">
        <v>245</v>
      </c>
      <c r="H1429" t="s">
        <v>299</v>
      </c>
      <c r="I1429" t="s">
        <v>310</v>
      </c>
      <c r="J1429">
        <v>2</v>
      </c>
      <c r="L1429">
        <v>243</v>
      </c>
      <c r="M1429">
        <v>415</v>
      </c>
      <c r="N1429">
        <v>560</v>
      </c>
      <c r="O1429">
        <v>824</v>
      </c>
      <c r="P1429">
        <v>1</v>
      </c>
      <c r="Q1429">
        <v>1</v>
      </c>
      <c r="R1429">
        <v>0</v>
      </c>
      <c r="T1429" t="b">
        <v>1</v>
      </c>
    </row>
    <row r="1430" spans="2:20" x14ac:dyDescent="0.35">
      <c r="B1430">
        <v>2014</v>
      </c>
      <c r="C1430" s="41">
        <v>42795</v>
      </c>
      <c r="D1430" t="s">
        <v>2083</v>
      </c>
      <c r="E1430" t="s">
        <v>219</v>
      </c>
      <c r="F1430" t="s">
        <v>1309</v>
      </c>
      <c r="G1430" t="s">
        <v>245</v>
      </c>
      <c r="H1430" t="s">
        <v>299</v>
      </c>
      <c r="I1430" t="s">
        <v>310</v>
      </c>
      <c r="J1430">
        <v>2</v>
      </c>
      <c r="L1430">
        <v>243</v>
      </c>
      <c r="M1430">
        <v>415</v>
      </c>
      <c r="N1430">
        <v>560</v>
      </c>
      <c r="O1430">
        <v>824</v>
      </c>
      <c r="P1430">
        <v>1</v>
      </c>
      <c r="Q1430">
        <v>1</v>
      </c>
      <c r="R1430">
        <v>0</v>
      </c>
      <c r="T1430" t="b">
        <v>1</v>
      </c>
    </row>
    <row r="1431" spans="2:20" x14ac:dyDescent="0.35">
      <c r="B1431">
        <v>2014</v>
      </c>
      <c r="C1431" s="41">
        <v>42795</v>
      </c>
      <c r="D1431" t="s">
        <v>2083</v>
      </c>
      <c r="E1431" t="s">
        <v>219</v>
      </c>
      <c r="F1431" t="s">
        <v>1311</v>
      </c>
      <c r="G1431" t="s">
        <v>245</v>
      </c>
      <c r="H1431" t="s">
        <v>299</v>
      </c>
      <c r="I1431" t="s">
        <v>310</v>
      </c>
      <c r="J1431">
        <v>2</v>
      </c>
      <c r="L1431">
        <v>243</v>
      </c>
      <c r="M1431">
        <v>415</v>
      </c>
      <c r="N1431">
        <v>560</v>
      </c>
      <c r="O1431">
        <v>824</v>
      </c>
      <c r="P1431">
        <v>1</v>
      </c>
      <c r="Q1431">
        <v>1</v>
      </c>
      <c r="R1431">
        <v>0</v>
      </c>
      <c r="T1431" t="b">
        <v>1</v>
      </c>
    </row>
    <row r="1432" spans="2:20" x14ac:dyDescent="0.35">
      <c r="B1432">
        <v>2014</v>
      </c>
      <c r="C1432" s="41">
        <v>42795</v>
      </c>
      <c r="D1432" t="s">
        <v>2083</v>
      </c>
      <c r="E1432" t="s">
        <v>219</v>
      </c>
      <c r="F1432" t="s">
        <v>1301</v>
      </c>
      <c r="G1432" t="s">
        <v>245</v>
      </c>
      <c r="H1432" t="s">
        <v>299</v>
      </c>
      <c r="I1432" t="s">
        <v>310</v>
      </c>
      <c r="J1432">
        <v>2</v>
      </c>
      <c r="L1432">
        <v>243</v>
      </c>
      <c r="M1432">
        <v>415</v>
      </c>
      <c r="N1432">
        <v>560</v>
      </c>
      <c r="O1432">
        <v>824</v>
      </c>
      <c r="P1432">
        <v>1</v>
      </c>
      <c r="Q1432">
        <v>1</v>
      </c>
      <c r="R1432">
        <v>0</v>
      </c>
      <c r="T1432" t="b">
        <v>1</v>
      </c>
    </row>
    <row r="1433" spans="2:20" x14ac:dyDescent="0.35">
      <c r="B1433">
        <v>2014</v>
      </c>
      <c r="C1433" s="41">
        <v>42795</v>
      </c>
      <c r="D1433" t="s">
        <v>2083</v>
      </c>
      <c r="E1433" t="s">
        <v>219</v>
      </c>
      <c r="F1433" t="s">
        <v>461</v>
      </c>
      <c r="G1433" t="s">
        <v>245</v>
      </c>
      <c r="H1433" t="s">
        <v>299</v>
      </c>
      <c r="I1433" t="s">
        <v>310</v>
      </c>
      <c r="J1433">
        <v>2</v>
      </c>
      <c r="L1433">
        <v>243</v>
      </c>
      <c r="M1433">
        <v>415</v>
      </c>
      <c r="N1433">
        <v>560</v>
      </c>
      <c r="O1433">
        <v>824</v>
      </c>
      <c r="P1433">
        <v>1</v>
      </c>
      <c r="Q1433">
        <v>1</v>
      </c>
      <c r="R1433">
        <v>0</v>
      </c>
      <c r="T1433" t="b">
        <v>1</v>
      </c>
    </row>
    <row r="1434" spans="2:20" x14ac:dyDescent="0.35">
      <c r="B1434">
        <v>2014</v>
      </c>
      <c r="C1434" s="41">
        <v>42795</v>
      </c>
      <c r="D1434" t="s">
        <v>2090</v>
      </c>
      <c r="E1434" t="s">
        <v>219</v>
      </c>
      <c r="F1434" t="s">
        <v>1309</v>
      </c>
      <c r="G1434" t="s">
        <v>245</v>
      </c>
      <c r="H1434" t="s">
        <v>299</v>
      </c>
      <c r="I1434" t="s">
        <v>310</v>
      </c>
      <c r="J1434">
        <v>2</v>
      </c>
      <c r="L1434">
        <v>243</v>
      </c>
      <c r="M1434">
        <v>415</v>
      </c>
      <c r="N1434">
        <v>560</v>
      </c>
      <c r="O1434">
        <v>824</v>
      </c>
      <c r="P1434">
        <v>1</v>
      </c>
      <c r="Q1434">
        <v>1</v>
      </c>
      <c r="R1434">
        <v>0</v>
      </c>
      <c r="T1434" t="b">
        <v>1</v>
      </c>
    </row>
    <row r="1435" spans="2:20" x14ac:dyDescent="0.35">
      <c r="B1435">
        <v>2014</v>
      </c>
      <c r="C1435" s="41">
        <v>42795</v>
      </c>
      <c r="D1435" t="s">
        <v>2090</v>
      </c>
      <c r="E1435" t="s">
        <v>219</v>
      </c>
      <c r="F1435" t="s">
        <v>458</v>
      </c>
      <c r="G1435" t="s">
        <v>245</v>
      </c>
      <c r="H1435" t="s">
        <v>299</v>
      </c>
      <c r="I1435" t="s">
        <v>310</v>
      </c>
      <c r="J1435">
        <v>2</v>
      </c>
      <c r="L1435">
        <v>243</v>
      </c>
      <c r="M1435">
        <v>415</v>
      </c>
      <c r="N1435">
        <v>560</v>
      </c>
      <c r="O1435">
        <v>824</v>
      </c>
      <c r="P1435">
        <v>1</v>
      </c>
      <c r="Q1435">
        <v>1</v>
      </c>
      <c r="R1435">
        <v>0</v>
      </c>
      <c r="T1435" t="b">
        <v>1</v>
      </c>
    </row>
    <row r="1436" spans="2:20" x14ac:dyDescent="0.35">
      <c r="B1436">
        <v>2014</v>
      </c>
      <c r="C1436" s="41">
        <v>42795</v>
      </c>
      <c r="D1436" t="s">
        <v>2090</v>
      </c>
      <c r="E1436" t="s">
        <v>219</v>
      </c>
      <c r="F1436" t="s">
        <v>1390</v>
      </c>
      <c r="G1436" t="s">
        <v>245</v>
      </c>
      <c r="H1436" t="s">
        <v>299</v>
      </c>
      <c r="I1436" t="s">
        <v>310</v>
      </c>
      <c r="J1436">
        <v>2</v>
      </c>
      <c r="L1436">
        <v>243</v>
      </c>
      <c r="M1436">
        <v>415</v>
      </c>
      <c r="N1436">
        <v>560</v>
      </c>
      <c r="O1436">
        <v>824</v>
      </c>
      <c r="P1436">
        <v>1</v>
      </c>
      <c r="Q1436">
        <v>1</v>
      </c>
      <c r="R1436">
        <v>0</v>
      </c>
      <c r="T1436" t="b">
        <v>1</v>
      </c>
    </row>
    <row r="1437" spans="2:20" x14ac:dyDescent="0.35">
      <c r="B1437">
        <v>2014</v>
      </c>
      <c r="C1437" s="41">
        <v>42795</v>
      </c>
      <c r="D1437" t="s">
        <v>2090</v>
      </c>
      <c r="E1437" t="s">
        <v>219</v>
      </c>
      <c r="F1437" t="s">
        <v>1311</v>
      </c>
      <c r="G1437" t="s">
        <v>245</v>
      </c>
      <c r="H1437" t="s">
        <v>299</v>
      </c>
      <c r="I1437" t="s">
        <v>310</v>
      </c>
      <c r="J1437">
        <v>2</v>
      </c>
      <c r="L1437">
        <v>243</v>
      </c>
      <c r="M1437">
        <v>415</v>
      </c>
      <c r="N1437">
        <v>560</v>
      </c>
      <c r="O1437">
        <v>824</v>
      </c>
      <c r="P1437">
        <v>1</v>
      </c>
      <c r="Q1437">
        <v>1</v>
      </c>
      <c r="R1437">
        <v>0</v>
      </c>
      <c r="T1437" t="b">
        <v>1</v>
      </c>
    </row>
    <row r="1438" spans="2:20" x14ac:dyDescent="0.35">
      <c r="B1438">
        <v>2014</v>
      </c>
      <c r="C1438" s="41">
        <v>42795</v>
      </c>
      <c r="D1438" t="s">
        <v>2090</v>
      </c>
      <c r="E1438" t="s">
        <v>219</v>
      </c>
      <c r="F1438" t="s">
        <v>461</v>
      </c>
      <c r="G1438" t="s">
        <v>245</v>
      </c>
      <c r="H1438" t="s">
        <v>299</v>
      </c>
      <c r="I1438" t="s">
        <v>310</v>
      </c>
      <c r="J1438">
        <v>2</v>
      </c>
      <c r="L1438">
        <v>243</v>
      </c>
      <c r="M1438">
        <v>415</v>
      </c>
      <c r="N1438">
        <v>560</v>
      </c>
      <c r="O1438">
        <v>824</v>
      </c>
      <c r="P1438">
        <v>1</v>
      </c>
      <c r="Q1438">
        <v>1</v>
      </c>
      <c r="R1438">
        <v>0</v>
      </c>
      <c r="T1438" t="b">
        <v>1</v>
      </c>
    </row>
    <row r="1439" spans="2:20" x14ac:dyDescent="0.35">
      <c r="B1439">
        <v>2014</v>
      </c>
      <c r="C1439" s="41">
        <v>42795</v>
      </c>
      <c r="D1439" t="s">
        <v>2090</v>
      </c>
      <c r="E1439" t="s">
        <v>219</v>
      </c>
      <c r="F1439" t="s">
        <v>1301</v>
      </c>
      <c r="G1439" t="s">
        <v>245</v>
      </c>
      <c r="H1439" t="s">
        <v>299</v>
      </c>
      <c r="I1439" t="s">
        <v>310</v>
      </c>
      <c r="J1439">
        <v>2</v>
      </c>
      <c r="L1439">
        <v>243</v>
      </c>
      <c r="M1439">
        <v>415</v>
      </c>
      <c r="N1439">
        <v>560</v>
      </c>
      <c r="O1439">
        <v>824</v>
      </c>
      <c r="P1439">
        <v>1</v>
      </c>
      <c r="Q1439">
        <v>1</v>
      </c>
      <c r="R1439">
        <v>0</v>
      </c>
      <c r="T1439" t="b">
        <v>1</v>
      </c>
    </row>
    <row r="1440" spans="2:20" x14ac:dyDescent="0.35">
      <c r="B1440">
        <v>2014</v>
      </c>
      <c r="C1440" s="41">
        <v>42795</v>
      </c>
      <c r="D1440" t="s">
        <v>2089</v>
      </c>
      <c r="E1440" t="s">
        <v>219</v>
      </c>
      <c r="F1440" t="s">
        <v>1309</v>
      </c>
      <c r="G1440" t="s">
        <v>245</v>
      </c>
      <c r="H1440" t="s">
        <v>301</v>
      </c>
      <c r="I1440" t="s">
        <v>310</v>
      </c>
      <c r="J1440">
        <v>2</v>
      </c>
      <c r="L1440">
        <v>258</v>
      </c>
      <c r="M1440">
        <v>440</v>
      </c>
      <c r="N1440">
        <v>591</v>
      </c>
      <c r="O1440">
        <v>870</v>
      </c>
      <c r="P1440">
        <v>1</v>
      </c>
      <c r="Q1440">
        <v>1</v>
      </c>
      <c r="R1440">
        <v>0</v>
      </c>
      <c r="T1440" t="b">
        <v>1</v>
      </c>
    </row>
    <row r="1441" spans="2:20" x14ac:dyDescent="0.35">
      <c r="B1441">
        <v>2014</v>
      </c>
      <c r="C1441" s="41">
        <v>42795</v>
      </c>
      <c r="D1441" t="s">
        <v>2089</v>
      </c>
      <c r="E1441" t="s">
        <v>219</v>
      </c>
      <c r="F1441" t="s">
        <v>458</v>
      </c>
      <c r="G1441" t="s">
        <v>245</v>
      </c>
      <c r="H1441" t="s">
        <v>301</v>
      </c>
      <c r="I1441" t="s">
        <v>310</v>
      </c>
      <c r="J1441">
        <v>2</v>
      </c>
      <c r="L1441">
        <v>258</v>
      </c>
      <c r="M1441">
        <v>440</v>
      </c>
      <c r="N1441">
        <v>591</v>
      </c>
      <c r="O1441">
        <v>870</v>
      </c>
      <c r="P1441">
        <v>1</v>
      </c>
      <c r="Q1441">
        <v>1</v>
      </c>
      <c r="R1441">
        <v>0</v>
      </c>
      <c r="T1441" t="b">
        <v>1</v>
      </c>
    </row>
    <row r="1442" spans="2:20" x14ac:dyDescent="0.35">
      <c r="B1442">
        <v>2014</v>
      </c>
      <c r="C1442" s="41">
        <v>42795</v>
      </c>
      <c r="D1442" t="s">
        <v>2089</v>
      </c>
      <c r="E1442" t="s">
        <v>219</v>
      </c>
      <c r="F1442" t="s">
        <v>1311</v>
      </c>
      <c r="G1442" t="s">
        <v>245</v>
      </c>
      <c r="H1442" t="s">
        <v>301</v>
      </c>
      <c r="I1442" t="s">
        <v>310</v>
      </c>
      <c r="J1442">
        <v>2</v>
      </c>
      <c r="L1442">
        <v>258</v>
      </c>
      <c r="M1442">
        <v>440</v>
      </c>
      <c r="N1442">
        <v>591</v>
      </c>
      <c r="O1442">
        <v>870</v>
      </c>
      <c r="P1442">
        <v>1</v>
      </c>
      <c r="Q1442">
        <v>1</v>
      </c>
      <c r="R1442">
        <v>0</v>
      </c>
      <c r="T1442" t="b">
        <v>1</v>
      </c>
    </row>
    <row r="1443" spans="2:20" x14ac:dyDescent="0.35">
      <c r="B1443">
        <v>2014</v>
      </c>
      <c r="C1443" s="41">
        <v>42795</v>
      </c>
      <c r="D1443" t="s">
        <v>2089</v>
      </c>
      <c r="E1443" t="s">
        <v>219</v>
      </c>
      <c r="F1443" t="s">
        <v>1301</v>
      </c>
      <c r="G1443" t="s">
        <v>245</v>
      </c>
      <c r="H1443" t="s">
        <v>301</v>
      </c>
      <c r="I1443" t="s">
        <v>310</v>
      </c>
      <c r="J1443">
        <v>2</v>
      </c>
      <c r="L1443">
        <v>258</v>
      </c>
      <c r="M1443">
        <v>440</v>
      </c>
      <c r="N1443">
        <v>591</v>
      </c>
      <c r="O1443">
        <v>870</v>
      </c>
      <c r="P1443">
        <v>1</v>
      </c>
      <c r="Q1443">
        <v>1</v>
      </c>
      <c r="R1443">
        <v>0</v>
      </c>
      <c r="T1443" t="b">
        <v>1</v>
      </c>
    </row>
    <row r="1444" spans="2:20" x14ac:dyDescent="0.35">
      <c r="B1444">
        <v>2014</v>
      </c>
      <c r="C1444" s="41">
        <v>42795</v>
      </c>
      <c r="D1444" t="s">
        <v>2089</v>
      </c>
      <c r="E1444" t="s">
        <v>219</v>
      </c>
      <c r="F1444" t="s">
        <v>1390</v>
      </c>
      <c r="G1444" t="s">
        <v>245</v>
      </c>
      <c r="H1444" t="s">
        <v>301</v>
      </c>
      <c r="I1444" t="s">
        <v>310</v>
      </c>
      <c r="J1444">
        <v>2</v>
      </c>
      <c r="L1444">
        <v>258</v>
      </c>
      <c r="M1444">
        <v>440</v>
      </c>
      <c r="N1444">
        <v>591</v>
      </c>
      <c r="O1444">
        <v>870</v>
      </c>
      <c r="P1444">
        <v>1</v>
      </c>
      <c r="Q1444">
        <v>1</v>
      </c>
      <c r="R1444">
        <v>0</v>
      </c>
      <c r="T1444" t="b">
        <v>1</v>
      </c>
    </row>
    <row r="1445" spans="2:20" x14ac:dyDescent="0.35">
      <c r="B1445">
        <v>2014</v>
      </c>
      <c r="C1445" s="41">
        <v>42795</v>
      </c>
      <c r="D1445" t="s">
        <v>2089</v>
      </c>
      <c r="E1445" t="s">
        <v>219</v>
      </c>
      <c r="F1445" t="s">
        <v>461</v>
      </c>
      <c r="G1445" t="s">
        <v>245</v>
      </c>
      <c r="H1445" t="s">
        <v>301</v>
      </c>
      <c r="I1445" t="s">
        <v>310</v>
      </c>
      <c r="J1445">
        <v>2</v>
      </c>
      <c r="L1445">
        <v>258</v>
      </c>
      <c r="M1445">
        <v>440</v>
      </c>
      <c r="N1445">
        <v>591</v>
      </c>
      <c r="O1445">
        <v>870</v>
      </c>
      <c r="P1445">
        <v>1</v>
      </c>
      <c r="Q1445">
        <v>1</v>
      </c>
      <c r="R1445">
        <v>0</v>
      </c>
      <c r="T1445" t="b">
        <v>1</v>
      </c>
    </row>
    <row r="1446" spans="2:20" x14ac:dyDescent="0.35">
      <c r="B1446">
        <v>2014</v>
      </c>
      <c r="C1446" s="41">
        <v>42795</v>
      </c>
      <c r="D1446" t="s">
        <v>2121</v>
      </c>
      <c r="E1446" t="s">
        <v>219</v>
      </c>
      <c r="F1446" t="s">
        <v>1311</v>
      </c>
      <c r="G1446" t="s">
        <v>245</v>
      </c>
      <c r="H1446" t="s">
        <v>303</v>
      </c>
      <c r="I1446" t="s">
        <v>310</v>
      </c>
      <c r="J1446">
        <v>2</v>
      </c>
      <c r="L1446">
        <v>273</v>
      </c>
      <c r="M1446">
        <v>465</v>
      </c>
      <c r="N1446">
        <v>625</v>
      </c>
      <c r="O1446">
        <v>920</v>
      </c>
      <c r="P1446">
        <v>1</v>
      </c>
      <c r="Q1446">
        <v>1</v>
      </c>
      <c r="R1446">
        <v>0</v>
      </c>
      <c r="T1446" t="b">
        <v>1</v>
      </c>
    </row>
    <row r="1447" spans="2:20" x14ac:dyDescent="0.35">
      <c r="B1447">
        <v>2014</v>
      </c>
      <c r="C1447" s="41">
        <v>42795</v>
      </c>
      <c r="D1447" t="s">
        <v>2121</v>
      </c>
      <c r="E1447" t="s">
        <v>219</v>
      </c>
      <c r="F1447" t="s">
        <v>1301</v>
      </c>
      <c r="G1447" t="s">
        <v>245</v>
      </c>
      <c r="H1447" t="s">
        <v>303</v>
      </c>
      <c r="I1447" t="s">
        <v>310</v>
      </c>
      <c r="J1447">
        <v>2</v>
      </c>
      <c r="L1447">
        <v>273</v>
      </c>
      <c r="M1447">
        <v>465</v>
      </c>
      <c r="N1447">
        <v>625</v>
      </c>
      <c r="O1447">
        <v>920</v>
      </c>
      <c r="P1447">
        <v>1</v>
      </c>
      <c r="Q1447">
        <v>1</v>
      </c>
      <c r="R1447">
        <v>0</v>
      </c>
      <c r="T1447" t="b">
        <v>1</v>
      </c>
    </row>
    <row r="1448" spans="2:20" x14ac:dyDescent="0.35">
      <c r="B1448">
        <v>2014</v>
      </c>
      <c r="C1448" s="41">
        <v>42795</v>
      </c>
      <c r="D1448" t="s">
        <v>2121</v>
      </c>
      <c r="E1448" t="s">
        <v>219</v>
      </c>
      <c r="F1448" t="s">
        <v>461</v>
      </c>
      <c r="G1448" t="s">
        <v>245</v>
      </c>
      <c r="H1448" t="s">
        <v>303</v>
      </c>
      <c r="I1448" t="s">
        <v>310</v>
      </c>
      <c r="J1448">
        <v>2</v>
      </c>
      <c r="L1448">
        <v>273</v>
      </c>
      <c r="M1448">
        <v>465</v>
      </c>
      <c r="N1448">
        <v>625</v>
      </c>
      <c r="O1448">
        <v>920</v>
      </c>
      <c r="P1448">
        <v>1</v>
      </c>
      <c r="Q1448">
        <v>1</v>
      </c>
      <c r="R1448">
        <v>0</v>
      </c>
      <c r="T1448" t="b">
        <v>1</v>
      </c>
    </row>
    <row r="1449" spans="2:20" x14ac:dyDescent="0.35">
      <c r="B1449">
        <v>2014</v>
      </c>
      <c r="C1449" s="41">
        <v>42795</v>
      </c>
      <c r="D1449" t="s">
        <v>2121</v>
      </c>
      <c r="E1449" t="s">
        <v>219</v>
      </c>
      <c r="F1449" t="s">
        <v>1390</v>
      </c>
      <c r="G1449" t="s">
        <v>245</v>
      </c>
      <c r="H1449" t="s">
        <v>303</v>
      </c>
      <c r="I1449" t="s">
        <v>310</v>
      </c>
      <c r="J1449">
        <v>2</v>
      </c>
      <c r="L1449">
        <v>273</v>
      </c>
      <c r="M1449">
        <v>465</v>
      </c>
      <c r="N1449">
        <v>625</v>
      </c>
      <c r="O1449">
        <v>920</v>
      </c>
      <c r="P1449">
        <v>1</v>
      </c>
      <c r="Q1449">
        <v>1</v>
      </c>
      <c r="R1449">
        <v>0</v>
      </c>
      <c r="T1449" t="b">
        <v>1</v>
      </c>
    </row>
    <row r="1450" spans="2:20" x14ac:dyDescent="0.35">
      <c r="B1450">
        <v>2014</v>
      </c>
      <c r="C1450" s="41">
        <v>42795</v>
      </c>
      <c r="D1450" t="s">
        <v>2121</v>
      </c>
      <c r="E1450" t="s">
        <v>219</v>
      </c>
      <c r="F1450" t="s">
        <v>1309</v>
      </c>
      <c r="G1450" t="s">
        <v>245</v>
      </c>
      <c r="H1450" t="s">
        <v>303</v>
      </c>
      <c r="I1450" t="s">
        <v>310</v>
      </c>
      <c r="J1450">
        <v>2</v>
      </c>
      <c r="L1450">
        <v>273</v>
      </c>
      <c r="M1450">
        <v>465</v>
      </c>
      <c r="N1450">
        <v>625</v>
      </c>
      <c r="O1450">
        <v>920</v>
      </c>
      <c r="P1450">
        <v>1</v>
      </c>
      <c r="Q1450">
        <v>1</v>
      </c>
      <c r="R1450">
        <v>0</v>
      </c>
      <c r="T1450" t="b">
        <v>1</v>
      </c>
    </row>
    <row r="1451" spans="2:20" x14ac:dyDescent="0.35">
      <c r="B1451">
        <v>2014</v>
      </c>
      <c r="C1451" s="41">
        <v>42795</v>
      </c>
      <c r="D1451" t="s">
        <v>2121</v>
      </c>
      <c r="E1451" t="s">
        <v>219</v>
      </c>
      <c r="F1451" t="s">
        <v>458</v>
      </c>
      <c r="G1451" t="s">
        <v>245</v>
      </c>
      <c r="H1451" t="s">
        <v>303</v>
      </c>
      <c r="I1451" t="s">
        <v>310</v>
      </c>
      <c r="J1451">
        <v>2</v>
      </c>
      <c r="L1451">
        <v>273</v>
      </c>
      <c r="M1451">
        <v>465</v>
      </c>
      <c r="N1451">
        <v>625</v>
      </c>
      <c r="O1451">
        <v>920</v>
      </c>
      <c r="P1451">
        <v>1</v>
      </c>
      <c r="Q1451">
        <v>1</v>
      </c>
      <c r="R1451">
        <v>0</v>
      </c>
      <c r="T1451" t="b">
        <v>1</v>
      </c>
    </row>
    <row r="1452" spans="2:20" x14ac:dyDescent="0.35">
      <c r="B1452">
        <v>2014</v>
      </c>
      <c r="C1452" s="41">
        <v>42795</v>
      </c>
      <c r="D1452" t="s">
        <v>2122</v>
      </c>
      <c r="E1452" t="s">
        <v>219</v>
      </c>
      <c r="F1452" t="s">
        <v>1311</v>
      </c>
      <c r="G1452" t="s">
        <v>245</v>
      </c>
      <c r="H1452" t="s">
        <v>303</v>
      </c>
      <c r="I1452" t="s">
        <v>310</v>
      </c>
      <c r="J1452">
        <v>2</v>
      </c>
      <c r="L1452">
        <v>273</v>
      </c>
      <c r="M1452">
        <v>465</v>
      </c>
      <c r="N1452">
        <v>625</v>
      </c>
      <c r="O1452">
        <v>920</v>
      </c>
      <c r="P1452">
        <v>1</v>
      </c>
      <c r="Q1452">
        <v>1</v>
      </c>
      <c r="R1452">
        <v>0</v>
      </c>
      <c r="T1452" t="b">
        <v>1</v>
      </c>
    </row>
    <row r="1453" spans="2:20" x14ac:dyDescent="0.35">
      <c r="B1453">
        <v>2014</v>
      </c>
      <c r="C1453" s="41">
        <v>42795</v>
      </c>
      <c r="D1453" t="s">
        <v>2122</v>
      </c>
      <c r="E1453" t="s">
        <v>219</v>
      </c>
      <c r="F1453" t="s">
        <v>1390</v>
      </c>
      <c r="G1453" t="s">
        <v>245</v>
      </c>
      <c r="H1453" t="s">
        <v>303</v>
      </c>
      <c r="I1453" t="s">
        <v>310</v>
      </c>
      <c r="J1453">
        <v>2</v>
      </c>
      <c r="L1453">
        <v>273</v>
      </c>
      <c r="M1453">
        <v>465</v>
      </c>
      <c r="N1453">
        <v>625</v>
      </c>
      <c r="O1453">
        <v>920</v>
      </c>
      <c r="P1453">
        <v>1</v>
      </c>
      <c r="Q1453">
        <v>1</v>
      </c>
      <c r="R1453">
        <v>0</v>
      </c>
      <c r="T1453" t="b">
        <v>1</v>
      </c>
    </row>
    <row r="1454" spans="2:20" x14ac:dyDescent="0.35">
      <c r="B1454">
        <v>2014</v>
      </c>
      <c r="C1454" s="41">
        <v>42795</v>
      </c>
      <c r="D1454" t="s">
        <v>2122</v>
      </c>
      <c r="E1454" t="s">
        <v>219</v>
      </c>
      <c r="F1454" t="s">
        <v>1301</v>
      </c>
      <c r="G1454" t="s">
        <v>245</v>
      </c>
      <c r="H1454" t="s">
        <v>303</v>
      </c>
      <c r="I1454" t="s">
        <v>310</v>
      </c>
      <c r="J1454">
        <v>2</v>
      </c>
      <c r="L1454">
        <v>273</v>
      </c>
      <c r="M1454">
        <v>465</v>
      </c>
      <c r="N1454">
        <v>625</v>
      </c>
      <c r="O1454">
        <v>920</v>
      </c>
      <c r="P1454">
        <v>1</v>
      </c>
      <c r="Q1454">
        <v>1</v>
      </c>
      <c r="R1454">
        <v>0</v>
      </c>
      <c r="T1454" t="b">
        <v>1</v>
      </c>
    </row>
    <row r="1455" spans="2:20" x14ac:dyDescent="0.35">
      <c r="B1455">
        <v>2014</v>
      </c>
      <c r="C1455" s="41">
        <v>42795</v>
      </c>
      <c r="D1455" t="s">
        <v>2122</v>
      </c>
      <c r="E1455" t="s">
        <v>219</v>
      </c>
      <c r="F1455" t="s">
        <v>1309</v>
      </c>
      <c r="G1455" t="s">
        <v>245</v>
      </c>
      <c r="H1455" t="s">
        <v>303</v>
      </c>
      <c r="I1455" t="s">
        <v>310</v>
      </c>
      <c r="J1455">
        <v>2</v>
      </c>
      <c r="L1455">
        <v>273</v>
      </c>
      <c r="M1455">
        <v>465</v>
      </c>
      <c r="N1455">
        <v>625</v>
      </c>
      <c r="O1455">
        <v>920</v>
      </c>
      <c r="P1455">
        <v>1</v>
      </c>
      <c r="Q1455">
        <v>1</v>
      </c>
      <c r="R1455">
        <v>0</v>
      </c>
      <c r="T1455" t="b">
        <v>1</v>
      </c>
    </row>
    <row r="1456" spans="2:20" x14ac:dyDescent="0.35">
      <c r="B1456">
        <v>2014</v>
      </c>
      <c r="C1456" s="41">
        <v>42795</v>
      </c>
      <c r="D1456" t="s">
        <v>2122</v>
      </c>
      <c r="E1456" t="s">
        <v>219</v>
      </c>
      <c r="F1456" t="s">
        <v>458</v>
      </c>
      <c r="G1456" t="s">
        <v>245</v>
      </c>
      <c r="H1456" t="s">
        <v>303</v>
      </c>
      <c r="I1456" t="s">
        <v>310</v>
      </c>
      <c r="J1456">
        <v>2</v>
      </c>
      <c r="L1456">
        <v>273</v>
      </c>
      <c r="M1456">
        <v>465</v>
      </c>
      <c r="N1456">
        <v>625</v>
      </c>
      <c r="O1456">
        <v>920</v>
      </c>
      <c r="P1456">
        <v>1</v>
      </c>
      <c r="Q1456">
        <v>1</v>
      </c>
      <c r="R1456">
        <v>0</v>
      </c>
      <c r="T1456" t="b">
        <v>1</v>
      </c>
    </row>
    <row r="1457" spans="2:20" x14ac:dyDescent="0.35">
      <c r="B1457">
        <v>2014</v>
      </c>
      <c r="C1457" s="41">
        <v>42795</v>
      </c>
      <c r="D1457" t="s">
        <v>2122</v>
      </c>
      <c r="E1457" t="s">
        <v>219</v>
      </c>
      <c r="F1457" t="s">
        <v>461</v>
      </c>
      <c r="G1457" t="s">
        <v>245</v>
      </c>
      <c r="H1457" t="s">
        <v>303</v>
      </c>
      <c r="I1457" t="s">
        <v>310</v>
      </c>
      <c r="J1457">
        <v>2</v>
      </c>
      <c r="L1457">
        <v>273</v>
      </c>
      <c r="M1457">
        <v>465</v>
      </c>
      <c r="N1457">
        <v>625</v>
      </c>
      <c r="O1457">
        <v>920</v>
      </c>
      <c r="P1457">
        <v>1</v>
      </c>
      <c r="Q1457">
        <v>1</v>
      </c>
      <c r="R1457">
        <v>0</v>
      </c>
      <c r="T1457" t="b">
        <v>1</v>
      </c>
    </row>
    <row r="1458" spans="2:20" x14ac:dyDescent="0.35">
      <c r="B1458">
        <v>2014</v>
      </c>
      <c r="C1458" s="41">
        <v>42795</v>
      </c>
      <c r="D1458" t="s">
        <v>289</v>
      </c>
      <c r="E1458" t="s">
        <v>219</v>
      </c>
      <c r="F1458" t="s">
        <v>1311</v>
      </c>
      <c r="G1458" t="s">
        <v>1299</v>
      </c>
      <c r="H1458" t="s">
        <v>267</v>
      </c>
      <c r="I1458" t="s">
        <v>310</v>
      </c>
      <c r="J1458">
        <v>2</v>
      </c>
      <c r="L1458">
        <v>209.86</v>
      </c>
      <c r="M1458">
        <v>357.65</v>
      </c>
      <c r="N1458">
        <v>481.61</v>
      </c>
      <c r="O1458">
        <v>708.9</v>
      </c>
      <c r="P1458">
        <v>0</v>
      </c>
      <c r="Q1458">
        <v>1</v>
      </c>
      <c r="R1458">
        <v>0</v>
      </c>
      <c r="T1458" t="b">
        <v>1</v>
      </c>
    </row>
    <row r="1459" spans="2:20" x14ac:dyDescent="0.35">
      <c r="B1459">
        <v>2014</v>
      </c>
      <c r="C1459" s="41">
        <v>42795</v>
      </c>
      <c r="D1459" t="s">
        <v>289</v>
      </c>
      <c r="E1459" t="s">
        <v>219</v>
      </c>
      <c r="F1459" t="s">
        <v>1309</v>
      </c>
      <c r="G1459" t="s">
        <v>1299</v>
      </c>
      <c r="H1459" t="s">
        <v>267</v>
      </c>
      <c r="I1459" t="s">
        <v>310</v>
      </c>
      <c r="J1459">
        <v>2</v>
      </c>
      <c r="L1459">
        <v>231.31</v>
      </c>
      <c r="M1459">
        <v>394.2</v>
      </c>
      <c r="N1459">
        <v>530.80999999999995</v>
      </c>
      <c r="O1459">
        <v>781.31999999999903</v>
      </c>
      <c r="P1459">
        <v>0</v>
      </c>
      <c r="Q1459">
        <v>1</v>
      </c>
      <c r="R1459">
        <v>0</v>
      </c>
      <c r="T1459" t="b">
        <v>1</v>
      </c>
    </row>
    <row r="1460" spans="2:20" x14ac:dyDescent="0.35">
      <c r="B1460">
        <v>2014</v>
      </c>
      <c r="C1460" s="41">
        <v>42795</v>
      </c>
      <c r="D1460" t="s">
        <v>289</v>
      </c>
      <c r="E1460" t="s">
        <v>219</v>
      </c>
      <c r="F1460" t="s">
        <v>1301</v>
      </c>
      <c r="G1460" t="s">
        <v>1299</v>
      </c>
      <c r="H1460" t="s">
        <v>267</v>
      </c>
      <c r="I1460" t="s">
        <v>310</v>
      </c>
      <c r="J1460">
        <v>2</v>
      </c>
      <c r="L1460">
        <v>263.74</v>
      </c>
      <c r="M1460">
        <v>449.46</v>
      </c>
      <c r="N1460">
        <v>605.23</v>
      </c>
      <c r="O1460">
        <v>890.86</v>
      </c>
      <c r="P1460">
        <v>0</v>
      </c>
      <c r="Q1460">
        <v>1</v>
      </c>
      <c r="R1460">
        <v>0</v>
      </c>
      <c r="T1460" t="b">
        <v>1</v>
      </c>
    </row>
    <row r="1461" spans="2:20" x14ac:dyDescent="0.35">
      <c r="B1461">
        <v>2014</v>
      </c>
      <c r="C1461" s="41">
        <v>42795</v>
      </c>
      <c r="D1461" t="s">
        <v>2123</v>
      </c>
      <c r="E1461" t="s">
        <v>219</v>
      </c>
      <c r="F1461" t="s">
        <v>1309</v>
      </c>
      <c r="G1461" t="s">
        <v>1381</v>
      </c>
      <c r="H1461" t="s">
        <v>274</v>
      </c>
      <c r="I1461" t="s">
        <v>310</v>
      </c>
      <c r="J1461">
        <v>2</v>
      </c>
      <c r="L1461">
        <v>274.89</v>
      </c>
      <c r="M1461">
        <v>468.47</v>
      </c>
      <c r="N1461">
        <v>630.82999999999902</v>
      </c>
      <c r="O1461">
        <v>928.54</v>
      </c>
      <c r="P1461">
        <v>1</v>
      </c>
      <c r="Q1461">
        <v>1</v>
      </c>
      <c r="R1461">
        <v>0</v>
      </c>
      <c r="T1461" t="b">
        <v>1</v>
      </c>
    </row>
    <row r="1462" spans="2:20" x14ac:dyDescent="0.35">
      <c r="B1462">
        <v>2014</v>
      </c>
      <c r="C1462" s="41">
        <v>42795</v>
      </c>
      <c r="D1462" t="s">
        <v>2123</v>
      </c>
      <c r="E1462" t="s">
        <v>219</v>
      </c>
      <c r="F1462" t="s">
        <v>464</v>
      </c>
      <c r="G1462" t="s">
        <v>1381</v>
      </c>
      <c r="H1462" t="s">
        <v>274</v>
      </c>
      <c r="I1462" t="s">
        <v>310</v>
      </c>
      <c r="J1462">
        <v>2</v>
      </c>
      <c r="L1462">
        <v>272.08999999999997</v>
      </c>
      <c r="M1462">
        <v>463.7</v>
      </c>
      <c r="N1462">
        <v>624.41999999999996</v>
      </c>
      <c r="O1462">
        <v>919.1</v>
      </c>
      <c r="P1462">
        <v>1</v>
      </c>
      <c r="Q1462">
        <v>1</v>
      </c>
      <c r="R1462">
        <v>0</v>
      </c>
      <c r="T1462" t="b">
        <v>1</v>
      </c>
    </row>
    <row r="1463" spans="2:20" x14ac:dyDescent="0.35">
      <c r="B1463">
        <v>2014</v>
      </c>
      <c r="C1463" s="41">
        <v>42795</v>
      </c>
      <c r="D1463" t="s">
        <v>2123</v>
      </c>
      <c r="E1463" t="s">
        <v>219</v>
      </c>
      <c r="F1463" t="s">
        <v>1390</v>
      </c>
      <c r="G1463" t="s">
        <v>1381</v>
      </c>
      <c r="H1463" t="s">
        <v>274</v>
      </c>
      <c r="I1463" t="s">
        <v>310</v>
      </c>
      <c r="J1463">
        <v>2</v>
      </c>
      <c r="L1463">
        <v>331.97</v>
      </c>
      <c r="M1463">
        <v>565.75</v>
      </c>
      <c r="N1463">
        <v>761.82999999999902</v>
      </c>
      <c r="O1463">
        <v>1121.3599999999999</v>
      </c>
      <c r="P1463">
        <v>1</v>
      </c>
      <c r="Q1463">
        <v>1</v>
      </c>
      <c r="R1463">
        <v>0</v>
      </c>
      <c r="T1463" t="b">
        <v>1</v>
      </c>
    </row>
    <row r="1464" spans="2:20" x14ac:dyDescent="0.35">
      <c r="B1464">
        <v>2014</v>
      </c>
      <c r="C1464" s="41">
        <v>42795</v>
      </c>
      <c r="D1464" t="s">
        <v>2123</v>
      </c>
      <c r="E1464" t="s">
        <v>219</v>
      </c>
      <c r="F1464" t="s">
        <v>1301</v>
      </c>
      <c r="G1464" t="s">
        <v>1381</v>
      </c>
      <c r="H1464" t="s">
        <v>274</v>
      </c>
      <c r="I1464" t="s">
        <v>310</v>
      </c>
      <c r="J1464">
        <v>2</v>
      </c>
      <c r="L1464">
        <v>266.20999999999998</v>
      </c>
      <c r="M1464">
        <v>453.68</v>
      </c>
      <c r="N1464">
        <v>610.91</v>
      </c>
      <c r="O1464">
        <v>899.22</v>
      </c>
      <c r="P1464">
        <v>1</v>
      </c>
      <c r="Q1464">
        <v>1</v>
      </c>
      <c r="R1464">
        <v>0</v>
      </c>
      <c r="T1464" t="b">
        <v>1</v>
      </c>
    </row>
    <row r="1465" spans="2:20" x14ac:dyDescent="0.35">
      <c r="B1465">
        <v>2014</v>
      </c>
      <c r="C1465" s="41">
        <v>42795</v>
      </c>
      <c r="D1465" t="s">
        <v>2123</v>
      </c>
      <c r="E1465" t="s">
        <v>219</v>
      </c>
      <c r="F1465" t="s">
        <v>1389</v>
      </c>
      <c r="G1465" t="s">
        <v>1381</v>
      </c>
      <c r="H1465" t="s">
        <v>274</v>
      </c>
      <c r="I1465" t="s">
        <v>310</v>
      </c>
      <c r="J1465">
        <v>2</v>
      </c>
      <c r="L1465">
        <v>275</v>
      </c>
      <c r="M1465">
        <v>468.65</v>
      </c>
      <c r="N1465">
        <v>631.05999999999995</v>
      </c>
      <c r="O1465">
        <v>928.88</v>
      </c>
      <c r="P1465">
        <v>1</v>
      </c>
      <c r="Q1465">
        <v>1</v>
      </c>
      <c r="R1465">
        <v>0</v>
      </c>
      <c r="T1465" t="b">
        <v>1</v>
      </c>
    </row>
    <row r="1466" spans="2:20" x14ac:dyDescent="0.35">
      <c r="B1466">
        <v>2014</v>
      </c>
      <c r="C1466" s="41">
        <v>42795</v>
      </c>
      <c r="D1466" t="s">
        <v>2123</v>
      </c>
      <c r="E1466" t="s">
        <v>219</v>
      </c>
      <c r="F1466" t="s">
        <v>1302</v>
      </c>
      <c r="G1466" t="s">
        <v>1381</v>
      </c>
      <c r="H1466" t="s">
        <v>274</v>
      </c>
      <c r="I1466" t="s">
        <v>310</v>
      </c>
      <c r="J1466">
        <v>2</v>
      </c>
      <c r="L1466">
        <v>282.24</v>
      </c>
      <c r="M1466">
        <v>480.99</v>
      </c>
      <c r="N1466">
        <v>647.69000000000005</v>
      </c>
      <c r="O1466">
        <v>953.36</v>
      </c>
      <c r="P1466">
        <v>1</v>
      </c>
      <c r="Q1466">
        <v>1</v>
      </c>
      <c r="R1466">
        <v>0</v>
      </c>
      <c r="T1466" t="b">
        <v>1</v>
      </c>
    </row>
    <row r="1467" spans="2:20" x14ac:dyDescent="0.35">
      <c r="B1467">
        <v>2014</v>
      </c>
      <c r="C1467" s="41">
        <v>42795</v>
      </c>
      <c r="D1467" t="s">
        <v>2123</v>
      </c>
      <c r="E1467" t="s">
        <v>219</v>
      </c>
      <c r="F1467" t="s">
        <v>461</v>
      </c>
      <c r="G1467" t="s">
        <v>1381</v>
      </c>
      <c r="H1467" t="s">
        <v>274</v>
      </c>
      <c r="I1467" t="s">
        <v>310</v>
      </c>
      <c r="J1467">
        <v>2</v>
      </c>
      <c r="L1467">
        <v>316.77</v>
      </c>
      <c r="M1467">
        <v>539.84</v>
      </c>
      <c r="N1467">
        <v>726.95</v>
      </c>
      <c r="O1467">
        <v>1070.02</v>
      </c>
      <c r="P1467">
        <v>1</v>
      </c>
      <c r="Q1467">
        <v>1</v>
      </c>
      <c r="R1467">
        <v>0</v>
      </c>
      <c r="T1467" t="b">
        <v>1</v>
      </c>
    </row>
    <row r="1468" spans="2:20" x14ac:dyDescent="0.35">
      <c r="B1468">
        <v>2014</v>
      </c>
      <c r="C1468" s="41">
        <v>42795</v>
      </c>
      <c r="D1468" t="s">
        <v>2123</v>
      </c>
      <c r="E1468" t="s">
        <v>219</v>
      </c>
      <c r="F1468" t="s">
        <v>459</v>
      </c>
      <c r="G1468" t="s">
        <v>1381</v>
      </c>
      <c r="H1468" t="s">
        <v>274</v>
      </c>
      <c r="I1468" t="s">
        <v>310</v>
      </c>
      <c r="J1468">
        <v>2</v>
      </c>
      <c r="L1468">
        <v>325.58</v>
      </c>
      <c r="M1468">
        <v>554.86</v>
      </c>
      <c r="N1468">
        <v>747.17</v>
      </c>
      <c r="O1468">
        <v>1099.78</v>
      </c>
      <c r="P1468">
        <v>1</v>
      </c>
      <c r="Q1468">
        <v>1</v>
      </c>
      <c r="R1468">
        <v>0</v>
      </c>
      <c r="T1468" t="b">
        <v>1</v>
      </c>
    </row>
    <row r="1469" spans="2:20" x14ac:dyDescent="0.35">
      <c r="B1469">
        <v>2014</v>
      </c>
      <c r="C1469" s="41">
        <v>42795</v>
      </c>
      <c r="D1469" t="s">
        <v>2123</v>
      </c>
      <c r="E1469" t="s">
        <v>219</v>
      </c>
      <c r="F1469" t="s">
        <v>462</v>
      </c>
      <c r="G1469" t="s">
        <v>1381</v>
      </c>
      <c r="H1469" t="s">
        <v>274</v>
      </c>
      <c r="I1469" t="s">
        <v>310</v>
      </c>
      <c r="J1469">
        <v>2</v>
      </c>
      <c r="L1469">
        <v>292.92</v>
      </c>
      <c r="M1469">
        <v>499.19</v>
      </c>
      <c r="N1469">
        <v>672.19</v>
      </c>
      <c r="O1469">
        <v>989.42</v>
      </c>
      <c r="P1469">
        <v>1</v>
      </c>
      <c r="Q1469">
        <v>1</v>
      </c>
      <c r="R1469">
        <v>0</v>
      </c>
      <c r="T1469" t="b">
        <v>1</v>
      </c>
    </row>
    <row r="1470" spans="2:20" x14ac:dyDescent="0.35">
      <c r="B1470">
        <v>2014</v>
      </c>
      <c r="C1470" s="41">
        <v>42795</v>
      </c>
      <c r="D1470" t="s">
        <v>2123</v>
      </c>
      <c r="E1470" t="s">
        <v>219</v>
      </c>
      <c r="F1470" t="s">
        <v>1311</v>
      </c>
      <c r="G1470" t="s">
        <v>1381</v>
      </c>
      <c r="H1470" t="s">
        <v>274</v>
      </c>
      <c r="I1470" t="s">
        <v>310</v>
      </c>
      <c r="J1470">
        <v>2</v>
      </c>
      <c r="L1470">
        <v>265.81</v>
      </c>
      <c r="M1470">
        <v>453</v>
      </c>
      <c r="N1470">
        <v>610</v>
      </c>
      <c r="O1470">
        <v>897.88</v>
      </c>
      <c r="P1470">
        <v>1</v>
      </c>
      <c r="Q1470">
        <v>1</v>
      </c>
      <c r="R1470">
        <v>0</v>
      </c>
      <c r="T1470" t="b">
        <v>1</v>
      </c>
    </row>
    <row r="1471" spans="2:20" x14ac:dyDescent="0.35">
      <c r="B1471">
        <v>2014</v>
      </c>
      <c r="C1471" s="41">
        <v>42795</v>
      </c>
      <c r="D1471" t="s">
        <v>2123</v>
      </c>
      <c r="E1471" t="s">
        <v>219</v>
      </c>
      <c r="F1471" t="s">
        <v>1298</v>
      </c>
      <c r="G1471" t="s">
        <v>1381</v>
      </c>
      <c r="H1471" t="s">
        <v>274</v>
      </c>
      <c r="I1471" t="s">
        <v>310</v>
      </c>
      <c r="J1471">
        <v>2</v>
      </c>
      <c r="L1471">
        <v>304.93</v>
      </c>
      <c r="M1471">
        <v>519.65</v>
      </c>
      <c r="N1471">
        <v>699.76</v>
      </c>
      <c r="O1471">
        <v>1030</v>
      </c>
      <c r="P1471">
        <v>1</v>
      </c>
      <c r="Q1471">
        <v>1</v>
      </c>
      <c r="R1471">
        <v>0</v>
      </c>
      <c r="T1471" t="b">
        <v>1</v>
      </c>
    </row>
    <row r="1472" spans="2:20" x14ac:dyDescent="0.35">
      <c r="B1472">
        <v>2014</v>
      </c>
      <c r="C1472" s="41">
        <v>42795</v>
      </c>
      <c r="D1472" t="s">
        <v>2123</v>
      </c>
      <c r="E1472" t="s">
        <v>219</v>
      </c>
      <c r="F1472" t="s">
        <v>1307</v>
      </c>
      <c r="G1472" t="s">
        <v>1381</v>
      </c>
      <c r="H1472" t="s">
        <v>274</v>
      </c>
      <c r="I1472" t="s">
        <v>310</v>
      </c>
      <c r="J1472">
        <v>2</v>
      </c>
      <c r="L1472">
        <v>348.45</v>
      </c>
      <c r="M1472">
        <v>593.83000000000004</v>
      </c>
      <c r="N1472">
        <v>799.64</v>
      </c>
      <c r="O1472">
        <v>1177.02</v>
      </c>
      <c r="P1472">
        <v>1</v>
      </c>
      <c r="Q1472">
        <v>1</v>
      </c>
      <c r="R1472">
        <v>0</v>
      </c>
      <c r="T1472" t="b">
        <v>1</v>
      </c>
    </row>
    <row r="1473" spans="2:20" x14ac:dyDescent="0.35">
      <c r="B1473">
        <v>2014</v>
      </c>
      <c r="C1473" s="41">
        <v>42795</v>
      </c>
      <c r="D1473" t="s">
        <v>2123</v>
      </c>
      <c r="E1473" t="s">
        <v>219</v>
      </c>
      <c r="F1473" t="s">
        <v>460</v>
      </c>
      <c r="G1473" t="s">
        <v>1381</v>
      </c>
      <c r="H1473" t="s">
        <v>274</v>
      </c>
      <c r="I1473" t="s">
        <v>310</v>
      </c>
      <c r="J1473">
        <v>2</v>
      </c>
      <c r="L1473">
        <v>269.70999999999998</v>
      </c>
      <c r="M1473">
        <v>459.64</v>
      </c>
      <c r="N1473">
        <v>618.94000000000005</v>
      </c>
      <c r="O1473">
        <v>911.04</v>
      </c>
      <c r="P1473">
        <v>1</v>
      </c>
      <c r="Q1473">
        <v>1</v>
      </c>
      <c r="R1473">
        <v>0</v>
      </c>
      <c r="T1473" t="b">
        <v>1</v>
      </c>
    </row>
    <row r="1474" spans="2:20" x14ac:dyDescent="0.35">
      <c r="B1474">
        <v>2014</v>
      </c>
      <c r="C1474" s="41">
        <v>42795</v>
      </c>
      <c r="D1474" t="s">
        <v>2123</v>
      </c>
      <c r="E1474" t="s">
        <v>219</v>
      </c>
      <c r="F1474" t="s">
        <v>1310</v>
      </c>
      <c r="G1474" t="s">
        <v>1381</v>
      </c>
      <c r="H1474" t="s">
        <v>274</v>
      </c>
      <c r="I1474" t="s">
        <v>310</v>
      </c>
      <c r="J1474">
        <v>2</v>
      </c>
      <c r="L1474">
        <v>394.62</v>
      </c>
      <c r="M1474">
        <v>672.52</v>
      </c>
      <c r="N1474">
        <v>905.6</v>
      </c>
      <c r="O1474">
        <v>1332.98</v>
      </c>
      <c r="P1474">
        <v>1</v>
      </c>
      <c r="Q1474">
        <v>1</v>
      </c>
      <c r="R1474">
        <v>0</v>
      </c>
      <c r="T1474" t="b">
        <v>1</v>
      </c>
    </row>
    <row r="1475" spans="2:20" x14ac:dyDescent="0.35">
      <c r="B1475">
        <v>2014</v>
      </c>
      <c r="C1475" s="41">
        <v>42795</v>
      </c>
      <c r="D1475" t="s">
        <v>2123</v>
      </c>
      <c r="E1475" t="s">
        <v>219</v>
      </c>
      <c r="F1475" t="s">
        <v>463</v>
      </c>
      <c r="G1475" t="s">
        <v>1381</v>
      </c>
      <c r="H1475" t="s">
        <v>274</v>
      </c>
      <c r="I1475" t="s">
        <v>310</v>
      </c>
      <c r="J1475">
        <v>2</v>
      </c>
      <c r="L1475">
        <v>361.71</v>
      </c>
      <c r="M1475">
        <v>616.41999999999996</v>
      </c>
      <c r="N1475">
        <v>830.05</v>
      </c>
      <c r="O1475">
        <v>1221.78</v>
      </c>
      <c r="P1475">
        <v>1</v>
      </c>
      <c r="Q1475">
        <v>1</v>
      </c>
      <c r="R1475">
        <v>0</v>
      </c>
      <c r="T1475" t="b">
        <v>1</v>
      </c>
    </row>
    <row r="1476" spans="2:20" x14ac:dyDescent="0.35">
      <c r="B1476">
        <v>2014</v>
      </c>
      <c r="C1476" s="41">
        <v>42795</v>
      </c>
      <c r="D1476" t="s">
        <v>2123</v>
      </c>
      <c r="E1476" t="s">
        <v>219</v>
      </c>
      <c r="F1476" t="s">
        <v>458</v>
      </c>
      <c r="G1476" t="s">
        <v>1381</v>
      </c>
      <c r="H1476" t="s">
        <v>274</v>
      </c>
      <c r="I1476" t="s">
        <v>310</v>
      </c>
      <c r="J1476">
        <v>2</v>
      </c>
      <c r="L1476">
        <v>252.76</v>
      </c>
      <c r="M1476">
        <v>430.75</v>
      </c>
      <c r="N1476">
        <v>580.04</v>
      </c>
      <c r="O1476">
        <v>853.78</v>
      </c>
      <c r="P1476">
        <v>1</v>
      </c>
      <c r="Q1476">
        <v>1</v>
      </c>
      <c r="R1476">
        <v>0</v>
      </c>
      <c r="T1476" t="b">
        <v>1</v>
      </c>
    </row>
    <row r="1477" spans="2:20" x14ac:dyDescent="0.35">
      <c r="B1477">
        <v>2014</v>
      </c>
      <c r="C1477" s="41">
        <v>42795</v>
      </c>
      <c r="D1477" t="s">
        <v>2124</v>
      </c>
      <c r="E1477" t="s">
        <v>219</v>
      </c>
      <c r="F1477" t="s">
        <v>1309</v>
      </c>
      <c r="G1477" t="s">
        <v>2100</v>
      </c>
      <c r="H1477" t="s">
        <v>2101</v>
      </c>
      <c r="I1477" t="s">
        <v>1555</v>
      </c>
      <c r="J1477">
        <v>2</v>
      </c>
      <c r="L1477">
        <v>254.81</v>
      </c>
      <c r="M1477">
        <v>434.26</v>
      </c>
      <c r="N1477">
        <v>584.74</v>
      </c>
      <c r="O1477">
        <v>860.69999999999902</v>
      </c>
      <c r="P1477">
        <v>0</v>
      </c>
      <c r="Q1477">
        <v>3</v>
      </c>
      <c r="R1477">
        <v>0</v>
      </c>
      <c r="T1477" t="b">
        <v>1</v>
      </c>
    </row>
    <row r="1478" spans="2:20" x14ac:dyDescent="0.35">
      <c r="B1478">
        <v>2014</v>
      </c>
      <c r="C1478" s="41">
        <v>42795</v>
      </c>
      <c r="D1478" t="s">
        <v>2125</v>
      </c>
      <c r="E1478" t="s">
        <v>219</v>
      </c>
      <c r="F1478" t="s">
        <v>1311</v>
      </c>
      <c r="G1478" t="s">
        <v>1299</v>
      </c>
      <c r="H1478" t="s">
        <v>266</v>
      </c>
      <c r="I1478" t="s">
        <v>310</v>
      </c>
      <c r="J1478">
        <v>2</v>
      </c>
      <c r="L1478">
        <v>207.26</v>
      </c>
      <c r="M1478">
        <v>353.21</v>
      </c>
      <c r="N1478">
        <v>475.63</v>
      </c>
      <c r="O1478">
        <v>700.1</v>
      </c>
      <c r="P1478">
        <v>1</v>
      </c>
      <c r="Q1478">
        <v>1</v>
      </c>
      <c r="R1478">
        <v>0</v>
      </c>
      <c r="T1478" t="b">
        <v>1</v>
      </c>
    </row>
    <row r="1479" spans="2:20" x14ac:dyDescent="0.35">
      <c r="B1479">
        <v>2014</v>
      </c>
      <c r="C1479" s="41">
        <v>42795</v>
      </c>
      <c r="D1479" t="s">
        <v>2125</v>
      </c>
      <c r="E1479" t="s">
        <v>219</v>
      </c>
      <c r="F1479" t="s">
        <v>1309</v>
      </c>
      <c r="G1479" t="s">
        <v>1299</v>
      </c>
      <c r="H1479" t="s">
        <v>266</v>
      </c>
      <c r="I1479" t="s">
        <v>310</v>
      </c>
      <c r="J1479">
        <v>2</v>
      </c>
      <c r="L1479">
        <v>228.44</v>
      </c>
      <c r="M1479">
        <v>389.31</v>
      </c>
      <c r="N1479">
        <v>524.24</v>
      </c>
      <c r="O1479">
        <v>771.64</v>
      </c>
      <c r="P1479">
        <v>1</v>
      </c>
      <c r="Q1479">
        <v>1</v>
      </c>
      <c r="R1479">
        <v>0</v>
      </c>
      <c r="T1479" t="b">
        <v>1</v>
      </c>
    </row>
    <row r="1480" spans="2:20" x14ac:dyDescent="0.35">
      <c r="B1480">
        <v>2014</v>
      </c>
      <c r="C1480" s="41">
        <v>42795</v>
      </c>
      <c r="D1480" t="s">
        <v>2125</v>
      </c>
      <c r="E1480" t="s">
        <v>219</v>
      </c>
      <c r="F1480" t="s">
        <v>1301</v>
      </c>
      <c r="G1480" t="s">
        <v>1299</v>
      </c>
      <c r="H1480" t="s">
        <v>266</v>
      </c>
      <c r="I1480" t="s">
        <v>310</v>
      </c>
      <c r="J1480">
        <v>2</v>
      </c>
      <c r="L1480">
        <v>260.45999999999998</v>
      </c>
      <c r="M1480">
        <v>443.88</v>
      </c>
      <c r="N1480">
        <v>597.72</v>
      </c>
      <c r="O1480">
        <v>879.8</v>
      </c>
      <c r="P1480">
        <v>1</v>
      </c>
      <c r="Q1480">
        <v>1</v>
      </c>
      <c r="R1480">
        <v>0</v>
      </c>
      <c r="T1480" t="b">
        <v>1</v>
      </c>
    </row>
    <row r="1481" spans="2:20" x14ac:dyDescent="0.35">
      <c r="B1481">
        <v>2014</v>
      </c>
      <c r="C1481" s="41">
        <v>42795</v>
      </c>
      <c r="D1481" t="s">
        <v>287</v>
      </c>
      <c r="E1481" t="s">
        <v>219</v>
      </c>
      <c r="F1481" t="s">
        <v>1301</v>
      </c>
      <c r="G1481" t="s">
        <v>1299</v>
      </c>
      <c r="H1481" t="s">
        <v>266</v>
      </c>
      <c r="I1481" t="s">
        <v>310</v>
      </c>
      <c r="J1481">
        <v>2</v>
      </c>
      <c r="L1481">
        <v>260.45999999999998</v>
      </c>
      <c r="M1481">
        <v>443.88</v>
      </c>
      <c r="N1481">
        <v>597.72</v>
      </c>
      <c r="O1481">
        <v>879.8</v>
      </c>
      <c r="P1481">
        <v>0</v>
      </c>
      <c r="Q1481">
        <v>1</v>
      </c>
      <c r="R1481">
        <v>0</v>
      </c>
      <c r="T1481" t="b">
        <v>1</v>
      </c>
    </row>
    <row r="1482" spans="2:20" x14ac:dyDescent="0.35">
      <c r="B1482">
        <v>2014</v>
      </c>
      <c r="C1482" s="41">
        <v>42795</v>
      </c>
      <c r="D1482" t="s">
        <v>287</v>
      </c>
      <c r="E1482" t="s">
        <v>219</v>
      </c>
      <c r="F1482" t="s">
        <v>1311</v>
      </c>
      <c r="G1482" t="s">
        <v>1299</v>
      </c>
      <c r="H1482" t="s">
        <v>266</v>
      </c>
      <c r="I1482" t="s">
        <v>310</v>
      </c>
      <c r="J1482">
        <v>2</v>
      </c>
      <c r="L1482">
        <v>207.26</v>
      </c>
      <c r="M1482">
        <v>353.21</v>
      </c>
      <c r="N1482">
        <v>475.63</v>
      </c>
      <c r="O1482">
        <v>700.1</v>
      </c>
      <c r="P1482">
        <v>0</v>
      </c>
      <c r="Q1482">
        <v>1</v>
      </c>
      <c r="R1482">
        <v>0</v>
      </c>
      <c r="T1482" t="b">
        <v>1</v>
      </c>
    </row>
    <row r="1483" spans="2:20" x14ac:dyDescent="0.35">
      <c r="B1483">
        <v>2014</v>
      </c>
      <c r="C1483" s="41">
        <v>42795</v>
      </c>
      <c r="D1483" t="s">
        <v>287</v>
      </c>
      <c r="E1483" t="s">
        <v>219</v>
      </c>
      <c r="F1483" t="s">
        <v>1309</v>
      </c>
      <c r="G1483" t="s">
        <v>1299</v>
      </c>
      <c r="H1483" t="s">
        <v>266</v>
      </c>
      <c r="I1483" t="s">
        <v>310</v>
      </c>
      <c r="J1483">
        <v>2</v>
      </c>
      <c r="L1483">
        <v>228.44</v>
      </c>
      <c r="M1483">
        <v>389.31</v>
      </c>
      <c r="N1483">
        <v>524.24</v>
      </c>
      <c r="O1483">
        <v>771.64</v>
      </c>
      <c r="P1483">
        <v>0</v>
      </c>
      <c r="Q1483">
        <v>1</v>
      </c>
      <c r="R1483">
        <v>0</v>
      </c>
      <c r="T1483" t="b">
        <v>1</v>
      </c>
    </row>
    <row r="1484" spans="2:20" x14ac:dyDescent="0.35">
      <c r="B1484">
        <v>2014</v>
      </c>
      <c r="C1484" s="41">
        <v>42795</v>
      </c>
      <c r="D1484" t="s">
        <v>2126</v>
      </c>
      <c r="E1484" t="s">
        <v>219</v>
      </c>
      <c r="F1484" t="s">
        <v>1311</v>
      </c>
      <c r="G1484" t="s">
        <v>1299</v>
      </c>
      <c r="H1484" t="s">
        <v>269</v>
      </c>
      <c r="I1484" t="s">
        <v>310</v>
      </c>
      <c r="J1484">
        <v>2</v>
      </c>
      <c r="L1484">
        <v>217.46</v>
      </c>
      <c r="M1484">
        <v>370.6</v>
      </c>
      <c r="N1484">
        <v>499.03</v>
      </c>
      <c r="O1484">
        <v>734.54</v>
      </c>
      <c r="P1484">
        <v>1</v>
      </c>
      <c r="Q1484">
        <v>1</v>
      </c>
      <c r="R1484">
        <v>0</v>
      </c>
      <c r="T1484" t="b">
        <v>1</v>
      </c>
    </row>
    <row r="1485" spans="2:20" x14ac:dyDescent="0.35">
      <c r="B1485">
        <v>2014</v>
      </c>
      <c r="C1485" s="41">
        <v>42795</v>
      </c>
      <c r="D1485" t="s">
        <v>2126</v>
      </c>
      <c r="E1485" t="s">
        <v>219</v>
      </c>
      <c r="F1485" t="s">
        <v>1301</v>
      </c>
      <c r="G1485" t="s">
        <v>1299</v>
      </c>
      <c r="H1485" t="s">
        <v>269</v>
      </c>
      <c r="I1485" t="s">
        <v>310</v>
      </c>
      <c r="J1485">
        <v>2</v>
      </c>
      <c r="L1485">
        <v>273.27999999999997</v>
      </c>
      <c r="M1485">
        <v>465.72</v>
      </c>
      <c r="N1485">
        <v>627.15</v>
      </c>
      <c r="O1485">
        <v>923.12</v>
      </c>
      <c r="P1485">
        <v>1</v>
      </c>
      <c r="Q1485">
        <v>1</v>
      </c>
      <c r="R1485">
        <v>0</v>
      </c>
      <c r="T1485" t="b">
        <v>1</v>
      </c>
    </row>
    <row r="1486" spans="2:20" x14ac:dyDescent="0.35">
      <c r="B1486">
        <v>2014</v>
      </c>
      <c r="C1486" s="41">
        <v>42795</v>
      </c>
      <c r="D1486" t="s">
        <v>2126</v>
      </c>
      <c r="E1486" t="s">
        <v>219</v>
      </c>
      <c r="F1486" t="s">
        <v>1309</v>
      </c>
      <c r="G1486" t="s">
        <v>1299</v>
      </c>
      <c r="H1486" t="s">
        <v>269</v>
      </c>
      <c r="I1486" t="s">
        <v>310</v>
      </c>
      <c r="J1486">
        <v>2</v>
      </c>
      <c r="L1486">
        <v>239.68</v>
      </c>
      <c r="M1486">
        <v>408.47</v>
      </c>
      <c r="N1486">
        <v>550.04</v>
      </c>
      <c r="O1486">
        <v>809.61999999999898</v>
      </c>
      <c r="P1486">
        <v>1</v>
      </c>
      <c r="Q1486">
        <v>1</v>
      </c>
      <c r="R1486">
        <v>0</v>
      </c>
      <c r="T1486" t="b">
        <v>1</v>
      </c>
    </row>
    <row r="1487" spans="2:20" x14ac:dyDescent="0.35">
      <c r="B1487">
        <v>2014</v>
      </c>
      <c r="C1487" s="41">
        <v>42795</v>
      </c>
      <c r="D1487" t="s">
        <v>2127</v>
      </c>
      <c r="E1487" t="s">
        <v>219</v>
      </c>
      <c r="F1487" t="s">
        <v>1309</v>
      </c>
      <c r="G1487" t="s">
        <v>1299</v>
      </c>
      <c r="H1487" t="s">
        <v>269</v>
      </c>
      <c r="I1487" t="s">
        <v>310</v>
      </c>
      <c r="J1487">
        <v>2</v>
      </c>
      <c r="L1487">
        <v>239.68</v>
      </c>
      <c r="M1487">
        <v>408.47</v>
      </c>
      <c r="N1487">
        <v>550.04</v>
      </c>
      <c r="O1487">
        <v>809.61999999999898</v>
      </c>
      <c r="P1487">
        <v>1</v>
      </c>
      <c r="Q1487">
        <v>1</v>
      </c>
      <c r="R1487">
        <v>0</v>
      </c>
      <c r="T1487" t="b">
        <v>1</v>
      </c>
    </row>
    <row r="1488" spans="2:20" x14ac:dyDescent="0.35">
      <c r="B1488">
        <v>2014</v>
      </c>
      <c r="C1488" s="41">
        <v>42795</v>
      </c>
      <c r="D1488" t="s">
        <v>2127</v>
      </c>
      <c r="E1488" t="s">
        <v>219</v>
      </c>
      <c r="F1488" t="s">
        <v>1301</v>
      </c>
      <c r="G1488" t="s">
        <v>1299</v>
      </c>
      <c r="H1488" t="s">
        <v>269</v>
      </c>
      <c r="I1488" t="s">
        <v>310</v>
      </c>
      <c r="J1488">
        <v>2</v>
      </c>
      <c r="L1488">
        <v>273.27999999999997</v>
      </c>
      <c r="M1488">
        <v>465.72</v>
      </c>
      <c r="N1488">
        <v>627.15</v>
      </c>
      <c r="O1488">
        <v>923.12</v>
      </c>
      <c r="P1488">
        <v>1</v>
      </c>
      <c r="Q1488">
        <v>1</v>
      </c>
      <c r="R1488">
        <v>0</v>
      </c>
      <c r="T1488" t="b">
        <v>1</v>
      </c>
    </row>
    <row r="1489" spans="2:20" x14ac:dyDescent="0.35">
      <c r="B1489">
        <v>2014</v>
      </c>
      <c r="C1489" s="41">
        <v>42795</v>
      </c>
      <c r="D1489" t="s">
        <v>2127</v>
      </c>
      <c r="E1489" t="s">
        <v>219</v>
      </c>
      <c r="F1489" t="s">
        <v>1311</v>
      </c>
      <c r="G1489" t="s">
        <v>1299</v>
      </c>
      <c r="H1489" t="s">
        <v>269</v>
      </c>
      <c r="I1489" t="s">
        <v>310</v>
      </c>
      <c r="J1489">
        <v>2</v>
      </c>
      <c r="L1489">
        <v>217.46</v>
      </c>
      <c r="M1489">
        <v>370.6</v>
      </c>
      <c r="N1489">
        <v>499.03</v>
      </c>
      <c r="O1489">
        <v>734.54</v>
      </c>
      <c r="P1489">
        <v>1</v>
      </c>
      <c r="Q1489">
        <v>1</v>
      </c>
      <c r="R1489">
        <v>0</v>
      </c>
      <c r="T1489" t="b">
        <v>1</v>
      </c>
    </row>
    <row r="1490" spans="2:20" x14ac:dyDescent="0.35">
      <c r="B1490">
        <v>2014</v>
      </c>
      <c r="C1490" s="41">
        <v>42795</v>
      </c>
      <c r="D1490" t="s">
        <v>292</v>
      </c>
      <c r="E1490" t="s">
        <v>219</v>
      </c>
      <c r="F1490" t="s">
        <v>1301</v>
      </c>
      <c r="G1490" t="s">
        <v>1299</v>
      </c>
      <c r="H1490" t="s">
        <v>269</v>
      </c>
      <c r="I1490" t="s">
        <v>310</v>
      </c>
      <c r="J1490">
        <v>2</v>
      </c>
      <c r="L1490">
        <v>273.27999999999997</v>
      </c>
      <c r="M1490">
        <v>465.72</v>
      </c>
      <c r="N1490">
        <v>627.15</v>
      </c>
      <c r="O1490">
        <v>923.12</v>
      </c>
      <c r="P1490">
        <v>0</v>
      </c>
      <c r="Q1490">
        <v>1</v>
      </c>
      <c r="R1490">
        <v>0</v>
      </c>
      <c r="T1490" t="b">
        <v>1</v>
      </c>
    </row>
    <row r="1491" spans="2:20" x14ac:dyDescent="0.35">
      <c r="B1491">
        <v>2014</v>
      </c>
      <c r="C1491" s="41">
        <v>42795</v>
      </c>
      <c r="D1491" t="s">
        <v>292</v>
      </c>
      <c r="E1491" t="s">
        <v>219</v>
      </c>
      <c r="F1491" t="s">
        <v>1309</v>
      </c>
      <c r="G1491" t="s">
        <v>1299</v>
      </c>
      <c r="H1491" t="s">
        <v>269</v>
      </c>
      <c r="I1491" t="s">
        <v>310</v>
      </c>
      <c r="J1491">
        <v>2</v>
      </c>
      <c r="L1491">
        <v>239.68</v>
      </c>
      <c r="M1491">
        <v>408.47</v>
      </c>
      <c r="N1491">
        <v>550.04</v>
      </c>
      <c r="O1491">
        <v>809.61999999999898</v>
      </c>
      <c r="P1491">
        <v>0</v>
      </c>
      <c r="Q1491">
        <v>1</v>
      </c>
      <c r="R1491">
        <v>0</v>
      </c>
      <c r="T1491" t="b">
        <v>1</v>
      </c>
    </row>
    <row r="1492" spans="2:20" x14ac:dyDescent="0.35">
      <c r="B1492">
        <v>2014</v>
      </c>
      <c r="C1492" s="41">
        <v>42795</v>
      </c>
      <c r="D1492" t="s">
        <v>292</v>
      </c>
      <c r="E1492" t="s">
        <v>219</v>
      </c>
      <c r="F1492" t="s">
        <v>1311</v>
      </c>
      <c r="G1492" t="s">
        <v>1299</v>
      </c>
      <c r="H1492" t="s">
        <v>269</v>
      </c>
      <c r="I1492" t="s">
        <v>310</v>
      </c>
      <c r="J1492">
        <v>2</v>
      </c>
      <c r="L1492">
        <v>217.46</v>
      </c>
      <c r="M1492">
        <v>370.6</v>
      </c>
      <c r="N1492">
        <v>499.03</v>
      </c>
      <c r="O1492">
        <v>734.54</v>
      </c>
      <c r="P1492">
        <v>0</v>
      </c>
      <c r="Q1492">
        <v>1</v>
      </c>
      <c r="R1492">
        <v>0</v>
      </c>
      <c r="T1492" t="b">
        <v>1</v>
      </c>
    </row>
    <row r="1493" spans="2:20" x14ac:dyDescent="0.35">
      <c r="B1493">
        <v>2014</v>
      </c>
      <c r="C1493" s="41">
        <v>42795</v>
      </c>
      <c r="D1493" t="s">
        <v>2128</v>
      </c>
      <c r="E1493" t="s">
        <v>219</v>
      </c>
      <c r="F1493" t="s">
        <v>1311</v>
      </c>
      <c r="G1493" t="s">
        <v>1299</v>
      </c>
      <c r="H1493" t="s">
        <v>267</v>
      </c>
      <c r="I1493" t="s">
        <v>310</v>
      </c>
      <c r="J1493">
        <v>2</v>
      </c>
      <c r="L1493">
        <v>209.86</v>
      </c>
      <c r="M1493">
        <v>357.65</v>
      </c>
      <c r="N1493">
        <v>481.61</v>
      </c>
      <c r="O1493">
        <v>708.9</v>
      </c>
      <c r="P1493">
        <v>1</v>
      </c>
      <c r="Q1493">
        <v>1</v>
      </c>
      <c r="R1493">
        <v>0</v>
      </c>
      <c r="T1493" t="b">
        <v>1</v>
      </c>
    </row>
    <row r="1494" spans="2:20" x14ac:dyDescent="0.35">
      <c r="B1494">
        <v>2014</v>
      </c>
      <c r="C1494" s="41">
        <v>42795</v>
      </c>
      <c r="D1494" t="s">
        <v>2128</v>
      </c>
      <c r="E1494" t="s">
        <v>219</v>
      </c>
      <c r="F1494" t="s">
        <v>1301</v>
      </c>
      <c r="G1494" t="s">
        <v>1299</v>
      </c>
      <c r="H1494" t="s">
        <v>267</v>
      </c>
      <c r="I1494" t="s">
        <v>310</v>
      </c>
      <c r="J1494">
        <v>2</v>
      </c>
      <c r="L1494">
        <v>263.74</v>
      </c>
      <c r="M1494">
        <v>449.46</v>
      </c>
      <c r="N1494">
        <v>605.23</v>
      </c>
      <c r="O1494">
        <v>890.86</v>
      </c>
      <c r="P1494">
        <v>1</v>
      </c>
      <c r="Q1494">
        <v>1</v>
      </c>
      <c r="R1494">
        <v>0</v>
      </c>
      <c r="T1494" t="b">
        <v>1</v>
      </c>
    </row>
    <row r="1495" spans="2:20" x14ac:dyDescent="0.35">
      <c r="B1495">
        <v>2014</v>
      </c>
      <c r="C1495" s="41">
        <v>42795</v>
      </c>
      <c r="D1495" t="s">
        <v>2128</v>
      </c>
      <c r="E1495" t="s">
        <v>219</v>
      </c>
      <c r="F1495" t="s">
        <v>1309</v>
      </c>
      <c r="G1495" t="s">
        <v>1299</v>
      </c>
      <c r="H1495" t="s">
        <v>267</v>
      </c>
      <c r="I1495" t="s">
        <v>310</v>
      </c>
      <c r="J1495">
        <v>2</v>
      </c>
      <c r="L1495">
        <v>231.31</v>
      </c>
      <c r="M1495">
        <v>394.2</v>
      </c>
      <c r="N1495">
        <v>530.80999999999995</v>
      </c>
      <c r="O1495">
        <v>781.31999999999903</v>
      </c>
      <c r="P1495">
        <v>1</v>
      </c>
      <c r="Q1495">
        <v>1</v>
      </c>
      <c r="R1495">
        <v>0</v>
      </c>
      <c r="T1495" t="b">
        <v>1</v>
      </c>
    </row>
    <row r="1496" spans="2:20" x14ac:dyDescent="0.35">
      <c r="B1496">
        <v>2014</v>
      </c>
      <c r="C1496" s="41">
        <v>42795</v>
      </c>
      <c r="D1496" t="s">
        <v>2129</v>
      </c>
      <c r="E1496" t="s">
        <v>219</v>
      </c>
      <c r="F1496" t="s">
        <v>1301</v>
      </c>
      <c r="G1496" t="s">
        <v>1299</v>
      </c>
      <c r="H1496" t="s">
        <v>215</v>
      </c>
      <c r="I1496" t="s">
        <v>310</v>
      </c>
      <c r="J1496">
        <v>2</v>
      </c>
      <c r="L1496">
        <v>277.10000000000002</v>
      </c>
      <c r="M1496">
        <v>472.23</v>
      </c>
      <c r="N1496">
        <v>635.9</v>
      </c>
      <c r="O1496">
        <v>936</v>
      </c>
      <c r="P1496">
        <v>1</v>
      </c>
      <c r="Q1496">
        <v>1</v>
      </c>
      <c r="R1496">
        <v>0</v>
      </c>
      <c r="T1496" t="b">
        <v>1</v>
      </c>
    </row>
    <row r="1497" spans="2:20" x14ac:dyDescent="0.35">
      <c r="B1497">
        <v>2014</v>
      </c>
      <c r="C1497" s="41">
        <v>42795</v>
      </c>
      <c r="D1497" t="s">
        <v>2129</v>
      </c>
      <c r="E1497" t="s">
        <v>219</v>
      </c>
      <c r="F1497" t="s">
        <v>1311</v>
      </c>
      <c r="G1497" t="s">
        <v>1299</v>
      </c>
      <c r="H1497" t="s">
        <v>215</v>
      </c>
      <c r="I1497" t="s">
        <v>310</v>
      </c>
      <c r="J1497">
        <v>2</v>
      </c>
      <c r="L1497">
        <v>220.5</v>
      </c>
      <c r="M1497">
        <v>375.77</v>
      </c>
      <c r="N1497">
        <v>506</v>
      </c>
      <c r="O1497">
        <v>744.8</v>
      </c>
      <c r="P1497">
        <v>1</v>
      </c>
      <c r="Q1497">
        <v>1</v>
      </c>
      <c r="R1497">
        <v>0</v>
      </c>
      <c r="T1497" t="b">
        <v>1</v>
      </c>
    </row>
    <row r="1498" spans="2:20" x14ac:dyDescent="0.35">
      <c r="B1498">
        <v>2014</v>
      </c>
      <c r="C1498" s="41">
        <v>42795</v>
      </c>
      <c r="D1498" t="s">
        <v>2129</v>
      </c>
      <c r="E1498" t="s">
        <v>219</v>
      </c>
      <c r="F1498" t="s">
        <v>1309</v>
      </c>
      <c r="G1498" t="s">
        <v>1299</v>
      </c>
      <c r="H1498" t="s">
        <v>215</v>
      </c>
      <c r="I1498" t="s">
        <v>310</v>
      </c>
      <c r="J1498">
        <v>2</v>
      </c>
      <c r="L1498">
        <v>243.03</v>
      </c>
      <c r="M1498">
        <v>414.17</v>
      </c>
      <c r="N1498">
        <v>557.73</v>
      </c>
      <c r="O1498">
        <v>820.93999999999903</v>
      </c>
      <c r="P1498">
        <v>1</v>
      </c>
      <c r="Q1498">
        <v>1</v>
      </c>
      <c r="R1498">
        <v>0</v>
      </c>
      <c r="T1498" t="b">
        <v>1</v>
      </c>
    </row>
    <row r="1499" spans="2:20" x14ac:dyDescent="0.35">
      <c r="B1499">
        <v>2014</v>
      </c>
      <c r="C1499" s="41">
        <v>42795</v>
      </c>
      <c r="D1499" t="s">
        <v>946</v>
      </c>
      <c r="E1499" t="s">
        <v>219</v>
      </c>
      <c r="F1499" t="s">
        <v>1309</v>
      </c>
      <c r="G1499" t="s">
        <v>1299</v>
      </c>
      <c r="H1499" t="s">
        <v>2130</v>
      </c>
      <c r="I1499" t="s">
        <v>843</v>
      </c>
      <c r="J1499">
        <v>2</v>
      </c>
      <c r="L1499">
        <v>285.61</v>
      </c>
      <c r="M1499">
        <v>486.74</v>
      </c>
      <c r="N1499">
        <v>655.44</v>
      </c>
      <c r="O1499">
        <v>964.76</v>
      </c>
      <c r="P1499">
        <v>0</v>
      </c>
      <c r="Q1499">
        <v>1</v>
      </c>
      <c r="R1499">
        <v>0</v>
      </c>
      <c r="T1499" t="b">
        <v>1</v>
      </c>
    </row>
    <row r="1500" spans="2:20" x14ac:dyDescent="0.35">
      <c r="B1500">
        <v>2014</v>
      </c>
      <c r="C1500" s="41">
        <v>42795</v>
      </c>
      <c r="D1500" t="s">
        <v>946</v>
      </c>
      <c r="E1500" t="s">
        <v>219</v>
      </c>
      <c r="F1500" t="s">
        <v>1301</v>
      </c>
      <c r="G1500" t="s">
        <v>1299</v>
      </c>
      <c r="H1500" t="s">
        <v>2130</v>
      </c>
      <c r="I1500" t="s">
        <v>843</v>
      </c>
      <c r="J1500">
        <v>2</v>
      </c>
      <c r="L1500">
        <v>325.64999999999998</v>
      </c>
      <c r="M1500">
        <v>554.97</v>
      </c>
      <c r="N1500">
        <v>747.3</v>
      </c>
      <c r="O1500">
        <v>1099.98</v>
      </c>
      <c r="P1500">
        <v>0</v>
      </c>
      <c r="Q1500">
        <v>1</v>
      </c>
      <c r="R1500">
        <v>0</v>
      </c>
      <c r="T1500" t="b">
        <v>1</v>
      </c>
    </row>
    <row r="1501" spans="2:20" x14ac:dyDescent="0.35">
      <c r="B1501">
        <v>2014</v>
      </c>
      <c r="C1501" s="41">
        <v>42795</v>
      </c>
      <c r="D1501" t="s">
        <v>946</v>
      </c>
      <c r="E1501" t="s">
        <v>219</v>
      </c>
      <c r="F1501" t="s">
        <v>1311</v>
      </c>
      <c r="G1501" t="s">
        <v>1299</v>
      </c>
      <c r="H1501" t="s">
        <v>2130</v>
      </c>
      <c r="I1501" t="s">
        <v>843</v>
      </c>
      <c r="J1501">
        <v>2</v>
      </c>
      <c r="L1501">
        <v>259.13</v>
      </c>
      <c r="M1501">
        <v>441.61</v>
      </c>
      <c r="N1501">
        <v>594.66</v>
      </c>
      <c r="O1501">
        <v>875.3</v>
      </c>
      <c r="P1501">
        <v>0</v>
      </c>
      <c r="Q1501">
        <v>1</v>
      </c>
      <c r="R1501">
        <v>0</v>
      </c>
      <c r="T1501" t="b">
        <v>1</v>
      </c>
    </row>
    <row r="1502" spans="2:20" x14ac:dyDescent="0.35">
      <c r="B1502">
        <v>2014</v>
      </c>
      <c r="C1502" s="41">
        <v>42795</v>
      </c>
      <c r="D1502" t="s">
        <v>949</v>
      </c>
      <c r="E1502" t="s">
        <v>219</v>
      </c>
      <c r="F1502" t="s">
        <v>1301</v>
      </c>
      <c r="G1502" t="s">
        <v>1299</v>
      </c>
      <c r="H1502" t="s">
        <v>2131</v>
      </c>
      <c r="I1502" t="s">
        <v>843</v>
      </c>
      <c r="J1502">
        <v>2</v>
      </c>
      <c r="L1502">
        <v>322.10000000000002</v>
      </c>
      <c r="M1502">
        <v>548.91999999999996</v>
      </c>
      <c r="N1502">
        <v>739.18</v>
      </c>
      <c r="O1502">
        <v>1088.02</v>
      </c>
      <c r="P1502">
        <v>0</v>
      </c>
      <c r="Q1502">
        <v>1</v>
      </c>
      <c r="R1502">
        <v>0</v>
      </c>
      <c r="T1502" t="b">
        <v>1</v>
      </c>
    </row>
    <row r="1503" spans="2:20" x14ac:dyDescent="0.35">
      <c r="B1503">
        <v>2014</v>
      </c>
      <c r="C1503" s="41">
        <v>42795</v>
      </c>
      <c r="D1503" t="s">
        <v>949</v>
      </c>
      <c r="E1503" t="s">
        <v>219</v>
      </c>
      <c r="F1503" t="s">
        <v>1311</v>
      </c>
      <c r="G1503" t="s">
        <v>1299</v>
      </c>
      <c r="H1503" t="s">
        <v>2131</v>
      </c>
      <c r="I1503" t="s">
        <v>843</v>
      </c>
      <c r="J1503">
        <v>2</v>
      </c>
      <c r="L1503">
        <v>256.31</v>
      </c>
      <c r="M1503">
        <v>436.8</v>
      </c>
      <c r="N1503">
        <v>588.19000000000005</v>
      </c>
      <c r="O1503">
        <v>865.78</v>
      </c>
      <c r="P1503">
        <v>0</v>
      </c>
      <c r="Q1503">
        <v>1</v>
      </c>
      <c r="R1503">
        <v>0</v>
      </c>
      <c r="T1503" t="b">
        <v>1</v>
      </c>
    </row>
    <row r="1504" spans="2:20" x14ac:dyDescent="0.35">
      <c r="B1504">
        <v>2014</v>
      </c>
      <c r="C1504" s="41">
        <v>42795</v>
      </c>
      <c r="D1504" t="s">
        <v>949</v>
      </c>
      <c r="E1504" t="s">
        <v>219</v>
      </c>
      <c r="F1504" t="s">
        <v>1309</v>
      </c>
      <c r="G1504" t="s">
        <v>1299</v>
      </c>
      <c r="H1504" t="s">
        <v>2131</v>
      </c>
      <c r="I1504" t="s">
        <v>843</v>
      </c>
      <c r="J1504">
        <v>2</v>
      </c>
      <c r="L1504">
        <v>282.5</v>
      </c>
      <c r="M1504">
        <v>481.44</v>
      </c>
      <c r="N1504">
        <v>648.29</v>
      </c>
      <c r="O1504">
        <v>954.24</v>
      </c>
      <c r="P1504">
        <v>0</v>
      </c>
      <c r="Q1504">
        <v>1</v>
      </c>
      <c r="R1504">
        <v>0</v>
      </c>
      <c r="T1504" t="b">
        <v>1</v>
      </c>
    </row>
    <row r="1505" spans="2:20" x14ac:dyDescent="0.35">
      <c r="B1505">
        <v>2014</v>
      </c>
      <c r="C1505" s="41">
        <v>42795</v>
      </c>
      <c r="D1505" t="s">
        <v>2132</v>
      </c>
      <c r="E1505" t="s">
        <v>219</v>
      </c>
      <c r="F1505" t="s">
        <v>1309</v>
      </c>
      <c r="G1505" t="s">
        <v>1299</v>
      </c>
      <c r="H1505" t="s">
        <v>263</v>
      </c>
      <c r="I1505" t="s">
        <v>310</v>
      </c>
      <c r="J1505">
        <v>2</v>
      </c>
      <c r="L1505">
        <v>220.71</v>
      </c>
      <c r="M1505">
        <v>376.14</v>
      </c>
      <c r="N1505">
        <v>506.5</v>
      </c>
      <c r="O1505">
        <v>745.54</v>
      </c>
      <c r="P1505">
        <v>1</v>
      </c>
      <c r="Q1505">
        <v>1</v>
      </c>
      <c r="R1505">
        <v>0</v>
      </c>
      <c r="T1505" t="b">
        <v>1</v>
      </c>
    </row>
    <row r="1506" spans="2:20" x14ac:dyDescent="0.35">
      <c r="B1506">
        <v>2014</v>
      </c>
      <c r="C1506" s="41">
        <v>42795</v>
      </c>
      <c r="D1506" t="s">
        <v>2132</v>
      </c>
      <c r="E1506" t="s">
        <v>219</v>
      </c>
      <c r="F1506" t="s">
        <v>1301</v>
      </c>
      <c r="G1506" t="s">
        <v>1299</v>
      </c>
      <c r="H1506" t="s">
        <v>263</v>
      </c>
      <c r="I1506" t="s">
        <v>310</v>
      </c>
      <c r="J1506">
        <v>2</v>
      </c>
      <c r="L1506">
        <v>251.65</v>
      </c>
      <c r="M1506">
        <v>428.87</v>
      </c>
      <c r="N1506">
        <v>577.5</v>
      </c>
      <c r="O1506">
        <v>850.04</v>
      </c>
      <c r="P1506">
        <v>1</v>
      </c>
      <c r="Q1506">
        <v>1</v>
      </c>
      <c r="R1506">
        <v>0</v>
      </c>
      <c r="T1506" t="b">
        <v>1</v>
      </c>
    </row>
    <row r="1507" spans="2:20" x14ac:dyDescent="0.35">
      <c r="B1507">
        <v>2014</v>
      </c>
      <c r="C1507" s="41">
        <v>42795</v>
      </c>
      <c r="D1507" t="s">
        <v>2132</v>
      </c>
      <c r="E1507" t="s">
        <v>219</v>
      </c>
      <c r="F1507" t="s">
        <v>1311</v>
      </c>
      <c r="G1507" t="s">
        <v>1299</v>
      </c>
      <c r="H1507" t="s">
        <v>263</v>
      </c>
      <c r="I1507" t="s">
        <v>310</v>
      </c>
      <c r="J1507">
        <v>2</v>
      </c>
      <c r="L1507">
        <v>200.25</v>
      </c>
      <c r="M1507">
        <v>341.27</v>
      </c>
      <c r="N1507">
        <v>459.55</v>
      </c>
      <c r="O1507">
        <v>676.42</v>
      </c>
      <c r="P1507">
        <v>1</v>
      </c>
      <c r="Q1507">
        <v>1</v>
      </c>
      <c r="R1507">
        <v>0</v>
      </c>
      <c r="T1507" t="b">
        <v>1</v>
      </c>
    </row>
    <row r="1508" spans="2:20" x14ac:dyDescent="0.35">
      <c r="B1508">
        <v>2014</v>
      </c>
      <c r="C1508" s="41">
        <v>42795</v>
      </c>
      <c r="D1508" t="s">
        <v>2133</v>
      </c>
      <c r="E1508" t="s">
        <v>219</v>
      </c>
      <c r="F1508" t="s">
        <v>1301</v>
      </c>
      <c r="G1508" t="s">
        <v>1299</v>
      </c>
      <c r="H1508" t="s">
        <v>264</v>
      </c>
      <c r="I1508" t="s">
        <v>310</v>
      </c>
      <c r="J1508">
        <v>2</v>
      </c>
      <c r="L1508">
        <v>254.82</v>
      </c>
      <c r="M1508">
        <v>434.26</v>
      </c>
      <c r="N1508">
        <v>584.77</v>
      </c>
      <c r="O1508">
        <v>860.74</v>
      </c>
      <c r="P1508">
        <v>1</v>
      </c>
      <c r="Q1508">
        <v>1</v>
      </c>
      <c r="R1508">
        <v>0</v>
      </c>
      <c r="T1508" t="b">
        <v>1</v>
      </c>
    </row>
    <row r="1509" spans="2:20" x14ac:dyDescent="0.35">
      <c r="B1509">
        <v>2014</v>
      </c>
      <c r="C1509" s="41">
        <v>42795</v>
      </c>
      <c r="D1509" t="s">
        <v>2133</v>
      </c>
      <c r="E1509" t="s">
        <v>219</v>
      </c>
      <c r="F1509" t="s">
        <v>1311</v>
      </c>
      <c r="G1509" t="s">
        <v>1299</v>
      </c>
      <c r="H1509" t="s">
        <v>264</v>
      </c>
      <c r="I1509" t="s">
        <v>310</v>
      </c>
      <c r="J1509">
        <v>2</v>
      </c>
      <c r="L1509">
        <v>202.77</v>
      </c>
      <c r="M1509">
        <v>345.56</v>
      </c>
      <c r="N1509">
        <v>465.32</v>
      </c>
      <c r="O1509">
        <v>684.92</v>
      </c>
      <c r="P1509">
        <v>1</v>
      </c>
      <c r="Q1509">
        <v>1</v>
      </c>
      <c r="R1509">
        <v>0</v>
      </c>
      <c r="T1509" t="b">
        <v>1</v>
      </c>
    </row>
    <row r="1510" spans="2:20" x14ac:dyDescent="0.35">
      <c r="B1510">
        <v>2014</v>
      </c>
      <c r="C1510" s="41">
        <v>42795</v>
      </c>
      <c r="D1510" t="s">
        <v>2133</v>
      </c>
      <c r="E1510" t="s">
        <v>219</v>
      </c>
      <c r="F1510" t="s">
        <v>1309</v>
      </c>
      <c r="G1510" t="s">
        <v>1299</v>
      </c>
      <c r="H1510" t="s">
        <v>264</v>
      </c>
      <c r="I1510" t="s">
        <v>310</v>
      </c>
      <c r="J1510">
        <v>2</v>
      </c>
      <c r="L1510">
        <v>223.49</v>
      </c>
      <c r="M1510">
        <v>380.87</v>
      </c>
      <c r="N1510">
        <v>512.88</v>
      </c>
      <c r="O1510">
        <v>754.92</v>
      </c>
      <c r="P1510">
        <v>1</v>
      </c>
      <c r="Q1510">
        <v>1</v>
      </c>
      <c r="R1510">
        <v>0</v>
      </c>
      <c r="T1510" t="b">
        <v>1</v>
      </c>
    </row>
    <row r="1511" spans="2:20" x14ac:dyDescent="0.35">
      <c r="B1511">
        <v>2014</v>
      </c>
      <c r="C1511" s="41">
        <v>42795</v>
      </c>
      <c r="D1511" t="s">
        <v>2134</v>
      </c>
      <c r="E1511" t="s">
        <v>219</v>
      </c>
      <c r="F1511" t="s">
        <v>1301</v>
      </c>
      <c r="G1511" t="s">
        <v>1299</v>
      </c>
      <c r="H1511" t="s">
        <v>214</v>
      </c>
      <c r="I1511" t="s">
        <v>310</v>
      </c>
      <c r="J1511">
        <v>2</v>
      </c>
      <c r="L1511">
        <v>267.73</v>
      </c>
      <c r="M1511">
        <v>456.26</v>
      </c>
      <c r="N1511">
        <v>614.39</v>
      </c>
      <c r="O1511">
        <v>904.33999999999901</v>
      </c>
      <c r="P1511">
        <v>1</v>
      </c>
      <c r="Q1511">
        <v>1</v>
      </c>
      <c r="R1511">
        <v>0</v>
      </c>
      <c r="T1511" t="b">
        <v>1</v>
      </c>
    </row>
    <row r="1512" spans="2:20" x14ac:dyDescent="0.35">
      <c r="B1512">
        <v>2014</v>
      </c>
      <c r="C1512" s="41">
        <v>42795</v>
      </c>
      <c r="D1512" t="s">
        <v>2134</v>
      </c>
      <c r="E1512" t="s">
        <v>219</v>
      </c>
      <c r="F1512" t="s">
        <v>1309</v>
      </c>
      <c r="G1512" t="s">
        <v>1299</v>
      </c>
      <c r="H1512" t="s">
        <v>214</v>
      </c>
      <c r="I1512" t="s">
        <v>310</v>
      </c>
      <c r="J1512">
        <v>2</v>
      </c>
      <c r="L1512">
        <v>234.81</v>
      </c>
      <c r="M1512">
        <v>400.17</v>
      </c>
      <c r="N1512">
        <v>538.87</v>
      </c>
      <c r="O1512">
        <v>793.18</v>
      </c>
      <c r="P1512">
        <v>1</v>
      </c>
      <c r="Q1512">
        <v>1</v>
      </c>
      <c r="R1512">
        <v>0</v>
      </c>
      <c r="T1512" t="b">
        <v>1</v>
      </c>
    </row>
    <row r="1513" spans="2:20" x14ac:dyDescent="0.35">
      <c r="B1513">
        <v>2014</v>
      </c>
      <c r="C1513" s="41">
        <v>42795</v>
      </c>
      <c r="D1513" t="s">
        <v>2134</v>
      </c>
      <c r="E1513" t="s">
        <v>219</v>
      </c>
      <c r="F1513" t="s">
        <v>1311</v>
      </c>
      <c r="G1513" t="s">
        <v>1299</v>
      </c>
      <c r="H1513" t="s">
        <v>214</v>
      </c>
      <c r="I1513" t="s">
        <v>310</v>
      </c>
      <c r="J1513">
        <v>2</v>
      </c>
      <c r="L1513">
        <v>213.04</v>
      </c>
      <c r="M1513">
        <v>363.07</v>
      </c>
      <c r="N1513">
        <v>488.909999999999</v>
      </c>
      <c r="O1513">
        <v>719.64</v>
      </c>
      <c r="P1513">
        <v>1</v>
      </c>
      <c r="Q1513">
        <v>1</v>
      </c>
      <c r="R1513">
        <v>0</v>
      </c>
      <c r="T1513" t="b">
        <v>1</v>
      </c>
    </row>
    <row r="1514" spans="2:20" x14ac:dyDescent="0.35">
      <c r="B1514">
        <v>2014</v>
      </c>
      <c r="C1514" s="41">
        <v>42795</v>
      </c>
      <c r="D1514" t="s">
        <v>2135</v>
      </c>
      <c r="E1514" t="s">
        <v>219</v>
      </c>
      <c r="F1514" t="s">
        <v>1301</v>
      </c>
      <c r="G1514" t="s">
        <v>1299</v>
      </c>
      <c r="H1514" t="s">
        <v>214</v>
      </c>
      <c r="I1514" t="s">
        <v>310</v>
      </c>
      <c r="J1514">
        <v>2</v>
      </c>
      <c r="L1514">
        <v>267.73</v>
      </c>
      <c r="M1514">
        <v>456.26</v>
      </c>
      <c r="N1514">
        <v>614.39</v>
      </c>
      <c r="O1514">
        <v>904.33999999999901</v>
      </c>
      <c r="P1514">
        <v>1</v>
      </c>
      <c r="Q1514">
        <v>1</v>
      </c>
      <c r="R1514">
        <v>0</v>
      </c>
      <c r="T1514" t="b">
        <v>1</v>
      </c>
    </row>
    <row r="1515" spans="2:20" x14ac:dyDescent="0.35">
      <c r="B1515">
        <v>2014</v>
      </c>
      <c r="C1515" s="41">
        <v>42795</v>
      </c>
      <c r="D1515" t="s">
        <v>2135</v>
      </c>
      <c r="E1515" t="s">
        <v>219</v>
      </c>
      <c r="F1515" t="s">
        <v>1311</v>
      </c>
      <c r="G1515" t="s">
        <v>1299</v>
      </c>
      <c r="H1515" t="s">
        <v>214</v>
      </c>
      <c r="I1515" t="s">
        <v>310</v>
      </c>
      <c r="J1515">
        <v>2</v>
      </c>
      <c r="L1515">
        <v>213.04</v>
      </c>
      <c r="M1515">
        <v>363.07</v>
      </c>
      <c r="N1515">
        <v>488.909999999999</v>
      </c>
      <c r="O1515">
        <v>719.64</v>
      </c>
      <c r="P1515">
        <v>1</v>
      </c>
      <c r="Q1515">
        <v>1</v>
      </c>
      <c r="R1515">
        <v>0</v>
      </c>
      <c r="T1515" t="b">
        <v>1</v>
      </c>
    </row>
    <row r="1516" spans="2:20" x14ac:dyDescent="0.35">
      <c r="B1516">
        <v>2014</v>
      </c>
      <c r="C1516" s="41">
        <v>42795</v>
      </c>
      <c r="D1516" t="s">
        <v>2135</v>
      </c>
      <c r="E1516" t="s">
        <v>219</v>
      </c>
      <c r="F1516" t="s">
        <v>1309</v>
      </c>
      <c r="G1516" t="s">
        <v>1299</v>
      </c>
      <c r="H1516" t="s">
        <v>214</v>
      </c>
      <c r="I1516" t="s">
        <v>310</v>
      </c>
      <c r="J1516">
        <v>2</v>
      </c>
      <c r="L1516">
        <v>234.81</v>
      </c>
      <c r="M1516">
        <v>400.17</v>
      </c>
      <c r="N1516">
        <v>538.87</v>
      </c>
      <c r="O1516">
        <v>793.18</v>
      </c>
      <c r="P1516">
        <v>1</v>
      </c>
      <c r="Q1516">
        <v>1</v>
      </c>
      <c r="R1516">
        <v>0</v>
      </c>
      <c r="T1516" t="b">
        <v>1</v>
      </c>
    </row>
    <row r="1517" spans="2:20" x14ac:dyDescent="0.35">
      <c r="B1517">
        <v>2014</v>
      </c>
      <c r="C1517" s="41">
        <v>42795</v>
      </c>
      <c r="D1517" t="s">
        <v>291</v>
      </c>
      <c r="E1517" t="s">
        <v>219</v>
      </c>
      <c r="F1517" t="s">
        <v>1311</v>
      </c>
      <c r="G1517" t="s">
        <v>1299</v>
      </c>
      <c r="H1517" t="s">
        <v>214</v>
      </c>
      <c r="I1517" t="s">
        <v>310</v>
      </c>
      <c r="J1517">
        <v>2</v>
      </c>
      <c r="L1517">
        <v>213.04</v>
      </c>
      <c r="M1517">
        <v>363.07</v>
      </c>
      <c r="N1517">
        <v>488.909999999999</v>
      </c>
      <c r="O1517">
        <v>719.64</v>
      </c>
      <c r="P1517">
        <v>0</v>
      </c>
      <c r="Q1517">
        <v>1</v>
      </c>
      <c r="R1517">
        <v>0</v>
      </c>
      <c r="T1517" t="b">
        <v>1</v>
      </c>
    </row>
    <row r="1518" spans="2:20" x14ac:dyDescent="0.35">
      <c r="B1518">
        <v>2014</v>
      </c>
      <c r="C1518" s="41">
        <v>42795</v>
      </c>
      <c r="D1518" t="s">
        <v>291</v>
      </c>
      <c r="E1518" t="s">
        <v>219</v>
      </c>
      <c r="F1518" t="s">
        <v>1309</v>
      </c>
      <c r="G1518" t="s">
        <v>1299</v>
      </c>
      <c r="H1518" t="s">
        <v>214</v>
      </c>
      <c r="I1518" t="s">
        <v>310</v>
      </c>
      <c r="J1518">
        <v>2</v>
      </c>
      <c r="L1518">
        <v>234.81</v>
      </c>
      <c r="M1518">
        <v>400.17</v>
      </c>
      <c r="N1518">
        <v>538.87</v>
      </c>
      <c r="O1518">
        <v>793.18</v>
      </c>
      <c r="P1518">
        <v>0</v>
      </c>
      <c r="Q1518">
        <v>1</v>
      </c>
      <c r="R1518">
        <v>0</v>
      </c>
      <c r="T1518" t="b">
        <v>1</v>
      </c>
    </row>
    <row r="1519" spans="2:20" x14ac:dyDescent="0.35">
      <c r="B1519">
        <v>2014</v>
      </c>
      <c r="C1519" s="41">
        <v>42795</v>
      </c>
      <c r="D1519" t="s">
        <v>291</v>
      </c>
      <c r="E1519" t="s">
        <v>219</v>
      </c>
      <c r="F1519" t="s">
        <v>1301</v>
      </c>
      <c r="G1519" t="s">
        <v>1299</v>
      </c>
      <c r="H1519" t="s">
        <v>214</v>
      </c>
      <c r="I1519" t="s">
        <v>310</v>
      </c>
      <c r="J1519">
        <v>2</v>
      </c>
      <c r="L1519">
        <v>267.73</v>
      </c>
      <c r="M1519">
        <v>456.26</v>
      </c>
      <c r="N1519">
        <v>614.39</v>
      </c>
      <c r="O1519">
        <v>904.33999999999901</v>
      </c>
      <c r="P1519">
        <v>0</v>
      </c>
      <c r="Q1519">
        <v>1</v>
      </c>
      <c r="R1519">
        <v>0</v>
      </c>
      <c r="T1519" t="b">
        <v>1</v>
      </c>
    </row>
    <row r="1520" spans="2:20" x14ac:dyDescent="0.35">
      <c r="B1520">
        <v>2014</v>
      </c>
      <c r="C1520" s="41">
        <v>42795</v>
      </c>
      <c r="D1520" t="s">
        <v>945</v>
      </c>
      <c r="E1520" t="s">
        <v>219</v>
      </c>
      <c r="F1520" t="s">
        <v>1301</v>
      </c>
      <c r="G1520" t="s">
        <v>1299</v>
      </c>
      <c r="H1520" t="s">
        <v>2136</v>
      </c>
      <c r="I1520" t="s">
        <v>843</v>
      </c>
      <c r="J1520">
        <v>2</v>
      </c>
      <c r="L1520">
        <v>314.63</v>
      </c>
      <c r="M1520">
        <v>536.20000000000005</v>
      </c>
      <c r="N1520">
        <v>722.03</v>
      </c>
      <c r="O1520">
        <v>1062.78</v>
      </c>
      <c r="P1520">
        <v>0</v>
      </c>
      <c r="Q1520">
        <v>1</v>
      </c>
      <c r="R1520">
        <v>0</v>
      </c>
      <c r="T1520" t="b">
        <v>1</v>
      </c>
    </row>
    <row r="1521" spans="2:20" x14ac:dyDescent="0.35">
      <c r="B1521">
        <v>2014</v>
      </c>
      <c r="C1521" s="41">
        <v>42795</v>
      </c>
      <c r="D1521" t="s">
        <v>945</v>
      </c>
      <c r="E1521" t="s">
        <v>219</v>
      </c>
      <c r="F1521" t="s">
        <v>1309</v>
      </c>
      <c r="G1521" t="s">
        <v>1299</v>
      </c>
      <c r="H1521" t="s">
        <v>2136</v>
      </c>
      <c r="I1521" t="s">
        <v>843</v>
      </c>
      <c r="J1521">
        <v>2</v>
      </c>
      <c r="L1521">
        <v>275.95</v>
      </c>
      <c r="M1521">
        <v>470.28</v>
      </c>
      <c r="N1521">
        <v>633.26</v>
      </c>
      <c r="O1521">
        <v>932.12</v>
      </c>
      <c r="P1521">
        <v>0</v>
      </c>
      <c r="Q1521">
        <v>1</v>
      </c>
      <c r="R1521">
        <v>0</v>
      </c>
      <c r="T1521" t="b">
        <v>1</v>
      </c>
    </row>
    <row r="1522" spans="2:20" x14ac:dyDescent="0.35">
      <c r="B1522">
        <v>2014</v>
      </c>
      <c r="C1522" s="41">
        <v>42795</v>
      </c>
      <c r="D1522" t="s">
        <v>945</v>
      </c>
      <c r="E1522" t="s">
        <v>219</v>
      </c>
      <c r="F1522" t="s">
        <v>1311</v>
      </c>
      <c r="G1522" t="s">
        <v>1299</v>
      </c>
      <c r="H1522" t="s">
        <v>2136</v>
      </c>
      <c r="I1522" t="s">
        <v>843</v>
      </c>
      <c r="J1522">
        <v>2</v>
      </c>
      <c r="L1522">
        <v>250.37</v>
      </c>
      <c r="M1522">
        <v>426.67</v>
      </c>
      <c r="N1522">
        <v>574.54999999999995</v>
      </c>
      <c r="O1522">
        <v>845.69999999999902</v>
      </c>
      <c r="P1522">
        <v>0</v>
      </c>
      <c r="Q1522">
        <v>1</v>
      </c>
      <c r="R1522">
        <v>0</v>
      </c>
      <c r="T1522" t="b">
        <v>1</v>
      </c>
    </row>
    <row r="1523" spans="2:20" x14ac:dyDescent="0.35">
      <c r="B1523">
        <v>2014</v>
      </c>
      <c r="C1523" s="41">
        <v>42795</v>
      </c>
      <c r="D1523" t="s">
        <v>948</v>
      </c>
      <c r="E1523" t="s">
        <v>219</v>
      </c>
      <c r="F1523" t="s">
        <v>1301</v>
      </c>
      <c r="G1523" t="s">
        <v>1299</v>
      </c>
      <c r="H1523" t="s">
        <v>2137</v>
      </c>
      <c r="I1523" t="s">
        <v>843</v>
      </c>
      <c r="J1523">
        <v>2</v>
      </c>
      <c r="L1523">
        <v>311.20999999999998</v>
      </c>
      <c r="M1523">
        <v>530.36</v>
      </c>
      <c r="N1523">
        <v>714.18</v>
      </c>
      <c r="O1523">
        <v>1051.22</v>
      </c>
      <c r="P1523">
        <v>0</v>
      </c>
      <c r="Q1523">
        <v>1</v>
      </c>
      <c r="R1523">
        <v>0</v>
      </c>
      <c r="T1523" t="b">
        <v>1</v>
      </c>
    </row>
    <row r="1524" spans="2:20" x14ac:dyDescent="0.35">
      <c r="B1524">
        <v>2014</v>
      </c>
      <c r="C1524" s="41">
        <v>42795</v>
      </c>
      <c r="D1524" t="s">
        <v>948</v>
      </c>
      <c r="E1524" t="s">
        <v>219</v>
      </c>
      <c r="F1524" t="s">
        <v>1309</v>
      </c>
      <c r="G1524" t="s">
        <v>1299</v>
      </c>
      <c r="H1524" t="s">
        <v>2137</v>
      </c>
      <c r="I1524" t="s">
        <v>843</v>
      </c>
      <c r="J1524">
        <v>2</v>
      </c>
      <c r="L1524">
        <v>272.95</v>
      </c>
      <c r="M1524">
        <v>465.16</v>
      </c>
      <c r="N1524">
        <v>626.37</v>
      </c>
      <c r="O1524">
        <v>921.98</v>
      </c>
      <c r="P1524">
        <v>0</v>
      </c>
      <c r="Q1524">
        <v>1</v>
      </c>
      <c r="R1524">
        <v>0</v>
      </c>
      <c r="T1524" t="b">
        <v>1</v>
      </c>
    </row>
    <row r="1525" spans="2:20" x14ac:dyDescent="0.35">
      <c r="B1525">
        <v>2014</v>
      </c>
      <c r="C1525" s="41">
        <v>42795</v>
      </c>
      <c r="D1525" t="s">
        <v>948</v>
      </c>
      <c r="E1525" t="s">
        <v>219</v>
      </c>
      <c r="F1525" t="s">
        <v>1311</v>
      </c>
      <c r="G1525" t="s">
        <v>1299</v>
      </c>
      <c r="H1525" t="s">
        <v>2137</v>
      </c>
      <c r="I1525" t="s">
        <v>843</v>
      </c>
      <c r="J1525">
        <v>2</v>
      </c>
      <c r="L1525">
        <v>247.64</v>
      </c>
      <c r="M1525">
        <v>422.03</v>
      </c>
      <c r="N1525">
        <v>568.29999999999995</v>
      </c>
      <c r="O1525">
        <v>836.5</v>
      </c>
      <c r="P1525">
        <v>0</v>
      </c>
      <c r="Q1525">
        <v>1</v>
      </c>
      <c r="R1525">
        <v>0</v>
      </c>
      <c r="T1525" t="b">
        <v>1</v>
      </c>
    </row>
    <row r="1526" spans="2:20" x14ac:dyDescent="0.35">
      <c r="B1526">
        <v>2014</v>
      </c>
      <c r="C1526" s="41">
        <v>42795</v>
      </c>
      <c r="D1526" t="s">
        <v>941</v>
      </c>
      <c r="E1526" t="s">
        <v>219</v>
      </c>
      <c r="F1526" t="s">
        <v>1309</v>
      </c>
      <c r="G1526" t="s">
        <v>1299</v>
      </c>
      <c r="H1526" t="s">
        <v>2138</v>
      </c>
      <c r="I1526" t="s">
        <v>842</v>
      </c>
      <c r="J1526">
        <v>2</v>
      </c>
      <c r="L1526">
        <v>187.62</v>
      </c>
      <c r="M1526">
        <v>319.75</v>
      </c>
      <c r="N1526">
        <v>430.56</v>
      </c>
      <c r="O1526">
        <v>633.76</v>
      </c>
      <c r="P1526">
        <v>0</v>
      </c>
      <c r="Q1526">
        <v>1</v>
      </c>
      <c r="R1526">
        <v>0</v>
      </c>
      <c r="T1526" t="b">
        <v>1</v>
      </c>
    </row>
    <row r="1527" spans="2:20" x14ac:dyDescent="0.35">
      <c r="B1527">
        <v>2014</v>
      </c>
      <c r="C1527" s="41">
        <v>42795</v>
      </c>
      <c r="D1527" t="s">
        <v>941</v>
      </c>
      <c r="E1527" t="s">
        <v>219</v>
      </c>
      <c r="F1527" t="s">
        <v>1301</v>
      </c>
      <c r="G1527" t="s">
        <v>1299</v>
      </c>
      <c r="H1527" t="s">
        <v>2138</v>
      </c>
      <c r="I1527" t="s">
        <v>842</v>
      </c>
      <c r="J1527">
        <v>2</v>
      </c>
      <c r="L1527">
        <v>213.92</v>
      </c>
      <c r="M1527">
        <v>364.57</v>
      </c>
      <c r="N1527">
        <v>490.92</v>
      </c>
      <c r="O1527">
        <v>722.6</v>
      </c>
      <c r="P1527">
        <v>0</v>
      </c>
      <c r="Q1527">
        <v>1</v>
      </c>
      <c r="R1527">
        <v>0</v>
      </c>
      <c r="T1527" t="b">
        <v>1</v>
      </c>
    </row>
    <row r="1528" spans="2:20" x14ac:dyDescent="0.35">
      <c r="B1528">
        <v>2014</v>
      </c>
      <c r="C1528" s="41">
        <v>42795</v>
      </c>
      <c r="D1528" t="s">
        <v>941</v>
      </c>
      <c r="E1528" t="s">
        <v>219</v>
      </c>
      <c r="F1528" t="s">
        <v>1311</v>
      </c>
      <c r="G1528" t="s">
        <v>1299</v>
      </c>
      <c r="H1528" t="s">
        <v>2138</v>
      </c>
      <c r="I1528" t="s">
        <v>842</v>
      </c>
      <c r="J1528">
        <v>2</v>
      </c>
      <c r="L1528">
        <v>170.23</v>
      </c>
      <c r="M1528">
        <v>290.10000000000002</v>
      </c>
      <c r="N1528">
        <v>390.64</v>
      </c>
      <c r="O1528">
        <v>575</v>
      </c>
      <c r="P1528">
        <v>0</v>
      </c>
      <c r="Q1528">
        <v>1</v>
      </c>
      <c r="R1528">
        <v>0</v>
      </c>
      <c r="T1528" t="b">
        <v>1</v>
      </c>
    </row>
    <row r="1529" spans="2:20" x14ac:dyDescent="0.35">
      <c r="B1529">
        <v>2014</v>
      </c>
      <c r="C1529" s="41">
        <v>42795</v>
      </c>
      <c r="D1529" t="s">
        <v>2139</v>
      </c>
      <c r="E1529" t="s">
        <v>219</v>
      </c>
      <c r="F1529" t="s">
        <v>1311</v>
      </c>
      <c r="G1529" t="s">
        <v>1299</v>
      </c>
      <c r="H1529" t="s">
        <v>2140</v>
      </c>
      <c r="I1529" t="s">
        <v>842</v>
      </c>
      <c r="J1529">
        <v>2</v>
      </c>
      <c r="L1529">
        <v>179.08</v>
      </c>
      <c r="M1529">
        <v>305.18</v>
      </c>
      <c r="N1529">
        <v>410.96</v>
      </c>
      <c r="O1529">
        <v>604.9</v>
      </c>
      <c r="P1529">
        <v>0</v>
      </c>
      <c r="Q1529">
        <v>1</v>
      </c>
      <c r="R1529">
        <v>0</v>
      </c>
      <c r="T1529" t="b">
        <v>1</v>
      </c>
    </row>
    <row r="1530" spans="2:20" x14ac:dyDescent="0.35">
      <c r="B1530">
        <v>2014</v>
      </c>
      <c r="C1530" s="41">
        <v>42795</v>
      </c>
      <c r="D1530" t="s">
        <v>2139</v>
      </c>
      <c r="E1530" t="s">
        <v>219</v>
      </c>
      <c r="F1530" t="s">
        <v>1301</v>
      </c>
      <c r="G1530" t="s">
        <v>1299</v>
      </c>
      <c r="H1530" t="s">
        <v>2140</v>
      </c>
      <c r="I1530" t="s">
        <v>842</v>
      </c>
      <c r="J1530">
        <v>2</v>
      </c>
      <c r="L1530">
        <v>225.05</v>
      </c>
      <c r="M1530">
        <v>383.52</v>
      </c>
      <c r="N1530">
        <v>516.45000000000005</v>
      </c>
      <c r="O1530">
        <v>760.18</v>
      </c>
      <c r="P1530">
        <v>0</v>
      </c>
      <c r="Q1530">
        <v>1</v>
      </c>
      <c r="R1530">
        <v>0</v>
      </c>
      <c r="T1530" t="b">
        <v>1</v>
      </c>
    </row>
    <row r="1531" spans="2:20" x14ac:dyDescent="0.35">
      <c r="B1531">
        <v>2014</v>
      </c>
      <c r="C1531" s="41">
        <v>42795</v>
      </c>
      <c r="D1531" t="s">
        <v>2139</v>
      </c>
      <c r="E1531" t="s">
        <v>219</v>
      </c>
      <c r="F1531" t="s">
        <v>1309</v>
      </c>
      <c r="G1531" t="s">
        <v>1299</v>
      </c>
      <c r="H1531" t="s">
        <v>2140</v>
      </c>
      <c r="I1531" t="s">
        <v>842</v>
      </c>
      <c r="J1531">
        <v>2</v>
      </c>
      <c r="L1531">
        <v>197.38</v>
      </c>
      <c r="M1531">
        <v>336.37</v>
      </c>
      <c r="N1531">
        <v>452.94</v>
      </c>
      <c r="O1531">
        <v>666.7</v>
      </c>
      <c r="P1531">
        <v>0</v>
      </c>
      <c r="Q1531">
        <v>1</v>
      </c>
      <c r="R1531">
        <v>0</v>
      </c>
      <c r="T1531" t="b">
        <v>1</v>
      </c>
    </row>
    <row r="1532" spans="2:20" x14ac:dyDescent="0.35">
      <c r="B1532">
        <v>2014</v>
      </c>
      <c r="C1532" s="41">
        <v>42795</v>
      </c>
      <c r="D1532" t="s">
        <v>286</v>
      </c>
      <c r="E1532" t="s">
        <v>219</v>
      </c>
      <c r="F1532" t="s">
        <v>1311</v>
      </c>
      <c r="G1532" t="s">
        <v>1299</v>
      </c>
      <c r="H1532" t="s">
        <v>265</v>
      </c>
      <c r="I1532" t="s">
        <v>310</v>
      </c>
      <c r="J1532">
        <v>2</v>
      </c>
      <c r="L1532">
        <v>206.25</v>
      </c>
      <c r="M1532">
        <v>351.49</v>
      </c>
      <c r="N1532">
        <v>473.31</v>
      </c>
      <c r="O1532">
        <v>696.68</v>
      </c>
      <c r="P1532">
        <v>0</v>
      </c>
      <c r="Q1532">
        <v>1</v>
      </c>
      <c r="R1532">
        <v>0</v>
      </c>
      <c r="T1532" t="b">
        <v>1</v>
      </c>
    </row>
    <row r="1533" spans="2:20" x14ac:dyDescent="0.35">
      <c r="B1533">
        <v>2014</v>
      </c>
      <c r="C1533" s="41">
        <v>42795</v>
      </c>
      <c r="D1533" t="s">
        <v>286</v>
      </c>
      <c r="E1533" t="s">
        <v>219</v>
      </c>
      <c r="F1533" t="s">
        <v>1309</v>
      </c>
      <c r="G1533" t="s">
        <v>1299</v>
      </c>
      <c r="H1533" t="s">
        <v>265</v>
      </c>
      <c r="I1533" t="s">
        <v>310</v>
      </c>
      <c r="J1533">
        <v>2</v>
      </c>
      <c r="L1533">
        <v>227.32</v>
      </c>
      <c r="M1533">
        <v>387.41</v>
      </c>
      <c r="N1533">
        <v>521.67999999999995</v>
      </c>
      <c r="O1533">
        <v>767.88</v>
      </c>
      <c r="P1533">
        <v>0</v>
      </c>
      <c r="Q1533">
        <v>1</v>
      </c>
      <c r="R1533">
        <v>0</v>
      </c>
      <c r="T1533" t="b">
        <v>1</v>
      </c>
    </row>
    <row r="1534" spans="2:20" x14ac:dyDescent="0.35">
      <c r="B1534">
        <v>2014</v>
      </c>
      <c r="C1534" s="41">
        <v>42795</v>
      </c>
      <c r="D1534" t="s">
        <v>286</v>
      </c>
      <c r="E1534" t="s">
        <v>219</v>
      </c>
      <c r="F1534" t="s">
        <v>1301</v>
      </c>
      <c r="G1534" t="s">
        <v>1299</v>
      </c>
      <c r="H1534" t="s">
        <v>265</v>
      </c>
      <c r="I1534" t="s">
        <v>310</v>
      </c>
      <c r="J1534">
        <v>2</v>
      </c>
      <c r="L1534">
        <v>259.19</v>
      </c>
      <c r="M1534">
        <v>441.71</v>
      </c>
      <c r="N1534">
        <v>594.80999999999995</v>
      </c>
      <c r="O1534">
        <v>875.52</v>
      </c>
      <c r="P1534">
        <v>0</v>
      </c>
      <c r="Q1534">
        <v>1</v>
      </c>
      <c r="R1534">
        <v>0</v>
      </c>
      <c r="T1534" t="b">
        <v>1</v>
      </c>
    </row>
    <row r="1535" spans="2:20" x14ac:dyDescent="0.35">
      <c r="B1535">
        <v>2014</v>
      </c>
      <c r="C1535" s="41">
        <v>42795</v>
      </c>
      <c r="D1535" t="s">
        <v>2141</v>
      </c>
      <c r="E1535" t="s">
        <v>219</v>
      </c>
      <c r="F1535" t="s">
        <v>1311</v>
      </c>
      <c r="G1535" t="s">
        <v>1299</v>
      </c>
      <c r="H1535" t="s">
        <v>261</v>
      </c>
      <c r="I1535" t="s">
        <v>310</v>
      </c>
      <c r="J1535">
        <v>2</v>
      </c>
      <c r="L1535">
        <v>196.57</v>
      </c>
      <c r="M1535">
        <v>335</v>
      </c>
      <c r="N1535">
        <v>451.11</v>
      </c>
      <c r="O1535">
        <v>664</v>
      </c>
      <c r="P1535">
        <v>1</v>
      </c>
      <c r="Q1535">
        <v>1</v>
      </c>
      <c r="R1535">
        <v>0</v>
      </c>
      <c r="T1535" t="b">
        <v>1</v>
      </c>
    </row>
    <row r="1536" spans="2:20" x14ac:dyDescent="0.35">
      <c r="B1536">
        <v>2014</v>
      </c>
      <c r="C1536" s="41">
        <v>42795</v>
      </c>
      <c r="D1536" t="s">
        <v>2141</v>
      </c>
      <c r="E1536" t="s">
        <v>219</v>
      </c>
      <c r="F1536" t="s">
        <v>1301</v>
      </c>
      <c r="G1536" t="s">
        <v>1299</v>
      </c>
      <c r="H1536" t="s">
        <v>261</v>
      </c>
      <c r="I1536" t="s">
        <v>310</v>
      </c>
      <c r="J1536">
        <v>2</v>
      </c>
      <c r="L1536">
        <v>247.03</v>
      </c>
      <c r="M1536">
        <v>420.99</v>
      </c>
      <c r="N1536">
        <v>566.9</v>
      </c>
      <c r="O1536">
        <v>834.44</v>
      </c>
      <c r="P1536">
        <v>1</v>
      </c>
      <c r="Q1536">
        <v>1</v>
      </c>
      <c r="R1536">
        <v>0</v>
      </c>
      <c r="T1536" t="b">
        <v>1</v>
      </c>
    </row>
    <row r="1537" spans="2:20" x14ac:dyDescent="0.35">
      <c r="B1537">
        <v>2014</v>
      </c>
      <c r="C1537" s="41">
        <v>42795</v>
      </c>
      <c r="D1537" t="s">
        <v>2141</v>
      </c>
      <c r="E1537" t="s">
        <v>219</v>
      </c>
      <c r="F1537" t="s">
        <v>1309</v>
      </c>
      <c r="G1537" t="s">
        <v>1299</v>
      </c>
      <c r="H1537" t="s">
        <v>261</v>
      </c>
      <c r="I1537" t="s">
        <v>310</v>
      </c>
      <c r="J1537">
        <v>2</v>
      </c>
      <c r="L1537">
        <v>216.66</v>
      </c>
      <c r="M1537">
        <v>369.23</v>
      </c>
      <c r="N1537">
        <v>497.21</v>
      </c>
      <c r="O1537">
        <v>731.86</v>
      </c>
      <c r="P1537">
        <v>1</v>
      </c>
      <c r="Q1537">
        <v>1</v>
      </c>
      <c r="R1537">
        <v>0</v>
      </c>
      <c r="T1537" t="b">
        <v>1</v>
      </c>
    </row>
    <row r="1538" spans="2:20" x14ac:dyDescent="0.35">
      <c r="B1538">
        <v>2014</v>
      </c>
      <c r="C1538" s="41">
        <v>42795</v>
      </c>
      <c r="D1538" t="s">
        <v>2142</v>
      </c>
      <c r="E1538" t="s">
        <v>219</v>
      </c>
      <c r="F1538" t="s">
        <v>1309</v>
      </c>
      <c r="G1538" t="s">
        <v>1299</v>
      </c>
      <c r="H1538" t="s">
        <v>261</v>
      </c>
      <c r="I1538" t="s">
        <v>310</v>
      </c>
      <c r="J1538">
        <v>2</v>
      </c>
      <c r="L1538">
        <v>216.66</v>
      </c>
      <c r="M1538">
        <v>369.23</v>
      </c>
      <c r="N1538">
        <v>497.21</v>
      </c>
      <c r="O1538">
        <v>731.86</v>
      </c>
      <c r="P1538">
        <v>1</v>
      </c>
      <c r="Q1538">
        <v>1</v>
      </c>
      <c r="R1538">
        <v>0</v>
      </c>
      <c r="T1538" t="b">
        <v>1</v>
      </c>
    </row>
    <row r="1539" spans="2:20" x14ac:dyDescent="0.35">
      <c r="B1539">
        <v>2014</v>
      </c>
      <c r="C1539" s="41">
        <v>42795</v>
      </c>
      <c r="D1539" t="s">
        <v>2142</v>
      </c>
      <c r="E1539" t="s">
        <v>219</v>
      </c>
      <c r="F1539" t="s">
        <v>1301</v>
      </c>
      <c r="G1539" t="s">
        <v>1299</v>
      </c>
      <c r="H1539" t="s">
        <v>261</v>
      </c>
      <c r="I1539" t="s">
        <v>310</v>
      </c>
      <c r="J1539">
        <v>2</v>
      </c>
      <c r="L1539">
        <v>247.03</v>
      </c>
      <c r="M1539">
        <v>420.99</v>
      </c>
      <c r="N1539">
        <v>566.9</v>
      </c>
      <c r="O1539">
        <v>834.44</v>
      </c>
      <c r="P1539">
        <v>1</v>
      </c>
      <c r="Q1539">
        <v>1</v>
      </c>
      <c r="R1539">
        <v>0</v>
      </c>
      <c r="T1539" t="b">
        <v>1</v>
      </c>
    </row>
    <row r="1540" spans="2:20" x14ac:dyDescent="0.35">
      <c r="B1540">
        <v>2014</v>
      </c>
      <c r="C1540" s="41">
        <v>42795</v>
      </c>
      <c r="D1540" t="s">
        <v>2142</v>
      </c>
      <c r="E1540" t="s">
        <v>219</v>
      </c>
      <c r="F1540" t="s">
        <v>1311</v>
      </c>
      <c r="G1540" t="s">
        <v>1299</v>
      </c>
      <c r="H1540" t="s">
        <v>261</v>
      </c>
      <c r="I1540" t="s">
        <v>310</v>
      </c>
      <c r="J1540">
        <v>2</v>
      </c>
      <c r="L1540">
        <v>196.57</v>
      </c>
      <c r="M1540">
        <v>335</v>
      </c>
      <c r="N1540">
        <v>451.11</v>
      </c>
      <c r="O1540">
        <v>664</v>
      </c>
      <c r="P1540">
        <v>1</v>
      </c>
      <c r="Q1540">
        <v>1</v>
      </c>
      <c r="R1540">
        <v>0</v>
      </c>
      <c r="T1540" t="b">
        <v>1</v>
      </c>
    </row>
    <row r="1541" spans="2:20" x14ac:dyDescent="0.35">
      <c r="B1541">
        <v>2014</v>
      </c>
      <c r="C1541" s="41">
        <v>42795</v>
      </c>
      <c r="D1541" t="s">
        <v>282</v>
      </c>
      <c r="E1541" t="s">
        <v>219</v>
      </c>
      <c r="F1541" t="s">
        <v>1309</v>
      </c>
      <c r="G1541" t="s">
        <v>1299</v>
      </c>
      <c r="H1541" t="s">
        <v>261</v>
      </c>
      <c r="I1541" t="s">
        <v>310</v>
      </c>
      <c r="J1541">
        <v>2</v>
      </c>
      <c r="L1541">
        <v>216.66</v>
      </c>
      <c r="M1541">
        <v>369.23</v>
      </c>
      <c r="N1541">
        <v>497.21</v>
      </c>
      <c r="O1541">
        <v>731.86</v>
      </c>
      <c r="P1541">
        <v>0</v>
      </c>
      <c r="Q1541">
        <v>1</v>
      </c>
      <c r="R1541">
        <v>0</v>
      </c>
      <c r="T1541" t="b">
        <v>1</v>
      </c>
    </row>
    <row r="1542" spans="2:20" x14ac:dyDescent="0.35">
      <c r="B1542">
        <v>2014</v>
      </c>
      <c r="C1542" s="41">
        <v>42795</v>
      </c>
      <c r="D1542" t="s">
        <v>282</v>
      </c>
      <c r="E1542" t="s">
        <v>219</v>
      </c>
      <c r="F1542" t="s">
        <v>1311</v>
      </c>
      <c r="G1542" t="s">
        <v>1299</v>
      </c>
      <c r="H1542" t="s">
        <v>261</v>
      </c>
      <c r="I1542" t="s">
        <v>310</v>
      </c>
      <c r="J1542">
        <v>2</v>
      </c>
      <c r="L1542">
        <v>196.57</v>
      </c>
      <c r="M1542">
        <v>335</v>
      </c>
      <c r="N1542">
        <v>451.11</v>
      </c>
      <c r="O1542">
        <v>664</v>
      </c>
      <c r="P1542">
        <v>0</v>
      </c>
      <c r="Q1542">
        <v>1</v>
      </c>
      <c r="R1542">
        <v>0</v>
      </c>
      <c r="T1542" t="b">
        <v>1</v>
      </c>
    </row>
    <row r="1543" spans="2:20" x14ac:dyDescent="0.35">
      <c r="B1543">
        <v>2014</v>
      </c>
      <c r="C1543" s="41">
        <v>42795</v>
      </c>
      <c r="D1543" t="s">
        <v>282</v>
      </c>
      <c r="E1543" t="s">
        <v>219</v>
      </c>
      <c r="F1543" t="s">
        <v>1301</v>
      </c>
      <c r="G1543" t="s">
        <v>1299</v>
      </c>
      <c r="H1543" t="s">
        <v>261</v>
      </c>
      <c r="I1543" t="s">
        <v>310</v>
      </c>
      <c r="J1543">
        <v>2</v>
      </c>
      <c r="L1543">
        <v>247.03</v>
      </c>
      <c r="M1543">
        <v>420.99</v>
      </c>
      <c r="N1543">
        <v>566.9</v>
      </c>
      <c r="O1543">
        <v>834.44</v>
      </c>
      <c r="P1543">
        <v>0</v>
      </c>
      <c r="Q1543">
        <v>1</v>
      </c>
      <c r="R1543">
        <v>0</v>
      </c>
      <c r="T1543" t="b">
        <v>1</v>
      </c>
    </row>
    <row r="1544" spans="2:20" x14ac:dyDescent="0.35">
      <c r="B1544">
        <v>2014</v>
      </c>
      <c r="C1544" s="41">
        <v>42795</v>
      </c>
      <c r="D1544" t="s">
        <v>2143</v>
      </c>
      <c r="E1544" t="s">
        <v>219</v>
      </c>
      <c r="F1544" t="s">
        <v>1309</v>
      </c>
      <c r="G1544" t="s">
        <v>1299</v>
      </c>
      <c r="H1544" t="s">
        <v>265</v>
      </c>
      <c r="I1544" t="s">
        <v>310</v>
      </c>
      <c r="J1544">
        <v>2</v>
      </c>
      <c r="L1544">
        <v>227.32</v>
      </c>
      <c r="M1544">
        <v>387.41</v>
      </c>
      <c r="N1544">
        <v>521.67999999999995</v>
      </c>
      <c r="O1544">
        <v>767.88</v>
      </c>
      <c r="P1544">
        <v>1</v>
      </c>
      <c r="Q1544">
        <v>1</v>
      </c>
      <c r="R1544">
        <v>0</v>
      </c>
      <c r="T1544" t="b">
        <v>1</v>
      </c>
    </row>
    <row r="1545" spans="2:20" x14ac:dyDescent="0.35">
      <c r="B1545">
        <v>2014</v>
      </c>
      <c r="C1545" s="41">
        <v>42795</v>
      </c>
      <c r="D1545" t="s">
        <v>2143</v>
      </c>
      <c r="E1545" t="s">
        <v>219</v>
      </c>
      <c r="F1545" t="s">
        <v>1311</v>
      </c>
      <c r="G1545" t="s">
        <v>1299</v>
      </c>
      <c r="H1545" t="s">
        <v>265</v>
      </c>
      <c r="I1545" t="s">
        <v>310</v>
      </c>
      <c r="J1545">
        <v>2</v>
      </c>
      <c r="L1545">
        <v>206.25</v>
      </c>
      <c r="M1545">
        <v>351.49</v>
      </c>
      <c r="N1545">
        <v>473.31</v>
      </c>
      <c r="O1545">
        <v>696.68</v>
      </c>
      <c r="P1545">
        <v>1</v>
      </c>
      <c r="Q1545">
        <v>1</v>
      </c>
      <c r="R1545">
        <v>0</v>
      </c>
      <c r="T1545" t="b">
        <v>1</v>
      </c>
    </row>
    <row r="1546" spans="2:20" x14ac:dyDescent="0.35">
      <c r="B1546">
        <v>2014</v>
      </c>
      <c r="C1546" s="41">
        <v>42795</v>
      </c>
      <c r="D1546" t="s">
        <v>2143</v>
      </c>
      <c r="E1546" t="s">
        <v>219</v>
      </c>
      <c r="F1546" t="s">
        <v>1301</v>
      </c>
      <c r="G1546" t="s">
        <v>1299</v>
      </c>
      <c r="H1546" t="s">
        <v>265</v>
      </c>
      <c r="I1546" t="s">
        <v>310</v>
      </c>
      <c r="J1546">
        <v>2</v>
      </c>
      <c r="L1546">
        <v>259.19</v>
      </c>
      <c r="M1546">
        <v>441.71</v>
      </c>
      <c r="N1546">
        <v>594.80999999999995</v>
      </c>
      <c r="O1546">
        <v>875.52</v>
      </c>
      <c r="P1546">
        <v>1</v>
      </c>
      <c r="Q1546">
        <v>1</v>
      </c>
      <c r="R1546">
        <v>0</v>
      </c>
      <c r="T1546" t="b">
        <v>1</v>
      </c>
    </row>
    <row r="1547" spans="2:20" x14ac:dyDescent="0.35">
      <c r="B1547">
        <v>2014</v>
      </c>
      <c r="C1547" s="41">
        <v>42795</v>
      </c>
      <c r="D1547" t="s">
        <v>2144</v>
      </c>
      <c r="E1547" t="s">
        <v>219</v>
      </c>
      <c r="F1547" t="s">
        <v>1311</v>
      </c>
      <c r="G1547" t="s">
        <v>1299</v>
      </c>
      <c r="H1547" t="s">
        <v>262</v>
      </c>
      <c r="I1547" t="s">
        <v>310</v>
      </c>
      <c r="J1547">
        <v>2</v>
      </c>
      <c r="L1547">
        <v>199.04</v>
      </c>
      <c r="M1547">
        <v>339.21</v>
      </c>
      <c r="N1547">
        <v>456.77</v>
      </c>
      <c r="O1547">
        <v>672.33999999999901</v>
      </c>
      <c r="P1547">
        <v>1</v>
      </c>
      <c r="Q1547">
        <v>1</v>
      </c>
      <c r="R1547">
        <v>0</v>
      </c>
      <c r="T1547" t="b">
        <v>1</v>
      </c>
    </row>
    <row r="1548" spans="2:20" x14ac:dyDescent="0.35">
      <c r="B1548">
        <v>2014</v>
      </c>
      <c r="C1548" s="41">
        <v>42795</v>
      </c>
      <c r="D1548" t="s">
        <v>2144</v>
      </c>
      <c r="E1548" t="s">
        <v>219</v>
      </c>
      <c r="F1548" t="s">
        <v>1301</v>
      </c>
      <c r="G1548" t="s">
        <v>1299</v>
      </c>
      <c r="H1548" t="s">
        <v>262</v>
      </c>
      <c r="I1548" t="s">
        <v>310</v>
      </c>
      <c r="J1548">
        <v>2</v>
      </c>
      <c r="L1548">
        <v>250.14</v>
      </c>
      <c r="M1548">
        <v>426.28</v>
      </c>
      <c r="N1548">
        <v>574.02</v>
      </c>
      <c r="O1548">
        <v>844.92</v>
      </c>
      <c r="P1548">
        <v>1</v>
      </c>
      <c r="Q1548">
        <v>1</v>
      </c>
      <c r="R1548">
        <v>0</v>
      </c>
      <c r="T1548" t="b">
        <v>1</v>
      </c>
    </row>
    <row r="1549" spans="2:20" x14ac:dyDescent="0.35">
      <c r="B1549">
        <v>2014</v>
      </c>
      <c r="C1549" s="41">
        <v>42795</v>
      </c>
      <c r="D1549" t="s">
        <v>2144</v>
      </c>
      <c r="E1549" t="s">
        <v>219</v>
      </c>
      <c r="F1549" t="s">
        <v>1309</v>
      </c>
      <c r="G1549" t="s">
        <v>1299</v>
      </c>
      <c r="H1549" t="s">
        <v>262</v>
      </c>
      <c r="I1549" t="s">
        <v>310</v>
      </c>
      <c r="J1549">
        <v>2</v>
      </c>
      <c r="L1549">
        <v>219.38</v>
      </c>
      <c r="M1549">
        <v>373.87</v>
      </c>
      <c r="N1549">
        <v>503.46</v>
      </c>
      <c r="O1549">
        <v>741.06</v>
      </c>
      <c r="P1549">
        <v>1</v>
      </c>
      <c r="Q1549">
        <v>1</v>
      </c>
      <c r="R1549">
        <v>0</v>
      </c>
      <c r="T1549" t="b">
        <v>1</v>
      </c>
    </row>
    <row r="1550" spans="2:20" x14ac:dyDescent="0.35">
      <c r="B1550">
        <v>2014</v>
      </c>
      <c r="C1550" s="41">
        <v>42795</v>
      </c>
      <c r="D1550" t="s">
        <v>2145</v>
      </c>
      <c r="E1550" t="s">
        <v>219</v>
      </c>
      <c r="F1550" t="s">
        <v>1311</v>
      </c>
      <c r="G1550" t="s">
        <v>1299</v>
      </c>
      <c r="H1550" t="s">
        <v>262</v>
      </c>
      <c r="I1550" t="s">
        <v>310</v>
      </c>
      <c r="J1550">
        <v>2</v>
      </c>
      <c r="L1550">
        <v>199.04</v>
      </c>
      <c r="M1550">
        <v>339.21</v>
      </c>
      <c r="N1550">
        <v>456.77</v>
      </c>
      <c r="O1550">
        <v>672.33999999999901</v>
      </c>
      <c r="P1550">
        <v>1</v>
      </c>
      <c r="Q1550">
        <v>1</v>
      </c>
      <c r="R1550">
        <v>0</v>
      </c>
      <c r="T1550" t="b">
        <v>1</v>
      </c>
    </row>
    <row r="1551" spans="2:20" x14ac:dyDescent="0.35">
      <c r="B1551">
        <v>2014</v>
      </c>
      <c r="C1551" s="41">
        <v>42795</v>
      </c>
      <c r="D1551" t="s">
        <v>2145</v>
      </c>
      <c r="E1551" t="s">
        <v>219</v>
      </c>
      <c r="F1551" t="s">
        <v>1309</v>
      </c>
      <c r="G1551" t="s">
        <v>1299</v>
      </c>
      <c r="H1551" t="s">
        <v>262</v>
      </c>
      <c r="I1551" t="s">
        <v>310</v>
      </c>
      <c r="J1551">
        <v>2</v>
      </c>
      <c r="L1551">
        <v>219.38</v>
      </c>
      <c r="M1551">
        <v>373.87</v>
      </c>
      <c r="N1551">
        <v>503.46</v>
      </c>
      <c r="O1551">
        <v>741.06</v>
      </c>
      <c r="P1551">
        <v>1</v>
      </c>
      <c r="Q1551">
        <v>1</v>
      </c>
      <c r="R1551">
        <v>0</v>
      </c>
      <c r="T1551" t="b">
        <v>1</v>
      </c>
    </row>
    <row r="1552" spans="2:20" x14ac:dyDescent="0.35">
      <c r="B1552">
        <v>2014</v>
      </c>
      <c r="C1552" s="41">
        <v>42795</v>
      </c>
      <c r="D1552" t="s">
        <v>2145</v>
      </c>
      <c r="E1552" t="s">
        <v>219</v>
      </c>
      <c r="F1552" t="s">
        <v>1301</v>
      </c>
      <c r="G1552" t="s">
        <v>1299</v>
      </c>
      <c r="H1552" t="s">
        <v>262</v>
      </c>
      <c r="I1552" t="s">
        <v>310</v>
      </c>
      <c r="J1552">
        <v>2</v>
      </c>
      <c r="L1552">
        <v>250.14</v>
      </c>
      <c r="M1552">
        <v>426.28</v>
      </c>
      <c r="N1552">
        <v>574.02</v>
      </c>
      <c r="O1552">
        <v>844.92</v>
      </c>
      <c r="P1552">
        <v>1</v>
      </c>
      <c r="Q1552">
        <v>1</v>
      </c>
      <c r="R1552">
        <v>0</v>
      </c>
      <c r="T1552" t="b">
        <v>1</v>
      </c>
    </row>
    <row r="1553" spans="2:20" x14ac:dyDescent="0.35">
      <c r="B1553">
        <v>2014</v>
      </c>
      <c r="C1553" s="41">
        <v>42795</v>
      </c>
      <c r="D1553" t="s">
        <v>2146</v>
      </c>
      <c r="E1553" t="s">
        <v>219</v>
      </c>
      <c r="F1553" t="s">
        <v>1301</v>
      </c>
      <c r="G1553" t="s">
        <v>1299</v>
      </c>
      <c r="H1553" t="s">
        <v>262</v>
      </c>
      <c r="I1553" t="s">
        <v>310</v>
      </c>
      <c r="J1553">
        <v>2</v>
      </c>
      <c r="L1553">
        <v>250.14</v>
      </c>
      <c r="M1553">
        <v>426.28</v>
      </c>
      <c r="N1553">
        <v>574.02</v>
      </c>
      <c r="O1553">
        <v>844.92</v>
      </c>
      <c r="P1553">
        <v>1</v>
      </c>
      <c r="Q1553">
        <v>1</v>
      </c>
      <c r="R1553">
        <v>0</v>
      </c>
      <c r="T1553" t="b">
        <v>1</v>
      </c>
    </row>
    <row r="1554" spans="2:20" x14ac:dyDescent="0.35">
      <c r="B1554">
        <v>2014</v>
      </c>
      <c r="C1554" s="41">
        <v>42795</v>
      </c>
      <c r="D1554" t="s">
        <v>2146</v>
      </c>
      <c r="E1554" t="s">
        <v>219</v>
      </c>
      <c r="F1554" t="s">
        <v>1309</v>
      </c>
      <c r="G1554" t="s">
        <v>1299</v>
      </c>
      <c r="H1554" t="s">
        <v>262</v>
      </c>
      <c r="I1554" t="s">
        <v>310</v>
      </c>
      <c r="J1554">
        <v>2</v>
      </c>
      <c r="L1554">
        <v>219.38</v>
      </c>
      <c r="M1554">
        <v>373.87</v>
      </c>
      <c r="N1554">
        <v>503.46</v>
      </c>
      <c r="O1554">
        <v>741.06</v>
      </c>
      <c r="P1554">
        <v>1</v>
      </c>
      <c r="Q1554">
        <v>1</v>
      </c>
      <c r="R1554">
        <v>0</v>
      </c>
      <c r="T1554" t="b">
        <v>1</v>
      </c>
    </row>
    <row r="1555" spans="2:20" x14ac:dyDescent="0.35">
      <c r="B1555">
        <v>2014</v>
      </c>
      <c r="C1555" s="41">
        <v>42795</v>
      </c>
      <c r="D1555" t="s">
        <v>2146</v>
      </c>
      <c r="E1555" t="s">
        <v>219</v>
      </c>
      <c r="F1555" t="s">
        <v>1311</v>
      </c>
      <c r="G1555" t="s">
        <v>1299</v>
      </c>
      <c r="H1555" t="s">
        <v>262</v>
      </c>
      <c r="I1555" t="s">
        <v>310</v>
      </c>
      <c r="J1555">
        <v>2</v>
      </c>
      <c r="L1555">
        <v>199.04</v>
      </c>
      <c r="M1555">
        <v>339.21</v>
      </c>
      <c r="N1555">
        <v>456.77</v>
      </c>
      <c r="O1555">
        <v>672.33999999999901</v>
      </c>
      <c r="P1555">
        <v>1</v>
      </c>
      <c r="Q1555">
        <v>1</v>
      </c>
      <c r="R1555">
        <v>0</v>
      </c>
      <c r="T1555" t="b">
        <v>1</v>
      </c>
    </row>
    <row r="1556" spans="2:20" x14ac:dyDescent="0.35">
      <c r="B1556">
        <v>2014</v>
      </c>
      <c r="C1556" s="41">
        <v>42795</v>
      </c>
      <c r="D1556" t="s">
        <v>283</v>
      </c>
      <c r="E1556" t="s">
        <v>219</v>
      </c>
      <c r="F1556" t="s">
        <v>1301</v>
      </c>
      <c r="G1556" t="s">
        <v>1299</v>
      </c>
      <c r="H1556" t="s">
        <v>262</v>
      </c>
      <c r="I1556" t="s">
        <v>310</v>
      </c>
      <c r="J1556">
        <v>2</v>
      </c>
      <c r="L1556">
        <v>250.14</v>
      </c>
      <c r="M1556">
        <v>426.28</v>
      </c>
      <c r="N1556">
        <v>574.02</v>
      </c>
      <c r="O1556">
        <v>844.92</v>
      </c>
      <c r="P1556">
        <v>0</v>
      </c>
      <c r="Q1556">
        <v>1</v>
      </c>
      <c r="R1556">
        <v>0</v>
      </c>
      <c r="T1556" t="b">
        <v>1</v>
      </c>
    </row>
    <row r="1557" spans="2:20" x14ac:dyDescent="0.35">
      <c r="B1557">
        <v>2014</v>
      </c>
      <c r="C1557" s="41">
        <v>42795</v>
      </c>
      <c r="D1557" t="s">
        <v>283</v>
      </c>
      <c r="E1557" t="s">
        <v>219</v>
      </c>
      <c r="F1557" t="s">
        <v>1309</v>
      </c>
      <c r="G1557" t="s">
        <v>1299</v>
      </c>
      <c r="H1557" t="s">
        <v>262</v>
      </c>
      <c r="I1557" t="s">
        <v>310</v>
      </c>
      <c r="J1557">
        <v>2</v>
      </c>
      <c r="L1557">
        <v>219.38</v>
      </c>
      <c r="M1557">
        <v>373.87</v>
      </c>
      <c r="N1557">
        <v>503.46</v>
      </c>
      <c r="O1557">
        <v>741.06</v>
      </c>
      <c r="P1557">
        <v>0</v>
      </c>
      <c r="Q1557">
        <v>1</v>
      </c>
      <c r="R1557">
        <v>0</v>
      </c>
      <c r="T1557" t="b">
        <v>1</v>
      </c>
    </row>
    <row r="1558" spans="2:20" x14ac:dyDescent="0.35">
      <c r="B1558">
        <v>2014</v>
      </c>
      <c r="C1558" s="41">
        <v>42795</v>
      </c>
      <c r="D1558" t="s">
        <v>283</v>
      </c>
      <c r="E1558" t="s">
        <v>219</v>
      </c>
      <c r="F1558" t="s">
        <v>1311</v>
      </c>
      <c r="G1558" t="s">
        <v>1299</v>
      </c>
      <c r="H1558" t="s">
        <v>262</v>
      </c>
      <c r="I1558" t="s">
        <v>310</v>
      </c>
      <c r="J1558">
        <v>2</v>
      </c>
      <c r="L1558">
        <v>199.04</v>
      </c>
      <c r="M1558">
        <v>339.21</v>
      </c>
      <c r="N1558">
        <v>456.77</v>
      </c>
      <c r="O1558">
        <v>672.33999999999901</v>
      </c>
      <c r="P1558">
        <v>0</v>
      </c>
      <c r="Q1558">
        <v>1</v>
      </c>
      <c r="R1558">
        <v>0</v>
      </c>
      <c r="T1558" t="b">
        <v>1</v>
      </c>
    </row>
    <row r="1559" spans="2:20" x14ac:dyDescent="0.35">
      <c r="B1559">
        <v>2014</v>
      </c>
      <c r="C1559" s="41">
        <v>42795</v>
      </c>
      <c r="D1559" t="s">
        <v>2147</v>
      </c>
      <c r="E1559" t="s">
        <v>219</v>
      </c>
      <c r="F1559" t="s">
        <v>1311</v>
      </c>
      <c r="G1559" t="s">
        <v>1299</v>
      </c>
      <c r="H1559" t="s">
        <v>213</v>
      </c>
      <c r="I1559" t="s">
        <v>310</v>
      </c>
      <c r="J1559">
        <v>2</v>
      </c>
      <c r="L1559">
        <v>209.13</v>
      </c>
      <c r="M1559">
        <v>356.4</v>
      </c>
      <c r="N1559">
        <v>479.93</v>
      </c>
      <c r="O1559">
        <v>706.42</v>
      </c>
      <c r="P1559">
        <v>1</v>
      </c>
      <c r="Q1559">
        <v>1</v>
      </c>
      <c r="R1559">
        <v>0</v>
      </c>
      <c r="T1559" t="b">
        <v>1</v>
      </c>
    </row>
    <row r="1560" spans="2:20" x14ac:dyDescent="0.35">
      <c r="B1560">
        <v>2014</v>
      </c>
      <c r="C1560" s="41">
        <v>42795</v>
      </c>
      <c r="D1560" t="s">
        <v>2147</v>
      </c>
      <c r="E1560" t="s">
        <v>219</v>
      </c>
      <c r="F1560" t="s">
        <v>1301</v>
      </c>
      <c r="G1560" t="s">
        <v>1299</v>
      </c>
      <c r="H1560" t="s">
        <v>213</v>
      </c>
      <c r="I1560" t="s">
        <v>310</v>
      </c>
      <c r="J1560">
        <v>2</v>
      </c>
      <c r="L1560">
        <v>262.81</v>
      </c>
      <c r="M1560">
        <v>447.88</v>
      </c>
      <c r="N1560">
        <v>603.11</v>
      </c>
      <c r="O1560">
        <v>887.74</v>
      </c>
      <c r="P1560">
        <v>1</v>
      </c>
      <c r="Q1560">
        <v>1</v>
      </c>
      <c r="R1560">
        <v>0</v>
      </c>
      <c r="T1560" t="b">
        <v>1</v>
      </c>
    </row>
    <row r="1561" spans="2:20" x14ac:dyDescent="0.35">
      <c r="B1561">
        <v>2014</v>
      </c>
      <c r="C1561" s="41">
        <v>42795</v>
      </c>
      <c r="D1561" t="s">
        <v>2147</v>
      </c>
      <c r="E1561" t="s">
        <v>219</v>
      </c>
      <c r="F1561" t="s">
        <v>1309</v>
      </c>
      <c r="G1561" t="s">
        <v>1299</v>
      </c>
      <c r="H1561" t="s">
        <v>213</v>
      </c>
      <c r="I1561" t="s">
        <v>310</v>
      </c>
      <c r="J1561">
        <v>2</v>
      </c>
      <c r="L1561">
        <v>230.5</v>
      </c>
      <c r="M1561">
        <v>392.82</v>
      </c>
      <c r="N1561">
        <v>528.96</v>
      </c>
      <c r="O1561">
        <v>778.599999999999</v>
      </c>
      <c r="P1561">
        <v>1</v>
      </c>
      <c r="Q1561">
        <v>1</v>
      </c>
      <c r="R1561">
        <v>0</v>
      </c>
      <c r="T1561" t="b">
        <v>1</v>
      </c>
    </row>
    <row r="1562" spans="2:20" x14ac:dyDescent="0.35">
      <c r="B1562">
        <v>2014</v>
      </c>
      <c r="C1562" s="41">
        <v>42795</v>
      </c>
      <c r="D1562" t="s">
        <v>2148</v>
      </c>
      <c r="E1562" t="s">
        <v>219</v>
      </c>
      <c r="F1562" t="s">
        <v>1301</v>
      </c>
      <c r="G1562" t="s">
        <v>1299</v>
      </c>
      <c r="H1562" t="s">
        <v>213</v>
      </c>
      <c r="I1562" t="s">
        <v>310</v>
      </c>
      <c r="J1562">
        <v>2</v>
      </c>
      <c r="L1562">
        <v>262.81</v>
      </c>
      <c r="M1562">
        <v>447.88</v>
      </c>
      <c r="N1562">
        <v>603.11</v>
      </c>
      <c r="O1562">
        <v>887.74</v>
      </c>
      <c r="P1562">
        <v>1</v>
      </c>
      <c r="Q1562">
        <v>1</v>
      </c>
      <c r="R1562">
        <v>0</v>
      </c>
      <c r="T1562" t="b">
        <v>1</v>
      </c>
    </row>
    <row r="1563" spans="2:20" x14ac:dyDescent="0.35">
      <c r="B1563">
        <v>2014</v>
      </c>
      <c r="C1563" s="41">
        <v>42795</v>
      </c>
      <c r="D1563" t="s">
        <v>2148</v>
      </c>
      <c r="E1563" t="s">
        <v>219</v>
      </c>
      <c r="F1563" t="s">
        <v>1309</v>
      </c>
      <c r="G1563" t="s">
        <v>1299</v>
      </c>
      <c r="H1563" t="s">
        <v>213</v>
      </c>
      <c r="I1563" t="s">
        <v>310</v>
      </c>
      <c r="J1563">
        <v>2</v>
      </c>
      <c r="L1563">
        <v>230.5</v>
      </c>
      <c r="M1563">
        <v>392.82</v>
      </c>
      <c r="N1563">
        <v>528.96</v>
      </c>
      <c r="O1563">
        <v>778.599999999999</v>
      </c>
      <c r="P1563">
        <v>1</v>
      </c>
      <c r="Q1563">
        <v>1</v>
      </c>
      <c r="R1563">
        <v>0</v>
      </c>
      <c r="T1563" t="b">
        <v>1</v>
      </c>
    </row>
    <row r="1564" spans="2:20" x14ac:dyDescent="0.35">
      <c r="B1564">
        <v>2014</v>
      </c>
      <c r="C1564" s="41">
        <v>42795</v>
      </c>
      <c r="D1564" t="s">
        <v>2148</v>
      </c>
      <c r="E1564" t="s">
        <v>219</v>
      </c>
      <c r="F1564" t="s">
        <v>1311</v>
      </c>
      <c r="G1564" t="s">
        <v>1299</v>
      </c>
      <c r="H1564" t="s">
        <v>213</v>
      </c>
      <c r="I1564" t="s">
        <v>310</v>
      </c>
      <c r="J1564">
        <v>2</v>
      </c>
      <c r="L1564">
        <v>209.13</v>
      </c>
      <c r="M1564">
        <v>356.4</v>
      </c>
      <c r="N1564">
        <v>479.93</v>
      </c>
      <c r="O1564">
        <v>706.42</v>
      </c>
      <c r="P1564">
        <v>1</v>
      </c>
      <c r="Q1564">
        <v>1</v>
      </c>
      <c r="R1564">
        <v>0</v>
      </c>
      <c r="T1564" t="b">
        <v>1</v>
      </c>
    </row>
    <row r="1565" spans="2:20" x14ac:dyDescent="0.35">
      <c r="B1565">
        <v>2014</v>
      </c>
      <c r="C1565" s="41">
        <v>42795</v>
      </c>
      <c r="D1565" t="s">
        <v>2149</v>
      </c>
      <c r="E1565" t="s">
        <v>219</v>
      </c>
      <c r="F1565" t="s">
        <v>1311</v>
      </c>
      <c r="G1565" t="s">
        <v>1299</v>
      </c>
      <c r="H1565" t="s">
        <v>213</v>
      </c>
      <c r="I1565" t="s">
        <v>310</v>
      </c>
      <c r="J1565">
        <v>2</v>
      </c>
      <c r="L1565">
        <v>209.13</v>
      </c>
      <c r="M1565">
        <v>356.4</v>
      </c>
      <c r="N1565">
        <v>479.93</v>
      </c>
      <c r="O1565">
        <v>706.42</v>
      </c>
      <c r="P1565">
        <v>1</v>
      </c>
      <c r="Q1565">
        <v>1</v>
      </c>
      <c r="R1565">
        <v>0</v>
      </c>
      <c r="T1565" t="b">
        <v>1</v>
      </c>
    </row>
    <row r="1566" spans="2:20" x14ac:dyDescent="0.35">
      <c r="B1566">
        <v>2014</v>
      </c>
      <c r="C1566" s="41">
        <v>42795</v>
      </c>
      <c r="D1566" t="s">
        <v>2149</v>
      </c>
      <c r="E1566" t="s">
        <v>219</v>
      </c>
      <c r="F1566" t="s">
        <v>1309</v>
      </c>
      <c r="G1566" t="s">
        <v>1299</v>
      </c>
      <c r="H1566" t="s">
        <v>213</v>
      </c>
      <c r="I1566" t="s">
        <v>310</v>
      </c>
      <c r="J1566">
        <v>2</v>
      </c>
      <c r="L1566">
        <v>230.5</v>
      </c>
      <c r="M1566">
        <v>392.82</v>
      </c>
      <c r="N1566">
        <v>528.96</v>
      </c>
      <c r="O1566">
        <v>778.599999999999</v>
      </c>
      <c r="P1566">
        <v>1</v>
      </c>
      <c r="Q1566">
        <v>1</v>
      </c>
      <c r="R1566">
        <v>0</v>
      </c>
      <c r="T1566" t="b">
        <v>1</v>
      </c>
    </row>
    <row r="1567" spans="2:20" x14ac:dyDescent="0.35">
      <c r="B1567">
        <v>2014</v>
      </c>
      <c r="C1567" s="41">
        <v>42795</v>
      </c>
      <c r="D1567" t="s">
        <v>2149</v>
      </c>
      <c r="E1567" t="s">
        <v>219</v>
      </c>
      <c r="F1567" t="s">
        <v>1301</v>
      </c>
      <c r="G1567" t="s">
        <v>1299</v>
      </c>
      <c r="H1567" t="s">
        <v>213</v>
      </c>
      <c r="I1567" t="s">
        <v>310</v>
      </c>
      <c r="J1567">
        <v>2</v>
      </c>
      <c r="L1567">
        <v>262.81</v>
      </c>
      <c r="M1567">
        <v>447.88</v>
      </c>
      <c r="N1567">
        <v>603.11</v>
      </c>
      <c r="O1567">
        <v>887.74</v>
      </c>
      <c r="P1567">
        <v>1</v>
      </c>
      <c r="Q1567">
        <v>1</v>
      </c>
      <c r="R1567">
        <v>0</v>
      </c>
      <c r="T1567" t="b">
        <v>1</v>
      </c>
    </row>
    <row r="1568" spans="2:20" x14ac:dyDescent="0.35">
      <c r="B1568">
        <v>2014</v>
      </c>
      <c r="C1568" s="41">
        <v>42795</v>
      </c>
      <c r="D1568" t="s">
        <v>944</v>
      </c>
      <c r="E1568" t="s">
        <v>219</v>
      </c>
      <c r="F1568" t="s">
        <v>1311</v>
      </c>
      <c r="G1568" t="s">
        <v>1299</v>
      </c>
      <c r="H1568" t="s">
        <v>2150</v>
      </c>
      <c r="I1568" t="s">
        <v>843</v>
      </c>
      <c r="J1568">
        <v>2</v>
      </c>
      <c r="L1568">
        <v>245.77</v>
      </c>
      <c r="M1568">
        <v>418.84</v>
      </c>
      <c r="N1568">
        <v>564.01</v>
      </c>
      <c r="O1568">
        <v>830.18</v>
      </c>
      <c r="P1568">
        <v>0</v>
      </c>
      <c r="Q1568">
        <v>1</v>
      </c>
      <c r="R1568">
        <v>0</v>
      </c>
      <c r="T1568" t="b">
        <v>1</v>
      </c>
    </row>
    <row r="1569" spans="2:20" x14ac:dyDescent="0.35">
      <c r="B1569">
        <v>2014</v>
      </c>
      <c r="C1569" s="41">
        <v>42795</v>
      </c>
      <c r="D1569" t="s">
        <v>944</v>
      </c>
      <c r="E1569" t="s">
        <v>219</v>
      </c>
      <c r="F1569" t="s">
        <v>1301</v>
      </c>
      <c r="G1569" t="s">
        <v>1299</v>
      </c>
      <c r="H1569" t="s">
        <v>2150</v>
      </c>
      <c r="I1569" t="s">
        <v>843</v>
      </c>
      <c r="J1569">
        <v>2</v>
      </c>
      <c r="L1569">
        <v>308.86</v>
      </c>
      <c r="M1569">
        <v>526.35</v>
      </c>
      <c r="N1569">
        <v>708.77</v>
      </c>
      <c r="O1569">
        <v>1043.26</v>
      </c>
      <c r="P1569">
        <v>0</v>
      </c>
      <c r="Q1569">
        <v>1</v>
      </c>
      <c r="R1569">
        <v>0</v>
      </c>
      <c r="T1569" t="b">
        <v>1</v>
      </c>
    </row>
    <row r="1570" spans="2:20" x14ac:dyDescent="0.35">
      <c r="B1570">
        <v>2014</v>
      </c>
      <c r="C1570" s="41">
        <v>42795</v>
      </c>
      <c r="D1570" t="s">
        <v>944</v>
      </c>
      <c r="E1570" t="s">
        <v>219</v>
      </c>
      <c r="F1570" t="s">
        <v>1309</v>
      </c>
      <c r="G1570" t="s">
        <v>1299</v>
      </c>
      <c r="H1570" t="s">
        <v>2150</v>
      </c>
      <c r="I1570" t="s">
        <v>843</v>
      </c>
      <c r="J1570">
        <v>2</v>
      </c>
      <c r="L1570">
        <v>270.88</v>
      </c>
      <c r="M1570">
        <v>461.64</v>
      </c>
      <c r="N1570">
        <v>621.63</v>
      </c>
      <c r="O1570">
        <v>915</v>
      </c>
      <c r="P1570">
        <v>0</v>
      </c>
      <c r="Q1570">
        <v>1</v>
      </c>
      <c r="R1570">
        <v>0</v>
      </c>
      <c r="T1570" t="b">
        <v>1</v>
      </c>
    </row>
    <row r="1571" spans="2:20" x14ac:dyDescent="0.35">
      <c r="B1571">
        <v>2014</v>
      </c>
      <c r="C1571" s="41">
        <v>42795</v>
      </c>
      <c r="D1571" t="s">
        <v>2151</v>
      </c>
      <c r="E1571" t="s">
        <v>219</v>
      </c>
      <c r="F1571" t="s">
        <v>1309</v>
      </c>
      <c r="G1571" t="s">
        <v>1299</v>
      </c>
      <c r="H1571" t="s">
        <v>214</v>
      </c>
      <c r="I1571" t="s">
        <v>310</v>
      </c>
      <c r="J1571">
        <v>2</v>
      </c>
      <c r="L1571">
        <v>234.81</v>
      </c>
      <c r="M1571">
        <v>400.17</v>
      </c>
      <c r="N1571">
        <v>538.87</v>
      </c>
      <c r="O1571">
        <v>793.18</v>
      </c>
      <c r="P1571">
        <v>1</v>
      </c>
      <c r="Q1571">
        <v>1</v>
      </c>
      <c r="R1571">
        <v>0</v>
      </c>
      <c r="T1571" t="b">
        <v>1</v>
      </c>
    </row>
    <row r="1572" spans="2:20" x14ac:dyDescent="0.35">
      <c r="B1572">
        <v>2014</v>
      </c>
      <c r="C1572" s="41">
        <v>42795</v>
      </c>
      <c r="D1572" t="s">
        <v>2151</v>
      </c>
      <c r="E1572" t="s">
        <v>219</v>
      </c>
      <c r="F1572" t="s">
        <v>1311</v>
      </c>
      <c r="G1572" t="s">
        <v>1299</v>
      </c>
      <c r="H1572" t="s">
        <v>214</v>
      </c>
      <c r="I1572" t="s">
        <v>310</v>
      </c>
      <c r="J1572">
        <v>2</v>
      </c>
      <c r="L1572">
        <v>213.04</v>
      </c>
      <c r="M1572">
        <v>363.07</v>
      </c>
      <c r="N1572">
        <v>488.909999999999</v>
      </c>
      <c r="O1572">
        <v>719.64</v>
      </c>
      <c r="P1572">
        <v>1</v>
      </c>
      <c r="Q1572">
        <v>1</v>
      </c>
      <c r="R1572">
        <v>0</v>
      </c>
      <c r="T1572" t="b">
        <v>1</v>
      </c>
    </row>
    <row r="1573" spans="2:20" x14ac:dyDescent="0.35">
      <c r="B1573">
        <v>2014</v>
      </c>
      <c r="C1573" s="41">
        <v>42795</v>
      </c>
      <c r="D1573" t="s">
        <v>2151</v>
      </c>
      <c r="E1573" t="s">
        <v>219</v>
      </c>
      <c r="F1573" t="s">
        <v>1301</v>
      </c>
      <c r="G1573" t="s">
        <v>1299</v>
      </c>
      <c r="H1573" t="s">
        <v>214</v>
      </c>
      <c r="I1573" t="s">
        <v>310</v>
      </c>
      <c r="J1573">
        <v>2</v>
      </c>
      <c r="L1573">
        <v>267.73</v>
      </c>
      <c r="M1573">
        <v>456.26</v>
      </c>
      <c r="N1573">
        <v>614.39</v>
      </c>
      <c r="O1573">
        <v>904.33999999999901</v>
      </c>
      <c r="P1573">
        <v>1</v>
      </c>
      <c r="Q1573">
        <v>1</v>
      </c>
      <c r="R1573">
        <v>0</v>
      </c>
      <c r="T1573" t="b">
        <v>1</v>
      </c>
    </row>
    <row r="1574" spans="2:20" x14ac:dyDescent="0.35">
      <c r="B1574">
        <v>2014</v>
      </c>
      <c r="C1574" s="41">
        <v>42795</v>
      </c>
      <c r="D1574" t="s">
        <v>273</v>
      </c>
      <c r="E1574" t="s">
        <v>219</v>
      </c>
      <c r="F1574" t="s">
        <v>1302</v>
      </c>
      <c r="G1574" t="s">
        <v>1381</v>
      </c>
      <c r="H1574" t="s">
        <v>274</v>
      </c>
      <c r="I1574" t="s">
        <v>310</v>
      </c>
      <c r="J1574">
        <v>2</v>
      </c>
      <c r="L1574">
        <v>282.24</v>
      </c>
      <c r="M1574">
        <v>480.99</v>
      </c>
      <c r="N1574">
        <v>647.69000000000005</v>
      </c>
      <c r="O1574">
        <v>953.36</v>
      </c>
      <c r="P1574">
        <v>0</v>
      </c>
      <c r="Q1574">
        <v>1</v>
      </c>
      <c r="R1574">
        <v>0</v>
      </c>
      <c r="T1574" t="b">
        <v>1</v>
      </c>
    </row>
    <row r="1575" spans="2:20" x14ac:dyDescent="0.35">
      <c r="B1575">
        <v>2014</v>
      </c>
      <c r="C1575" s="41">
        <v>42795</v>
      </c>
      <c r="D1575" t="s">
        <v>273</v>
      </c>
      <c r="E1575" t="s">
        <v>219</v>
      </c>
      <c r="F1575" t="s">
        <v>1310</v>
      </c>
      <c r="G1575" t="s">
        <v>1381</v>
      </c>
      <c r="H1575" t="s">
        <v>274</v>
      </c>
      <c r="I1575" t="s">
        <v>310</v>
      </c>
      <c r="J1575">
        <v>2</v>
      </c>
      <c r="L1575">
        <v>394.62</v>
      </c>
      <c r="M1575">
        <v>672.52</v>
      </c>
      <c r="N1575">
        <v>905.6</v>
      </c>
      <c r="O1575">
        <v>1332.98</v>
      </c>
      <c r="P1575">
        <v>0</v>
      </c>
      <c r="Q1575">
        <v>1</v>
      </c>
      <c r="R1575">
        <v>0</v>
      </c>
      <c r="T1575" t="b">
        <v>1</v>
      </c>
    </row>
    <row r="1576" spans="2:20" x14ac:dyDescent="0.35">
      <c r="B1576">
        <v>2014</v>
      </c>
      <c r="C1576" s="41">
        <v>42795</v>
      </c>
      <c r="D1576" t="s">
        <v>273</v>
      </c>
      <c r="E1576" t="s">
        <v>219</v>
      </c>
      <c r="F1576" t="s">
        <v>463</v>
      </c>
      <c r="G1576" t="s">
        <v>1381</v>
      </c>
      <c r="H1576" t="s">
        <v>274</v>
      </c>
      <c r="I1576" t="s">
        <v>310</v>
      </c>
      <c r="J1576">
        <v>2</v>
      </c>
      <c r="L1576">
        <v>361.71</v>
      </c>
      <c r="M1576">
        <v>616.41999999999996</v>
      </c>
      <c r="N1576">
        <v>830.05</v>
      </c>
      <c r="O1576">
        <v>1221.78</v>
      </c>
      <c r="P1576">
        <v>0</v>
      </c>
      <c r="Q1576">
        <v>1</v>
      </c>
      <c r="R1576">
        <v>0</v>
      </c>
      <c r="T1576" t="b">
        <v>1</v>
      </c>
    </row>
    <row r="1577" spans="2:20" x14ac:dyDescent="0.35">
      <c r="B1577">
        <v>2014</v>
      </c>
      <c r="C1577" s="41">
        <v>42795</v>
      </c>
      <c r="D1577" t="s">
        <v>273</v>
      </c>
      <c r="E1577" t="s">
        <v>219</v>
      </c>
      <c r="F1577" t="s">
        <v>1390</v>
      </c>
      <c r="G1577" t="s">
        <v>1381</v>
      </c>
      <c r="H1577" t="s">
        <v>274</v>
      </c>
      <c r="I1577" t="s">
        <v>310</v>
      </c>
      <c r="J1577">
        <v>2</v>
      </c>
      <c r="L1577">
        <v>331.97</v>
      </c>
      <c r="M1577">
        <v>565.75</v>
      </c>
      <c r="N1577">
        <v>761.82999999999902</v>
      </c>
      <c r="O1577">
        <v>1121.3599999999999</v>
      </c>
      <c r="P1577">
        <v>0</v>
      </c>
      <c r="Q1577">
        <v>1</v>
      </c>
      <c r="R1577">
        <v>0</v>
      </c>
      <c r="T1577" t="b">
        <v>1</v>
      </c>
    </row>
    <row r="1578" spans="2:20" x14ac:dyDescent="0.35">
      <c r="B1578">
        <v>2014</v>
      </c>
      <c r="C1578" s="41">
        <v>42795</v>
      </c>
      <c r="D1578" t="s">
        <v>273</v>
      </c>
      <c r="E1578" t="s">
        <v>219</v>
      </c>
      <c r="F1578" t="s">
        <v>459</v>
      </c>
      <c r="G1578" t="s">
        <v>1381</v>
      </c>
      <c r="H1578" t="s">
        <v>274</v>
      </c>
      <c r="I1578" t="s">
        <v>310</v>
      </c>
      <c r="J1578">
        <v>2</v>
      </c>
      <c r="L1578">
        <v>325.58</v>
      </c>
      <c r="M1578">
        <v>554.86</v>
      </c>
      <c r="N1578">
        <v>747.17</v>
      </c>
      <c r="O1578">
        <v>1099.78</v>
      </c>
      <c r="P1578">
        <v>0</v>
      </c>
      <c r="Q1578">
        <v>1</v>
      </c>
      <c r="R1578">
        <v>0</v>
      </c>
      <c r="T1578" t="b">
        <v>1</v>
      </c>
    </row>
    <row r="1579" spans="2:20" x14ac:dyDescent="0.35">
      <c r="B1579">
        <v>2014</v>
      </c>
      <c r="C1579" s="41">
        <v>42795</v>
      </c>
      <c r="D1579" t="s">
        <v>273</v>
      </c>
      <c r="E1579" t="s">
        <v>219</v>
      </c>
      <c r="F1579" t="s">
        <v>1298</v>
      </c>
      <c r="G1579" t="s">
        <v>1381</v>
      </c>
      <c r="H1579" t="s">
        <v>274</v>
      </c>
      <c r="I1579" t="s">
        <v>310</v>
      </c>
      <c r="J1579">
        <v>2</v>
      </c>
      <c r="L1579">
        <v>304.93</v>
      </c>
      <c r="M1579">
        <v>519.65</v>
      </c>
      <c r="N1579">
        <v>699.76</v>
      </c>
      <c r="O1579">
        <v>1030</v>
      </c>
      <c r="P1579">
        <v>0</v>
      </c>
      <c r="Q1579">
        <v>1</v>
      </c>
      <c r="R1579">
        <v>0</v>
      </c>
      <c r="T1579" t="b">
        <v>1</v>
      </c>
    </row>
    <row r="1580" spans="2:20" x14ac:dyDescent="0.35">
      <c r="B1580">
        <v>2014</v>
      </c>
      <c r="C1580" s="41">
        <v>42795</v>
      </c>
      <c r="D1580" t="s">
        <v>273</v>
      </c>
      <c r="E1580" t="s">
        <v>219</v>
      </c>
      <c r="F1580" t="s">
        <v>1309</v>
      </c>
      <c r="G1580" t="s">
        <v>1381</v>
      </c>
      <c r="H1580" t="s">
        <v>274</v>
      </c>
      <c r="I1580" t="s">
        <v>310</v>
      </c>
      <c r="J1580">
        <v>2</v>
      </c>
      <c r="L1580">
        <v>274.89</v>
      </c>
      <c r="M1580">
        <v>468.47</v>
      </c>
      <c r="N1580">
        <v>630.82999999999902</v>
      </c>
      <c r="O1580">
        <v>928.54</v>
      </c>
      <c r="P1580">
        <v>0</v>
      </c>
      <c r="Q1580">
        <v>1</v>
      </c>
      <c r="R1580">
        <v>0</v>
      </c>
      <c r="T1580" t="b">
        <v>1</v>
      </c>
    </row>
    <row r="1581" spans="2:20" x14ac:dyDescent="0.35">
      <c r="B1581">
        <v>2014</v>
      </c>
      <c r="C1581" s="41">
        <v>42795</v>
      </c>
      <c r="D1581" t="s">
        <v>273</v>
      </c>
      <c r="E1581" t="s">
        <v>219</v>
      </c>
      <c r="F1581" t="s">
        <v>464</v>
      </c>
      <c r="G1581" t="s">
        <v>1381</v>
      </c>
      <c r="H1581" t="s">
        <v>274</v>
      </c>
      <c r="I1581" t="s">
        <v>310</v>
      </c>
      <c r="J1581">
        <v>2</v>
      </c>
      <c r="L1581">
        <v>272.08999999999997</v>
      </c>
      <c r="M1581">
        <v>463.7</v>
      </c>
      <c r="N1581">
        <v>624.41999999999996</v>
      </c>
      <c r="O1581">
        <v>919.1</v>
      </c>
      <c r="P1581">
        <v>0</v>
      </c>
      <c r="Q1581">
        <v>1</v>
      </c>
      <c r="R1581">
        <v>0</v>
      </c>
      <c r="T1581" t="b">
        <v>1</v>
      </c>
    </row>
    <row r="1582" spans="2:20" x14ac:dyDescent="0.35">
      <c r="B1582">
        <v>2014</v>
      </c>
      <c r="C1582" s="41">
        <v>42795</v>
      </c>
      <c r="D1582" t="s">
        <v>273</v>
      </c>
      <c r="E1582" t="s">
        <v>219</v>
      </c>
      <c r="F1582" t="s">
        <v>460</v>
      </c>
      <c r="G1582" t="s">
        <v>1381</v>
      </c>
      <c r="H1582" t="s">
        <v>274</v>
      </c>
      <c r="I1582" t="s">
        <v>310</v>
      </c>
      <c r="J1582">
        <v>2</v>
      </c>
      <c r="L1582">
        <v>269.70999999999998</v>
      </c>
      <c r="M1582">
        <v>459.64</v>
      </c>
      <c r="N1582">
        <v>618.94000000000005</v>
      </c>
      <c r="O1582">
        <v>911.04</v>
      </c>
      <c r="P1582">
        <v>0</v>
      </c>
      <c r="Q1582">
        <v>1</v>
      </c>
      <c r="R1582">
        <v>0</v>
      </c>
      <c r="T1582" t="b">
        <v>1</v>
      </c>
    </row>
    <row r="1583" spans="2:20" x14ac:dyDescent="0.35">
      <c r="B1583">
        <v>2014</v>
      </c>
      <c r="C1583" s="41">
        <v>42795</v>
      </c>
      <c r="D1583" t="s">
        <v>273</v>
      </c>
      <c r="E1583" t="s">
        <v>219</v>
      </c>
      <c r="F1583" t="s">
        <v>1301</v>
      </c>
      <c r="G1583" t="s">
        <v>1381</v>
      </c>
      <c r="H1583" t="s">
        <v>274</v>
      </c>
      <c r="I1583" t="s">
        <v>310</v>
      </c>
      <c r="J1583">
        <v>2</v>
      </c>
      <c r="L1583">
        <v>266.20999999999998</v>
      </c>
      <c r="M1583">
        <v>453.68</v>
      </c>
      <c r="N1583">
        <v>610.91</v>
      </c>
      <c r="O1583">
        <v>899.22</v>
      </c>
      <c r="P1583">
        <v>0</v>
      </c>
      <c r="Q1583">
        <v>1</v>
      </c>
      <c r="R1583">
        <v>0</v>
      </c>
      <c r="T1583" t="b">
        <v>1</v>
      </c>
    </row>
    <row r="1584" spans="2:20" x14ac:dyDescent="0.35">
      <c r="B1584">
        <v>2014</v>
      </c>
      <c r="C1584" s="41">
        <v>42795</v>
      </c>
      <c r="D1584" t="s">
        <v>273</v>
      </c>
      <c r="E1584" t="s">
        <v>219</v>
      </c>
      <c r="F1584" t="s">
        <v>1311</v>
      </c>
      <c r="G1584" t="s">
        <v>1381</v>
      </c>
      <c r="H1584" t="s">
        <v>274</v>
      </c>
      <c r="I1584" t="s">
        <v>310</v>
      </c>
      <c r="J1584">
        <v>2</v>
      </c>
      <c r="L1584">
        <v>265.81</v>
      </c>
      <c r="M1584">
        <v>453</v>
      </c>
      <c r="N1584">
        <v>610</v>
      </c>
      <c r="O1584">
        <v>897.88</v>
      </c>
      <c r="P1584">
        <v>0</v>
      </c>
      <c r="Q1584">
        <v>1</v>
      </c>
      <c r="R1584">
        <v>0</v>
      </c>
      <c r="T1584" t="b">
        <v>1</v>
      </c>
    </row>
    <row r="1585" spans="2:20" x14ac:dyDescent="0.35">
      <c r="B1585">
        <v>2014</v>
      </c>
      <c r="C1585" s="41">
        <v>42795</v>
      </c>
      <c r="D1585" t="s">
        <v>273</v>
      </c>
      <c r="E1585" t="s">
        <v>219</v>
      </c>
      <c r="F1585" t="s">
        <v>1389</v>
      </c>
      <c r="G1585" t="s">
        <v>1381</v>
      </c>
      <c r="H1585" t="s">
        <v>274</v>
      </c>
      <c r="I1585" t="s">
        <v>310</v>
      </c>
      <c r="J1585">
        <v>2</v>
      </c>
      <c r="L1585">
        <v>275</v>
      </c>
      <c r="M1585">
        <v>468.65</v>
      </c>
      <c r="N1585">
        <v>631.05999999999995</v>
      </c>
      <c r="O1585">
        <v>928.88</v>
      </c>
      <c r="P1585">
        <v>0</v>
      </c>
      <c r="Q1585">
        <v>1</v>
      </c>
      <c r="R1585">
        <v>0</v>
      </c>
      <c r="T1585" t="b">
        <v>1</v>
      </c>
    </row>
    <row r="1586" spans="2:20" x14ac:dyDescent="0.35">
      <c r="B1586">
        <v>2014</v>
      </c>
      <c r="C1586" s="41">
        <v>42795</v>
      </c>
      <c r="D1586" t="s">
        <v>273</v>
      </c>
      <c r="E1586" t="s">
        <v>219</v>
      </c>
      <c r="F1586" t="s">
        <v>462</v>
      </c>
      <c r="G1586" t="s">
        <v>1381</v>
      </c>
      <c r="H1586" t="s">
        <v>274</v>
      </c>
      <c r="I1586" t="s">
        <v>310</v>
      </c>
      <c r="J1586">
        <v>2</v>
      </c>
      <c r="L1586">
        <v>292.92</v>
      </c>
      <c r="M1586">
        <v>499.19</v>
      </c>
      <c r="N1586">
        <v>672.19</v>
      </c>
      <c r="O1586">
        <v>989.42</v>
      </c>
      <c r="P1586">
        <v>0</v>
      </c>
      <c r="Q1586">
        <v>1</v>
      </c>
      <c r="R1586">
        <v>0</v>
      </c>
      <c r="T1586" t="b">
        <v>1</v>
      </c>
    </row>
    <row r="1587" spans="2:20" x14ac:dyDescent="0.35">
      <c r="B1587">
        <v>2014</v>
      </c>
      <c r="C1587" s="41">
        <v>42795</v>
      </c>
      <c r="D1587" t="s">
        <v>273</v>
      </c>
      <c r="E1587" t="s">
        <v>219</v>
      </c>
      <c r="F1587" t="s">
        <v>1307</v>
      </c>
      <c r="G1587" t="s">
        <v>1381</v>
      </c>
      <c r="H1587" t="s">
        <v>274</v>
      </c>
      <c r="I1587" t="s">
        <v>310</v>
      </c>
      <c r="J1587">
        <v>2</v>
      </c>
      <c r="L1587">
        <v>348.45</v>
      </c>
      <c r="M1587">
        <v>593.83000000000004</v>
      </c>
      <c r="N1587">
        <v>799.64</v>
      </c>
      <c r="O1587">
        <v>1177.02</v>
      </c>
      <c r="P1587">
        <v>0</v>
      </c>
      <c r="Q1587">
        <v>1</v>
      </c>
      <c r="R1587">
        <v>0</v>
      </c>
      <c r="T1587" t="b">
        <v>1</v>
      </c>
    </row>
    <row r="1588" spans="2:20" x14ac:dyDescent="0.35">
      <c r="B1588">
        <v>2014</v>
      </c>
      <c r="C1588" s="41">
        <v>42795</v>
      </c>
      <c r="D1588" t="s">
        <v>273</v>
      </c>
      <c r="E1588" t="s">
        <v>219</v>
      </c>
      <c r="F1588" t="s">
        <v>458</v>
      </c>
      <c r="G1588" t="s">
        <v>1381</v>
      </c>
      <c r="H1588" t="s">
        <v>274</v>
      </c>
      <c r="I1588" t="s">
        <v>310</v>
      </c>
      <c r="J1588">
        <v>2</v>
      </c>
      <c r="L1588">
        <v>252.76</v>
      </c>
      <c r="M1588">
        <v>430.75</v>
      </c>
      <c r="N1588">
        <v>580.04</v>
      </c>
      <c r="O1588">
        <v>853.78</v>
      </c>
      <c r="P1588">
        <v>0</v>
      </c>
      <c r="Q1588">
        <v>1</v>
      </c>
      <c r="R1588">
        <v>0</v>
      </c>
      <c r="T1588" t="b">
        <v>1</v>
      </c>
    </row>
    <row r="1589" spans="2:20" x14ac:dyDescent="0.35">
      <c r="B1589">
        <v>2014</v>
      </c>
      <c r="C1589" s="41">
        <v>42795</v>
      </c>
      <c r="D1589" t="s">
        <v>273</v>
      </c>
      <c r="E1589" t="s">
        <v>219</v>
      </c>
      <c r="F1589" t="s">
        <v>461</v>
      </c>
      <c r="G1589" t="s">
        <v>1381</v>
      </c>
      <c r="H1589" t="s">
        <v>274</v>
      </c>
      <c r="I1589" t="s">
        <v>310</v>
      </c>
      <c r="J1589">
        <v>2</v>
      </c>
      <c r="L1589">
        <v>316.77</v>
      </c>
      <c r="M1589">
        <v>539.84</v>
      </c>
      <c r="N1589">
        <v>726.95</v>
      </c>
      <c r="O1589">
        <v>1070.02</v>
      </c>
      <c r="P1589">
        <v>0</v>
      </c>
      <c r="Q1589">
        <v>1</v>
      </c>
      <c r="R1589">
        <v>0</v>
      </c>
      <c r="T1589" t="b">
        <v>1</v>
      </c>
    </row>
    <row r="1590" spans="2:20" x14ac:dyDescent="0.35">
      <c r="B1590">
        <v>2014</v>
      </c>
      <c r="C1590" s="41">
        <v>42795</v>
      </c>
      <c r="D1590" t="s">
        <v>2152</v>
      </c>
      <c r="E1590" t="s">
        <v>219</v>
      </c>
      <c r="F1590" t="s">
        <v>1311</v>
      </c>
      <c r="G1590" t="s">
        <v>1299</v>
      </c>
      <c r="H1590" t="s">
        <v>2153</v>
      </c>
      <c r="I1590" t="s">
        <v>842</v>
      </c>
      <c r="J1590">
        <v>2</v>
      </c>
      <c r="L1590">
        <v>182.43</v>
      </c>
      <c r="M1590">
        <v>310.89</v>
      </c>
      <c r="N1590">
        <v>418.65</v>
      </c>
      <c r="O1590">
        <v>616.22</v>
      </c>
      <c r="P1590">
        <v>0</v>
      </c>
      <c r="Q1590">
        <v>1</v>
      </c>
      <c r="R1590">
        <v>0</v>
      </c>
      <c r="T1590" t="b">
        <v>1</v>
      </c>
    </row>
    <row r="1591" spans="2:20" x14ac:dyDescent="0.35">
      <c r="B1591">
        <v>2014</v>
      </c>
      <c r="C1591" s="41">
        <v>42795</v>
      </c>
      <c r="D1591" t="s">
        <v>2152</v>
      </c>
      <c r="E1591" t="s">
        <v>219</v>
      </c>
      <c r="F1591" t="s">
        <v>1309</v>
      </c>
      <c r="G1591" t="s">
        <v>1299</v>
      </c>
      <c r="H1591" t="s">
        <v>2153</v>
      </c>
      <c r="I1591" t="s">
        <v>842</v>
      </c>
      <c r="J1591">
        <v>2</v>
      </c>
      <c r="L1591">
        <v>201.07</v>
      </c>
      <c r="M1591">
        <v>342.66</v>
      </c>
      <c r="N1591">
        <v>461.41999999999899</v>
      </c>
      <c r="O1591">
        <v>679.18</v>
      </c>
      <c r="P1591">
        <v>0</v>
      </c>
      <c r="Q1591">
        <v>1</v>
      </c>
      <c r="R1591">
        <v>0</v>
      </c>
      <c r="T1591" t="b">
        <v>1</v>
      </c>
    </row>
    <row r="1592" spans="2:20" x14ac:dyDescent="0.35">
      <c r="B1592">
        <v>2014</v>
      </c>
      <c r="C1592" s="41">
        <v>42795</v>
      </c>
      <c r="D1592" t="s">
        <v>2152</v>
      </c>
      <c r="E1592" t="s">
        <v>219</v>
      </c>
      <c r="F1592" t="s">
        <v>1301</v>
      </c>
      <c r="G1592" t="s">
        <v>1299</v>
      </c>
      <c r="H1592" t="s">
        <v>2153</v>
      </c>
      <c r="I1592" t="s">
        <v>842</v>
      </c>
      <c r="J1592">
        <v>2</v>
      </c>
      <c r="L1592">
        <v>229.26</v>
      </c>
      <c r="M1592">
        <v>390.7</v>
      </c>
      <c r="N1592">
        <v>526.11</v>
      </c>
      <c r="O1592">
        <v>774.4</v>
      </c>
      <c r="P1592">
        <v>0</v>
      </c>
      <c r="Q1592">
        <v>1</v>
      </c>
      <c r="R1592">
        <v>0</v>
      </c>
      <c r="T1592" t="b">
        <v>1</v>
      </c>
    </row>
    <row r="1593" spans="2:20" x14ac:dyDescent="0.35">
      <c r="B1593">
        <v>2014</v>
      </c>
      <c r="C1593" s="41">
        <v>42795</v>
      </c>
      <c r="D1593" t="s">
        <v>943</v>
      </c>
      <c r="E1593" t="s">
        <v>219</v>
      </c>
      <c r="F1593" t="s">
        <v>1309</v>
      </c>
      <c r="G1593" t="s">
        <v>1299</v>
      </c>
      <c r="H1593" t="s">
        <v>2154</v>
      </c>
      <c r="I1593" t="s">
        <v>842</v>
      </c>
      <c r="J1593">
        <v>2</v>
      </c>
      <c r="L1593">
        <v>197.82</v>
      </c>
      <c r="M1593">
        <v>337.13</v>
      </c>
      <c r="N1593">
        <v>453.96</v>
      </c>
      <c r="O1593">
        <v>668.2</v>
      </c>
      <c r="P1593">
        <v>0</v>
      </c>
      <c r="Q1593">
        <v>1</v>
      </c>
      <c r="R1593">
        <v>0</v>
      </c>
      <c r="T1593" t="b">
        <v>1</v>
      </c>
    </row>
    <row r="1594" spans="2:20" x14ac:dyDescent="0.35">
      <c r="B1594">
        <v>2014</v>
      </c>
      <c r="C1594" s="41">
        <v>42795</v>
      </c>
      <c r="D1594" t="s">
        <v>943</v>
      </c>
      <c r="E1594" t="s">
        <v>219</v>
      </c>
      <c r="F1594" t="s">
        <v>1311</v>
      </c>
      <c r="G1594" t="s">
        <v>1299</v>
      </c>
      <c r="H1594" t="s">
        <v>2154</v>
      </c>
      <c r="I1594" t="s">
        <v>842</v>
      </c>
      <c r="J1594">
        <v>2</v>
      </c>
      <c r="L1594">
        <v>179.48</v>
      </c>
      <c r="M1594">
        <v>305.87</v>
      </c>
      <c r="N1594">
        <v>411.88</v>
      </c>
      <c r="O1594">
        <v>606.26</v>
      </c>
      <c r="P1594">
        <v>0</v>
      </c>
      <c r="Q1594">
        <v>1</v>
      </c>
      <c r="R1594">
        <v>0</v>
      </c>
      <c r="T1594" t="b">
        <v>1</v>
      </c>
    </row>
    <row r="1595" spans="2:20" x14ac:dyDescent="0.35">
      <c r="B1595">
        <v>2014</v>
      </c>
      <c r="C1595" s="41">
        <v>42795</v>
      </c>
      <c r="D1595" t="s">
        <v>943</v>
      </c>
      <c r="E1595" t="s">
        <v>219</v>
      </c>
      <c r="F1595" t="s">
        <v>1301</v>
      </c>
      <c r="G1595" t="s">
        <v>1299</v>
      </c>
      <c r="H1595" t="s">
        <v>2154</v>
      </c>
      <c r="I1595" t="s">
        <v>842</v>
      </c>
      <c r="J1595">
        <v>2</v>
      </c>
      <c r="L1595">
        <v>225.55</v>
      </c>
      <c r="M1595">
        <v>384.39</v>
      </c>
      <c r="N1595">
        <v>517.62</v>
      </c>
      <c r="O1595">
        <v>761.9</v>
      </c>
      <c r="P1595">
        <v>0</v>
      </c>
      <c r="Q1595">
        <v>1</v>
      </c>
      <c r="R1595">
        <v>0</v>
      </c>
      <c r="T1595" t="b">
        <v>1</v>
      </c>
    </row>
    <row r="1596" spans="2:20" x14ac:dyDescent="0.35">
      <c r="B1596">
        <v>2014</v>
      </c>
      <c r="C1596" s="41">
        <v>42795</v>
      </c>
      <c r="D1596" t="s">
        <v>939</v>
      </c>
      <c r="E1596" t="s">
        <v>219</v>
      </c>
      <c r="F1596" t="s">
        <v>1309</v>
      </c>
      <c r="G1596" t="s">
        <v>1299</v>
      </c>
      <c r="H1596" t="s">
        <v>2155</v>
      </c>
      <c r="I1596" t="s">
        <v>842</v>
      </c>
      <c r="J1596">
        <v>2</v>
      </c>
      <c r="L1596">
        <v>183.74</v>
      </c>
      <c r="M1596">
        <v>313.12</v>
      </c>
      <c r="N1596">
        <v>421.65</v>
      </c>
      <c r="O1596">
        <v>620.64</v>
      </c>
      <c r="P1596">
        <v>0</v>
      </c>
      <c r="Q1596">
        <v>1</v>
      </c>
      <c r="R1596">
        <v>0</v>
      </c>
      <c r="T1596" t="b">
        <v>1</v>
      </c>
    </row>
    <row r="1597" spans="2:20" x14ac:dyDescent="0.35">
      <c r="B1597">
        <v>2014</v>
      </c>
      <c r="C1597" s="41">
        <v>42795</v>
      </c>
      <c r="D1597" t="s">
        <v>939</v>
      </c>
      <c r="E1597" t="s">
        <v>219</v>
      </c>
      <c r="F1597" t="s">
        <v>1301</v>
      </c>
      <c r="G1597" t="s">
        <v>1299</v>
      </c>
      <c r="H1597" t="s">
        <v>2155</v>
      </c>
      <c r="I1597" t="s">
        <v>842</v>
      </c>
      <c r="J1597">
        <v>2</v>
      </c>
      <c r="L1597">
        <v>209.49</v>
      </c>
      <c r="M1597">
        <v>357.02</v>
      </c>
      <c r="N1597">
        <v>480.74</v>
      </c>
      <c r="O1597">
        <v>707.62</v>
      </c>
      <c r="P1597">
        <v>0</v>
      </c>
      <c r="Q1597">
        <v>1</v>
      </c>
      <c r="R1597">
        <v>0</v>
      </c>
      <c r="T1597" t="b">
        <v>1</v>
      </c>
    </row>
    <row r="1598" spans="2:20" x14ac:dyDescent="0.35">
      <c r="B1598">
        <v>2014</v>
      </c>
      <c r="C1598" s="41">
        <v>42795</v>
      </c>
      <c r="D1598" t="s">
        <v>939</v>
      </c>
      <c r="E1598" t="s">
        <v>219</v>
      </c>
      <c r="F1598" t="s">
        <v>1311</v>
      </c>
      <c r="G1598" t="s">
        <v>1299</v>
      </c>
      <c r="H1598" t="s">
        <v>2155</v>
      </c>
      <c r="I1598" t="s">
        <v>842</v>
      </c>
      <c r="J1598">
        <v>2</v>
      </c>
      <c r="L1598">
        <v>166.7</v>
      </c>
      <c r="M1598">
        <v>284.08999999999997</v>
      </c>
      <c r="N1598">
        <v>382.56</v>
      </c>
      <c r="O1598">
        <v>563.1</v>
      </c>
      <c r="P1598">
        <v>0</v>
      </c>
      <c r="Q1598">
        <v>1</v>
      </c>
      <c r="R1598">
        <v>0</v>
      </c>
      <c r="T1598" t="b">
        <v>1</v>
      </c>
    </row>
    <row r="1599" spans="2:20" x14ac:dyDescent="0.35">
      <c r="B1599">
        <v>2014</v>
      </c>
      <c r="C1599" s="41">
        <v>42795</v>
      </c>
      <c r="D1599" t="s">
        <v>920</v>
      </c>
      <c r="E1599" t="s">
        <v>219</v>
      </c>
      <c r="F1599" t="s">
        <v>461</v>
      </c>
      <c r="G1599" t="s">
        <v>304</v>
      </c>
      <c r="H1599" t="s">
        <v>306</v>
      </c>
      <c r="I1599" t="s">
        <v>842</v>
      </c>
      <c r="J1599">
        <v>1</v>
      </c>
      <c r="L1599">
        <v>269.32</v>
      </c>
      <c r="M1599">
        <v>458.98</v>
      </c>
      <c r="N1599">
        <v>618.05999999999995</v>
      </c>
      <c r="O1599">
        <v>909.74</v>
      </c>
      <c r="P1599">
        <v>0</v>
      </c>
      <c r="Q1599">
        <v>3</v>
      </c>
      <c r="R1599">
        <v>0</v>
      </c>
      <c r="T1599" t="b">
        <v>1</v>
      </c>
    </row>
    <row r="1600" spans="2:20" x14ac:dyDescent="0.35">
      <c r="B1600">
        <v>2014</v>
      </c>
      <c r="C1600" s="41">
        <v>42795</v>
      </c>
      <c r="D1600" t="s">
        <v>920</v>
      </c>
      <c r="E1600" t="s">
        <v>219</v>
      </c>
      <c r="F1600" t="s">
        <v>1298</v>
      </c>
      <c r="G1600" t="s">
        <v>304</v>
      </c>
      <c r="H1600" t="s">
        <v>306</v>
      </c>
      <c r="I1600" t="s">
        <v>842</v>
      </c>
      <c r="J1600">
        <v>1</v>
      </c>
      <c r="L1600">
        <v>244.84</v>
      </c>
      <c r="M1600">
        <v>417.25</v>
      </c>
      <c r="N1600">
        <v>561.86</v>
      </c>
      <c r="O1600">
        <v>827.02</v>
      </c>
      <c r="P1600">
        <v>0</v>
      </c>
      <c r="Q1600">
        <v>3</v>
      </c>
      <c r="R1600">
        <v>0</v>
      </c>
      <c r="T1600" t="b">
        <v>1</v>
      </c>
    </row>
    <row r="1601" spans="2:20" x14ac:dyDescent="0.35">
      <c r="B1601">
        <v>2014</v>
      </c>
      <c r="C1601" s="41">
        <v>42795</v>
      </c>
      <c r="D1601" t="s">
        <v>920</v>
      </c>
      <c r="E1601" t="s">
        <v>219</v>
      </c>
      <c r="F1601" t="s">
        <v>1302</v>
      </c>
      <c r="G1601" t="s">
        <v>304</v>
      </c>
      <c r="H1601" t="s">
        <v>306</v>
      </c>
      <c r="I1601" t="s">
        <v>842</v>
      </c>
      <c r="J1601">
        <v>1</v>
      </c>
      <c r="L1601">
        <v>244.84</v>
      </c>
      <c r="M1601">
        <v>417.25</v>
      </c>
      <c r="N1601">
        <v>561.86</v>
      </c>
      <c r="O1601">
        <v>827.02</v>
      </c>
      <c r="P1601">
        <v>0</v>
      </c>
      <c r="Q1601">
        <v>3</v>
      </c>
      <c r="R1601">
        <v>0</v>
      </c>
      <c r="T1601" t="b">
        <v>1</v>
      </c>
    </row>
    <row r="1602" spans="2:20" x14ac:dyDescent="0.35">
      <c r="B1602">
        <v>2014</v>
      </c>
      <c r="C1602" s="41">
        <v>42795</v>
      </c>
      <c r="D1602" t="s">
        <v>920</v>
      </c>
      <c r="E1602" t="s">
        <v>219</v>
      </c>
      <c r="F1602" t="s">
        <v>1311</v>
      </c>
      <c r="G1602" t="s">
        <v>304</v>
      </c>
      <c r="H1602" t="s">
        <v>306</v>
      </c>
      <c r="I1602" t="s">
        <v>842</v>
      </c>
      <c r="J1602">
        <v>1</v>
      </c>
      <c r="L1602">
        <v>257.08</v>
      </c>
      <c r="M1602">
        <v>438.12</v>
      </c>
      <c r="N1602">
        <v>589.96</v>
      </c>
      <c r="O1602">
        <v>868.38</v>
      </c>
      <c r="P1602">
        <v>0</v>
      </c>
      <c r="Q1602">
        <v>3</v>
      </c>
      <c r="R1602">
        <v>0</v>
      </c>
      <c r="T1602" t="b">
        <v>1</v>
      </c>
    </row>
    <row r="1603" spans="2:20" x14ac:dyDescent="0.35">
      <c r="B1603">
        <v>2014</v>
      </c>
      <c r="C1603" s="41">
        <v>42795</v>
      </c>
      <c r="D1603" t="s">
        <v>920</v>
      </c>
      <c r="E1603" t="s">
        <v>219</v>
      </c>
      <c r="F1603" t="s">
        <v>1301</v>
      </c>
      <c r="G1603" t="s">
        <v>304</v>
      </c>
      <c r="H1603" t="s">
        <v>306</v>
      </c>
      <c r="I1603" t="s">
        <v>842</v>
      </c>
      <c r="J1603">
        <v>1</v>
      </c>
      <c r="L1603">
        <v>220.36</v>
      </c>
      <c r="M1603">
        <v>375.53</v>
      </c>
      <c r="N1603">
        <v>505.69</v>
      </c>
      <c r="O1603">
        <v>744.34</v>
      </c>
      <c r="P1603">
        <v>0</v>
      </c>
      <c r="Q1603">
        <v>3</v>
      </c>
      <c r="R1603">
        <v>0</v>
      </c>
      <c r="T1603" t="b">
        <v>1</v>
      </c>
    </row>
    <row r="1604" spans="2:20" x14ac:dyDescent="0.35">
      <c r="B1604">
        <v>2014</v>
      </c>
      <c r="C1604" s="41">
        <v>42795</v>
      </c>
      <c r="D1604" t="s">
        <v>920</v>
      </c>
      <c r="E1604" t="s">
        <v>219</v>
      </c>
      <c r="F1604" t="s">
        <v>458</v>
      </c>
      <c r="G1604" t="s">
        <v>304</v>
      </c>
      <c r="H1604" t="s">
        <v>306</v>
      </c>
      <c r="I1604" t="s">
        <v>842</v>
      </c>
      <c r="J1604">
        <v>1</v>
      </c>
      <c r="L1604">
        <v>232.6</v>
      </c>
      <c r="M1604">
        <v>396.39</v>
      </c>
      <c r="N1604">
        <v>533.77</v>
      </c>
      <c r="O1604">
        <v>785.68</v>
      </c>
      <c r="P1604">
        <v>0</v>
      </c>
      <c r="Q1604">
        <v>3</v>
      </c>
      <c r="R1604">
        <v>0</v>
      </c>
      <c r="T1604" t="b">
        <v>1</v>
      </c>
    </row>
    <row r="1605" spans="2:20" x14ac:dyDescent="0.35">
      <c r="B1605">
        <v>2014</v>
      </c>
      <c r="C1605" s="41">
        <v>42795</v>
      </c>
      <c r="D1605" t="s">
        <v>920</v>
      </c>
      <c r="E1605" t="s">
        <v>219</v>
      </c>
      <c r="F1605" t="s">
        <v>1390</v>
      </c>
      <c r="G1605" t="s">
        <v>304</v>
      </c>
      <c r="H1605" t="s">
        <v>306</v>
      </c>
      <c r="I1605" t="s">
        <v>842</v>
      </c>
      <c r="J1605">
        <v>1</v>
      </c>
      <c r="L1605">
        <v>261.98</v>
      </c>
      <c r="M1605">
        <v>446.46</v>
      </c>
      <c r="N1605">
        <v>601.21</v>
      </c>
      <c r="O1605">
        <v>884.94</v>
      </c>
      <c r="P1605">
        <v>0</v>
      </c>
      <c r="Q1605">
        <v>3</v>
      </c>
      <c r="R1605">
        <v>0</v>
      </c>
      <c r="T1605" t="b">
        <v>1</v>
      </c>
    </row>
    <row r="1606" spans="2:20" x14ac:dyDescent="0.35">
      <c r="B1606">
        <v>2014</v>
      </c>
      <c r="C1606" s="41">
        <v>42795</v>
      </c>
      <c r="D1606" t="s">
        <v>2156</v>
      </c>
      <c r="E1606" t="s">
        <v>219</v>
      </c>
      <c r="F1606" t="s">
        <v>1298</v>
      </c>
      <c r="G1606" t="s">
        <v>1381</v>
      </c>
      <c r="H1606" t="s">
        <v>280</v>
      </c>
      <c r="I1606" t="s">
        <v>310</v>
      </c>
      <c r="J1606">
        <v>2</v>
      </c>
      <c r="L1606">
        <v>316.93</v>
      </c>
      <c r="M1606">
        <v>540.1</v>
      </c>
      <c r="N1606">
        <v>727.3</v>
      </c>
      <c r="O1606">
        <v>1070.54</v>
      </c>
      <c r="P1606">
        <v>1</v>
      </c>
      <c r="Q1606">
        <v>1</v>
      </c>
      <c r="R1606">
        <v>0</v>
      </c>
      <c r="T1606" t="b">
        <v>1</v>
      </c>
    </row>
    <row r="1607" spans="2:20" x14ac:dyDescent="0.35">
      <c r="B1607">
        <v>2014</v>
      </c>
      <c r="C1607" s="41">
        <v>42795</v>
      </c>
      <c r="D1607" t="s">
        <v>2156</v>
      </c>
      <c r="E1607" t="s">
        <v>219</v>
      </c>
      <c r="F1607" t="s">
        <v>1310</v>
      </c>
      <c r="G1607" t="s">
        <v>1381</v>
      </c>
      <c r="H1607" t="s">
        <v>280</v>
      </c>
      <c r="I1607" t="s">
        <v>310</v>
      </c>
      <c r="J1607">
        <v>2</v>
      </c>
      <c r="L1607">
        <v>410.15</v>
      </c>
      <c r="M1607">
        <v>698.97</v>
      </c>
      <c r="N1607">
        <v>941.21</v>
      </c>
      <c r="O1607">
        <v>1385.4</v>
      </c>
      <c r="P1607">
        <v>1</v>
      </c>
      <c r="Q1607">
        <v>1</v>
      </c>
      <c r="R1607">
        <v>0</v>
      </c>
      <c r="T1607" t="b">
        <v>1</v>
      </c>
    </row>
    <row r="1608" spans="2:20" x14ac:dyDescent="0.35">
      <c r="B1608">
        <v>2014</v>
      </c>
      <c r="C1608" s="41">
        <v>42795</v>
      </c>
      <c r="D1608" t="s">
        <v>2156</v>
      </c>
      <c r="E1608" t="s">
        <v>219</v>
      </c>
      <c r="F1608" t="s">
        <v>1307</v>
      </c>
      <c r="G1608" t="s">
        <v>1381</v>
      </c>
      <c r="H1608" t="s">
        <v>280</v>
      </c>
      <c r="I1608" t="s">
        <v>310</v>
      </c>
      <c r="J1608">
        <v>2</v>
      </c>
      <c r="L1608">
        <v>362.16</v>
      </c>
      <c r="M1608">
        <v>617.19000000000005</v>
      </c>
      <c r="N1608">
        <v>831.1</v>
      </c>
      <c r="O1608">
        <v>1223.32</v>
      </c>
      <c r="P1608">
        <v>1</v>
      </c>
      <c r="Q1608">
        <v>1</v>
      </c>
      <c r="R1608">
        <v>0</v>
      </c>
      <c r="T1608" t="b">
        <v>1</v>
      </c>
    </row>
    <row r="1609" spans="2:20" x14ac:dyDescent="0.35">
      <c r="B1609">
        <v>2014</v>
      </c>
      <c r="C1609" s="41">
        <v>42795</v>
      </c>
      <c r="D1609" t="s">
        <v>2156</v>
      </c>
      <c r="E1609" t="s">
        <v>219</v>
      </c>
      <c r="F1609" t="s">
        <v>1390</v>
      </c>
      <c r="G1609" t="s">
        <v>1381</v>
      </c>
      <c r="H1609" t="s">
        <v>280</v>
      </c>
      <c r="I1609" t="s">
        <v>310</v>
      </c>
      <c r="J1609">
        <v>2</v>
      </c>
      <c r="L1609">
        <v>345.03</v>
      </c>
      <c r="M1609">
        <v>588</v>
      </c>
      <c r="N1609">
        <v>791.8</v>
      </c>
      <c r="O1609">
        <v>1165.48</v>
      </c>
      <c r="P1609">
        <v>1</v>
      </c>
      <c r="Q1609">
        <v>1</v>
      </c>
      <c r="R1609">
        <v>0</v>
      </c>
      <c r="T1609" t="b">
        <v>1</v>
      </c>
    </row>
    <row r="1610" spans="2:20" x14ac:dyDescent="0.35">
      <c r="B1610">
        <v>2014</v>
      </c>
      <c r="C1610" s="41">
        <v>42795</v>
      </c>
      <c r="D1610" t="s">
        <v>2156</v>
      </c>
      <c r="E1610" t="s">
        <v>219</v>
      </c>
      <c r="F1610" t="s">
        <v>459</v>
      </c>
      <c r="G1610" t="s">
        <v>1381</v>
      </c>
      <c r="H1610" t="s">
        <v>280</v>
      </c>
      <c r="I1610" t="s">
        <v>310</v>
      </c>
      <c r="J1610">
        <v>2</v>
      </c>
      <c r="L1610">
        <v>338.39</v>
      </c>
      <c r="M1610">
        <v>576.67999999999995</v>
      </c>
      <c r="N1610">
        <v>776.56</v>
      </c>
      <c r="O1610">
        <v>1143.04</v>
      </c>
      <c r="P1610">
        <v>1</v>
      </c>
      <c r="Q1610">
        <v>1</v>
      </c>
      <c r="R1610">
        <v>0</v>
      </c>
      <c r="T1610" t="b">
        <v>1</v>
      </c>
    </row>
    <row r="1611" spans="2:20" x14ac:dyDescent="0.35">
      <c r="B1611">
        <v>2014</v>
      </c>
      <c r="C1611" s="41">
        <v>42795</v>
      </c>
      <c r="D1611" t="s">
        <v>2156</v>
      </c>
      <c r="E1611" t="s">
        <v>219</v>
      </c>
      <c r="F1611" t="s">
        <v>461</v>
      </c>
      <c r="G1611" t="s">
        <v>1381</v>
      </c>
      <c r="H1611" t="s">
        <v>280</v>
      </c>
      <c r="I1611" t="s">
        <v>310</v>
      </c>
      <c r="J1611">
        <v>2</v>
      </c>
      <c r="L1611">
        <v>329.23</v>
      </c>
      <c r="M1611">
        <v>561.07000000000005</v>
      </c>
      <c r="N1611">
        <v>755.54</v>
      </c>
      <c r="O1611">
        <v>1112.0999999999999</v>
      </c>
      <c r="P1611">
        <v>1</v>
      </c>
      <c r="Q1611">
        <v>1</v>
      </c>
      <c r="R1611">
        <v>0</v>
      </c>
      <c r="T1611" t="b">
        <v>1</v>
      </c>
    </row>
    <row r="1612" spans="2:20" x14ac:dyDescent="0.35">
      <c r="B1612">
        <v>2014</v>
      </c>
      <c r="C1612" s="41">
        <v>42795</v>
      </c>
      <c r="D1612" t="s">
        <v>2156</v>
      </c>
      <c r="E1612" t="s">
        <v>219</v>
      </c>
      <c r="F1612" t="s">
        <v>462</v>
      </c>
      <c r="G1612" t="s">
        <v>1381</v>
      </c>
      <c r="H1612" t="s">
        <v>280</v>
      </c>
      <c r="I1612" t="s">
        <v>310</v>
      </c>
      <c r="J1612">
        <v>2</v>
      </c>
      <c r="L1612">
        <v>304.43</v>
      </c>
      <c r="M1612">
        <v>518.82000000000005</v>
      </c>
      <c r="N1612">
        <v>698.63</v>
      </c>
      <c r="O1612">
        <v>1028.3399999999999</v>
      </c>
      <c r="P1612">
        <v>1</v>
      </c>
      <c r="Q1612">
        <v>1</v>
      </c>
      <c r="R1612">
        <v>0</v>
      </c>
      <c r="T1612" t="b">
        <v>1</v>
      </c>
    </row>
    <row r="1613" spans="2:20" x14ac:dyDescent="0.35">
      <c r="B1613">
        <v>2014</v>
      </c>
      <c r="C1613" s="41">
        <v>42795</v>
      </c>
      <c r="D1613" t="s">
        <v>2156</v>
      </c>
      <c r="E1613" t="s">
        <v>219</v>
      </c>
      <c r="F1613" t="s">
        <v>1389</v>
      </c>
      <c r="G1613" t="s">
        <v>1381</v>
      </c>
      <c r="H1613" t="s">
        <v>280</v>
      </c>
      <c r="I1613" t="s">
        <v>310</v>
      </c>
      <c r="J1613">
        <v>2</v>
      </c>
      <c r="L1613">
        <v>285.82</v>
      </c>
      <c r="M1613">
        <v>487.1</v>
      </c>
      <c r="N1613">
        <v>655.91</v>
      </c>
      <c r="O1613">
        <v>965.46</v>
      </c>
      <c r="P1613">
        <v>1</v>
      </c>
      <c r="Q1613">
        <v>1</v>
      </c>
      <c r="R1613">
        <v>0</v>
      </c>
      <c r="T1613" t="b">
        <v>1</v>
      </c>
    </row>
    <row r="1614" spans="2:20" x14ac:dyDescent="0.35">
      <c r="B1614">
        <v>2014</v>
      </c>
      <c r="C1614" s="41">
        <v>42795</v>
      </c>
      <c r="D1614" t="s">
        <v>2156</v>
      </c>
      <c r="E1614" t="s">
        <v>219</v>
      </c>
      <c r="F1614" t="s">
        <v>1309</v>
      </c>
      <c r="G1614" t="s">
        <v>1381</v>
      </c>
      <c r="H1614" t="s">
        <v>280</v>
      </c>
      <c r="I1614" t="s">
        <v>310</v>
      </c>
      <c r="J1614">
        <v>2</v>
      </c>
      <c r="L1614">
        <v>285.7</v>
      </c>
      <c r="M1614">
        <v>486.88</v>
      </c>
      <c r="N1614">
        <v>655.63</v>
      </c>
      <c r="O1614">
        <v>965.04</v>
      </c>
      <c r="P1614">
        <v>1</v>
      </c>
      <c r="Q1614">
        <v>1</v>
      </c>
      <c r="R1614">
        <v>0</v>
      </c>
      <c r="T1614" t="b">
        <v>1</v>
      </c>
    </row>
    <row r="1615" spans="2:20" x14ac:dyDescent="0.35">
      <c r="B1615">
        <v>2014</v>
      </c>
      <c r="C1615" s="41">
        <v>42795</v>
      </c>
      <c r="D1615" t="s">
        <v>2156</v>
      </c>
      <c r="E1615" t="s">
        <v>219</v>
      </c>
      <c r="F1615" t="s">
        <v>464</v>
      </c>
      <c r="G1615" t="s">
        <v>1381</v>
      </c>
      <c r="H1615" t="s">
        <v>280</v>
      </c>
      <c r="I1615" t="s">
        <v>310</v>
      </c>
      <c r="J1615">
        <v>2</v>
      </c>
      <c r="L1615">
        <v>282.79000000000002</v>
      </c>
      <c r="M1615">
        <v>481.93</v>
      </c>
      <c r="N1615">
        <v>648.97</v>
      </c>
      <c r="O1615">
        <v>955.24</v>
      </c>
      <c r="P1615">
        <v>1</v>
      </c>
      <c r="Q1615">
        <v>1</v>
      </c>
      <c r="R1615">
        <v>0</v>
      </c>
      <c r="T1615" t="b">
        <v>1</v>
      </c>
    </row>
    <row r="1616" spans="2:20" x14ac:dyDescent="0.35">
      <c r="B1616">
        <v>2014</v>
      </c>
      <c r="C1616" s="41">
        <v>42795</v>
      </c>
      <c r="D1616" t="s">
        <v>2156</v>
      </c>
      <c r="E1616" t="s">
        <v>219</v>
      </c>
      <c r="F1616" t="s">
        <v>1311</v>
      </c>
      <c r="G1616" t="s">
        <v>1381</v>
      </c>
      <c r="H1616" t="s">
        <v>280</v>
      </c>
      <c r="I1616" t="s">
        <v>310</v>
      </c>
      <c r="J1616">
        <v>2</v>
      </c>
      <c r="L1616">
        <v>276.27</v>
      </c>
      <c r="M1616">
        <v>470.83</v>
      </c>
      <c r="N1616">
        <v>634.01</v>
      </c>
      <c r="O1616">
        <v>933.22</v>
      </c>
      <c r="P1616">
        <v>1</v>
      </c>
      <c r="Q1616">
        <v>1</v>
      </c>
      <c r="R1616">
        <v>0</v>
      </c>
      <c r="T1616" t="b">
        <v>1</v>
      </c>
    </row>
    <row r="1617" spans="2:20" x14ac:dyDescent="0.35">
      <c r="B1617">
        <v>2014</v>
      </c>
      <c r="C1617" s="41">
        <v>42795</v>
      </c>
      <c r="D1617" t="s">
        <v>2156</v>
      </c>
      <c r="E1617" t="s">
        <v>219</v>
      </c>
      <c r="F1617" t="s">
        <v>458</v>
      </c>
      <c r="G1617" t="s">
        <v>1381</v>
      </c>
      <c r="H1617" t="s">
        <v>280</v>
      </c>
      <c r="I1617" t="s">
        <v>310</v>
      </c>
      <c r="J1617">
        <v>2</v>
      </c>
      <c r="L1617">
        <v>262.7</v>
      </c>
      <c r="M1617">
        <v>447.7</v>
      </c>
      <c r="N1617">
        <v>602.87</v>
      </c>
      <c r="O1617">
        <v>887.38</v>
      </c>
      <c r="P1617">
        <v>1</v>
      </c>
      <c r="Q1617">
        <v>1</v>
      </c>
      <c r="R1617">
        <v>0</v>
      </c>
      <c r="T1617" t="b">
        <v>1</v>
      </c>
    </row>
    <row r="1618" spans="2:20" x14ac:dyDescent="0.35">
      <c r="B1618">
        <v>2014</v>
      </c>
      <c r="C1618" s="41">
        <v>42795</v>
      </c>
      <c r="D1618" t="s">
        <v>2156</v>
      </c>
      <c r="E1618" t="s">
        <v>219</v>
      </c>
      <c r="F1618" t="s">
        <v>1302</v>
      </c>
      <c r="G1618" t="s">
        <v>1381</v>
      </c>
      <c r="H1618" t="s">
        <v>280</v>
      </c>
      <c r="I1618" t="s">
        <v>310</v>
      </c>
      <c r="J1618">
        <v>2</v>
      </c>
      <c r="L1618">
        <v>293.33999999999997</v>
      </c>
      <c r="M1618">
        <v>499.9</v>
      </c>
      <c r="N1618">
        <v>673.17</v>
      </c>
      <c r="O1618">
        <v>990.86</v>
      </c>
      <c r="P1618">
        <v>1</v>
      </c>
      <c r="Q1618">
        <v>1</v>
      </c>
      <c r="R1618">
        <v>0</v>
      </c>
      <c r="T1618" t="b">
        <v>1</v>
      </c>
    </row>
    <row r="1619" spans="2:20" x14ac:dyDescent="0.35">
      <c r="B1619">
        <v>2014</v>
      </c>
      <c r="C1619" s="41">
        <v>42795</v>
      </c>
      <c r="D1619" t="s">
        <v>2156</v>
      </c>
      <c r="E1619" t="s">
        <v>219</v>
      </c>
      <c r="F1619" t="s">
        <v>460</v>
      </c>
      <c r="G1619" t="s">
        <v>1381</v>
      </c>
      <c r="H1619" t="s">
        <v>280</v>
      </c>
      <c r="I1619" t="s">
        <v>310</v>
      </c>
      <c r="J1619">
        <v>2</v>
      </c>
      <c r="L1619">
        <v>280.32</v>
      </c>
      <c r="M1619">
        <v>477.72</v>
      </c>
      <c r="N1619">
        <v>643.29</v>
      </c>
      <c r="O1619">
        <v>946.87999999999897</v>
      </c>
      <c r="P1619">
        <v>1</v>
      </c>
      <c r="Q1619">
        <v>1</v>
      </c>
      <c r="R1619">
        <v>0</v>
      </c>
      <c r="T1619" t="b">
        <v>1</v>
      </c>
    </row>
    <row r="1620" spans="2:20" x14ac:dyDescent="0.35">
      <c r="B1620">
        <v>2014</v>
      </c>
      <c r="C1620" s="41">
        <v>42795</v>
      </c>
      <c r="D1620" t="s">
        <v>2156</v>
      </c>
      <c r="E1620" t="s">
        <v>219</v>
      </c>
      <c r="F1620" t="s">
        <v>463</v>
      </c>
      <c r="G1620" t="s">
        <v>1381</v>
      </c>
      <c r="H1620" t="s">
        <v>280</v>
      </c>
      <c r="I1620" t="s">
        <v>310</v>
      </c>
      <c r="J1620">
        <v>2</v>
      </c>
      <c r="L1620">
        <v>375.93</v>
      </c>
      <c r="M1620">
        <v>640.66</v>
      </c>
      <c r="N1620">
        <v>862.7</v>
      </c>
      <c r="O1620">
        <v>1269.8399999999999</v>
      </c>
      <c r="P1620">
        <v>1</v>
      </c>
      <c r="Q1620">
        <v>1</v>
      </c>
      <c r="R1620">
        <v>0</v>
      </c>
      <c r="T1620" t="b">
        <v>1</v>
      </c>
    </row>
    <row r="1621" spans="2:20" x14ac:dyDescent="0.35">
      <c r="B1621">
        <v>2014</v>
      </c>
      <c r="C1621" s="41">
        <v>42795</v>
      </c>
      <c r="D1621" t="s">
        <v>2156</v>
      </c>
      <c r="E1621" t="s">
        <v>219</v>
      </c>
      <c r="F1621" t="s">
        <v>1301</v>
      </c>
      <c r="G1621" t="s">
        <v>1381</v>
      </c>
      <c r="H1621" t="s">
        <v>280</v>
      </c>
      <c r="I1621" t="s">
        <v>310</v>
      </c>
      <c r="J1621">
        <v>2</v>
      </c>
      <c r="L1621">
        <v>276.68</v>
      </c>
      <c r="M1621">
        <v>471.52</v>
      </c>
      <c r="N1621">
        <v>634.95000000000005</v>
      </c>
      <c r="O1621">
        <v>934.599999999999</v>
      </c>
      <c r="P1621">
        <v>1</v>
      </c>
      <c r="Q1621">
        <v>1</v>
      </c>
      <c r="R1621">
        <v>0</v>
      </c>
      <c r="T1621" t="b">
        <v>1</v>
      </c>
    </row>
    <row r="1622" spans="2:20" x14ac:dyDescent="0.35">
      <c r="B1622">
        <v>2014</v>
      </c>
      <c r="C1622" s="41">
        <v>42795</v>
      </c>
      <c r="D1622" t="s">
        <v>938</v>
      </c>
      <c r="E1622" t="s">
        <v>219</v>
      </c>
      <c r="F1622" t="s">
        <v>1311</v>
      </c>
      <c r="G1622" t="s">
        <v>1299</v>
      </c>
      <c r="H1622" t="s">
        <v>2157</v>
      </c>
      <c r="I1622" t="s">
        <v>842</v>
      </c>
      <c r="J1622">
        <v>2</v>
      </c>
      <c r="L1622">
        <v>163.63999999999999</v>
      </c>
      <c r="M1622">
        <v>278.87</v>
      </c>
      <c r="N1622">
        <v>375.52</v>
      </c>
      <c r="O1622">
        <v>552.74</v>
      </c>
      <c r="P1622">
        <v>0</v>
      </c>
      <c r="Q1622">
        <v>1</v>
      </c>
      <c r="R1622">
        <v>0</v>
      </c>
      <c r="T1622" t="b">
        <v>1</v>
      </c>
    </row>
    <row r="1623" spans="2:20" x14ac:dyDescent="0.35">
      <c r="B1623">
        <v>2014</v>
      </c>
      <c r="C1623" s="41">
        <v>42795</v>
      </c>
      <c r="D1623" t="s">
        <v>938</v>
      </c>
      <c r="E1623" t="s">
        <v>219</v>
      </c>
      <c r="F1623" t="s">
        <v>1301</v>
      </c>
      <c r="G1623" t="s">
        <v>1299</v>
      </c>
      <c r="H1623" t="s">
        <v>2157</v>
      </c>
      <c r="I1623" t="s">
        <v>842</v>
      </c>
      <c r="J1623">
        <v>2</v>
      </c>
      <c r="L1623">
        <v>205.64</v>
      </c>
      <c r="M1623">
        <v>350.46</v>
      </c>
      <c r="N1623">
        <v>471.91999999999899</v>
      </c>
      <c r="O1623">
        <v>694.64</v>
      </c>
      <c r="P1623">
        <v>0</v>
      </c>
      <c r="Q1623">
        <v>1</v>
      </c>
      <c r="R1623">
        <v>0</v>
      </c>
      <c r="T1623" t="b">
        <v>1</v>
      </c>
    </row>
    <row r="1624" spans="2:20" x14ac:dyDescent="0.35">
      <c r="B1624">
        <v>2014</v>
      </c>
      <c r="C1624" s="41">
        <v>42795</v>
      </c>
      <c r="D1624" t="s">
        <v>938</v>
      </c>
      <c r="E1624" t="s">
        <v>219</v>
      </c>
      <c r="F1624" t="s">
        <v>1309</v>
      </c>
      <c r="G1624" t="s">
        <v>1299</v>
      </c>
      <c r="H1624" t="s">
        <v>2157</v>
      </c>
      <c r="I1624" t="s">
        <v>842</v>
      </c>
      <c r="J1624">
        <v>2</v>
      </c>
      <c r="L1624">
        <v>180.36</v>
      </c>
      <c r="M1624">
        <v>307.37</v>
      </c>
      <c r="N1624">
        <v>413.89</v>
      </c>
      <c r="O1624">
        <v>609.22</v>
      </c>
      <c r="P1624">
        <v>0</v>
      </c>
      <c r="Q1624">
        <v>1</v>
      </c>
      <c r="R1624">
        <v>0</v>
      </c>
      <c r="T1624" t="b">
        <v>1</v>
      </c>
    </row>
    <row r="1625" spans="2:20" x14ac:dyDescent="0.35">
      <c r="B1625">
        <v>2014</v>
      </c>
      <c r="C1625" s="41">
        <v>42795</v>
      </c>
      <c r="D1625" t="s">
        <v>2158</v>
      </c>
      <c r="E1625" t="s">
        <v>219</v>
      </c>
      <c r="F1625" t="s">
        <v>464</v>
      </c>
      <c r="G1625" t="s">
        <v>1381</v>
      </c>
      <c r="H1625" t="s">
        <v>2159</v>
      </c>
      <c r="I1625" t="s">
        <v>842</v>
      </c>
      <c r="J1625">
        <v>2</v>
      </c>
      <c r="L1625">
        <v>248.47</v>
      </c>
      <c r="M1625">
        <v>423.44</v>
      </c>
      <c r="N1625">
        <v>570.20000000000005</v>
      </c>
      <c r="O1625">
        <v>839.3</v>
      </c>
      <c r="P1625">
        <v>0</v>
      </c>
      <c r="Q1625">
        <v>1</v>
      </c>
      <c r="R1625">
        <v>0</v>
      </c>
      <c r="T1625" t="b">
        <v>1</v>
      </c>
    </row>
    <row r="1626" spans="2:20" x14ac:dyDescent="0.35">
      <c r="B1626">
        <v>2014</v>
      </c>
      <c r="C1626" s="41">
        <v>42795</v>
      </c>
      <c r="D1626" t="s">
        <v>2158</v>
      </c>
      <c r="E1626" t="s">
        <v>219</v>
      </c>
      <c r="F1626" t="s">
        <v>1298</v>
      </c>
      <c r="G1626" t="s">
        <v>1381</v>
      </c>
      <c r="H1626" t="s">
        <v>2159</v>
      </c>
      <c r="I1626" t="s">
        <v>842</v>
      </c>
      <c r="J1626">
        <v>2</v>
      </c>
      <c r="L1626">
        <v>278.45999999999998</v>
      </c>
      <c r="M1626">
        <v>474.56</v>
      </c>
      <c r="N1626">
        <v>639.04</v>
      </c>
      <c r="O1626">
        <v>940.61999999999898</v>
      </c>
      <c r="P1626">
        <v>0</v>
      </c>
      <c r="Q1626">
        <v>1</v>
      </c>
      <c r="R1626">
        <v>0</v>
      </c>
      <c r="T1626" t="b">
        <v>1</v>
      </c>
    </row>
    <row r="1627" spans="2:20" x14ac:dyDescent="0.35">
      <c r="B1627">
        <v>2014</v>
      </c>
      <c r="C1627" s="41">
        <v>42795</v>
      </c>
      <c r="D1627" t="s">
        <v>2158</v>
      </c>
      <c r="E1627" t="s">
        <v>219</v>
      </c>
      <c r="F1627" t="s">
        <v>460</v>
      </c>
      <c r="G1627" t="s">
        <v>1381</v>
      </c>
      <c r="H1627" t="s">
        <v>2159</v>
      </c>
      <c r="I1627" t="s">
        <v>842</v>
      </c>
      <c r="J1627">
        <v>2</v>
      </c>
      <c r="L1627">
        <v>246.3</v>
      </c>
      <c r="M1627">
        <v>419.75</v>
      </c>
      <c r="N1627">
        <v>565.23</v>
      </c>
      <c r="O1627">
        <v>831.98</v>
      </c>
      <c r="P1627">
        <v>0</v>
      </c>
      <c r="Q1627">
        <v>1</v>
      </c>
      <c r="R1627">
        <v>0</v>
      </c>
      <c r="T1627" t="b">
        <v>1</v>
      </c>
    </row>
    <row r="1628" spans="2:20" x14ac:dyDescent="0.35">
      <c r="B1628">
        <v>2014</v>
      </c>
      <c r="C1628" s="41">
        <v>42795</v>
      </c>
      <c r="D1628" t="s">
        <v>2158</v>
      </c>
      <c r="E1628" t="s">
        <v>219</v>
      </c>
      <c r="F1628" t="s">
        <v>463</v>
      </c>
      <c r="G1628" t="s">
        <v>1381</v>
      </c>
      <c r="H1628" t="s">
        <v>2159</v>
      </c>
      <c r="I1628" t="s">
        <v>842</v>
      </c>
      <c r="J1628">
        <v>2</v>
      </c>
      <c r="L1628">
        <v>330.31</v>
      </c>
      <c r="M1628">
        <v>562.91</v>
      </c>
      <c r="N1628">
        <v>758.01</v>
      </c>
      <c r="O1628">
        <v>1115.74</v>
      </c>
      <c r="P1628">
        <v>0</v>
      </c>
      <c r="Q1628">
        <v>1</v>
      </c>
      <c r="R1628">
        <v>0</v>
      </c>
      <c r="T1628" t="b">
        <v>1</v>
      </c>
    </row>
    <row r="1629" spans="2:20" x14ac:dyDescent="0.35">
      <c r="B1629">
        <v>2014</v>
      </c>
      <c r="C1629" s="41">
        <v>42795</v>
      </c>
      <c r="D1629" t="s">
        <v>2158</v>
      </c>
      <c r="E1629" t="s">
        <v>219</v>
      </c>
      <c r="F1629" t="s">
        <v>1307</v>
      </c>
      <c r="G1629" t="s">
        <v>1381</v>
      </c>
      <c r="H1629" t="s">
        <v>2159</v>
      </c>
      <c r="I1629" t="s">
        <v>842</v>
      </c>
      <c r="J1629">
        <v>2</v>
      </c>
      <c r="L1629">
        <v>318.2</v>
      </c>
      <c r="M1629">
        <v>542.28</v>
      </c>
      <c r="N1629">
        <v>730.24</v>
      </c>
      <c r="O1629">
        <v>1074.8599999999999</v>
      </c>
      <c r="P1629">
        <v>0</v>
      </c>
      <c r="Q1629">
        <v>1</v>
      </c>
      <c r="R1629">
        <v>0</v>
      </c>
      <c r="T1629" t="b">
        <v>1</v>
      </c>
    </row>
    <row r="1630" spans="2:20" x14ac:dyDescent="0.35">
      <c r="B1630">
        <v>2014</v>
      </c>
      <c r="C1630" s="41">
        <v>42795</v>
      </c>
      <c r="D1630" t="s">
        <v>2158</v>
      </c>
      <c r="E1630" t="s">
        <v>219</v>
      </c>
      <c r="F1630" t="s">
        <v>459</v>
      </c>
      <c r="G1630" t="s">
        <v>1381</v>
      </c>
      <c r="H1630" t="s">
        <v>2159</v>
      </c>
      <c r="I1630" t="s">
        <v>842</v>
      </c>
      <c r="J1630">
        <v>2</v>
      </c>
      <c r="L1630">
        <v>297.33</v>
      </c>
      <c r="M1630">
        <v>506.71</v>
      </c>
      <c r="N1630">
        <v>682.32999999999902</v>
      </c>
      <c r="O1630">
        <v>1004.33999999999</v>
      </c>
      <c r="P1630">
        <v>0</v>
      </c>
      <c r="Q1630">
        <v>1</v>
      </c>
      <c r="R1630">
        <v>0</v>
      </c>
      <c r="T1630" t="b">
        <v>1</v>
      </c>
    </row>
    <row r="1631" spans="2:20" x14ac:dyDescent="0.35">
      <c r="B1631">
        <v>2014</v>
      </c>
      <c r="C1631" s="41">
        <v>42795</v>
      </c>
      <c r="D1631" t="s">
        <v>2158</v>
      </c>
      <c r="E1631" t="s">
        <v>219</v>
      </c>
      <c r="F1631" t="s">
        <v>1310</v>
      </c>
      <c r="G1631" t="s">
        <v>1381</v>
      </c>
      <c r="H1631" t="s">
        <v>2159</v>
      </c>
      <c r="I1631" t="s">
        <v>842</v>
      </c>
      <c r="J1631">
        <v>2</v>
      </c>
      <c r="L1631">
        <v>360.38</v>
      </c>
      <c r="M1631">
        <v>614.15</v>
      </c>
      <c r="N1631">
        <v>827.01</v>
      </c>
      <c r="O1631">
        <v>1217.3</v>
      </c>
      <c r="P1631">
        <v>0</v>
      </c>
      <c r="Q1631">
        <v>1</v>
      </c>
      <c r="R1631">
        <v>0</v>
      </c>
      <c r="T1631" t="b">
        <v>1</v>
      </c>
    </row>
    <row r="1632" spans="2:20" x14ac:dyDescent="0.35">
      <c r="B1632">
        <v>2014</v>
      </c>
      <c r="C1632" s="41">
        <v>42795</v>
      </c>
      <c r="D1632" t="s">
        <v>2158</v>
      </c>
      <c r="E1632" t="s">
        <v>219</v>
      </c>
      <c r="F1632" t="s">
        <v>1390</v>
      </c>
      <c r="G1632" t="s">
        <v>1381</v>
      </c>
      <c r="H1632" t="s">
        <v>2159</v>
      </c>
      <c r="I1632" t="s">
        <v>842</v>
      </c>
      <c r="J1632">
        <v>2</v>
      </c>
      <c r="L1632">
        <v>303.14999999999998</v>
      </c>
      <c r="M1632">
        <v>516.64</v>
      </c>
      <c r="N1632">
        <v>695.7</v>
      </c>
      <c r="O1632">
        <v>1024.02</v>
      </c>
      <c r="P1632">
        <v>0</v>
      </c>
      <c r="Q1632">
        <v>1</v>
      </c>
      <c r="R1632">
        <v>0</v>
      </c>
      <c r="T1632" t="b">
        <v>1</v>
      </c>
    </row>
    <row r="1633" spans="2:20" x14ac:dyDescent="0.35">
      <c r="B1633">
        <v>2014</v>
      </c>
      <c r="C1633" s="41">
        <v>42795</v>
      </c>
      <c r="D1633" t="s">
        <v>2158</v>
      </c>
      <c r="E1633" t="s">
        <v>219</v>
      </c>
      <c r="F1633" t="s">
        <v>461</v>
      </c>
      <c r="G1633" t="s">
        <v>1381</v>
      </c>
      <c r="H1633" t="s">
        <v>2159</v>
      </c>
      <c r="I1633" t="s">
        <v>842</v>
      </c>
      <c r="J1633">
        <v>2</v>
      </c>
      <c r="L1633">
        <v>289.27</v>
      </c>
      <c r="M1633">
        <v>492.97</v>
      </c>
      <c r="N1633">
        <v>663.81999999999903</v>
      </c>
      <c r="O1633">
        <v>977.099999999999</v>
      </c>
      <c r="P1633">
        <v>0</v>
      </c>
      <c r="Q1633">
        <v>1</v>
      </c>
      <c r="R1633">
        <v>0</v>
      </c>
      <c r="T1633" t="b">
        <v>1</v>
      </c>
    </row>
    <row r="1634" spans="2:20" x14ac:dyDescent="0.35">
      <c r="B1634">
        <v>2014</v>
      </c>
      <c r="C1634" s="41">
        <v>42795</v>
      </c>
      <c r="D1634" t="s">
        <v>2158</v>
      </c>
      <c r="E1634" t="s">
        <v>219</v>
      </c>
      <c r="F1634" t="s">
        <v>1301</v>
      </c>
      <c r="G1634" t="s">
        <v>1381</v>
      </c>
      <c r="H1634" t="s">
        <v>2159</v>
      </c>
      <c r="I1634" t="s">
        <v>842</v>
      </c>
      <c r="J1634">
        <v>2</v>
      </c>
      <c r="L1634">
        <v>243.1</v>
      </c>
      <c r="M1634">
        <v>414.3</v>
      </c>
      <c r="N1634">
        <v>557.89</v>
      </c>
      <c r="O1634">
        <v>821.18</v>
      </c>
      <c r="P1634">
        <v>0</v>
      </c>
      <c r="Q1634">
        <v>1</v>
      </c>
      <c r="R1634">
        <v>0</v>
      </c>
      <c r="T1634" t="b">
        <v>1</v>
      </c>
    </row>
    <row r="1635" spans="2:20" x14ac:dyDescent="0.35">
      <c r="B1635">
        <v>2014</v>
      </c>
      <c r="C1635" s="41">
        <v>42795</v>
      </c>
      <c r="D1635" t="s">
        <v>2158</v>
      </c>
      <c r="E1635" t="s">
        <v>219</v>
      </c>
      <c r="F1635" t="s">
        <v>1311</v>
      </c>
      <c r="G1635" t="s">
        <v>1381</v>
      </c>
      <c r="H1635" t="s">
        <v>2159</v>
      </c>
      <c r="I1635" t="s">
        <v>842</v>
      </c>
      <c r="J1635">
        <v>2</v>
      </c>
      <c r="L1635">
        <v>242.74</v>
      </c>
      <c r="M1635">
        <v>413.67</v>
      </c>
      <c r="N1635">
        <v>557.04999999999995</v>
      </c>
      <c r="O1635">
        <v>819.94</v>
      </c>
      <c r="P1635">
        <v>0</v>
      </c>
      <c r="Q1635">
        <v>1</v>
      </c>
      <c r="R1635">
        <v>0</v>
      </c>
      <c r="T1635" t="b">
        <v>1</v>
      </c>
    </row>
    <row r="1636" spans="2:20" x14ac:dyDescent="0.35">
      <c r="B1636">
        <v>2014</v>
      </c>
      <c r="C1636" s="41">
        <v>42795</v>
      </c>
      <c r="D1636" t="s">
        <v>2158</v>
      </c>
      <c r="E1636" t="s">
        <v>219</v>
      </c>
      <c r="F1636" t="s">
        <v>1302</v>
      </c>
      <c r="G1636" t="s">
        <v>1381</v>
      </c>
      <c r="H1636" t="s">
        <v>2159</v>
      </c>
      <c r="I1636" t="s">
        <v>842</v>
      </c>
      <c r="J1636">
        <v>2</v>
      </c>
      <c r="L1636">
        <v>257.73</v>
      </c>
      <c r="M1636">
        <v>439.23</v>
      </c>
      <c r="N1636">
        <v>591.47</v>
      </c>
      <c r="O1636">
        <v>870.599999999999</v>
      </c>
      <c r="P1636">
        <v>0</v>
      </c>
      <c r="Q1636">
        <v>1</v>
      </c>
      <c r="R1636">
        <v>0</v>
      </c>
      <c r="T1636" t="b">
        <v>1</v>
      </c>
    </row>
    <row r="1637" spans="2:20" x14ac:dyDescent="0.35">
      <c r="B1637">
        <v>2014</v>
      </c>
      <c r="C1637" s="41">
        <v>42795</v>
      </c>
      <c r="D1637" t="s">
        <v>2158</v>
      </c>
      <c r="E1637" t="s">
        <v>219</v>
      </c>
      <c r="F1637" t="s">
        <v>1309</v>
      </c>
      <c r="G1637" t="s">
        <v>1381</v>
      </c>
      <c r="H1637" t="s">
        <v>2159</v>
      </c>
      <c r="I1637" t="s">
        <v>842</v>
      </c>
      <c r="J1637">
        <v>2</v>
      </c>
      <c r="L1637">
        <v>251.03</v>
      </c>
      <c r="M1637">
        <v>427.8</v>
      </c>
      <c r="N1637">
        <v>576.06999999999903</v>
      </c>
      <c r="O1637">
        <v>847.94</v>
      </c>
      <c r="P1637">
        <v>0</v>
      </c>
      <c r="Q1637">
        <v>1</v>
      </c>
      <c r="R1637">
        <v>0</v>
      </c>
      <c r="T1637" t="b">
        <v>1</v>
      </c>
    </row>
    <row r="1638" spans="2:20" x14ac:dyDescent="0.35">
      <c r="B1638">
        <v>2014</v>
      </c>
      <c r="C1638" s="41">
        <v>42795</v>
      </c>
      <c r="D1638" t="s">
        <v>2158</v>
      </c>
      <c r="E1638" t="s">
        <v>219</v>
      </c>
      <c r="F1638" t="s">
        <v>458</v>
      </c>
      <c r="G1638" t="s">
        <v>1381</v>
      </c>
      <c r="H1638" t="s">
        <v>2159</v>
      </c>
      <c r="I1638" t="s">
        <v>842</v>
      </c>
      <c r="J1638">
        <v>2</v>
      </c>
      <c r="L1638">
        <v>230.82</v>
      </c>
      <c r="M1638">
        <v>393.37</v>
      </c>
      <c r="N1638">
        <v>529.70000000000005</v>
      </c>
      <c r="O1638">
        <v>779.68</v>
      </c>
      <c r="P1638">
        <v>0</v>
      </c>
      <c r="Q1638">
        <v>1</v>
      </c>
      <c r="R1638">
        <v>0</v>
      </c>
      <c r="T1638" t="b">
        <v>1</v>
      </c>
    </row>
    <row r="1639" spans="2:20" x14ac:dyDescent="0.35">
      <c r="B1639">
        <v>2014</v>
      </c>
      <c r="C1639" s="41">
        <v>42795</v>
      </c>
      <c r="D1639" t="s">
        <v>2158</v>
      </c>
      <c r="E1639" t="s">
        <v>219</v>
      </c>
      <c r="F1639" t="s">
        <v>1389</v>
      </c>
      <c r="G1639" t="s">
        <v>1381</v>
      </c>
      <c r="H1639" t="s">
        <v>2159</v>
      </c>
      <c r="I1639" t="s">
        <v>842</v>
      </c>
      <c r="J1639">
        <v>2</v>
      </c>
      <c r="L1639">
        <v>251.13</v>
      </c>
      <c r="M1639">
        <v>427.98</v>
      </c>
      <c r="N1639">
        <v>576.31999999999903</v>
      </c>
      <c r="O1639">
        <v>848.3</v>
      </c>
      <c r="P1639">
        <v>0</v>
      </c>
      <c r="Q1639">
        <v>1</v>
      </c>
      <c r="R1639">
        <v>0</v>
      </c>
      <c r="T1639" t="b">
        <v>1</v>
      </c>
    </row>
    <row r="1640" spans="2:20" x14ac:dyDescent="0.35">
      <c r="B1640">
        <v>2014</v>
      </c>
      <c r="C1640" s="41">
        <v>42795</v>
      </c>
      <c r="D1640" t="s">
        <v>2158</v>
      </c>
      <c r="E1640" t="s">
        <v>219</v>
      </c>
      <c r="F1640" t="s">
        <v>462</v>
      </c>
      <c r="G1640" t="s">
        <v>1381</v>
      </c>
      <c r="H1640" t="s">
        <v>2159</v>
      </c>
      <c r="I1640" t="s">
        <v>842</v>
      </c>
      <c r="J1640">
        <v>2</v>
      </c>
      <c r="L1640">
        <v>267.49</v>
      </c>
      <c r="M1640">
        <v>455.86</v>
      </c>
      <c r="N1640">
        <v>613.86</v>
      </c>
      <c r="O1640">
        <v>903.56</v>
      </c>
      <c r="P1640">
        <v>0</v>
      </c>
      <c r="Q1640">
        <v>1</v>
      </c>
      <c r="R1640">
        <v>0</v>
      </c>
      <c r="T1640" t="b">
        <v>1</v>
      </c>
    </row>
    <row r="1641" spans="2:20" x14ac:dyDescent="0.35">
      <c r="B1641">
        <v>2014</v>
      </c>
      <c r="C1641" s="41">
        <v>42795</v>
      </c>
      <c r="D1641" t="s">
        <v>2160</v>
      </c>
      <c r="E1641" t="s">
        <v>219</v>
      </c>
      <c r="F1641" t="s">
        <v>1301</v>
      </c>
      <c r="G1641" t="s">
        <v>1299</v>
      </c>
      <c r="H1641" t="s">
        <v>266</v>
      </c>
      <c r="I1641" t="s">
        <v>310</v>
      </c>
      <c r="J1641">
        <v>2</v>
      </c>
      <c r="L1641">
        <v>260.45999999999998</v>
      </c>
      <c r="M1641">
        <v>443.88</v>
      </c>
      <c r="N1641">
        <v>597.72</v>
      </c>
      <c r="O1641">
        <v>879.8</v>
      </c>
      <c r="P1641">
        <v>1</v>
      </c>
      <c r="Q1641">
        <v>1</v>
      </c>
      <c r="R1641">
        <v>0</v>
      </c>
      <c r="T1641" t="b">
        <v>1</v>
      </c>
    </row>
    <row r="1642" spans="2:20" x14ac:dyDescent="0.35">
      <c r="B1642">
        <v>2014</v>
      </c>
      <c r="C1642" s="41">
        <v>42795</v>
      </c>
      <c r="D1642" t="s">
        <v>2160</v>
      </c>
      <c r="E1642" t="s">
        <v>219</v>
      </c>
      <c r="F1642" t="s">
        <v>1311</v>
      </c>
      <c r="G1642" t="s">
        <v>1299</v>
      </c>
      <c r="H1642" t="s">
        <v>266</v>
      </c>
      <c r="I1642" t="s">
        <v>310</v>
      </c>
      <c r="J1642">
        <v>2</v>
      </c>
      <c r="L1642">
        <v>207.26</v>
      </c>
      <c r="M1642">
        <v>353.21</v>
      </c>
      <c r="N1642">
        <v>475.63</v>
      </c>
      <c r="O1642">
        <v>700.1</v>
      </c>
      <c r="P1642">
        <v>1</v>
      </c>
      <c r="Q1642">
        <v>1</v>
      </c>
      <c r="R1642">
        <v>0</v>
      </c>
      <c r="T1642" t="b">
        <v>1</v>
      </c>
    </row>
    <row r="1643" spans="2:20" x14ac:dyDescent="0.35">
      <c r="B1643">
        <v>2014</v>
      </c>
      <c r="C1643" s="41">
        <v>42795</v>
      </c>
      <c r="D1643" t="s">
        <v>2160</v>
      </c>
      <c r="E1643" t="s">
        <v>219</v>
      </c>
      <c r="F1643" t="s">
        <v>1309</v>
      </c>
      <c r="G1643" t="s">
        <v>1299</v>
      </c>
      <c r="H1643" t="s">
        <v>266</v>
      </c>
      <c r="I1643" t="s">
        <v>310</v>
      </c>
      <c r="J1643">
        <v>2</v>
      </c>
      <c r="L1643">
        <v>228.44</v>
      </c>
      <c r="M1643">
        <v>389.31</v>
      </c>
      <c r="N1643">
        <v>524.24</v>
      </c>
      <c r="O1643">
        <v>771.64</v>
      </c>
      <c r="P1643">
        <v>1</v>
      </c>
      <c r="Q1643">
        <v>1</v>
      </c>
      <c r="R1643">
        <v>0</v>
      </c>
      <c r="T1643" t="b">
        <v>1</v>
      </c>
    </row>
    <row r="1644" spans="2:20" x14ac:dyDescent="0.35">
      <c r="B1644">
        <v>2014</v>
      </c>
      <c r="C1644" s="41">
        <v>42795</v>
      </c>
      <c r="D1644" t="s">
        <v>271</v>
      </c>
      <c r="E1644" t="s">
        <v>219</v>
      </c>
      <c r="F1644" t="s">
        <v>459</v>
      </c>
      <c r="G1644" t="s">
        <v>1381</v>
      </c>
      <c r="H1644" t="s">
        <v>272</v>
      </c>
      <c r="I1644" t="s">
        <v>310</v>
      </c>
      <c r="J1644">
        <v>2</v>
      </c>
      <c r="L1644">
        <v>311.8</v>
      </c>
      <c r="M1644">
        <v>531.37</v>
      </c>
      <c r="N1644">
        <v>715.55</v>
      </c>
      <c r="O1644">
        <v>1053.24</v>
      </c>
      <c r="P1644">
        <v>0</v>
      </c>
      <c r="Q1644">
        <v>1</v>
      </c>
      <c r="R1644">
        <v>0</v>
      </c>
      <c r="T1644" t="b">
        <v>1</v>
      </c>
    </row>
    <row r="1645" spans="2:20" x14ac:dyDescent="0.35">
      <c r="B1645">
        <v>2014</v>
      </c>
      <c r="C1645" s="41">
        <v>42795</v>
      </c>
      <c r="D1645" t="s">
        <v>271</v>
      </c>
      <c r="E1645" t="s">
        <v>219</v>
      </c>
      <c r="F1645" t="s">
        <v>463</v>
      </c>
      <c r="G1645" t="s">
        <v>1381</v>
      </c>
      <c r="H1645" t="s">
        <v>272</v>
      </c>
      <c r="I1645" t="s">
        <v>310</v>
      </c>
      <c r="J1645">
        <v>2</v>
      </c>
      <c r="L1645">
        <v>346.4</v>
      </c>
      <c r="M1645">
        <v>590.33000000000004</v>
      </c>
      <c r="N1645">
        <v>794.93</v>
      </c>
      <c r="O1645">
        <v>1170.08</v>
      </c>
      <c r="P1645">
        <v>0</v>
      </c>
      <c r="Q1645">
        <v>1</v>
      </c>
      <c r="R1645">
        <v>0</v>
      </c>
      <c r="T1645" t="b">
        <v>1</v>
      </c>
    </row>
    <row r="1646" spans="2:20" x14ac:dyDescent="0.35">
      <c r="B1646">
        <v>2014</v>
      </c>
      <c r="C1646" s="41">
        <v>42795</v>
      </c>
      <c r="D1646" t="s">
        <v>271</v>
      </c>
      <c r="E1646" t="s">
        <v>219</v>
      </c>
      <c r="F1646" t="s">
        <v>1310</v>
      </c>
      <c r="G1646" t="s">
        <v>1381</v>
      </c>
      <c r="H1646" t="s">
        <v>272</v>
      </c>
      <c r="I1646" t="s">
        <v>310</v>
      </c>
      <c r="J1646">
        <v>2</v>
      </c>
      <c r="L1646">
        <v>377.92</v>
      </c>
      <c r="M1646">
        <v>644.04999999999995</v>
      </c>
      <c r="N1646">
        <v>867.27</v>
      </c>
      <c r="O1646">
        <v>1276.56</v>
      </c>
      <c r="P1646">
        <v>0</v>
      </c>
      <c r="Q1646">
        <v>1</v>
      </c>
      <c r="R1646">
        <v>0</v>
      </c>
      <c r="T1646" t="b">
        <v>1</v>
      </c>
    </row>
    <row r="1647" spans="2:20" x14ac:dyDescent="0.35">
      <c r="B1647">
        <v>2014</v>
      </c>
      <c r="C1647" s="41">
        <v>42795</v>
      </c>
      <c r="D1647" t="s">
        <v>271</v>
      </c>
      <c r="E1647" t="s">
        <v>219</v>
      </c>
      <c r="F1647" t="s">
        <v>458</v>
      </c>
      <c r="G1647" t="s">
        <v>1381</v>
      </c>
      <c r="H1647" t="s">
        <v>272</v>
      </c>
      <c r="I1647" t="s">
        <v>310</v>
      </c>
      <c r="J1647">
        <v>2</v>
      </c>
      <c r="L1647">
        <v>242.06</v>
      </c>
      <c r="M1647">
        <v>412.51</v>
      </c>
      <c r="N1647">
        <v>555.49</v>
      </c>
      <c r="O1647">
        <v>817.63999999999896</v>
      </c>
      <c r="P1647">
        <v>0</v>
      </c>
      <c r="Q1647">
        <v>1</v>
      </c>
      <c r="R1647">
        <v>0</v>
      </c>
      <c r="T1647" t="b">
        <v>1</v>
      </c>
    </row>
    <row r="1648" spans="2:20" x14ac:dyDescent="0.35">
      <c r="B1648">
        <v>2014</v>
      </c>
      <c r="C1648" s="41">
        <v>42795</v>
      </c>
      <c r="D1648" t="s">
        <v>271</v>
      </c>
      <c r="E1648" t="s">
        <v>219</v>
      </c>
      <c r="F1648" t="s">
        <v>1389</v>
      </c>
      <c r="G1648" t="s">
        <v>1381</v>
      </c>
      <c r="H1648" t="s">
        <v>272</v>
      </c>
      <c r="I1648" t="s">
        <v>310</v>
      </c>
      <c r="J1648">
        <v>2</v>
      </c>
      <c r="L1648">
        <v>263.36</v>
      </c>
      <c r="M1648">
        <v>448.82</v>
      </c>
      <c r="N1648">
        <v>604.39</v>
      </c>
      <c r="O1648">
        <v>889.62</v>
      </c>
      <c r="P1648">
        <v>0</v>
      </c>
      <c r="Q1648">
        <v>1</v>
      </c>
      <c r="R1648">
        <v>0</v>
      </c>
      <c r="T1648" t="b">
        <v>1</v>
      </c>
    </row>
    <row r="1649" spans="2:20" x14ac:dyDescent="0.35">
      <c r="B1649">
        <v>2014</v>
      </c>
      <c r="C1649" s="41">
        <v>42795</v>
      </c>
      <c r="D1649" t="s">
        <v>271</v>
      </c>
      <c r="E1649" t="s">
        <v>219</v>
      </c>
      <c r="F1649" t="s">
        <v>1298</v>
      </c>
      <c r="G1649" t="s">
        <v>1381</v>
      </c>
      <c r="H1649" t="s">
        <v>272</v>
      </c>
      <c r="I1649" t="s">
        <v>310</v>
      </c>
      <c r="J1649">
        <v>2</v>
      </c>
      <c r="L1649">
        <v>292.02999999999997</v>
      </c>
      <c r="M1649">
        <v>497.67</v>
      </c>
      <c r="N1649">
        <v>670.15</v>
      </c>
      <c r="O1649">
        <v>986.42</v>
      </c>
      <c r="P1649">
        <v>0</v>
      </c>
      <c r="Q1649">
        <v>1</v>
      </c>
      <c r="R1649">
        <v>0</v>
      </c>
      <c r="T1649" t="b">
        <v>1</v>
      </c>
    </row>
    <row r="1650" spans="2:20" x14ac:dyDescent="0.35">
      <c r="B1650">
        <v>2014</v>
      </c>
      <c r="C1650" s="41">
        <v>42795</v>
      </c>
      <c r="D1650" t="s">
        <v>271</v>
      </c>
      <c r="E1650" t="s">
        <v>219</v>
      </c>
      <c r="F1650" t="s">
        <v>1302</v>
      </c>
      <c r="G1650" t="s">
        <v>1381</v>
      </c>
      <c r="H1650" t="s">
        <v>272</v>
      </c>
      <c r="I1650" t="s">
        <v>310</v>
      </c>
      <c r="J1650">
        <v>2</v>
      </c>
      <c r="L1650">
        <v>270.29000000000002</v>
      </c>
      <c r="M1650">
        <v>460.63</v>
      </c>
      <c r="N1650">
        <v>620.27</v>
      </c>
      <c r="O1650">
        <v>913</v>
      </c>
      <c r="P1650">
        <v>0</v>
      </c>
      <c r="Q1650">
        <v>1</v>
      </c>
      <c r="R1650">
        <v>0</v>
      </c>
      <c r="T1650" t="b">
        <v>1</v>
      </c>
    </row>
    <row r="1651" spans="2:20" x14ac:dyDescent="0.35">
      <c r="B1651">
        <v>2014</v>
      </c>
      <c r="C1651" s="41">
        <v>42795</v>
      </c>
      <c r="D1651" t="s">
        <v>271</v>
      </c>
      <c r="E1651" t="s">
        <v>219</v>
      </c>
      <c r="F1651" t="s">
        <v>1311</v>
      </c>
      <c r="G1651" t="s">
        <v>1381</v>
      </c>
      <c r="H1651" t="s">
        <v>272</v>
      </c>
      <c r="I1651" t="s">
        <v>310</v>
      </c>
      <c r="J1651">
        <v>2</v>
      </c>
      <c r="L1651">
        <v>254.56</v>
      </c>
      <c r="M1651">
        <v>433.82</v>
      </c>
      <c r="N1651">
        <v>584.16999999999996</v>
      </c>
      <c r="O1651">
        <v>859.86</v>
      </c>
      <c r="P1651">
        <v>0</v>
      </c>
      <c r="Q1651">
        <v>1</v>
      </c>
      <c r="R1651">
        <v>0</v>
      </c>
      <c r="T1651" t="b">
        <v>1</v>
      </c>
    </row>
    <row r="1652" spans="2:20" x14ac:dyDescent="0.35">
      <c r="B1652">
        <v>2014</v>
      </c>
      <c r="C1652" s="41">
        <v>42795</v>
      </c>
      <c r="D1652" t="s">
        <v>271</v>
      </c>
      <c r="E1652" t="s">
        <v>219</v>
      </c>
      <c r="F1652" t="s">
        <v>460</v>
      </c>
      <c r="G1652" t="s">
        <v>1381</v>
      </c>
      <c r="H1652" t="s">
        <v>272</v>
      </c>
      <c r="I1652" t="s">
        <v>310</v>
      </c>
      <c r="J1652">
        <v>2</v>
      </c>
      <c r="L1652">
        <v>258.3</v>
      </c>
      <c r="M1652">
        <v>440.2</v>
      </c>
      <c r="N1652">
        <v>592.76</v>
      </c>
      <c r="O1652">
        <v>872.5</v>
      </c>
      <c r="P1652">
        <v>0</v>
      </c>
      <c r="Q1652">
        <v>1</v>
      </c>
      <c r="R1652">
        <v>0</v>
      </c>
      <c r="T1652" t="b">
        <v>1</v>
      </c>
    </row>
    <row r="1653" spans="2:20" x14ac:dyDescent="0.35">
      <c r="B1653">
        <v>2014</v>
      </c>
      <c r="C1653" s="41">
        <v>42795</v>
      </c>
      <c r="D1653" t="s">
        <v>271</v>
      </c>
      <c r="E1653" t="s">
        <v>219</v>
      </c>
      <c r="F1653" t="s">
        <v>462</v>
      </c>
      <c r="G1653" t="s">
        <v>1381</v>
      </c>
      <c r="H1653" t="s">
        <v>272</v>
      </c>
      <c r="I1653" t="s">
        <v>310</v>
      </c>
      <c r="J1653">
        <v>2</v>
      </c>
      <c r="L1653">
        <v>280.52</v>
      </c>
      <c r="M1653">
        <v>478.06</v>
      </c>
      <c r="N1653">
        <v>643.75</v>
      </c>
      <c r="O1653">
        <v>947.56</v>
      </c>
      <c r="P1653">
        <v>0</v>
      </c>
      <c r="Q1653">
        <v>1</v>
      </c>
      <c r="R1653">
        <v>0</v>
      </c>
      <c r="T1653" t="b">
        <v>1</v>
      </c>
    </row>
    <row r="1654" spans="2:20" x14ac:dyDescent="0.35">
      <c r="B1654">
        <v>2014</v>
      </c>
      <c r="C1654" s="41">
        <v>42795</v>
      </c>
      <c r="D1654" t="s">
        <v>271</v>
      </c>
      <c r="E1654" t="s">
        <v>219</v>
      </c>
      <c r="F1654" t="s">
        <v>1309</v>
      </c>
      <c r="G1654" t="s">
        <v>1381</v>
      </c>
      <c r="H1654" t="s">
        <v>272</v>
      </c>
      <c r="I1654" t="s">
        <v>310</v>
      </c>
      <c r="J1654">
        <v>2</v>
      </c>
      <c r="L1654">
        <v>263.25</v>
      </c>
      <c r="M1654">
        <v>448.63</v>
      </c>
      <c r="N1654">
        <v>604.12</v>
      </c>
      <c r="O1654">
        <v>889.22</v>
      </c>
      <c r="P1654">
        <v>0</v>
      </c>
      <c r="Q1654">
        <v>1</v>
      </c>
      <c r="R1654">
        <v>0</v>
      </c>
      <c r="T1654" t="b">
        <v>1</v>
      </c>
    </row>
    <row r="1655" spans="2:20" x14ac:dyDescent="0.35">
      <c r="B1655">
        <v>2014</v>
      </c>
      <c r="C1655" s="41">
        <v>42795</v>
      </c>
      <c r="D1655" t="s">
        <v>271</v>
      </c>
      <c r="E1655" t="s">
        <v>219</v>
      </c>
      <c r="F1655" t="s">
        <v>1307</v>
      </c>
      <c r="G1655" t="s">
        <v>1381</v>
      </c>
      <c r="H1655" t="s">
        <v>272</v>
      </c>
      <c r="I1655" t="s">
        <v>310</v>
      </c>
      <c r="J1655">
        <v>2</v>
      </c>
      <c r="L1655">
        <v>333.69</v>
      </c>
      <c r="M1655">
        <v>568.67999999999995</v>
      </c>
      <c r="N1655">
        <v>765.78</v>
      </c>
      <c r="O1655">
        <v>1127.1799999999901</v>
      </c>
      <c r="P1655">
        <v>0</v>
      </c>
      <c r="Q1655">
        <v>1</v>
      </c>
      <c r="R1655">
        <v>0</v>
      </c>
      <c r="T1655" t="b">
        <v>1</v>
      </c>
    </row>
    <row r="1656" spans="2:20" x14ac:dyDescent="0.35">
      <c r="B1656">
        <v>2014</v>
      </c>
      <c r="C1656" s="41">
        <v>42795</v>
      </c>
      <c r="D1656" t="s">
        <v>271</v>
      </c>
      <c r="E1656" t="s">
        <v>219</v>
      </c>
      <c r="F1656" t="s">
        <v>464</v>
      </c>
      <c r="G1656" t="s">
        <v>1381</v>
      </c>
      <c r="H1656" t="s">
        <v>272</v>
      </c>
      <c r="I1656" t="s">
        <v>310</v>
      </c>
      <c r="J1656">
        <v>2</v>
      </c>
      <c r="L1656">
        <v>260.57</v>
      </c>
      <c r="M1656">
        <v>444.07</v>
      </c>
      <c r="N1656">
        <v>597.99</v>
      </c>
      <c r="O1656">
        <v>880.19999999999902</v>
      </c>
      <c r="P1656">
        <v>0</v>
      </c>
      <c r="Q1656">
        <v>1</v>
      </c>
      <c r="R1656">
        <v>0</v>
      </c>
      <c r="T1656" t="b">
        <v>1</v>
      </c>
    </row>
    <row r="1657" spans="2:20" x14ac:dyDescent="0.35">
      <c r="B1657">
        <v>2014</v>
      </c>
      <c r="C1657" s="41">
        <v>42795</v>
      </c>
      <c r="D1657" t="s">
        <v>271</v>
      </c>
      <c r="E1657" t="s">
        <v>219</v>
      </c>
      <c r="F1657" t="s">
        <v>1390</v>
      </c>
      <c r="G1657" t="s">
        <v>1381</v>
      </c>
      <c r="H1657" t="s">
        <v>272</v>
      </c>
      <c r="I1657" t="s">
        <v>310</v>
      </c>
      <c r="J1657">
        <v>2</v>
      </c>
      <c r="L1657">
        <v>317.92</v>
      </c>
      <c r="M1657">
        <v>541.79999999999995</v>
      </c>
      <c r="N1657">
        <v>729.56999999999903</v>
      </c>
      <c r="O1657">
        <v>1073.8800000000001</v>
      </c>
      <c r="P1657">
        <v>0</v>
      </c>
      <c r="Q1657">
        <v>1</v>
      </c>
      <c r="R1657">
        <v>0</v>
      </c>
      <c r="T1657" t="b">
        <v>1</v>
      </c>
    </row>
    <row r="1658" spans="2:20" x14ac:dyDescent="0.35">
      <c r="B1658">
        <v>2014</v>
      </c>
      <c r="C1658" s="41">
        <v>42795</v>
      </c>
      <c r="D1658" t="s">
        <v>271</v>
      </c>
      <c r="E1658" t="s">
        <v>219</v>
      </c>
      <c r="F1658" t="s">
        <v>1301</v>
      </c>
      <c r="G1658" t="s">
        <v>1381</v>
      </c>
      <c r="H1658" t="s">
        <v>272</v>
      </c>
      <c r="I1658" t="s">
        <v>310</v>
      </c>
      <c r="J1658">
        <v>2</v>
      </c>
      <c r="L1658">
        <v>254.95</v>
      </c>
      <c r="M1658">
        <v>434.48</v>
      </c>
      <c r="N1658">
        <v>585.06999999999903</v>
      </c>
      <c r="O1658">
        <v>861.18</v>
      </c>
      <c r="P1658">
        <v>0</v>
      </c>
      <c r="Q1658">
        <v>1</v>
      </c>
      <c r="R1658">
        <v>0</v>
      </c>
      <c r="T1658" t="b">
        <v>1</v>
      </c>
    </row>
    <row r="1659" spans="2:20" x14ac:dyDescent="0.35">
      <c r="B1659">
        <v>2014</v>
      </c>
      <c r="C1659" s="41">
        <v>42795</v>
      </c>
      <c r="D1659" t="s">
        <v>271</v>
      </c>
      <c r="E1659" t="s">
        <v>219</v>
      </c>
      <c r="F1659" t="s">
        <v>461</v>
      </c>
      <c r="G1659" t="s">
        <v>1381</v>
      </c>
      <c r="H1659" t="s">
        <v>272</v>
      </c>
      <c r="I1659" t="s">
        <v>310</v>
      </c>
      <c r="J1659">
        <v>2</v>
      </c>
      <c r="L1659">
        <v>303.36</v>
      </c>
      <c r="M1659">
        <v>516.99</v>
      </c>
      <c r="N1659">
        <v>696.17</v>
      </c>
      <c r="O1659">
        <v>1024.72</v>
      </c>
      <c r="P1659">
        <v>0</v>
      </c>
      <c r="Q1659">
        <v>1</v>
      </c>
      <c r="R1659">
        <v>0</v>
      </c>
      <c r="T1659" t="b">
        <v>1</v>
      </c>
    </row>
    <row r="1660" spans="2:20" x14ac:dyDescent="0.35">
      <c r="B1660">
        <v>2014</v>
      </c>
      <c r="C1660" s="41">
        <v>42795</v>
      </c>
      <c r="D1660" t="s">
        <v>290</v>
      </c>
      <c r="E1660" t="s">
        <v>219</v>
      </c>
      <c r="F1660" t="s">
        <v>1309</v>
      </c>
      <c r="G1660" t="s">
        <v>1299</v>
      </c>
      <c r="H1660" t="s">
        <v>268</v>
      </c>
      <c r="I1660" t="s">
        <v>310</v>
      </c>
      <c r="J1660">
        <v>2</v>
      </c>
      <c r="L1660">
        <v>231.58</v>
      </c>
      <c r="M1660">
        <v>394.65</v>
      </c>
      <c r="N1660">
        <v>531.44000000000005</v>
      </c>
      <c r="O1660">
        <v>782.24</v>
      </c>
      <c r="P1660">
        <v>0</v>
      </c>
      <c r="Q1660">
        <v>1</v>
      </c>
      <c r="R1660">
        <v>0</v>
      </c>
      <c r="T1660" t="b">
        <v>1</v>
      </c>
    </row>
    <row r="1661" spans="2:20" x14ac:dyDescent="0.35">
      <c r="B1661">
        <v>2014</v>
      </c>
      <c r="C1661" s="41">
        <v>42795</v>
      </c>
      <c r="D1661" t="s">
        <v>290</v>
      </c>
      <c r="E1661" t="s">
        <v>219</v>
      </c>
      <c r="F1661" t="s">
        <v>1301</v>
      </c>
      <c r="G1661" t="s">
        <v>1299</v>
      </c>
      <c r="H1661" t="s">
        <v>268</v>
      </c>
      <c r="I1661" t="s">
        <v>310</v>
      </c>
      <c r="J1661">
        <v>2</v>
      </c>
      <c r="L1661">
        <v>264.04000000000002</v>
      </c>
      <c r="M1661">
        <v>449.97</v>
      </c>
      <c r="N1661">
        <v>605.94000000000005</v>
      </c>
      <c r="O1661">
        <v>891.9</v>
      </c>
      <c r="P1661">
        <v>0</v>
      </c>
      <c r="Q1661">
        <v>1</v>
      </c>
      <c r="R1661">
        <v>0</v>
      </c>
      <c r="T1661" t="b">
        <v>1</v>
      </c>
    </row>
    <row r="1662" spans="2:20" x14ac:dyDescent="0.35">
      <c r="B1662">
        <v>2014</v>
      </c>
      <c r="C1662" s="41">
        <v>42795</v>
      </c>
      <c r="D1662" t="s">
        <v>290</v>
      </c>
      <c r="E1662" t="s">
        <v>219</v>
      </c>
      <c r="F1662" t="s">
        <v>1311</v>
      </c>
      <c r="G1662" t="s">
        <v>1299</v>
      </c>
      <c r="H1662" t="s">
        <v>268</v>
      </c>
      <c r="I1662" t="s">
        <v>310</v>
      </c>
      <c r="J1662">
        <v>2</v>
      </c>
      <c r="L1662">
        <v>210.11</v>
      </c>
      <c r="M1662">
        <v>358.06</v>
      </c>
      <c r="N1662">
        <v>482.17</v>
      </c>
      <c r="O1662">
        <v>709.72</v>
      </c>
      <c r="P1662">
        <v>0</v>
      </c>
      <c r="Q1662">
        <v>1</v>
      </c>
      <c r="R1662">
        <v>0</v>
      </c>
      <c r="T1662" t="b">
        <v>1</v>
      </c>
    </row>
    <row r="1663" spans="2:20" x14ac:dyDescent="0.35">
      <c r="B1663">
        <v>2014</v>
      </c>
      <c r="C1663" s="41">
        <v>42795</v>
      </c>
      <c r="D1663" t="s">
        <v>2161</v>
      </c>
      <c r="E1663" t="s">
        <v>219</v>
      </c>
      <c r="F1663" t="s">
        <v>1311</v>
      </c>
      <c r="G1663" t="s">
        <v>1381</v>
      </c>
      <c r="H1663" t="s">
        <v>274</v>
      </c>
      <c r="I1663" t="s">
        <v>310</v>
      </c>
      <c r="J1663">
        <v>2</v>
      </c>
      <c r="L1663">
        <v>265.81</v>
      </c>
      <c r="M1663">
        <v>453</v>
      </c>
      <c r="N1663">
        <v>610</v>
      </c>
      <c r="O1663">
        <v>897.88</v>
      </c>
      <c r="P1663">
        <v>1</v>
      </c>
      <c r="Q1663">
        <v>1</v>
      </c>
      <c r="R1663">
        <v>0</v>
      </c>
      <c r="T1663" t="b">
        <v>1</v>
      </c>
    </row>
    <row r="1664" spans="2:20" x14ac:dyDescent="0.35">
      <c r="B1664">
        <v>2014</v>
      </c>
      <c r="C1664" s="41">
        <v>42795</v>
      </c>
      <c r="D1664" t="s">
        <v>2161</v>
      </c>
      <c r="E1664" t="s">
        <v>219</v>
      </c>
      <c r="F1664" t="s">
        <v>1309</v>
      </c>
      <c r="G1664" t="s">
        <v>1381</v>
      </c>
      <c r="H1664" t="s">
        <v>274</v>
      </c>
      <c r="I1664" t="s">
        <v>310</v>
      </c>
      <c r="J1664">
        <v>2</v>
      </c>
      <c r="L1664">
        <v>274.89</v>
      </c>
      <c r="M1664">
        <v>468.47</v>
      </c>
      <c r="N1664">
        <v>630.82999999999902</v>
      </c>
      <c r="O1664">
        <v>928.54</v>
      </c>
      <c r="P1664">
        <v>1</v>
      </c>
      <c r="Q1664">
        <v>1</v>
      </c>
      <c r="R1664">
        <v>0</v>
      </c>
      <c r="T1664" t="b">
        <v>1</v>
      </c>
    </row>
    <row r="1665" spans="2:20" x14ac:dyDescent="0.35">
      <c r="B1665">
        <v>2014</v>
      </c>
      <c r="C1665" s="41">
        <v>42795</v>
      </c>
      <c r="D1665" t="s">
        <v>2161</v>
      </c>
      <c r="E1665" t="s">
        <v>219</v>
      </c>
      <c r="F1665" t="s">
        <v>1310</v>
      </c>
      <c r="G1665" t="s">
        <v>1381</v>
      </c>
      <c r="H1665" t="s">
        <v>274</v>
      </c>
      <c r="I1665" t="s">
        <v>310</v>
      </c>
      <c r="J1665">
        <v>2</v>
      </c>
      <c r="L1665">
        <v>394.62</v>
      </c>
      <c r="M1665">
        <v>672.52</v>
      </c>
      <c r="N1665">
        <v>905.6</v>
      </c>
      <c r="O1665">
        <v>1332.98</v>
      </c>
      <c r="P1665">
        <v>1</v>
      </c>
      <c r="Q1665">
        <v>1</v>
      </c>
      <c r="R1665">
        <v>0</v>
      </c>
      <c r="T1665" t="b">
        <v>1</v>
      </c>
    </row>
    <row r="1666" spans="2:20" x14ac:dyDescent="0.35">
      <c r="B1666">
        <v>2014</v>
      </c>
      <c r="C1666" s="41">
        <v>42795</v>
      </c>
      <c r="D1666" t="s">
        <v>2161</v>
      </c>
      <c r="E1666" t="s">
        <v>219</v>
      </c>
      <c r="F1666" t="s">
        <v>459</v>
      </c>
      <c r="G1666" t="s">
        <v>1381</v>
      </c>
      <c r="H1666" t="s">
        <v>274</v>
      </c>
      <c r="I1666" t="s">
        <v>310</v>
      </c>
      <c r="J1666">
        <v>2</v>
      </c>
      <c r="L1666">
        <v>325.58</v>
      </c>
      <c r="M1666">
        <v>554.86</v>
      </c>
      <c r="N1666">
        <v>747.17</v>
      </c>
      <c r="O1666">
        <v>1099.78</v>
      </c>
      <c r="P1666">
        <v>1</v>
      </c>
      <c r="Q1666">
        <v>1</v>
      </c>
      <c r="R1666">
        <v>0</v>
      </c>
      <c r="T1666" t="b">
        <v>1</v>
      </c>
    </row>
    <row r="1667" spans="2:20" x14ac:dyDescent="0.35">
      <c r="B1667">
        <v>2014</v>
      </c>
      <c r="C1667" s="41">
        <v>42795</v>
      </c>
      <c r="D1667" t="s">
        <v>2161</v>
      </c>
      <c r="E1667" t="s">
        <v>219</v>
      </c>
      <c r="F1667" t="s">
        <v>461</v>
      </c>
      <c r="G1667" t="s">
        <v>1381</v>
      </c>
      <c r="H1667" t="s">
        <v>274</v>
      </c>
      <c r="I1667" t="s">
        <v>310</v>
      </c>
      <c r="J1667">
        <v>2</v>
      </c>
      <c r="L1667">
        <v>316.77</v>
      </c>
      <c r="M1667">
        <v>539.84</v>
      </c>
      <c r="N1667">
        <v>726.95</v>
      </c>
      <c r="O1667">
        <v>1070.02</v>
      </c>
      <c r="P1667">
        <v>1</v>
      </c>
      <c r="Q1667">
        <v>1</v>
      </c>
      <c r="R1667">
        <v>0</v>
      </c>
      <c r="T1667" t="b">
        <v>1</v>
      </c>
    </row>
    <row r="1668" spans="2:20" x14ac:dyDescent="0.35">
      <c r="B1668">
        <v>2014</v>
      </c>
      <c r="C1668" s="41">
        <v>42795</v>
      </c>
      <c r="D1668" t="s">
        <v>2161</v>
      </c>
      <c r="E1668" t="s">
        <v>219</v>
      </c>
      <c r="F1668" t="s">
        <v>1298</v>
      </c>
      <c r="G1668" t="s">
        <v>1381</v>
      </c>
      <c r="H1668" t="s">
        <v>274</v>
      </c>
      <c r="I1668" t="s">
        <v>310</v>
      </c>
      <c r="J1668">
        <v>2</v>
      </c>
      <c r="L1668">
        <v>304.93</v>
      </c>
      <c r="M1668">
        <v>519.65</v>
      </c>
      <c r="N1668">
        <v>699.76</v>
      </c>
      <c r="O1668">
        <v>1030</v>
      </c>
      <c r="P1668">
        <v>1</v>
      </c>
      <c r="Q1668">
        <v>1</v>
      </c>
      <c r="R1668">
        <v>0</v>
      </c>
      <c r="T1668" t="b">
        <v>1</v>
      </c>
    </row>
    <row r="1669" spans="2:20" x14ac:dyDescent="0.35">
      <c r="B1669">
        <v>2014</v>
      </c>
      <c r="C1669" s="41">
        <v>42795</v>
      </c>
      <c r="D1669" t="s">
        <v>2161</v>
      </c>
      <c r="E1669" t="s">
        <v>219</v>
      </c>
      <c r="F1669" t="s">
        <v>460</v>
      </c>
      <c r="G1669" t="s">
        <v>1381</v>
      </c>
      <c r="H1669" t="s">
        <v>274</v>
      </c>
      <c r="I1669" t="s">
        <v>310</v>
      </c>
      <c r="J1669">
        <v>2</v>
      </c>
      <c r="L1669">
        <v>269.70999999999998</v>
      </c>
      <c r="M1669">
        <v>459.64</v>
      </c>
      <c r="N1669">
        <v>618.94000000000005</v>
      </c>
      <c r="O1669">
        <v>911.04</v>
      </c>
      <c r="P1669">
        <v>1</v>
      </c>
      <c r="Q1669">
        <v>1</v>
      </c>
      <c r="R1669">
        <v>0</v>
      </c>
      <c r="T1669" t="b">
        <v>1</v>
      </c>
    </row>
    <row r="1670" spans="2:20" x14ac:dyDescent="0.35">
      <c r="B1670">
        <v>2014</v>
      </c>
      <c r="C1670" s="41">
        <v>42795</v>
      </c>
      <c r="D1670" t="s">
        <v>2161</v>
      </c>
      <c r="E1670" t="s">
        <v>219</v>
      </c>
      <c r="F1670" t="s">
        <v>1301</v>
      </c>
      <c r="G1670" t="s">
        <v>1381</v>
      </c>
      <c r="H1670" t="s">
        <v>274</v>
      </c>
      <c r="I1670" t="s">
        <v>310</v>
      </c>
      <c r="J1670">
        <v>2</v>
      </c>
      <c r="L1670">
        <v>266.20999999999998</v>
      </c>
      <c r="M1670">
        <v>453.68</v>
      </c>
      <c r="N1670">
        <v>610.91</v>
      </c>
      <c r="O1670">
        <v>899.22</v>
      </c>
      <c r="P1670">
        <v>1</v>
      </c>
      <c r="Q1670">
        <v>1</v>
      </c>
      <c r="R1670">
        <v>0</v>
      </c>
      <c r="T1670" t="b">
        <v>1</v>
      </c>
    </row>
    <row r="1671" spans="2:20" x14ac:dyDescent="0.35">
      <c r="B1671">
        <v>2014</v>
      </c>
      <c r="C1671" s="41">
        <v>42795</v>
      </c>
      <c r="D1671" t="s">
        <v>2161</v>
      </c>
      <c r="E1671" t="s">
        <v>219</v>
      </c>
      <c r="F1671" t="s">
        <v>464</v>
      </c>
      <c r="G1671" t="s">
        <v>1381</v>
      </c>
      <c r="H1671" t="s">
        <v>274</v>
      </c>
      <c r="I1671" t="s">
        <v>310</v>
      </c>
      <c r="J1671">
        <v>2</v>
      </c>
      <c r="L1671">
        <v>272.08999999999997</v>
      </c>
      <c r="M1671">
        <v>463.7</v>
      </c>
      <c r="N1671">
        <v>624.41999999999996</v>
      </c>
      <c r="O1671">
        <v>919.1</v>
      </c>
      <c r="P1671">
        <v>1</v>
      </c>
      <c r="Q1671">
        <v>1</v>
      </c>
      <c r="R1671">
        <v>0</v>
      </c>
      <c r="T1671" t="b">
        <v>1</v>
      </c>
    </row>
    <row r="1672" spans="2:20" x14ac:dyDescent="0.35">
      <c r="B1672">
        <v>2014</v>
      </c>
      <c r="C1672" s="41">
        <v>42795</v>
      </c>
      <c r="D1672" t="s">
        <v>2161</v>
      </c>
      <c r="E1672" t="s">
        <v>219</v>
      </c>
      <c r="F1672" t="s">
        <v>1390</v>
      </c>
      <c r="G1672" t="s">
        <v>1381</v>
      </c>
      <c r="H1672" t="s">
        <v>274</v>
      </c>
      <c r="I1672" t="s">
        <v>310</v>
      </c>
      <c r="J1672">
        <v>2</v>
      </c>
      <c r="L1672">
        <v>331.97</v>
      </c>
      <c r="M1672">
        <v>565.75</v>
      </c>
      <c r="N1672">
        <v>761.82999999999902</v>
      </c>
      <c r="O1672">
        <v>1121.3599999999999</v>
      </c>
      <c r="P1672">
        <v>1</v>
      </c>
      <c r="Q1672">
        <v>1</v>
      </c>
      <c r="R1672">
        <v>0</v>
      </c>
      <c r="T1672" t="b">
        <v>1</v>
      </c>
    </row>
    <row r="1673" spans="2:20" x14ac:dyDescent="0.35">
      <c r="B1673">
        <v>2014</v>
      </c>
      <c r="C1673" s="41">
        <v>42795</v>
      </c>
      <c r="D1673" t="s">
        <v>2161</v>
      </c>
      <c r="E1673" t="s">
        <v>219</v>
      </c>
      <c r="F1673" t="s">
        <v>462</v>
      </c>
      <c r="G1673" t="s">
        <v>1381</v>
      </c>
      <c r="H1673" t="s">
        <v>274</v>
      </c>
      <c r="I1673" t="s">
        <v>310</v>
      </c>
      <c r="J1673">
        <v>2</v>
      </c>
      <c r="L1673">
        <v>292.92</v>
      </c>
      <c r="M1673">
        <v>499.19</v>
      </c>
      <c r="N1673">
        <v>672.19</v>
      </c>
      <c r="O1673">
        <v>989.42</v>
      </c>
      <c r="P1673">
        <v>1</v>
      </c>
      <c r="Q1673">
        <v>1</v>
      </c>
      <c r="R1673">
        <v>0</v>
      </c>
      <c r="T1673" t="b">
        <v>1</v>
      </c>
    </row>
    <row r="1674" spans="2:20" x14ac:dyDescent="0.35">
      <c r="B1674">
        <v>2014</v>
      </c>
      <c r="C1674" s="41">
        <v>42795</v>
      </c>
      <c r="D1674" t="s">
        <v>2161</v>
      </c>
      <c r="E1674" t="s">
        <v>219</v>
      </c>
      <c r="F1674" t="s">
        <v>1302</v>
      </c>
      <c r="G1674" t="s">
        <v>1381</v>
      </c>
      <c r="H1674" t="s">
        <v>274</v>
      </c>
      <c r="I1674" t="s">
        <v>310</v>
      </c>
      <c r="J1674">
        <v>2</v>
      </c>
      <c r="L1674">
        <v>282.24</v>
      </c>
      <c r="M1674">
        <v>480.99</v>
      </c>
      <c r="N1674">
        <v>647.69000000000005</v>
      </c>
      <c r="O1674">
        <v>953.36</v>
      </c>
      <c r="P1674">
        <v>1</v>
      </c>
      <c r="Q1674">
        <v>1</v>
      </c>
      <c r="R1674">
        <v>0</v>
      </c>
      <c r="T1674" t="b">
        <v>1</v>
      </c>
    </row>
    <row r="1675" spans="2:20" x14ac:dyDescent="0.35">
      <c r="B1675">
        <v>2014</v>
      </c>
      <c r="C1675" s="41">
        <v>42795</v>
      </c>
      <c r="D1675" t="s">
        <v>2161</v>
      </c>
      <c r="E1675" t="s">
        <v>219</v>
      </c>
      <c r="F1675" t="s">
        <v>463</v>
      </c>
      <c r="G1675" t="s">
        <v>1381</v>
      </c>
      <c r="H1675" t="s">
        <v>274</v>
      </c>
      <c r="I1675" t="s">
        <v>310</v>
      </c>
      <c r="J1675">
        <v>2</v>
      </c>
      <c r="L1675">
        <v>361.71</v>
      </c>
      <c r="M1675">
        <v>616.41999999999996</v>
      </c>
      <c r="N1675">
        <v>830.05</v>
      </c>
      <c r="O1675">
        <v>1221.78</v>
      </c>
      <c r="P1675">
        <v>1</v>
      </c>
      <c r="Q1675">
        <v>1</v>
      </c>
      <c r="R1675">
        <v>0</v>
      </c>
      <c r="T1675" t="b">
        <v>1</v>
      </c>
    </row>
    <row r="1676" spans="2:20" x14ac:dyDescent="0.35">
      <c r="B1676">
        <v>2014</v>
      </c>
      <c r="C1676" s="41">
        <v>42795</v>
      </c>
      <c r="D1676" t="s">
        <v>2161</v>
      </c>
      <c r="E1676" t="s">
        <v>219</v>
      </c>
      <c r="F1676" t="s">
        <v>1389</v>
      </c>
      <c r="G1676" t="s">
        <v>1381</v>
      </c>
      <c r="H1676" t="s">
        <v>274</v>
      </c>
      <c r="I1676" t="s">
        <v>310</v>
      </c>
      <c r="J1676">
        <v>2</v>
      </c>
      <c r="L1676">
        <v>275</v>
      </c>
      <c r="M1676">
        <v>468.65</v>
      </c>
      <c r="N1676">
        <v>631.05999999999995</v>
      </c>
      <c r="O1676">
        <v>928.88</v>
      </c>
      <c r="P1676">
        <v>1</v>
      </c>
      <c r="Q1676">
        <v>1</v>
      </c>
      <c r="R1676">
        <v>0</v>
      </c>
      <c r="T1676" t="b">
        <v>1</v>
      </c>
    </row>
    <row r="1677" spans="2:20" x14ac:dyDescent="0.35">
      <c r="B1677">
        <v>2014</v>
      </c>
      <c r="C1677" s="41">
        <v>42795</v>
      </c>
      <c r="D1677" t="s">
        <v>2161</v>
      </c>
      <c r="E1677" t="s">
        <v>219</v>
      </c>
      <c r="F1677" t="s">
        <v>458</v>
      </c>
      <c r="G1677" t="s">
        <v>1381</v>
      </c>
      <c r="H1677" t="s">
        <v>274</v>
      </c>
      <c r="I1677" t="s">
        <v>310</v>
      </c>
      <c r="J1677">
        <v>2</v>
      </c>
      <c r="L1677">
        <v>252.76</v>
      </c>
      <c r="M1677">
        <v>430.75</v>
      </c>
      <c r="N1677">
        <v>580.04</v>
      </c>
      <c r="O1677">
        <v>853.78</v>
      </c>
      <c r="P1677">
        <v>1</v>
      </c>
      <c r="Q1677">
        <v>1</v>
      </c>
      <c r="R1677">
        <v>0</v>
      </c>
      <c r="T1677" t="b">
        <v>1</v>
      </c>
    </row>
    <row r="1678" spans="2:20" x14ac:dyDescent="0.35">
      <c r="B1678">
        <v>2014</v>
      </c>
      <c r="C1678" s="41">
        <v>42795</v>
      </c>
      <c r="D1678" t="s">
        <v>2161</v>
      </c>
      <c r="E1678" t="s">
        <v>219</v>
      </c>
      <c r="F1678" t="s">
        <v>1307</v>
      </c>
      <c r="G1678" t="s">
        <v>1381</v>
      </c>
      <c r="H1678" t="s">
        <v>274</v>
      </c>
      <c r="I1678" t="s">
        <v>310</v>
      </c>
      <c r="J1678">
        <v>2</v>
      </c>
      <c r="L1678">
        <v>348.45</v>
      </c>
      <c r="M1678">
        <v>593.83000000000004</v>
      </c>
      <c r="N1678">
        <v>799.64</v>
      </c>
      <c r="O1678">
        <v>1177.02</v>
      </c>
      <c r="P1678">
        <v>1</v>
      </c>
      <c r="Q1678">
        <v>1</v>
      </c>
      <c r="R1678">
        <v>0</v>
      </c>
      <c r="T1678" t="b">
        <v>1</v>
      </c>
    </row>
    <row r="1679" spans="2:20" x14ac:dyDescent="0.35">
      <c r="B1679">
        <v>2014</v>
      </c>
      <c r="C1679" s="41">
        <v>42795</v>
      </c>
      <c r="D1679" t="s">
        <v>2162</v>
      </c>
      <c r="E1679" t="s">
        <v>219</v>
      </c>
      <c r="F1679" t="s">
        <v>1311</v>
      </c>
      <c r="G1679" t="s">
        <v>1299</v>
      </c>
      <c r="H1679" t="s">
        <v>261</v>
      </c>
      <c r="I1679" t="s">
        <v>310</v>
      </c>
      <c r="J1679">
        <v>2</v>
      </c>
      <c r="L1679">
        <v>196.57</v>
      </c>
      <c r="M1679">
        <v>335</v>
      </c>
      <c r="N1679">
        <v>451.11</v>
      </c>
      <c r="O1679">
        <v>664</v>
      </c>
      <c r="P1679">
        <v>1</v>
      </c>
      <c r="Q1679">
        <v>1</v>
      </c>
      <c r="R1679">
        <v>0</v>
      </c>
      <c r="T1679" t="b">
        <v>1</v>
      </c>
    </row>
    <row r="1680" spans="2:20" x14ac:dyDescent="0.35">
      <c r="B1680">
        <v>2014</v>
      </c>
      <c r="C1680" s="41">
        <v>42795</v>
      </c>
      <c r="D1680" t="s">
        <v>2162</v>
      </c>
      <c r="E1680" t="s">
        <v>219</v>
      </c>
      <c r="F1680" t="s">
        <v>1301</v>
      </c>
      <c r="G1680" t="s">
        <v>1299</v>
      </c>
      <c r="H1680" t="s">
        <v>261</v>
      </c>
      <c r="I1680" t="s">
        <v>310</v>
      </c>
      <c r="J1680">
        <v>2</v>
      </c>
      <c r="L1680">
        <v>247.03</v>
      </c>
      <c r="M1680">
        <v>420.99</v>
      </c>
      <c r="N1680">
        <v>566.9</v>
      </c>
      <c r="O1680">
        <v>834.44</v>
      </c>
      <c r="P1680">
        <v>1</v>
      </c>
      <c r="Q1680">
        <v>1</v>
      </c>
      <c r="R1680">
        <v>0</v>
      </c>
      <c r="T1680" t="b">
        <v>1</v>
      </c>
    </row>
    <row r="1681" spans="2:20" x14ac:dyDescent="0.35">
      <c r="B1681">
        <v>2014</v>
      </c>
      <c r="C1681" s="41">
        <v>42795</v>
      </c>
      <c r="D1681" t="s">
        <v>2162</v>
      </c>
      <c r="E1681" t="s">
        <v>219</v>
      </c>
      <c r="F1681" t="s">
        <v>1309</v>
      </c>
      <c r="G1681" t="s">
        <v>1299</v>
      </c>
      <c r="H1681" t="s">
        <v>261</v>
      </c>
      <c r="I1681" t="s">
        <v>310</v>
      </c>
      <c r="J1681">
        <v>2</v>
      </c>
      <c r="L1681">
        <v>216.66</v>
      </c>
      <c r="M1681">
        <v>369.23</v>
      </c>
      <c r="N1681">
        <v>497.21</v>
      </c>
      <c r="O1681">
        <v>731.86</v>
      </c>
      <c r="P1681">
        <v>1</v>
      </c>
      <c r="Q1681">
        <v>1</v>
      </c>
      <c r="R1681">
        <v>0</v>
      </c>
      <c r="T1681" t="b">
        <v>1</v>
      </c>
    </row>
    <row r="1682" spans="2:20" x14ac:dyDescent="0.35">
      <c r="B1682">
        <v>2014</v>
      </c>
      <c r="C1682" s="41">
        <v>42795</v>
      </c>
      <c r="D1682" t="s">
        <v>2163</v>
      </c>
      <c r="E1682" t="s">
        <v>219</v>
      </c>
      <c r="F1682" t="s">
        <v>1309</v>
      </c>
      <c r="G1682" t="s">
        <v>1299</v>
      </c>
      <c r="H1682" t="s">
        <v>265</v>
      </c>
      <c r="I1682" t="s">
        <v>310</v>
      </c>
      <c r="J1682">
        <v>2</v>
      </c>
      <c r="L1682">
        <v>227.32</v>
      </c>
      <c r="M1682">
        <v>387.41</v>
      </c>
      <c r="N1682">
        <v>521.67999999999995</v>
      </c>
      <c r="O1682">
        <v>767.88</v>
      </c>
      <c r="P1682">
        <v>1</v>
      </c>
      <c r="Q1682">
        <v>1</v>
      </c>
      <c r="R1682">
        <v>0</v>
      </c>
      <c r="T1682" t="b">
        <v>1</v>
      </c>
    </row>
    <row r="1683" spans="2:20" x14ac:dyDescent="0.35">
      <c r="B1683">
        <v>2014</v>
      </c>
      <c r="C1683" s="41">
        <v>42795</v>
      </c>
      <c r="D1683" t="s">
        <v>2163</v>
      </c>
      <c r="E1683" t="s">
        <v>219</v>
      </c>
      <c r="F1683" t="s">
        <v>1311</v>
      </c>
      <c r="G1683" t="s">
        <v>1299</v>
      </c>
      <c r="H1683" t="s">
        <v>265</v>
      </c>
      <c r="I1683" t="s">
        <v>310</v>
      </c>
      <c r="J1683">
        <v>2</v>
      </c>
      <c r="L1683">
        <v>206.25</v>
      </c>
      <c r="M1683">
        <v>351.49</v>
      </c>
      <c r="N1683">
        <v>473.31</v>
      </c>
      <c r="O1683">
        <v>696.68</v>
      </c>
      <c r="P1683">
        <v>1</v>
      </c>
      <c r="Q1683">
        <v>1</v>
      </c>
      <c r="R1683">
        <v>0</v>
      </c>
      <c r="T1683" t="b">
        <v>1</v>
      </c>
    </row>
    <row r="1684" spans="2:20" x14ac:dyDescent="0.35">
      <c r="B1684">
        <v>2014</v>
      </c>
      <c r="C1684" s="41">
        <v>42795</v>
      </c>
      <c r="D1684" t="s">
        <v>2163</v>
      </c>
      <c r="E1684" t="s">
        <v>219</v>
      </c>
      <c r="F1684" t="s">
        <v>1301</v>
      </c>
      <c r="G1684" t="s">
        <v>1299</v>
      </c>
      <c r="H1684" t="s">
        <v>265</v>
      </c>
      <c r="I1684" t="s">
        <v>310</v>
      </c>
      <c r="J1684">
        <v>2</v>
      </c>
      <c r="L1684">
        <v>259.19</v>
      </c>
      <c r="M1684">
        <v>441.71</v>
      </c>
      <c r="N1684">
        <v>594.80999999999995</v>
      </c>
      <c r="O1684">
        <v>875.52</v>
      </c>
      <c r="P1684">
        <v>1</v>
      </c>
      <c r="Q1684">
        <v>1</v>
      </c>
      <c r="R1684">
        <v>0</v>
      </c>
      <c r="T1684" t="b">
        <v>1</v>
      </c>
    </row>
    <row r="1685" spans="2:20" x14ac:dyDescent="0.35">
      <c r="B1685">
        <v>2014</v>
      </c>
      <c r="C1685" s="41">
        <v>42795</v>
      </c>
      <c r="D1685" t="s">
        <v>2164</v>
      </c>
      <c r="E1685" t="s">
        <v>219</v>
      </c>
      <c r="F1685" t="s">
        <v>458</v>
      </c>
      <c r="G1685" t="s">
        <v>2100</v>
      </c>
      <c r="H1685" t="s">
        <v>224</v>
      </c>
      <c r="I1685" t="s">
        <v>310</v>
      </c>
      <c r="J1685">
        <v>2</v>
      </c>
      <c r="L1685">
        <v>187.8</v>
      </c>
      <c r="M1685">
        <v>320.06</v>
      </c>
      <c r="N1685">
        <v>430.95</v>
      </c>
      <c r="O1685">
        <v>634.33999999999901</v>
      </c>
      <c r="P1685">
        <v>1</v>
      </c>
      <c r="Q1685">
        <v>1</v>
      </c>
      <c r="R1685">
        <v>0</v>
      </c>
      <c r="T1685" t="b">
        <v>1</v>
      </c>
    </row>
    <row r="1686" spans="2:20" x14ac:dyDescent="0.35">
      <c r="B1686">
        <v>2014</v>
      </c>
      <c r="C1686" s="41">
        <v>42795</v>
      </c>
      <c r="D1686" t="s">
        <v>2164</v>
      </c>
      <c r="E1686" t="s">
        <v>219</v>
      </c>
      <c r="F1686" t="s">
        <v>1301</v>
      </c>
      <c r="G1686" t="s">
        <v>2100</v>
      </c>
      <c r="H1686" t="s">
        <v>224</v>
      </c>
      <c r="I1686" t="s">
        <v>310</v>
      </c>
      <c r="J1686">
        <v>2</v>
      </c>
      <c r="L1686">
        <v>187.8</v>
      </c>
      <c r="M1686">
        <v>320.06</v>
      </c>
      <c r="N1686">
        <v>430.95</v>
      </c>
      <c r="O1686">
        <v>634.33999999999901</v>
      </c>
      <c r="P1686">
        <v>1</v>
      </c>
      <c r="Q1686">
        <v>1</v>
      </c>
      <c r="R1686">
        <v>0</v>
      </c>
      <c r="T1686" t="b">
        <v>1</v>
      </c>
    </row>
    <row r="1687" spans="2:20" x14ac:dyDescent="0.35">
      <c r="B1687">
        <v>2014</v>
      </c>
      <c r="C1687" s="41">
        <v>42795</v>
      </c>
      <c r="D1687" t="s">
        <v>2164</v>
      </c>
      <c r="E1687" t="s">
        <v>219</v>
      </c>
      <c r="F1687" t="s">
        <v>461</v>
      </c>
      <c r="G1687" t="s">
        <v>2100</v>
      </c>
      <c r="H1687" t="s">
        <v>224</v>
      </c>
      <c r="I1687" t="s">
        <v>310</v>
      </c>
      <c r="J1687">
        <v>2</v>
      </c>
      <c r="L1687">
        <v>187.8</v>
      </c>
      <c r="M1687">
        <v>320.06</v>
      </c>
      <c r="N1687">
        <v>430.95</v>
      </c>
      <c r="O1687">
        <v>634.33999999999901</v>
      </c>
      <c r="P1687">
        <v>1</v>
      </c>
      <c r="Q1687">
        <v>1</v>
      </c>
      <c r="R1687">
        <v>0</v>
      </c>
      <c r="T1687" t="b">
        <v>1</v>
      </c>
    </row>
    <row r="1688" spans="2:20" x14ac:dyDescent="0.35">
      <c r="B1688">
        <v>2014</v>
      </c>
      <c r="C1688" s="41">
        <v>42795</v>
      </c>
      <c r="D1688" t="s">
        <v>2165</v>
      </c>
      <c r="E1688" t="s">
        <v>219</v>
      </c>
      <c r="F1688" t="s">
        <v>1310</v>
      </c>
      <c r="G1688" t="s">
        <v>1381</v>
      </c>
      <c r="H1688" t="s">
        <v>278</v>
      </c>
      <c r="I1688" t="s">
        <v>310</v>
      </c>
      <c r="J1688">
        <v>2</v>
      </c>
      <c r="L1688">
        <v>405.62</v>
      </c>
      <c r="M1688">
        <v>691.25</v>
      </c>
      <c r="N1688">
        <v>930.83</v>
      </c>
      <c r="O1688">
        <v>1370.12</v>
      </c>
      <c r="P1688">
        <v>1</v>
      </c>
      <c r="Q1688">
        <v>1</v>
      </c>
      <c r="R1688">
        <v>0</v>
      </c>
      <c r="T1688" t="b">
        <v>1</v>
      </c>
    </row>
    <row r="1689" spans="2:20" x14ac:dyDescent="0.35">
      <c r="B1689">
        <v>2014</v>
      </c>
      <c r="C1689" s="41">
        <v>42795</v>
      </c>
      <c r="D1689" t="s">
        <v>2165</v>
      </c>
      <c r="E1689" t="s">
        <v>219</v>
      </c>
      <c r="F1689" t="s">
        <v>459</v>
      </c>
      <c r="G1689" t="s">
        <v>1381</v>
      </c>
      <c r="H1689" t="s">
        <v>278</v>
      </c>
      <c r="I1689" t="s">
        <v>310</v>
      </c>
      <c r="J1689">
        <v>2</v>
      </c>
      <c r="L1689">
        <v>334.66</v>
      </c>
      <c r="M1689">
        <v>570.32000000000005</v>
      </c>
      <c r="N1689">
        <v>767.98</v>
      </c>
      <c r="O1689">
        <v>1130.42</v>
      </c>
      <c r="P1689">
        <v>1</v>
      </c>
      <c r="Q1689">
        <v>1</v>
      </c>
      <c r="R1689">
        <v>0</v>
      </c>
      <c r="T1689" t="b">
        <v>1</v>
      </c>
    </row>
    <row r="1690" spans="2:20" x14ac:dyDescent="0.35">
      <c r="B1690">
        <v>2014</v>
      </c>
      <c r="C1690" s="41">
        <v>42795</v>
      </c>
      <c r="D1690" t="s">
        <v>2165</v>
      </c>
      <c r="E1690" t="s">
        <v>219</v>
      </c>
      <c r="F1690" t="s">
        <v>1298</v>
      </c>
      <c r="G1690" t="s">
        <v>1381</v>
      </c>
      <c r="H1690" t="s">
        <v>278</v>
      </c>
      <c r="I1690" t="s">
        <v>310</v>
      </c>
      <c r="J1690">
        <v>2</v>
      </c>
      <c r="L1690">
        <v>313.41000000000003</v>
      </c>
      <c r="M1690">
        <v>534.12</v>
      </c>
      <c r="N1690">
        <v>719.23</v>
      </c>
      <c r="O1690">
        <v>1058.6600000000001</v>
      </c>
      <c r="P1690">
        <v>1</v>
      </c>
      <c r="Q1690">
        <v>1</v>
      </c>
      <c r="R1690">
        <v>0</v>
      </c>
      <c r="T1690" t="b">
        <v>1</v>
      </c>
    </row>
    <row r="1691" spans="2:20" x14ac:dyDescent="0.35">
      <c r="B1691">
        <v>2014</v>
      </c>
      <c r="C1691" s="41">
        <v>42795</v>
      </c>
      <c r="D1691" t="s">
        <v>2165</v>
      </c>
      <c r="E1691" t="s">
        <v>219</v>
      </c>
      <c r="F1691" t="s">
        <v>463</v>
      </c>
      <c r="G1691" t="s">
        <v>1381</v>
      </c>
      <c r="H1691" t="s">
        <v>278</v>
      </c>
      <c r="I1691" t="s">
        <v>310</v>
      </c>
      <c r="J1691">
        <v>2</v>
      </c>
      <c r="L1691">
        <v>371.78</v>
      </c>
      <c r="M1691">
        <v>633.58000000000004</v>
      </c>
      <c r="N1691">
        <v>853.18</v>
      </c>
      <c r="O1691">
        <v>1255.82</v>
      </c>
      <c r="P1691">
        <v>1</v>
      </c>
      <c r="Q1691">
        <v>1</v>
      </c>
      <c r="R1691">
        <v>0</v>
      </c>
      <c r="T1691" t="b">
        <v>1</v>
      </c>
    </row>
    <row r="1692" spans="2:20" x14ac:dyDescent="0.35">
      <c r="B1692">
        <v>2014</v>
      </c>
      <c r="C1692" s="41">
        <v>42795</v>
      </c>
      <c r="D1692" t="s">
        <v>2165</v>
      </c>
      <c r="E1692" t="s">
        <v>219</v>
      </c>
      <c r="F1692" t="s">
        <v>1390</v>
      </c>
      <c r="G1692" t="s">
        <v>1381</v>
      </c>
      <c r="H1692" t="s">
        <v>278</v>
      </c>
      <c r="I1692" t="s">
        <v>310</v>
      </c>
      <c r="J1692">
        <v>2</v>
      </c>
      <c r="L1692">
        <v>341.22</v>
      </c>
      <c r="M1692">
        <v>581.5</v>
      </c>
      <c r="N1692">
        <v>783.04</v>
      </c>
      <c r="O1692">
        <v>1152.58</v>
      </c>
      <c r="P1692">
        <v>1</v>
      </c>
      <c r="Q1692">
        <v>1</v>
      </c>
      <c r="R1692">
        <v>0</v>
      </c>
      <c r="T1692" t="b">
        <v>1</v>
      </c>
    </row>
    <row r="1693" spans="2:20" x14ac:dyDescent="0.35">
      <c r="B1693">
        <v>2014</v>
      </c>
      <c r="C1693" s="41">
        <v>42795</v>
      </c>
      <c r="D1693" t="s">
        <v>2165</v>
      </c>
      <c r="E1693" t="s">
        <v>219</v>
      </c>
      <c r="F1693" t="s">
        <v>1389</v>
      </c>
      <c r="G1693" t="s">
        <v>1381</v>
      </c>
      <c r="H1693" t="s">
        <v>278</v>
      </c>
      <c r="I1693" t="s">
        <v>310</v>
      </c>
      <c r="J1693">
        <v>2</v>
      </c>
      <c r="L1693">
        <v>282.66000000000003</v>
      </c>
      <c r="M1693">
        <v>481.7</v>
      </c>
      <c r="N1693">
        <v>648.66</v>
      </c>
      <c r="O1693">
        <v>954.78</v>
      </c>
      <c r="P1693">
        <v>1</v>
      </c>
      <c r="Q1693">
        <v>1</v>
      </c>
      <c r="R1693">
        <v>0</v>
      </c>
      <c r="T1693" t="b">
        <v>1</v>
      </c>
    </row>
    <row r="1694" spans="2:20" x14ac:dyDescent="0.35">
      <c r="B1694">
        <v>2014</v>
      </c>
      <c r="C1694" s="41">
        <v>42795</v>
      </c>
      <c r="D1694" t="s">
        <v>2165</v>
      </c>
      <c r="E1694" t="s">
        <v>219</v>
      </c>
      <c r="F1694" t="s">
        <v>464</v>
      </c>
      <c r="G1694" t="s">
        <v>1381</v>
      </c>
      <c r="H1694" t="s">
        <v>278</v>
      </c>
      <c r="I1694" t="s">
        <v>310</v>
      </c>
      <c r="J1694">
        <v>2</v>
      </c>
      <c r="L1694">
        <v>279.67</v>
      </c>
      <c r="M1694">
        <v>476.61</v>
      </c>
      <c r="N1694">
        <v>641.80999999999995</v>
      </c>
      <c r="O1694">
        <v>944.7</v>
      </c>
      <c r="P1694">
        <v>1</v>
      </c>
      <c r="Q1694">
        <v>1</v>
      </c>
      <c r="R1694">
        <v>0</v>
      </c>
      <c r="T1694" t="b">
        <v>1</v>
      </c>
    </row>
    <row r="1695" spans="2:20" x14ac:dyDescent="0.35">
      <c r="B1695">
        <v>2014</v>
      </c>
      <c r="C1695" s="41">
        <v>42795</v>
      </c>
      <c r="D1695" t="s">
        <v>2165</v>
      </c>
      <c r="E1695" t="s">
        <v>219</v>
      </c>
      <c r="F1695" t="s">
        <v>461</v>
      </c>
      <c r="G1695" t="s">
        <v>1381</v>
      </c>
      <c r="H1695" t="s">
        <v>278</v>
      </c>
      <c r="I1695" t="s">
        <v>310</v>
      </c>
      <c r="J1695">
        <v>2</v>
      </c>
      <c r="L1695">
        <v>325.58999999999997</v>
      </c>
      <c r="M1695">
        <v>554.87</v>
      </c>
      <c r="N1695">
        <v>747.18</v>
      </c>
      <c r="O1695">
        <v>1099.8</v>
      </c>
      <c r="P1695">
        <v>1</v>
      </c>
      <c r="Q1695">
        <v>1</v>
      </c>
      <c r="R1695">
        <v>0</v>
      </c>
      <c r="T1695" t="b">
        <v>1</v>
      </c>
    </row>
    <row r="1696" spans="2:20" x14ac:dyDescent="0.35">
      <c r="B1696">
        <v>2014</v>
      </c>
      <c r="C1696" s="41">
        <v>42795</v>
      </c>
      <c r="D1696" t="s">
        <v>2165</v>
      </c>
      <c r="E1696" t="s">
        <v>219</v>
      </c>
      <c r="F1696" t="s">
        <v>462</v>
      </c>
      <c r="G1696" t="s">
        <v>1381</v>
      </c>
      <c r="H1696" t="s">
        <v>278</v>
      </c>
      <c r="I1696" t="s">
        <v>310</v>
      </c>
      <c r="J1696">
        <v>2</v>
      </c>
      <c r="L1696">
        <v>301.08</v>
      </c>
      <c r="M1696">
        <v>513.1</v>
      </c>
      <c r="N1696">
        <v>690.93</v>
      </c>
      <c r="O1696">
        <v>1017</v>
      </c>
      <c r="P1696">
        <v>1</v>
      </c>
      <c r="Q1696">
        <v>1</v>
      </c>
      <c r="R1696">
        <v>0</v>
      </c>
      <c r="T1696" t="b">
        <v>1</v>
      </c>
    </row>
    <row r="1697" spans="2:20" x14ac:dyDescent="0.35">
      <c r="B1697">
        <v>2014</v>
      </c>
      <c r="C1697" s="41">
        <v>42795</v>
      </c>
      <c r="D1697" t="s">
        <v>2165</v>
      </c>
      <c r="E1697" t="s">
        <v>219</v>
      </c>
      <c r="F1697" t="s">
        <v>1301</v>
      </c>
      <c r="G1697" t="s">
        <v>1381</v>
      </c>
      <c r="H1697" t="s">
        <v>278</v>
      </c>
      <c r="I1697" t="s">
        <v>310</v>
      </c>
      <c r="J1697">
        <v>2</v>
      </c>
      <c r="L1697">
        <v>273.62</v>
      </c>
      <c r="M1697">
        <v>466.31</v>
      </c>
      <c r="N1697">
        <v>627.91999999999996</v>
      </c>
      <c r="O1697">
        <v>924.26</v>
      </c>
      <c r="P1697">
        <v>1</v>
      </c>
      <c r="Q1697">
        <v>1</v>
      </c>
      <c r="R1697">
        <v>0</v>
      </c>
      <c r="T1697" t="b">
        <v>1</v>
      </c>
    </row>
    <row r="1698" spans="2:20" x14ac:dyDescent="0.35">
      <c r="B1698">
        <v>2014</v>
      </c>
      <c r="C1698" s="41">
        <v>42795</v>
      </c>
      <c r="D1698" t="s">
        <v>2165</v>
      </c>
      <c r="E1698" t="s">
        <v>219</v>
      </c>
      <c r="F1698" t="s">
        <v>1302</v>
      </c>
      <c r="G1698" t="s">
        <v>1381</v>
      </c>
      <c r="H1698" t="s">
        <v>278</v>
      </c>
      <c r="I1698" t="s">
        <v>310</v>
      </c>
      <c r="J1698">
        <v>2</v>
      </c>
      <c r="L1698">
        <v>290.10000000000002</v>
      </c>
      <c r="M1698">
        <v>494.38</v>
      </c>
      <c r="N1698">
        <v>665.72</v>
      </c>
      <c r="O1698">
        <v>979.9</v>
      </c>
      <c r="P1698">
        <v>1</v>
      </c>
      <c r="Q1698">
        <v>1</v>
      </c>
      <c r="R1698">
        <v>0</v>
      </c>
      <c r="T1698" t="b">
        <v>1</v>
      </c>
    </row>
    <row r="1699" spans="2:20" x14ac:dyDescent="0.35">
      <c r="B1699">
        <v>2014</v>
      </c>
      <c r="C1699" s="41">
        <v>42795</v>
      </c>
      <c r="D1699" t="s">
        <v>2165</v>
      </c>
      <c r="E1699" t="s">
        <v>219</v>
      </c>
      <c r="F1699" t="s">
        <v>458</v>
      </c>
      <c r="G1699" t="s">
        <v>1381</v>
      </c>
      <c r="H1699" t="s">
        <v>278</v>
      </c>
      <c r="I1699" t="s">
        <v>310</v>
      </c>
      <c r="J1699">
        <v>2</v>
      </c>
      <c r="L1699">
        <v>259.8</v>
      </c>
      <c r="M1699">
        <v>442.75</v>
      </c>
      <c r="N1699">
        <v>596.21</v>
      </c>
      <c r="O1699">
        <v>877.57999999999902</v>
      </c>
      <c r="P1699">
        <v>1</v>
      </c>
      <c r="Q1699">
        <v>1</v>
      </c>
      <c r="R1699">
        <v>0</v>
      </c>
      <c r="T1699" t="b">
        <v>1</v>
      </c>
    </row>
    <row r="1700" spans="2:20" x14ac:dyDescent="0.35">
      <c r="B1700">
        <v>2014</v>
      </c>
      <c r="C1700" s="41">
        <v>42795</v>
      </c>
      <c r="D1700" t="s">
        <v>2165</v>
      </c>
      <c r="E1700" t="s">
        <v>219</v>
      </c>
      <c r="F1700" t="s">
        <v>460</v>
      </c>
      <c r="G1700" t="s">
        <v>1381</v>
      </c>
      <c r="H1700" t="s">
        <v>278</v>
      </c>
      <c r="I1700" t="s">
        <v>310</v>
      </c>
      <c r="J1700">
        <v>2</v>
      </c>
      <c r="L1700">
        <v>277.23</v>
      </c>
      <c r="M1700">
        <v>472.45</v>
      </c>
      <c r="N1700">
        <v>636.20000000000005</v>
      </c>
      <c r="O1700">
        <v>936.44</v>
      </c>
      <c r="P1700">
        <v>1</v>
      </c>
      <c r="Q1700">
        <v>1</v>
      </c>
      <c r="R1700">
        <v>0</v>
      </c>
      <c r="T1700" t="b">
        <v>1</v>
      </c>
    </row>
    <row r="1701" spans="2:20" x14ac:dyDescent="0.35">
      <c r="B1701">
        <v>2014</v>
      </c>
      <c r="C1701" s="41">
        <v>42795</v>
      </c>
      <c r="D1701" t="s">
        <v>2165</v>
      </c>
      <c r="E1701" t="s">
        <v>219</v>
      </c>
      <c r="F1701" t="s">
        <v>1309</v>
      </c>
      <c r="G1701" t="s">
        <v>1381</v>
      </c>
      <c r="H1701" t="s">
        <v>278</v>
      </c>
      <c r="I1701" t="s">
        <v>310</v>
      </c>
      <c r="J1701">
        <v>2</v>
      </c>
      <c r="L1701">
        <v>282.54000000000002</v>
      </c>
      <c r="M1701">
        <v>481.51</v>
      </c>
      <c r="N1701">
        <v>648.4</v>
      </c>
      <c r="O1701">
        <v>954.4</v>
      </c>
      <c r="P1701">
        <v>1</v>
      </c>
      <c r="Q1701">
        <v>1</v>
      </c>
      <c r="R1701">
        <v>0</v>
      </c>
      <c r="T1701" t="b">
        <v>1</v>
      </c>
    </row>
    <row r="1702" spans="2:20" x14ac:dyDescent="0.35">
      <c r="B1702">
        <v>2014</v>
      </c>
      <c r="C1702" s="41">
        <v>42795</v>
      </c>
      <c r="D1702" t="s">
        <v>2165</v>
      </c>
      <c r="E1702" t="s">
        <v>219</v>
      </c>
      <c r="F1702" t="s">
        <v>1311</v>
      </c>
      <c r="G1702" t="s">
        <v>1381</v>
      </c>
      <c r="H1702" t="s">
        <v>278</v>
      </c>
      <c r="I1702" t="s">
        <v>310</v>
      </c>
      <c r="J1702">
        <v>2</v>
      </c>
      <c r="L1702">
        <v>273.20999999999998</v>
      </c>
      <c r="M1702">
        <v>465.61</v>
      </c>
      <c r="N1702">
        <v>626.97</v>
      </c>
      <c r="O1702">
        <v>922.85999999999899</v>
      </c>
      <c r="P1702">
        <v>1</v>
      </c>
      <c r="Q1702">
        <v>1</v>
      </c>
      <c r="R1702">
        <v>0</v>
      </c>
      <c r="T1702" t="b">
        <v>1</v>
      </c>
    </row>
    <row r="1703" spans="2:20" x14ac:dyDescent="0.35">
      <c r="B1703">
        <v>2014</v>
      </c>
      <c r="C1703" s="41">
        <v>42795</v>
      </c>
      <c r="D1703" t="s">
        <v>2165</v>
      </c>
      <c r="E1703" t="s">
        <v>219</v>
      </c>
      <c r="F1703" t="s">
        <v>1307</v>
      </c>
      <c r="G1703" t="s">
        <v>1381</v>
      </c>
      <c r="H1703" t="s">
        <v>278</v>
      </c>
      <c r="I1703" t="s">
        <v>310</v>
      </c>
      <c r="J1703">
        <v>2</v>
      </c>
      <c r="L1703">
        <v>358.15</v>
      </c>
      <c r="M1703">
        <v>610.37</v>
      </c>
      <c r="N1703">
        <v>821.91</v>
      </c>
      <c r="O1703">
        <v>1209.8</v>
      </c>
      <c r="P1703">
        <v>1</v>
      </c>
      <c r="Q1703">
        <v>1</v>
      </c>
      <c r="R1703">
        <v>0</v>
      </c>
      <c r="T1703" t="b">
        <v>1</v>
      </c>
    </row>
    <row r="1704" spans="2:20" x14ac:dyDescent="0.35">
      <c r="B1704">
        <v>2014</v>
      </c>
      <c r="C1704" s="41">
        <v>42795</v>
      </c>
      <c r="D1704" t="s">
        <v>2166</v>
      </c>
      <c r="E1704" t="s">
        <v>219</v>
      </c>
      <c r="F1704" t="s">
        <v>1309</v>
      </c>
      <c r="G1704" t="s">
        <v>1299</v>
      </c>
      <c r="H1704" t="s">
        <v>264</v>
      </c>
      <c r="I1704" t="s">
        <v>310</v>
      </c>
      <c r="J1704">
        <v>2</v>
      </c>
      <c r="L1704">
        <v>223.49</v>
      </c>
      <c r="M1704">
        <v>380.87</v>
      </c>
      <c r="N1704">
        <v>512.88</v>
      </c>
      <c r="O1704">
        <v>754.92</v>
      </c>
      <c r="P1704">
        <v>1</v>
      </c>
      <c r="Q1704">
        <v>1</v>
      </c>
      <c r="R1704">
        <v>0</v>
      </c>
      <c r="T1704" t="b">
        <v>1</v>
      </c>
    </row>
    <row r="1705" spans="2:20" x14ac:dyDescent="0.35">
      <c r="B1705">
        <v>2014</v>
      </c>
      <c r="C1705" s="41">
        <v>42795</v>
      </c>
      <c r="D1705" t="s">
        <v>2166</v>
      </c>
      <c r="E1705" t="s">
        <v>219</v>
      </c>
      <c r="F1705" t="s">
        <v>1311</v>
      </c>
      <c r="G1705" t="s">
        <v>1299</v>
      </c>
      <c r="H1705" t="s">
        <v>264</v>
      </c>
      <c r="I1705" t="s">
        <v>310</v>
      </c>
      <c r="J1705">
        <v>2</v>
      </c>
      <c r="L1705">
        <v>202.77</v>
      </c>
      <c r="M1705">
        <v>345.56</v>
      </c>
      <c r="N1705">
        <v>465.32</v>
      </c>
      <c r="O1705">
        <v>684.92</v>
      </c>
      <c r="P1705">
        <v>1</v>
      </c>
      <c r="Q1705">
        <v>1</v>
      </c>
      <c r="R1705">
        <v>0</v>
      </c>
      <c r="T1705" t="b">
        <v>1</v>
      </c>
    </row>
    <row r="1706" spans="2:20" x14ac:dyDescent="0.35">
      <c r="B1706">
        <v>2014</v>
      </c>
      <c r="C1706" s="41">
        <v>42795</v>
      </c>
      <c r="D1706" t="s">
        <v>2166</v>
      </c>
      <c r="E1706" t="s">
        <v>219</v>
      </c>
      <c r="F1706" t="s">
        <v>1301</v>
      </c>
      <c r="G1706" t="s">
        <v>1299</v>
      </c>
      <c r="H1706" t="s">
        <v>264</v>
      </c>
      <c r="I1706" t="s">
        <v>310</v>
      </c>
      <c r="J1706">
        <v>2</v>
      </c>
      <c r="L1706">
        <v>254.82</v>
      </c>
      <c r="M1706">
        <v>434.26</v>
      </c>
      <c r="N1706">
        <v>584.77</v>
      </c>
      <c r="O1706">
        <v>860.74</v>
      </c>
      <c r="P1706">
        <v>1</v>
      </c>
      <c r="Q1706">
        <v>1</v>
      </c>
      <c r="R1706">
        <v>0</v>
      </c>
      <c r="T1706" t="b">
        <v>1</v>
      </c>
    </row>
    <row r="1707" spans="2:20" x14ac:dyDescent="0.35">
      <c r="B1707">
        <v>2014</v>
      </c>
      <c r="C1707" s="41">
        <v>42795</v>
      </c>
      <c r="D1707" t="s">
        <v>2167</v>
      </c>
      <c r="E1707" t="s">
        <v>219</v>
      </c>
      <c r="F1707" t="s">
        <v>458</v>
      </c>
      <c r="G1707" t="s">
        <v>2100</v>
      </c>
      <c r="H1707" t="s">
        <v>296</v>
      </c>
      <c r="I1707" t="s">
        <v>310</v>
      </c>
      <c r="J1707">
        <v>3</v>
      </c>
      <c r="L1707">
        <v>200.85</v>
      </c>
      <c r="M1707">
        <v>342.31</v>
      </c>
      <c r="N1707">
        <v>460.909999999999</v>
      </c>
      <c r="O1707">
        <v>678.44</v>
      </c>
      <c r="P1707">
        <v>1</v>
      </c>
      <c r="Q1707">
        <v>1</v>
      </c>
      <c r="R1707">
        <v>0</v>
      </c>
      <c r="T1707" t="b">
        <v>1</v>
      </c>
    </row>
    <row r="1708" spans="2:20" x14ac:dyDescent="0.35">
      <c r="B1708">
        <v>2014</v>
      </c>
      <c r="C1708" s="41">
        <v>42795</v>
      </c>
      <c r="D1708" t="s">
        <v>2167</v>
      </c>
      <c r="E1708" t="s">
        <v>219</v>
      </c>
      <c r="F1708" t="s">
        <v>459</v>
      </c>
      <c r="G1708" t="s">
        <v>2100</v>
      </c>
      <c r="H1708" t="s">
        <v>296</v>
      </c>
      <c r="I1708" t="s">
        <v>310</v>
      </c>
      <c r="J1708">
        <v>3</v>
      </c>
      <c r="L1708">
        <v>195.68</v>
      </c>
      <c r="M1708">
        <v>333.49</v>
      </c>
      <c r="N1708">
        <v>449.05</v>
      </c>
      <c r="O1708">
        <v>660.98</v>
      </c>
      <c r="P1708">
        <v>1</v>
      </c>
      <c r="Q1708">
        <v>1</v>
      </c>
      <c r="R1708">
        <v>0</v>
      </c>
      <c r="T1708" t="b">
        <v>1</v>
      </c>
    </row>
    <row r="1709" spans="2:20" x14ac:dyDescent="0.35">
      <c r="B1709">
        <v>2014</v>
      </c>
      <c r="C1709" s="41">
        <v>42795</v>
      </c>
      <c r="D1709" t="s">
        <v>2167</v>
      </c>
      <c r="E1709" t="s">
        <v>219</v>
      </c>
      <c r="F1709" t="s">
        <v>1307</v>
      </c>
      <c r="G1709" t="s">
        <v>2100</v>
      </c>
      <c r="H1709" t="s">
        <v>296</v>
      </c>
      <c r="I1709" t="s">
        <v>310</v>
      </c>
      <c r="J1709">
        <v>3</v>
      </c>
      <c r="L1709">
        <v>198.65</v>
      </c>
      <c r="M1709">
        <v>338.55</v>
      </c>
      <c r="N1709">
        <v>455.86</v>
      </c>
      <c r="O1709">
        <v>671</v>
      </c>
      <c r="P1709">
        <v>1</v>
      </c>
      <c r="Q1709">
        <v>1</v>
      </c>
      <c r="R1709">
        <v>0</v>
      </c>
      <c r="T1709" t="b">
        <v>1</v>
      </c>
    </row>
    <row r="1710" spans="2:20" x14ac:dyDescent="0.35">
      <c r="B1710">
        <v>2014</v>
      </c>
      <c r="C1710" s="41">
        <v>42795</v>
      </c>
      <c r="D1710" t="s">
        <v>2167</v>
      </c>
      <c r="E1710" t="s">
        <v>219</v>
      </c>
      <c r="F1710" t="s">
        <v>1389</v>
      </c>
      <c r="G1710" t="s">
        <v>2100</v>
      </c>
      <c r="H1710" t="s">
        <v>296</v>
      </c>
      <c r="I1710" t="s">
        <v>310</v>
      </c>
      <c r="J1710">
        <v>3</v>
      </c>
      <c r="L1710">
        <v>208.11</v>
      </c>
      <c r="M1710">
        <v>354.67</v>
      </c>
      <c r="N1710">
        <v>477.56</v>
      </c>
      <c r="O1710">
        <v>702.94</v>
      </c>
      <c r="P1710">
        <v>1</v>
      </c>
      <c r="Q1710">
        <v>1</v>
      </c>
      <c r="R1710">
        <v>0</v>
      </c>
      <c r="T1710" t="b">
        <v>1</v>
      </c>
    </row>
    <row r="1711" spans="2:20" x14ac:dyDescent="0.35">
      <c r="B1711">
        <v>2014</v>
      </c>
      <c r="C1711" s="41">
        <v>42795</v>
      </c>
      <c r="D1711" t="s">
        <v>2167</v>
      </c>
      <c r="E1711" t="s">
        <v>219</v>
      </c>
      <c r="F1711" t="s">
        <v>460</v>
      </c>
      <c r="G1711" t="s">
        <v>2100</v>
      </c>
      <c r="H1711" t="s">
        <v>296</v>
      </c>
      <c r="I1711" t="s">
        <v>310</v>
      </c>
      <c r="J1711">
        <v>3</v>
      </c>
      <c r="L1711">
        <v>245.48</v>
      </c>
      <c r="M1711">
        <v>418.37</v>
      </c>
      <c r="N1711">
        <v>563.34</v>
      </c>
      <c r="O1711">
        <v>829.2</v>
      </c>
      <c r="P1711">
        <v>1</v>
      </c>
      <c r="Q1711">
        <v>1</v>
      </c>
      <c r="R1711">
        <v>0</v>
      </c>
      <c r="T1711" t="b">
        <v>1</v>
      </c>
    </row>
    <row r="1712" spans="2:20" x14ac:dyDescent="0.35">
      <c r="B1712">
        <v>2014</v>
      </c>
      <c r="C1712" s="41">
        <v>42795</v>
      </c>
      <c r="D1712" t="s">
        <v>2167</v>
      </c>
      <c r="E1712" t="s">
        <v>219</v>
      </c>
      <c r="F1712" t="s">
        <v>1301</v>
      </c>
      <c r="G1712" t="s">
        <v>2100</v>
      </c>
      <c r="H1712" t="s">
        <v>296</v>
      </c>
      <c r="I1712" t="s">
        <v>310</v>
      </c>
      <c r="J1712">
        <v>3</v>
      </c>
      <c r="L1712">
        <v>205.38</v>
      </c>
      <c r="M1712">
        <v>350.03</v>
      </c>
      <c r="N1712">
        <v>471.31</v>
      </c>
      <c r="O1712">
        <v>693.74</v>
      </c>
      <c r="P1712">
        <v>1</v>
      </c>
      <c r="Q1712">
        <v>1</v>
      </c>
      <c r="R1712">
        <v>0</v>
      </c>
      <c r="T1712" t="b">
        <v>1</v>
      </c>
    </row>
    <row r="1713" spans="2:20" x14ac:dyDescent="0.35">
      <c r="B1713">
        <v>2014</v>
      </c>
      <c r="C1713" s="41">
        <v>42795</v>
      </c>
      <c r="D1713" t="s">
        <v>2167</v>
      </c>
      <c r="E1713" t="s">
        <v>219</v>
      </c>
      <c r="F1713" t="s">
        <v>1311</v>
      </c>
      <c r="G1713" t="s">
        <v>2100</v>
      </c>
      <c r="H1713" t="s">
        <v>296</v>
      </c>
      <c r="I1713" t="s">
        <v>310</v>
      </c>
      <c r="J1713">
        <v>3</v>
      </c>
      <c r="L1713">
        <v>227.95</v>
      </c>
      <c r="M1713">
        <v>388.49</v>
      </c>
      <c r="N1713">
        <v>523.09</v>
      </c>
      <c r="O1713">
        <v>769.96</v>
      </c>
      <c r="P1713">
        <v>1</v>
      </c>
      <c r="Q1713">
        <v>1</v>
      </c>
      <c r="R1713">
        <v>0</v>
      </c>
      <c r="T1713" t="b">
        <v>1</v>
      </c>
    </row>
    <row r="1714" spans="2:20" x14ac:dyDescent="0.35">
      <c r="B1714">
        <v>2014</v>
      </c>
      <c r="C1714" s="41">
        <v>42795</v>
      </c>
      <c r="D1714" t="s">
        <v>2167</v>
      </c>
      <c r="E1714" t="s">
        <v>219</v>
      </c>
      <c r="F1714" t="s">
        <v>461</v>
      </c>
      <c r="G1714" t="s">
        <v>2100</v>
      </c>
      <c r="H1714" t="s">
        <v>296</v>
      </c>
      <c r="I1714" t="s">
        <v>310</v>
      </c>
      <c r="J1714">
        <v>3</v>
      </c>
      <c r="L1714">
        <v>219.17</v>
      </c>
      <c r="M1714">
        <v>373.52</v>
      </c>
      <c r="N1714">
        <v>502.94</v>
      </c>
      <c r="O1714">
        <v>740.3</v>
      </c>
      <c r="P1714">
        <v>1</v>
      </c>
      <c r="Q1714">
        <v>1</v>
      </c>
      <c r="R1714">
        <v>0</v>
      </c>
      <c r="T1714" t="b">
        <v>1</v>
      </c>
    </row>
    <row r="1715" spans="2:20" x14ac:dyDescent="0.35">
      <c r="B1715">
        <v>2014</v>
      </c>
      <c r="C1715" s="41">
        <v>42795</v>
      </c>
      <c r="D1715" t="s">
        <v>2167</v>
      </c>
      <c r="E1715" t="s">
        <v>219</v>
      </c>
      <c r="F1715" t="s">
        <v>462</v>
      </c>
      <c r="G1715" t="s">
        <v>2100</v>
      </c>
      <c r="H1715" t="s">
        <v>296</v>
      </c>
      <c r="I1715" t="s">
        <v>310</v>
      </c>
      <c r="J1715">
        <v>3</v>
      </c>
      <c r="L1715">
        <v>201.63</v>
      </c>
      <c r="M1715">
        <v>343.64</v>
      </c>
      <c r="N1715">
        <v>462.71</v>
      </c>
      <c r="O1715">
        <v>681.08</v>
      </c>
      <c r="P1715">
        <v>1</v>
      </c>
      <c r="Q1715">
        <v>1</v>
      </c>
      <c r="R1715">
        <v>0</v>
      </c>
      <c r="T1715" t="b">
        <v>1</v>
      </c>
    </row>
    <row r="1716" spans="2:20" x14ac:dyDescent="0.35">
      <c r="B1716">
        <v>2014</v>
      </c>
      <c r="C1716" s="41">
        <v>42795</v>
      </c>
      <c r="D1716" t="s">
        <v>2167</v>
      </c>
      <c r="E1716" t="s">
        <v>219</v>
      </c>
      <c r="F1716" t="s">
        <v>464</v>
      </c>
      <c r="G1716" t="s">
        <v>2100</v>
      </c>
      <c r="H1716" t="s">
        <v>296</v>
      </c>
      <c r="I1716" t="s">
        <v>310</v>
      </c>
      <c r="J1716">
        <v>3</v>
      </c>
      <c r="L1716">
        <v>205.16</v>
      </c>
      <c r="M1716">
        <v>349.65</v>
      </c>
      <c r="N1716">
        <v>470.81</v>
      </c>
      <c r="O1716">
        <v>693</v>
      </c>
      <c r="P1716">
        <v>1</v>
      </c>
      <c r="Q1716">
        <v>1</v>
      </c>
      <c r="R1716">
        <v>0</v>
      </c>
      <c r="T1716" t="b">
        <v>1</v>
      </c>
    </row>
    <row r="1717" spans="2:20" x14ac:dyDescent="0.35">
      <c r="B1717">
        <v>2014</v>
      </c>
      <c r="C1717" s="41">
        <v>42795</v>
      </c>
      <c r="D1717" t="s">
        <v>2167</v>
      </c>
      <c r="E1717" t="s">
        <v>219</v>
      </c>
      <c r="F1717" t="s">
        <v>1309</v>
      </c>
      <c r="G1717" t="s">
        <v>2100</v>
      </c>
      <c r="H1717" t="s">
        <v>296</v>
      </c>
      <c r="I1717" t="s">
        <v>310</v>
      </c>
      <c r="J1717">
        <v>3</v>
      </c>
      <c r="L1717">
        <v>209.13</v>
      </c>
      <c r="M1717">
        <v>356.41</v>
      </c>
      <c r="N1717">
        <v>479.909999999999</v>
      </c>
      <c r="O1717">
        <v>706.4</v>
      </c>
      <c r="P1717">
        <v>1</v>
      </c>
      <c r="Q1717">
        <v>1</v>
      </c>
      <c r="R1717">
        <v>0</v>
      </c>
      <c r="T1717" t="b">
        <v>1</v>
      </c>
    </row>
    <row r="1718" spans="2:20" x14ac:dyDescent="0.35">
      <c r="B1718">
        <v>2014</v>
      </c>
      <c r="C1718" s="41">
        <v>42795</v>
      </c>
      <c r="D1718" t="s">
        <v>2167</v>
      </c>
      <c r="E1718" t="s">
        <v>219</v>
      </c>
      <c r="F1718" t="s">
        <v>1390</v>
      </c>
      <c r="G1718" t="s">
        <v>2100</v>
      </c>
      <c r="H1718" t="s">
        <v>296</v>
      </c>
      <c r="I1718" t="s">
        <v>310</v>
      </c>
      <c r="J1718">
        <v>3</v>
      </c>
      <c r="L1718">
        <v>213.74</v>
      </c>
      <c r="M1718">
        <v>364.27</v>
      </c>
      <c r="N1718">
        <v>490.48</v>
      </c>
      <c r="O1718">
        <v>721.96</v>
      </c>
      <c r="P1718">
        <v>1</v>
      </c>
      <c r="Q1718">
        <v>1</v>
      </c>
      <c r="R1718">
        <v>0</v>
      </c>
      <c r="T1718" t="b">
        <v>1</v>
      </c>
    </row>
    <row r="1719" spans="2:20" x14ac:dyDescent="0.35">
      <c r="B1719">
        <v>2014</v>
      </c>
      <c r="C1719" s="41">
        <v>42795</v>
      </c>
      <c r="D1719" t="s">
        <v>2168</v>
      </c>
      <c r="E1719" t="s">
        <v>219</v>
      </c>
      <c r="F1719" t="s">
        <v>462</v>
      </c>
      <c r="G1719" t="s">
        <v>1381</v>
      </c>
      <c r="H1719" t="s">
        <v>2169</v>
      </c>
      <c r="I1719" t="s">
        <v>842</v>
      </c>
      <c r="J1719">
        <v>2</v>
      </c>
      <c r="L1719">
        <v>236.49</v>
      </c>
      <c r="M1719">
        <v>403.03</v>
      </c>
      <c r="N1719">
        <v>542.70000000000005</v>
      </c>
      <c r="O1719">
        <v>798.81999999999903</v>
      </c>
      <c r="P1719">
        <v>0</v>
      </c>
      <c r="Q1719">
        <v>1</v>
      </c>
      <c r="R1719">
        <v>0</v>
      </c>
      <c r="T1719" t="b">
        <v>1</v>
      </c>
    </row>
    <row r="1720" spans="2:20" x14ac:dyDescent="0.35">
      <c r="B1720">
        <v>2014</v>
      </c>
      <c r="C1720" s="41">
        <v>42795</v>
      </c>
      <c r="D1720" t="s">
        <v>2168</v>
      </c>
      <c r="E1720" t="s">
        <v>219</v>
      </c>
      <c r="F1720" t="s">
        <v>1302</v>
      </c>
      <c r="G1720" t="s">
        <v>1381</v>
      </c>
      <c r="H1720" t="s">
        <v>2169</v>
      </c>
      <c r="I1720" t="s">
        <v>842</v>
      </c>
      <c r="J1720">
        <v>2</v>
      </c>
      <c r="L1720">
        <v>227.87</v>
      </c>
      <c r="M1720">
        <v>388.33</v>
      </c>
      <c r="N1720">
        <v>522.91999999999996</v>
      </c>
      <c r="O1720">
        <v>769.7</v>
      </c>
      <c r="P1720">
        <v>0</v>
      </c>
      <c r="Q1720">
        <v>1</v>
      </c>
      <c r="R1720">
        <v>0</v>
      </c>
      <c r="T1720" t="b">
        <v>1</v>
      </c>
    </row>
    <row r="1721" spans="2:20" x14ac:dyDescent="0.35">
      <c r="B1721">
        <v>2014</v>
      </c>
      <c r="C1721" s="41">
        <v>42795</v>
      </c>
      <c r="D1721" t="s">
        <v>2168</v>
      </c>
      <c r="E1721" t="s">
        <v>219</v>
      </c>
      <c r="F1721" t="s">
        <v>458</v>
      </c>
      <c r="G1721" t="s">
        <v>1381</v>
      </c>
      <c r="H1721" t="s">
        <v>2169</v>
      </c>
      <c r="I1721" t="s">
        <v>842</v>
      </c>
      <c r="J1721">
        <v>2</v>
      </c>
      <c r="L1721">
        <v>204.07</v>
      </c>
      <c r="M1721">
        <v>347.77</v>
      </c>
      <c r="N1721">
        <v>468.31</v>
      </c>
      <c r="O1721">
        <v>689.31999999999903</v>
      </c>
      <c r="P1721">
        <v>0</v>
      </c>
      <c r="Q1721">
        <v>1</v>
      </c>
      <c r="R1721">
        <v>0</v>
      </c>
      <c r="T1721" t="b">
        <v>1</v>
      </c>
    </row>
    <row r="1722" spans="2:20" x14ac:dyDescent="0.35">
      <c r="B1722">
        <v>2014</v>
      </c>
      <c r="C1722" s="41">
        <v>42795</v>
      </c>
      <c r="D1722" t="s">
        <v>2168</v>
      </c>
      <c r="E1722" t="s">
        <v>219</v>
      </c>
      <c r="F1722" t="s">
        <v>1307</v>
      </c>
      <c r="G1722" t="s">
        <v>1381</v>
      </c>
      <c r="H1722" t="s">
        <v>2169</v>
      </c>
      <c r="I1722" t="s">
        <v>842</v>
      </c>
      <c r="J1722">
        <v>2</v>
      </c>
      <c r="L1722">
        <v>281.33</v>
      </c>
      <c r="M1722">
        <v>479.43</v>
      </c>
      <c r="N1722">
        <v>645.6</v>
      </c>
      <c r="O1722">
        <v>950.28</v>
      </c>
      <c r="P1722">
        <v>0</v>
      </c>
      <c r="Q1722">
        <v>1</v>
      </c>
      <c r="R1722">
        <v>0</v>
      </c>
      <c r="T1722" t="b">
        <v>1</v>
      </c>
    </row>
    <row r="1723" spans="2:20" x14ac:dyDescent="0.35">
      <c r="B1723">
        <v>2014</v>
      </c>
      <c r="C1723" s="41">
        <v>42795</v>
      </c>
      <c r="D1723" t="s">
        <v>2168</v>
      </c>
      <c r="E1723" t="s">
        <v>219</v>
      </c>
      <c r="F1723" t="s">
        <v>460</v>
      </c>
      <c r="G1723" t="s">
        <v>1381</v>
      </c>
      <c r="H1723" t="s">
        <v>2169</v>
      </c>
      <c r="I1723" t="s">
        <v>842</v>
      </c>
      <c r="J1723">
        <v>2</v>
      </c>
      <c r="L1723">
        <v>217.76</v>
      </c>
      <c r="M1723">
        <v>371.11</v>
      </c>
      <c r="N1723">
        <v>499.74</v>
      </c>
      <c r="O1723">
        <v>735.57999999999902</v>
      </c>
      <c r="P1723">
        <v>0</v>
      </c>
      <c r="Q1723">
        <v>1</v>
      </c>
      <c r="R1723">
        <v>0</v>
      </c>
      <c r="T1723" t="b">
        <v>1</v>
      </c>
    </row>
    <row r="1724" spans="2:20" x14ac:dyDescent="0.35">
      <c r="B1724">
        <v>2014</v>
      </c>
      <c r="C1724" s="41">
        <v>42795</v>
      </c>
      <c r="D1724" t="s">
        <v>2168</v>
      </c>
      <c r="E1724" t="s">
        <v>219</v>
      </c>
      <c r="F1724" t="s">
        <v>1298</v>
      </c>
      <c r="G1724" t="s">
        <v>1381</v>
      </c>
      <c r="H1724" t="s">
        <v>2169</v>
      </c>
      <c r="I1724" t="s">
        <v>842</v>
      </c>
      <c r="J1724">
        <v>2</v>
      </c>
      <c r="L1724">
        <v>246.19</v>
      </c>
      <c r="M1724">
        <v>419.55</v>
      </c>
      <c r="N1724">
        <v>564.96</v>
      </c>
      <c r="O1724">
        <v>831.57999999999902</v>
      </c>
      <c r="P1724">
        <v>0</v>
      </c>
      <c r="Q1724">
        <v>1</v>
      </c>
      <c r="R1724">
        <v>0</v>
      </c>
      <c r="T1724" t="b">
        <v>1</v>
      </c>
    </row>
    <row r="1725" spans="2:20" x14ac:dyDescent="0.35">
      <c r="B1725">
        <v>2014</v>
      </c>
      <c r="C1725" s="41">
        <v>42795</v>
      </c>
      <c r="D1725" t="s">
        <v>2168</v>
      </c>
      <c r="E1725" t="s">
        <v>219</v>
      </c>
      <c r="F1725" t="s">
        <v>1389</v>
      </c>
      <c r="G1725" t="s">
        <v>1381</v>
      </c>
      <c r="H1725" t="s">
        <v>2169</v>
      </c>
      <c r="I1725" t="s">
        <v>842</v>
      </c>
      <c r="J1725">
        <v>2</v>
      </c>
      <c r="L1725">
        <v>222.03</v>
      </c>
      <c r="M1725">
        <v>378.38</v>
      </c>
      <c r="N1725">
        <v>509.52</v>
      </c>
      <c r="O1725">
        <v>749.98</v>
      </c>
      <c r="P1725">
        <v>0</v>
      </c>
      <c r="Q1725">
        <v>1</v>
      </c>
      <c r="R1725">
        <v>0</v>
      </c>
      <c r="T1725" t="b">
        <v>1</v>
      </c>
    </row>
    <row r="1726" spans="2:20" x14ac:dyDescent="0.35">
      <c r="B1726">
        <v>2014</v>
      </c>
      <c r="C1726" s="41">
        <v>42795</v>
      </c>
      <c r="D1726" t="s">
        <v>2168</v>
      </c>
      <c r="E1726" t="s">
        <v>219</v>
      </c>
      <c r="F1726" t="s">
        <v>461</v>
      </c>
      <c r="G1726" t="s">
        <v>1381</v>
      </c>
      <c r="H1726" t="s">
        <v>2169</v>
      </c>
      <c r="I1726" t="s">
        <v>842</v>
      </c>
      <c r="J1726">
        <v>2</v>
      </c>
      <c r="L1726">
        <v>255.75</v>
      </c>
      <c r="M1726">
        <v>435.86</v>
      </c>
      <c r="N1726">
        <v>586.92999999999995</v>
      </c>
      <c r="O1726">
        <v>863.92</v>
      </c>
      <c r="P1726">
        <v>0</v>
      </c>
      <c r="Q1726">
        <v>1</v>
      </c>
      <c r="R1726">
        <v>0</v>
      </c>
      <c r="T1726" t="b">
        <v>1</v>
      </c>
    </row>
    <row r="1727" spans="2:20" x14ac:dyDescent="0.35">
      <c r="B1727">
        <v>2014</v>
      </c>
      <c r="C1727" s="41">
        <v>42795</v>
      </c>
      <c r="D1727" t="s">
        <v>2168</v>
      </c>
      <c r="E1727" t="s">
        <v>219</v>
      </c>
      <c r="F1727" t="s">
        <v>1309</v>
      </c>
      <c r="G1727" t="s">
        <v>1381</v>
      </c>
      <c r="H1727" t="s">
        <v>2169</v>
      </c>
      <c r="I1727" t="s">
        <v>842</v>
      </c>
      <c r="J1727">
        <v>2</v>
      </c>
      <c r="L1727">
        <v>221.93</v>
      </c>
      <c r="M1727">
        <v>378.22</v>
      </c>
      <c r="N1727">
        <v>509.3</v>
      </c>
      <c r="O1727">
        <v>749.66</v>
      </c>
      <c r="P1727">
        <v>0</v>
      </c>
      <c r="Q1727">
        <v>1</v>
      </c>
      <c r="R1727">
        <v>0</v>
      </c>
      <c r="T1727" t="b">
        <v>1</v>
      </c>
    </row>
    <row r="1728" spans="2:20" x14ac:dyDescent="0.35">
      <c r="B1728">
        <v>2014</v>
      </c>
      <c r="C1728" s="41">
        <v>42795</v>
      </c>
      <c r="D1728" t="s">
        <v>2168</v>
      </c>
      <c r="E1728" t="s">
        <v>219</v>
      </c>
      <c r="F1728" t="s">
        <v>463</v>
      </c>
      <c r="G1728" t="s">
        <v>1381</v>
      </c>
      <c r="H1728" t="s">
        <v>2169</v>
      </c>
      <c r="I1728" t="s">
        <v>842</v>
      </c>
      <c r="J1728">
        <v>2</v>
      </c>
      <c r="L1728">
        <v>292.02999999999997</v>
      </c>
      <c r="M1728">
        <v>497.67</v>
      </c>
      <c r="N1728">
        <v>670.15</v>
      </c>
      <c r="O1728">
        <v>986.42</v>
      </c>
      <c r="P1728">
        <v>0</v>
      </c>
      <c r="Q1728">
        <v>1</v>
      </c>
      <c r="R1728">
        <v>0</v>
      </c>
      <c r="T1728" t="b">
        <v>1</v>
      </c>
    </row>
    <row r="1729" spans="2:20" x14ac:dyDescent="0.35">
      <c r="B1729">
        <v>2014</v>
      </c>
      <c r="C1729" s="41">
        <v>42795</v>
      </c>
      <c r="D1729" t="s">
        <v>2168</v>
      </c>
      <c r="E1729" t="s">
        <v>219</v>
      </c>
      <c r="F1729" t="s">
        <v>1310</v>
      </c>
      <c r="G1729" t="s">
        <v>1381</v>
      </c>
      <c r="H1729" t="s">
        <v>2169</v>
      </c>
      <c r="I1729" t="s">
        <v>842</v>
      </c>
      <c r="J1729">
        <v>2</v>
      </c>
      <c r="L1729">
        <v>318.61</v>
      </c>
      <c r="M1729">
        <v>542.98</v>
      </c>
      <c r="N1729">
        <v>731.16</v>
      </c>
      <c r="O1729">
        <v>1076.22</v>
      </c>
      <c r="P1729">
        <v>0</v>
      </c>
      <c r="Q1729">
        <v>1</v>
      </c>
      <c r="R1729">
        <v>0</v>
      </c>
      <c r="T1729" t="b">
        <v>1</v>
      </c>
    </row>
    <row r="1730" spans="2:20" x14ac:dyDescent="0.35">
      <c r="B1730">
        <v>2014</v>
      </c>
      <c r="C1730" s="41">
        <v>42795</v>
      </c>
      <c r="D1730" t="s">
        <v>2168</v>
      </c>
      <c r="E1730" t="s">
        <v>219</v>
      </c>
      <c r="F1730" t="s">
        <v>1301</v>
      </c>
      <c r="G1730" t="s">
        <v>1381</v>
      </c>
      <c r="H1730" t="s">
        <v>2169</v>
      </c>
      <c r="I1730" t="s">
        <v>842</v>
      </c>
      <c r="J1730">
        <v>2</v>
      </c>
      <c r="L1730">
        <v>214.93</v>
      </c>
      <c r="M1730">
        <v>366.29</v>
      </c>
      <c r="N1730">
        <v>493.24</v>
      </c>
      <c r="O1730">
        <v>726.02</v>
      </c>
      <c r="P1730">
        <v>0</v>
      </c>
      <c r="Q1730">
        <v>1</v>
      </c>
      <c r="R1730">
        <v>0</v>
      </c>
      <c r="T1730" t="b">
        <v>1</v>
      </c>
    </row>
    <row r="1731" spans="2:20" x14ac:dyDescent="0.35">
      <c r="B1731">
        <v>2014</v>
      </c>
      <c r="C1731" s="41">
        <v>42795</v>
      </c>
      <c r="D1731" t="s">
        <v>2168</v>
      </c>
      <c r="E1731" t="s">
        <v>219</v>
      </c>
      <c r="F1731" t="s">
        <v>464</v>
      </c>
      <c r="G1731" t="s">
        <v>1381</v>
      </c>
      <c r="H1731" t="s">
        <v>2169</v>
      </c>
      <c r="I1731" t="s">
        <v>842</v>
      </c>
      <c r="J1731">
        <v>2</v>
      </c>
      <c r="L1731">
        <v>219.68</v>
      </c>
      <c r="M1731">
        <v>374.38</v>
      </c>
      <c r="N1731">
        <v>504.14</v>
      </c>
      <c r="O1731">
        <v>742.06</v>
      </c>
      <c r="P1731">
        <v>0</v>
      </c>
      <c r="Q1731">
        <v>1</v>
      </c>
      <c r="R1731">
        <v>0</v>
      </c>
      <c r="T1731" t="b">
        <v>1</v>
      </c>
    </row>
    <row r="1732" spans="2:20" x14ac:dyDescent="0.35">
      <c r="B1732">
        <v>2014</v>
      </c>
      <c r="C1732" s="41">
        <v>42795</v>
      </c>
      <c r="D1732" t="s">
        <v>2168</v>
      </c>
      <c r="E1732" t="s">
        <v>219</v>
      </c>
      <c r="F1732" t="s">
        <v>1390</v>
      </c>
      <c r="G1732" t="s">
        <v>1381</v>
      </c>
      <c r="H1732" t="s">
        <v>2169</v>
      </c>
      <c r="I1732" t="s">
        <v>842</v>
      </c>
      <c r="J1732">
        <v>2</v>
      </c>
      <c r="L1732">
        <v>268.02999999999997</v>
      </c>
      <c r="M1732">
        <v>456.77</v>
      </c>
      <c r="N1732">
        <v>615.07999999999902</v>
      </c>
      <c r="O1732">
        <v>905.35999999999899</v>
      </c>
      <c r="P1732">
        <v>0</v>
      </c>
      <c r="Q1732">
        <v>1</v>
      </c>
      <c r="R1732">
        <v>0</v>
      </c>
      <c r="T1732" t="b">
        <v>1</v>
      </c>
    </row>
    <row r="1733" spans="2:20" x14ac:dyDescent="0.35">
      <c r="B1733">
        <v>2014</v>
      </c>
      <c r="C1733" s="41">
        <v>42795</v>
      </c>
      <c r="D1733" t="s">
        <v>2168</v>
      </c>
      <c r="E1733" t="s">
        <v>219</v>
      </c>
      <c r="F1733" t="s">
        <v>1311</v>
      </c>
      <c r="G1733" t="s">
        <v>1381</v>
      </c>
      <c r="H1733" t="s">
        <v>2169</v>
      </c>
      <c r="I1733" t="s">
        <v>842</v>
      </c>
      <c r="J1733">
        <v>2</v>
      </c>
      <c r="L1733">
        <v>214.61</v>
      </c>
      <c r="M1733">
        <v>365.74</v>
      </c>
      <c r="N1733">
        <v>492.51</v>
      </c>
      <c r="O1733">
        <v>724.94</v>
      </c>
      <c r="P1733">
        <v>0</v>
      </c>
      <c r="Q1733">
        <v>1</v>
      </c>
      <c r="R1733">
        <v>0</v>
      </c>
      <c r="T1733" t="b">
        <v>1</v>
      </c>
    </row>
    <row r="1734" spans="2:20" x14ac:dyDescent="0.35">
      <c r="B1734">
        <v>2014</v>
      </c>
      <c r="C1734" s="41">
        <v>42795</v>
      </c>
      <c r="D1734" t="s">
        <v>2168</v>
      </c>
      <c r="E1734" t="s">
        <v>219</v>
      </c>
      <c r="F1734" t="s">
        <v>459</v>
      </c>
      <c r="G1734" t="s">
        <v>1381</v>
      </c>
      <c r="H1734" t="s">
        <v>2169</v>
      </c>
      <c r="I1734" t="s">
        <v>842</v>
      </c>
      <c r="J1734">
        <v>2</v>
      </c>
      <c r="L1734">
        <v>262.87</v>
      </c>
      <c r="M1734">
        <v>447.98</v>
      </c>
      <c r="N1734">
        <v>603.25</v>
      </c>
      <c r="O1734">
        <v>887.94</v>
      </c>
      <c r="P1734">
        <v>0</v>
      </c>
      <c r="Q1734">
        <v>1</v>
      </c>
      <c r="R1734">
        <v>0</v>
      </c>
      <c r="T1734" t="b">
        <v>1</v>
      </c>
    </row>
    <row r="1735" spans="2:20" x14ac:dyDescent="0.35">
      <c r="B1735">
        <v>2014</v>
      </c>
      <c r="C1735" s="41">
        <v>42795</v>
      </c>
      <c r="D1735" t="s">
        <v>2170</v>
      </c>
      <c r="E1735" t="s">
        <v>219</v>
      </c>
      <c r="F1735" t="s">
        <v>1301</v>
      </c>
      <c r="G1735" t="s">
        <v>245</v>
      </c>
      <c r="H1735" t="s">
        <v>303</v>
      </c>
      <c r="I1735" t="s">
        <v>310</v>
      </c>
      <c r="J1735">
        <v>2</v>
      </c>
      <c r="L1735">
        <v>273</v>
      </c>
      <c r="M1735">
        <v>465</v>
      </c>
      <c r="N1735">
        <v>625</v>
      </c>
      <c r="O1735">
        <v>920</v>
      </c>
      <c r="P1735">
        <v>1</v>
      </c>
      <c r="Q1735">
        <v>1</v>
      </c>
      <c r="R1735">
        <v>0</v>
      </c>
      <c r="T1735" t="b">
        <v>1</v>
      </c>
    </row>
    <row r="1736" spans="2:20" x14ac:dyDescent="0.35">
      <c r="B1736">
        <v>2014</v>
      </c>
      <c r="C1736" s="41">
        <v>42795</v>
      </c>
      <c r="D1736" t="s">
        <v>2170</v>
      </c>
      <c r="E1736" t="s">
        <v>219</v>
      </c>
      <c r="F1736" t="s">
        <v>461</v>
      </c>
      <c r="G1736" t="s">
        <v>245</v>
      </c>
      <c r="H1736" t="s">
        <v>303</v>
      </c>
      <c r="I1736" t="s">
        <v>310</v>
      </c>
      <c r="J1736">
        <v>2</v>
      </c>
      <c r="L1736">
        <v>273</v>
      </c>
      <c r="M1736">
        <v>465</v>
      </c>
      <c r="N1736">
        <v>625</v>
      </c>
      <c r="O1736">
        <v>920</v>
      </c>
      <c r="P1736">
        <v>1</v>
      </c>
      <c r="Q1736">
        <v>1</v>
      </c>
      <c r="R1736">
        <v>0</v>
      </c>
      <c r="T1736" t="b">
        <v>1</v>
      </c>
    </row>
    <row r="1737" spans="2:20" x14ac:dyDescent="0.35">
      <c r="B1737">
        <v>2014</v>
      </c>
      <c r="C1737" s="41">
        <v>42795</v>
      </c>
      <c r="D1737" t="s">
        <v>2170</v>
      </c>
      <c r="E1737" t="s">
        <v>219</v>
      </c>
      <c r="F1737" t="s">
        <v>1390</v>
      </c>
      <c r="G1737" t="s">
        <v>245</v>
      </c>
      <c r="H1737" t="s">
        <v>303</v>
      </c>
      <c r="I1737" t="s">
        <v>310</v>
      </c>
      <c r="J1737">
        <v>2</v>
      </c>
      <c r="L1737">
        <v>273</v>
      </c>
      <c r="M1737">
        <v>465</v>
      </c>
      <c r="N1737">
        <v>625</v>
      </c>
      <c r="O1737">
        <v>920</v>
      </c>
      <c r="P1737">
        <v>1</v>
      </c>
      <c r="Q1737">
        <v>1</v>
      </c>
      <c r="R1737">
        <v>0</v>
      </c>
      <c r="T1737" t="b">
        <v>1</v>
      </c>
    </row>
    <row r="1738" spans="2:20" x14ac:dyDescent="0.35">
      <c r="B1738">
        <v>2014</v>
      </c>
      <c r="C1738" s="41">
        <v>42795</v>
      </c>
      <c r="D1738" t="s">
        <v>2170</v>
      </c>
      <c r="E1738" t="s">
        <v>219</v>
      </c>
      <c r="F1738" t="s">
        <v>1309</v>
      </c>
      <c r="G1738" t="s">
        <v>245</v>
      </c>
      <c r="H1738" t="s">
        <v>303</v>
      </c>
      <c r="I1738" t="s">
        <v>310</v>
      </c>
      <c r="J1738">
        <v>2</v>
      </c>
      <c r="L1738">
        <v>273</v>
      </c>
      <c r="M1738">
        <v>465</v>
      </c>
      <c r="N1738">
        <v>625</v>
      </c>
      <c r="O1738">
        <v>920</v>
      </c>
      <c r="P1738">
        <v>1</v>
      </c>
      <c r="Q1738">
        <v>1</v>
      </c>
      <c r="R1738">
        <v>0</v>
      </c>
      <c r="T1738" t="b">
        <v>1</v>
      </c>
    </row>
    <row r="1739" spans="2:20" x14ac:dyDescent="0.35">
      <c r="B1739">
        <v>2014</v>
      </c>
      <c r="C1739" s="41">
        <v>42795</v>
      </c>
      <c r="D1739" t="s">
        <v>2170</v>
      </c>
      <c r="E1739" t="s">
        <v>219</v>
      </c>
      <c r="F1739" t="s">
        <v>1311</v>
      </c>
      <c r="G1739" t="s">
        <v>245</v>
      </c>
      <c r="H1739" t="s">
        <v>303</v>
      </c>
      <c r="I1739" t="s">
        <v>310</v>
      </c>
      <c r="J1739">
        <v>2</v>
      </c>
      <c r="L1739">
        <v>273</v>
      </c>
      <c r="M1739">
        <v>465</v>
      </c>
      <c r="N1739">
        <v>625</v>
      </c>
      <c r="O1739">
        <v>920</v>
      </c>
      <c r="P1739">
        <v>1</v>
      </c>
      <c r="Q1739">
        <v>1</v>
      </c>
      <c r="R1739">
        <v>0</v>
      </c>
      <c r="T1739" t="b">
        <v>1</v>
      </c>
    </row>
    <row r="1740" spans="2:20" x14ac:dyDescent="0.35">
      <c r="B1740">
        <v>2014</v>
      </c>
      <c r="C1740" s="41">
        <v>42795</v>
      </c>
      <c r="D1740" t="s">
        <v>2170</v>
      </c>
      <c r="E1740" t="s">
        <v>219</v>
      </c>
      <c r="F1740" t="s">
        <v>458</v>
      </c>
      <c r="G1740" t="s">
        <v>245</v>
      </c>
      <c r="H1740" t="s">
        <v>303</v>
      </c>
      <c r="I1740" t="s">
        <v>310</v>
      </c>
      <c r="J1740">
        <v>2</v>
      </c>
      <c r="L1740">
        <v>273</v>
      </c>
      <c r="M1740">
        <v>465</v>
      </c>
      <c r="N1740">
        <v>625</v>
      </c>
      <c r="O1740">
        <v>920</v>
      </c>
      <c r="P1740">
        <v>1</v>
      </c>
      <c r="Q1740">
        <v>1</v>
      </c>
      <c r="R1740">
        <v>0</v>
      </c>
      <c r="T1740" t="b">
        <v>1</v>
      </c>
    </row>
    <row r="1741" spans="2:20" x14ac:dyDescent="0.35">
      <c r="B1741">
        <v>2014</v>
      </c>
      <c r="C1741" s="41">
        <v>42795</v>
      </c>
      <c r="D1741" t="s">
        <v>1064</v>
      </c>
      <c r="E1741" t="s">
        <v>219</v>
      </c>
      <c r="F1741" t="s">
        <v>1301</v>
      </c>
      <c r="G1741" t="s">
        <v>2100</v>
      </c>
      <c r="H1741" t="s">
        <v>2171</v>
      </c>
      <c r="I1741" t="s">
        <v>842</v>
      </c>
      <c r="J1741">
        <v>2</v>
      </c>
      <c r="L1741">
        <v>178.51</v>
      </c>
      <c r="M1741">
        <v>304.23</v>
      </c>
      <c r="N1741">
        <v>409.65</v>
      </c>
      <c r="O1741">
        <v>602.98</v>
      </c>
      <c r="P1741">
        <v>0</v>
      </c>
      <c r="Q1741">
        <v>3</v>
      </c>
      <c r="R1741">
        <v>0</v>
      </c>
      <c r="T1741" t="b">
        <v>1</v>
      </c>
    </row>
    <row r="1742" spans="2:20" x14ac:dyDescent="0.35">
      <c r="B1742">
        <v>2014</v>
      </c>
      <c r="C1742" s="41">
        <v>42795</v>
      </c>
      <c r="D1742" t="s">
        <v>1064</v>
      </c>
      <c r="E1742" t="s">
        <v>219</v>
      </c>
      <c r="F1742" t="s">
        <v>461</v>
      </c>
      <c r="G1742" t="s">
        <v>2100</v>
      </c>
      <c r="H1742" t="s">
        <v>2171</v>
      </c>
      <c r="I1742" t="s">
        <v>842</v>
      </c>
      <c r="J1742">
        <v>2</v>
      </c>
      <c r="L1742">
        <v>178.51</v>
      </c>
      <c r="M1742">
        <v>304.23</v>
      </c>
      <c r="N1742">
        <v>409.65</v>
      </c>
      <c r="O1742">
        <v>602.98</v>
      </c>
      <c r="P1742">
        <v>0</v>
      </c>
      <c r="Q1742">
        <v>3</v>
      </c>
      <c r="R1742">
        <v>0</v>
      </c>
      <c r="T1742" t="b">
        <v>1</v>
      </c>
    </row>
    <row r="1743" spans="2:20" x14ac:dyDescent="0.35">
      <c r="B1743">
        <v>2014</v>
      </c>
      <c r="C1743" s="41">
        <v>42795</v>
      </c>
      <c r="D1743" t="s">
        <v>1064</v>
      </c>
      <c r="E1743" t="s">
        <v>219</v>
      </c>
      <c r="F1743" t="s">
        <v>458</v>
      </c>
      <c r="G1743" t="s">
        <v>2100</v>
      </c>
      <c r="H1743" t="s">
        <v>2171</v>
      </c>
      <c r="I1743" t="s">
        <v>842</v>
      </c>
      <c r="J1743">
        <v>2</v>
      </c>
      <c r="L1743">
        <v>178.51</v>
      </c>
      <c r="M1743">
        <v>304.23</v>
      </c>
      <c r="N1743">
        <v>409.65</v>
      </c>
      <c r="O1743">
        <v>602.98</v>
      </c>
      <c r="P1743">
        <v>0</v>
      </c>
      <c r="Q1743">
        <v>3</v>
      </c>
      <c r="R1743">
        <v>0</v>
      </c>
      <c r="T1743" t="b">
        <v>1</v>
      </c>
    </row>
    <row r="1744" spans="2:20" x14ac:dyDescent="0.35">
      <c r="B1744">
        <v>2014</v>
      </c>
      <c r="C1744" s="41">
        <v>42795</v>
      </c>
      <c r="D1744" t="s">
        <v>2172</v>
      </c>
      <c r="E1744" t="s">
        <v>219</v>
      </c>
      <c r="F1744" t="s">
        <v>459</v>
      </c>
      <c r="G1744" t="s">
        <v>2100</v>
      </c>
      <c r="H1744" t="s">
        <v>2173</v>
      </c>
      <c r="I1744" t="s">
        <v>1555</v>
      </c>
      <c r="J1744">
        <v>3</v>
      </c>
      <c r="L1744">
        <v>253.01</v>
      </c>
      <c r="M1744">
        <v>431.21</v>
      </c>
      <c r="N1744">
        <v>580.62</v>
      </c>
      <c r="O1744">
        <v>854.64</v>
      </c>
      <c r="P1744">
        <v>0</v>
      </c>
      <c r="Q1744">
        <v>3</v>
      </c>
      <c r="R1744">
        <v>0</v>
      </c>
      <c r="T1744" t="b">
        <v>1</v>
      </c>
    </row>
    <row r="1745" spans="2:20" x14ac:dyDescent="0.35">
      <c r="B1745">
        <v>2014</v>
      </c>
      <c r="C1745" s="41">
        <v>42795</v>
      </c>
      <c r="D1745" t="s">
        <v>2172</v>
      </c>
      <c r="E1745" t="s">
        <v>219</v>
      </c>
      <c r="F1745" t="s">
        <v>1389</v>
      </c>
      <c r="G1745" t="s">
        <v>2100</v>
      </c>
      <c r="H1745" t="s">
        <v>2173</v>
      </c>
      <c r="I1745" t="s">
        <v>1555</v>
      </c>
      <c r="J1745">
        <v>3</v>
      </c>
      <c r="L1745">
        <v>269.08</v>
      </c>
      <c r="M1745">
        <v>458.59</v>
      </c>
      <c r="N1745">
        <v>617.48</v>
      </c>
      <c r="O1745">
        <v>908.9</v>
      </c>
      <c r="P1745">
        <v>0</v>
      </c>
      <c r="Q1745">
        <v>3</v>
      </c>
      <c r="R1745">
        <v>0</v>
      </c>
      <c r="T1745" t="b">
        <v>1</v>
      </c>
    </row>
    <row r="1746" spans="2:20" x14ac:dyDescent="0.35">
      <c r="B1746">
        <v>2014</v>
      </c>
      <c r="C1746" s="41">
        <v>42795</v>
      </c>
      <c r="D1746" t="s">
        <v>2172</v>
      </c>
      <c r="E1746" t="s">
        <v>219</v>
      </c>
      <c r="F1746" t="s">
        <v>1307</v>
      </c>
      <c r="G1746" t="s">
        <v>2100</v>
      </c>
      <c r="H1746" t="s">
        <v>2173</v>
      </c>
      <c r="I1746" t="s">
        <v>1555</v>
      </c>
      <c r="J1746">
        <v>3</v>
      </c>
      <c r="L1746">
        <v>256.85000000000002</v>
      </c>
      <c r="M1746">
        <v>437.74</v>
      </c>
      <c r="N1746">
        <v>589.41</v>
      </c>
      <c r="O1746">
        <v>867.58</v>
      </c>
      <c r="P1746">
        <v>0</v>
      </c>
      <c r="Q1746">
        <v>3</v>
      </c>
      <c r="R1746">
        <v>0</v>
      </c>
      <c r="T1746" t="b">
        <v>1</v>
      </c>
    </row>
    <row r="1747" spans="2:20" x14ac:dyDescent="0.35">
      <c r="B1747">
        <v>2014</v>
      </c>
      <c r="C1747" s="41">
        <v>42795</v>
      </c>
      <c r="D1747" t="s">
        <v>2172</v>
      </c>
      <c r="E1747" t="s">
        <v>219</v>
      </c>
      <c r="F1747" t="s">
        <v>1309</v>
      </c>
      <c r="G1747" t="s">
        <v>2100</v>
      </c>
      <c r="H1747" t="s">
        <v>2173</v>
      </c>
      <c r="I1747" t="s">
        <v>1555</v>
      </c>
      <c r="J1747">
        <v>3</v>
      </c>
      <c r="L1747">
        <v>270.39999999999998</v>
      </c>
      <c r="M1747">
        <v>460.84</v>
      </c>
      <c r="N1747">
        <v>620.53</v>
      </c>
      <c r="O1747">
        <v>913.38</v>
      </c>
      <c r="P1747">
        <v>0</v>
      </c>
      <c r="Q1747">
        <v>3</v>
      </c>
      <c r="R1747">
        <v>0</v>
      </c>
      <c r="T1747" t="b">
        <v>1</v>
      </c>
    </row>
    <row r="1748" spans="2:20" x14ac:dyDescent="0.35">
      <c r="B1748">
        <v>2014</v>
      </c>
      <c r="C1748" s="41">
        <v>42795</v>
      </c>
      <c r="D1748" t="s">
        <v>2172</v>
      </c>
      <c r="E1748" t="s">
        <v>219</v>
      </c>
      <c r="F1748" t="s">
        <v>1390</v>
      </c>
      <c r="G1748" t="s">
        <v>2100</v>
      </c>
      <c r="H1748" t="s">
        <v>2173</v>
      </c>
      <c r="I1748" t="s">
        <v>1555</v>
      </c>
      <c r="J1748">
        <v>3</v>
      </c>
      <c r="L1748">
        <v>276.36</v>
      </c>
      <c r="M1748">
        <v>471</v>
      </c>
      <c r="N1748">
        <v>634.21</v>
      </c>
      <c r="O1748">
        <v>933.52</v>
      </c>
      <c r="P1748">
        <v>0</v>
      </c>
      <c r="Q1748">
        <v>3</v>
      </c>
      <c r="R1748">
        <v>0</v>
      </c>
      <c r="T1748" t="b">
        <v>1</v>
      </c>
    </row>
    <row r="1749" spans="2:20" x14ac:dyDescent="0.35">
      <c r="B1749">
        <v>2014</v>
      </c>
      <c r="C1749" s="41">
        <v>42795</v>
      </c>
      <c r="D1749" t="s">
        <v>2172</v>
      </c>
      <c r="E1749" t="s">
        <v>219</v>
      </c>
      <c r="F1749" t="s">
        <v>461</v>
      </c>
      <c r="G1749" t="s">
        <v>2100</v>
      </c>
      <c r="H1749" t="s">
        <v>2173</v>
      </c>
      <c r="I1749" t="s">
        <v>1555</v>
      </c>
      <c r="J1749">
        <v>3</v>
      </c>
      <c r="L1749">
        <v>283.38</v>
      </c>
      <c r="M1749">
        <v>482.97</v>
      </c>
      <c r="N1749">
        <v>650.30999999999995</v>
      </c>
      <c r="O1749">
        <v>957.22</v>
      </c>
      <c r="P1749">
        <v>0</v>
      </c>
      <c r="Q1749">
        <v>3</v>
      </c>
      <c r="R1749">
        <v>0</v>
      </c>
      <c r="T1749" t="b">
        <v>1</v>
      </c>
    </row>
    <row r="1750" spans="2:20" x14ac:dyDescent="0.35">
      <c r="B1750">
        <v>2014</v>
      </c>
      <c r="C1750" s="41">
        <v>42795</v>
      </c>
      <c r="D1750" t="s">
        <v>2172</v>
      </c>
      <c r="E1750" t="s">
        <v>219</v>
      </c>
      <c r="F1750" t="s">
        <v>1301</v>
      </c>
      <c r="G1750" t="s">
        <v>2100</v>
      </c>
      <c r="H1750" t="s">
        <v>2173</v>
      </c>
      <c r="I1750" t="s">
        <v>1555</v>
      </c>
      <c r="J1750">
        <v>3</v>
      </c>
      <c r="L1750">
        <v>265.56</v>
      </c>
      <c r="M1750">
        <v>452.58</v>
      </c>
      <c r="N1750">
        <v>609.4</v>
      </c>
      <c r="O1750">
        <v>897</v>
      </c>
      <c r="P1750">
        <v>0</v>
      </c>
      <c r="Q1750">
        <v>3</v>
      </c>
      <c r="R1750">
        <v>0</v>
      </c>
      <c r="T1750" t="b">
        <v>1</v>
      </c>
    </row>
    <row r="1751" spans="2:20" x14ac:dyDescent="0.35">
      <c r="B1751">
        <v>2014</v>
      </c>
      <c r="C1751" s="41">
        <v>42795</v>
      </c>
      <c r="D1751" t="s">
        <v>2172</v>
      </c>
      <c r="E1751" t="s">
        <v>219</v>
      </c>
      <c r="F1751" t="s">
        <v>458</v>
      </c>
      <c r="G1751" t="s">
        <v>2100</v>
      </c>
      <c r="H1751" t="s">
        <v>2173</v>
      </c>
      <c r="I1751" t="s">
        <v>1555</v>
      </c>
      <c r="J1751">
        <v>3</v>
      </c>
      <c r="L1751">
        <v>259.7</v>
      </c>
      <c r="M1751">
        <v>442.6</v>
      </c>
      <c r="N1751">
        <v>595.96</v>
      </c>
      <c r="O1751">
        <v>877.22</v>
      </c>
      <c r="P1751">
        <v>0</v>
      </c>
      <c r="Q1751">
        <v>3</v>
      </c>
      <c r="R1751">
        <v>0</v>
      </c>
      <c r="T1751" t="b">
        <v>1</v>
      </c>
    </row>
    <row r="1752" spans="2:20" x14ac:dyDescent="0.35">
      <c r="B1752">
        <v>2014</v>
      </c>
      <c r="C1752" s="41">
        <v>42795</v>
      </c>
      <c r="D1752" t="s">
        <v>2172</v>
      </c>
      <c r="E1752" t="s">
        <v>219</v>
      </c>
      <c r="F1752" t="s">
        <v>460</v>
      </c>
      <c r="G1752" t="s">
        <v>2100</v>
      </c>
      <c r="H1752" t="s">
        <v>2173</v>
      </c>
      <c r="I1752" t="s">
        <v>1555</v>
      </c>
      <c r="J1752">
        <v>3</v>
      </c>
      <c r="L1752">
        <v>317.41000000000003</v>
      </c>
      <c r="M1752">
        <v>540.95000000000005</v>
      </c>
      <c r="N1752">
        <v>728.4</v>
      </c>
      <c r="O1752">
        <v>1072.1599999999901</v>
      </c>
      <c r="P1752">
        <v>0</v>
      </c>
      <c r="Q1752">
        <v>3</v>
      </c>
      <c r="R1752">
        <v>0</v>
      </c>
      <c r="T1752" t="b">
        <v>1</v>
      </c>
    </row>
    <row r="1753" spans="2:20" x14ac:dyDescent="0.35">
      <c r="B1753">
        <v>2014</v>
      </c>
      <c r="C1753" s="41">
        <v>42795</v>
      </c>
      <c r="D1753" t="s">
        <v>2172</v>
      </c>
      <c r="E1753" t="s">
        <v>219</v>
      </c>
      <c r="F1753" t="s">
        <v>462</v>
      </c>
      <c r="G1753" t="s">
        <v>2100</v>
      </c>
      <c r="H1753" t="s">
        <v>2173</v>
      </c>
      <c r="I1753" t="s">
        <v>1555</v>
      </c>
      <c r="J1753">
        <v>3</v>
      </c>
      <c r="L1753">
        <v>260.70999999999998</v>
      </c>
      <c r="M1753">
        <v>444.32</v>
      </c>
      <c r="N1753">
        <v>598.27</v>
      </c>
      <c r="O1753">
        <v>880.62</v>
      </c>
      <c r="P1753">
        <v>0</v>
      </c>
      <c r="Q1753">
        <v>3</v>
      </c>
      <c r="R1753">
        <v>0</v>
      </c>
      <c r="T1753" t="b">
        <v>1</v>
      </c>
    </row>
    <row r="1754" spans="2:20" x14ac:dyDescent="0.35">
      <c r="B1754">
        <v>2014</v>
      </c>
      <c r="C1754" s="41">
        <v>42795</v>
      </c>
      <c r="D1754" t="s">
        <v>2172</v>
      </c>
      <c r="E1754" t="s">
        <v>219</v>
      </c>
      <c r="F1754" t="s">
        <v>1311</v>
      </c>
      <c r="G1754" t="s">
        <v>2100</v>
      </c>
      <c r="H1754" t="s">
        <v>2173</v>
      </c>
      <c r="I1754" t="s">
        <v>1555</v>
      </c>
      <c r="J1754">
        <v>3</v>
      </c>
      <c r="L1754">
        <v>294.73</v>
      </c>
      <c r="M1754">
        <v>502.31</v>
      </c>
      <c r="N1754">
        <v>676.36</v>
      </c>
      <c r="O1754">
        <v>995.56</v>
      </c>
      <c r="P1754">
        <v>0</v>
      </c>
      <c r="Q1754">
        <v>3</v>
      </c>
      <c r="R1754">
        <v>0</v>
      </c>
      <c r="T1754" t="b">
        <v>1</v>
      </c>
    </row>
    <row r="1755" spans="2:20" x14ac:dyDescent="0.35">
      <c r="B1755">
        <v>2014</v>
      </c>
      <c r="C1755" s="41">
        <v>42795</v>
      </c>
      <c r="D1755" t="s">
        <v>2172</v>
      </c>
      <c r="E1755" t="s">
        <v>219</v>
      </c>
      <c r="F1755" t="s">
        <v>464</v>
      </c>
      <c r="G1755" t="s">
        <v>2100</v>
      </c>
      <c r="H1755" t="s">
        <v>2173</v>
      </c>
      <c r="I1755" t="s">
        <v>1555</v>
      </c>
      <c r="J1755">
        <v>3</v>
      </c>
      <c r="L1755">
        <v>265.27</v>
      </c>
      <c r="M1755">
        <v>452.1</v>
      </c>
      <c r="N1755">
        <v>608.75</v>
      </c>
      <c r="O1755">
        <v>896.04</v>
      </c>
      <c r="P1755">
        <v>0</v>
      </c>
      <c r="Q1755">
        <v>3</v>
      </c>
      <c r="R1755">
        <v>0</v>
      </c>
      <c r="T1755" t="b">
        <v>1</v>
      </c>
    </row>
    <row r="1756" spans="2:20" x14ac:dyDescent="0.35">
      <c r="B1756">
        <v>2014</v>
      </c>
      <c r="C1756" s="41">
        <v>42795</v>
      </c>
      <c r="D1756" t="s">
        <v>2174</v>
      </c>
      <c r="E1756" t="s">
        <v>219</v>
      </c>
      <c r="F1756" t="s">
        <v>1311</v>
      </c>
      <c r="G1756" t="s">
        <v>1299</v>
      </c>
      <c r="H1756" t="s">
        <v>268</v>
      </c>
      <c r="I1756" t="s">
        <v>310</v>
      </c>
      <c r="J1756">
        <v>2</v>
      </c>
      <c r="L1756">
        <v>210.11</v>
      </c>
      <c r="M1756">
        <v>358.06</v>
      </c>
      <c r="N1756">
        <v>482.17</v>
      </c>
      <c r="O1756">
        <v>709.72</v>
      </c>
      <c r="P1756">
        <v>1</v>
      </c>
      <c r="Q1756">
        <v>1</v>
      </c>
      <c r="R1756">
        <v>0</v>
      </c>
      <c r="T1756" t="b">
        <v>1</v>
      </c>
    </row>
    <row r="1757" spans="2:20" x14ac:dyDescent="0.35">
      <c r="B1757">
        <v>2014</v>
      </c>
      <c r="C1757" s="41">
        <v>42795</v>
      </c>
      <c r="D1757" t="s">
        <v>2174</v>
      </c>
      <c r="E1757" t="s">
        <v>219</v>
      </c>
      <c r="F1757" t="s">
        <v>1301</v>
      </c>
      <c r="G1757" t="s">
        <v>1299</v>
      </c>
      <c r="H1757" t="s">
        <v>268</v>
      </c>
      <c r="I1757" t="s">
        <v>310</v>
      </c>
      <c r="J1757">
        <v>2</v>
      </c>
      <c r="L1757">
        <v>264.04000000000002</v>
      </c>
      <c r="M1757">
        <v>449.97</v>
      </c>
      <c r="N1757">
        <v>605.94000000000005</v>
      </c>
      <c r="O1757">
        <v>891.9</v>
      </c>
      <c r="P1757">
        <v>1</v>
      </c>
      <c r="Q1757">
        <v>1</v>
      </c>
      <c r="R1757">
        <v>0</v>
      </c>
      <c r="T1757" t="b">
        <v>1</v>
      </c>
    </row>
    <row r="1758" spans="2:20" x14ac:dyDescent="0.35">
      <c r="B1758">
        <v>2014</v>
      </c>
      <c r="C1758" s="41">
        <v>42795</v>
      </c>
      <c r="D1758" t="s">
        <v>2174</v>
      </c>
      <c r="E1758" t="s">
        <v>219</v>
      </c>
      <c r="F1758" t="s">
        <v>1309</v>
      </c>
      <c r="G1758" t="s">
        <v>1299</v>
      </c>
      <c r="H1758" t="s">
        <v>268</v>
      </c>
      <c r="I1758" t="s">
        <v>310</v>
      </c>
      <c r="J1758">
        <v>2</v>
      </c>
      <c r="L1758">
        <v>231.58</v>
      </c>
      <c r="M1758">
        <v>394.65</v>
      </c>
      <c r="N1758">
        <v>531.44000000000005</v>
      </c>
      <c r="O1758">
        <v>782.24</v>
      </c>
      <c r="P1758">
        <v>1</v>
      </c>
      <c r="Q1758">
        <v>1</v>
      </c>
      <c r="R1758">
        <v>0</v>
      </c>
      <c r="T1758" t="b">
        <v>1</v>
      </c>
    </row>
    <row r="1759" spans="2:20" x14ac:dyDescent="0.35">
      <c r="B1759">
        <v>2014</v>
      </c>
      <c r="C1759" s="41">
        <v>42795</v>
      </c>
      <c r="D1759" t="s">
        <v>2175</v>
      </c>
      <c r="E1759" t="s">
        <v>219</v>
      </c>
      <c r="F1759" t="s">
        <v>458</v>
      </c>
      <c r="G1759" t="s">
        <v>304</v>
      </c>
      <c r="H1759" t="s">
        <v>306</v>
      </c>
      <c r="I1759" t="s">
        <v>310</v>
      </c>
      <c r="J1759">
        <v>1</v>
      </c>
      <c r="L1759">
        <v>272.44</v>
      </c>
      <c r="M1759">
        <v>464.29</v>
      </c>
      <c r="N1759">
        <v>625.19000000000005</v>
      </c>
      <c r="O1759">
        <v>920.24</v>
      </c>
      <c r="P1759">
        <v>1</v>
      </c>
      <c r="Q1759">
        <v>1</v>
      </c>
      <c r="R1759">
        <v>0</v>
      </c>
      <c r="T1759" t="b">
        <v>1</v>
      </c>
    </row>
    <row r="1760" spans="2:20" x14ac:dyDescent="0.35">
      <c r="B1760">
        <v>2014</v>
      </c>
      <c r="C1760" s="41">
        <v>42795</v>
      </c>
      <c r="D1760" t="s">
        <v>2175</v>
      </c>
      <c r="E1760" t="s">
        <v>219</v>
      </c>
      <c r="F1760" t="s">
        <v>461</v>
      </c>
      <c r="G1760" t="s">
        <v>304</v>
      </c>
      <c r="H1760" t="s">
        <v>306</v>
      </c>
      <c r="I1760" t="s">
        <v>310</v>
      </c>
      <c r="J1760">
        <v>1</v>
      </c>
      <c r="L1760">
        <v>315.45</v>
      </c>
      <c r="M1760">
        <v>537.6</v>
      </c>
      <c r="N1760">
        <v>723.92</v>
      </c>
      <c r="O1760">
        <v>1065.56</v>
      </c>
      <c r="P1760">
        <v>1</v>
      </c>
      <c r="Q1760">
        <v>1</v>
      </c>
      <c r="R1760">
        <v>0</v>
      </c>
      <c r="T1760" t="b">
        <v>1</v>
      </c>
    </row>
    <row r="1761" spans="2:20" x14ac:dyDescent="0.35">
      <c r="B1761">
        <v>2014</v>
      </c>
      <c r="C1761" s="41">
        <v>42795</v>
      </c>
      <c r="D1761" t="s">
        <v>2175</v>
      </c>
      <c r="E1761" t="s">
        <v>219</v>
      </c>
      <c r="F1761" t="s">
        <v>1302</v>
      </c>
      <c r="G1761" t="s">
        <v>304</v>
      </c>
      <c r="H1761" t="s">
        <v>306</v>
      </c>
      <c r="I1761" t="s">
        <v>310</v>
      </c>
      <c r="J1761">
        <v>1</v>
      </c>
      <c r="L1761">
        <v>286.77999999999997</v>
      </c>
      <c r="M1761">
        <v>488.73</v>
      </c>
      <c r="N1761">
        <v>658.099999999999</v>
      </c>
      <c r="O1761">
        <v>968.68</v>
      </c>
      <c r="P1761">
        <v>1</v>
      </c>
      <c r="Q1761">
        <v>1</v>
      </c>
      <c r="R1761">
        <v>0</v>
      </c>
      <c r="T1761" t="b">
        <v>1</v>
      </c>
    </row>
    <row r="1762" spans="2:20" x14ac:dyDescent="0.35">
      <c r="B1762">
        <v>2014</v>
      </c>
      <c r="C1762" s="41">
        <v>42795</v>
      </c>
      <c r="D1762" t="s">
        <v>2175</v>
      </c>
      <c r="E1762" t="s">
        <v>219</v>
      </c>
      <c r="F1762" t="s">
        <v>1311</v>
      </c>
      <c r="G1762" t="s">
        <v>304</v>
      </c>
      <c r="H1762" t="s">
        <v>306</v>
      </c>
      <c r="I1762" t="s">
        <v>310</v>
      </c>
      <c r="J1762">
        <v>1</v>
      </c>
      <c r="L1762">
        <v>301.12</v>
      </c>
      <c r="M1762">
        <v>513.16</v>
      </c>
      <c r="N1762">
        <v>691.01</v>
      </c>
      <c r="O1762">
        <v>1017.12</v>
      </c>
      <c r="P1762">
        <v>1</v>
      </c>
      <c r="Q1762">
        <v>1</v>
      </c>
      <c r="R1762">
        <v>0</v>
      </c>
      <c r="T1762" t="b">
        <v>1</v>
      </c>
    </row>
    <row r="1763" spans="2:20" x14ac:dyDescent="0.35">
      <c r="B1763">
        <v>2014</v>
      </c>
      <c r="C1763" s="41">
        <v>42795</v>
      </c>
      <c r="D1763" t="s">
        <v>2175</v>
      </c>
      <c r="E1763" t="s">
        <v>219</v>
      </c>
      <c r="F1763" t="s">
        <v>1390</v>
      </c>
      <c r="G1763" t="s">
        <v>304</v>
      </c>
      <c r="H1763" t="s">
        <v>306</v>
      </c>
      <c r="I1763" t="s">
        <v>310</v>
      </c>
      <c r="J1763">
        <v>1</v>
      </c>
      <c r="L1763">
        <v>306.85000000000002</v>
      </c>
      <c r="M1763">
        <v>522.94000000000005</v>
      </c>
      <c r="N1763">
        <v>704.19</v>
      </c>
      <c r="O1763">
        <v>1036.52</v>
      </c>
      <c r="P1763">
        <v>1</v>
      </c>
      <c r="Q1763">
        <v>1</v>
      </c>
      <c r="R1763">
        <v>0</v>
      </c>
      <c r="T1763" t="b">
        <v>1</v>
      </c>
    </row>
    <row r="1764" spans="2:20" x14ac:dyDescent="0.35">
      <c r="B1764">
        <v>2014</v>
      </c>
      <c r="C1764" s="41">
        <v>42795</v>
      </c>
      <c r="D1764" t="s">
        <v>2175</v>
      </c>
      <c r="E1764" t="s">
        <v>219</v>
      </c>
      <c r="F1764" t="s">
        <v>1298</v>
      </c>
      <c r="G1764" t="s">
        <v>304</v>
      </c>
      <c r="H1764" t="s">
        <v>306</v>
      </c>
      <c r="I1764" t="s">
        <v>310</v>
      </c>
      <c r="J1764">
        <v>1</v>
      </c>
      <c r="L1764">
        <v>286.77999999999997</v>
      </c>
      <c r="M1764">
        <v>488.73</v>
      </c>
      <c r="N1764">
        <v>658.099999999999</v>
      </c>
      <c r="O1764">
        <v>968.68</v>
      </c>
      <c r="P1764">
        <v>1</v>
      </c>
      <c r="Q1764">
        <v>1</v>
      </c>
      <c r="R1764">
        <v>0</v>
      </c>
      <c r="T1764" t="b">
        <v>1</v>
      </c>
    </row>
    <row r="1765" spans="2:20" x14ac:dyDescent="0.35">
      <c r="B1765">
        <v>2014</v>
      </c>
      <c r="C1765" s="41">
        <v>42795</v>
      </c>
      <c r="D1765" t="s">
        <v>2175</v>
      </c>
      <c r="E1765" t="s">
        <v>219</v>
      </c>
      <c r="F1765" t="s">
        <v>1301</v>
      </c>
      <c r="G1765" t="s">
        <v>304</v>
      </c>
      <c r="H1765" t="s">
        <v>306</v>
      </c>
      <c r="I1765" t="s">
        <v>310</v>
      </c>
      <c r="J1765">
        <v>1</v>
      </c>
      <c r="L1765">
        <v>258.10000000000002</v>
      </c>
      <c r="M1765">
        <v>439.85</v>
      </c>
      <c r="N1765">
        <v>592.30999999999995</v>
      </c>
      <c r="O1765">
        <v>871.83999999999901</v>
      </c>
      <c r="P1765">
        <v>1</v>
      </c>
      <c r="Q1765">
        <v>1</v>
      </c>
      <c r="R1765">
        <v>0</v>
      </c>
      <c r="T1765" t="b">
        <v>1</v>
      </c>
    </row>
    <row r="1766" spans="2:20" x14ac:dyDescent="0.35">
      <c r="B1766">
        <v>2014</v>
      </c>
      <c r="C1766" s="41">
        <v>42795</v>
      </c>
      <c r="D1766" t="s">
        <v>922</v>
      </c>
      <c r="E1766" t="s">
        <v>219</v>
      </c>
      <c r="F1766" t="s">
        <v>1311</v>
      </c>
      <c r="G1766" t="s">
        <v>304</v>
      </c>
      <c r="H1766" t="s">
        <v>306</v>
      </c>
      <c r="I1766" t="s">
        <v>842</v>
      </c>
      <c r="J1766">
        <v>1</v>
      </c>
      <c r="L1766">
        <v>247.85</v>
      </c>
      <c r="M1766">
        <v>422.39</v>
      </c>
      <c r="N1766">
        <v>568.79</v>
      </c>
      <c r="O1766">
        <v>837.22</v>
      </c>
      <c r="P1766">
        <v>0</v>
      </c>
      <c r="Q1766">
        <v>3</v>
      </c>
      <c r="R1766">
        <v>0</v>
      </c>
      <c r="T1766" t="b">
        <v>1</v>
      </c>
    </row>
    <row r="1767" spans="2:20" x14ac:dyDescent="0.35">
      <c r="B1767">
        <v>2014</v>
      </c>
      <c r="C1767" s="41">
        <v>42795</v>
      </c>
      <c r="D1767" t="s">
        <v>922</v>
      </c>
      <c r="E1767" t="s">
        <v>219</v>
      </c>
      <c r="F1767" t="s">
        <v>1301</v>
      </c>
      <c r="G1767" t="s">
        <v>304</v>
      </c>
      <c r="H1767" t="s">
        <v>306</v>
      </c>
      <c r="I1767" t="s">
        <v>842</v>
      </c>
      <c r="J1767">
        <v>1</v>
      </c>
      <c r="L1767">
        <v>212.45</v>
      </c>
      <c r="M1767">
        <v>362.05</v>
      </c>
      <c r="N1767">
        <v>487.52</v>
      </c>
      <c r="O1767">
        <v>717.6</v>
      </c>
      <c r="P1767">
        <v>0</v>
      </c>
      <c r="Q1767">
        <v>3</v>
      </c>
      <c r="R1767">
        <v>0</v>
      </c>
      <c r="T1767" t="b">
        <v>1</v>
      </c>
    </row>
    <row r="1768" spans="2:20" x14ac:dyDescent="0.35">
      <c r="B1768">
        <v>2014</v>
      </c>
      <c r="C1768" s="41">
        <v>42795</v>
      </c>
      <c r="D1768" t="s">
        <v>922</v>
      </c>
      <c r="E1768" t="s">
        <v>219</v>
      </c>
      <c r="F1768" t="s">
        <v>1302</v>
      </c>
      <c r="G1768" t="s">
        <v>304</v>
      </c>
      <c r="H1768" t="s">
        <v>306</v>
      </c>
      <c r="I1768" t="s">
        <v>842</v>
      </c>
      <c r="J1768">
        <v>1</v>
      </c>
      <c r="L1768">
        <v>236.05</v>
      </c>
      <c r="M1768">
        <v>402.28</v>
      </c>
      <c r="N1768">
        <v>541.71</v>
      </c>
      <c r="O1768">
        <v>797.36</v>
      </c>
      <c r="P1768">
        <v>0</v>
      </c>
      <c r="Q1768">
        <v>3</v>
      </c>
      <c r="R1768">
        <v>0</v>
      </c>
      <c r="T1768" t="b">
        <v>1</v>
      </c>
    </row>
    <row r="1769" spans="2:20" x14ac:dyDescent="0.35">
      <c r="B1769">
        <v>2014</v>
      </c>
      <c r="C1769" s="41">
        <v>42795</v>
      </c>
      <c r="D1769" t="s">
        <v>922</v>
      </c>
      <c r="E1769" t="s">
        <v>219</v>
      </c>
      <c r="F1769" t="s">
        <v>1298</v>
      </c>
      <c r="G1769" t="s">
        <v>304</v>
      </c>
      <c r="H1769" t="s">
        <v>306</v>
      </c>
      <c r="I1769" t="s">
        <v>842</v>
      </c>
      <c r="J1769">
        <v>1</v>
      </c>
      <c r="L1769">
        <v>236.05</v>
      </c>
      <c r="M1769">
        <v>402.28</v>
      </c>
      <c r="N1769">
        <v>541.71</v>
      </c>
      <c r="O1769">
        <v>797.36</v>
      </c>
      <c r="P1769">
        <v>0</v>
      </c>
      <c r="Q1769">
        <v>3</v>
      </c>
      <c r="R1769">
        <v>0</v>
      </c>
      <c r="T1769" t="b">
        <v>1</v>
      </c>
    </row>
    <row r="1770" spans="2:20" x14ac:dyDescent="0.35">
      <c r="B1770">
        <v>2014</v>
      </c>
      <c r="C1770" s="41">
        <v>42795</v>
      </c>
      <c r="D1770" t="s">
        <v>922</v>
      </c>
      <c r="E1770" t="s">
        <v>219</v>
      </c>
      <c r="F1770" t="s">
        <v>458</v>
      </c>
      <c r="G1770" t="s">
        <v>304</v>
      </c>
      <c r="H1770" t="s">
        <v>306</v>
      </c>
      <c r="I1770" t="s">
        <v>842</v>
      </c>
      <c r="J1770">
        <v>1</v>
      </c>
      <c r="L1770">
        <v>224.25</v>
      </c>
      <c r="M1770">
        <v>382.17</v>
      </c>
      <c r="N1770">
        <v>514.63</v>
      </c>
      <c r="O1770">
        <v>757.5</v>
      </c>
      <c r="P1770">
        <v>0</v>
      </c>
      <c r="Q1770">
        <v>3</v>
      </c>
      <c r="R1770">
        <v>0</v>
      </c>
      <c r="T1770" t="b">
        <v>1</v>
      </c>
    </row>
    <row r="1771" spans="2:20" x14ac:dyDescent="0.35">
      <c r="B1771">
        <v>2014</v>
      </c>
      <c r="C1771" s="41">
        <v>42795</v>
      </c>
      <c r="D1771" t="s">
        <v>922</v>
      </c>
      <c r="E1771" t="s">
        <v>219</v>
      </c>
      <c r="F1771" t="s">
        <v>1390</v>
      </c>
      <c r="G1771" t="s">
        <v>304</v>
      </c>
      <c r="H1771" t="s">
        <v>306</v>
      </c>
      <c r="I1771" t="s">
        <v>842</v>
      </c>
      <c r="J1771">
        <v>1</v>
      </c>
      <c r="L1771">
        <v>252.58</v>
      </c>
      <c r="M1771">
        <v>430.44</v>
      </c>
      <c r="N1771">
        <v>579.62</v>
      </c>
      <c r="O1771">
        <v>853.16</v>
      </c>
      <c r="P1771">
        <v>0</v>
      </c>
      <c r="Q1771">
        <v>3</v>
      </c>
      <c r="R1771">
        <v>0</v>
      </c>
      <c r="T1771" t="b">
        <v>1</v>
      </c>
    </row>
    <row r="1772" spans="2:20" x14ac:dyDescent="0.35">
      <c r="B1772">
        <v>2014</v>
      </c>
      <c r="C1772" s="41">
        <v>42795</v>
      </c>
      <c r="D1772" t="s">
        <v>922</v>
      </c>
      <c r="E1772" t="s">
        <v>219</v>
      </c>
      <c r="F1772" t="s">
        <v>461</v>
      </c>
      <c r="G1772" t="s">
        <v>304</v>
      </c>
      <c r="H1772" t="s">
        <v>306</v>
      </c>
      <c r="I1772" t="s">
        <v>842</v>
      </c>
      <c r="J1772">
        <v>1</v>
      </c>
      <c r="L1772">
        <v>259.66000000000003</v>
      </c>
      <c r="M1772">
        <v>442.51</v>
      </c>
      <c r="N1772">
        <v>595.87</v>
      </c>
      <c r="O1772">
        <v>877.07999999999902</v>
      </c>
      <c r="P1772">
        <v>0</v>
      </c>
      <c r="Q1772">
        <v>3</v>
      </c>
      <c r="R1772">
        <v>0</v>
      </c>
      <c r="T1772" t="b">
        <v>1</v>
      </c>
    </row>
    <row r="1773" spans="2:20" x14ac:dyDescent="0.35">
      <c r="B1773">
        <v>2014</v>
      </c>
      <c r="C1773" s="41">
        <v>42795</v>
      </c>
      <c r="D1773" t="s">
        <v>2176</v>
      </c>
      <c r="E1773" t="s">
        <v>219</v>
      </c>
      <c r="F1773" t="s">
        <v>1301</v>
      </c>
      <c r="G1773" t="s">
        <v>304</v>
      </c>
      <c r="H1773" t="s">
        <v>306</v>
      </c>
      <c r="I1773" t="s">
        <v>310</v>
      </c>
      <c r="J1773">
        <v>1</v>
      </c>
      <c r="L1773">
        <v>247.67</v>
      </c>
      <c r="M1773">
        <v>422.09</v>
      </c>
      <c r="N1773">
        <v>568.38</v>
      </c>
      <c r="O1773">
        <v>836.62</v>
      </c>
      <c r="P1773">
        <v>1</v>
      </c>
      <c r="Q1773">
        <v>1</v>
      </c>
      <c r="R1773">
        <v>0</v>
      </c>
      <c r="T1773" t="b">
        <v>1</v>
      </c>
    </row>
    <row r="1774" spans="2:20" x14ac:dyDescent="0.35">
      <c r="B1774">
        <v>2014</v>
      </c>
      <c r="C1774" s="41">
        <v>42795</v>
      </c>
      <c r="D1774" t="s">
        <v>2176</v>
      </c>
      <c r="E1774" t="s">
        <v>219</v>
      </c>
      <c r="F1774" t="s">
        <v>458</v>
      </c>
      <c r="G1774" t="s">
        <v>304</v>
      </c>
      <c r="H1774" t="s">
        <v>306</v>
      </c>
      <c r="I1774" t="s">
        <v>310</v>
      </c>
      <c r="J1774">
        <v>1</v>
      </c>
      <c r="L1774">
        <v>261.43</v>
      </c>
      <c r="M1774">
        <v>445.54</v>
      </c>
      <c r="N1774">
        <v>599.96</v>
      </c>
      <c r="O1774">
        <v>883.099999999999</v>
      </c>
      <c r="P1774">
        <v>1</v>
      </c>
      <c r="Q1774">
        <v>1</v>
      </c>
      <c r="R1774">
        <v>0</v>
      </c>
      <c r="T1774" t="b">
        <v>1</v>
      </c>
    </row>
    <row r="1775" spans="2:20" x14ac:dyDescent="0.35">
      <c r="B1775">
        <v>2014</v>
      </c>
      <c r="C1775" s="41">
        <v>42795</v>
      </c>
      <c r="D1775" t="s">
        <v>2176</v>
      </c>
      <c r="E1775" t="s">
        <v>219</v>
      </c>
      <c r="F1775" t="s">
        <v>1302</v>
      </c>
      <c r="G1775" t="s">
        <v>304</v>
      </c>
      <c r="H1775" t="s">
        <v>306</v>
      </c>
      <c r="I1775" t="s">
        <v>310</v>
      </c>
      <c r="J1775">
        <v>1</v>
      </c>
      <c r="L1775">
        <v>275.19</v>
      </c>
      <c r="M1775">
        <v>468.99</v>
      </c>
      <c r="N1775">
        <v>631.52</v>
      </c>
      <c r="O1775">
        <v>929.56</v>
      </c>
      <c r="P1775">
        <v>1</v>
      </c>
      <c r="Q1775">
        <v>1</v>
      </c>
      <c r="R1775">
        <v>0</v>
      </c>
      <c r="T1775" t="b">
        <v>1</v>
      </c>
    </row>
    <row r="1776" spans="2:20" x14ac:dyDescent="0.35">
      <c r="B1776">
        <v>2014</v>
      </c>
      <c r="C1776" s="41">
        <v>42795</v>
      </c>
      <c r="D1776" t="s">
        <v>2176</v>
      </c>
      <c r="E1776" t="s">
        <v>219</v>
      </c>
      <c r="F1776" t="s">
        <v>1390</v>
      </c>
      <c r="G1776" t="s">
        <v>304</v>
      </c>
      <c r="H1776" t="s">
        <v>306</v>
      </c>
      <c r="I1776" t="s">
        <v>310</v>
      </c>
      <c r="J1776">
        <v>1</v>
      </c>
      <c r="L1776">
        <v>294.45999999999998</v>
      </c>
      <c r="M1776">
        <v>501.81</v>
      </c>
      <c r="N1776">
        <v>675.74</v>
      </c>
      <c r="O1776">
        <v>994.63999999999896</v>
      </c>
      <c r="P1776">
        <v>1</v>
      </c>
      <c r="Q1776">
        <v>1</v>
      </c>
      <c r="R1776">
        <v>0</v>
      </c>
      <c r="T1776" t="b">
        <v>1</v>
      </c>
    </row>
    <row r="1777" spans="2:20" x14ac:dyDescent="0.35">
      <c r="B1777">
        <v>2014</v>
      </c>
      <c r="C1777" s="41">
        <v>42795</v>
      </c>
      <c r="D1777" t="s">
        <v>2176</v>
      </c>
      <c r="E1777" t="s">
        <v>219</v>
      </c>
      <c r="F1777" t="s">
        <v>1298</v>
      </c>
      <c r="G1777" t="s">
        <v>304</v>
      </c>
      <c r="H1777" t="s">
        <v>306</v>
      </c>
      <c r="I1777" t="s">
        <v>310</v>
      </c>
      <c r="J1777">
        <v>1</v>
      </c>
      <c r="L1777">
        <v>275.19</v>
      </c>
      <c r="M1777">
        <v>468.99</v>
      </c>
      <c r="N1777">
        <v>631.52</v>
      </c>
      <c r="O1777">
        <v>929.56</v>
      </c>
      <c r="P1777">
        <v>1</v>
      </c>
      <c r="Q1777">
        <v>1</v>
      </c>
      <c r="R1777">
        <v>0</v>
      </c>
      <c r="T1777" t="b">
        <v>1</v>
      </c>
    </row>
    <row r="1778" spans="2:20" x14ac:dyDescent="0.35">
      <c r="B1778">
        <v>2014</v>
      </c>
      <c r="C1778" s="41">
        <v>42795</v>
      </c>
      <c r="D1778" t="s">
        <v>2176</v>
      </c>
      <c r="E1778" t="s">
        <v>219</v>
      </c>
      <c r="F1778" t="s">
        <v>1311</v>
      </c>
      <c r="G1778" t="s">
        <v>304</v>
      </c>
      <c r="H1778" t="s">
        <v>306</v>
      </c>
      <c r="I1778" t="s">
        <v>310</v>
      </c>
      <c r="J1778">
        <v>1</v>
      </c>
      <c r="L1778">
        <v>288.95</v>
      </c>
      <c r="M1778">
        <v>492.43</v>
      </c>
      <c r="N1778">
        <v>663.1</v>
      </c>
      <c r="O1778">
        <v>976.04</v>
      </c>
      <c r="P1778">
        <v>1</v>
      </c>
      <c r="Q1778">
        <v>1</v>
      </c>
      <c r="R1778">
        <v>0</v>
      </c>
      <c r="T1778" t="b">
        <v>1</v>
      </c>
    </row>
    <row r="1779" spans="2:20" x14ac:dyDescent="0.35">
      <c r="B1779">
        <v>2014</v>
      </c>
      <c r="C1779" s="41">
        <v>42795</v>
      </c>
      <c r="D1779" t="s">
        <v>2176</v>
      </c>
      <c r="E1779" t="s">
        <v>219</v>
      </c>
      <c r="F1779" t="s">
        <v>461</v>
      </c>
      <c r="G1779" t="s">
        <v>304</v>
      </c>
      <c r="H1779" t="s">
        <v>306</v>
      </c>
      <c r="I1779" t="s">
        <v>310</v>
      </c>
      <c r="J1779">
        <v>1</v>
      </c>
      <c r="L1779">
        <v>302.70999999999998</v>
      </c>
      <c r="M1779">
        <v>515.88</v>
      </c>
      <c r="N1779">
        <v>694.68</v>
      </c>
      <c r="O1779">
        <v>1022.52</v>
      </c>
      <c r="P1779">
        <v>1</v>
      </c>
      <c r="Q1779">
        <v>1</v>
      </c>
      <c r="R1779">
        <v>0</v>
      </c>
      <c r="T1779" t="b">
        <v>1</v>
      </c>
    </row>
    <row r="1780" spans="2:20" x14ac:dyDescent="0.35">
      <c r="B1780">
        <v>2014</v>
      </c>
      <c r="C1780" s="41">
        <v>42795</v>
      </c>
      <c r="D1780" t="s">
        <v>2177</v>
      </c>
      <c r="E1780" t="s">
        <v>219</v>
      </c>
      <c r="F1780" t="s">
        <v>1302</v>
      </c>
      <c r="G1780" t="s">
        <v>304</v>
      </c>
      <c r="H1780" t="s">
        <v>306</v>
      </c>
      <c r="I1780" t="s">
        <v>310</v>
      </c>
      <c r="J1780">
        <v>1</v>
      </c>
      <c r="L1780">
        <v>275.19</v>
      </c>
      <c r="M1780">
        <v>468.99</v>
      </c>
      <c r="N1780">
        <v>631.52</v>
      </c>
      <c r="O1780">
        <v>929.56</v>
      </c>
      <c r="P1780">
        <v>1</v>
      </c>
      <c r="Q1780">
        <v>1</v>
      </c>
      <c r="R1780">
        <v>0</v>
      </c>
      <c r="T1780" t="b">
        <v>1</v>
      </c>
    </row>
    <row r="1781" spans="2:20" x14ac:dyDescent="0.35">
      <c r="B1781">
        <v>2014</v>
      </c>
      <c r="C1781" s="41">
        <v>42795</v>
      </c>
      <c r="D1781" t="s">
        <v>2177</v>
      </c>
      <c r="E1781" t="s">
        <v>219</v>
      </c>
      <c r="F1781" t="s">
        <v>458</v>
      </c>
      <c r="G1781" t="s">
        <v>304</v>
      </c>
      <c r="H1781" t="s">
        <v>306</v>
      </c>
      <c r="I1781" t="s">
        <v>310</v>
      </c>
      <c r="J1781">
        <v>1</v>
      </c>
      <c r="L1781">
        <v>261.43</v>
      </c>
      <c r="M1781">
        <v>445.54</v>
      </c>
      <c r="N1781">
        <v>599.96</v>
      </c>
      <c r="O1781">
        <v>883.099999999999</v>
      </c>
      <c r="P1781">
        <v>1</v>
      </c>
      <c r="Q1781">
        <v>1</v>
      </c>
      <c r="R1781">
        <v>0</v>
      </c>
      <c r="T1781" t="b">
        <v>1</v>
      </c>
    </row>
    <row r="1782" spans="2:20" x14ac:dyDescent="0.35">
      <c r="B1782">
        <v>2014</v>
      </c>
      <c r="C1782" s="41">
        <v>42795</v>
      </c>
      <c r="D1782" t="s">
        <v>2177</v>
      </c>
      <c r="E1782" t="s">
        <v>219</v>
      </c>
      <c r="F1782" t="s">
        <v>1390</v>
      </c>
      <c r="G1782" t="s">
        <v>304</v>
      </c>
      <c r="H1782" t="s">
        <v>306</v>
      </c>
      <c r="I1782" t="s">
        <v>310</v>
      </c>
      <c r="J1782">
        <v>1</v>
      </c>
      <c r="L1782">
        <v>294.45999999999998</v>
      </c>
      <c r="M1782">
        <v>501.81</v>
      </c>
      <c r="N1782">
        <v>675.74</v>
      </c>
      <c r="O1782">
        <v>994.63999999999896</v>
      </c>
      <c r="P1782">
        <v>1</v>
      </c>
      <c r="Q1782">
        <v>1</v>
      </c>
      <c r="R1782">
        <v>0</v>
      </c>
      <c r="T1782" t="b">
        <v>1</v>
      </c>
    </row>
    <row r="1783" spans="2:20" x14ac:dyDescent="0.35">
      <c r="B1783">
        <v>2014</v>
      </c>
      <c r="C1783" s="41">
        <v>42795</v>
      </c>
      <c r="D1783" t="s">
        <v>2177</v>
      </c>
      <c r="E1783" t="s">
        <v>219</v>
      </c>
      <c r="F1783" t="s">
        <v>1301</v>
      </c>
      <c r="G1783" t="s">
        <v>304</v>
      </c>
      <c r="H1783" t="s">
        <v>306</v>
      </c>
      <c r="I1783" t="s">
        <v>310</v>
      </c>
      <c r="J1783">
        <v>1</v>
      </c>
      <c r="L1783">
        <v>247.67</v>
      </c>
      <c r="M1783">
        <v>422.09</v>
      </c>
      <c r="N1783">
        <v>568.38</v>
      </c>
      <c r="O1783">
        <v>836.62</v>
      </c>
      <c r="P1783">
        <v>1</v>
      </c>
      <c r="Q1783">
        <v>1</v>
      </c>
      <c r="R1783">
        <v>0</v>
      </c>
      <c r="T1783" t="b">
        <v>1</v>
      </c>
    </row>
    <row r="1784" spans="2:20" x14ac:dyDescent="0.35">
      <c r="B1784">
        <v>2014</v>
      </c>
      <c r="C1784" s="41">
        <v>42795</v>
      </c>
      <c r="D1784" t="s">
        <v>2177</v>
      </c>
      <c r="E1784" t="s">
        <v>219</v>
      </c>
      <c r="F1784" t="s">
        <v>1298</v>
      </c>
      <c r="G1784" t="s">
        <v>304</v>
      </c>
      <c r="H1784" t="s">
        <v>306</v>
      </c>
      <c r="I1784" t="s">
        <v>310</v>
      </c>
      <c r="J1784">
        <v>1</v>
      </c>
      <c r="L1784">
        <v>275.19</v>
      </c>
      <c r="M1784">
        <v>468.99</v>
      </c>
      <c r="N1784">
        <v>631.52</v>
      </c>
      <c r="O1784">
        <v>929.56</v>
      </c>
      <c r="P1784">
        <v>1</v>
      </c>
      <c r="Q1784">
        <v>1</v>
      </c>
      <c r="R1784">
        <v>0</v>
      </c>
      <c r="T1784" t="b">
        <v>1</v>
      </c>
    </row>
    <row r="1785" spans="2:20" x14ac:dyDescent="0.35">
      <c r="B1785">
        <v>2014</v>
      </c>
      <c r="C1785" s="41">
        <v>42795</v>
      </c>
      <c r="D1785" t="s">
        <v>2177</v>
      </c>
      <c r="E1785" t="s">
        <v>219</v>
      </c>
      <c r="F1785" t="s">
        <v>461</v>
      </c>
      <c r="G1785" t="s">
        <v>304</v>
      </c>
      <c r="H1785" t="s">
        <v>306</v>
      </c>
      <c r="I1785" t="s">
        <v>310</v>
      </c>
      <c r="J1785">
        <v>1</v>
      </c>
      <c r="L1785">
        <v>302.70999999999998</v>
      </c>
      <c r="M1785">
        <v>515.88</v>
      </c>
      <c r="N1785">
        <v>694.68</v>
      </c>
      <c r="O1785">
        <v>1022.52</v>
      </c>
      <c r="P1785">
        <v>1</v>
      </c>
      <c r="Q1785">
        <v>1</v>
      </c>
      <c r="R1785">
        <v>0</v>
      </c>
      <c r="T1785" t="b">
        <v>1</v>
      </c>
    </row>
    <row r="1786" spans="2:20" x14ac:dyDescent="0.35">
      <c r="B1786">
        <v>2014</v>
      </c>
      <c r="C1786" s="41">
        <v>42795</v>
      </c>
      <c r="D1786" t="s">
        <v>2177</v>
      </c>
      <c r="E1786" t="s">
        <v>219</v>
      </c>
      <c r="F1786" t="s">
        <v>1311</v>
      </c>
      <c r="G1786" t="s">
        <v>304</v>
      </c>
      <c r="H1786" t="s">
        <v>306</v>
      </c>
      <c r="I1786" t="s">
        <v>310</v>
      </c>
      <c r="J1786">
        <v>1</v>
      </c>
      <c r="L1786">
        <v>288.95</v>
      </c>
      <c r="M1786">
        <v>492.43</v>
      </c>
      <c r="N1786">
        <v>663.1</v>
      </c>
      <c r="O1786">
        <v>976.04</v>
      </c>
      <c r="P1786">
        <v>1</v>
      </c>
      <c r="Q1786">
        <v>1</v>
      </c>
      <c r="R1786">
        <v>0</v>
      </c>
      <c r="T1786" t="b">
        <v>1</v>
      </c>
    </row>
    <row r="1787" spans="2:20" x14ac:dyDescent="0.35">
      <c r="B1787">
        <v>2014</v>
      </c>
      <c r="C1787" s="41">
        <v>42795</v>
      </c>
      <c r="D1787" t="s">
        <v>305</v>
      </c>
      <c r="E1787" t="s">
        <v>219</v>
      </c>
      <c r="F1787" t="s">
        <v>1302</v>
      </c>
      <c r="G1787" t="s">
        <v>304</v>
      </c>
      <c r="H1787" t="s">
        <v>306</v>
      </c>
      <c r="I1787" t="s">
        <v>310</v>
      </c>
      <c r="J1787">
        <v>1</v>
      </c>
      <c r="L1787">
        <v>275.19</v>
      </c>
      <c r="M1787">
        <v>468.99</v>
      </c>
      <c r="N1787">
        <v>631.52</v>
      </c>
      <c r="O1787">
        <v>929.56</v>
      </c>
      <c r="P1787">
        <v>0</v>
      </c>
      <c r="Q1787">
        <v>3</v>
      </c>
      <c r="R1787">
        <v>0</v>
      </c>
      <c r="T1787" t="b">
        <v>1</v>
      </c>
    </row>
    <row r="1788" spans="2:20" x14ac:dyDescent="0.35">
      <c r="B1788">
        <v>2014</v>
      </c>
      <c r="C1788" s="41">
        <v>42795</v>
      </c>
      <c r="D1788" t="s">
        <v>305</v>
      </c>
      <c r="E1788" t="s">
        <v>219</v>
      </c>
      <c r="F1788" t="s">
        <v>1298</v>
      </c>
      <c r="G1788" t="s">
        <v>304</v>
      </c>
      <c r="H1788" t="s">
        <v>306</v>
      </c>
      <c r="I1788" t="s">
        <v>310</v>
      </c>
      <c r="J1788">
        <v>1</v>
      </c>
      <c r="L1788">
        <v>275.19</v>
      </c>
      <c r="M1788">
        <v>468.99</v>
      </c>
      <c r="N1788">
        <v>631.52</v>
      </c>
      <c r="O1788">
        <v>929.56</v>
      </c>
      <c r="P1788">
        <v>0</v>
      </c>
      <c r="Q1788">
        <v>3</v>
      </c>
      <c r="R1788">
        <v>0</v>
      </c>
      <c r="T1788" t="b">
        <v>1</v>
      </c>
    </row>
    <row r="1789" spans="2:20" x14ac:dyDescent="0.35">
      <c r="B1789">
        <v>2014</v>
      </c>
      <c r="C1789" s="41">
        <v>42795</v>
      </c>
      <c r="D1789" t="s">
        <v>305</v>
      </c>
      <c r="E1789" t="s">
        <v>219</v>
      </c>
      <c r="F1789" t="s">
        <v>1311</v>
      </c>
      <c r="G1789" t="s">
        <v>304</v>
      </c>
      <c r="H1789" t="s">
        <v>306</v>
      </c>
      <c r="I1789" t="s">
        <v>310</v>
      </c>
      <c r="J1789">
        <v>1</v>
      </c>
      <c r="L1789">
        <v>288.95</v>
      </c>
      <c r="M1789">
        <v>492.43</v>
      </c>
      <c r="N1789">
        <v>663.1</v>
      </c>
      <c r="O1789">
        <v>976.04</v>
      </c>
      <c r="P1789">
        <v>0</v>
      </c>
      <c r="Q1789">
        <v>3</v>
      </c>
      <c r="R1789">
        <v>0</v>
      </c>
      <c r="T1789" t="b">
        <v>1</v>
      </c>
    </row>
    <row r="1790" spans="2:20" x14ac:dyDescent="0.35">
      <c r="B1790">
        <v>2014</v>
      </c>
      <c r="C1790" s="41">
        <v>42795</v>
      </c>
      <c r="D1790" t="s">
        <v>305</v>
      </c>
      <c r="E1790" t="s">
        <v>219</v>
      </c>
      <c r="F1790" t="s">
        <v>1390</v>
      </c>
      <c r="G1790" t="s">
        <v>304</v>
      </c>
      <c r="H1790" t="s">
        <v>306</v>
      </c>
      <c r="I1790" t="s">
        <v>310</v>
      </c>
      <c r="J1790">
        <v>1</v>
      </c>
      <c r="L1790">
        <v>294.45999999999998</v>
      </c>
      <c r="M1790">
        <v>501.81</v>
      </c>
      <c r="N1790">
        <v>675.74</v>
      </c>
      <c r="O1790">
        <v>994.63999999999896</v>
      </c>
      <c r="P1790">
        <v>0</v>
      </c>
      <c r="Q1790">
        <v>3</v>
      </c>
      <c r="R1790">
        <v>0</v>
      </c>
      <c r="T1790" t="b">
        <v>1</v>
      </c>
    </row>
    <row r="1791" spans="2:20" x14ac:dyDescent="0.35">
      <c r="B1791">
        <v>2014</v>
      </c>
      <c r="C1791" s="41">
        <v>42795</v>
      </c>
      <c r="D1791" t="s">
        <v>305</v>
      </c>
      <c r="E1791" t="s">
        <v>219</v>
      </c>
      <c r="F1791" t="s">
        <v>458</v>
      </c>
      <c r="G1791" t="s">
        <v>304</v>
      </c>
      <c r="H1791" t="s">
        <v>306</v>
      </c>
      <c r="I1791" t="s">
        <v>310</v>
      </c>
      <c r="J1791">
        <v>1</v>
      </c>
      <c r="L1791">
        <v>261.43</v>
      </c>
      <c r="M1791">
        <v>445.54</v>
      </c>
      <c r="N1791">
        <v>599.96</v>
      </c>
      <c r="O1791">
        <v>883.099999999999</v>
      </c>
      <c r="P1791">
        <v>0</v>
      </c>
      <c r="Q1791">
        <v>3</v>
      </c>
      <c r="R1791">
        <v>0</v>
      </c>
      <c r="T1791" t="b">
        <v>1</v>
      </c>
    </row>
    <row r="1792" spans="2:20" x14ac:dyDescent="0.35">
      <c r="B1792">
        <v>2014</v>
      </c>
      <c r="C1792" s="41">
        <v>42795</v>
      </c>
      <c r="D1792" t="s">
        <v>305</v>
      </c>
      <c r="E1792" t="s">
        <v>219</v>
      </c>
      <c r="F1792" t="s">
        <v>1301</v>
      </c>
      <c r="G1792" t="s">
        <v>304</v>
      </c>
      <c r="H1792" t="s">
        <v>306</v>
      </c>
      <c r="I1792" t="s">
        <v>310</v>
      </c>
      <c r="J1792">
        <v>1</v>
      </c>
      <c r="L1792">
        <v>247.67</v>
      </c>
      <c r="M1792">
        <v>422.09</v>
      </c>
      <c r="N1792">
        <v>568.38</v>
      </c>
      <c r="O1792">
        <v>836.62</v>
      </c>
      <c r="P1792">
        <v>0</v>
      </c>
      <c r="Q1792">
        <v>3</v>
      </c>
      <c r="R1792">
        <v>0</v>
      </c>
      <c r="T1792" t="b">
        <v>1</v>
      </c>
    </row>
    <row r="1793" spans="2:20" x14ac:dyDescent="0.35">
      <c r="B1793">
        <v>2014</v>
      </c>
      <c r="C1793" s="41">
        <v>42795</v>
      </c>
      <c r="D1793" t="s">
        <v>305</v>
      </c>
      <c r="E1793" t="s">
        <v>219</v>
      </c>
      <c r="F1793" t="s">
        <v>461</v>
      </c>
      <c r="G1793" t="s">
        <v>304</v>
      </c>
      <c r="H1793" t="s">
        <v>306</v>
      </c>
      <c r="I1793" t="s">
        <v>310</v>
      </c>
      <c r="J1793">
        <v>1</v>
      </c>
      <c r="L1793">
        <v>302.70999999999998</v>
      </c>
      <c r="M1793">
        <v>515.88</v>
      </c>
      <c r="N1793">
        <v>694.68</v>
      </c>
      <c r="O1793">
        <v>1022.52</v>
      </c>
      <c r="P1793">
        <v>0</v>
      </c>
      <c r="Q1793">
        <v>3</v>
      </c>
      <c r="R1793">
        <v>0</v>
      </c>
      <c r="T1793" t="b">
        <v>1</v>
      </c>
    </row>
    <row r="1794" spans="2:20" x14ac:dyDescent="0.35">
      <c r="B1794">
        <v>2014</v>
      </c>
      <c r="C1794" s="41">
        <v>42795</v>
      </c>
      <c r="D1794" t="s">
        <v>307</v>
      </c>
      <c r="E1794" t="s">
        <v>219</v>
      </c>
      <c r="F1794" t="s">
        <v>458</v>
      </c>
      <c r="G1794" t="s">
        <v>304</v>
      </c>
      <c r="H1794" t="s">
        <v>306</v>
      </c>
      <c r="I1794" t="s">
        <v>310</v>
      </c>
      <c r="J1794">
        <v>1</v>
      </c>
      <c r="L1794">
        <v>272.44</v>
      </c>
      <c r="M1794">
        <v>464.29</v>
      </c>
      <c r="N1794">
        <v>625.19000000000005</v>
      </c>
      <c r="O1794">
        <v>920.24</v>
      </c>
      <c r="P1794">
        <v>0</v>
      </c>
      <c r="Q1794">
        <v>3</v>
      </c>
      <c r="R1794">
        <v>0</v>
      </c>
      <c r="T1794" t="b">
        <v>1</v>
      </c>
    </row>
    <row r="1795" spans="2:20" x14ac:dyDescent="0.35">
      <c r="B1795">
        <v>2014</v>
      </c>
      <c r="C1795" s="41">
        <v>42795</v>
      </c>
      <c r="D1795" t="s">
        <v>307</v>
      </c>
      <c r="E1795" t="s">
        <v>219</v>
      </c>
      <c r="F1795" t="s">
        <v>461</v>
      </c>
      <c r="G1795" t="s">
        <v>304</v>
      </c>
      <c r="H1795" t="s">
        <v>306</v>
      </c>
      <c r="I1795" t="s">
        <v>310</v>
      </c>
      <c r="J1795">
        <v>1</v>
      </c>
      <c r="L1795">
        <v>315.45</v>
      </c>
      <c r="M1795">
        <v>537.6</v>
      </c>
      <c r="N1795">
        <v>723.92</v>
      </c>
      <c r="O1795">
        <v>1065.56</v>
      </c>
      <c r="P1795">
        <v>0</v>
      </c>
      <c r="Q1795">
        <v>3</v>
      </c>
      <c r="R1795">
        <v>0</v>
      </c>
      <c r="T1795" t="b">
        <v>1</v>
      </c>
    </row>
    <row r="1796" spans="2:20" x14ac:dyDescent="0.35">
      <c r="B1796">
        <v>2014</v>
      </c>
      <c r="C1796" s="41">
        <v>42795</v>
      </c>
      <c r="D1796" t="s">
        <v>307</v>
      </c>
      <c r="E1796" t="s">
        <v>219</v>
      </c>
      <c r="F1796" t="s">
        <v>1301</v>
      </c>
      <c r="G1796" t="s">
        <v>304</v>
      </c>
      <c r="H1796" t="s">
        <v>306</v>
      </c>
      <c r="I1796" t="s">
        <v>310</v>
      </c>
      <c r="J1796">
        <v>1</v>
      </c>
      <c r="L1796">
        <v>258.10000000000002</v>
      </c>
      <c r="M1796">
        <v>439.85</v>
      </c>
      <c r="N1796">
        <v>592.30999999999995</v>
      </c>
      <c r="O1796">
        <v>871.83999999999901</v>
      </c>
      <c r="P1796">
        <v>0</v>
      </c>
      <c r="Q1796">
        <v>3</v>
      </c>
      <c r="R1796">
        <v>0</v>
      </c>
      <c r="T1796" t="b">
        <v>1</v>
      </c>
    </row>
    <row r="1797" spans="2:20" x14ac:dyDescent="0.35">
      <c r="B1797">
        <v>2014</v>
      </c>
      <c r="C1797" s="41">
        <v>42795</v>
      </c>
      <c r="D1797" t="s">
        <v>307</v>
      </c>
      <c r="E1797" t="s">
        <v>219</v>
      </c>
      <c r="F1797" t="s">
        <v>1298</v>
      </c>
      <c r="G1797" t="s">
        <v>304</v>
      </c>
      <c r="H1797" t="s">
        <v>306</v>
      </c>
      <c r="I1797" t="s">
        <v>310</v>
      </c>
      <c r="J1797">
        <v>1</v>
      </c>
      <c r="L1797">
        <v>286.77999999999997</v>
      </c>
      <c r="M1797">
        <v>488.73</v>
      </c>
      <c r="N1797">
        <v>658.099999999999</v>
      </c>
      <c r="O1797">
        <v>968.68</v>
      </c>
      <c r="P1797">
        <v>0</v>
      </c>
      <c r="Q1797">
        <v>3</v>
      </c>
      <c r="R1797">
        <v>0</v>
      </c>
      <c r="T1797" t="b">
        <v>1</v>
      </c>
    </row>
    <row r="1798" spans="2:20" x14ac:dyDescent="0.35">
      <c r="B1798">
        <v>2014</v>
      </c>
      <c r="C1798" s="41">
        <v>42795</v>
      </c>
      <c r="D1798" t="s">
        <v>307</v>
      </c>
      <c r="E1798" t="s">
        <v>219</v>
      </c>
      <c r="F1798" t="s">
        <v>1302</v>
      </c>
      <c r="G1798" t="s">
        <v>304</v>
      </c>
      <c r="H1798" t="s">
        <v>306</v>
      </c>
      <c r="I1798" t="s">
        <v>310</v>
      </c>
      <c r="J1798">
        <v>1</v>
      </c>
      <c r="L1798">
        <v>286.77999999999997</v>
      </c>
      <c r="M1798">
        <v>488.73</v>
      </c>
      <c r="N1798">
        <v>658.099999999999</v>
      </c>
      <c r="O1798">
        <v>968.68</v>
      </c>
      <c r="P1798">
        <v>0</v>
      </c>
      <c r="Q1798">
        <v>3</v>
      </c>
      <c r="R1798">
        <v>0</v>
      </c>
      <c r="T1798" t="b">
        <v>1</v>
      </c>
    </row>
    <row r="1799" spans="2:20" x14ac:dyDescent="0.35">
      <c r="B1799">
        <v>2014</v>
      </c>
      <c r="C1799" s="41">
        <v>42795</v>
      </c>
      <c r="D1799" t="s">
        <v>307</v>
      </c>
      <c r="E1799" t="s">
        <v>219</v>
      </c>
      <c r="F1799" t="s">
        <v>1311</v>
      </c>
      <c r="G1799" t="s">
        <v>304</v>
      </c>
      <c r="H1799" t="s">
        <v>306</v>
      </c>
      <c r="I1799" t="s">
        <v>310</v>
      </c>
      <c r="J1799">
        <v>1</v>
      </c>
      <c r="L1799">
        <v>301.12</v>
      </c>
      <c r="M1799">
        <v>513.16</v>
      </c>
      <c r="N1799">
        <v>691.01</v>
      </c>
      <c r="O1799">
        <v>1017.12</v>
      </c>
      <c r="P1799">
        <v>0</v>
      </c>
      <c r="Q1799">
        <v>3</v>
      </c>
      <c r="R1799">
        <v>0</v>
      </c>
      <c r="T1799" t="b">
        <v>1</v>
      </c>
    </row>
    <row r="1800" spans="2:20" x14ac:dyDescent="0.35">
      <c r="B1800">
        <v>2014</v>
      </c>
      <c r="C1800" s="41">
        <v>42795</v>
      </c>
      <c r="D1800" t="s">
        <v>307</v>
      </c>
      <c r="E1800" t="s">
        <v>219</v>
      </c>
      <c r="F1800" t="s">
        <v>1390</v>
      </c>
      <c r="G1800" t="s">
        <v>304</v>
      </c>
      <c r="H1800" t="s">
        <v>306</v>
      </c>
      <c r="I1800" t="s">
        <v>310</v>
      </c>
      <c r="J1800">
        <v>1</v>
      </c>
      <c r="L1800">
        <v>306.85000000000002</v>
      </c>
      <c r="M1800">
        <v>522.94000000000005</v>
      </c>
      <c r="N1800">
        <v>704.19</v>
      </c>
      <c r="O1800">
        <v>1036.52</v>
      </c>
      <c r="P1800">
        <v>0</v>
      </c>
      <c r="Q1800">
        <v>3</v>
      </c>
      <c r="R1800">
        <v>0</v>
      </c>
      <c r="T1800" t="b">
        <v>1</v>
      </c>
    </row>
    <row r="1801" spans="2:20" x14ac:dyDescent="0.35">
      <c r="B1801">
        <v>2014</v>
      </c>
      <c r="C1801" s="41">
        <v>42795</v>
      </c>
      <c r="D1801" t="s">
        <v>890</v>
      </c>
      <c r="E1801" t="s">
        <v>219</v>
      </c>
      <c r="F1801" t="s">
        <v>1390</v>
      </c>
      <c r="G1801" t="s">
        <v>304</v>
      </c>
      <c r="H1801" t="s">
        <v>306</v>
      </c>
      <c r="I1801" t="s">
        <v>843</v>
      </c>
      <c r="J1801">
        <v>1</v>
      </c>
      <c r="L1801">
        <v>338.48</v>
      </c>
      <c r="M1801">
        <v>576.83000000000004</v>
      </c>
      <c r="N1801">
        <v>776.76</v>
      </c>
      <c r="O1801">
        <v>1143.3399999999999</v>
      </c>
      <c r="P1801">
        <v>0</v>
      </c>
      <c r="Q1801">
        <v>3</v>
      </c>
      <c r="R1801">
        <v>0</v>
      </c>
      <c r="T1801" t="b">
        <v>1</v>
      </c>
    </row>
    <row r="1802" spans="2:20" x14ac:dyDescent="0.35">
      <c r="B1802">
        <v>2014</v>
      </c>
      <c r="C1802" s="41">
        <v>42795</v>
      </c>
      <c r="D1802" t="s">
        <v>890</v>
      </c>
      <c r="E1802" t="s">
        <v>219</v>
      </c>
      <c r="F1802" t="s">
        <v>458</v>
      </c>
      <c r="G1802" t="s">
        <v>304</v>
      </c>
      <c r="H1802" t="s">
        <v>306</v>
      </c>
      <c r="I1802" t="s">
        <v>843</v>
      </c>
      <c r="J1802">
        <v>1</v>
      </c>
      <c r="L1802">
        <v>300.52</v>
      </c>
      <c r="M1802">
        <v>512.14</v>
      </c>
      <c r="N1802">
        <v>689.64</v>
      </c>
      <c r="O1802">
        <v>1015.09999999999</v>
      </c>
      <c r="P1802">
        <v>0</v>
      </c>
      <c r="Q1802">
        <v>3</v>
      </c>
      <c r="R1802">
        <v>0</v>
      </c>
      <c r="T1802" t="b">
        <v>1</v>
      </c>
    </row>
    <row r="1803" spans="2:20" x14ac:dyDescent="0.35">
      <c r="B1803">
        <v>2014</v>
      </c>
      <c r="C1803" s="41">
        <v>42795</v>
      </c>
      <c r="D1803" t="s">
        <v>890</v>
      </c>
      <c r="E1803" t="s">
        <v>219</v>
      </c>
      <c r="F1803" t="s">
        <v>461</v>
      </c>
      <c r="G1803" t="s">
        <v>304</v>
      </c>
      <c r="H1803" t="s">
        <v>306</v>
      </c>
      <c r="I1803" t="s">
        <v>843</v>
      </c>
      <c r="J1803">
        <v>1</v>
      </c>
      <c r="L1803">
        <v>347.97</v>
      </c>
      <c r="M1803">
        <v>593</v>
      </c>
      <c r="N1803">
        <v>798.53</v>
      </c>
      <c r="O1803">
        <v>1175.3800000000001</v>
      </c>
      <c r="P1803">
        <v>0</v>
      </c>
      <c r="Q1803">
        <v>3</v>
      </c>
      <c r="R1803">
        <v>0</v>
      </c>
      <c r="T1803" t="b">
        <v>1</v>
      </c>
    </row>
    <row r="1804" spans="2:20" x14ac:dyDescent="0.35">
      <c r="B1804">
        <v>2014</v>
      </c>
      <c r="C1804" s="41">
        <v>42795</v>
      </c>
      <c r="D1804" t="s">
        <v>890</v>
      </c>
      <c r="E1804" t="s">
        <v>219</v>
      </c>
      <c r="F1804" t="s">
        <v>1302</v>
      </c>
      <c r="G1804" t="s">
        <v>304</v>
      </c>
      <c r="H1804" t="s">
        <v>306</v>
      </c>
      <c r="I1804" t="s">
        <v>843</v>
      </c>
      <c r="J1804">
        <v>1</v>
      </c>
      <c r="L1804">
        <v>316.33</v>
      </c>
      <c r="M1804">
        <v>539.1</v>
      </c>
      <c r="N1804">
        <v>725.93</v>
      </c>
      <c r="O1804">
        <v>1068.52</v>
      </c>
      <c r="P1804">
        <v>0</v>
      </c>
      <c r="Q1804">
        <v>3</v>
      </c>
      <c r="R1804">
        <v>0</v>
      </c>
      <c r="T1804" t="b">
        <v>1</v>
      </c>
    </row>
    <row r="1805" spans="2:20" x14ac:dyDescent="0.35">
      <c r="B1805">
        <v>2014</v>
      </c>
      <c r="C1805" s="41">
        <v>42795</v>
      </c>
      <c r="D1805" t="s">
        <v>890</v>
      </c>
      <c r="E1805" t="s">
        <v>219</v>
      </c>
      <c r="F1805" t="s">
        <v>1311</v>
      </c>
      <c r="G1805" t="s">
        <v>304</v>
      </c>
      <c r="H1805" t="s">
        <v>306</v>
      </c>
      <c r="I1805" t="s">
        <v>843</v>
      </c>
      <c r="J1805">
        <v>1</v>
      </c>
      <c r="L1805">
        <v>332.15</v>
      </c>
      <c r="M1805">
        <v>566.04999999999995</v>
      </c>
      <c r="N1805">
        <v>762.24</v>
      </c>
      <c r="O1805">
        <v>1121.96</v>
      </c>
      <c r="P1805">
        <v>0</v>
      </c>
      <c r="Q1805">
        <v>3</v>
      </c>
      <c r="R1805">
        <v>0</v>
      </c>
      <c r="T1805" t="b">
        <v>1</v>
      </c>
    </row>
    <row r="1806" spans="2:20" x14ac:dyDescent="0.35">
      <c r="B1806">
        <v>2014</v>
      </c>
      <c r="C1806" s="41">
        <v>42795</v>
      </c>
      <c r="D1806" t="s">
        <v>890</v>
      </c>
      <c r="E1806" t="s">
        <v>219</v>
      </c>
      <c r="F1806" t="s">
        <v>1298</v>
      </c>
      <c r="G1806" t="s">
        <v>304</v>
      </c>
      <c r="H1806" t="s">
        <v>306</v>
      </c>
      <c r="I1806" t="s">
        <v>843</v>
      </c>
      <c r="J1806">
        <v>1</v>
      </c>
      <c r="L1806">
        <v>316.33</v>
      </c>
      <c r="M1806">
        <v>539.1</v>
      </c>
      <c r="N1806">
        <v>725.93</v>
      </c>
      <c r="O1806">
        <v>1068.52</v>
      </c>
      <c r="P1806">
        <v>0</v>
      </c>
      <c r="Q1806">
        <v>3</v>
      </c>
      <c r="R1806">
        <v>0</v>
      </c>
      <c r="T1806" t="b">
        <v>1</v>
      </c>
    </row>
    <row r="1807" spans="2:20" x14ac:dyDescent="0.35">
      <c r="B1807">
        <v>2014</v>
      </c>
      <c r="C1807" s="41">
        <v>42795</v>
      </c>
      <c r="D1807" t="s">
        <v>890</v>
      </c>
      <c r="E1807" t="s">
        <v>219</v>
      </c>
      <c r="F1807" t="s">
        <v>1301</v>
      </c>
      <c r="G1807" t="s">
        <v>304</v>
      </c>
      <c r="H1807" t="s">
        <v>306</v>
      </c>
      <c r="I1807" t="s">
        <v>843</v>
      </c>
      <c r="J1807">
        <v>1</v>
      </c>
      <c r="L1807">
        <v>284.7</v>
      </c>
      <c r="M1807">
        <v>485.19</v>
      </c>
      <c r="N1807">
        <v>653.32999999999902</v>
      </c>
      <c r="O1807">
        <v>961.66</v>
      </c>
      <c r="P1807">
        <v>0</v>
      </c>
      <c r="Q1807">
        <v>3</v>
      </c>
      <c r="R1807">
        <v>0</v>
      </c>
      <c r="T1807" t="b">
        <v>1</v>
      </c>
    </row>
    <row r="1808" spans="2:20" x14ac:dyDescent="0.35">
      <c r="B1808">
        <v>2014</v>
      </c>
      <c r="C1808" s="41">
        <v>42795</v>
      </c>
      <c r="D1808" t="s">
        <v>2178</v>
      </c>
      <c r="E1808" t="s">
        <v>219</v>
      </c>
      <c r="F1808" t="s">
        <v>1311</v>
      </c>
      <c r="G1808" t="s">
        <v>1299</v>
      </c>
      <c r="H1808" t="s">
        <v>269</v>
      </c>
      <c r="I1808" t="s">
        <v>310</v>
      </c>
      <c r="J1808">
        <v>2</v>
      </c>
      <c r="L1808">
        <v>217.46</v>
      </c>
      <c r="M1808">
        <v>370.6</v>
      </c>
      <c r="N1808">
        <v>499.03</v>
      </c>
      <c r="O1808">
        <v>734.54</v>
      </c>
      <c r="P1808">
        <v>1</v>
      </c>
      <c r="Q1808">
        <v>1</v>
      </c>
      <c r="R1808">
        <v>0</v>
      </c>
      <c r="T1808" t="b">
        <v>1</v>
      </c>
    </row>
    <row r="1809" spans="2:20" x14ac:dyDescent="0.35">
      <c r="B1809">
        <v>2014</v>
      </c>
      <c r="C1809" s="41">
        <v>42795</v>
      </c>
      <c r="D1809" t="s">
        <v>2178</v>
      </c>
      <c r="E1809" t="s">
        <v>219</v>
      </c>
      <c r="F1809" t="s">
        <v>1301</v>
      </c>
      <c r="G1809" t="s">
        <v>1299</v>
      </c>
      <c r="H1809" t="s">
        <v>269</v>
      </c>
      <c r="I1809" t="s">
        <v>310</v>
      </c>
      <c r="J1809">
        <v>2</v>
      </c>
      <c r="L1809">
        <v>273.27999999999997</v>
      </c>
      <c r="M1809">
        <v>465.72</v>
      </c>
      <c r="N1809">
        <v>627.15</v>
      </c>
      <c r="O1809">
        <v>923.12</v>
      </c>
      <c r="P1809">
        <v>1</v>
      </c>
      <c r="Q1809">
        <v>1</v>
      </c>
      <c r="R1809">
        <v>0</v>
      </c>
      <c r="T1809" t="b">
        <v>1</v>
      </c>
    </row>
    <row r="1810" spans="2:20" x14ac:dyDescent="0.35">
      <c r="B1810">
        <v>2014</v>
      </c>
      <c r="C1810" s="41">
        <v>42795</v>
      </c>
      <c r="D1810" t="s">
        <v>2178</v>
      </c>
      <c r="E1810" t="s">
        <v>219</v>
      </c>
      <c r="F1810" t="s">
        <v>1309</v>
      </c>
      <c r="G1810" t="s">
        <v>1299</v>
      </c>
      <c r="H1810" t="s">
        <v>269</v>
      </c>
      <c r="I1810" t="s">
        <v>310</v>
      </c>
      <c r="J1810">
        <v>2</v>
      </c>
      <c r="L1810">
        <v>239.68</v>
      </c>
      <c r="M1810">
        <v>408.47</v>
      </c>
      <c r="N1810">
        <v>550.04</v>
      </c>
      <c r="O1810">
        <v>809.61999999999898</v>
      </c>
      <c r="P1810">
        <v>1</v>
      </c>
      <c r="Q1810">
        <v>1</v>
      </c>
      <c r="R1810">
        <v>0</v>
      </c>
      <c r="T1810" t="b">
        <v>1</v>
      </c>
    </row>
    <row r="1811" spans="2:20" x14ac:dyDescent="0.35">
      <c r="B1811">
        <v>2014</v>
      </c>
      <c r="C1811" s="41">
        <v>42795</v>
      </c>
      <c r="D1811" t="s">
        <v>2179</v>
      </c>
      <c r="E1811" t="s">
        <v>219</v>
      </c>
      <c r="F1811" t="s">
        <v>1389</v>
      </c>
      <c r="G1811" t="s">
        <v>2100</v>
      </c>
      <c r="H1811" t="s">
        <v>296</v>
      </c>
      <c r="I1811" t="s">
        <v>310</v>
      </c>
      <c r="J1811">
        <v>3</v>
      </c>
      <c r="L1811">
        <v>208.11</v>
      </c>
      <c r="M1811">
        <v>354.67</v>
      </c>
      <c r="N1811">
        <v>477.56</v>
      </c>
      <c r="O1811">
        <v>702.94</v>
      </c>
      <c r="P1811">
        <v>1</v>
      </c>
      <c r="Q1811">
        <v>1</v>
      </c>
      <c r="R1811">
        <v>0</v>
      </c>
      <c r="T1811" t="b">
        <v>1</v>
      </c>
    </row>
    <row r="1812" spans="2:20" x14ac:dyDescent="0.35">
      <c r="B1812">
        <v>2014</v>
      </c>
      <c r="C1812" s="41">
        <v>42795</v>
      </c>
      <c r="D1812" t="s">
        <v>2179</v>
      </c>
      <c r="E1812" t="s">
        <v>219</v>
      </c>
      <c r="F1812" t="s">
        <v>462</v>
      </c>
      <c r="G1812" t="s">
        <v>2100</v>
      </c>
      <c r="H1812" t="s">
        <v>296</v>
      </c>
      <c r="I1812" t="s">
        <v>310</v>
      </c>
      <c r="J1812">
        <v>3</v>
      </c>
      <c r="L1812">
        <v>201.63</v>
      </c>
      <c r="M1812">
        <v>343.64</v>
      </c>
      <c r="N1812">
        <v>462.71</v>
      </c>
      <c r="O1812">
        <v>681.08</v>
      </c>
      <c r="P1812">
        <v>1</v>
      </c>
      <c r="Q1812">
        <v>1</v>
      </c>
      <c r="R1812">
        <v>0</v>
      </c>
      <c r="T1812" t="b">
        <v>1</v>
      </c>
    </row>
    <row r="1813" spans="2:20" x14ac:dyDescent="0.35">
      <c r="B1813">
        <v>2014</v>
      </c>
      <c r="C1813" s="41">
        <v>42795</v>
      </c>
      <c r="D1813" t="s">
        <v>2179</v>
      </c>
      <c r="E1813" t="s">
        <v>219</v>
      </c>
      <c r="F1813" t="s">
        <v>461</v>
      </c>
      <c r="G1813" t="s">
        <v>2100</v>
      </c>
      <c r="H1813" t="s">
        <v>296</v>
      </c>
      <c r="I1813" t="s">
        <v>310</v>
      </c>
      <c r="J1813">
        <v>3</v>
      </c>
      <c r="L1813">
        <v>219.17</v>
      </c>
      <c r="M1813">
        <v>373.52</v>
      </c>
      <c r="N1813">
        <v>502.94</v>
      </c>
      <c r="O1813">
        <v>740.3</v>
      </c>
      <c r="P1813">
        <v>1</v>
      </c>
      <c r="Q1813">
        <v>1</v>
      </c>
      <c r="R1813">
        <v>0</v>
      </c>
      <c r="T1813" t="b">
        <v>1</v>
      </c>
    </row>
    <row r="1814" spans="2:20" x14ac:dyDescent="0.35">
      <c r="B1814">
        <v>2014</v>
      </c>
      <c r="C1814" s="41">
        <v>42795</v>
      </c>
      <c r="D1814" t="s">
        <v>2179</v>
      </c>
      <c r="E1814" t="s">
        <v>219</v>
      </c>
      <c r="F1814" t="s">
        <v>1390</v>
      </c>
      <c r="G1814" t="s">
        <v>2100</v>
      </c>
      <c r="H1814" t="s">
        <v>296</v>
      </c>
      <c r="I1814" t="s">
        <v>310</v>
      </c>
      <c r="J1814">
        <v>3</v>
      </c>
      <c r="L1814">
        <v>213.74</v>
      </c>
      <c r="M1814">
        <v>364.27</v>
      </c>
      <c r="N1814">
        <v>490.48</v>
      </c>
      <c r="O1814">
        <v>721.96</v>
      </c>
      <c r="P1814">
        <v>1</v>
      </c>
      <c r="Q1814">
        <v>1</v>
      </c>
      <c r="R1814">
        <v>0</v>
      </c>
      <c r="T1814" t="b">
        <v>1</v>
      </c>
    </row>
    <row r="1815" spans="2:20" x14ac:dyDescent="0.35">
      <c r="B1815">
        <v>2014</v>
      </c>
      <c r="C1815" s="41">
        <v>42795</v>
      </c>
      <c r="D1815" t="s">
        <v>2179</v>
      </c>
      <c r="E1815" t="s">
        <v>219</v>
      </c>
      <c r="F1815" t="s">
        <v>459</v>
      </c>
      <c r="G1815" t="s">
        <v>2100</v>
      </c>
      <c r="H1815" t="s">
        <v>296</v>
      </c>
      <c r="I1815" t="s">
        <v>310</v>
      </c>
      <c r="J1815">
        <v>3</v>
      </c>
      <c r="L1815">
        <v>195.68</v>
      </c>
      <c r="M1815">
        <v>333.49</v>
      </c>
      <c r="N1815">
        <v>449.05</v>
      </c>
      <c r="O1815">
        <v>660.98</v>
      </c>
      <c r="P1815">
        <v>1</v>
      </c>
      <c r="Q1815">
        <v>1</v>
      </c>
      <c r="R1815">
        <v>0</v>
      </c>
      <c r="T1815" t="b">
        <v>1</v>
      </c>
    </row>
    <row r="1816" spans="2:20" x14ac:dyDescent="0.35">
      <c r="B1816">
        <v>2014</v>
      </c>
      <c r="C1816" s="41">
        <v>42795</v>
      </c>
      <c r="D1816" t="s">
        <v>2179</v>
      </c>
      <c r="E1816" t="s">
        <v>219</v>
      </c>
      <c r="F1816" t="s">
        <v>458</v>
      </c>
      <c r="G1816" t="s">
        <v>2100</v>
      </c>
      <c r="H1816" t="s">
        <v>296</v>
      </c>
      <c r="I1816" t="s">
        <v>310</v>
      </c>
      <c r="J1816">
        <v>3</v>
      </c>
      <c r="L1816">
        <v>200.85</v>
      </c>
      <c r="M1816">
        <v>342.31</v>
      </c>
      <c r="N1816">
        <v>460.909999999999</v>
      </c>
      <c r="O1816">
        <v>678.44</v>
      </c>
      <c r="P1816">
        <v>1</v>
      </c>
      <c r="Q1816">
        <v>1</v>
      </c>
      <c r="R1816">
        <v>0</v>
      </c>
      <c r="T1816" t="b">
        <v>1</v>
      </c>
    </row>
    <row r="1817" spans="2:20" x14ac:dyDescent="0.35">
      <c r="B1817">
        <v>2014</v>
      </c>
      <c r="C1817" s="41">
        <v>42795</v>
      </c>
      <c r="D1817" t="s">
        <v>2179</v>
      </c>
      <c r="E1817" t="s">
        <v>219</v>
      </c>
      <c r="F1817" t="s">
        <v>1311</v>
      </c>
      <c r="G1817" t="s">
        <v>2100</v>
      </c>
      <c r="H1817" t="s">
        <v>296</v>
      </c>
      <c r="I1817" t="s">
        <v>310</v>
      </c>
      <c r="J1817">
        <v>3</v>
      </c>
      <c r="L1817">
        <v>227.95</v>
      </c>
      <c r="M1817">
        <v>388.49</v>
      </c>
      <c r="N1817">
        <v>523.09</v>
      </c>
      <c r="O1817">
        <v>769.96</v>
      </c>
      <c r="P1817">
        <v>1</v>
      </c>
      <c r="Q1817">
        <v>1</v>
      </c>
      <c r="R1817">
        <v>0</v>
      </c>
      <c r="T1817" t="b">
        <v>1</v>
      </c>
    </row>
    <row r="1818" spans="2:20" x14ac:dyDescent="0.35">
      <c r="B1818">
        <v>2014</v>
      </c>
      <c r="C1818" s="41">
        <v>42795</v>
      </c>
      <c r="D1818" t="s">
        <v>2179</v>
      </c>
      <c r="E1818" t="s">
        <v>219</v>
      </c>
      <c r="F1818" t="s">
        <v>464</v>
      </c>
      <c r="G1818" t="s">
        <v>2100</v>
      </c>
      <c r="H1818" t="s">
        <v>296</v>
      </c>
      <c r="I1818" t="s">
        <v>310</v>
      </c>
      <c r="J1818">
        <v>3</v>
      </c>
      <c r="L1818">
        <v>205.16</v>
      </c>
      <c r="M1818">
        <v>349.65</v>
      </c>
      <c r="N1818">
        <v>470.81</v>
      </c>
      <c r="O1818">
        <v>693</v>
      </c>
      <c r="P1818">
        <v>1</v>
      </c>
      <c r="Q1818">
        <v>1</v>
      </c>
      <c r="R1818">
        <v>0</v>
      </c>
      <c r="T1818" t="b">
        <v>1</v>
      </c>
    </row>
    <row r="1819" spans="2:20" x14ac:dyDescent="0.35">
      <c r="B1819">
        <v>2014</v>
      </c>
      <c r="C1819" s="41">
        <v>42795</v>
      </c>
      <c r="D1819" t="s">
        <v>2179</v>
      </c>
      <c r="E1819" t="s">
        <v>219</v>
      </c>
      <c r="F1819" t="s">
        <v>1301</v>
      </c>
      <c r="G1819" t="s">
        <v>2100</v>
      </c>
      <c r="H1819" t="s">
        <v>296</v>
      </c>
      <c r="I1819" t="s">
        <v>310</v>
      </c>
      <c r="J1819">
        <v>3</v>
      </c>
      <c r="L1819">
        <v>205.38</v>
      </c>
      <c r="M1819">
        <v>350.03</v>
      </c>
      <c r="N1819">
        <v>471.31</v>
      </c>
      <c r="O1819">
        <v>693.74</v>
      </c>
      <c r="P1819">
        <v>1</v>
      </c>
      <c r="Q1819">
        <v>1</v>
      </c>
      <c r="R1819">
        <v>0</v>
      </c>
      <c r="T1819" t="b">
        <v>1</v>
      </c>
    </row>
    <row r="1820" spans="2:20" x14ac:dyDescent="0.35">
      <c r="B1820">
        <v>2014</v>
      </c>
      <c r="C1820" s="41">
        <v>42795</v>
      </c>
      <c r="D1820" t="s">
        <v>2179</v>
      </c>
      <c r="E1820" t="s">
        <v>219</v>
      </c>
      <c r="F1820" t="s">
        <v>460</v>
      </c>
      <c r="G1820" t="s">
        <v>2100</v>
      </c>
      <c r="H1820" t="s">
        <v>296</v>
      </c>
      <c r="I1820" t="s">
        <v>310</v>
      </c>
      <c r="J1820">
        <v>3</v>
      </c>
      <c r="L1820">
        <v>245.48</v>
      </c>
      <c r="M1820">
        <v>418.37</v>
      </c>
      <c r="N1820">
        <v>563.34</v>
      </c>
      <c r="O1820">
        <v>829.2</v>
      </c>
      <c r="P1820">
        <v>1</v>
      </c>
      <c r="Q1820">
        <v>1</v>
      </c>
      <c r="R1820">
        <v>0</v>
      </c>
      <c r="T1820" t="b">
        <v>1</v>
      </c>
    </row>
    <row r="1821" spans="2:20" x14ac:dyDescent="0.35">
      <c r="B1821">
        <v>2014</v>
      </c>
      <c r="C1821" s="41">
        <v>42795</v>
      </c>
      <c r="D1821" t="s">
        <v>2179</v>
      </c>
      <c r="E1821" t="s">
        <v>219</v>
      </c>
      <c r="F1821" t="s">
        <v>1309</v>
      </c>
      <c r="G1821" t="s">
        <v>2100</v>
      </c>
      <c r="H1821" t="s">
        <v>296</v>
      </c>
      <c r="I1821" t="s">
        <v>310</v>
      </c>
      <c r="J1821">
        <v>3</v>
      </c>
      <c r="L1821">
        <v>209.13</v>
      </c>
      <c r="M1821">
        <v>356.41</v>
      </c>
      <c r="N1821">
        <v>479.909999999999</v>
      </c>
      <c r="O1821">
        <v>706.4</v>
      </c>
      <c r="P1821">
        <v>1</v>
      </c>
      <c r="Q1821">
        <v>1</v>
      </c>
      <c r="R1821">
        <v>0</v>
      </c>
      <c r="T1821" t="b">
        <v>1</v>
      </c>
    </row>
    <row r="1822" spans="2:20" x14ac:dyDescent="0.35">
      <c r="B1822">
        <v>2014</v>
      </c>
      <c r="C1822" s="41">
        <v>42795</v>
      </c>
      <c r="D1822" t="s">
        <v>2179</v>
      </c>
      <c r="E1822" t="s">
        <v>219</v>
      </c>
      <c r="F1822" t="s">
        <v>1307</v>
      </c>
      <c r="G1822" t="s">
        <v>2100</v>
      </c>
      <c r="H1822" t="s">
        <v>296</v>
      </c>
      <c r="I1822" t="s">
        <v>310</v>
      </c>
      <c r="J1822">
        <v>3</v>
      </c>
      <c r="L1822">
        <v>198.65</v>
      </c>
      <c r="M1822">
        <v>338.55</v>
      </c>
      <c r="N1822">
        <v>455.86</v>
      </c>
      <c r="O1822">
        <v>671</v>
      </c>
      <c r="P1822">
        <v>1</v>
      </c>
      <c r="Q1822">
        <v>1</v>
      </c>
      <c r="R1822">
        <v>0</v>
      </c>
      <c r="T1822" t="b">
        <v>1</v>
      </c>
    </row>
    <row r="1823" spans="2:20" x14ac:dyDescent="0.35">
      <c r="B1823">
        <v>2014</v>
      </c>
      <c r="C1823" s="41">
        <v>42795</v>
      </c>
      <c r="D1823" t="s">
        <v>295</v>
      </c>
      <c r="E1823" t="s">
        <v>219</v>
      </c>
      <c r="F1823" t="s">
        <v>462</v>
      </c>
      <c r="G1823" t="s">
        <v>2100</v>
      </c>
      <c r="H1823" t="s">
        <v>296</v>
      </c>
      <c r="I1823" t="s">
        <v>310</v>
      </c>
      <c r="J1823">
        <v>3</v>
      </c>
      <c r="L1823">
        <v>201.63</v>
      </c>
      <c r="M1823">
        <v>343.64</v>
      </c>
      <c r="N1823">
        <v>462.71</v>
      </c>
      <c r="O1823">
        <v>681.08</v>
      </c>
      <c r="P1823">
        <v>0</v>
      </c>
      <c r="Q1823">
        <v>3</v>
      </c>
      <c r="R1823">
        <v>0</v>
      </c>
      <c r="T1823" t="b">
        <v>1</v>
      </c>
    </row>
    <row r="1824" spans="2:20" x14ac:dyDescent="0.35">
      <c r="B1824">
        <v>2014</v>
      </c>
      <c r="C1824" s="41">
        <v>42795</v>
      </c>
      <c r="D1824" t="s">
        <v>295</v>
      </c>
      <c r="E1824" t="s">
        <v>219</v>
      </c>
      <c r="F1824" t="s">
        <v>461</v>
      </c>
      <c r="G1824" t="s">
        <v>2100</v>
      </c>
      <c r="H1824" t="s">
        <v>296</v>
      </c>
      <c r="I1824" t="s">
        <v>310</v>
      </c>
      <c r="J1824">
        <v>3</v>
      </c>
      <c r="L1824">
        <v>219.17</v>
      </c>
      <c r="M1824">
        <v>373.52</v>
      </c>
      <c r="N1824">
        <v>502.94</v>
      </c>
      <c r="O1824">
        <v>740.3</v>
      </c>
      <c r="P1824">
        <v>0</v>
      </c>
      <c r="Q1824">
        <v>3</v>
      </c>
      <c r="R1824">
        <v>0</v>
      </c>
      <c r="T1824" t="b">
        <v>1</v>
      </c>
    </row>
    <row r="1825" spans="2:20" x14ac:dyDescent="0.35">
      <c r="B1825">
        <v>2014</v>
      </c>
      <c r="C1825" s="41">
        <v>42795</v>
      </c>
      <c r="D1825" t="s">
        <v>295</v>
      </c>
      <c r="E1825" t="s">
        <v>219</v>
      </c>
      <c r="F1825" t="s">
        <v>1307</v>
      </c>
      <c r="G1825" t="s">
        <v>2100</v>
      </c>
      <c r="H1825" t="s">
        <v>296</v>
      </c>
      <c r="I1825" t="s">
        <v>310</v>
      </c>
      <c r="J1825">
        <v>3</v>
      </c>
      <c r="L1825">
        <v>198.65</v>
      </c>
      <c r="M1825">
        <v>338.55</v>
      </c>
      <c r="N1825">
        <v>455.86</v>
      </c>
      <c r="O1825">
        <v>671</v>
      </c>
      <c r="P1825">
        <v>0</v>
      </c>
      <c r="Q1825">
        <v>3</v>
      </c>
      <c r="R1825">
        <v>0</v>
      </c>
      <c r="T1825" t="b">
        <v>1</v>
      </c>
    </row>
    <row r="1826" spans="2:20" x14ac:dyDescent="0.35">
      <c r="B1826">
        <v>2014</v>
      </c>
      <c r="C1826" s="41">
        <v>42795</v>
      </c>
      <c r="D1826" t="s">
        <v>295</v>
      </c>
      <c r="E1826" t="s">
        <v>219</v>
      </c>
      <c r="F1826" t="s">
        <v>1389</v>
      </c>
      <c r="G1826" t="s">
        <v>2100</v>
      </c>
      <c r="H1826" t="s">
        <v>296</v>
      </c>
      <c r="I1826" t="s">
        <v>310</v>
      </c>
      <c r="J1826">
        <v>3</v>
      </c>
      <c r="L1826">
        <v>208.11</v>
      </c>
      <c r="M1826">
        <v>354.67</v>
      </c>
      <c r="N1826">
        <v>477.56</v>
      </c>
      <c r="O1826">
        <v>702.94</v>
      </c>
      <c r="P1826">
        <v>0</v>
      </c>
      <c r="Q1826">
        <v>3</v>
      </c>
      <c r="R1826">
        <v>0</v>
      </c>
      <c r="T1826" t="b">
        <v>1</v>
      </c>
    </row>
    <row r="1827" spans="2:20" x14ac:dyDescent="0.35">
      <c r="B1827">
        <v>2014</v>
      </c>
      <c r="C1827" s="41">
        <v>42795</v>
      </c>
      <c r="D1827" t="s">
        <v>295</v>
      </c>
      <c r="E1827" t="s">
        <v>219</v>
      </c>
      <c r="F1827" t="s">
        <v>459</v>
      </c>
      <c r="G1827" t="s">
        <v>2100</v>
      </c>
      <c r="H1827" t="s">
        <v>296</v>
      </c>
      <c r="I1827" t="s">
        <v>310</v>
      </c>
      <c r="J1827">
        <v>3</v>
      </c>
      <c r="L1827">
        <v>195.68</v>
      </c>
      <c r="M1827">
        <v>333.49</v>
      </c>
      <c r="N1827">
        <v>449.05</v>
      </c>
      <c r="O1827">
        <v>660.98</v>
      </c>
      <c r="P1827">
        <v>0</v>
      </c>
      <c r="Q1827">
        <v>3</v>
      </c>
      <c r="R1827">
        <v>0</v>
      </c>
      <c r="T1827" t="b">
        <v>1</v>
      </c>
    </row>
    <row r="1828" spans="2:20" x14ac:dyDescent="0.35">
      <c r="B1828">
        <v>2014</v>
      </c>
      <c r="C1828" s="41">
        <v>42795</v>
      </c>
      <c r="D1828" t="s">
        <v>295</v>
      </c>
      <c r="E1828" t="s">
        <v>219</v>
      </c>
      <c r="F1828" t="s">
        <v>460</v>
      </c>
      <c r="G1828" t="s">
        <v>2100</v>
      </c>
      <c r="H1828" t="s">
        <v>296</v>
      </c>
      <c r="I1828" t="s">
        <v>310</v>
      </c>
      <c r="J1828">
        <v>3</v>
      </c>
      <c r="L1828">
        <v>245.48</v>
      </c>
      <c r="M1828">
        <v>418.37</v>
      </c>
      <c r="N1828">
        <v>563.34</v>
      </c>
      <c r="O1828">
        <v>829.2</v>
      </c>
      <c r="P1828">
        <v>0</v>
      </c>
      <c r="Q1828">
        <v>3</v>
      </c>
      <c r="R1828">
        <v>0</v>
      </c>
      <c r="T1828" t="b">
        <v>1</v>
      </c>
    </row>
    <row r="1829" spans="2:20" x14ac:dyDescent="0.35">
      <c r="B1829">
        <v>2014</v>
      </c>
      <c r="C1829" s="41">
        <v>42795</v>
      </c>
      <c r="D1829" t="s">
        <v>295</v>
      </c>
      <c r="E1829" t="s">
        <v>219</v>
      </c>
      <c r="F1829" t="s">
        <v>1311</v>
      </c>
      <c r="G1829" t="s">
        <v>2100</v>
      </c>
      <c r="H1829" t="s">
        <v>296</v>
      </c>
      <c r="I1829" t="s">
        <v>310</v>
      </c>
      <c r="J1829">
        <v>3</v>
      </c>
      <c r="L1829">
        <v>227.95</v>
      </c>
      <c r="M1829">
        <v>388.49</v>
      </c>
      <c r="N1829">
        <v>523.09</v>
      </c>
      <c r="O1829">
        <v>769.96</v>
      </c>
      <c r="P1829">
        <v>0</v>
      </c>
      <c r="Q1829">
        <v>3</v>
      </c>
      <c r="R1829">
        <v>0</v>
      </c>
      <c r="T1829" t="b">
        <v>1</v>
      </c>
    </row>
    <row r="1830" spans="2:20" x14ac:dyDescent="0.35">
      <c r="B1830">
        <v>2014</v>
      </c>
      <c r="C1830" s="41">
        <v>42795</v>
      </c>
      <c r="D1830" t="s">
        <v>295</v>
      </c>
      <c r="E1830" t="s">
        <v>219</v>
      </c>
      <c r="F1830" t="s">
        <v>1301</v>
      </c>
      <c r="G1830" t="s">
        <v>2100</v>
      </c>
      <c r="H1830" t="s">
        <v>296</v>
      </c>
      <c r="I1830" t="s">
        <v>310</v>
      </c>
      <c r="J1830">
        <v>3</v>
      </c>
      <c r="L1830">
        <v>205.38</v>
      </c>
      <c r="M1830">
        <v>350.03</v>
      </c>
      <c r="N1830">
        <v>471.31</v>
      </c>
      <c r="O1830">
        <v>693.74</v>
      </c>
      <c r="P1830">
        <v>0</v>
      </c>
      <c r="Q1830">
        <v>3</v>
      </c>
      <c r="R1830">
        <v>0</v>
      </c>
      <c r="T1830" t="b">
        <v>1</v>
      </c>
    </row>
    <row r="1831" spans="2:20" x14ac:dyDescent="0.35">
      <c r="B1831">
        <v>2014</v>
      </c>
      <c r="C1831" s="41">
        <v>42795</v>
      </c>
      <c r="D1831" t="s">
        <v>295</v>
      </c>
      <c r="E1831" t="s">
        <v>219</v>
      </c>
      <c r="F1831" t="s">
        <v>458</v>
      </c>
      <c r="G1831" t="s">
        <v>2100</v>
      </c>
      <c r="H1831" t="s">
        <v>296</v>
      </c>
      <c r="I1831" t="s">
        <v>310</v>
      </c>
      <c r="J1831">
        <v>3</v>
      </c>
      <c r="L1831">
        <v>200.85</v>
      </c>
      <c r="M1831">
        <v>342.31</v>
      </c>
      <c r="N1831">
        <v>460.909999999999</v>
      </c>
      <c r="O1831">
        <v>678.44</v>
      </c>
      <c r="P1831">
        <v>0</v>
      </c>
      <c r="Q1831">
        <v>3</v>
      </c>
      <c r="R1831">
        <v>0</v>
      </c>
      <c r="T1831" t="b">
        <v>1</v>
      </c>
    </row>
    <row r="1832" spans="2:20" x14ac:dyDescent="0.35">
      <c r="B1832">
        <v>2014</v>
      </c>
      <c r="C1832" s="41">
        <v>42795</v>
      </c>
      <c r="D1832" t="s">
        <v>295</v>
      </c>
      <c r="E1832" t="s">
        <v>219</v>
      </c>
      <c r="F1832" t="s">
        <v>464</v>
      </c>
      <c r="G1832" t="s">
        <v>2100</v>
      </c>
      <c r="H1832" t="s">
        <v>296</v>
      </c>
      <c r="I1832" t="s">
        <v>310</v>
      </c>
      <c r="J1832">
        <v>3</v>
      </c>
      <c r="L1832">
        <v>205.16</v>
      </c>
      <c r="M1832">
        <v>349.65</v>
      </c>
      <c r="N1832">
        <v>470.81</v>
      </c>
      <c r="O1832">
        <v>693</v>
      </c>
      <c r="P1832">
        <v>0</v>
      </c>
      <c r="Q1832">
        <v>3</v>
      </c>
      <c r="R1832">
        <v>0</v>
      </c>
      <c r="T1832" t="b">
        <v>1</v>
      </c>
    </row>
    <row r="1833" spans="2:20" x14ac:dyDescent="0.35">
      <c r="B1833">
        <v>2014</v>
      </c>
      <c r="C1833" s="41">
        <v>42795</v>
      </c>
      <c r="D1833" t="s">
        <v>295</v>
      </c>
      <c r="E1833" t="s">
        <v>219</v>
      </c>
      <c r="F1833" t="s">
        <v>1390</v>
      </c>
      <c r="G1833" t="s">
        <v>2100</v>
      </c>
      <c r="H1833" t="s">
        <v>296</v>
      </c>
      <c r="I1833" t="s">
        <v>310</v>
      </c>
      <c r="J1833">
        <v>3</v>
      </c>
      <c r="L1833">
        <v>213.74</v>
      </c>
      <c r="M1833">
        <v>364.27</v>
      </c>
      <c r="N1833">
        <v>490.48</v>
      </c>
      <c r="O1833">
        <v>721.96</v>
      </c>
      <c r="P1833">
        <v>0</v>
      </c>
      <c r="Q1833">
        <v>3</v>
      </c>
      <c r="R1833">
        <v>0</v>
      </c>
      <c r="T1833" t="b">
        <v>1</v>
      </c>
    </row>
    <row r="1834" spans="2:20" x14ac:dyDescent="0.35">
      <c r="B1834">
        <v>2014</v>
      </c>
      <c r="C1834" s="41">
        <v>42795</v>
      </c>
      <c r="D1834" t="s">
        <v>295</v>
      </c>
      <c r="E1834" t="s">
        <v>219</v>
      </c>
      <c r="F1834" t="s">
        <v>1309</v>
      </c>
      <c r="G1834" t="s">
        <v>2100</v>
      </c>
      <c r="H1834" t="s">
        <v>296</v>
      </c>
      <c r="I1834" t="s">
        <v>310</v>
      </c>
      <c r="J1834">
        <v>3</v>
      </c>
      <c r="L1834">
        <v>209.13</v>
      </c>
      <c r="M1834">
        <v>356.41</v>
      </c>
      <c r="N1834">
        <v>479.909999999999</v>
      </c>
      <c r="O1834">
        <v>706.4</v>
      </c>
      <c r="P1834">
        <v>0</v>
      </c>
      <c r="Q1834">
        <v>3</v>
      </c>
      <c r="R1834">
        <v>0</v>
      </c>
      <c r="T1834" t="b">
        <v>1</v>
      </c>
    </row>
    <row r="1835" spans="2:20" x14ac:dyDescent="0.35">
      <c r="B1835">
        <v>2014</v>
      </c>
      <c r="C1835" s="41">
        <v>42795</v>
      </c>
      <c r="D1835" t="s">
        <v>1074</v>
      </c>
      <c r="E1835" t="s">
        <v>219</v>
      </c>
      <c r="F1835" t="s">
        <v>461</v>
      </c>
      <c r="G1835" t="s">
        <v>2100</v>
      </c>
      <c r="H1835" t="s">
        <v>2180</v>
      </c>
      <c r="I1835" t="s">
        <v>842</v>
      </c>
      <c r="J1835">
        <v>3</v>
      </c>
      <c r="L1835">
        <v>185.56</v>
      </c>
      <c r="M1835">
        <v>316.25</v>
      </c>
      <c r="N1835">
        <v>425.83</v>
      </c>
      <c r="O1835">
        <v>626.79999999999995</v>
      </c>
      <c r="P1835">
        <v>0</v>
      </c>
      <c r="Q1835">
        <v>3</v>
      </c>
      <c r="R1835">
        <v>0</v>
      </c>
      <c r="T1835" t="b">
        <v>1</v>
      </c>
    </row>
    <row r="1836" spans="2:20" x14ac:dyDescent="0.35">
      <c r="B1836">
        <v>2014</v>
      </c>
      <c r="C1836" s="41">
        <v>42795</v>
      </c>
      <c r="D1836" t="s">
        <v>1074</v>
      </c>
      <c r="E1836" t="s">
        <v>219</v>
      </c>
      <c r="F1836" t="s">
        <v>459</v>
      </c>
      <c r="G1836" t="s">
        <v>2100</v>
      </c>
      <c r="H1836" t="s">
        <v>2180</v>
      </c>
      <c r="I1836" t="s">
        <v>842</v>
      </c>
      <c r="J1836">
        <v>3</v>
      </c>
      <c r="L1836">
        <v>165.68</v>
      </c>
      <c r="M1836">
        <v>282.36</v>
      </c>
      <c r="N1836">
        <v>380.19</v>
      </c>
      <c r="O1836">
        <v>559.62</v>
      </c>
      <c r="P1836">
        <v>0</v>
      </c>
      <c r="Q1836">
        <v>3</v>
      </c>
      <c r="R1836">
        <v>0</v>
      </c>
      <c r="T1836" t="b">
        <v>1</v>
      </c>
    </row>
    <row r="1837" spans="2:20" x14ac:dyDescent="0.35">
      <c r="B1837">
        <v>2014</v>
      </c>
      <c r="C1837" s="41">
        <v>42795</v>
      </c>
      <c r="D1837" t="s">
        <v>1074</v>
      </c>
      <c r="E1837" t="s">
        <v>219</v>
      </c>
      <c r="F1837" t="s">
        <v>462</v>
      </c>
      <c r="G1837" t="s">
        <v>2100</v>
      </c>
      <c r="H1837" t="s">
        <v>2180</v>
      </c>
      <c r="I1837" t="s">
        <v>842</v>
      </c>
      <c r="J1837">
        <v>3</v>
      </c>
      <c r="L1837">
        <v>170.72</v>
      </c>
      <c r="M1837">
        <v>290.95</v>
      </c>
      <c r="N1837">
        <v>391.77</v>
      </c>
      <c r="O1837">
        <v>576.66</v>
      </c>
      <c r="P1837">
        <v>0</v>
      </c>
      <c r="Q1837">
        <v>3</v>
      </c>
      <c r="R1837">
        <v>0</v>
      </c>
      <c r="T1837" t="b">
        <v>1</v>
      </c>
    </row>
    <row r="1838" spans="2:20" x14ac:dyDescent="0.35">
      <c r="B1838">
        <v>2014</v>
      </c>
      <c r="C1838" s="41">
        <v>42795</v>
      </c>
      <c r="D1838" t="s">
        <v>1074</v>
      </c>
      <c r="E1838" t="s">
        <v>219</v>
      </c>
      <c r="F1838" t="s">
        <v>1307</v>
      </c>
      <c r="G1838" t="s">
        <v>2100</v>
      </c>
      <c r="H1838" t="s">
        <v>2180</v>
      </c>
      <c r="I1838" t="s">
        <v>842</v>
      </c>
      <c r="J1838">
        <v>3</v>
      </c>
      <c r="L1838">
        <v>168.19</v>
      </c>
      <c r="M1838">
        <v>286.64</v>
      </c>
      <c r="N1838">
        <v>385.95</v>
      </c>
      <c r="O1838">
        <v>568.1</v>
      </c>
      <c r="P1838">
        <v>0</v>
      </c>
      <c r="Q1838">
        <v>3</v>
      </c>
      <c r="R1838">
        <v>0</v>
      </c>
      <c r="T1838" t="b">
        <v>1</v>
      </c>
    </row>
    <row r="1839" spans="2:20" x14ac:dyDescent="0.35">
      <c r="B1839">
        <v>2014</v>
      </c>
      <c r="C1839" s="41">
        <v>42795</v>
      </c>
      <c r="D1839" t="s">
        <v>1074</v>
      </c>
      <c r="E1839" t="s">
        <v>219</v>
      </c>
      <c r="F1839" t="s">
        <v>1389</v>
      </c>
      <c r="G1839" t="s">
        <v>2100</v>
      </c>
      <c r="H1839" t="s">
        <v>2180</v>
      </c>
      <c r="I1839" t="s">
        <v>842</v>
      </c>
      <c r="J1839">
        <v>3</v>
      </c>
      <c r="L1839">
        <v>176.2</v>
      </c>
      <c r="M1839">
        <v>300.29000000000002</v>
      </c>
      <c r="N1839">
        <v>404.34</v>
      </c>
      <c r="O1839">
        <v>595.16</v>
      </c>
      <c r="P1839">
        <v>0</v>
      </c>
      <c r="Q1839">
        <v>3</v>
      </c>
      <c r="R1839">
        <v>0</v>
      </c>
      <c r="T1839" t="b">
        <v>1</v>
      </c>
    </row>
    <row r="1840" spans="2:20" x14ac:dyDescent="0.35">
      <c r="B1840">
        <v>2014</v>
      </c>
      <c r="C1840" s="41">
        <v>42795</v>
      </c>
      <c r="D1840" t="s">
        <v>1074</v>
      </c>
      <c r="E1840" t="s">
        <v>219</v>
      </c>
      <c r="F1840" t="s">
        <v>1390</v>
      </c>
      <c r="G1840" t="s">
        <v>2100</v>
      </c>
      <c r="H1840" t="s">
        <v>2180</v>
      </c>
      <c r="I1840" t="s">
        <v>842</v>
      </c>
      <c r="J1840">
        <v>3</v>
      </c>
      <c r="L1840">
        <v>180.96</v>
      </c>
      <c r="M1840">
        <v>308.41000000000003</v>
      </c>
      <c r="N1840">
        <v>415.29</v>
      </c>
      <c r="O1840">
        <v>611.28</v>
      </c>
      <c r="P1840">
        <v>0</v>
      </c>
      <c r="Q1840">
        <v>3</v>
      </c>
      <c r="R1840">
        <v>0</v>
      </c>
      <c r="T1840" t="b">
        <v>1</v>
      </c>
    </row>
    <row r="1841" spans="2:20" x14ac:dyDescent="0.35">
      <c r="B1841">
        <v>2014</v>
      </c>
      <c r="C1841" s="41">
        <v>42795</v>
      </c>
      <c r="D1841" t="s">
        <v>1074</v>
      </c>
      <c r="E1841" t="s">
        <v>219</v>
      </c>
      <c r="F1841" t="s">
        <v>1311</v>
      </c>
      <c r="G1841" t="s">
        <v>2100</v>
      </c>
      <c r="H1841" t="s">
        <v>2180</v>
      </c>
      <c r="I1841" t="s">
        <v>842</v>
      </c>
      <c r="J1841">
        <v>3</v>
      </c>
      <c r="L1841">
        <v>192.99</v>
      </c>
      <c r="M1841">
        <v>328.92</v>
      </c>
      <c r="N1841">
        <v>442.88</v>
      </c>
      <c r="O1841">
        <v>651.9</v>
      </c>
      <c r="P1841">
        <v>0</v>
      </c>
      <c r="Q1841">
        <v>3</v>
      </c>
      <c r="R1841">
        <v>0</v>
      </c>
      <c r="T1841" t="b">
        <v>1</v>
      </c>
    </row>
    <row r="1842" spans="2:20" x14ac:dyDescent="0.35">
      <c r="B1842">
        <v>2014</v>
      </c>
      <c r="C1842" s="41">
        <v>42795</v>
      </c>
      <c r="D1842" t="s">
        <v>1074</v>
      </c>
      <c r="E1842" t="s">
        <v>219</v>
      </c>
      <c r="F1842" t="s">
        <v>458</v>
      </c>
      <c r="G1842" t="s">
        <v>2100</v>
      </c>
      <c r="H1842" t="s">
        <v>2180</v>
      </c>
      <c r="I1842" t="s">
        <v>842</v>
      </c>
      <c r="J1842">
        <v>3</v>
      </c>
      <c r="L1842">
        <v>170.05</v>
      </c>
      <c r="M1842">
        <v>289.82</v>
      </c>
      <c r="N1842">
        <v>390.23</v>
      </c>
      <c r="O1842">
        <v>574.4</v>
      </c>
      <c r="P1842">
        <v>0</v>
      </c>
      <c r="Q1842">
        <v>3</v>
      </c>
      <c r="R1842">
        <v>0</v>
      </c>
      <c r="T1842" t="b">
        <v>1</v>
      </c>
    </row>
    <row r="1843" spans="2:20" x14ac:dyDescent="0.35">
      <c r="B1843">
        <v>2014</v>
      </c>
      <c r="C1843" s="41">
        <v>42795</v>
      </c>
      <c r="D1843" t="s">
        <v>1074</v>
      </c>
      <c r="E1843" t="s">
        <v>219</v>
      </c>
      <c r="F1843" t="s">
        <v>1309</v>
      </c>
      <c r="G1843" t="s">
        <v>2100</v>
      </c>
      <c r="H1843" t="s">
        <v>2180</v>
      </c>
      <c r="I1843" t="s">
        <v>842</v>
      </c>
      <c r="J1843">
        <v>3</v>
      </c>
      <c r="L1843">
        <v>177.06</v>
      </c>
      <c r="M1843">
        <v>301.76</v>
      </c>
      <c r="N1843">
        <v>406.32</v>
      </c>
      <c r="O1843">
        <v>598.07999999999902</v>
      </c>
      <c r="P1843">
        <v>0</v>
      </c>
      <c r="Q1843">
        <v>3</v>
      </c>
      <c r="R1843">
        <v>0</v>
      </c>
      <c r="T1843" t="b">
        <v>1</v>
      </c>
    </row>
    <row r="1844" spans="2:20" x14ac:dyDescent="0.35">
      <c r="B1844">
        <v>2014</v>
      </c>
      <c r="C1844" s="41">
        <v>42795</v>
      </c>
      <c r="D1844" t="s">
        <v>1074</v>
      </c>
      <c r="E1844" t="s">
        <v>219</v>
      </c>
      <c r="F1844" t="s">
        <v>460</v>
      </c>
      <c r="G1844" t="s">
        <v>2100</v>
      </c>
      <c r="H1844" t="s">
        <v>2180</v>
      </c>
      <c r="I1844" t="s">
        <v>842</v>
      </c>
      <c r="J1844">
        <v>3</v>
      </c>
      <c r="L1844">
        <v>207.84</v>
      </c>
      <c r="M1844">
        <v>354.22</v>
      </c>
      <c r="N1844">
        <v>476.96</v>
      </c>
      <c r="O1844">
        <v>702.06</v>
      </c>
      <c r="P1844">
        <v>0</v>
      </c>
      <c r="Q1844">
        <v>3</v>
      </c>
      <c r="R1844">
        <v>0</v>
      </c>
      <c r="T1844" t="b">
        <v>1</v>
      </c>
    </row>
    <row r="1845" spans="2:20" x14ac:dyDescent="0.35">
      <c r="B1845">
        <v>2014</v>
      </c>
      <c r="C1845" s="41">
        <v>42795</v>
      </c>
      <c r="D1845" t="s">
        <v>1074</v>
      </c>
      <c r="E1845" t="s">
        <v>219</v>
      </c>
      <c r="F1845" t="s">
        <v>1301</v>
      </c>
      <c r="G1845" t="s">
        <v>2100</v>
      </c>
      <c r="H1845" t="s">
        <v>2180</v>
      </c>
      <c r="I1845" t="s">
        <v>842</v>
      </c>
      <c r="J1845">
        <v>3</v>
      </c>
      <c r="L1845">
        <v>173.89</v>
      </c>
      <c r="M1845">
        <v>296.35000000000002</v>
      </c>
      <c r="N1845">
        <v>399.05</v>
      </c>
      <c r="O1845">
        <v>587.38</v>
      </c>
      <c r="P1845">
        <v>0</v>
      </c>
      <c r="Q1845">
        <v>3</v>
      </c>
      <c r="R1845">
        <v>0</v>
      </c>
      <c r="T1845" t="b">
        <v>1</v>
      </c>
    </row>
    <row r="1846" spans="2:20" x14ac:dyDescent="0.35">
      <c r="B1846">
        <v>2014</v>
      </c>
      <c r="C1846" s="41">
        <v>42795</v>
      </c>
      <c r="D1846" t="s">
        <v>1074</v>
      </c>
      <c r="E1846" t="s">
        <v>219</v>
      </c>
      <c r="F1846" t="s">
        <v>464</v>
      </c>
      <c r="G1846" t="s">
        <v>2100</v>
      </c>
      <c r="H1846" t="s">
        <v>2180</v>
      </c>
      <c r="I1846" t="s">
        <v>842</v>
      </c>
      <c r="J1846">
        <v>3</v>
      </c>
      <c r="L1846">
        <v>173.7</v>
      </c>
      <c r="M1846">
        <v>296.04000000000002</v>
      </c>
      <c r="N1846">
        <v>398.62</v>
      </c>
      <c r="O1846">
        <v>586.74</v>
      </c>
      <c r="P1846">
        <v>0</v>
      </c>
      <c r="Q1846">
        <v>3</v>
      </c>
      <c r="R1846">
        <v>0</v>
      </c>
      <c r="T1846" t="b">
        <v>1</v>
      </c>
    </row>
    <row r="1847" spans="2:20" x14ac:dyDescent="0.35">
      <c r="B1847">
        <v>2014</v>
      </c>
      <c r="C1847" s="41">
        <v>42795</v>
      </c>
      <c r="D1847" t="s">
        <v>2181</v>
      </c>
      <c r="E1847" t="s">
        <v>219</v>
      </c>
      <c r="F1847" t="s">
        <v>458</v>
      </c>
      <c r="G1847" t="s">
        <v>2100</v>
      </c>
      <c r="H1847" t="s">
        <v>2182</v>
      </c>
      <c r="I1847" t="s">
        <v>1427</v>
      </c>
      <c r="J1847">
        <v>3</v>
      </c>
      <c r="L1847">
        <v>136.85</v>
      </c>
      <c r="M1847">
        <v>233.23</v>
      </c>
      <c r="N1847">
        <v>314.05</v>
      </c>
      <c r="O1847">
        <v>462.26</v>
      </c>
      <c r="P1847">
        <v>0</v>
      </c>
      <c r="Q1847">
        <v>3</v>
      </c>
      <c r="R1847">
        <v>0</v>
      </c>
      <c r="T1847" t="b">
        <v>1</v>
      </c>
    </row>
    <row r="1848" spans="2:20" x14ac:dyDescent="0.35">
      <c r="B1848">
        <v>2014</v>
      </c>
      <c r="C1848" s="41">
        <v>42795</v>
      </c>
      <c r="D1848" t="s">
        <v>2181</v>
      </c>
      <c r="E1848" t="s">
        <v>219</v>
      </c>
      <c r="F1848" t="s">
        <v>460</v>
      </c>
      <c r="G1848" t="s">
        <v>2100</v>
      </c>
      <c r="H1848" t="s">
        <v>2182</v>
      </c>
      <c r="I1848" t="s">
        <v>1427</v>
      </c>
      <c r="J1848">
        <v>3</v>
      </c>
      <c r="L1848">
        <v>167.26</v>
      </c>
      <c r="M1848">
        <v>285.05</v>
      </c>
      <c r="N1848">
        <v>383.82</v>
      </c>
      <c r="O1848">
        <v>564.96</v>
      </c>
      <c r="P1848">
        <v>0</v>
      </c>
      <c r="Q1848">
        <v>3</v>
      </c>
      <c r="R1848">
        <v>0</v>
      </c>
      <c r="T1848" t="b">
        <v>1</v>
      </c>
    </row>
    <row r="1849" spans="2:20" x14ac:dyDescent="0.35">
      <c r="B1849">
        <v>2014</v>
      </c>
      <c r="C1849" s="41">
        <v>42795</v>
      </c>
      <c r="D1849" t="s">
        <v>2181</v>
      </c>
      <c r="E1849" t="s">
        <v>219</v>
      </c>
      <c r="F1849" t="s">
        <v>1311</v>
      </c>
      <c r="G1849" t="s">
        <v>2100</v>
      </c>
      <c r="H1849" t="s">
        <v>2182</v>
      </c>
      <c r="I1849" t="s">
        <v>1427</v>
      </c>
      <c r="J1849">
        <v>3</v>
      </c>
      <c r="L1849">
        <v>155.31</v>
      </c>
      <c r="M1849">
        <v>264.69</v>
      </c>
      <c r="N1849">
        <v>356.4</v>
      </c>
      <c r="O1849">
        <v>524.599999999999</v>
      </c>
      <c r="P1849">
        <v>0</v>
      </c>
      <c r="Q1849">
        <v>3</v>
      </c>
      <c r="R1849">
        <v>0</v>
      </c>
      <c r="T1849" t="b">
        <v>1</v>
      </c>
    </row>
    <row r="1850" spans="2:20" x14ac:dyDescent="0.35">
      <c r="B1850">
        <v>2014</v>
      </c>
      <c r="C1850" s="41">
        <v>42795</v>
      </c>
      <c r="D1850" t="s">
        <v>2181</v>
      </c>
      <c r="E1850" t="s">
        <v>219</v>
      </c>
      <c r="F1850" t="s">
        <v>1309</v>
      </c>
      <c r="G1850" t="s">
        <v>2100</v>
      </c>
      <c r="H1850" t="s">
        <v>2182</v>
      </c>
      <c r="I1850" t="s">
        <v>1427</v>
      </c>
      <c r="J1850">
        <v>3</v>
      </c>
      <c r="L1850">
        <v>142.49</v>
      </c>
      <c r="M1850">
        <v>242.84</v>
      </c>
      <c r="N1850">
        <v>326.98</v>
      </c>
      <c r="O1850">
        <v>481.29999999999899</v>
      </c>
      <c r="P1850">
        <v>0</v>
      </c>
      <c r="Q1850">
        <v>3</v>
      </c>
      <c r="R1850">
        <v>0</v>
      </c>
      <c r="T1850" t="b">
        <v>1</v>
      </c>
    </row>
    <row r="1851" spans="2:20" x14ac:dyDescent="0.35">
      <c r="B1851">
        <v>2014</v>
      </c>
      <c r="C1851" s="41">
        <v>42795</v>
      </c>
      <c r="D1851" t="s">
        <v>2181</v>
      </c>
      <c r="E1851" t="s">
        <v>219</v>
      </c>
      <c r="F1851" t="s">
        <v>459</v>
      </c>
      <c r="G1851" t="s">
        <v>2100</v>
      </c>
      <c r="H1851" t="s">
        <v>2182</v>
      </c>
      <c r="I1851" t="s">
        <v>1427</v>
      </c>
      <c r="J1851">
        <v>3</v>
      </c>
      <c r="L1851">
        <v>133.33000000000001</v>
      </c>
      <c r="M1851">
        <v>227.22</v>
      </c>
      <c r="N1851">
        <v>305.95</v>
      </c>
      <c r="O1851">
        <v>450.34</v>
      </c>
      <c r="P1851">
        <v>0</v>
      </c>
      <c r="Q1851">
        <v>3</v>
      </c>
      <c r="R1851">
        <v>0</v>
      </c>
      <c r="T1851" t="b">
        <v>1</v>
      </c>
    </row>
    <row r="1852" spans="2:20" x14ac:dyDescent="0.35">
      <c r="B1852">
        <v>2014</v>
      </c>
      <c r="C1852" s="41">
        <v>42795</v>
      </c>
      <c r="D1852" t="s">
        <v>2181</v>
      </c>
      <c r="E1852" t="s">
        <v>219</v>
      </c>
      <c r="F1852" t="s">
        <v>1389</v>
      </c>
      <c r="G1852" t="s">
        <v>2100</v>
      </c>
      <c r="H1852" t="s">
        <v>2182</v>
      </c>
      <c r="I1852" t="s">
        <v>1427</v>
      </c>
      <c r="J1852">
        <v>3</v>
      </c>
      <c r="L1852">
        <v>141.79</v>
      </c>
      <c r="M1852">
        <v>241.65</v>
      </c>
      <c r="N1852">
        <v>325.38</v>
      </c>
      <c r="O1852">
        <v>478.94</v>
      </c>
      <c r="P1852">
        <v>0</v>
      </c>
      <c r="Q1852">
        <v>3</v>
      </c>
      <c r="R1852">
        <v>0</v>
      </c>
      <c r="T1852" t="b">
        <v>1</v>
      </c>
    </row>
    <row r="1853" spans="2:20" x14ac:dyDescent="0.35">
      <c r="B1853">
        <v>2014</v>
      </c>
      <c r="C1853" s="41">
        <v>42795</v>
      </c>
      <c r="D1853" t="s">
        <v>2181</v>
      </c>
      <c r="E1853" t="s">
        <v>219</v>
      </c>
      <c r="F1853" t="s">
        <v>1301</v>
      </c>
      <c r="G1853" t="s">
        <v>2100</v>
      </c>
      <c r="H1853" t="s">
        <v>2182</v>
      </c>
      <c r="I1853" t="s">
        <v>1427</v>
      </c>
      <c r="J1853">
        <v>3</v>
      </c>
      <c r="L1853">
        <v>139.93</v>
      </c>
      <c r="M1853">
        <v>238.49</v>
      </c>
      <c r="N1853">
        <v>321.13</v>
      </c>
      <c r="O1853">
        <v>472.68</v>
      </c>
      <c r="P1853">
        <v>0</v>
      </c>
      <c r="Q1853">
        <v>3</v>
      </c>
      <c r="R1853">
        <v>0</v>
      </c>
      <c r="T1853" t="b">
        <v>1</v>
      </c>
    </row>
    <row r="1854" spans="2:20" x14ac:dyDescent="0.35">
      <c r="B1854">
        <v>2014</v>
      </c>
      <c r="C1854" s="41">
        <v>42795</v>
      </c>
      <c r="D1854" t="s">
        <v>2181</v>
      </c>
      <c r="E1854" t="s">
        <v>219</v>
      </c>
      <c r="F1854" t="s">
        <v>464</v>
      </c>
      <c r="G1854" t="s">
        <v>2100</v>
      </c>
      <c r="H1854" t="s">
        <v>2182</v>
      </c>
      <c r="I1854" t="s">
        <v>1427</v>
      </c>
      <c r="J1854">
        <v>3</v>
      </c>
      <c r="L1854">
        <v>139.78</v>
      </c>
      <c r="M1854">
        <v>238.23</v>
      </c>
      <c r="N1854">
        <v>320.77</v>
      </c>
      <c r="O1854">
        <v>472.159999999999</v>
      </c>
      <c r="P1854">
        <v>0</v>
      </c>
      <c r="Q1854">
        <v>3</v>
      </c>
      <c r="R1854">
        <v>0</v>
      </c>
      <c r="T1854" t="b">
        <v>1</v>
      </c>
    </row>
    <row r="1855" spans="2:20" x14ac:dyDescent="0.35">
      <c r="B1855">
        <v>2014</v>
      </c>
      <c r="C1855" s="41">
        <v>42795</v>
      </c>
      <c r="D1855" t="s">
        <v>2181</v>
      </c>
      <c r="E1855" t="s">
        <v>219</v>
      </c>
      <c r="F1855" t="s">
        <v>1390</v>
      </c>
      <c r="G1855" t="s">
        <v>2100</v>
      </c>
      <c r="H1855" t="s">
        <v>2182</v>
      </c>
      <c r="I1855" t="s">
        <v>1427</v>
      </c>
      <c r="J1855">
        <v>3</v>
      </c>
      <c r="L1855">
        <v>145.63</v>
      </c>
      <c r="M1855">
        <v>248.19</v>
      </c>
      <c r="N1855">
        <v>334.2</v>
      </c>
      <c r="O1855">
        <v>491.91999999999899</v>
      </c>
      <c r="P1855">
        <v>0</v>
      </c>
      <c r="Q1855">
        <v>3</v>
      </c>
      <c r="R1855">
        <v>0</v>
      </c>
      <c r="T1855" t="b">
        <v>1</v>
      </c>
    </row>
    <row r="1856" spans="2:20" x14ac:dyDescent="0.35">
      <c r="B1856">
        <v>2014</v>
      </c>
      <c r="C1856" s="41">
        <v>42795</v>
      </c>
      <c r="D1856" t="s">
        <v>2181</v>
      </c>
      <c r="E1856" t="s">
        <v>219</v>
      </c>
      <c r="F1856" t="s">
        <v>1307</v>
      </c>
      <c r="G1856" t="s">
        <v>2100</v>
      </c>
      <c r="H1856" t="s">
        <v>2182</v>
      </c>
      <c r="I1856" t="s">
        <v>1427</v>
      </c>
      <c r="J1856">
        <v>3</v>
      </c>
      <c r="L1856">
        <v>135.35</v>
      </c>
      <c r="M1856">
        <v>230.67</v>
      </c>
      <c r="N1856">
        <v>310.60000000000002</v>
      </c>
      <c r="O1856">
        <v>457.18</v>
      </c>
      <c r="P1856">
        <v>0</v>
      </c>
      <c r="Q1856">
        <v>3</v>
      </c>
      <c r="R1856">
        <v>0</v>
      </c>
      <c r="T1856" t="b">
        <v>1</v>
      </c>
    </row>
    <row r="1857" spans="2:20" x14ac:dyDescent="0.35">
      <c r="B1857">
        <v>2014</v>
      </c>
      <c r="C1857" s="41">
        <v>42795</v>
      </c>
      <c r="D1857" t="s">
        <v>2181</v>
      </c>
      <c r="E1857" t="s">
        <v>219</v>
      </c>
      <c r="F1857" t="s">
        <v>461</v>
      </c>
      <c r="G1857" t="s">
        <v>2100</v>
      </c>
      <c r="H1857" t="s">
        <v>2182</v>
      </c>
      <c r="I1857" t="s">
        <v>1427</v>
      </c>
      <c r="J1857">
        <v>3</v>
      </c>
      <c r="L1857">
        <v>149.33000000000001</v>
      </c>
      <c r="M1857">
        <v>254.5</v>
      </c>
      <c r="N1857">
        <v>342.69</v>
      </c>
      <c r="O1857">
        <v>504.41999999999899</v>
      </c>
      <c r="P1857">
        <v>0</v>
      </c>
      <c r="Q1857">
        <v>3</v>
      </c>
      <c r="R1857">
        <v>0</v>
      </c>
      <c r="T1857" t="b">
        <v>1</v>
      </c>
    </row>
    <row r="1858" spans="2:20" x14ac:dyDescent="0.35">
      <c r="B1858">
        <v>2014</v>
      </c>
      <c r="C1858" s="41">
        <v>42795</v>
      </c>
      <c r="D1858" t="s">
        <v>2181</v>
      </c>
      <c r="E1858" t="s">
        <v>219</v>
      </c>
      <c r="F1858" t="s">
        <v>462</v>
      </c>
      <c r="G1858" t="s">
        <v>2100</v>
      </c>
      <c r="H1858" t="s">
        <v>2182</v>
      </c>
      <c r="I1858" t="s">
        <v>1427</v>
      </c>
      <c r="J1858">
        <v>3</v>
      </c>
      <c r="L1858">
        <v>137.38</v>
      </c>
      <c r="M1858">
        <v>234.14</v>
      </c>
      <c r="N1858">
        <v>315.27</v>
      </c>
      <c r="O1858">
        <v>464.05999999999898</v>
      </c>
      <c r="P1858">
        <v>0</v>
      </c>
      <c r="Q1858">
        <v>3</v>
      </c>
      <c r="R1858">
        <v>0</v>
      </c>
      <c r="T1858" t="b">
        <v>1</v>
      </c>
    </row>
    <row r="1859" spans="2:20" x14ac:dyDescent="0.35">
      <c r="B1859">
        <v>2014</v>
      </c>
      <c r="C1859" s="41">
        <v>42795</v>
      </c>
      <c r="D1859" t="s">
        <v>2183</v>
      </c>
      <c r="E1859" t="s">
        <v>219</v>
      </c>
      <c r="F1859" t="s">
        <v>1309</v>
      </c>
      <c r="G1859" t="s">
        <v>2100</v>
      </c>
      <c r="H1859" t="s">
        <v>224</v>
      </c>
      <c r="I1859" t="s">
        <v>310</v>
      </c>
      <c r="J1859">
        <v>2</v>
      </c>
      <c r="L1859">
        <v>198.15</v>
      </c>
      <c r="M1859">
        <v>337.7</v>
      </c>
      <c r="N1859">
        <v>454.72</v>
      </c>
      <c r="O1859">
        <v>669.31999999999903</v>
      </c>
      <c r="P1859">
        <v>1</v>
      </c>
      <c r="Q1859">
        <v>1</v>
      </c>
      <c r="R1859">
        <v>0</v>
      </c>
      <c r="T1859" t="b">
        <v>1</v>
      </c>
    </row>
    <row r="1860" spans="2:20" x14ac:dyDescent="0.35">
      <c r="B1860">
        <v>2014</v>
      </c>
      <c r="C1860" s="41">
        <v>42795</v>
      </c>
      <c r="D1860" t="s">
        <v>309</v>
      </c>
      <c r="E1860" t="s">
        <v>219</v>
      </c>
      <c r="F1860" t="s">
        <v>1309</v>
      </c>
      <c r="G1860" t="s">
        <v>2100</v>
      </c>
      <c r="H1860" t="s">
        <v>224</v>
      </c>
      <c r="I1860" t="s">
        <v>310</v>
      </c>
      <c r="J1860">
        <v>2</v>
      </c>
      <c r="L1860">
        <v>198.15</v>
      </c>
      <c r="M1860">
        <v>337.7</v>
      </c>
      <c r="N1860">
        <v>454.72</v>
      </c>
      <c r="O1860">
        <v>669.31999999999903</v>
      </c>
      <c r="P1860">
        <v>0</v>
      </c>
      <c r="Q1860">
        <v>3</v>
      </c>
      <c r="R1860">
        <v>0</v>
      </c>
      <c r="T1860" t="b">
        <v>1</v>
      </c>
    </row>
    <row r="1861" spans="2:20" x14ac:dyDescent="0.35">
      <c r="B1861">
        <v>2014</v>
      </c>
      <c r="C1861" s="41">
        <v>42795</v>
      </c>
      <c r="D1861" t="s">
        <v>2184</v>
      </c>
      <c r="E1861" t="s">
        <v>219</v>
      </c>
      <c r="F1861" t="s">
        <v>1309</v>
      </c>
      <c r="G1861" t="s">
        <v>2100</v>
      </c>
      <c r="H1861" t="s">
        <v>2112</v>
      </c>
      <c r="I1861" t="s">
        <v>1427</v>
      </c>
      <c r="J1861">
        <v>2</v>
      </c>
      <c r="L1861">
        <v>134.08000000000001</v>
      </c>
      <c r="M1861">
        <v>228.51</v>
      </c>
      <c r="N1861">
        <v>307.69</v>
      </c>
      <c r="O1861">
        <v>452.9</v>
      </c>
      <c r="P1861">
        <v>0</v>
      </c>
      <c r="Q1861">
        <v>3</v>
      </c>
      <c r="R1861">
        <v>0</v>
      </c>
      <c r="T1861" t="b">
        <v>1</v>
      </c>
    </row>
    <row r="1862" spans="2:20" x14ac:dyDescent="0.35">
      <c r="B1862">
        <v>2014</v>
      </c>
      <c r="C1862" s="41">
        <v>42795</v>
      </c>
      <c r="D1862" t="s">
        <v>1078</v>
      </c>
      <c r="E1862" t="s">
        <v>219</v>
      </c>
      <c r="F1862" t="s">
        <v>1301</v>
      </c>
      <c r="G1862" t="s">
        <v>2100</v>
      </c>
      <c r="H1862" t="s">
        <v>2185</v>
      </c>
      <c r="I1862" t="s">
        <v>843</v>
      </c>
      <c r="J1862">
        <v>2</v>
      </c>
      <c r="L1862">
        <v>214.2</v>
      </c>
      <c r="M1862">
        <v>365.05</v>
      </c>
      <c r="N1862">
        <v>491.539999999999</v>
      </c>
      <c r="O1862">
        <v>723.52</v>
      </c>
      <c r="P1862">
        <v>0</v>
      </c>
      <c r="Q1862">
        <v>3</v>
      </c>
      <c r="R1862">
        <v>0</v>
      </c>
      <c r="T1862" t="b">
        <v>1</v>
      </c>
    </row>
    <row r="1863" spans="2:20" x14ac:dyDescent="0.35">
      <c r="B1863">
        <v>2014</v>
      </c>
      <c r="C1863" s="41">
        <v>42795</v>
      </c>
      <c r="D1863" t="s">
        <v>1078</v>
      </c>
      <c r="E1863" t="s">
        <v>219</v>
      </c>
      <c r="F1863" t="s">
        <v>458</v>
      </c>
      <c r="G1863" t="s">
        <v>2100</v>
      </c>
      <c r="H1863" t="s">
        <v>2185</v>
      </c>
      <c r="I1863" t="s">
        <v>843</v>
      </c>
      <c r="J1863">
        <v>2</v>
      </c>
      <c r="L1863">
        <v>214.2</v>
      </c>
      <c r="M1863">
        <v>365.05</v>
      </c>
      <c r="N1863">
        <v>491.539999999999</v>
      </c>
      <c r="O1863">
        <v>723.52</v>
      </c>
      <c r="P1863">
        <v>0</v>
      </c>
      <c r="Q1863">
        <v>3</v>
      </c>
      <c r="R1863">
        <v>0</v>
      </c>
      <c r="T1863" t="b">
        <v>1</v>
      </c>
    </row>
    <row r="1864" spans="2:20" x14ac:dyDescent="0.35">
      <c r="B1864">
        <v>2014</v>
      </c>
      <c r="C1864" s="41">
        <v>42795</v>
      </c>
      <c r="D1864" t="s">
        <v>1078</v>
      </c>
      <c r="E1864" t="s">
        <v>219</v>
      </c>
      <c r="F1864" t="s">
        <v>461</v>
      </c>
      <c r="G1864" t="s">
        <v>2100</v>
      </c>
      <c r="H1864" t="s">
        <v>2185</v>
      </c>
      <c r="I1864" t="s">
        <v>843</v>
      </c>
      <c r="J1864">
        <v>2</v>
      </c>
      <c r="L1864">
        <v>214.2</v>
      </c>
      <c r="M1864">
        <v>365.05</v>
      </c>
      <c r="N1864">
        <v>491.539999999999</v>
      </c>
      <c r="O1864">
        <v>723.52</v>
      </c>
      <c r="P1864">
        <v>0</v>
      </c>
      <c r="Q1864">
        <v>3</v>
      </c>
      <c r="R1864">
        <v>0</v>
      </c>
      <c r="T1864" t="b">
        <v>1</v>
      </c>
    </row>
    <row r="1865" spans="2:20" x14ac:dyDescent="0.35">
      <c r="B1865">
        <v>2014</v>
      </c>
      <c r="C1865" s="41">
        <v>42795</v>
      </c>
      <c r="D1865" t="s">
        <v>2186</v>
      </c>
      <c r="E1865" t="s">
        <v>219</v>
      </c>
      <c r="F1865" t="s">
        <v>1301</v>
      </c>
      <c r="G1865" t="s">
        <v>2100</v>
      </c>
      <c r="H1865" t="s">
        <v>224</v>
      </c>
      <c r="I1865" t="s">
        <v>310</v>
      </c>
      <c r="J1865">
        <v>2</v>
      </c>
      <c r="L1865">
        <v>187.8</v>
      </c>
      <c r="M1865">
        <v>320.06</v>
      </c>
      <c r="N1865">
        <v>430.95</v>
      </c>
      <c r="O1865">
        <v>634.33999999999901</v>
      </c>
      <c r="P1865">
        <v>1</v>
      </c>
      <c r="Q1865">
        <v>1</v>
      </c>
      <c r="R1865">
        <v>0</v>
      </c>
      <c r="T1865" t="b">
        <v>1</v>
      </c>
    </row>
    <row r="1866" spans="2:20" x14ac:dyDescent="0.35">
      <c r="B1866">
        <v>2014</v>
      </c>
      <c r="C1866" s="41">
        <v>42795</v>
      </c>
      <c r="D1866" t="s">
        <v>2186</v>
      </c>
      <c r="E1866" t="s">
        <v>219</v>
      </c>
      <c r="F1866" t="s">
        <v>461</v>
      </c>
      <c r="G1866" t="s">
        <v>2100</v>
      </c>
      <c r="H1866" t="s">
        <v>224</v>
      </c>
      <c r="I1866" t="s">
        <v>310</v>
      </c>
      <c r="J1866">
        <v>2</v>
      </c>
      <c r="L1866">
        <v>187.8</v>
      </c>
      <c r="M1866">
        <v>320.06</v>
      </c>
      <c r="N1866">
        <v>430.95</v>
      </c>
      <c r="O1866">
        <v>634.33999999999901</v>
      </c>
      <c r="P1866">
        <v>1</v>
      </c>
      <c r="Q1866">
        <v>1</v>
      </c>
      <c r="R1866">
        <v>0</v>
      </c>
      <c r="T1866" t="b">
        <v>1</v>
      </c>
    </row>
    <row r="1867" spans="2:20" x14ac:dyDescent="0.35">
      <c r="B1867">
        <v>2014</v>
      </c>
      <c r="C1867" s="41">
        <v>42795</v>
      </c>
      <c r="D1867" t="s">
        <v>2186</v>
      </c>
      <c r="E1867" t="s">
        <v>219</v>
      </c>
      <c r="F1867" t="s">
        <v>458</v>
      </c>
      <c r="G1867" t="s">
        <v>2100</v>
      </c>
      <c r="H1867" t="s">
        <v>224</v>
      </c>
      <c r="I1867" t="s">
        <v>310</v>
      </c>
      <c r="J1867">
        <v>2</v>
      </c>
      <c r="L1867">
        <v>187.8</v>
      </c>
      <c r="M1867">
        <v>320.06</v>
      </c>
      <c r="N1867">
        <v>430.95</v>
      </c>
      <c r="O1867">
        <v>634.33999999999901</v>
      </c>
      <c r="P1867">
        <v>1</v>
      </c>
      <c r="Q1867">
        <v>1</v>
      </c>
      <c r="R1867">
        <v>0</v>
      </c>
      <c r="T1867" t="b">
        <v>1</v>
      </c>
    </row>
    <row r="1868" spans="2:20" x14ac:dyDescent="0.35">
      <c r="B1868">
        <v>2014</v>
      </c>
      <c r="C1868" s="41">
        <v>42795</v>
      </c>
      <c r="D1868" t="s">
        <v>2187</v>
      </c>
      <c r="E1868" t="s">
        <v>219</v>
      </c>
      <c r="F1868" t="s">
        <v>462</v>
      </c>
      <c r="G1868" t="s">
        <v>1381</v>
      </c>
      <c r="H1868" t="s">
        <v>280</v>
      </c>
      <c r="I1868" t="s">
        <v>310</v>
      </c>
      <c r="J1868">
        <v>2</v>
      </c>
      <c r="L1868">
        <v>304.43</v>
      </c>
      <c r="M1868">
        <v>518.82000000000005</v>
      </c>
      <c r="N1868">
        <v>698.63</v>
      </c>
      <c r="O1868">
        <v>1028.3399999999999</v>
      </c>
      <c r="P1868">
        <v>1</v>
      </c>
      <c r="Q1868">
        <v>1</v>
      </c>
      <c r="R1868">
        <v>0</v>
      </c>
      <c r="T1868" t="b">
        <v>1</v>
      </c>
    </row>
    <row r="1869" spans="2:20" x14ac:dyDescent="0.35">
      <c r="B1869">
        <v>2014</v>
      </c>
      <c r="C1869" s="41">
        <v>42795</v>
      </c>
      <c r="D1869" t="s">
        <v>2187</v>
      </c>
      <c r="E1869" t="s">
        <v>219</v>
      </c>
      <c r="F1869" t="s">
        <v>1309</v>
      </c>
      <c r="G1869" t="s">
        <v>1381</v>
      </c>
      <c r="H1869" t="s">
        <v>280</v>
      </c>
      <c r="I1869" t="s">
        <v>310</v>
      </c>
      <c r="J1869">
        <v>2</v>
      </c>
      <c r="L1869">
        <v>285.7</v>
      </c>
      <c r="M1869">
        <v>486.88</v>
      </c>
      <c r="N1869">
        <v>655.63</v>
      </c>
      <c r="O1869">
        <v>965.04</v>
      </c>
      <c r="P1869">
        <v>1</v>
      </c>
      <c r="Q1869">
        <v>1</v>
      </c>
      <c r="R1869">
        <v>0</v>
      </c>
      <c r="T1869" t="b">
        <v>1</v>
      </c>
    </row>
    <row r="1870" spans="2:20" x14ac:dyDescent="0.35">
      <c r="B1870">
        <v>2014</v>
      </c>
      <c r="C1870" s="41">
        <v>42795</v>
      </c>
      <c r="D1870" t="s">
        <v>2187</v>
      </c>
      <c r="E1870" t="s">
        <v>219</v>
      </c>
      <c r="F1870" t="s">
        <v>460</v>
      </c>
      <c r="G1870" t="s">
        <v>1381</v>
      </c>
      <c r="H1870" t="s">
        <v>280</v>
      </c>
      <c r="I1870" t="s">
        <v>310</v>
      </c>
      <c r="J1870">
        <v>2</v>
      </c>
      <c r="L1870">
        <v>280.32</v>
      </c>
      <c r="M1870">
        <v>477.72</v>
      </c>
      <c r="N1870">
        <v>643.29</v>
      </c>
      <c r="O1870">
        <v>946.87999999999897</v>
      </c>
      <c r="P1870">
        <v>1</v>
      </c>
      <c r="Q1870">
        <v>1</v>
      </c>
      <c r="R1870">
        <v>0</v>
      </c>
      <c r="T1870" t="b">
        <v>1</v>
      </c>
    </row>
    <row r="1871" spans="2:20" x14ac:dyDescent="0.35">
      <c r="B1871">
        <v>2014</v>
      </c>
      <c r="C1871" s="41">
        <v>42795</v>
      </c>
      <c r="D1871" t="s">
        <v>2187</v>
      </c>
      <c r="E1871" t="s">
        <v>219</v>
      </c>
      <c r="F1871" t="s">
        <v>459</v>
      </c>
      <c r="G1871" t="s">
        <v>1381</v>
      </c>
      <c r="H1871" t="s">
        <v>280</v>
      </c>
      <c r="I1871" t="s">
        <v>310</v>
      </c>
      <c r="J1871">
        <v>2</v>
      </c>
      <c r="L1871">
        <v>338.39</v>
      </c>
      <c r="M1871">
        <v>576.67999999999995</v>
      </c>
      <c r="N1871">
        <v>776.56</v>
      </c>
      <c r="O1871">
        <v>1143.04</v>
      </c>
      <c r="P1871">
        <v>1</v>
      </c>
      <c r="Q1871">
        <v>1</v>
      </c>
      <c r="R1871">
        <v>0</v>
      </c>
      <c r="T1871" t="b">
        <v>1</v>
      </c>
    </row>
    <row r="1872" spans="2:20" x14ac:dyDescent="0.35">
      <c r="B1872">
        <v>2014</v>
      </c>
      <c r="C1872" s="41">
        <v>42795</v>
      </c>
      <c r="D1872" t="s">
        <v>2187</v>
      </c>
      <c r="E1872" t="s">
        <v>219</v>
      </c>
      <c r="F1872" t="s">
        <v>1310</v>
      </c>
      <c r="G1872" t="s">
        <v>1381</v>
      </c>
      <c r="H1872" t="s">
        <v>280</v>
      </c>
      <c r="I1872" t="s">
        <v>310</v>
      </c>
      <c r="J1872">
        <v>2</v>
      </c>
      <c r="L1872">
        <v>410.15</v>
      </c>
      <c r="M1872">
        <v>698.97</v>
      </c>
      <c r="N1872">
        <v>941.21</v>
      </c>
      <c r="O1872">
        <v>1385.4</v>
      </c>
      <c r="P1872">
        <v>1</v>
      </c>
      <c r="Q1872">
        <v>1</v>
      </c>
      <c r="R1872">
        <v>0</v>
      </c>
      <c r="T1872" t="b">
        <v>1</v>
      </c>
    </row>
    <row r="1873" spans="2:20" x14ac:dyDescent="0.35">
      <c r="B1873">
        <v>2014</v>
      </c>
      <c r="C1873" s="41">
        <v>42795</v>
      </c>
      <c r="D1873" t="s">
        <v>2187</v>
      </c>
      <c r="E1873" t="s">
        <v>219</v>
      </c>
      <c r="F1873" t="s">
        <v>1389</v>
      </c>
      <c r="G1873" t="s">
        <v>1381</v>
      </c>
      <c r="H1873" t="s">
        <v>280</v>
      </c>
      <c r="I1873" t="s">
        <v>310</v>
      </c>
      <c r="J1873">
        <v>2</v>
      </c>
      <c r="L1873">
        <v>285.82</v>
      </c>
      <c r="M1873">
        <v>487.1</v>
      </c>
      <c r="N1873">
        <v>655.91</v>
      </c>
      <c r="O1873">
        <v>965.46</v>
      </c>
      <c r="P1873">
        <v>1</v>
      </c>
      <c r="Q1873">
        <v>1</v>
      </c>
      <c r="R1873">
        <v>0</v>
      </c>
      <c r="T1873" t="b">
        <v>1</v>
      </c>
    </row>
    <row r="1874" spans="2:20" x14ac:dyDescent="0.35">
      <c r="B1874">
        <v>2014</v>
      </c>
      <c r="C1874" s="41">
        <v>42795</v>
      </c>
      <c r="D1874" t="s">
        <v>2187</v>
      </c>
      <c r="E1874" t="s">
        <v>219</v>
      </c>
      <c r="F1874" t="s">
        <v>1301</v>
      </c>
      <c r="G1874" t="s">
        <v>1381</v>
      </c>
      <c r="H1874" t="s">
        <v>280</v>
      </c>
      <c r="I1874" t="s">
        <v>310</v>
      </c>
      <c r="J1874">
        <v>2</v>
      </c>
      <c r="L1874">
        <v>276.68</v>
      </c>
      <c r="M1874">
        <v>471.52</v>
      </c>
      <c r="N1874">
        <v>634.95000000000005</v>
      </c>
      <c r="O1874">
        <v>934.599999999999</v>
      </c>
      <c r="P1874">
        <v>1</v>
      </c>
      <c r="Q1874">
        <v>1</v>
      </c>
      <c r="R1874">
        <v>0</v>
      </c>
      <c r="T1874" t="b">
        <v>1</v>
      </c>
    </row>
    <row r="1875" spans="2:20" x14ac:dyDescent="0.35">
      <c r="B1875">
        <v>2014</v>
      </c>
      <c r="C1875" s="41">
        <v>42795</v>
      </c>
      <c r="D1875" t="s">
        <v>2187</v>
      </c>
      <c r="E1875" t="s">
        <v>219</v>
      </c>
      <c r="F1875" t="s">
        <v>1311</v>
      </c>
      <c r="G1875" t="s">
        <v>1381</v>
      </c>
      <c r="H1875" t="s">
        <v>280</v>
      </c>
      <c r="I1875" t="s">
        <v>310</v>
      </c>
      <c r="J1875">
        <v>2</v>
      </c>
      <c r="L1875">
        <v>276.27</v>
      </c>
      <c r="M1875">
        <v>470.83</v>
      </c>
      <c r="N1875">
        <v>634.01</v>
      </c>
      <c r="O1875">
        <v>933.22</v>
      </c>
      <c r="P1875">
        <v>1</v>
      </c>
      <c r="Q1875">
        <v>1</v>
      </c>
      <c r="R1875">
        <v>0</v>
      </c>
      <c r="T1875" t="b">
        <v>1</v>
      </c>
    </row>
    <row r="1876" spans="2:20" x14ac:dyDescent="0.35">
      <c r="B1876">
        <v>2014</v>
      </c>
      <c r="C1876" s="41">
        <v>42795</v>
      </c>
      <c r="D1876" t="s">
        <v>2187</v>
      </c>
      <c r="E1876" t="s">
        <v>219</v>
      </c>
      <c r="F1876" t="s">
        <v>464</v>
      </c>
      <c r="G1876" t="s">
        <v>1381</v>
      </c>
      <c r="H1876" t="s">
        <v>280</v>
      </c>
      <c r="I1876" t="s">
        <v>310</v>
      </c>
      <c r="J1876">
        <v>2</v>
      </c>
      <c r="L1876">
        <v>282.79000000000002</v>
      </c>
      <c r="M1876">
        <v>481.93</v>
      </c>
      <c r="N1876">
        <v>648.97</v>
      </c>
      <c r="O1876">
        <v>955.24</v>
      </c>
      <c r="P1876">
        <v>1</v>
      </c>
      <c r="Q1876">
        <v>1</v>
      </c>
      <c r="R1876">
        <v>0</v>
      </c>
      <c r="T1876" t="b">
        <v>1</v>
      </c>
    </row>
    <row r="1877" spans="2:20" x14ac:dyDescent="0.35">
      <c r="B1877">
        <v>2014</v>
      </c>
      <c r="C1877" s="41">
        <v>42795</v>
      </c>
      <c r="D1877" t="s">
        <v>2187</v>
      </c>
      <c r="E1877" t="s">
        <v>219</v>
      </c>
      <c r="F1877" t="s">
        <v>1302</v>
      </c>
      <c r="G1877" t="s">
        <v>1381</v>
      </c>
      <c r="H1877" t="s">
        <v>280</v>
      </c>
      <c r="I1877" t="s">
        <v>310</v>
      </c>
      <c r="J1877">
        <v>2</v>
      </c>
      <c r="L1877">
        <v>293.33999999999997</v>
      </c>
      <c r="M1877">
        <v>499.9</v>
      </c>
      <c r="N1877">
        <v>673.17</v>
      </c>
      <c r="O1877">
        <v>990.86</v>
      </c>
      <c r="P1877">
        <v>1</v>
      </c>
      <c r="Q1877">
        <v>1</v>
      </c>
      <c r="R1877">
        <v>0</v>
      </c>
      <c r="T1877" t="b">
        <v>1</v>
      </c>
    </row>
    <row r="1878" spans="2:20" x14ac:dyDescent="0.35">
      <c r="B1878">
        <v>2014</v>
      </c>
      <c r="C1878" s="41">
        <v>42795</v>
      </c>
      <c r="D1878" t="s">
        <v>2187</v>
      </c>
      <c r="E1878" t="s">
        <v>219</v>
      </c>
      <c r="F1878" t="s">
        <v>1298</v>
      </c>
      <c r="G1878" t="s">
        <v>1381</v>
      </c>
      <c r="H1878" t="s">
        <v>280</v>
      </c>
      <c r="I1878" t="s">
        <v>310</v>
      </c>
      <c r="J1878">
        <v>2</v>
      </c>
      <c r="L1878">
        <v>316.93</v>
      </c>
      <c r="M1878">
        <v>540.1</v>
      </c>
      <c r="N1878">
        <v>727.3</v>
      </c>
      <c r="O1878">
        <v>1070.54</v>
      </c>
      <c r="P1878">
        <v>1</v>
      </c>
      <c r="Q1878">
        <v>1</v>
      </c>
      <c r="R1878">
        <v>0</v>
      </c>
      <c r="T1878" t="b">
        <v>1</v>
      </c>
    </row>
    <row r="1879" spans="2:20" x14ac:dyDescent="0.35">
      <c r="B1879">
        <v>2014</v>
      </c>
      <c r="C1879" s="41">
        <v>42795</v>
      </c>
      <c r="D1879" t="s">
        <v>2187</v>
      </c>
      <c r="E1879" t="s">
        <v>219</v>
      </c>
      <c r="F1879" t="s">
        <v>1390</v>
      </c>
      <c r="G1879" t="s">
        <v>1381</v>
      </c>
      <c r="H1879" t="s">
        <v>280</v>
      </c>
      <c r="I1879" t="s">
        <v>310</v>
      </c>
      <c r="J1879">
        <v>2</v>
      </c>
      <c r="L1879">
        <v>345.03</v>
      </c>
      <c r="M1879">
        <v>588</v>
      </c>
      <c r="N1879">
        <v>791.8</v>
      </c>
      <c r="O1879">
        <v>1165.48</v>
      </c>
      <c r="P1879">
        <v>1</v>
      </c>
      <c r="Q1879">
        <v>1</v>
      </c>
      <c r="R1879">
        <v>0</v>
      </c>
      <c r="T1879" t="b">
        <v>1</v>
      </c>
    </row>
    <row r="1880" spans="2:20" x14ac:dyDescent="0.35">
      <c r="B1880">
        <v>2014</v>
      </c>
      <c r="C1880" s="41">
        <v>42795</v>
      </c>
      <c r="D1880" t="s">
        <v>2187</v>
      </c>
      <c r="E1880" t="s">
        <v>219</v>
      </c>
      <c r="F1880" t="s">
        <v>461</v>
      </c>
      <c r="G1880" t="s">
        <v>1381</v>
      </c>
      <c r="H1880" t="s">
        <v>280</v>
      </c>
      <c r="I1880" t="s">
        <v>310</v>
      </c>
      <c r="J1880">
        <v>2</v>
      </c>
      <c r="L1880">
        <v>329.23</v>
      </c>
      <c r="M1880">
        <v>561.07000000000005</v>
      </c>
      <c r="N1880">
        <v>755.54</v>
      </c>
      <c r="O1880">
        <v>1112.0999999999999</v>
      </c>
      <c r="P1880">
        <v>1</v>
      </c>
      <c r="Q1880">
        <v>1</v>
      </c>
      <c r="R1880">
        <v>0</v>
      </c>
      <c r="T1880" t="b">
        <v>1</v>
      </c>
    </row>
    <row r="1881" spans="2:20" x14ac:dyDescent="0.35">
      <c r="B1881">
        <v>2014</v>
      </c>
      <c r="C1881" s="41">
        <v>42795</v>
      </c>
      <c r="D1881" t="s">
        <v>2187</v>
      </c>
      <c r="E1881" t="s">
        <v>219</v>
      </c>
      <c r="F1881" t="s">
        <v>1307</v>
      </c>
      <c r="G1881" t="s">
        <v>1381</v>
      </c>
      <c r="H1881" t="s">
        <v>280</v>
      </c>
      <c r="I1881" t="s">
        <v>310</v>
      </c>
      <c r="J1881">
        <v>2</v>
      </c>
      <c r="L1881">
        <v>362.16</v>
      </c>
      <c r="M1881">
        <v>617.19000000000005</v>
      </c>
      <c r="N1881">
        <v>831.1</v>
      </c>
      <c r="O1881">
        <v>1223.32</v>
      </c>
      <c r="P1881">
        <v>1</v>
      </c>
      <c r="Q1881">
        <v>1</v>
      </c>
      <c r="R1881">
        <v>0</v>
      </c>
      <c r="T1881" t="b">
        <v>1</v>
      </c>
    </row>
    <row r="1882" spans="2:20" x14ac:dyDescent="0.35">
      <c r="B1882">
        <v>2014</v>
      </c>
      <c r="C1882" s="41">
        <v>42795</v>
      </c>
      <c r="D1882" t="s">
        <v>2187</v>
      </c>
      <c r="E1882" t="s">
        <v>219</v>
      </c>
      <c r="F1882" t="s">
        <v>463</v>
      </c>
      <c r="G1882" t="s">
        <v>1381</v>
      </c>
      <c r="H1882" t="s">
        <v>280</v>
      </c>
      <c r="I1882" t="s">
        <v>310</v>
      </c>
      <c r="J1882">
        <v>2</v>
      </c>
      <c r="L1882">
        <v>375.93</v>
      </c>
      <c r="M1882">
        <v>640.66</v>
      </c>
      <c r="N1882">
        <v>862.7</v>
      </c>
      <c r="O1882">
        <v>1269.8399999999999</v>
      </c>
      <c r="P1882">
        <v>1</v>
      </c>
      <c r="Q1882">
        <v>1</v>
      </c>
      <c r="R1882">
        <v>0</v>
      </c>
      <c r="T1882" t="b">
        <v>1</v>
      </c>
    </row>
    <row r="1883" spans="2:20" x14ac:dyDescent="0.35">
      <c r="B1883">
        <v>2014</v>
      </c>
      <c r="C1883" s="41">
        <v>42795</v>
      </c>
      <c r="D1883" t="s">
        <v>2187</v>
      </c>
      <c r="E1883" t="s">
        <v>219</v>
      </c>
      <c r="F1883" t="s">
        <v>458</v>
      </c>
      <c r="G1883" t="s">
        <v>1381</v>
      </c>
      <c r="H1883" t="s">
        <v>280</v>
      </c>
      <c r="I1883" t="s">
        <v>310</v>
      </c>
      <c r="J1883">
        <v>2</v>
      </c>
      <c r="L1883">
        <v>262.7</v>
      </c>
      <c r="M1883">
        <v>447.7</v>
      </c>
      <c r="N1883">
        <v>602.87</v>
      </c>
      <c r="O1883">
        <v>887.38</v>
      </c>
      <c r="P1883">
        <v>1</v>
      </c>
      <c r="Q1883">
        <v>1</v>
      </c>
      <c r="R1883">
        <v>0</v>
      </c>
      <c r="T1883" t="b">
        <v>1</v>
      </c>
    </row>
    <row r="1884" spans="2:20" x14ac:dyDescent="0.35">
      <c r="B1884">
        <v>2014</v>
      </c>
      <c r="C1884" s="41">
        <v>42795</v>
      </c>
      <c r="D1884" t="s">
        <v>2188</v>
      </c>
      <c r="E1884" t="s">
        <v>219</v>
      </c>
      <c r="F1884" t="s">
        <v>1311</v>
      </c>
      <c r="G1884" t="s">
        <v>1381</v>
      </c>
      <c r="H1884" t="s">
        <v>278</v>
      </c>
      <c r="I1884" t="s">
        <v>310</v>
      </c>
      <c r="J1884">
        <v>2</v>
      </c>
      <c r="L1884">
        <v>273.20999999999998</v>
      </c>
      <c r="M1884">
        <v>465.61</v>
      </c>
      <c r="N1884">
        <v>626.97</v>
      </c>
      <c r="O1884">
        <v>922.85999999999899</v>
      </c>
      <c r="P1884">
        <v>1</v>
      </c>
      <c r="Q1884">
        <v>1</v>
      </c>
      <c r="R1884">
        <v>0</v>
      </c>
      <c r="T1884" t="b">
        <v>1</v>
      </c>
    </row>
    <row r="1885" spans="2:20" x14ac:dyDescent="0.35">
      <c r="B1885">
        <v>2014</v>
      </c>
      <c r="C1885" s="41">
        <v>42795</v>
      </c>
      <c r="D1885" t="s">
        <v>2188</v>
      </c>
      <c r="E1885" t="s">
        <v>219</v>
      </c>
      <c r="F1885" t="s">
        <v>1310</v>
      </c>
      <c r="G1885" t="s">
        <v>1381</v>
      </c>
      <c r="H1885" t="s">
        <v>278</v>
      </c>
      <c r="I1885" t="s">
        <v>310</v>
      </c>
      <c r="J1885">
        <v>2</v>
      </c>
      <c r="L1885">
        <v>405.62</v>
      </c>
      <c r="M1885">
        <v>691.25</v>
      </c>
      <c r="N1885">
        <v>930.83</v>
      </c>
      <c r="O1885">
        <v>1370.12</v>
      </c>
      <c r="P1885">
        <v>1</v>
      </c>
      <c r="Q1885">
        <v>1</v>
      </c>
      <c r="R1885">
        <v>0</v>
      </c>
      <c r="T1885" t="b">
        <v>1</v>
      </c>
    </row>
    <row r="1886" spans="2:20" x14ac:dyDescent="0.35">
      <c r="B1886">
        <v>2014</v>
      </c>
      <c r="C1886" s="41">
        <v>42795</v>
      </c>
      <c r="D1886" t="s">
        <v>2188</v>
      </c>
      <c r="E1886" t="s">
        <v>219</v>
      </c>
      <c r="F1886" t="s">
        <v>458</v>
      </c>
      <c r="G1886" t="s">
        <v>1381</v>
      </c>
      <c r="H1886" t="s">
        <v>278</v>
      </c>
      <c r="I1886" t="s">
        <v>310</v>
      </c>
      <c r="J1886">
        <v>2</v>
      </c>
      <c r="L1886">
        <v>259.8</v>
      </c>
      <c r="M1886">
        <v>442.75</v>
      </c>
      <c r="N1886">
        <v>596.21</v>
      </c>
      <c r="O1886">
        <v>877.57999999999902</v>
      </c>
      <c r="P1886">
        <v>1</v>
      </c>
      <c r="Q1886">
        <v>1</v>
      </c>
      <c r="R1886">
        <v>0</v>
      </c>
      <c r="T1886" t="b">
        <v>1</v>
      </c>
    </row>
    <row r="1887" spans="2:20" x14ac:dyDescent="0.35">
      <c r="B1887">
        <v>2014</v>
      </c>
      <c r="C1887" s="41">
        <v>42795</v>
      </c>
      <c r="D1887" t="s">
        <v>2188</v>
      </c>
      <c r="E1887" t="s">
        <v>219</v>
      </c>
      <c r="F1887" t="s">
        <v>1390</v>
      </c>
      <c r="G1887" t="s">
        <v>1381</v>
      </c>
      <c r="H1887" t="s">
        <v>278</v>
      </c>
      <c r="I1887" t="s">
        <v>310</v>
      </c>
      <c r="J1887">
        <v>2</v>
      </c>
      <c r="L1887">
        <v>341.22</v>
      </c>
      <c r="M1887">
        <v>581.5</v>
      </c>
      <c r="N1887">
        <v>783.04</v>
      </c>
      <c r="O1887">
        <v>1152.58</v>
      </c>
      <c r="P1887">
        <v>1</v>
      </c>
      <c r="Q1887">
        <v>1</v>
      </c>
      <c r="R1887">
        <v>0</v>
      </c>
      <c r="T1887" t="b">
        <v>1</v>
      </c>
    </row>
    <row r="1888" spans="2:20" x14ac:dyDescent="0.35">
      <c r="B1888">
        <v>2014</v>
      </c>
      <c r="C1888" s="41">
        <v>42795</v>
      </c>
      <c r="D1888" t="s">
        <v>2188</v>
      </c>
      <c r="E1888" t="s">
        <v>219</v>
      </c>
      <c r="F1888" t="s">
        <v>459</v>
      </c>
      <c r="G1888" t="s">
        <v>1381</v>
      </c>
      <c r="H1888" t="s">
        <v>278</v>
      </c>
      <c r="I1888" t="s">
        <v>310</v>
      </c>
      <c r="J1888">
        <v>2</v>
      </c>
      <c r="L1888">
        <v>334.66</v>
      </c>
      <c r="M1888">
        <v>570.32000000000005</v>
      </c>
      <c r="N1888">
        <v>767.98</v>
      </c>
      <c r="O1888">
        <v>1130.42</v>
      </c>
      <c r="P1888">
        <v>1</v>
      </c>
      <c r="Q1888">
        <v>1</v>
      </c>
      <c r="R1888">
        <v>0</v>
      </c>
      <c r="T1888" t="b">
        <v>1</v>
      </c>
    </row>
    <row r="1889" spans="2:20" x14ac:dyDescent="0.35">
      <c r="B1889">
        <v>2014</v>
      </c>
      <c r="C1889" s="41">
        <v>42795</v>
      </c>
      <c r="D1889" t="s">
        <v>2188</v>
      </c>
      <c r="E1889" t="s">
        <v>219</v>
      </c>
      <c r="F1889" t="s">
        <v>461</v>
      </c>
      <c r="G1889" t="s">
        <v>1381</v>
      </c>
      <c r="H1889" t="s">
        <v>278</v>
      </c>
      <c r="I1889" t="s">
        <v>310</v>
      </c>
      <c r="J1889">
        <v>2</v>
      </c>
      <c r="L1889">
        <v>325.58999999999997</v>
      </c>
      <c r="M1889">
        <v>554.87</v>
      </c>
      <c r="N1889">
        <v>747.18</v>
      </c>
      <c r="O1889">
        <v>1099.8</v>
      </c>
      <c r="P1889">
        <v>1</v>
      </c>
      <c r="Q1889">
        <v>1</v>
      </c>
      <c r="R1889">
        <v>0</v>
      </c>
      <c r="T1889" t="b">
        <v>1</v>
      </c>
    </row>
    <row r="1890" spans="2:20" x14ac:dyDescent="0.35">
      <c r="B1890">
        <v>2014</v>
      </c>
      <c r="C1890" s="41">
        <v>42795</v>
      </c>
      <c r="D1890" t="s">
        <v>2188</v>
      </c>
      <c r="E1890" t="s">
        <v>219</v>
      </c>
      <c r="F1890" t="s">
        <v>1298</v>
      </c>
      <c r="G1890" t="s">
        <v>1381</v>
      </c>
      <c r="H1890" t="s">
        <v>278</v>
      </c>
      <c r="I1890" t="s">
        <v>310</v>
      </c>
      <c r="J1890">
        <v>2</v>
      </c>
      <c r="L1890">
        <v>313.41000000000003</v>
      </c>
      <c r="M1890">
        <v>534.12</v>
      </c>
      <c r="N1890">
        <v>719.23</v>
      </c>
      <c r="O1890">
        <v>1058.6600000000001</v>
      </c>
      <c r="P1890">
        <v>1</v>
      </c>
      <c r="Q1890">
        <v>1</v>
      </c>
      <c r="R1890">
        <v>0</v>
      </c>
      <c r="T1890" t="b">
        <v>1</v>
      </c>
    </row>
    <row r="1891" spans="2:20" x14ac:dyDescent="0.35">
      <c r="B1891">
        <v>2014</v>
      </c>
      <c r="C1891" s="41">
        <v>42795</v>
      </c>
      <c r="D1891" t="s">
        <v>2188</v>
      </c>
      <c r="E1891" t="s">
        <v>219</v>
      </c>
      <c r="F1891" t="s">
        <v>462</v>
      </c>
      <c r="G1891" t="s">
        <v>1381</v>
      </c>
      <c r="H1891" t="s">
        <v>278</v>
      </c>
      <c r="I1891" t="s">
        <v>310</v>
      </c>
      <c r="J1891">
        <v>2</v>
      </c>
      <c r="L1891">
        <v>301.08</v>
      </c>
      <c r="M1891">
        <v>513.1</v>
      </c>
      <c r="N1891">
        <v>690.93</v>
      </c>
      <c r="O1891">
        <v>1017</v>
      </c>
      <c r="P1891">
        <v>1</v>
      </c>
      <c r="Q1891">
        <v>1</v>
      </c>
      <c r="R1891">
        <v>0</v>
      </c>
      <c r="T1891" t="b">
        <v>1</v>
      </c>
    </row>
    <row r="1892" spans="2:20" x14ac:dyDescent="0.35">
      <c r="B1892">
        <v>2014</v>
      </c>
      <c r="C1892" s="41">
        <v>42795</v>
      </c>
      <c r="D1892" t="s">
        <v>2188</v>
      </c>
      <c r="E1892" t="s">
        <v>219</v>
      </c>
      <c r="F1892" t="s">
        <v>1309</v>
      </c>
      <c r="G1892" t="s">
        <v>1381</v>
      </c>
      <c r="H1892" t="s">
        <v>278</v>
      </c>
      <c r="I1892" t="s">
        <v>310</v>
      </c>
      <c r="J1892">
        <v>2</v>
      </c>
      <c r="L1892">
        <v>282.54000000000002</v>
      </c>
      <c r="M1892">
        <v>481.51</v>
      </c>
      <c r="N1892">
        <v>648.4</v>
      </c>
      <c r="O1892">
        <v>954.4</v>
      </c>
      <c r="P1892">
        <v>1</v>
      </c>
      <c r="Q1892">
        <v>1</v>
      </c>
      <c r="R1892">
        <v>0</v>
      </c>
      <c r="T1892" t="b">
        <v>1</v>
      </c>
    </row>
    <row r="1893" spans="2:20" x14ac:dyDescent="0.35">
      <c r="B1893">
        <v>2014</v>
      </c>
      <c r="C1893" s="41">
        <v>42795</v>
      </c>
      <c r="D1893" t="s">
        <v>2188</v>
      </c>
      <c r="E1893" t="s">
        <v>219</v>
      </c>
      <c r="F1893" t="s">
        <v>464</v>
      </c>
      <c r="G1893" t="s">
        <v>1381</v>
      </c>
      <c r="H1893" t="s">
        <v>278</v>
      </c>
      <c r="I1893" t="s">
        <v>310</v>
      </c>
      <c r="J1893">
        <v>2</v>
      </c>
      <c r="L1893">
        <v>279.67</v>
      </c>
      <c r="M1893">
        <v>476.61</v>
      </c>
      <c r="N1893">
        <v>641.80999999999995</v>
      </c>
      <c r="O1893">
        <v>944.7</v>
      </c>
      <c r="P1893">
        <v>1</v>
      </c>
      <c r="Q1893">
        <v>1</v>
      </c>
      <c r="R1893">
        <v>0</v>
      </c>
      <c r="T1893" t="b">
        <v>1</v>
      </c>
    </row>
    <row r="1894" spans="2:20" x14ac:dyDescent="0.35">
      <c r="B1894">
        <v>2014</v>
      </c>
      <c r="C1894" s="41">
        <v>42795</v>
      </c>
      <c r="D1894" t="s">
        <v>2188</v>
      </c>
      <c r="E1894" t="s">
        <v>219</v>
      </c>
      <c r="F1894" t="s">
        <v>460</v>
      </c>
      <c r="G1894" t="s">
        <v>1381</v>
      </c>
      <c r="H1894" t="s">
        <v>278</v>
      </c>
      <c r="I1894" t="s">
        <v>310</v>
      </c>
      <c r="J1894">
        <v>2</v>
      </c>
      <c r="L1894">
        <v>277.23</v>
      </c>
      <c r="M1894">
        <v>472.45</v>
      </c>
      <c r="N1894">
        <v>636.20000000000005</v>
      </c>
      <c r="O1894">
        <v>936.44</v>
      </c>
      <c r="P1894">
        <v>1</v>
      </c>
      <c r="Q1894">
        <v>1</v>
      </c>
      <c r="R1894">
        <v>0</v>
      </c>
      <c r="T1894" t="b">
        <v>1</v>
      </c>
    </row>
    <row r="1895" spans="2:20" x14ac:dyDescent="0.35">
      <c r="B1895">
        <v>2014</v>
      </c>
      <c r="C1895" s="41">
        <v>42795</v>
      </c>
      <c r="D1895" t="s">
        <v>2188</v>
      </c>
      <c r="E1895" t="s">
        <v>219</v>
      </c>
      <c r="F1895" t="s">
        <v>1301</v>
      </c>
      <c r="G1895" t="s">
        <v>1381</v>
      </c>
      <c r="H1895" t="s">
        <v>278</v>
      </c>
      <c r="I1895" t="s">
        <v>310</v>
      </c>
      <c r="J1895">
        <v>2</v>
      </c>
      <c r="L1895">
        <v>273.62</v>
      </c>
      <c r="M1895">
        <v>466.31</v>
      </c>
      <c r="N1895">
        <v>627.91999999999996</v>
      </c>
      <c r="O1895">
        <v>924.26</v>
      </c>
      <c r="P1895">
        <v>1</v>
      </c>
      <c r="Q1895">
        <v>1</v>
      </c>
      <c r="R1895">
        <v>0</v>
      </c>
      <c r="T1895" t="b">
        <v>1</v>
      </c>
    </row>
    <row r="1896" spans="2:20" x14ac:dyDescent="0.35">
      <c r="B1896">
        <v>2014</v>
      </c>
      <c r="C1896" s="41">
        <v>42795</v>
      </c>
      <c r="D1896" t="s">
        <v>2188</v>
      </c>
      <c r="E1896" t="s">
        <v>219</v>
      </c>
      <c r="F1896" t="s">
        <v>1307</v>
      </c>
      <c r="G1896" t="s">
        <v>1381</v>
      </c>
      <c r="H1896" t="s">
        <v>278</v>
      </c>
      <c r="I1896" t="s">
        <v>310</v>
      </c>
      <c r="J1896">
        <v>2</v>
      </c>
      <c r="L1896">
        <v>358.15</v>
      </c>
      <c r="M1896">
        <v>610.37</v>
      </c>
      <c r="N1896">
        <v>821.91</v>
      </c>
      <c r="O1896">
        <v>1209.8</v>
      </c>
      <c r="P1896">
        <v>1</v>
      </c>
      <c r="Q1896">
        <v>1</v>
      </c>
      <c r="R1896">
        <v>0</v>
      </c>
      <c r="T1896" t="b">
        <v>1</v>
      </c>
    </row>
    <row r="1897" spans="2:20" x14ac:dyDescent="0.35">
      <c r="B1897">
        <v>2014</v>
      </c>
      <c r="C1897" s="41">
        <v>42795</v>
      </c>
      <c r="D1897" t="s">
        <v>2188</v>
      </c>
      <c r="E1897" t="s">
        <v>219</v>
      </c>
      <c r="F1897" t="s">
        <v>1302</v>
      </c>
      <c r="G1897" t="s">
        <v>1381</v>
      </c>
      <c r="H1897" t="s">
        <v>278</v>
      </c>
      <c r="I1897" t="s">
        <v>310</v>
      </c>
      <c r="J1897">
        <v>2</v>
      </c>
      <c r="L1897">
        <v>290.10000000000002</v>
      </c>
      <c r="M1897">
        <v>494.38</v>
      </c>
      <c r="N1897">
        <v>665.72</v>
      </c>
      <c r="O1897">
        <v>979.9</v>
      </c>
      <c r="P1897">
        <v>1</v>
      </c>
      <c r="Q1897">
        <v>1</v>
      </c>
      <c r="R1897">
        <v>0</v>
      </c>
      <c r="T1897" t="b">
        <v>1</v>
      </c>
    </row>
    <row r="1898" spans="2:20" x14ac:dyDescent="0.35">
      <c r="B1898">
        <v>2014</v>
      </c>
      <c r="C1898" s="41">
        <v>42795</v>
      </c>
      <c r="D1898" t="s">
        <v>2188</v>
      </c>
      <c r="E1898" t="s">
        <v>219</v>
      </c>
      <c r="F1898" t="s">
        <v>1389</v>
      </c>
      <c r="G1898" t="s">
        <v>1381</v>
      </c>
      <c r="H1898" t="s">
        <v>278</v>
      </c>
      <c r="I1898" t="s">
        <v>310</v>
      </c>
      <c r="J1898">
        <v>2</v>
      </c>
      <c r="L1898">
        <v>282.66000000000003</v>
      </c>
      <c r="M1898">
        <v>481.7</v>
      </c>
      <c r="N1898">
        <v>648.66</v>
      </c>
      <c r="O1898">
        <v>954.78</v>
      </c>
      <c r="P1898">
        <v>1</v>
      </c>
      <c r="Q1898">
        <v>1</v>
      </c>
      <c r="R1898">
        <v>0</v>
      </c>
      <c r="T1898" t="b">
        <v>1</v>
      </c>
    </row>
    <row r="1899" spans="2:20" x14ac:dyDescent="0.35">
      <c r="B1899">
        <v>2014</v>
      </c>
      <c r="C1899" s="41">
        <v>42795</v>
      </c>
      <c r="D1899" t="s">
        <v>2188</v>
      </c>
      <c r="E1899" t="s">
        <v>219</v>
      </c>
      <c r="F1899" t="s">
        <v>463</v>
      </c>
      <c r="G1899" t="s">
        <v>1381</v>
      </c>
      <c r="H1899" t="s">
        <v>278</v>
      </c>
      <c r="I1899" t="s">
        <v>310</v>
      </c>
      <c r="J1899">
        <v>2</v>
      </c>
      <c r="L1899">
        <v>371.78</v>
      </c>
      <c r="M1899">
        <v>633.58000000000004</v>
      </c>
      <c r="N1899">
        <v>853.18</v>
      </c>
      <c r="O1899">
        <v>1255.82</v>
      </c>
      <c r="P1899">
        <v>1</v>
      </c>
      <c r="Q1899">
        <v>1</v>
      </c>
      <c r="R1899">
        <v>0</v>
      </c>
      <c r="T1899" t="b">
        <v>1</v>
      </c>
    </row>
    <row r="1900" spans="2:20" x14ac:dyDescent="0.35">
      <c r="B1900">
        <v>2014</v>
      </c>
      <c r="C1900" s="41">
        <v>42795</v>
      </c>
      <c r="D1900" t="s">
        <v>1097</v>
      </c>
      <c r="E1900" t="s">
        <v>219</v>
      </c>
      <c r="F1900" t="s">
        <v>1390</v>
      </c>
      <c r="G1900" t="s">
        <v>245</v>
      </c>
      <c r="H1900" t="s">
        <v>1098</v>
      </c>
      <c r="I1900" t="s">
        <v>842</v>
      </c>
      <c r="J1900">
        <v>2</v>
      </c>
      <c r="L1900">
        <v>176</v>
      </c>
      <c r="M1900">
        <v>299</v>
      </c>
      <c r="N1900">
        <v>402</v>
      </c>
      <c r="O1900">
        <v>592</v>
      </c>
      <c r="P1900">
        <v>0</v>
      </c>
      <c r="Q1900">
        <v>1</v>
      </c>
      <c r="R1900">
        <v>0</v>
      </c>
      <c r="T1900" t="b">
        <v>1</v>
      </c>
    </row>
    <row r="1901" spans="2:20" x14ac:dyDescent="0.35">
      <c r="B1901">
        <v>2014</v>
      </c>
      <c r="C1901" s="41">
        <v>42795</v>
      </c>
      <c r="D1901" t="s">
        <v>1097</v>
      </c>
      <c r="E1901" t="s">
        <v>219</v>
      </c>
      <c r="F1901" t="s">
        <v>1301</v>
      </c>
      <c r="G1901" t="s">
        <v>245</v>
      </c>
      <c r="H1901" t="s">
        <v>1098</v>
      </c>
      <c r="I1901" t="s">
        <v>842</v>
      </c>
      <c r="J1901">
        <v>2</v>
      </c>
      <c r="L1901">
        <v>176</v>
      </c>
      <c r="M1901">
        <v>299</v>
      </c>
      <c r="N1901">
        <v>402</v>
      </c>
      <c r="O1901">
        <v>592</v>
      </c>
      <c r="P1901">
        <v>0</v>
      </c>
      <c r="Q1901">
        <v>1</v>
      </c>
      <c r="R1901">
        <v>0</v>
      </c>
      <c r="T1901" t="b">
        <v>1</v>
      </c>
    </row>
    <row r="1902" spans="2:20" x14ac:dyDescent="0.35">
      <c r="B1902">
        <v>2014</v>
      </c>
      <c r="C1902" s="41">
        <v>42795</v>
      </c>
      <c r="D1902" t="s">
        <v>1097</v>
      </c>
      <c r="E1902" t="s">
        <v>219</v>
      </c>
      <c r="F1902" t="s">
        <v>1309</v>
      </c>
      <c r="G1902" t="s">
        <v>245</v>
      </c>
      <c r="H1902" t="s">
        <v>1098</v>
      </c>
      <c r="I1902" t="s">
        <v>842</v>
      </c>
      <c r="J1902">
        <v>2</v>
      </c>
      <c r="L1902">
        <v>176</v>
      </c>
      <c r="M1902">
        <v>299</v>
      </c>
      <c r="N1902">
        <v>402</v>
      </c>
      <c r="O1902">
        <v>592</v>
      </c>
      <c r="P1902">
        <v>0</v>
      </c>
      <c r="Q1902">
        <v>1</v>
      </c>
      <c r="R1902">
        <v>0</v>
      </c>
      <c r="T1902" t="b">
        <v>1</v>
      </c>
    </row>
    <row r="1903" spans="2:20" x14ac:dyDescent="0.35">
      <c r="B1903">
        <v>2014</v>
      </c>
      <c r="C1903" s="41">
        <v>42795</v>
      </c>
      <c r="D1903" t="s">
        <v>1097</v>
      </c>
      <c r="E1903" t="s">
        <v>219</v>
      </c>
      <c r="F1903" t="s">
        <v>458</v>
      </c>
      <c r="G1903" t="s">
        <v>245</v>
      </c>
      <c r="H1903" t="s">
        <v>1098</v>
      </c>
      <c r="I1903" t="s">
        <v>842</v>
      </c>
      <c r="J1903">
        <v>2</v>
      </c>
      <c r="L1903">
        <v>176</v>
      </c>
      <c r="M1903">
        <v>299</v>
      </c>
      <c r="N1903">
        <v>402</v>
      </c>
      <c r="O1903">
        <v>592</v>
      </c>
      <c r="P1903">
        <v>0</v>
      </c>
      <c r="Q1903">
        <v>1</v>
      </c>
      <c r="R1903">
        <v>0</v>
      </c>
      <c r="T1903" t="b">
        <v>1</v>
      </c>
    </row>
    <row r="1904" spans="2:20" x14ac:dyDescent="0.35">
      <c r="B1904">
        <v>2014</v>
      </c>
      <c r="C1904" s="41">
        <v>42795</v>
      </c>
      <c r="D1904" t="s">
        <v>1097</v>
      </c>
      <c r="E1904" t="s">
        <v>219</v>
      </c>
      <c r="F1904" t="s">
        <v>1311</v>
      </c>
      <c r="G1904" t="s">
        <v>245</v>
      </c>
      <c r="H1904" t="s">
        <v>1098</v>
      </c>
      <c r="I1904" t="s">
        <v>842</v>
      </c>
      <c r="J1904">
        <v>2</v>
      </c>
      <c r="L1904">
        <v>176</v>
      </c>
      <c r="M1904">
        <v>299</v>
      </c>
      <c r="N1904">
        <v>402</v>
      </c>
      <c r="O1904">
        <v>592</v>
      </c>
      <c r="P1904">
        <v>0</v>
      </c>
      <c r="Q1904">
        <v>1</v>
      </c>
      <c r="R1904">
        <v>0</v>
      </c>
      <c r="T1904" t="b">
        <v>1</v>
      </c>
    </row>
    <row r="1905" spans="2:20" x14ac:dyDescent="0.35">
      <c r="B1905">
        <v>2014</v>
      </c>
      <c r="C1905" s="41">
        <v>42795</v>
      </c>
      <c r="D1905" t="s">
        <v>1097</v>
      </c>
      <c r="E1905" t="s">
        <v>219</v>
      </c>
      <c r="F1905" t="s">
        <v>461</v>
      </c>
      <c r="G1905" t="s">
        <v>245</v>
      </c>
      <c r="H1905" t="s">
        <v>1098</v>
      </c>
      <c r="I1905" t="s">
        <v>842</v>
      </c>
      <c r="J1905">
        <v>2</v>
      </c>
      <c r="L1905">
        <v>176</v>
      </c>
      <c r="M1905">
        <v>299</v>
      </c>
      <c r="N1905">
        <v>402</v>
      </c>
      <c r="O1905">
        <v>592</v>
      </c>
      <c r="P1905">
        <v>0</v>
      </c>
      <c r="Q1905">
        <v>1</v>
      </c>
      <c r="R1905">
        <v>0</v>
      </c>
      <c r="T1905" t="b">
        <v>1</v>
      </c>
    </row>
    <row r="1906" spans="2:20" x14ac:dyDescent="0.35">
      <c r="B1906">
        <v>2014</v>
      </c>
      <c r="C1906" s="41">
        <v>42795</v>
      </c>
      <c r="D1906" t="s">
        <v>2189</v>
      </c>
      <c r="E1906" t="s">
        <v>219</v>
      </c>
      <c r="F1906" t="s">
        <v>463</v>
      </c>
      <c r="G1906" t="s">
        <v>1381</v>
      </c>
      <c r="H1906" t="s">
        <v>972</v>
      </c>
      <c r="I1906" t="s">
        <v>843</v>
      </c>
      <c r="J1906">
        <v>2</v>
      </c>
      <c r="L1906">
        <v>470.68</v>
      </c>
      <c r="M1906">
        <v>802.13</v>
      </c>
      <c r="N1906">
        <v>1080.1300000000001</v>
      </c>
      <c r="O1906">
        <v>1589.88</v>
      </c>
      <c r="P1906">
        <v>0</v>
      </c>
      <c r="Q1906">
        <v>1</v>
      </c>
      <c r="R1906">
        <v>0</v>
      </c>
      <c r="T1906" t="b">
        <v>1</v>
      </c>
    </row>
    <row r="1907" spans="2:20" x14ac:dyDescent="0.35">
      <c r="B1907">
        <v>2014</v>
      </c>
      <c r="C1907" s="41">
        <v>42795</v>
      </c>
      <c r="D1907" t="s">
        <v>2189</v>
      </c>
      <c r="E1907" t="s">
        <v>219</v>
      </c>
      <c r="F1907" t="s">
        <v>462</v>
      </c>
      <c r="G1907" t="s">
        <v>1381</v>
      </c>
      <c r="H1907" t="s">
        <v>972</v>
      </c>
      <c r="I1907" t="s">
        <v>843</v>
      </c>
      <c r="J1907">
        <v>2</v>
      </c>
      <c r="L1907">
        <v>381.17</v>
      </c>
      <c r="M1907">
        <v>649.59</v>
      </c>
      <c r="N1907">
        <v>874.73</v>
      </c>
      <c r="O1907">
        <v>1287.54</v>
      </c>
      <c r="P1907">
        <v>0</v>
      </c>
      <c r="Q1907">
        <v>1</v>
      </c>
      <c r="R1907">
        <v>0</v>
      </c>
      <c r="T1907" t="b">
        <v>1</v>
      </c>
    </row>
    <row r="1908" spans="2:20" x14ac:dyDescent="0.35">
      <c r="B1908">
        <v>2014</v>
      </c>
      <c r="C1908" s="41">
        <v>42795</v>
      </c>
      <c r="D1908" t="s">
        <v>2189</v>
      </c>
      <c r="E1908" t="s">
        <v>219</v>
      </c>
      <c r="F1908" t="s">
        <v>1301</v>
      </c>
      <c r="G1908" t="s">
        <v>1381</v>
      </c>
      <c r="H1908" t="s">
        <v>972</v>
      </c>
      <c r="I1908" t="s">
        <v>843</v>
      </c>
      <c r="J1908">
        <v>2</v>
      </c>
      <c r="L1908">
        <v>346.42</v>
      </c>
      <c r="M1908">
        <v>590.36</v>
      </c>
      <c r="N1908">
        <v>794.97</v>
      </c>
      <c r="O1908">
        <v>1170.1400000000001</v>
      </c>
      <c r="P1908">
        <v>0</v>
      </c>
      <c r="Q1908">
        <v>1</v>
      </c>
      <c r="R1908">
        <v>0</v>
      </c>
      <c r="T1908" t="b">
        <v>1</v>
      </c>
    </row>
    <row r="1909" spans="2:20" x14ac:dyDescent="0.35">
      <c r="B1909">
        <v>2014</v>
      </c>
      <c r="C1909" s="41">
        <v>42795</v>
      </c>
      <c r="D1909" t="s">
        <v>2189</v>
      </c>
      <c r="E1909" t="s">
        <v>219</v>
      </c>
      <c r="F1909" t="s">
        <v>458</v>
      </c>
      <c r="G1909" t="s">
        <v>1381</v>
      </c>
      <c r="H1909" t="s">
        <v>972</v>
      </c>
      <c r="I1909" t="s">
        <v>843</v>
      </c>
      <c r="J1909">
        <v>2</v>
      </c>
      <c r="L1909">
        <v>328.91</v>
      </c>
      <c r="M1909">
        <v>560.54</v>
      </c>
      <c r="N1909">
        <v>754.8</v>
      </c>
      <c r="O1909">
        <v>1111.02</v>
      </c>
      <c r="P1909">
        <v>0</v>
      </c>
      <c r="Q1909">
        <v>1</v>
      </c>
      <c r="R1909">
        <v>0</v>
      </c>
      <c r="T1909" t="b">
        <v>1</v>
      </c>
    </row>
    <row r="1910" spans="2:20" x14ac:dyDescent="0.35">
      <c r="B1910">
        <v>2014</v>
      </c>
      <c r="C1910" s="41">
        <v>42795</v>
      </c>
      <c r="D1910" t="s">
        <v>2189</v>
      </c>
      <c r="E1910" t="s">
        <v>219</v>
      </c>
      <c r="F1910" t="s">
        <v>464</v>
      </c>
      <c r="G1910" t="s">
        <v>1381</v>
      </c>
      <c r="H1910" t="s">
        <v>972</v>
      </c>
      <c r="I1910" t="s">
        <v>843</v>
      </c>
      <c r="J1910">
        <v>2</v>
      </c>
      <c r="L1910">
        <v>354.07</v>
      </c>
      <c r="M1910">
        <v>603.4</v>
      </c>
      <c r="N1910">
        <v>812.52</v>
      </c>
      <c r="O1910">
        <v>1195.98</v>
      </c>
      <c r="P1910">
        <v>0</v>
      </c>
      <c r="Q1910">
        <v>1</v>
      </c>
      <c r="R1910">
        <v>0</v>
      </c>
      <c r="T1910" t="b">
        <v>1</v>
      </c>
    </row>
    <row r="1911" spans="2:20" x14ac:dyDescent="0.35">
      <c r="B1911">
        <v>2014</v>
      </c>
      <c r="C1911" s="41">
        <v>42795</v>
      </c>
      <c r="D1911" t="s">
        <v>2189</v>
      </c>
      <c r="E1911" t="s">
        <v>219</v>
      </c>
      <c r="F1911" t="s">
        <v>1390</v>
      </c>
      <c r="G1911" t="s">
        <v>1381</v>
      </c>
      <c r="H1911" t="s">
        <v>972</v>
      </c>
      <c r="I1911" t="s">
        <v>843</v>
      </c>
      <c r="J1911">
        <v>2</v>
      </c>
      <c r="L1911">
        <v>432</v>
      </c>
      <c r="M1911">
        <v>736.21</v>
      </c>
      <c r="N1911">
        <v>991.36</v>
      </c>
      <c r="O1911">
        <v>1459.22</v>
      </c>
      <c r="P1911">
        <v>0</v>
      </c>
      <c r="Q1911">
        <v>1</v>
      </c>
      <c r="R1911">
        <v>0</v>
      </c>
      <c r="T1911" t="b">
        <v>1</v>
      </c>
    </row>
    <row r="1912" spans="2:20" x14ac:dyDescent="0.35">
      <c r="B1912">
        <v>2014</v>
      </c>
      <c r="C1912" s="41">
        <v>42795</v>
      </c>
      <c r="D1912" t="s">
        <v>2189</v>
      </c>
      <c r="E1912" t="s">
        <v>219</v>
      </c>
      <c r="F1912" t="s">
        <v>461</v>
      </c>
      <c r="G1912" t="s">
        <v>1381</v>
      </c>
      <c r="H1912" t="s">
        <v>972</v>
      </c>
      <c r="I1912" t="s">
        <v>843</v>
      </c>
      <c r="J1912">
        <v>2</v>
      </c>
      <c r="L1912">
        <v>412.21</v>
      </c>
      <c r="M1912">
        <v>702.49</v>
      </c>
      <c r="N1912">
        <v>945.95</v>
      </c>
      <c r="O1912">
        <v>1392.38</v>
      </c>
      <c r="P1912">
        <v>0</v>
      </c>
      <c r="Q1912">
        <v>1</v>
      </c>
      <c r="R1912">
        <v>0</v>
      </c>
      <c r="T1912" t="b">
        <v>1</v>
      </c>
    </row>
    <row r="1913" spans="2:20" x14ac:dyDescent="0.35">
      <c r="B1913">
        <v>2014</v>
      </c>
      <c r="C1913" s="41">
        <v>42795</v>
      </c>
      <c r="D1913" t="s">
        <v>2189</v>
      </c>
      <c r="E1913" t="s">
        <v>219</v>
      </c>
      <c r="F1913" t="s">
        <v>1311</v>
      </c>
      <c r="G1913" t="s">
        <v>1381</v>
      </c>
      <c r="H1913" t="s">
        <v>972</v>
      </c>
      <c r="I1913" t="s">
        <v>843</v>
      </c>
      <c r="J1913">
        <v>2</v>
      </c>
      <c r="L1913">
        <v>345.9</v>
      </c>
      <c r="M1913">
        <v>589.49</v>
      </c>
      <c r="N1913">
        <v>793.8</v>
      </c>
      <c r="O1913">
        <v>1168.42</v>
      </c>
      <c r="P1913">
        <v>0</v>
      </c>
      <c r="Q1913">
        <v>1</v>
      </c>
      <c r="R1913">
        <v>0</v>
      </c>
      <c r="T1913" t="b">
        <v>1</v>
      </c>
    </row>
    <row r="1914" spans="2:20" x14ac:dyDescent="0.35">
      <c r="B1914">
        <v>2014</v>
      </c>
      <c r="C1914" s="41">
        <v>42795</v>
      </c>
      <c r="D1914" t="s">
        <v>2189</v>
      </c>
      <c r="E1914" t="s">
        <v>219</v>
      </c>
      <c r="F1914" t="s">
        <v>1389</v>
      </c>
      <c r="G1914" t="s">
        <v>1381</v>
      </c>
      <c r="H1914" t="s">
        <v>972</v>
      </c>
      <c r="I1914" t="s">
        <v>843</v>
      </c>
      <c r="J1914">
        <v>2</v>
      </c>
      <c r="L1914">
        <v>357.85</v>
      </c>
      <c r="M1914">
        <v>609.85</v>
      </c>
      <c r="N1914">
        <v>821.22</v>
      </c>
      <c r="O1914">
        <v>1208.78</v>
      </c>
      <c r="P1914">
        <v>0</v>
      </c>
      <c r="Q1914">
        <v>1</v>
      </c>
      <c r="R1914">
        <v>0</v>
      </c>
      <c r="T1914" t="b">
        <v>1</v>
      </c>
    </row>
    <row r="1915" spans="2:20" x14ac:dyDescent="0.35">
      <c r="B1915">
        <v>2014</v>
      </c>
      <c r="C1915" s="41">
        <v>42795</v>
      </c>
      <c r="D1915" t="s">
        <v>2189</v>
      </c>
      <c r="E1915" t="s">
        <v>219</v>
      </c>
      <c r="F1915" t="s">
        <v>1310</v>
      </c>
      <c r="G1915" t="s">
        <v>1381</v>
      </c>
      <c r="H1915" t="s">
        <v>972</v>
      </c>
      <c r="I1915" t="s">
        <v>843</v>
      </c>
      <c r="J1915">
        <v>2</v>
      </c>
      <c r="L1915">
        <v>513.52</v>
      </c>
      <c r="M1915">
        <v>875.14</v>
      </c>
      <c r="N1915">
        <v>1178.44999999999</v>
      </c>
      <c r="O1915">
        <v>1734.6</v>
      </c>
      <c r="P1915">
        <v>0</v>
      </c>
      <c r="Q1915">
        <v>1</v>
      </c>
      <c r="R1915">
        <v>0</v>
      </c>
      <c r="T1915" t="b">
        <v>1</v>
      </c>
    </row>
    <row r="1916" spans="2:20" x14ac:dyDescent="0.35">
      <c r="B1916">
        <v>2014</v>
      </c>
      <c r="C1916" s="41">
        <v>42795</v>
      </c>
      <c r="D1916" t="s">
        <v>2189</v>
      </c>
      <c r="E1916" t="s">
        <v>219</v>
      </c>
      <c r="F1916" t="s">
        <v>459</v>
      </c>
      <c r="G1916" t="s">
        <v>1381</v>
      </c>
      <c r="H1916" t="s">
        <v>972</v>
      </c>
      <c r="I1916" t="s">
        <v>843</v>
      </c>
      <c r="J1916">
        <v>2</v>
      </c>
      <c r="L1916">
        <v>423.69</v>
      </c>
      <c r="M1916">
        <v>722.04</v>
      </c>
      <c r="N1916">
        <v>972.3</v>
      </c>
      <c r="O1916">
        <v>1431.16</v>
      </c>
      <c r="P1916">
        <v>0</v>
      </c>
      <c r="Q1916">
        <v>1</v>
      </c>
      <c r="R1916">
        <v>0</v>
      </c>
      <c r="T1916" t="b">
        <v>1</v>
      </c>
    </row>
    <row r="1917" spans="2:20" x14ac:dyDescent="0.35">
      <c r="B1917">
        <v>2014</v>
      </c>
      <c r="C1917" s="41">
        <v>42795</v>
      </c>
      <c r="D1917" t="s">
        <v>2189</v>
      </c>
      <c r="E1917" t="s">
        <v>219</v>
      </c>
      <c r="F1917" t="s">
        <v>1298</v>
      </c>
      <c r="G1917" t="s">
        <v>1381</v>
      </c>
      <c r="H1917" t="s">
        <v>972</v>
      </c>
      <c r="I1917" t="s">
        <v>843</v>
      </c>
      <c r="J1917">
        <v>2</v>
      </c>
      <c r="L1917">
        <v>396.79</v>
      </c>
      <c r="M1917">
        <v>676.22</v>
      </c>
      <c r="N1917">
        <v>910.56999999999903</v>
      </c>
      <c r="O1917">
        <v>1340.3</v>
      </c>
      <c r="P1917">
        <v>0</v>
      </c>
      <c r="Q1917">
        <v>1</v>
      </c>
      <c r="R1917">
        <v>0</v>
      </c>
      <c r="T1917" t="b">
        <v>1</v>
      </c>
    </row>
    <row r="1918" spans="2:20" x14ac:dyDescent="0.35">
      <c r="B1918">
        <v>2014</v>
      </c>
      <c r="C1918" s="41">
        <v>42795</v>
      </c>
      <c r="D1918" t="s">
        <v>2189</v>
      </c>
      <c r="E1918" t="s">
        <v>219</v>
      </c>
      <c r="F1918" t="s">
        <v>1302</v>
      </c>
      <c r="G1918" t="s">
        <v>1381</v>
      </c>
      <c r="H1918" t="s">
        <v>972</v>
      </c>
      <c r="I1918" t="s">
        <v>843</v>
      </c>
      <c r="J1918">
        <v>2</v>
      </c>
      <c r="L1918">
        <v>367.27</v>
      </c>
      <c r="M1918">
        <v>625.9</v>
      </c>
      <c r="N1918">
        <v>842.83999999999901</v>
      </c>
      <c r="O1918">
        <v>1240.5999999999999</v>
      </c>
      <c r="P1918">
        <v>0</v>
      </c>
      <c r="Q1918">
        <v>1</v>
      </c>
      <c r="R1918">
        <v>0</v>
      </c>
      <c r="T1918" t="b">
        <v>1</v>
      </c>
    </row>
    <row r="1919" spans="2:20" x14ac:dyDescent="0.35">
      <c r="B1919">
        <v>2014</v>
      </c>
      <c r="C1919" s="41">
        <v>42795</v>
      </c>
      <c r="D1919" t="s">
        <v>2189</v>
      </c>
      <c r="E1919" t="s">
        <v>219</v>
      </c>
      <c r="F1919" t="s">
        <v>460</v>
      </c>
      <c r="G1919" t="s">
        <v>1381</v>
      </c>
      <c r="H1919" t="s">
        <v>972</v>
      </c>
      <c r="I1919" t="s">
        <v>843</v>
      </c>
      <c r="J1919">
        <v>2</v>
      </c>
      <c r="L1919">
        <v>350.98</v>
      </c>
      <c r="M1919">
        <v>598.13</v>
      </c>
      <c r="N1919">
        <v>805.43</v>
      </c>
      <c r="O1919">
        <v>1185.54</v>
      </c>
      <c r="P1919">
        <v>0</v>
      </c>
      <c r="Q1919">
        <v>1</v>
      </c>
      <c r="R1919">
        <v>0</v>
      </c>
      <c r="T1919" t="b">
        <v>1</v>
      </c>
    </row>
    <row r="1920" spans="2:20" x14ac:dyDescent="0.35">
      <c r="B1920">
        <v>2014</v>
      </c>
      <c r="C1920" s="41">
        <v>42795</v>
      </c>
      <c r="D1920" t="s">
        <v>2189</v>
      </c>
      <c r="E1920" t="s">
        <v>219</v>
      </c>
      <c r="F1920" t="s">
        <v>1307</v>
      </c>
      <c r="G1920" t="s">
        <v>1381</v>
      </c>
      <c r="H1920" t="s">
        <v>972</v>
      </c>
      <c r="I1920" t="s">
        <v>843</v>
      </c>
      <c r="J1920">
        <v>2</v>
      </c>
      <c r="L1920">
        <v>453.43</v>
      </c>
      <c r="M1920">
        <v>772.73</v>
      </c>
      <c r="N1920">
        <v>1040.55</v>
      </c>
      <c r="O1920">
        <v>1531.62</v>
      </c>
      <c r="P1920">
        <v>0</v>
      </c>
      <c r="Q1920">
        <v>1</v>
      </c>
      <c r="R1920">
        <v>0</v>
      </c>
      <c r="T1920" t="b">
        <v>1</v>
      </c>
    </row>
    <row r="1921" spans="2:20" x14ac:dyDescent="0.35">
      <c r="B1921">
        <v>2014</v>
      </c>
      <c r="C1921" s="41">
        <v>42795</v>
      </c>
      <c r="D1921" t="s">
        <v>2189</v>
      </c>
      <c r="E1921" t="s">
        <v>219</v>
      </c>
      <c r="F1921" t="s">
        <v>1309</v>
      </c>
      <c r="G1921" t="s">
        <v>1381</v>
      </c>
      <c r="H1921" t="s">
        <v>972</v>
      </c>
      <c r="I1921" t="s">
        <v>843</v>
      </c>
      <c r="J1921">
        <v>2</v>
      </c>
      <c r="L1921">
        <v>357.7</v>
      </c>
      <c r="M1921">
        <v>609.6</v>
      </c>
      <c r="N1921">
        <v>820.88</v>
      </c>
      <c r="O1921">
        <v>1208.28</v>
      </c>
      <c r="P1921">
        <v>0</v>
      </c>
      <c r="Q1921">
        <v>1</v>
      </c>
      <c r="R1921">
        <v>0</v>
      </c>
      <c r="T1921" t="b">
        <v>1</v>
      </c>
    </row>
    <row r="1922" spans="2:20" x14ac:dyDescent="0.35">
      <c r="B1922">
        <v>2014</v>
      </c>
      <c r="C1922" s="41">
        <v>42795</v>
      </c>
      <c r="D1922" t="s">
        <v>2190</v>
      </c>
      <c r="E1922" t="s">
        <v>219</v>
      </c>
      <c r="F1922" t="s">
        <v>1301</v>
      </c>
      <c r="G1922" t="s">
        <v>1381</v>
      </c>
      <c r="H1922" t="s">
        <v>274</v>
      </c>
      <c r="I1922" t="s">
        <v>310</v>
      </c>
      <c r="J1922">
        <v>2</v>
      </c>
      <c r="L1922">
        <v>266.20999999999998</v>
      </c>
      <c r="M1922">
        <v>453.68</v>
      </c>
      <c r="N1922">
        <v>610.91</v>
      </c>
      <c r="O1922">
        <v>899.22</v>
      </c>
      <c r="P1922">
        <v>1</v>
      </c>
      <c r="Q1922">
        <v>1</v>
      </c>
      <c r="R1922">
        <v>0</v>
      </c>
      <c r="T1922" t="b">
        <v>1</v>
      </c>
    </row>
    <row r="1923" spans="2:20" x14ac:dyDescent="0.35">
      <c r="B1923">
        <v>2014</v>
      </c>
      <c r="C1923" s="41">
        <v>42795</v>
      </c>
      <c r="D1923" t="s">
        <v>2190</v>
      </c>
      <c r="E1923" t="s">
        <v>219</v>
      </c>
      <c r="F1923" t="s">
        <v>1307</v>
      </c>
      <c r="G1923" t="s">
        <v>1381</v>
      </c>
      <c r="H1923" t="s">
        <v>274</v>
      </c>
      <c r="I1923" t="s">
        <v>310</v>
      </c>
      <c r="J1923">
        <v>2</v>
      </c>
      <c r="L1923">
        <v>348.45</v>
      </c>
      <c r="M1923">
        <v>593.83000000000004</v>
      </c>
      <c r="N1923">
        <v>799.64</v>
      </c>
      <c r="O1923">
        <v>1177.02</v>
      </c>
      <c r="P1923">
        <v>1</v>
      </c>
      <c r="Q1923">
        <v>1</v>
      </c>
      <c r="R1923">
        <v>0</v>
      </c>
      <c r="T1923" t="b">
        <v>1</v>
      </c>
    </row>
    <row r="1924" spans="2:20" x14ac:dyDescent="0.35">
      <c r="B1924">
        <v>2014</v>
      </c>
      <c r="C1924" s="41">
        <v>42795</v>
      </c>
      <c r="D1924" t="s">
        <v>2190</v>
      </c>
      <c r="E1924" t="s">
        <v>219</v>
      </c>
      <c r="F1924" t="s">
        <v>464</v>
      </c>
      <c r="G1924" t="s">
        <v>1381</v>
      </c>
      <c r="H1924" t="s">
        <v>274</v>
      </c>
      <c r="I1924" t="s">
        <v>310</v>
      </c>
      <c r="J1924">
        <v>2</v>
      </c>
      <c r="L1924">
        <v>272.08999999999997</v>
      </c>
      <c r="M1924">
        <v>463.7</v>
      </c>
      <c r="N1924">
        <v>624.41999999999996</v>
      </c>
      <c r="O1924">
        <v>919.1</v>
      </c>
      <c r="P1924">
        <v>1</v>
      </c>
      <c r="Q1924">
        <v>1</v>
      </c>
      <c r="R1924">
        <v>0</v>
      </c>
      <c r="T1924" t="b">
        <v>1</v>
      </c>
    </row>
    <row r="1925" spans="2:20" x14ac:dyDescent="0.35">
      <c r="B1925">
        <v>2014</v>
      </c>
      <c r="C1925" s="41">
        <v>42795</v>
      </c>
      <c r="D1925" t="s">
        <v>2190</v>
      </c>
      <c r="E1925" t="s">
        <v>219</v>
      </c>
      <c r="F1925" t="s">
        <v>1302</v>
      </c>
      <c r="G1925" t="s">
        <v>1381</v>
      </c>
      <c r="H1925" t="s">
        <v>274</v>
      </c>
      <c r="I1925" t="s">
        <v>310</v>
      </c>
      <c r="J1925">
        <v>2</v>
      </c>
      <c r="L1925">
        <v>282.24</v>
      </c>
      <c r="M1925">
        <v>480.99</v>
      </c>
      <c r="N1925">
        <v>647.69000000000005</v>
      </c>
      <c r="O1925">
        <v>953.36</v>
      </c>
      <c r="P1925">
        <v>1</v>
      </c>
      <c r="Q1925">
        <v>1</v>
      </c>
      <c r="R1925">
        <v>0</v>
      </c>
      <c r="T1925" t="b">
        <v>1</v>
      </c>
    </row>
    <row r="1926" spans="2:20" x14ac:dyDescent="0.35">
      <c r="B1926">
        <v>2014</v>
      </c>
      <c r="C1926" s="41">
        <v>42795</v>
      </c>
      <c r="D1926" t="s">
        <v>2190</v>
      </c>
      <c r="E1926" t="s">
        <v>219</v>
      </c>
      <c r="F1926" t="s">
        <v>463</v>
      </c>
      <c r="G1926" t="s">
        <v>1381</v>
      </c>
      <c r="H1926" t="s">
        <v>274</v>
      </c>
      <c r="I1926" t="s">
        <v>310</v>
      </c>
      <c r="J1926">
        <v>2</v>
      </c>
      <c r="L1926">
        <v>361.71</v>
      </c>
      <c r="M1926">
        <v>616.41999999999996</v>
      </c>
      <c r="N1926">
        <v>830.05</v>
      </c>
      <c r="O1926">
        <v>1221.78</v>
      </c>
      <c r="P1926">
        <v>1</v>
      </c>
      <c r="Q1926">
        <v>1</v>
      </c>
      <c r="R1926">
        <v>0</v>
      </c>
      <c r="T1926" t="b">
        <v>1</v>
      </c>
    </row>
    <row r="1927" spans="2:20" x14ac:dyDescent="0.35">
      <c r="B1927">
        <v>2014</v>
      </c>
      <c r="C1927" s="41">
        <v>42795</v>
      </c>
      <c r="D1927" t="s">
        <v>2190</v>
      </c>
      <c r="E1927" t="s">
        <v>219</v>
      </c>
      <c r="F1927" t="s">
        <v>1390</v>
      </c>
      <c r="G1927" t="s">
        <v>1381</v>
      </c>
      <c r="H1927" t="s">
        <v>274</v>
      </c>
      <c r="I1927" t="s">
        <v>310</v>
      </c>
      <c r="J1927">
        <v>2</v>
      </c>
      <c r="L1927">
        <v>331.97</v>
      </c>
      <c r="M1927">
        <v>565.75</v>
      </c>
      <c r="N1927">
        <v>761.82999999999902</v>
      </c>
      <c r="O1927">
        <v>1121.3599999999999</v>
      </c>
      <c r="P1927">
        <v>1</v>
      </c>
      <c r="Q1927">
        <v>1</v>
      </c>
      <c r="R1927">
        <v>0</v>
      </c>
      <c r="T1927" t="b">
        <v>1</v>
      </c>
    </row>
    <row r="1928" spans="2:20" x14ac:dyDescent="0.35">
      <c r="B1928">
        <v>2014</v>
      </c>
      <c r="C1928" s="41">
        <v>42795</v>
      </c>
      <c r="D1928" t="s">
        <v>2190</v>
      </c>
      <c r="E1928" t="s">
        <v>219</v>
      </c>
      <c r="F1928" t="s">
        <v>458</v>
      </c>
      <c r="G1928" t="s">
        <v>1381</v>
      </c>
      <c r="H1928" t="s">
        <v>274</v>
      </c>
      <c r="I1928" t="s">
        <v>310</v>
      </c>
      <c r="J1928">
        <v>2</v>
      </c>
      <c r="L1928">
        <v>252.76</v>
      </c>
      <c r="M1928">
        <v>430.75</v>
      </c>
      <c r="N1928">
        <v>580.04</v>
      </c>
      <c r="O1928">
        <v>853.78</v>
      </c>
      <c r="P1928">
        <v>1</v>
      </c>
      <c r="Q1928">
        <v>1</v>
      </c>
      <c r="R1928">
        <v>0</v>
      </c>
      <c r="T1928" t="b">
        <v>1</v>
      </c>
    </row>
    <row r="1929" spans="2:20" x14ac:dyDescent="0.35">
      <c r="B1929">
        <v>2014</v>
      </c>
      <c r="C1929" s="41">
        <v>42795</v>
      </c>
      <c r="D1929" t="s">
        <v>2190</v>
      </c>
      <c r="E1929" t="s">
        <v>219</v>
      </c>
      <c r="F1929" t="s">
        <v>1310</v>
      </c>
      <c r="G1929" t="s">
        <v>1381</v>
      </c>
      <c r="H1929" t="s">
        <v>274</v>
      </c>
      <c r="I1929" t="s">
        <v>310</v>
      </c>
      <c r="J1929">
        <v>2</v>
      </c>
      <c r="L1929">
        <v>394.62</v>
      </c>
      <c r="M1929">
        <v>672.52</v>
      </c>
      <c r="N1929">
        <v>905.6</v>
      </c>
      <c r="O1929">
        <v>1332.98</v>
      </c>
      <c r="P1929">
        <v>1</v>
      </c>
      <c r="Q1929">
        <v>1</v>
      </c>
      <c r="R1929">
        <v>0</v>
      </c>
      <c r="T1929" t="b">
        <v>1</v>
      </c>
    </row>
    <row r="1930" spans="2:20" x14ac:dyDescent="0.35">
      <c r="B1930">
        <v>2014</v>
      </c>
      <c r="C1930" s="41">
        <v>42795</v>
      </c>
      <c r="D1930" t="s">
        <v>2190</v>
      </c>
      <c r="E1930" t="s">
        <v>219</v>
      </c>
      <c r="F1930" t="s">
        <v>459</v>
      </c>
      <c r="G1930" t="s">
        <v>1381</v>
      </c>
      <c r="H1930" t="s">
        <v>274</v>
      </c>
      <c r="I1930" t="s">
        <v>310</v>
      </c>
      <c r="J1930">
        <v>2</v>
      </c>
      <c r="L1930">
        <v>325.58</v>
      </c>
      <c r="M1930">
        <v>554.86</v>
      </c>
      <c r="N1930">
        <v>747.17</v>
      </c>
      <c r="O1930">
        <v>1099.78</v>
      </c>
      <c r="P1930">
        <v>1</v>
      </c>
      <c r="Q1930">
        <v>1</v>
      </c>
      <c r="R1930">
        <v>0</v>
      </c>
      <c r="T1930" t="b">
        <v>1</v>
      </c>
    </row>
    <row r="1931" spans="2:20" x14ac:dyDescent="0.35">
      <c r="B1931">
        <v>2014</v>
      </c>
      <c r="C1931" s="41">
        <v>42795</v>
      </c>
      <c r="D1931" t="s">
        <v>2190</v>
      </c>
      <c r="E1931" t="s">
        <v>219</v>
      </c>
      <c r="F1931" t="s">
        <v>461</v>
      </c>
      <c r="G1931" t="s">
        <v>1381</v>
      </c>
      <c r="H1931" t="s">
        <v>274</v>
      </c>
      <c r="I1931" t="s">
        <v>310</v>
      </c>
      <c r="J1931">
        <v>2</v>
      </c>
      <c r="L1931">
        <v>316.77</v>
      </c>
      <c r="M1931">
        <v>539.84</v>
      </c>
      <c r="N1931">
        <v>726.95</v>
      </c>
      <c r="O1931">
        <v>1070.02</v>
      </c>
      <c r="P1931">
        <v>1</v>
      </c>
      <c r="Q1931">
        <v>1</v>
      </c>
      <c r="R1931">
        <v>0</v>
      </c>
      <c r="T1931" t="b">
        <v>1</v>
      </c>
    </row>
    <row r="1932" spans="2:20" x14ac:dyDescent="0.35">
      <c r="B1932">
        <v>2014</v>
      </c>
      <c r="C1932" s="41">
        <v>42795</v>
      </c>
      <c r="D1932" t="s">
        <v>2190</v>
      </c>
      <c r="E1932" t="s">
        <v>219</v>
      </c>
      <c r="F1932" t="s">
        <v>462</v>
      </c>
      <c r="G1932" t="s">
        <v>1381</v>
      </c>
      <c r="H1932" t="s">
        <v>274</v>
      </c>
      <c r="I1932" t="s">
        <v>310</v>
      </c>
      <c r="J1932">
        <v>2</v>
      </c>
      <c r="L1932">
        <v>292.92</v>
      </c>
      <c r="M1932">
        <v>499.19</v>
      </c>
      <c r="N1932">
        <v>672.19</v>
      </c>
      <c r="O1932">
        <v>989.42</v>
      </c>
      <c r="P1932">
        <v>1</v>
      </c>
      <c r="Q1932">
        <v>1</v>
      </c>
      <c r="R1932">
        <v>0</v>
      </c>
      <c r="T1932" t="b">
        <v>1</v>
      </c>
    </row>
    <row r="1933" spans="2:20" x14ac:dyDescent="0.35">
      <c r="B1933">
        <v>2014</v>
      </c>
      <c r="C1933" s="41">
        <v>42795</v>
      </c>
      <c r="D1933" t="s">
        <v>2190</v>
      </c>
      <c r="E1933" t="s">
        <v>219</v>
      </c>
      <c r="F1933" t="s">
        <v>460</v>
      </c>
      <c r="G1933" t="s">
        <v>1381</v>
      </c>
      <c r="H1933" t="s">
        <v>274</v>
      </c>
      <c r="I1933" t="s">
        <v>310</v>
      </c>
      <c r="J1933">
        <v>2</v>
      </c>
      <c r="L1933">
        <v>269.70999999999998</v>
      </c>
      <c r="M1933">
        <v>459.64</v>
      </c>
      <c r="N1933">
        <v>618.94000000000005</v>
      </c>
      <c r="O1933">
        <v>911.04</v>
      </c>
      <c r="P1933">
        <v>1</v>
      </c>
      <c r="Q1933">
        <v>1</v>
      </c>
      <c r="R1933">
        <v>0</v>
      </c>
      <c r="T1933" t="b">
        <v>1</v>
      </c>
    </row>
    <row r="1934" spans="2:20" x14ac:dyDescent="0.35">
      <c r="B1934">
        <v>2014</v>
      </c>
      <c r="C1934" s="41">
        <v>42795</v>
      </c>
      <c r="D1934" t="s">
        <v>2190</v>
      </c>
      <c r="E1934" t="s">
        <v>219</v>
      </c>
      <c r="F1934" t="s">
        <v>1311</v>
      </c>
      <c r="G1934" t="s">
        <v>1381</v>
      </c>
      <c r="H1934" t="s">
        <v>274</v>
      </c>
      <c r="I1934" t="s">
        <v>310</v>
      </c>
      <c r="J1934">
        <v>2</v>
      </c>
      <c r="L1934">
        <v>265.81</v>
      </c>
      <c r="M1934">
        <v>453</v>
      </c>
      <c r="N1934">
        <v>610</v>
      </c>
      <c r="O1934">
        <v>897.88</v>
      </c>
      <c r="P1934">
        <v>1</v>
      </c>
      <c r="Q1934">
        <v>1</v>
      </c>
      <c r="R1934">
        <v>0</v>
      </c>
      <c r="T1934" t="b">
        <v>1</v>
      </c>
    </row>
    <row r="1935" spans="2:20" x14ac:dyDescent="0.35">
      <c r="B1935">
        <v>2014</v>
      </c>
      <c r="C1935" s="41">
        <v>42795</v>
      </c>
      <c r="D1935" t="s">
        <v>2190</v>
      </c>
      <c r="E1935" t="s">
        <v>219</v>
      </c>
      <c r="F1935" t="s">
        <v>1309</v>
      </c>
      <c r="G1935" t="s">
        <v>1381</v>
      </c>
      <c r="H1935" t="s">
        <v>274</v>
      </c>
      <c r="I1935" t="s">
        <v>310</v>
      </c>
      <c r="J1935">
        <v>2</v>
      </c>
      <c r="L1935">
        <v>274.89</v>
      </c>
      <c r="M1935">
        <v>468.47</v>
      </c>
      <c r="N1935">
        <v>630.82999999999902</v>
      </c>
      <c r="O1935">
        <v>928.54</v>
      </c>
      <c r="P1935">
        <v>1</v>
      </c>
      <c r="Q1935">
        <v>1</v>
      </c>
      <c r="R1935">
        <v>0</v>
      </c>
      <c r="T1935" t="b">
        <v>1</v>
      </c>
    </row>
    <row r="1936" spans="2:20" x14ac:dyDescent="0.35">
      <c r="B1936">
        <v>2014</v>
      </c>
      <c r="C1936" s="41">
        <v>42795</v>
      </c>
      <c r="D1936" t="s">
        <v>2190</v>
      </c>
      <c r="E1936" t="s">
        <v>219</v>
      </c>
      <c r="F1936" t="s">
        <v>1298</v>
      </c>
      <c r="G1936" t="s">
        <v>1381</v>
      </c>
      <c r="H1936" t="s">
        <v>274</v>
      </c>
      <c r="I1936" t="s">
        <v>310</v>
      </c>
      <c r="J1936">
        <v>2</v>
      </c>
      <c r="L1936">
        <v>304.93</v>
      </c>
      <c r="M1936">
        <v>519.65</v>
      </c>
      <c r="N1936">
        <v>699.76</v>
      </c>
      <c r="O1936">
        <v>1030</v>
      </c>
      <c r="P1936">
        <v>1</v>
      </c>
      <c r="Q1936">
        <v>1</v>
      </c>
      <c r="R1936">
        <v>0</v>
      </c>
      <c r="T1936" t="b">
        <v>1</v>
      </c>
    </row>
    <row r="1937" spans="2:20" x14ac:dyDescent="0.35">
      <c r="B1937">
        <v>2014</v>
      </c>
      <c r="C1937" s="41">
        <v>42795</v>
      </c>
      <c r="D1937" t="s">
        <v>2190</v>
      </c>
      <c r="E1937" t="s">
        <v>219</v>
      </c>
      <c r="F1937" t="s">
        <v>1389</v>
      </c>
      <c r="G1937" t="s">
        <v>1381</v>
      </c>
      <c r="H1937" t="s">
        <v>274</v>
      </c>
      <c r="I1937" t="s">
        <v>310</v>
      </c>
      <c r="J1937">
        <v>2</v>
      </c>
      <c r="L1937">
        <v>275</v>
      </c>
      <c r="M1937">
        <v>468.65</v>
      </c>
      <c r="N1937">
        <v>631.05999999999995</v>
      </c>
      <c r="O1937">
        <v>928.88</v>
      </c>
      <c r="P1937">
        <v>1</v>
      </c>
      <c r="Q1937">
        <v>1</v>
      </c>
      <c r="R1937">
        <v>0</v>
      </c>
      <c r="T1937" t="b">
        <v>1</v>
      </c>
    </row>
    <row r="1938" spans="2:20" x14ac:dyDescent="0.35">
      <c r="B1938">
        <v>2014</v>
      </c>
      <c r="C1938" s="41">
        <v>42795</v>
      </c>
      <c r="D1938" t="s">
        <v>275</v>
      </c>
      <c r="E1938" t="s">
        <v>219</v>
      </c>
      <c r="F1938" t="s">
        <v>460</v>
      </c>
      <c r="G1938" t="s">
        <v>1381</v>
      </c>
      <c r="H1938" t="s">
        <v>276</v>
      </c>
      <c r="I1938" t="s">
        <v>310</v>
      </c>
      <c r="J1938">
        <v>2</v>
      </c>
      <c r="L1938">
        <v>277.23</v>
      </c>
      <c r="M1938">
        <v>472.45</v>
      </c>
      <c r="N1938">
        <v>636.20000000000005</v>
      </c>
      <c r="O1938">
        <v>936.44</v>
      </c>
      <c r="P1938">
        <v>0</v>
      </c>
      <c r="Q1938">
        <v>1</v>
      </c>
      <c r="R1938">
        <v>0</v>
      </c>
      <c r="T1938" t="b">
        <v>1</v>
      </c>
    </row>
    <row r="1939" spans="2:20" x14ac:dyDescent="0.35">
      <c r="B1939">
        <v>2014</v>
      </c>
      <c r="C1939" s="41">
        <v>42795</v>
      </c>
      <c r="D1939" t="s">
        <v>275</v>
      </c>
      <c r="E1939" t="s">
        <v>219</v>
      </c>
      <c r="F1939" t="s">
        <v>1309</v>
      </c>
      <c r="G1939" t="s">
        <v>1381</v>
      </c>
      <c r="H1939" t="s">
        <v>276</v>
      </c>
      <c r="I1939" t="s">
        <v>310</v>
      </c>
      <c r="J1939">
        <v>2</v>
      </c>
      <c r="L1939">
        <v>282.54000000000002</v>
      </c>
      <c r="M1939">
        <v>481.51</v>
      </c>
      <c r="N1939">
        <v>648.4</v>
      </c>
      <c r="O1939">
        <v>954.4</v>
      </c>
      <c r="P1939">
        <v>0</v>
      </c>
      <c r="Q1939">
        <v>1</v>
      </c>
      <c r="R1939">
        <v>0</v>
      </c>
      <c r="T1939" t="b">
        <v>1</v>
      </c>
    </row>
    <row r="1940" spans="2:20" x14ac:dyDescent="0.35">
      <c r="B1940">
        <v>2014</v>
      </c>
      <c r="C1940" s="41">
        <v>42795</v>
      </c>
      <c r="D1940" t="s">
        <v>275</v>
      </c>
      <c r="E1940" t="s">
        <v>219</v>
      </c>
      <c r="F1940" t="s">
        <v>1310</v>
      </c>
      <c r="G1940" t="s">
        <v>1381</v>
      </c>
      <c r="H1940" t="s">
        <v>276</v>
      </c>
      <c r="I1940" t="s">
        <v>310</v>
      </c>
      <c r="J1940">
        <v>2</v>
      </c>
      <c r="L1940">
        <v>405.62</v>
      </c>
      <c r="M1940">
        <v>691.25</v>
      </c>
      <c r="N1940">
        <v>930.83</v>
      </c>
      <c r="O1940">
        <v>1370.12</v>
      </c>
      <c r="P1940">
        <v>0</v>
      </c>
      <c r="Q1940">
        <v>1</v>
      </c>
      <c r="R1940">
        <v>0</v>
      </c>
      <c r="T1940" t="b">
        <v>1</v>
      </c>
    </row>
    <row r="1941" spans="2:20" x14ac:dyDescent="0.35">
      <c r="B1941">
        <v>2014</v>
      </c>
      <c r="C1941" s="41">
        <v>42795</v>
      </c>
      <c r="D1941" t="s">
        <v>275</v>
      </c>
      <c r="E1941" t="s">
        <v>219</v>
      </c>
      <c r="F1941" t="s">
        <v>463</v>
      </c>
      <c r="G1941" t="s">
        <v>1381</v>
      </c>
      <c r="H1941" t="s">
        <v>276</v>
      </c>
      <c r="I1941" t="s">
        <v>310</v>
      </c>
      <c r="J1941">
        <v>2</v>
      </c>
      <c r="L1941">
        <v>371.78</v>
      </c>
      <c r="M1941">
        <v>633.58000000000004</v>
      </c>
      <c r="N1941">
        <v>853.18</v>
      </c>
      <c r="O1941">
        <v>1255.82</v>
      </c>
      <c r="P1941">
        <v>0</v>
      </c>
      <c r="Q1941">
        <v>1</v>
      </c>
      <c r="R1941">
        <v>0</v>
      </c>
      <c r="T1941" t="b">
        <v>1</v>
      </c>
    </row>
    <row r="1942" spans="2:20" x14ac:dyDescent="0.35">
      <c r="B1942">
        <v>2014</v>
      </c>
      <c r="C1942" s="41">
        <v>42795</v>
      </c>
      <c r="D1942" t="s">
        <v>275</v>
      </c>
      <c r="E1942" t="s">
        <v>219</v>
      </c>
      <c r="F1942" t="s">
        <v>1307</v>
      </c>
      <c r="G1942" t="s">
        <v>1381</v>
      </c>
      <c r="H1942" t="s">
        <v>276</v>
      </c>
      <c r="I1942" t="s">
        <v>310</v>
      </c>
      <c r="J1942">
        <v>2</v>
      </c>
      <c r="L1942">
        <v>358.15</v>
      </c>
      <c r="M1942">
        <v>610.37</v>
      </c>
      <c r="N1942">
        <v>821.91</v>
      </c>
      <c r="O1942">
        <v>1209.8</v>
      </c>
      <c r="P1942">
        <v>0</v>
      </c>
      <c r="Q1942">
        <v>1</v>
      </c>
      <c r="R1942">
        <v>0</v>
      </c>
      <c r="T1942" t="b">
        <v>1</v>
      </c>
    </row>
    <row r="1943" spans="2:20" x14ac:dyDescent="0.35">
      <c r="B1943">
        <v>2014</v>
      </c>
      <c r="C1943" s="41">
        <v>42795</v>
      </c>
      <c r="D1943" t="s">
        <v>275</v>
      </c>
      <c r="E1943" t="s">
        <v>219</v>
      </c>
      <c r="F1943" t="s">
        <v>462</v>
      </c>
      <c r="G1943" t="s">
        <v>1381</v>
      </c>
      <c r="H1943" t="s">
        <v>276</v>
      </c>
      <c r="I1943" t="s">
        <v>310</v>
      </c>
      <c r="J1943">
        <v>2</v>
      </c>
      <c r="L1943">
        <v>301.08</v>
      </c>
      <c r="M1943">
        <v>513.1</v>
      </c>
      <c r="N1943">
        <v>690.93</v>
      </c>
      <c r="O1943">
        <v>1017</v>
      </c>
      <c r="P1943">
        <v>0</v>
      </c>
      <c r="Q1943">
        <v>1</v>
      </c>
      <c r="R1943">
        <v>0</v>
      </c>
      <c r="T1943" t="b">
        <v>1</v>
      </c>
    </row>
    <row r="1944" spans="2:20" x14ac:dyDescent="0.35">
      <c r="B1944">
        <v>2014</v>
      </c>
      <c r="C1944" s="41">
        <v>42795</v>
      </c>
      <c r="D1944" t="s">
        <v>275</v>
      </c>
      <c r="E1944" t="s">
        <v>219</v>
      </c>
      <c r="F1944" t="s">
        <v>1390</v>
      </c>
      <c r="G1944" t="s">
        <v>1381</v>
      </c>
      <c r="H1944" t="s">
        <v>276</v>
      </c>
      <c r="I1944" t="s">
        <v>310</v>
      </c>
      <c r="J1944">
        <v>2</v>
      </c>
      <c r="L1944">
        <v>341.22</v>
      </c>
      <c r="M1944">
        <v>581.5</v>
      </c>
      <c r="N1944">
        <v>783.04</v>
      </c>
      <c r="O1944">
        <v>1152.58</v>
      </c>
      <c r="P1944">
        <v>0</v>
      </c>
      <c r="Q1944">
        <v>1</v>
      </c>
      <c r="R1944">
        <v>0</v>
      </c>
      <c r="T1944" t="b">
        <v>1</v>
      </c>
    </row>
    <row r="1945" spans="2:20" x14ac:dyDescent="0.35">
      <c r="B1945">
        <v>2014</v>
      </c>
      <c r="C1945" s="41">
        <v>42795</v>
      </c>
      <c r="D1945" t="s">
        <v>275</v>
      </c>
      <c r="E1945" t="s">
        <v>219</v>
      </c>
      <c r="F1945" t="s">
        <v>1302</v>
      </c>
      <c r="G1945" t="s">
        <v>1381</v>
      </c>
      <c r="H1945" t="s">
        <v>276</v>
      </c>
      <c r="I1945" t="s">
        <v>310</v>
      </c>
      <c r="J1945">
        <v>2</v>
      </c>
      <c r="L1945">
        <v>290.10000000000002</v>
      </c>
      <c r="M1945">
        <v>494.38</v>
      </c>
      <c r="N1945">
        <v>665.72</v>
      </c>
      <c r="O1945">
        <v>979.9</v>
      </c>
      <c r="P1945">
        <v>0</v>
      </c>
      <c r="Q1945">
        <v>1</v>
      </c>
      <c r="R1945">
        <v>0</v>
      </c>
      <c r="T1945" t="b">
        <v>1</v>
      </c>
    </row>
    <row r="1946" spans="2:20" x14ac:dyDescent="0.35">
      <c r="B1946">
        <v>2014</v>
      </c>
      <c r="C1946" s="41">
        <v>42795</v>
      </c>
      <c r="D1946" t="s">
        <v>275</v>
      </c>
      <c r="E1946" t="s">
        <v>219</v>
      </c>
      <c r="F1946" t="s">
        <v>464</v>
      </c>
      <c r="G1946" t="s">
        <v>1381</v>
      </c>
      <c r="H1946" t="s">
        <v>276</v>
      </c>
      <c r="I1946" t="s">
        <v>310</v>
      </c>
      <c r="J1946">
        <v>2</v>
      </c>
      <c r="L1946">
        <v>279.67</v>
      </c>
      <c r="M1946">
        <v>476.61</v>
      </c>
      <c r="N1946">
        <v>641.80999999999995</v>
      </c>
      <c r="O1946">
        <v>944.7</v>
      </c>
      <c r="P1946">
        <v>0</v>
      </c>
      <c r="Q1946">
        <v>1</v>
      </c>
      <c r="R1946">
        <v>0</v>
      </c>
      <c r="T1946" t="b">
        <v>1</v>
      </c>
    </row>
    <row r="1947" spans="2:20" x14ac:dyDescent="0.35">
      <c r="B1947">
        <v>2014</v>
      </c>
      <c r="C1947" s="41">
        <v>42795</v>
      </c>
      <c r="D1947" t="s">
        <v>275</v>
      </c>
      <c r="E1947" t="s">
        <v>219</v>
      </c>
      <c r="F1947" t="s">
        <v>1311</v>
      </c>
      <c r="G1947" t="s">
        <v>1381</v>
      </c>
      <c r="H1947" t="s">
        <v>276</v>
      </c>
      <c r="I1947" t="s">
        <v>310</v>
      </c>
      <c r="J1947">
        <v>2</v>
      </c>
      <c r="L1947">
        <v>273.20999999999998</v>
      </c>
      <c r="M1947">
        <v>465.61</v>
      </c>
      <c r="N1947">
        <v>626.97</v>
      </c>
      <c r="O1947">
        <v>922.85999999999899</v>
      </c>
      <c r="P1947">
        <v>0</v>
      </c>
      <c r="Q1947">
        <v>1</v>
      </c>
      <c r="R1947">
        <v>0</v>
      </c>
      <c r="T1947" t="b">
        <v>1</v>
      </c>
    </row>
    <row r="1948" spans="2:20" x14ac:dyDescent="0.35">
      <c r="B1948">
        <v>2014</v>
      </c>
      <c r="C1948" s="41">
        <v>42795</v>
      </c>
      <c r="D1948" t="s">
        <v>275</v>
      </c>
      <c r="E1948" t="s">
        <v>219</v>
      </c>
      <c r="F1948" t="s">
        <v>1301</v>
      </c>
      <c r="G1948" t="s">
        <v>1381</v>
      </c>
      <c r="H1948" t="s">
        <v>276</v>
      </c>
      <c r="I1948" t="s">
        <v>310</v>
      </c>
      <c r="J1948">
        <v>2</v>
      </c>
      <c r="L1948">
        <v>273.62</v>
      </c>
      <c r="M1948">
        <v>466.31</v>
      </c>
      <c r="N1948">
        <v>627.91999999999996</v>
      </c>
      <c r="O1948">
        <v>924.26</v>
      </c>
      <c r="P1948">
        <v>0</v>
      </c>
      <c r="Q1948">
        <v>1</v>
      </c>
      <c r="R1948">
        <v>0</v>
      </c>
      <c r="T1948" t="b">
        <v>1</v>
      </c>
    </row>
    <row r="1949" spans="2:20" x14ac:dyDescent="0.35">
      <c r="B1949">
        <v>2014</v>
      </c>
      <c r="C1949" s="41">
        <v>42795</v>
      </c>
      <c r="D1949" t="s">
        <v>275</v>
      </c>
      <c r="E1949" t="s">
        <v>219</v>
      </c>
      <c r="F1949" t="s">
        <v>1389</v>
      </c>
      <c r="G1949" t="s">
        <v>1381</v>
      </c>
      <c r="H1949" t="s">
        <v>276</v>
      </c>
      <c r="I1949" t="s">
        <v>310</v>
      </c>
      <c r="J1949">
        <v>2</v>
      </c>
      <c r="L1949">
        <v>282.66000000000003</v>
      </c>
      <c r="M1949">
        <v>481.7</v>
      </c>
      <c r="N1949">
        <v>648.66</v>
      </c>
      <c r="O1949">
        <v>954.78</v>
      </c>
      <c r="P1949">
        <v>0</v>
      </c>
      <c r="Q1949">
        <v>1</v>
      </c>
      <c r="R1949">
        <v>0</v>
      </c>
      <c r="T1949" t="b">
        <v>1</v>
      </c>
    </row>
    <row r="1950" spans="2:20" x14ac:dyDescent="0.35">
      <c r="B1950">
        <v>2014</v>
      </c>
      <c r="C1950" s="41">
        <v>42795</v>
      </c>
      <c r="D1950" t="s">
        <v>275</v>
      </c>
      <c r="E1950" t="s">
        <v>219</v>
      </c>
      <c r="F1950" t="s">
        <v>461</v>
      </c>
      <c r="G1950" t="s">
        <v>1381</v>
      </c>
      <c r="H1950" t="s">
        <v>276</v>
      </c>
      <c r="I1950" t="s">
        <v>310</v>
      </c>
      <c r="J1950">
        <v>2</v>
      </c>
      <c r="L1950">
        <v>325.58999999999997</v>
      </c>
      <c r="M1950">
        <v>554.87</v>
      </c>
      <c r="N1950">
        <v>747.18</v>
      </c>
      <c r="O1950">
        <v>1099.8</v>
      </c>
      <c r="P1950">
        <v>0</v>
      </c>
      <c r="Q1950">
        <v>1</v>
      </c>
      <c r="R1950">
        <v>0</v>
      </c>
      <c r="T1950" t="b">
        <v>1</v>
      </c>
    </row>
    <row r="1951" spans="2:20" x14ac:dyDescent="0.35">
      <c r="B1951">
        <v>2014</v>
      </c>
      <c r="C1951" s="41">
        <v>42795</v>
      </c>
      <c r="D1951" t="s">
        <v>275</v>
      </c>
      <c r="E1951" t="s">
        <v>219</v>
      </c>
      <c r="F1951" t="s">
        <v>459</v>
      </c>
      <c r="G1951" t="s">
        <v>1381</v>
      </c>
      <c r="H1951" t="s">
        <v>276</v>
      </c>
      <c r="I1951" t="s">
        <v>310</v>
      </c>
      <c r="J1951">
        <v>2</v>
      </c>
      <c r="L1951">
        <v>334.66</v>
      </c>
      <c r="M1951">
        <v>570.32000000000005</v>
      </c>
      <c r="N1951">
        <v>767.98</v>
      </c>
      <c r="O1951">
        <v>1130.42</v>
      </c>
      <c r="P1951">
        <v>0</v>
      </c>
      <c r="Q1951">
        <v>1</v>
      </c>
      <c r="R1951">
        <v>0</v>
      </c>
      <c r="T1951" t="b">
        <v>1</v>
      </c>
    </row>
    <row r="1952" spans="2:20" x14ac:dyDescent="0.35">
      <c r="B1952">
        <v>2014</v>
      </c>
      <c r="C1952" s="41">
        <v>42795</v>
      </c>
      <c r="D1952" t="s">
        <v>275</v>
      </c>
      <c r="E1952" t="s">
        <v>219</v>
      </c>
      <c r="F1952" t="s">
        <v>458</v>
      </c>
      <c r="G1952" t="s">
        <v>1381</v>
      </c>
      <c r="H1952" t="s">
        <v>276</v>
      </c>
      <c r="I1952" t="s">
        <v>310</v>
      </c>
      <c r="J1952">
        <v>2</v>
      </c>
      <c r="L1952">
        <v>259.8</v>
      </c>
      <c r="M1952">
        <v>442.75</v>
      </c>
      <c r="N1952">
        <v>596.21</v>
      </c>
      <c r="O1952">
        <v>877.57999999999902</v>
      </c>
      <c r="P1952">
        <v>0</v>
      </c>
      <c r="Q1952">
        <v>1</v>
      </c>
      <c r="R1952">
        <v>0</v>
      </c>
      <c r="T1952" t="b">
        <v>1</v>
      </c>
    </row>
    <row r="1953" spans="2:20" x14ac:dyDescent="0.35">
      <c r="B1953">
        <v>2014</v>
      </c>
      <c r="C1953" s="41">
        <v>42795</v>
      </c>
      <c r="D1953" t="s">
        <v>275</v>
      </c>
      <c r="E1953" t="s">
        <v>219</v>
      </c>
      <c r="F1953" t="s">
        <v>1298</v>
      </c>
      <c r="G1953" t="s">
        <v>1381</v>
      </c>
      <c r="H1953" t="s">
        <v>276</v>
      </c>
      <c r="I1953" t="s">
        <v>310</v>
      </c>
      <c r="J1953">
        <v>2</v>
      </c>
      <c r="L1953">
        <v>313.41000000000003</v>
      </c>
      <c r="M1953">
        <v>534.12</v>
      </c>
      <c r="N1953">
        <v>719.23</v>
      </c>
      <c r="O1953">
        <v>1058.6600000000001</v>
      </c>
      <c r="P1953">
        <v>0</v>
      </c>
      <c r="Q1953">
        <v>1</v>
      </c>
      <c r="R1953">
        <v>0</v>
      </c>
      <c r="T1953" t="b">
        <v>1</v>
      </c>
    </row>
    <row r="1954" spans="2:20" x14ac:dyDescent="0.35">
      <c r="B1954">
        <v>2014</v>
      </c>
      <c r="C1954" s="41">
        <v>42795</v>
      </c>
      <c r="D1954" t="s">
        <v>2191</v>
      </c>
      <c r="E1954" t="s">
        <v>219</v>
      </c>
      <c r="F1954" t="s">
        <v>463</v>
      </c>
      <c r="G1954" t="s">
        <v>1381</v>
      </c>
      <c r="H1954" t="s">
        <v>272</v>
      </c>
      <c r="I1954" t="s">
        <v>310</v>
      </c>
      <c r="J1954">
        <v>2</v>
      </c>
      <c r="L1954">
        <v>346.4</v>
      </c>
      <c r="M1954">
        <v>590.33000000000004</v>
      </c>
      <c r="N1954">
        <v>794.93</v>
      </c>
      <c r="O1954">
        <v>1170.08</v>
      </c>
      <c r="P1954">
        <v>1</v>
      </c>
      <c r="Q1954">
        <v>1</v>
      </c>
      <c r="R1954">
        <v>0</v>
      </c>
      <c r="T1954" t="b">
        <v>1</v>
      </c>
    </row>
    <row r="1955" spans="2:20" x14ac:dyDescent="0.35">
      <c r="B1955">
        <v>2014</v>
      </c>
      <c r="C1955" s="41">
        <v>42795</v>
      </c>
      <c r="D1955" t="s">
        <v>2191</v>
      </c>
      <c r="E1955" t="s">
        <v>219</v>
      </c>
      <c r="F1955" t="s">
        <v>1390</v>
      </c>
      <c r="G1955" t="s">
        <v>1381</v>
      </c>
      <c r="H1955" t="s">
        <v>272</v>
      </c>
      <c r="I1955" t="s">
        <v>310</v>
      </c>
      <c r="J1955">
        <v>2</v>
      </c>
      <c r="L1955">
        <v>317.92</v>
      </c>
      <c r="M1955">
        <v>541.79999999999995</v>
      </c>
      <c r="N1955">
        <v>729.56999999999903</v>
      </c>
      <c r="O1955">
        <v>1073.8800000000001</v>
      </c>
      <c r="P1955">
        <v>1</v>
      </c>
      <c r="Q1955">
        <v>1</v>
      </c>
      <c r="R1955">
        <v>0</v>
      </c>
      <c r="T1955" t="b">
        <v>1</v>
      </c>
    </row>
    <row r="1956" spans="2:20" x14ac:dyDescent="0.35">
      <c r="B1956">
        <v>2014</v>
      </c>
      <c r="C1956" s="41">
        <v>42795</v>
      </c>
      <c r="D1956" t="s">
        <v>2191</v>
      </c>
      <c r="E1956" t="s">
        <v>219</v>
      </c>
      <c r="F1956" t="s">
        <v>458</v>
      </c>
      <c r="G1956" t="s">
        <v>1381</v>
      </c>
      <c r="H1956" t="s">
        <v>272</v>
      </c>
      <c r="I1956" t="s">
        <v>310</v>
      </c>
      <c r="J1956">
        <v>2</v>
      </c>
      <c r="L1956">
        <v>242.06</v>
      </c>
      <c r="M1956">
        <v>412.51</v>
      </c>
      <c r="N1956">
        <v>555.49</v>
      </c>
      <c r="O1956">
        <v>817.63999999999896</v>
      </c>
      <c r="P1956">
        <v>1</v>
      </c>
      <c r="Q1956">
        <v>1</v>
      </c>
      <c r="R1956">
        <v>0</v>
      </c>
      <c r="T1956" t="b">
        <v>1</v>
      </c>
    </row>
    <row r="1957" spans="2:20" x14ac:dyDescent="0.35">
      <c r="B1957">
        <v>2014</v>
      </c>
      <c r="C1957" s="41">
        <v>42795</v>
      </c>
      <c r="D1957" t="s">
        <v>2191</v>
      </c>
      <c r="E1957" t="s">
        <v>219</v>
      </c>
      <c r="F1957" t="s">
        <v>1310</v>
      </c>
      <c r="G1957" t="s">
        <v>1381</v>
      </c>
      <c r="H1957" t="s">
        <v>272</v>
      </c>
      <c r="I1957" t="s">
        <v>310</v>
      </c>
      <c r="J1957">
        <v>2</v>
      </c>
      <c r="L1957">
        <v>377.92</v>
      </c>
      <c r="M1957">
        <v>644.04999999999995</v>
      </c>
      <c r="N1957">
        <v>867.27</v>
      </c>
      <c r="O1957">
        <v>1276.56</v>
      </c>
      <c r="P1957">
        <v>1</v>
      </c>
      <c r="Q1957">
        <v>1</v>
      </c>
      <c r="R1957">
        <v>0</v>
      </c>
      <c r="T1957" t="b">
        <v>1</v>
      </c>
    </row>
    <row r="1958" spans="2:20" x14ac:dyDescent="0.35">
      <c r="B1958">
        <v>2014</v>
      </c>
      <c r="C1958" s="41">
        <v>42795</v>
      </c>
      <c r="D1958" t="s">
        <v>2191</v>
      </c>
      <c r="E1958" t="s">
        <v>219</v>
      </c>
      <c r="F1958" t="s">
        <v>459</v>
      </c>
      <c r="G1958" t="s">
        <v>1381</v>
      </c>
      <c r="H1958" t="s">
        <v>272</v>
      </c>
      <c r="I1958" t="s">
        <v>310</v>
      </c>
      <c r="J1958">
        <v>2</v>
      </c>
      <c r="L1958">
        <v>311.8</v>
      </c>
      <c r="M1958">
        <v>531.37</v>
      </c>
      <c r="N1958">
        <v>715.55</v>
      </c>
      <c r="O1958">
        <v>1053.24</v>
      </c>
      <c r="P1958">
        <v>1</v>
      </c>
      <c r="Q1958">
        <v>1</v>
      </c>
      <c r="R1958">
        <v>0</v>
      </c>
      <c r="T1958" t="b">
        <v>1</v>
      </c>
    </row>
    <row r="1959" spans="2:20" x14ac:dyDescent="0.35">
      <c r="B1959">
        <v>2014</v>
      </c>
      <c r="C1959" s="41">
        <v>42795</v>
      </c>
      <c r="D1959" t="s">
        <v>2191</v>
      </c>
      <c r="E1959" t="s">
        <v>219</v>
      </c>
      <c r="F1959" t="s">
        <v>1298</v>
      </c>
      <c r="G1959" t="s">
        <v>1381</v>
      </c>
      <c r="H1959" t="s">
        <v>272</v>
      </c>
      <c r="I1959" t="s">
        <v>310</v>
      </c>
      <c r="J1959">
        <v>2</v>
      </c>
      <c r="L1959">
        <v>292.02999999999997</v>
      </c>
      <c r="M1959">
        <v>497.67</v>
      </c>
      <c r="N1959">
        <v>670.15</v>
      </c>
      <c r="O1959">
        <v>986.42</v>
      </c>
      <c r="P1959">
        <v>1</v>
      </c>
      <c r="Q1959">
        <v>1</v>
      </c>
      <c r="R1959">
        <v>0</v>
      </c>
      <c r="T1959" t="b">
        <v>1</v>
      </c>
    </row>
    <row r="1960" spans="2:20" x14ac:dyDescent="0.35">
      <c r="B1960">
        <v>2014</v>
      </c>
      <c r="C1960" s="41">
        <v>42795</v>
      </c>
      <c r="D1960" t="s">
        <v>2191</v>
      </c>
      <c r="E1960" t="s">
        <v>219</v>
      </c>
      <c r="F1960" t="s">
        <v>1301</v>
      </c>
      <c r="G1960" t="s">
        <v>1381</v>
      </c>
      <c r="H1960" t="s">
        <v>272</v>
      </c>
      <c r="I1960" t="s">
        <v>310</v>
      </c>
      <c r="J1960">
        <v>2</v>
      </c>
      <c r="L1960">
        <v>254.95</v>
      </c>
      <c r="M1960">
        <v>434.48</v>
      </c>
      <c r="N1960">
        <v>585.06999999999903</v>
      </c>
      <c r="O1960">
        <v>861.18</v>
      </c>
      <c r="P1960">
        <v>1</v>
      </c>
      <c r="Q1960">
        <v>1</v>
      </c>
      <c r="R1960">
        <v>0</v>
      </c>
      <c r="T1960" t="b">
        <v>1</v>
      </c>
    </row>
    <row r="1961" spans="2:20" x14ac:dyDescent="0.35">
      <c r="B1961">
        <v>2014</v>
      </c>
      <c r="C1961" s="41">
        <v>42795</v>
      </c>
      <c r="D1961" t="s">
        <v>2191</v>
      </c>
      <c r="E1961" t="s">
        <v>219</v>
      </c>
      <c r="F1961" t="s">
        <v>1309</v>
      </c>
      <c r="G1961" t="s">
        <v>1381</v>
      </c>
      <c r="H1961" t="s">
        <v>272</v>
      </c>
      <c r="I1961" t="s">
        <v>310</v>
      </c>
      <c r="J1961">
        <v>2</v>
      </c>
      <c r="L1961">
        <v>263.25</v>
      </c>
      <c r="M1961">
        <v>448.63</v>
      </c>
      <c r="N1961">
        <v>604.12</v>
      </c>
      <c r="O1961">
        <v>889.22</v>
      </c>
      <c r="P1961">
        <v>1</v>
      </c>
      <c r="Q1961">
        <v>1</v>
      </c>
      <c r="R1961">
        <v>0</v>
      </c>
      <c r="T1961" t="b">
        <v>1</v>
      </c>
    </row>
    <row r="1962" spans="2:20" x14ac:dyDescent="0.35">
      <c r="B1962">
        <v>2014</v>
      </c>
      <c r="C1962" s="41">
        <v>42795</v>
      </c>
      <c r="D1962" t="s">
        <v>2191</v>
      </c>
      <c r="E1962" t="s">
        <v>219</v>
      </c>
      <c r="F1962" t="s">
        <v>1302</v>
      </c>
      <c r="G1962" t="s">
        <v>1381</v>
      </c>
      <c r="H1962" t="s">
        <v>272</v>
      </c>
      <c r="I1962" t="s">
        <v>310</v>
      </c>
      <c r="J1962">
        <v>2</v>
      </c>
      <c r="L1962">
        <v>270.29000000000002</v>
      </c>
      <c r="M1962">
        <v>460.63</v>
      </c>
      <c r="N1962">
        <v>620.27</v>
      </c>
      <c r="O1962">
        <v>913</v>
      </c>
      <c r="P1962">
        <v>1</v>
      </c>
      <c r="Q1962">
        <v>1</v>
      </c>
      <c r="R1962">
        <v>0</v>
      </c>
      <c r="T1962" t="b">
        <v>1</v>
      </c>
    </row>
    <row r="1963" spans="2:20" x14ac:dyDescent="0.35">
      <c r="B1963">
        <v>2014</v>
      </c>
      <c r="C1963" s="41">
        <v>42795</v>
      </c>
      <c r="D1963" t="s">
        <v>2191</v>
      </c>
      <c r="E1963" t="s">
        <v>219</v>
      </c>
      <c r="F1963" t="s">
        <v>460</v>
      </c>
      <c r="G1963" t="s">
        <v>1381</v>
      </c>
      <c r="H1963" t="s">
        <v>272</v>
      </c>
      <c r="I1963" t="s">
        <v>310</v>
      </c>
      <c r="J1963">
        <v>2</v>
      </c>
      <c r="L1963">
        <v>258.3</v>
      </c>
      <c r="M1963">
        <v>440.2</v>
      </c>
      <c r="N1963">
        <v>592.76</v>
      </c>
      <c r="O1963">
        <v>872.5</v>
      </c>
      <c r="P1963">
        <v>1</v>
      </c>
      <c r="Q1963">
        <v>1</v>
      </c>
      <c r="R1963">
        <v>0</v>
      </c>
      <c r="T1963" t="b">
        <v>1</v>
      </c>
    </row>
    <row r="1964" spans="2:20" x14ac:dyDescent="0.35">
      <c r="B1964">
        <v>2014</v>
      </c>
      <c r="C1964" s="41">
        <v>42795</v>
      </c>
      <c r="D1964" t="s">
        <v>2191</v>
      </c>
      <c r="E1964" t="s">
        <v>219</v>
      </c>
      <c r="F1964" t="s">
        <v>462</v>
      </c>
      <c r="G1964" t="s">
        <v>1381</v>
      </c>
      <c r="H1964" t="s">
        <v>272</v>
      </c>
      <c r="I1964" t="s">
        <v>310</v>
      </c>
      <c r="J1964">
        <v>2</v>
      </c>
      <c r="L1964">
        <v>280.52</v>
      </c>
      <c r="M1964">
        <v>478.06</v>
      </c>
      <c r="N1964">
        <v>643.75</v>
      </c>
      <c r="O1964">
        <v>947.56</v>
      </c>
      <c r="P1964">
        <v>1</v>
      </c>
      <c r="Q1964">
        <v>1</v>
      </c>
      <c r="R1964">
        <v>0</v>
      </c>
      <c r="T1964" t="b">
        <v>1</v>
      </c>
    </row>
    <row r="1965" spans="2:20" x14ac:dyDescent="0.35">
      <c r="B1965">
        <v>2014</v>
      </c>
      <c r="C1965" s="41">
        <v>42795</v>
      </c>
      <c r="D1965" t="s">
        <v>2191</v>
      </c>
      <c r="E1965" t="s">
        <v>219</v>
      </c>
      <c r="F1965" t="s">
        <v>1307</v>
      </c>
      <c r="G1965" t="s">
        <v>1381</v>
      </c>
      <c r="H1965" t="s">
        <v>272</v>
      </c>
      <c r="I1965" t="s">
        <v>310</v>
      </c>
      <c r="J1965">
        <v>2</v>
      </c>
      <c r="L1965">
        <v>333.69</v>
      </c>
      <c r="M1965">
        <v>568.67999999999995</v>
      </c>
      <c r="N1965">
        <v>765.78</v>
      </c>
      <c r="O1965">
        <v>1127.1799999999901</v>
      </c>
      <c r="P1965">
        <v>1</v>
      </c>
      <c r="Q1965">
        <v>1</v>
      </c>
      <c r="R1965">
        <v>0</v>
      </c>
      <c r="T1965" t="b">
        <v>1</v>
      </c>
    </row>
    <row r="1966" spans="2:20" x14ac:dyDescent="0.35">
      <c r="B1966">
        <v>2014</v>
      </c>
      <c r="C1966" s="41">
        <v>42795</v>
      </c>
      <c r="D1966" t="s">
        <v>2191</v>
      </c>
      <c r="E1966" t="s">
        <v>219</v>
      </c>
      <c r="F1966" t="s">
        <v>461</v>
      </c>
      <c r="G1966" t="s">
        <v>1381</v>
      </c>
      <c r="H1966" t="s">
        <v>272</v>
      </c>
      <c r="I1966" t="s">
        <v>310</v>
      </c>
      <c r="J1966">
        <v>2</v>
      </c>
      <c r="L1966">
        <v>303.36</v>
      </c>
      <c r="M1966">
        <v>516.99</v>
      </c>
      <c r="N1966">
        <v>696.17</v>
      </c>
      <c r="O1966">
        <v>1024.72</v>
      </c>
      <c r="P1966">
        <v>1</v>
      </c>
      <c r="Q1966">
        <v>1</v>
      </c>
      <c r="R1966">
        <v>0</v>
      </c>
      <c r="T1966" t="b">
        <v>1</v>
      </c>
    </row>
    <row r="1967" spans="2:20" x14ac:dyDescent="0.35">
      <c r="B1967">
        <v>2014</v>
      </c>
      <c r="C1967" s="41">
        <v>42795</v>
      </c>
      <c r="D1967" t="s">
        <v>2191</v>
      </c>
      <c r="E1967" t="s">
        <v>219</v>
      </c>
      <c r="F1967" t="s">
        <v>1389</v>
      </c>
      <c r="G1967" t="s">
        <v>1381</v>
      </c>
      <c r="H1967" t="s">
        <v>272</v>
      </c>
      <c r="I1967" t="s">
        <v>310</v>
      </c>
      <c r="J1967">
        <v>2</v>
      </c>
      <c r="L1967">
        <v>263.36</v>
      </c>
      <c r="M1967">
        <v>448.82</v>
      </c>
      <c r="N1967">
        <v>604.39</v>
      </c>
      <c r="O1967">
        <v>889.62</v>
      </c>
      <c r="P1967">
        <v>1</v>
      </c>
      <c r="Q1967">
        <v>1</v>
      </c>
      <c r="R1967">
        <v>0</v>
      </c>
      <c r="T1967" t="b">
        <v>1</v>
      </c>
    </row>
    <row r="1968" spans="2:20" x14ac:dyDescent="0.35">
      <c r="B1968">
        <v>2014</v>
      </c>
      <c r="C1968" s="41">
        <v>42795</v>
      </c>
      <c r="D1968" t="s">
        <v>2191</v>
      </c>
      <c r="E1968" t="s">
        <v>219</v>
      </c>
      <c r="F1968" t="s">
        <v>464</v>
      </c>
      <c r="G1968" t="s">
        <v>1381</v>
      </c>
      <c r="H1968" t="s">
        <v>272</v>
      </c>
      <c r="I1968" t="s">
        <v>310</v>
      </c>
      <c r="J1968">
        <v>2</v>
      </c>
      <c r="L1968">
        <v>260.57</v>
      </c>
      <c r="M1968">
        <v>444.07</v>
      </c>
      <c r="N1968">
        <v>597.99</v>
      </c>
      <c r="O1968">
        <v>880.19999999999902</v>
      </c>
      <c r="P1968">
        <v>1</v>
      </c>
      <c r="Q1968">
        <v>1</v>
      </c>
      <c r="R1968">
        <v>0</v>
      </c>
      <c r="T1968" t="b">
        <v>1</v>
      </c>
    </row>
    <row r="1969" spans="2:20" x14ac:dyDescent="0.35">
      <c r="B1969">
        <v>2014</v>
      </c>
      <c r="C1969" s="41">
        <v>42795</v>
      </c>
      <c r="D1969" t="s">
        <v>2191</v>
      </c>
      <c r="E1969" t="s">
        <v>219</v>
      </c>
      <c r="F1969" t="s">
        <v>1311</v>
      </c>
      <c r="G1969" t="s">
        <v>1381</v>
      </c>
      <c r="H1969" t="s">
        <v>272</v>
      </c>
      <c r="I1969" t="s">
        <v>310</v>
      </c>
      <c r="J1969">
        <v>2</v>
      </c>
      <c r="L1969">
        <v>254.56</v>
      </c>
      <c r="M1969">
        <v>433.82</v>
      </c>
      <c r="N1969">
        <v>584.16999999999996</v>
      </c>
      <c r="O1969">
        <v>859.86</v>
      </c>
      <c r="P1969">
        <v>1</v>
      </c>
      <c r="Q1969">
        <v>1</v>
      </c>
      <c r="R1969">
        <v>0</v>
      </c>
      <c r="T1969" t="b">
        <v>1</v>
      </c>
    </row>
    <row r="1970" spans="2:20" x14ac:dyDescent="0.35">
      <c r="B1970">
        <v>2014</v>
      </c>
      <c r="C1970" s="41">
        <v>42795</v>
      </c>
      <c r="D1970" t="s">
        <v>2192</v>
      </c>
      <c r="E1970" t="s">
        <v>219</v>
      </c>
      <c r="F1970" t="s">
        <v>458</v>
      </c>
      <c r="G1970" t="s">
        <v>1381</v>
      </c>
      <c r="H1970" t="s">
        <v>272</v>
      </c>
      <c r="I1970" t="s">
        <v>310</v>
      </c>
      <c r="J1970">
        <v>2</v>
      </c>
      <c r="L1970">
        <v>242.06</v>
      </c>
      <c r="M1970">
        <v>412.51</v>
      </c>
      <c r="N1970">
        <v>555.49</v>
      </c>
      <c r="O1970">
        <v>817.63999999999896</v>
      </c>
      <c r="P1970">
        <v>1</v>
      </c>
      <c r="Q1970">
        <v>1</v>
      </c>
      <c r="R1970">
        <v>0</v>
      </c>
      <c r="T1970" t="b">
        <v>1</v>
      </c>
    </row>
    <row r="1971" spans="2:20" x14ac:dyDescent="0.35">
      <c r="B1971">
        <v>2014</v>
      </c>
      <c r="C1971" s="41">
        <v>42795</v>
      </c>
      <c r="D1971" t="s">
        <v>2192</v>
      </c>
      <c r="E1971" t="s">
        <v>219</v>
      </c>
      <c r="F1971" t="s">
        <v>1302</v>
      </c>
      <c r="G1971" t="s">
        <v>1381</v>
      </c>
      <c r="H1971" t="s">
        <v>272</v>
      </c>
      <c r="I1971" t="s">
        <v>310</v>
      </c>
      <c r="J1971">
        <v>2</v>
      </c>
      <c r="L1971">
        <v>270.29000000000002</v>
      </c>
      <c r="M1971">
        <v>460.63</v>
      </c>
      <c r="N1971">
        <v>620.27</v>
      </c>
      <c r="O1971">
        <v>913</v>
      </c>
      <c r="P1971">
        <v>1</v>
      </c>
      <c r="Q1971">
        <v>1</v>
      </c>
      <c r="R1971">
        <v>0</v>
      </c>
      <c r="T1971" t="b">
        <v>1</v>
      </c>
    </row>
    <row r="1972" spans="2:20" x14ac:dyDescent="0.35">
      <c r="B1972">
        <v>2014</v>
      </c>
      <c r="C1972" s="41">
        <v>42795</v>
      </c>
      <c r="D1972" t="s">
        <v>2192</v>
      </c>
      <c r="E1972" t="s">
        <v>219</v>
      </c>
      <c r="F1972" t="s">
        <v>1311</v>
      </c>
      <c r="G1972" t="s">
        <v>1381</v>
      </c>
      <c r="H1972" t="s">
        <v>272</v>
      </c>
      <c r="I1972" t="s">
        <v>310</v>
      </c>
      <c r="J1972">
        <v>2</v>
      </c>
      <c r="L1972">
        <v>254.56</v>
      </c>
      <c r="M1972">
        <v>433.82</v>
      </c>
      <c r="N1972">
        <v>584.16999999999996</v>
      </c>
      <c r="O1972">
        <v>859.86</v>
      </c>
      <c r="P1972">
        <v>1</v>
      </c>
      <c r="Q1972">
        <v>1</v>
      </c>
      <c r="R1972">
        <v>0</v>
      </c>
      <c r="T1972" t="b">
        <v>1</v>
      </c>
    </row>
    <row r="1973" spans="2:20" x14ac:dyDescent="0.35">
      <c r="B1973">
        <v>2014</v>
      </c>
      <c r="C1973" s="41">
        <v>42795</v>
      </c>
      <c r="D1973" t="s">
        <v>2192</v>
      </c>
      <c r="E1973" t="s">
        <v>219</v>
      </c>
      <c r="F1973" t="s">
        <v>459</v>
      </c>
      <c r="G1973" t="s">
        <v>1381</v>
      </c>
      <c r="H1973" t="s">
        <v>272</v>
      </c>
      <c r="I1973" t="s">
        <v>310</v>
      </c>
      <c r="J1973">
        <v>2</v>
      </c>
      <c r="L1973">
        <v>311.8</v>
      </c>
      <c r="M1973">
        <v>531.37</v>
      </c>
      <c r="N1973">
        <v>715.55</v>
      </c>
      <c r="O1973">
        <v>1053.24</v>
      </c>
      <c r="P1973">
        <v>1</v>
      </c>
      <c r="Q1973">
        <v>1</v>
      </c>
      <c r="R1973">
        <v>0</v>
      </c>
      <c r="T1973" t="b">
        <v>1</v>
      </c>
    </row>
    <row r="1974" spans="2:20" x14ac:dyDescent="0.35">
      <c r="B1974">
        <v>2014</v>
      </c>
      <c r="C1974" s="41">
        <v>42795</v>
      </c>
      <c r="D1974" t="s">
        <v>2192</v>
      </c>
      <c r="E1974" t="s">
        <v>219</v>
      </c>
      <c r="F1974" t="s">
        <v>1310</v>
      </c>
      <c r="G1974" t="s">
        <v>1381</v>
      </c>
      <c r="H1974" t="s">
        <v>272</v>
      </c>
      <c r="I1974" t="s">
        <v>310</v>
      </c>
      <c r="J1974">
        <v>2</v>
      </c>
      <c r="L1974">
        <v>377.92</v>
      </c>
      <c r="M1974">
        <v>644.04999999999995</v>
      </c>
      <c r="N1974">
        <v>867.27</v>
      </c>
      <c r="O1974">
        <v>1276.56</v>
      </c>
      <c r="P1974">
        <v>1</v>
      </c>
      <c r="Q1974">
        <v>1</v>
      </c>
      <c r="R1974">
        <v>0</v>
      </c>
      <c r="T1974" t="b">
        <v>1</v>
      </c>
    </row>
    <row r="1975" spans="2:20" x14ac:dyDescent="0.35">
      <c r="B1975">
        <v>2014</v>
      </c>
      <c r="C1975" s="41">
        <v>42795</v>
      </c>
      <c r="D1975" t="s">
        <v>2192</v>
      </c>
      <c r="E1975" t="s">
        <v>219</v>
      </c>
      <c r="F1975" t="s">
        <v>463</v>
      </c>
      <c r="G1975" t="s">
        <v>1381</v>
      </c>
      <c r="H1975" t="s">
        <v>272</v>
      </c>
      <c r="I1975" t="s">
        <v>310</v>
      </c>
      <c r="J1975">
        <v>2</v>
      </c>
      <c r="L1975">
        <v>346.4</v>
      </c>
      <c r="M1975">
        <v>590.33000000000004</v>
      </c>
      <c r="N1975">
        <v>794.93</v>
      </c>
      <c r="O1975">
        <v>1170.08</v>
      </c>
      <c r="P1975">
        <v>1</v>
      </c>
      <c r="Q1975">
        <v>1</v>
      </c>
      <c r="R1975">
        <v>0</v>
      </c>
      <c r="T1975" t="b">
        <v>1</v>
      </c>
    </row>
    <row r="1976" spans="2:20" x14ac:dyDescent="0.35">
      <c r="B1976">
        <v>2014</v>
      </c>
      <c r="C1976" s="41">
        <v>42795</v>
      </c>
      <c r="D1976" t="s">
        <v>2192</v>
      </c>
      <c r="E1976" t="s">
        <v>219</v>
      </c>
      <c r="F1976" t="s">
        <v>1301</v>
      </c>
      <c r="G1976" t="s">
        <v>1381</v>
      </c>
      <c r="H1976" t="s">
        <v>272</v>
      </c>
      <c r="I1976" t="s">
        <v>310</v>
      </c>
      <c r="J1976">
        <v>2</v>
      </c>
      <c r="L1976">
        <v>254.95</v>
      </c>
      <c r="M1976">
        <v>434.48</v>
      </c>
      <c r="N1976">
        <v>585.06999999999903</v>
      </c>
      <c r="O1976">
        <v>861.18</v>
      </c>
      <c r="P1976">
        <v>1</v>
      </c>
      <c r="Q1976">
        <v>1</v>
      </c>
      <c r="R1976">
        <v>0</v>
      </c>
      <c r="T1976" t="b">
        <v>1</v>
      </c>
    </row>
    <row r="1977" spans="2:20" x14ac:dyDescent="0.35">
      <c r="B1977">
        <v>2014</v>
      </c>
      <c r="C1977" s="41">
        <v>42795</v>
      </c>
      <c r="D1977" t="s">
        <v>2192</v>
      </c>
      <c r="E1977" t="s">
        <v>219</v>
      </c>
      <c r="F1977" t="s">
        <v>1389</v>
      </c>
      <c r="G1977" t="s">
        <v>1381</v>
      </c>
      <c r="H1977" t="s">
        <v>272</v>
      </c>
      <c r="I1977" t="s">
        <v>310</v>
      </c>
      <c r="J1977">
        <v>2</v>
      </c>
      <c r="L1977">
        <v>263.36</v>
      </c>
      <c r="M1977">
        <v>448.82</v>
      </c>
      <c r="N1977">
        <v>604.39</v>
      </c>
      <c r="O1977">
        <v>889.62</v>
      </c>
      <c r="P1977">
        <v>1</v>
      </c>
      <c r="Q1977">
        <v>1</v>
      </c>
      <c r="R1977">
        <v>0</v>
      </c>
      <c r="T1977" t="b">
        <v>1</v>
      </c>
    </row>
    <row r="1978" spans="2:20" x14ac:dyDescent="0.35">
      <c r="B1978">
        <v>2014</v>
      </c>
      <c r="C1978" s="41">
        <v>42795</v>
      </c>
      <c r="D1978" t="s">
        <v>2192</v>
      </c>
      <c r="E1978" t="s">
        <v>219</v>
      </c>
      <c r="F1978" t="s">
        <v>1390</v>
      </c>
      <c r="G1978" t="s">
        <v>1381</v>
      </c>
      <c r="H1978" t="s">
        <v>272</v>
      </c>
      <c r="I1978" t="s">
        <v>310</v>
      </c>
      <c r="J1978">
        <v>2</v>
      </c>
      <c r="L1978">
        <v>317.92</v>
      </c>
      <c r="M1978">
        <v>541.79999999999995</v>
      </c>
      <c r="N1978">
        <v>729.56999999999903</v>
      </c>
      <c r="O1978">
        <v>1073.8800000000001</v>
      </c>
      <c r="P1978">
        <v>1</v>
      </c>
      <c r="Q1978">
        <v>1</v>
      </c>
      <c r="R1978">
        <v>0</v>
      </c>
      <c r="T1978" t="b">
        <v>1</v>
      </c>
    </row>
    <row r="1979" spans="2:20" x14ac:dyDescent="0.35">
      <c r="B1979">
        <v>2014</v>
      </c>
      <c r="C1979" s="41">
        <v>42795</v>
      </c>
      <c r="D1979" t="s">
        <v>2192</v>
      </c>
      <c r="E1979" t="s">
        <v>219</v>
      </c>
      <c r="F1979" t="s">
        <v>1298</v>
      </c>
      <c r="G1979" t="s">
        <v>1381</v>
      </c>
      <c r="H1979" t="s">
        <v>272</v>
      </c>
      <c r="I1979" t="s">
        <v>310</v>
      </c>
      <c r="J1979">
        <v>2</v>
      </c>
      <c r="L1979">
        <v>292.02999999999997</v>
      </c>
      <c r="M1979">
        <v>497.67</v>
      </c>
      <c r="N1979">
        <v>670.15</v>
      </c>
      <c r="O1979">
        <v>986.42</v>
      </c>
      <c r="P1979">
        <v>1</v>
      </c>
      <c r="Q1979">
        <v>1</v>
      </c>
      <c r="R1979">
        <v>0</v>
      </c>
      <c r="T1979" t="b">
        <v>1</v>
      </c>
    </row>
    <row r="1980" spans="2:20" x14ac:dyDescent="0.35">
      <c r="B1980">
        <v>2014</v>
      </c>
      <c r="C1980" s="41">
        <v>42795</v>
      </c>
      <c r="D1980" t="s">
        <v>2192</v>
      </c>
      <c r="E1980" t="s">
        <v>219</v>
      </c>
      <c r="F1980" t="s">
        <v>464</v>
      </c>
      <c r="G1980" t="s">
        <v>1381</v>
      </c>
      <c r="H1980" t="s">
        <v>272</v>
      </c>
      <c r="I1980" t="s">
        <v>310</v>
      </c>
      <c r="J1980">
        <v>2</v>
      </c>
      <c r="L1980">
        <v>260.57</v>
      </c>
      <c r="M1980">
        <v>444.07</v>
      </c>
      <c r="N1980">
        <v>597.99</v>
      </c>
      <c r="O1980">
        <v>880.19999999999902</v>
      </c>
      <c r="P1980">
        <v>1</v>
      </c>
      <c r="Q1980">
        <v>1</v>
      </c>
      <c r="R1980">
        <v>0</v>
      </c>
      <c r="T1980" t="b">
        <v>1</v>
      </c>
    </row>
    <row r="1981" spans="2:20" x14ac:dyDescent="0.35">
      <c r="B1981">
        <v>2014</v>
      </c>
      <c r="C1981" s="41">
        <v>42795</v>
      </c>
      <c r="D1981" t="s">
        <v>2192</v>
      </c>
      <c r="E1981" t="s">
        <v>219</v>
      </c>
      <c r="F1981" t="s">
        <v>1307</v>
      </c>
      <c r="G1981" t="s">
        <v>1381</v>
      </c>
      <c r="H1981" t="s">
        <v>272</v>
      </c>
      <c r="I1981" t="s">
        <v>310</v>
      </c>
      <c r="J1981">
        <v>2</v>
      </c>
      <c r="L1981">
        <v>333.69</v>
      </c>
      <c r="M1981">
        <v>568.67999999999995</v>
      </c>
      <c r="N1981">
        <v>765.78</v>
      </c>
      <c r="O1981">
        <v>1127.1799999999901</v>
      </c>
      <c r="P1981">
        <v>1</v>
      </c>
      <c r="Q1981">
        <v>1</v>
      </c>
      <c r="R1981">
        <v>0</v>
      </c>
      <c r="T1981" t="b">
        <v>1</v>
      </c>
    </row>
    <row r="1982" spans="2:20" x14ac:dyDescent="0.35">
      <c r="B1982">
        <v>2014</v>
      </c>
      <c r="C1982" s="41">
        <v>42795</v>
      </c>
      <c r="D1982" t="s">
        <v>2192</v>
      </c>
      <c r="E1982" t="s">
        <v>219</v>
      </c>
      <c r="F1982" t="s">
        <v>1309</v>
      </c>
      <c r="G1982" t="s">
        <v>1381</v>
      </c>
      <c r="H1982" t="s">
        <v>272</v>
      </c>
      <c r="I1982" t="s">
        <v>310</v>
      </c>
      <c r="J1982">
        <v>2</v>
      </c>
      <c r="L1982">
        <v>263.25</v>
      </c>
      <c r="M1982">
        <v>448.63</v>
      </c>
      <c r="N1982">
        <v>604.12</v>
      </c>
      <c r="O1982">
        <v>889.22</v>
      </c>
      <c r="P1982">
        <v>1</v>
      </c>
      <c r="Q1982">
        <v>1</v>
      </c>
      <c r="R1982">
        <v>0</v>
      </c>
      <c r="T1982" t="b">
        <v>1</v>
      </c>
    </row>
    <row r="1983" spans="2:20" x14ac:dyDescent="0.35">
      <c r="B1983">
        <v>2014</v>
      </c>
      <c r="C1983" s="41">
        <v>42795</v>
      </c>
      <c r="D1983" t="s">
        <v>2192</v>
      </c>
      <c r="E1983" t="s">
        <v>219</v>
      </c>
      <c r="F1983" t="s">
        <v>462</v>
      </c>
      <c r="G1983" t="s">
        <v>1381</v>
      </c>
      <c r="H1983" t="s">
        <v>272</v>
      </c>
      <c r="I1983" t="s">
        <v>310</v>
      </c>
      <c r="J1983">
        <v>2</v>
      </c>
      <c r="L1983">
        <v>280.52</v>
      </c>
      <c r="M1983">
        <v>478.06</v>
      </c>
      <c r="N1983">
        <v>643.75</v>
      </c>
      <c r="O1983">
        <v>947.56</v>
      </c>
      <c r="P1983">
        <v>1</v>
      </c>
      <c r="Q1983">
        <v>1</v>
      </c>
      <c r="R1983">
        <v>0</v>
      </c>
      <c r="T1983" t="b">
        <v>1</v>
      </c>
    </row>
    <row r="1984" spans="2:20" x14ac:dyDescent="0.35">
      <c r="B1984">
        <v>2014</v>
      </c>
      <c r="C1984" s="41">
        <v>42795</v>
      </c>
      <c r="D1984" t="s">
        <v>2192</v>
      </c>
      <c r="E1984" t="s">
        <v>219</v>
      </c>
      <c r="F1984" t="s">
        <v>461</v>
      </c>
      <c r="G1984" t="s">
        <v>1381</v>
      </c>
      <c r="H1984" t="s">
        <v>272</v>
      </c>
      <c r="I1984" t="s">
        <v>310</v>
      </c>
      <c r="J1984">
        <v>2</v>
      </c>
      <c r="L1984">
        <v>303.36</v>
      </c>
      <c r="M1984">
        <v>516.99</v>
      </c>
      <c r="N1984">
        <v>696.17</v>
      </c>
      <c r="O1984">
        <v>1024.72</v>
      </c>
      <c r="P1984">
        <v>1</v>
      </c>
      <c r="Q1984">
        <v>1</v>
      </c>
      <c r="R1984">
        <v>0</v>
      </c>
      <c r="T1984" t="b">
        <v>1</v>
      </c>
    </row>
    <row r="1985" spans="2:20" x14ac:dyDescent="0.35">
      <c r="B1985">
        <v>2014</v>
      </c>
      <c r="C1985" s="41">
        <v>42795</v>
      </c>
      <c r="D1985" t="s">
        <v>2192</v>
      </c>
      <c r="E1985" t="s">
        <v>219</v>
      </c>
      <c r="F1985" t="s">
        <v>460</v>
      </c>
      <c r="G1985" t="s">
        <v>1381</v>
      </c>
      <c r="H1985" t="s">
        <v>272</v>
      </c>
      <c r="I1985" t="s">
        <v>310</v>
      </c>
      <c r="J1985">
        <v>2</v>
      </c>
      <c r="L1985">
        <v>258.3</v>
      </c>
      <c r="M1985">
        <v>440.2</v>
      </c>
      <c r="N1985">
        <v>592.76</v>
      </c>
      <c r="O1985">
        <v>872.5</v>
      </c>
      <c r="P1985">
        <v>1</v>
      </c>
      <c r="Q1985">
        <v>1</v>
      </c>
      <c r="R1985">
        <v>0</v>
      </c>
      <c r="T1985" t="b">
        <v>1</v>
      </c>
    </row>
    <row r="1986" spans="2:20" x14ac:dyDescent="0.35">
      <c r="B1986">
        <v>2014</v>
      </c>
      <c r="C1986" s="41">
        <v>42795</v>
      </c>
      <c r="D1986" t="s">
        <v>2193</v>
      </c>
      <c r="E1986" t="s">
        <v>219</v>
      </c>
      <c r="F1986" t="s">
        <v>1310</v>
      </c>
      <c r="G1986" t="s">
        <v>1381</v>
      </c>
      <c r="H1986" t="s">
        <v>2194</v>
      </c>
      <c r="I1986" t="s">
        <v>842</v>
      </c>
      <c r="J1986">
        <v>2</v>
      </c>
      <c r="L1986">
        <v>335.01</v>
      </c>
      <c r="M1986">
        <v>570.92999999999995</v>
      </c>
      <c r="N1986">
        <v>768.81</v>
      </c>
      <c r="O1986">
        <v>1131.6399999999901</v>
      </c>
      <c r="P1986">
        <v>0</v>
      </c>
      <c r="Q1986">
        <v>1</v>
      </c>
      <c r="R1986">
        <v>0</v>
      </c>
      <c r="T1986" t="b">
        <v>1</v>
      </c>
    </row>
    <row r="1987" spans="2:20" x14ac:dyDescent="0.35">
      <c r="B1987">
        <v>2014</v>
      </c>
      <c r="C1987" s="41">
        <v>42795</v>
      </c>
      <c r="D1987" t="s">
        <v>2193</v>
      </c>
      <c r="E1987" t="s">
        <v>219</v>
      </c>
      <c r="F1987" t="s">
        <v>462</v>
      </c>
      <c r="G1987" t="s">
        <v>1381</v>
      </c>
      <c r="H1987" t="s">
        <v>2194</v>
      </c>
      <c r="I1987" t="s">
        <v>842</v>
      </c>
      <c r="J1987">
        <v>2</v>
      </c>
      <c r="L1987">
        <v>248.67</v>
      </c>
      <c r="M1987">
        <v>423.78</v>
      </c>
      <c r="N1987">
        <v>570.65</v>
      </c>
      <c r="O1987">
        <v>839.96</v>
      </c>
      <c r="P1987">
        <v>0</v>
      </c>
      <c r="Q1987">
        <v>1</v>
      </c>
      <c r="R1987">
        <v>0</v>
      </c>
      <c r="T1987" t="b">
        <v>1</v>
      </c>
    </row>
    <row r="1988" spans="2:20" x14ac:dyDescent="0.35">
      <c r="B1988">
        <v>2014</v>
      </c>
      <c r="C1988" s="41">
        <v>42795</v>
      </c>
      <c r="D1988" t="s">
        <v>2193</v>
      </c>
      <c r="E1988" t="s">
        <v>219</v>
      </c>
      <c r="F1988" t="s">
        <v>464</v>
      </c>
      <c r="G1988" t="s">
        <v>1381</v>
      </c>
      <c r="H1988" t="s">
        <v>2194</v>
      </c>
      <c r="I1988" t="s">
        <v>842</v>
      </c>
      <c r="J1988">
        <v>2</v>
      </c>
      <c r="L1988">
        <v>230.99</v>
      </c>
      <c r="M1988">
        <v>393.65</v>
      </c>
      <c r="N1988">
        <v>530.09</v>
      </c>
      <c r="O1988">
        <v>780.26</v>
      </c>
      <c r="P1988">
        <v>0</v>
      </c>
      <c r="Q1988">
        <v>1</v>
      </c>
      <c r="R1988">
        <v>0</v>
      </c>
      <c r="T1988" t="b">
        <v>1</v>
      </c>
    </row>
    <row r="1989" spans="2:20" x14ac:dyDescent="0.35">
      <c r="B1989">
        <v>2014</v>
      </c>
      <c r="C1989" s="41">
        <v>42795</v>
      </c>
      <c r="D1989" t="s">
        <v>2193</v>
      </c>
      <c r="E1989" t="s">
        <v>219</v>
      </c>
      <c r="F1989" t="s">
        <v>463</v>
      </c>
      <c r="G1989" t="s">
        <v>1381</v>
      </c>
      <c r="H1989" t="s">
        <v>2194</v>
      </c>
      <c r="I1989" t="s">
        <v>842</v>
      </c>
      <c r="J1989">
        <v>2</v>
      </c>
      <c r="L1989">
        <v>307.06</v>
      </c>
      <c r="M1989">
        <v>523.29999999999995</v>
      </c>
      <c r="N1989">
        <v>704.68</v>
      </c>
      <c r="O1989">
        <v>1037.24</v>
      </c>
      <c r="P1989">
        <v>0</v>
      </c>
      <c r="Q1989">
        <v>1</v>
      </c>
      <c r="R1989">
        <v>0</v>
      </c>
      <c r="T1989" t="b">
        <v>1</v>
      </c>
    </row>
    <row r="1990" spans="2:20" x14ac:dyDescent="0.35">
      <c r="B1990">
        <v>2014</v>
      </c>
      <c r="C1990" s="41">
        <v>42795</v>
      </c>
      <c r="D1990" t="s">
        <v>2193</v>
      </c>
      <c r="E1990" t="s">
        <v>219</v>
      </c>
      <c r="F1990" t="s">
        <v>1301</v>
      </c>
      <c r="G1990" t="s">
        <v>1381</v>
      </c>
      <c r="H1990" t="s">
        <v>2194</v>
      </c>
      <c r="I1990" t="s">
        <v>842</v>
      </c>
      <c r="J1990">
        <v>2</v>
      </c>
      <c r="L1990">
        <v>225.99</v>
      </c>
      <c r="M1990">
        <v>385.13</v>
      </c>
      <c r="N1990">
        <v>518.61</v>
      </c>
      <c r="O1990">
        <v>763.36</v>
      </c>
      <c r="P1990">
        <v>0</v>
      </c>
      <c r="Q1990">
        <v>1</v>
      </c>
      <c r="R1990">
        <v>0</v>
      </c>
      <c r="T1990" t="b">
        <v>1</v>
      </c>
    </row>
    <row r="1991" spans="2:20" x14ac:dyDescent="0.35">
      <c r="B1991">
        <v>2014</v>
      </c>
      <c r="C1991" s="41">
        <v>42795</v>
      </c>
      <c r="D1991" t="s">
        <v>2193</v>
      </c>
      <c r="E1991" t="s">
        <v>219</v>
      </c>
      <c r="F1991" t="s">
        <v>1307</v>
      </c>
      <c r="G1991" t="s">
        <v>1381</v>
      </c>
      <c r="H1991" t="s">
        <v>2194</v>
      </c>
      <c r="I1991" t="s">
        <v>842</v>
      </c>
      <c r="J1991">
        <v>2</v>
      </c>
      <c r="L1991">
        <v>295.81</v>
      </c>
      <c r="M1991">
        <v>504.12</v>
      </c>
      <c r="N1991">
        <v>678.85</v>
      </c>
      <c r="O1991">
        <v>999.22</v>
      </c>
      <c r="P1991">
        <v>0</v>
      </c>
      <c r="Q1991">
        <v>1</v>
      </c>
      <c r="R1991">
        <v>0</v>
      </c>
      <c r="T1991" t="b">
        <v>1</v>
      </c>
    </row>
    <row r="1992" spans="2:20" x14ac:dyDescent="0.35">
      <c r="B1992">
        <v>2014</v>
      </c>
      <c r="C1992" s="41">
        <v>42795</v>
      </c>
      <c r="D1992" t="s">
        <v>2193</v>
      </c>
      <c r="E1992" t="s">
        <v>219</v>
      </c>
      <c r="F1992" t="s">
        <v>1311</v>
      </c>
      <c r="G1992" t="s">
        <v>1381</v>
      </c>
      <c r="H1992" t="s">
        <v>2194</v>
      </c>
      <c r="I1992" t="s">
        <v>842</v>
      </c>
      <c r="J1992">
        <v>2</v>
      </c>
      <c r="L1992">
        <v>225.66</v>
      </c>
      <c r="M1992">
        <v>384.56</v>
      </c>
      <c r="N1992">
        <v>517.849999999999</v>
      </c>
      <c r="O1992">
        <v>762.24</v>
      </c>
      <c r="P1992">
        <v>0</v>
      </c>
      <c r="Q1992">
        <v>1</v>
      </c>
      <c r="R1992">
        <v>0</v>
      </c>
      <c r="T1992" t="b">
        <v>1</v>
      </c>
    </row>
    <row r="1993" spans="2:20" x14ac:dyDescent="0.35">
      <c r="B1993">
        <v>2014</v>
      </c>
      <c r="C1993" s="41">
        <v>42795</v>
      </c>
      <c r="D1993" t="s">
        <v>2193</v>
      </c>
      <c r="E1993" t="s">
        <v>219</v>
      </c>
      <c r="F1993" t="s">
        <v>1302</v>
      </c>
      <c r="G1993" t="s">
        <v>1381</v>
      </c>
      <c r="H1993" t="s">
        <v>2194</v>
      </c>
      <c r="I1993" t="s">
        <v>842</v>
      </c>
      <c r="J1993">
        <v>2</v>
      </c>
      <c r="L1993">
        <v>239.59</v>
      </c>
      <c r="M1993">
        <v>408.32</v>
      </c>
      <c r="N1993">
        <v>549.81999999999903</v>
      </c>
      <c r="O1993">
        <v>809.3</v>
      </c>
      <c r="P1993">
        <v>0</v>
      </c>
      <c r="Q1993">
        <v>1</v>
      </c>
      <c r="R1993">
        <v>0</v>
      </c>
      <c r="T1993" t="b">
        <v>1</v>
      </c>
    </row>
    <row r="1994" spans="2:20" x14ac:dyDescent="0.35">
      <c r="B1994">
        <v>2014</v>
      </c>
      <c r="C1994" s="41">
        <v>42795</v>
      </c>
      <c r="D1994" t="s">
        <v>2193</v>
      </c>
      <c r="E1994" t="s">
        <v>219</v>
      </c>
      <c r="F1994" t="s">
        <v>1389</v>
      </c>
      <c r="G1994" t="s">
        <v>1381</v>
      </c>
      <c r="H1994" t="s">
        <v>2194</v>
      </c>
      <c r="I1994" t="s">
        <v>842</v>
      </c>
      <c r="J1994">
        <v>2</v>
      </c>
      <c r="L1994">
        <v>233.45</v>
      </c>
      <c r="M1994">
        <v>397.85</v>
      </c>
      <c r="N1994">
        <v>535.73</v>
      </c>
      <c r="O1994">
        <v>788.56</v>
      </c>
      <c r="P1994">
        <v>0</v>
      </c>
      <c r="Q1994">
        <v>1</v>
      </c>
      <c r="R1994">
        <v>0</v>
      </c>
      <c r="T1994" t="b">
        <v>1</v>
      </c>
    </row>
    <row r="1995" spans="2:20" x14ac:dyDescent="0.35">
      <c r="B1995">
        <v>2014</v>
      </c>
      <c r="C1995" s="41">
        <v>42795</v>
      </c>
      <c r="D1995" t="s">
        <v>2193</v>
      </c>
      <c r="E1995" t="s">
        <v>219</v>
      </c>
      <c r="F1995" t="s">
        <v>459</v>
      </c>
      <c r="G1995" t="s">
        <v>1381</v>
      </c>
      <c r="H1995" t="s">
        <v>2194</v>
      </c>
      <c r="I1995" t="s">
        <v>842</v>
      </c>
      <c r="J1995">
        <v>2</v>
      </c>
      <c r="L1995">
        <v>276.39999999999998</v>
      </c>
      <c r="M1995">
        <v>471.04</v>
      </c>
      <c r="N1995">
        <v>634.28</v>
      </c>
      <c r="O1995">
        <v>933.61999999999898</v>
      </c>
      <c r="P1995">
        <v>0</v>
      </c>
      <c r="Q1995">
        <v>1</v>
      </c>
      <c r="R1995">
        <v>0</v>
      </c>
      <c r="T1995" t="b">
        <v>1</v>
      </c>
    </row>
    <row r="1996" spans="2:20" x14ac:dyDescent="0.35">
      <c r="B1996">
        <v>2014</v>
      </c>
      <c r="C1996" s="41">
        <v>42795</v>
      </c>
      <c r="D1996" t="s">
        <v>2193</v>
      </c>
      <c r="E1996" t="s">
        <v>219</v>
      </c>
      <c r="F1996" t="s">
        <v>461</v>
      </c>
      <c r="G1996" t="s">
        <v>1381</v>
      </c>
      <c r="H1996" t="s">
        <v>2194</v>
      </c>
      <c r="I1996" t="s">
        <v>842</v>
      </c>
      <c r="J1996">
        <v>2</v>
      </c>
      <c r="L1996">
        <v>268.92</v>
      </c>
      <c r="M1996">
        <v>458.29</v>
      </c>
      <c r="N1996">
        <v>617.12</v>
      </c>
      <c r="O1996">
        <v>908.36</v>
      </c>
      <c r="P1996">
        <v>0</v>
      </c>
      <c r="Q1996">
        <v>1</v>
      </c>
      <c r="R1996">
        <v>0</v>
      </c>
      <c r="T1996" t="b">
        <v>1</v>
      </c>
    </row>
    <row r="1997" spans="2:20" x14ac:dyDescent="0.35">
      <c r="B1997">
        <v>2014</v>
      </c>
      <c r="C1997" s="41">
        <v>42795</v>
      </c>
      <c r="D1997" t="s">
        <v>2193</v>
      </c>
      <c r="E1997" t="s">
        <v>219</v>
      </c>
      <c r="F1997" t="s">
        <v>460</v>
      </c>
      <c r="G1997" t="s">
        <v>1381</v>
      </c>
      <c r="H1997" t="s">
        <v>2194</v>
      </c>
      <c r="I1997" t="s">
        <v>842</v>
      </c>
      <c r="J1997">
        <v>2</v>
      </c>
      <c r="L1997">
        <v>228.97</v>
      </c>
      <c r="M1997">
        <v>390.21</v>
      </c>
      <c r="N1997">
        <v>525.42999999999995</v>
      </c>
      <c r="O1997">
        <v>773.4</v>
      </c>
      <c r="P1997">
        <v>0</v>
      </c>
      <c r="Q1997">
        <v>1</v>
      </c>
      <c r="R1997">
        <v>0</v>
      </c>
      <c r="T1997" t="b">
        <v>1</v>
      </c>
    </row>
    <row r="1998" spans="2:20" x14ac:dyDescent="0.35">
      <c r="B1998">
        <v>2014</v>
      </c>
      <c r="C1998" s="41">
        <v>42795</v>
      </c>
      <c r="D1998" t="s">
        <v>2193</v>
      </c>
      <c r="E1998" t="s">
        <v>219</v>
      </c>
      <c r="F1998" t="s">
        <v>1390</v>
      </c>
      <c r="G1998" t="s">
        <v>1381</v>
      </c>
      <c r="H1998" t="s">
        <v>2194</v>
      </c>
      <c r="I1998" t="s">
        <v>842</v>
      </c>
      <c r="J1998">
        <v>2</v>
      </c>
      <c r="L1998">
        <v>281.82</v>
      </c>
      <c r="M1998">
        <v>480.27</v>
      </c>
      <c r="N1998">
        <v>646.73</v>
      </c>
      <c r="O1998">
        <v>951.93999999999903</v>
      </c>
      <c r="P1998">
        <v>0</v>
      </c>
      <c r="Q1998">
        <v>1</v>
      </c>
      <c r="R1998">
        <v>0</v>
      </c>
      <c r="T1998" t="b">
        <v>1</v>
      </c>
    </row>
    <row r="1999" spans="2:20" x14ac:dyDescent="0.35">
      <c r="B1999">
        <v>2014</v>
      </c>
      <c r="C1999" s="41">
        <v>42795</v>
      </c>
      <c r="D1999" t="s">
        <v>2193</v>
      </c>
      <c r="E1999" t="s">
        <v>219</v>
      </c>
      <c r="F1999" t="s">
        <v>1298</v>
      </c>
      <c r="G1999" t="s">
        <v>1381</v>
      </c>
      <c r="H1999" t="s">
        <v>2194</v>
      </c>
      <c r="I1999" t="s">
        <v>842</v>
      </c>
      <c r="J1999">
        <v>2</v>
      </c>
      <c r="L1999">
        <v>258.87</v>
      </c>
      <c r="M1999">
        <v>441.16</v>
      </c>
      <c r="N1999">
        <v>594.05999999999995</v>
      </c>
      <c r="O1999">
        <v>874.42</v>
      </c>
      <c r="P1999">
        <v>0</v>
      </c>
      <c r="Q1999">
        <v>1</v>
      </c>
      <c r="R1999">
        <v>0</v>
      </c>
      <c r="T1999" t="b">
        <v>1</v>
      </c>
    </row>
    <row r="2000" spans="2:20" x14ac:dyDescent="0.35">
      <c r="B2000">
        <v>2014</v>
      </c>
      <c r="C2000" s="41">
        <v>42795</v>
      </c>
      <c r="D2000" t="s">
        <v>2193</v>
      </c>
      <c r="E2000" t="s">
        <v>219</v>
      </c>
      <c r="F2000" t="s">
        <v>458</v>
      </c>
      <c r="G2000" t="s">
        <v>1381</v>
      </c>
      <c r="H2000" t="s">
        <v>2194</v>
      </c>
      <c r="I2000" t="s">
        <v>842</v>
      </c>
      <c r="J2000">
        <v>2</v>
      </c>
      <c r="L2000">
        <v>214.58</v>
      </c>
      <c r="M2000">
        <v>365.68</v>
      </c>
      <c r="N2000">
        <v>492.43</v>
      </c>
      <c r="O2000">
        <v>724.81999999999903</v>
      </c>
      <c r="P2000">
        <v>0</v>
      </c>
      <c r="Q2000">
        <v>1</v>
      </c>
      <c r="R2000">
        <v>0</v>
      </c>
      <c r="T2000" t="b">
        <v>1</v>
      </c>
    </row>
    <row r="2001" spans="2:20" x14ac:dyDescent="0.35">
      <c r="B2001">
        <v>2014</v>
      </c>
      <c r="C2001" s="41">
        <v>42795</v>
      </c>
      <c r="D2001" t="s">
        <v>2193</v>
      </c>
      <c r="E2001" t="s">
        <v>219</v>
      </c>
      <c r="F2001" t="s">
        <v>1309</v>
      </c>
      <c r="G2001" t="s">
        <v>1381</v>
      </c>
      <c r="H2001" t="s">
        <v>2194</v>
      </c>
      <c r="I2001" t="s">
        <v>842</v>
      </c>
      <c r="J2001">
        <v>2</v>
      </c>
      <c r="L2001">
        <v>233.36</v>
      </c>
      <c r="M2001">
        <v>397.69</v>
      </c>
      <c r="N2001">
        <v>535.53</v>
      </c>
      <c r="O2001">
        <v>788.26</v>
      </c>
      <c r="P2001">
        <v>0</v>
      </c>
      <c r="Q2001">
        <v>1</v>
      </c>
      <c r="R2001">
        <v>0</v>
      </c>
      <c r="T2001" t="b">
        <v>1</v>
      </c>
    </row>
    <row r="2002" spans="2:20" x14ac:dyDescent="0.35">
      <c r="B2002">
        <v>2014</v>
      </c>
      <c r="C2002" s="41">
        <v>42795</v>
      </c>
      <c r="D2002" t="s">
        <v>2195</v>
      </c>
      <c r="E2002" t="s">
        <v>219</v>
      </c>
      <c r="F2002" t="s">
        <v>1302</v>
      </c>
      <c r="G2002" t="s">
        <v>1381</v>
      </c>
      <c r="H2002" t="s">
        <v>2196</v>
      </c>
      <c r="I2002" t="s">
        <v>842</v>
      </c>
      <c r="J2002">
        <v>2</v>
      </c>
      <c r="L2002">
        <v>218.34</v>
      </c>
      <c r="M2002">
        <v>372.1</v>
      </c>
      <c r="N2002">
        <v>501.07</v>
      </c>
      <c r="O2002">
        <v>737.54</v>
      </c>
      <c r="P2002">
        <v>0</v>
      </c>
      <c r="Q2002">
        <v>1</v>
      </c>
      <c r="R2002">
        <v>0</v>
      </c>
      <c r="T2002" t="b">
        <v>1</v>
      </c>
    </row>
    <row r="2003" spans="2:20" x14ac:dyDescent="0.35">
      <c r="B2003">
        <v>2014</v>
      </c>
      <c r="C2003" s="41">
        <v>42795</v>
      </c>
      <c r="D2003" t="s">
        <v>2195</v>
      </c>
      <c r="E2003" t="s">
        <v>219</v>
      </c>
      <c r="F2003" t="s">
        <v>463</v>
      </c>
      <c r="G2003" t="s">
        <v>1381</v>
      </c>
      <c r="H2003" t="s">
        <v>2196</v>
      </c>
      <c r="I2003" t="s">
        <v>842</v>
      </c>
      <c r="J2003">
        <v>2</v>
      </c>
      <c r="L2003">
        <v>279.82</v>
      </c>
      <c r="M2003">
        <v>476.86</v>
      </c>
      <c r="N2003">
        <v>642.15</v>
      </c>
      <c r="O2003">
        <v>945.2</v>
      </c>
      <c r="P2003">
        <v>0</v>
      </c>
      <c r="Q2003">
        <v>1</v>
      </c>
      <c r="R2003">
        <v>0</v>
      </c>
      <c r="T2003" t="b">
        <v>1</v>
      </c>
    </row>
    <row r="2004" spans="2:20" x14ac:dyDescent="0.35">
      <c r="B2004">
        <v>2014</v>
      </c>
      <c r="C2004" s="41">
        <v>42795</v>
      </c>
      <c r="D2004" t="s">
        <v>2195</v>
      </c>
      <c r="E2004" t="s">
        <v>219</v>
      </c>
      <c r="F2004" t="s">
        <v>459</v>
      </c>
      <c r="G2004" t="s">
        <v>1381</v>
      </c>
      <c r="H2004" t="s">
        <v>2196</v>
      </c>
      <c r="I2004" t="s">
        <v>842</v>
      </c>
      <c r="J2004">
        <v>2</v>
      </c>
      <c r="L2004">
        <v>251.88</v>
      </c>
      <c r="M2004">
        <v>429.25</v>
      </c>
      <c r="N2004">
        <v>578.03</v>
      </c>
      <c r="O2004">
        <v>850.82</v>
      </c>
      <c r="P2004">
        <v>0</v>
      </c>
      <c r="Q2004">
        <v>1</v>
      </c>
      <c r="R2004">
        <v>0</v>
      </c>
      <c r="T2004" t="b">
        <v>1</v>
      </c>
    </row>
    <row r="2005" spans="2:20" x14ac:dyDescent="0.35">
      <c r="B2005">
        <v>2014</v>
      </c>
      <c r="C2005" s="41">
        <v>42795</v>
      </c>
      <c r="D2005" t="s">
        <v>2195</v>
      </c>
      <c r="E2005" t="s">
        <v>219</v>
      </c>
      <c r="F2005" t="s">
        <v>458</v>
      </c>
      <c r="G2005" t="s">
        <v>1381</v>
      </c>
      <c r="H2005" t="s">
        <v>2196</v>
      </c>
      <c r="I2005" t="s">
        <v>842</v>
      </c>
      <c r="J2005">
        <v>2</v>
      </c>
      <c r="L2005">
        <v>195.54</v>
      </c>
      <c r="M2005">
        <v>333.23</v>
      </c>
      <c r="N2005">
        <v>448.73</v>
      </c>
      <c r="O2005">
        <v>660.5</v>
      </c>
      <c r="P2005">
        <v>0</v>
      </c>
      <c r="Q2005">
        <v>1</v>
      </c>
      <c r="R2005">
        <v>0</v>
      </c>
      <c r="T2005" t="b">
        <v>1</v>
      </c>
    </row>
    <row r="2006" spans="2:20" x14ac:dyDescent="0.35">
      <c r="B2006">
        <v>2014</v>
      </c>
      <c r="C2006" s="41">
        <v>42795</v>
      </c>
      <c r="D2006" t="s">
        <v>2195</v>
      </c>
      <c r="E2006" t="s">
        <v>219</v>
      </c>
      <c r="F2006" t="s">
        <v>464</v>
      </c>
      <c r="G2006" t="s">
        <v>1381</v>
      </c>
      <c r="H2006" t="s">
        <v>2196</v>
      </c>
      <c r="I2006" t="s">
        <v>842</v>
      </c>
      <c r="J2006">
        <v>2</v>
      </c>
      <c r="L2006">
        <v>210.49</v>
      </c>
      <c r="M2006">
        <v>358.72</v>
      </c>
      <c r="N2006">
        <v>483.04</v>
      </c>
      <c r="O2006">
        <v>711</v>
      </c>
      <c r="P2006">
        <v>0</v>
      </c>
      <c r="Q2006">
        <v>1</v>
      </c>
      <c r="R2006">
        <v>0</v>
      </c>
      <c r="T2006" t="b">
        <v>1</v>
      </c>
    </row>
    <row r="2007" spans="2:20" x14ac:dyDescent="0.35">
      <c r="B2007">
        <v>2014</v>
      </c>
      <c r="C2007" s="41">
        <v>42795</v>
      </c>
      <c r="D2007" t="s">
        <v>2195</v>
      </c>
      <c r="E2007" t="s">
        <v>219</v>
      </c>
      <c r="F2007" t="s">
        <v>460</v>
      </c>
      <c r="G2007" t="s">
        <v>1381</v>
      </c>
      <c r="H2007" t="s">
        <v>2196</v>
      </c>
      <c r="I2007" t="s">
        <v>842</v>
      </c>
      <c r="J2007">
        <v>2</v>
      </c>
      <c r="L2007">
        <v>208.66</v>
      </c>
      <c r="M2007">
        <v>355.59</v>
      </c>
      <c r="N2007">
        <v>478.84</v>
      </c>
      <c r="O2007">
        <v>704.81999999999903</v>
      </c>
      <c r="P2007">
        <v>0</v>
      </c>
      <c r="Q2007">
        <v>1</v>
      </c>
      <c r="R2007">
        <v>0</v>
      </c>
      <c r="T2007" t="b">
        <v>1</v>
      </c>
    </row>
    <row r="2008" spans="2:20" x14ac:dyDescent="0.35">
      <c r="B2008">
        <v>2014</v>
      </c>
      <c r="C2008" s="41">
        <v>42795</v>
      </c>
      <c r="D2008" t="s">
        <v>2195</v>
      </c>
      <c r="E2008" t="s">
        <v>219</v>
      </c>
      <c r="F2008" t="s">
        <v>1309</v>
      </c>
      <c r="G2008" t="s">
        <v>1381</v>
      </c>
      <c r="H2008" t="s">
        <v>2196</v>
      </c>
      <c r="I2008" t="s">
        <v>842</v>
      </c>
      <c r="J2008">
        <v>2</v>
      </c>
      <c r="L2008">
        <v>212.65</v>
      </c>
      <c r="M2008">
        <v>362.4</v>
      </c>
      <c r="N2008">
        <v>488</v>
      </c>
      <c r="O2008">
        <v>718.3</v>
      </c>
      <c r="P2008">
        <v>0</v>
      </c>
      <c r="Q2008">
        <v>1</v>
      </c>
      <c r="R2008">
        <v>0</v>
      </c>
      <c r="T2008" t="b">
        <v>1</v>
      </c>
    </row>
    <row r="2009" spans="2:20" x14ac:dyDescent="0.35">
      <c r="B2009">
        <v>2014</v>
      </c>
      <c r="C2009" s="41">
        <v>42795</v>
      </c>
      <c r="D2009" t="s">
        <v>2195</v>
      </c>
      <c r="E2009" t="s">
        <v>219</v>
      </c>
      <c r="F2009" t="s">
        <v>462</v>
      </c>
      <c r="G2009" t="s">
        <v>1381</v>
      </c>
      <c r="H2009" t="s">
        <v>2196</v>
      </c>
      <c r="I2009" t="s">
        <v>842</v>
      </c>
      <c r="J2009">
        <v>2</v>
      </c>
      <c r="L2009">
        <v>226.6</v>
      </c>
      <c r="M2009">
        <v>386.17</v>
      </c>
      <c r="N2009">
        <v>520.01</v>
      </c>
      <c r="O2009">
        <v>765.42</v>
      </c>
      <c r="P2009">
        <v>0</v>
      </c>
      <c r="Q2009">
        <v>1</v>
      </c>
      <c r="R2009">
        <v>0</v>
      </c>
      <c r="T2009" t="b">
        <v>1</v>
      </c>
    </row>
    <row r="2010" spans="2:20" x14ac:dyDescent="0.35">
      <c r="B2010">
        <v>2014</v>
      </c>
      <c r="C2010" s="41">
        <v>42795</v>
      </c>
      <c r="D2010" t="s">
        <v>2195</v>
      </c>
      <c r="E2010" t="s">
        <v>219</v>
      </c>
      <c r="F2010" t="s">
        <v>1311</v>
      </c>
      <c r="G2010" t="s">
        <v>1381</v>
      </c>
      <c r="H2010" t="s">
        <v>2196</v>
      </c>
      <c r="I2010" t="s">
        <v>842</v>
      </c>
      <c r="J2010">
        <v>2</v>
      </c>
      <c r="L2010">
        <v>205.64</v>
      </c>
      <c r="M2010">
        <v>350.45</v>
      </c>
      <c r="N2010">
        <v>471.909999999999</v>
      </c>
      <c r="O2010">
        <v>694.62</v>
      </c>
      <c r="P2010">
        <v>0</v>
      </c>
      <c r="Q2010">
        <v>1</v>
      </c>
      <c r="R2010">
        <v>0</v>
      </c>
      <c r="T2010" t="b">
        <v>1</v>
      </c>
    </row>
    <row r="2011" spans="2:20" x14ac:dyDescent="0.35">
      <c r="B2011">
        <v>2014</v>
      </c>
      <c r="C2011" s="41">
        <v>42795</v>
      </c>
      <c r="D2011" t="s">
        <v>2195</v>
      </c>
      <c r="E2011" t="s">
        <v>219</v>
      </c>
      <c r="F2011" t="s">
        <v>1298</v>
      </c>
      <c r="G2011" t="s">
        <v>1381</v>
      </c>
      <c r="H2011" t="s">
        <v>2196</v>
      </c>
      <c r="I2011" t="s">
        <v>842</v>
      </c>
      <c r="J2011">
        <v>2</v>
      </c>
      <c r="L2011">
        <v>235.89</v>
      </c>
      <c r="M2011">
        <v>402.01</v>
      </c>
      <c r="N2011">
        <v>541.34</v>
      </c>
      <c r="O2011">
        <v>796.81999999999903</v>
      </c>
      <c r="P2011">
        <v>0</v>
      </c>
      <c r="Q2011">
        <v>1</v>
      </c>
      <c r="R2011">
        <v>0</v>
      </c>
      <c r="T2011" t="b">
        <v>1</v>
      </c>
    </row>
    <row r="2012" spans="2:20" x14ac:dyDescent="0.35">
      <c r="B2012">
        <v>2014</v>
      </c>
      <c r="C2012" s="41">
        <v>42795</v>
      </c>
      <c r="D2012" t="s">
        <v>2195</v>
      </c>
      <c r="E2012" t="s">
        <v>219</v>
      </c>
      <c r="F2012" t="s">
        <v>1389</v>
      </c>
      <c r="G2012" t="s">
        <v>1381</v>
      </c>
      <c r="H2012" t="s">
        <v>2196</v>
      </c>
      <c r="I2012" t="s">
        <v>842</v>
      </c>
      <c r="J2012">
        <v>2</v>
      </c>
      <c r="L2012">
        <v>212.74</v>
      </c>
      <c r="M2012">
        <v>362.56</v>
      </c>
      <c r="N2012">
        <v>488.23</v>
      </c>
      <c r="O2012">
        <v>718.64</v>
      </c>
      <c r="P2012">
        <v>0</v>
      </c>
      <c r="Q2012">
        <v>1</v>
      </c>
      <c r="R2012">
        <v>0</v>
      </c>
      <c r="T2012" t="b">
        <v>1</v>
      </c>
    </row>
    <row r="2013" spans="2:20" x14ac:dyDescent="0.35">
      <c r="B2013">
        <v>2014</v>
      </c>
      <c r="C2013" s="41">
        <v>42795</v>
      </c>
      <c r="D2013" t="s">
        <v>2195</v>
      </c>
      <c r="E2013" t="s">
        <v>219</v>
      </c>
      <c r="F2013" t="s">
        <v>461</v>
      </c>
      <c r="G2013" t="s">
        <v>1381</v>
      </c>
      <c r="H2013" t="s">
        <v>2196</v>
      </c>
      <c r="I2013" t="s">
        <v>842</v>
      </c>
      <c r="J2013">
        <v>2</v>
      </c>
      <c r="L2013">
        <v>245.05</v>
      </c>
      <c r="M2013">
        <v>417.62</v>
      </c>
      <c r="N2013">
        <v>562.35999999999899</v>
      </c>
      <c r="O2013">
        <v>827.76</v>
      </c>
      <c r="P2013">
        <v>0</v>
      </c>
      <c r="Q2013">
        <v>1</v>
      </c>
      <c r="R2013">
        <v>0</v>
      </c>
      <c r="T2013" t="b">
        <v>1</v>
      </c>
    </row>
    <row r="2014" spans="2:20" x14ac:dyDescent="0.35">
      <c r="B2014">
        <v>2014</v>
      </c>
      <c r="C2014" s="41">
        <v>42795</v>
      </c>
      <c r="D2014" t="s">
        <v>2195</v>
      </c>
      <c r="E2014" t="s">
        <v>219</v>
      </c>
      <c r="F2014" t="s">
        <v>1301</v>
      </c>
      <c r="G2014" t="s">
        <v>1381</v>
      </c>
      <c r="H2014" t="s">
        <v>2196</v>
      </c>
      <c r="I2014" t="s">
        <v>842</v>
      </c>
      <c r="J2014">
        <v>2</v>
      </c>
      <c r="L2014">
        <v>205.94</v>
      </c>
      <c r="M2014">
        <v>350.97</v>
      </c>
      <c r="N2014">
        <v>472.6</v>
      </c>
      <c r="O2014">
        <v>695.64</v>
      </c>
      <c r="P2014">
        <v>0</v>
      </c>
      <c r="Q2014">
        <v>1</v>
      </c>
      <c r="R2014">
        <v>0</v>
      </c>
      <c r="T2014" t="b">
        <v>1</v>
      </c>
    </row>
    <row r="2015" spans="2:20" x14ac:dyDescent="0.35">
      <c r="B2015">
        <v>2014</v>
      </c>
      <c r="C2015" s="41">
        <v>42795</v>
      </c>
      <c r="D2015" t="s">
        <v>2195</v>
      </c>
      <c r="E2015" t="s">
        <v>219</v>
      </c>
      <c r="F2015" t="s">
        <v>1307</v>
      </c>
      <c r="G2015" t="s">
        <v>1381</v>
      </c>
      <c r="H2015" t="s">
        <v>2196</v>
      </c>
      <c r="I2015" t="s">
        <v>842</v>
      </c>
      <c r="J2015">
        <v>2</v>
      </c>
      <c r="L2015">
        <v>269.57</v>
      </c>
      <c r="M2015">
        <v>459.39</v>
      </c>
      <c r="N2015">
        <v>618.6</v>
      </c>
      <c r="O2015">
        <v>910.54</v>
      </c>
      <c r="P2015">
        <v>0</v>
      </c>
      <c r="Q2015">
        <v>1</v>
      </c>
      <c r="R2015">
        <v>0</v>
      </c>
      <c r="T2015" t="b">
        <v>1</v>
      </c>
    </row>
    <row r="2016" spans="2:20" x14ac:dyDescent="0.35">
      <c r="B2016">
        <v>2014</v>
      </c>
      <c r="C2016" s="41">
        <v>42795</v>
      </c>
      <c r="D2016" t="s">
        <v>2195</v>
      </c>
      <c r="E2016" t="s">
        <v>219</v>
      </c>
      <c r="F2016" t="s">
        <v>1390</v>
      </c>
      <c r="G2016" t="s">
        <v>1381</v>
      </c>
      <c r="H2016" t="s">
        <v>2196</v>
      </c>
      <c r="I2016" t="s">
        <v>842</v>
      </c>
      <c r="J2016">
        <v>2</v>
      </c>
      <c r="L2016">
        <v>256.81</v>
      </c>
      <c r="M2016">
        <v>437.66</v>
      </c>
      <c r="N2016">
        <v>589.35</v>
      </c>
      <c r="O2016">
        <v>867.48</v>
      </c>
      <c r="P2016">
        <v>0</v>
      </c>
      <c r="Q2016">
        <v>1</v>
      </c>
      <c r="R2016">
        <v>0</v>
      </c>
      <c r="T2016" t="b">
        <v>1</v>
      </c>
    </row>
    <row r="2017" spans="2:20" x14ac:dyDescent="0.35">
      <c r="B2017">
        <v>2014</v>
      </c>
      <c r="C2017" s="41">
        <v>42795</v>
      </c>
      <c r="D2017" t="s">
        <v>2195</v>
      </c>
      <c r="E2017" t="s">
        <v>219</v>
      </c>
      <c r="F2017" t="s">
        <v>1310</v>
      </c>
      <c r="G2017" t="s">
        <v>1381</v>
      </c>
      <c r="H2017" t="s">
        <v>2196</v>
      </c>
      <c r="I2017" t="s">
        <v>842</v>
      </c>
      <c r="J2017">
        <v>2</v>
      </c>
      <c r="L2017">
        <v>305.27999999999997</v>
      </c>
      <c r="M2017">
        <v>520.26</v>
      </c>
      <c r="N2017">
        <v>700.58999999999901</v>
      </c>
      <c r="O2017">
        <v>1031.22</v>
      </c>
      <c r="P2017">
        <v>0</v>
      </c>
      <c r="Q2017">
        <v>1</v>
      </c>
      <c r="R2017">
        <v>0</v>
      </c>
      <c r="T2017" t="b">
        <v>1</v>
      </c>
    </row>
    <row r="2018" spans="2:20" x14ac:dyDescent="0.35">
      <c r="B2018">
        <v>2014</v>
      </c>
      <c r="C2018" s="41">
        <v>42795</v>
      </c>
      <c r="D2018" t="s">
        <v>1514</v>
      </c>
      <c r="E2018" t="s">
        <v>219</v>
      </c>
      <c r="F2018" t="s">
        <v>458</v>
      </c>
      <c r="G2018" t="s">
        <v>245</v>
      </c>
      <c r="H2018" t="s">
        <v>2197</v>
      </c>
      <c r="I2018" t="s">
        <v>1427</v>
      </c>
      <c r="J2018">
        <v>2</v>
      </c>
      <c r="L2018">
        <v>150</v>
      </c>
      <c r="M2018">
        <v>256</v>
      </c>
      <c r="N2018">
        <v>344</v>
      </c>
      <c r="O2018">
        <v>506</v>
      </c>
      <c r="P2018">
        <v>0</v>
      </c>
      <c r="Q2018">
        <v>1</v>
      </c>
      <c r="R2018">
        <v>0</v>
      </c>
      <c r="T2018" t="b">
        <v>1</v>
      </c>
    </row>
    <row r="2019" spans="2:20" x14ac:dyDescent="0.35">
      <c r="B2019">
        <v>2014</v>
      </c>
      <c r="C2019" s="41">
        <v>42795</v>
      </c>
      <c r="D2019" t="s">
        <v>1514</v>
      </c>
      <c r="E2019" t="s">
        <v>219</v>
      </c>
      <c r="F2019" t="s">
        <v>1311</v>
      </c>
      <c r="G2019" t="s">
        <v>245</v>
      </c>
      <c r="H2019" t="s">
        <v>2197</v>
      </c>
      <c r="I2019" t="s">
        <v>1427</v>
      </c>
      <c r="J2019">
        <v>2</v>
      </c>
      <c r="L2019">
        <v>150</v>
      </c>
      <c r="M2019">
        <v>256</v>
      </c>
      <c r="N2019">
        <v>344</v>
      </c>
      <c r="O2019">
        <v>506</v>
      </c>
      <c r="P2019">
        <v>0</v>
      </c>
      <c r="Q2019">
        <v>1</v>
      </c>
      <c r="R2019">
        <v>0</v>
      </c>
      <c r="T2019" t="b">
        <v>1</v>
      </c>
    </row>
    <row r="2020" spans="2:20" x14ac:dyDescent="0.35">
      <c r="B2020">
        <v>2014</v>
      </c>
      <c r="C2020" s="41">
        <v>42795</v>
      </c>
      <c r="D2020" t="s">
        <v>1514</v>
      </c>
      <c r="E2020" t="s">
        <v>219</v>
      </c>
      <c r="F2020" t="s">
        <v>461</v>
      </c>
      <c r="G2020" t="s">
        <v>245</v>
      </c>
      <c r="H2020" t="s">
        <v>2197</v>
      </c>
      <c r="I2020" t="s">
        <v>1427</v>
      </c>
      <c r="J2020">
        <v>2</v>
      </c>
      <c r="L2020">
        <v>150</v>
      </c>
      <c r="M2020">
        <v>256</v>
      </c>
      <c r="N2020">
        <v>344</v>
      </c>
      <c r="O2020">
        <v>506</v>
      </c>
      <c r="P2020">
        <v>0</v>
      </c>
      <c r="Q2020">
        <v>1</v>
      </c>
      <c r="R2020">
        <v>0</v>
      </c>
      <c r="T2020" t="b">
        <v>1</v>
      </c>
    </row>
    <row r="2021" spans="2:20" x14ac:dyDescent="0.35">
      <c r="B2021">
        <v>2014</v>
      </c>
      <c r="C2021" s="41">
        <v>42795</v>
      </c>
      <c r="D2021" t="s">
        <v>1514</v>
      </c>
      <c r="E2021" t="s">
        <v>219</v>
      </c>
      <c r="F2021" t="s">
        <v>1309</v>
      </c>
      <c r="G2021" t="s">
        <v>245</v>
      </c>
      <c r="H2021" t="s">
        <v>2197</v>
      </c>
      <c r="I2021" t="s">
        <v>1427</v>
      </c>
      <c r="J2021">
        <v>2</v>
      </c>
      <c r="L2021">
        <v>150</v>
      </c>
      <c r="M2021">
        <v>256</v>
      </c>
      <c r="N2021">
        <v>344</v>
      </c>
      <c r="O2021">
        <v>506</v>
      </c>
      <c r="P2021">
        <v>0</v>
      </c>
      <c r="Q2021">
        <v>1</v>
      </c>
      <c r="R2021">
        <v>0</v>
      </c>
      <c r="T2021" t="b">
        <v>1</v>
      </c>
    </row>
    <row r="2022" spans="2:20" x14ac:dyDescent="0.35">
      <c r="B2022">
        <v>2014</v>
      </c>
      <c r="C2022" s="41">
        <v>42795</v>
      </c>
      <c r="D2022" t="s">
        <v>1514</v>
      </c>
      <c r="E2022" t="s">
        <v>219</v>
      </c>
      <c r="F2022" t="s">
        <v>1301</v>
      </c>
      <c r="G2022" t="s">
        <v>245</v>
      </c>
      <c r="H2022" t="s">
        <v>2197</v>
      </c>
      <c r="I2022" t="s">
        <v>1427</v>
      </c>
      <c r="J2022">
        <v>2</v>
      </c>
      <c r="L2022">
        <v>150</v>
      </c>
      <c r="M2022">
        <v>256</v>
      </c>
      <c r="N2022">
        <v>344</v>
      </c>
      <c r="O2022">
        <v>506</v>
      </c>
      <c r="P2022">
        <v>0</v>
      </c>
      <c r="Q2022">
        <v>1</v>
      </c>
      <c r="R2022">
        <v>0</v>
      </c>
      <c r="T2022" t="b">
        <v>1</v>
      </c>
    </row>
    <row r="2023" spans="2:20" x14ac:dyDescent="0.35">
      <c r="B2023">
        <v>2014</v>
      </c>
      <c r="C2023" s="41">
        <v>42795</v>
      </c>
      <c r="D2023" t="s">
        <v>1514</v>
      </c>
      <c r="E2023" t="s">
        <v>219</v>
      </c>
      <c r="F2023" t="s">
        <v>1390</v>
      </c>
      <c r="G2023" t="s">
        <v>245</v>
      </c>
      <c r="H2023" t="s">
        <v>2197</v>
      </c>
      <c r="I2023" t="s">
        <v>1427</v>
      </c>
      <c r="J2023">
        <v>2</v>
      </c>
      <c r="L2023">
        <v>150</v>
      </c>
      <c r="M2023">
        <v>256</v>
      </c>
      <c r="N2023">
        <v>344</v>
      </c>
      <c r="O2023">
        <v>506</v>
      </c>
      <c r="P2023">
        <v>0</v>
      </c>
      <c r="Q2023">
        <v>1</v>
      </c>
      <c r="R2023">
        <v>0</v>
      </c>
      <c r="T2023" t="b">
        <v>1</v>
      </c>
    </row>
    <row r="2024" spans="2:20" x14ac:dyDescent="0.35">
      <c r="B2024">
        <v>2014</v>
      </c>
      <c r="C2024" s="41">
        <v>42795</v>
      </c>
      <c r="D2024" t="s">
        <v>1095</v>
      </c>
      <c r="E2024" t="s">
        <v>219</v>
      </c>
      <c r="F2024" t="s">
        <v>1301</v>
      </c>
      <c r="G2024" t="s">
        <v>245</v>
      </c>
      <c r="H2024" t="s">
        <v>1096</v>
      </c>
      <c r="I2024" t="s">
        <v>842</v>
      </c>
      <c r="J2024">
        <v>2</v>
      </c>
      <c r="L2024">
        <v>191</v>
      </c>
      <c r="M2024">
        <v>325</v>
      </c>
      <c r="N2024">
        <v>438</v>
      </c>
      <c r="O2024">
        <v>644</v>
      </c>
      <c r="P2024">
        <v>0</v>
      </c>
      <c r="Q2024">
        <v>1</v>
      </c>
      <c r="R2024">
        <v>0</v>
      </c>
      <c r="T2024" t="b">
        <v>1</v>
      </c>
    </row>
    <row r="2025" spans="2:20" x14ac:dyDescent="0.35">
      <c r="B2025">
        <v>2014</v>
      </c>
      <c r="C2025" s="41">
        <v>42795</v>
      </c>
      <c r="D2025" t="s">
        <v>1095</v>
      </c>
      <c r="E2025" t="s">
        <v>219</v>
      </c>
      <c r="F2025" t="s">
        <v>1311</v>
      </c>
      <c r="G2025" t="s">
        <v>245</v>
      </c>
      <c r="H2025" t="s">
        <v>1096</v>
      </c>
      <c r="I2025" t="s">
        <v>842</v>
      </c>
      <c r="J2025">
        <v>2</v>
      </c>
      <c r="L2025">
        <v>191</v>
      </c>
      <c r="M2025">
        <v>325</v>
      </c>
      <c r="N2025">
        <v>438</v>
      </c>
      <c r="O2025">
        <v>644</v>
      </c>
      <c r="P2025">
        <v>0</v>
      </c>
      <c r="Q2025">
        <v>1</v>
      </c>
      <c r="R2025">
        <v>0</v>
      </c>
      <c r="T2025" t="b">
        <v>1</v>
      </c>
    </row>
    <row r="2026" spans="2:20" x14ac:dyDescent="0.35">
      <c r="B2026">
        <v>2014</v>
      </c>
      <c r="C2026" s="41">
        <v>42795</v>
      </c>
      <c r="D2026" t="s">
        <v>1095</v>
      </c>
      <c r="E2026" t="s">
        <v>219</v>
      </c>
      <c r="F2026" t="s">
        <v>461</v>
      </c>
      <c r="G2026" t="s">
        <v>245</v>
      </c>
      <c r="H2026" t="s">
        <v>1096</v>
      </c>
      <c r="I2026" t="s">
        <v>842</v>
      </c>
      <c r="J2026">
        <v>2</v>
      </c>
      <c r="L2026">
        <v>191</v>
      </c>
      <c r="M2026">
        <v>325</v>
      </c>
      <c r="N2026">
        <v>438</v>
      </c>
      <c r="O2026">
        <v>644</v>
      </c>
      <c r="P2026">
        <v>0</v>
      </c>
      <c r="Q2026">
        <v>1</v>
      </c>
      <c r="R2026">
        <v>0</v>
      </c>
      <c r="T2026" t="b">
        <v>1</v>
      </c>
    </row>
    <row r="2027" spans="2:20" x14ac:dyDescent="0.35">
      <c r="B2027">
        <v>2014</v>
      </c>
      <c r="C2027" s="41">
        <v>42795</v>
      </c>
      <c r="D2027" t="s">
        <v>1095</v>
      </c>
      <c r="E2027" t="s">
        <v>219</v>
      </c>
      <c r="F2027" t="s">
        <v>458</v>
      </c>
      <c r="G2027" t="s">
        <v>245</v>
      </c>
      <c r="H2027" t="s">
        <v>1096</v>
      </c>
      <c r="I2027" t="s">
        <v>842</v>
      </c>
      <c r="J2027">
        <v>2</v>
      </c>
      <c r="L2027">
        <v>191</v>
      </c>
      <c r="M2027">
        <v>325</v>
      </c>
      <c r="N2027">
        <v>438</v>
      </c>
      <c r="O2027">
        <v>644</v>
      </c>
      <c r="P2027">
        <v>0</v>
      </c>
      <c r="Q2027">
        <v>1</v>
      </c>
      <c r="R2027">
        <v>0</v>
      </c>
      <c r="T2027" t="b">
        <v>1</v>
      </c>
    </row>
    <row r="2028" spans="2:20" x14ac:dyDescent="0.35">
      <c r="B2028">
        <v>2014</v>
      </c>
      <c r="C2028" s="41">
        <v>42795</v>
      </c>
      <c r="D2028" t="s">
        <v>1095</v>
      </c>
      <c r="E2028" t="s">
        <v>219</v>
      </c>
      <c r="F2028" t="s">
        <v>1309</v>
      </c>
      <c r="G2028" t="s">
        <v>245</v>
      </c>
      <c r="H2028" t="s">
        <v>1096</v>
      </c>
      <c r="I2028" t="s">
        <v>842</v>
      </c>
      <c r="J2028">
        <v>2</v>
      </c>
      <c r="L2028">
        <v>191</v>
      </c>
      <c r="M2028">
        <v>325</v>
      </c>
      <c r="N2028">
        <v>438</v>
      </c>
      <c r="O2028">
        <v>644</v>
      </c>
      <c r="P2028">
        <v>0</v>
      </c>
      <c r="Q2028">
        <v>1</v>
      </c>
      <c r="R2028">
        <v>0</v>
      </c>
      <c r="T2028" t="b">
        <v>1</v>
      </c>
    </row>
    <row r="2029" spans="2:20" x14ac:dyDescent="0.35">
      <c r="B2029">
        <v>2014</v>
      </c>
      <c r="C2029" s="41">
        <v>42795</v>
      </c>
      <c r="D2029" t="s">
        <v>1095</v>
      </c>
      <c r="E2029" t="s">
        <v>219</v>
      </c>
      <c r="F2029" t="s">
        <v>1390</v>
      </c>
      <c r="G2029" t="s">
        <v>245</v>
      </c>
      <c r="H2029" t="s">
        <v>1096</v>
      </c>
      <c r="I2029" t="s">
        <v>842</v>
      </c>
      <c r="J2029">
        <v>2</v>
      </c>
      <c r="L2029">
        <v>191</v>
      </c>
      <c r="M2029">
        <v>325</v>
      </c>
      <c r="N2029">
        <v>438</v>
      </c>
      <c r="O2029">
        <v>644</v>
      </c>
      <c r="P2029">
        <v>0</v>
      </c>
      <c r="Q2029">
        <v>1</v>
      </c>
      <c r="R2029">
        <v>0</v>
      </c>
      <c r="T2029" t="b">
        <v>1</v>
      </c>
    </row>
    <row r="2030" spans="2:20" x14ac:dyDescent="0.35">
      <c r="B2030">
        <v>2014</v>
      </c>
      <c r="C2030" s="41">
        <v>42795</v>
      </c>
      <c r="D2030" t="s">
        <v>1099</v>
      </c>
      <c r="E2030" t="s">
        <v>219</v>
      </c>
      <c r="F2030" t="s">
        <v>461</v>
      </c>
      <c r="G2030" t="s">
        <v>245</v>
      </c>
      <c r="H2030" t="s">
        <v>1100</v>
      </c>
      <c r="I2030" t="s">
        <v>842</v>
      </c>
      <c r="J2030">
        <v>2</v>
      </c>
      <c r="L2030">
        <v>208</v>
      </c>
      <c r="M2030">
        <v>355</v>
      </c>
      <c r="N2030">
        <v>478</v>
      </c>
      <c r="O2030">
        <v>704</v>
      </c>
      <c r="P2030">
        <v>0</v>
      </c>
      <c r="Q2030">
        <v>1</v>
      </c>
      <c r="R2030">
        <v>0</v>
      </c>
      <c r="T2030" t="b">
        <v>1</v>
      </c>
    </row>
    <row r="2031" spans="2:20" x14ac:dyDescent="0.35">
      <c r="B2031">
        <v>2014</v>
      </c>
      <c r="C2031" s="41">
        <v>42795</v>
      </c>
      <c r="D2031" t="s">
        <v>1099</v>
      </c>
      <c r="E2031" t="s">
        <v>219</v>
      </c>
      <c r="F2031" t="s">
        <v>1390</v>
      </c>
      <c r="G2031" t="s">
        <v>245</v>
      </c>
      <c r="H2031" t="s">
        <v>1100</v>
      </c>
      <c r="I2031" t="s">
        <v>842</v>
      </c>
      <c r="J2031">
        <v>2</v>
      </c>
      <c r="L2031">
        <v>208</v>
      </c>
      <c r="M2031">
        <v>355</v>
      </c>
      <c r="N2031">
        <v>478</v>
      </c>
      <c r="O2031">
        <v>704</v>
      </c>
      <c r="P2031">
        <v>0</v>
      </c>
      <c r="Q2031">
        <v>1</v>
      </c>
      <c r="R2031">
        <v>0</v>
      </c>
      <c r="T2031" t="b">
        <v>1</v>
      </c>
    </row>
    <row r="2032" spans="2:20" x14ac:dyDescent="0.35">
      <c r="B2032">
        <v>2014</v>
      </c>
      <c r="C2032" s="41">
        <v>42795</v>
      </c>
      <c r="D2032" t="s">
        <v>1099</v>
      </c>
      <c r="E2032" t="s">
        <v>219</v>
      </c>
      <c r="F2032" t="s">
        <v>1309</v>
      </c>
      <c r="G2032" t="s">
        <v>245</v>
      </c>
      <c r="H2032" t="s">
        <v>1100</v>
      </c>
      <c r="I2032" t="s">
        <v>842</v>
      </c>
      <c r="J2032">
        <v>2</v>
      </c>
      <c r="L2032">
        <v>208</v>
      </c>
      <c r="M2032">
        <v>355</v>
      </c>
      <c r="N2032">
        <v>478</v>
      </c>
      <c r="O2032">
        <v>704</v>
      </c>
      <c r="P2032">
        <v>0</v>
      </c>
      <c r="Q2032">
        <v>1</v>
      </c>
      <c r="R2032">
        <v>0</v>
      </c>
      <c r="T2032" t="b">
        <v>1</v>
      </c>
    </row>
    <row r="2033" spans="2:20" x14ac:dyDescent="0.35">
      <c r="B2033">
        <v>2014</v>
      </c>
      <c r="C2033" s="41">
        <v>42795</v>
      </c>
      <c r="D2033" t="s">
        <v>1099</v>
      </c>
      <c r="E2033" t="s">
        <v>219</v>
      </c>
      <c r="F2033" t="s">
        <v>458</v>
      </c>
      <c r="G2033" t="s">
        <v>245</v>
      </c>
      <c r="H2033" t="s">
        <v>1100</v>
      </c>
      <c r="I2033" t="s">
        <v>842</v>
      </c>
      <c r="J2033">
        <v>2</v>
      </c>
      <c r="L2033">
        <v>208</v>
      </c>
      <c r="M2033">
        <v>355</v>
      </c>
      <c r="N2033">
        <v>478</v>
      </c>
      <c r="O2033">
        <v>704</v>
      </c>
      <c r="P2033">
        <v>0</v>
      </c>
      <c r="Q2033">
        <v>1</v>
      </c>
      <c r="R2033">
        <v>0</v>
      </c>
      <c r="T2033" t="b">
        <v>1</v>
      </c>
    </row>
    <row r="2034" spans="2:20" x14ac:dyDescent="0.35">
      <c r="B2034">
        <v>2014</v>
      </c>
      <c r="C2034" s="41">
        <v>42795</v>
      </c>
      <c r="D2034" t="s">
        <v>1099</v>
      </c>
      <c r="E2034" t="s">
        <v>219</v>
      </c>
      <c r="F2034" t="s">
        <v>1311</v>
      </c>
      <c r="G2034" t="s">
        <v>245</v>
      </c>
      <c r="H2034" t="s">
        <v>1100</v>
      </c>
      <c r="I2034" t="s">
        <v>842</v>
      </c>
      <c r="J2034">
        <v>2</v>
      </c>
      <c r="L2034">
        <v>208</v>
      </c>
      <c r="M2034">
        <v>355</v>
      </c>
      <c r="N2034">
        <v>478</v>
      </c>
      <c r="O2034">
        <v>704</v>
      </c>
      <c r="P2034">
        <v>0</v>
      </c>
      <c r="Q2034">
        <v>1</v>
      </c>
      <c r="R2034">
        <v>0</v>
      </c>
      <c r="T2034" t="b">
        <v>1</v>
      </c>
    </row>
    <row r="2035" spans="2:20" x14ac:dyDescent="0.35">
      <c r="B2035">
        <v>2014</v>
      </c>
      <c r="C2035" s="41">
        <v>42795</v>
      </c>
      <c r="D2035" t="s">
        <v>1099</v>
      </c>
      <c r="E2035" t="s">
        <v>219</v>
      </c>
      <c r="F2035" t="s">
        <v>1301</v>
      </c>
      <c r="G2035" t="s">
        <v>245</v>
      </c>
      <c r="H2035" t="s">
        <v>1100</v>
      </c>
      <c r="I2035" t="s">
        <v>842</v>
      </c>
      <c r="J2035">
        <v>2</v>
      </c>
      <c r="L2035">
        <v>208</v>
      </c>
      <c r="M2035">
        <v>355</v>
      </c>
      <c r="N2035">
        <v>478</v>
      </c>
      <c r="O2035">
        <v>704</v>
      </c>
      <c r="P2035">
        <v>0</v>
      </c>
      <c r="Q2035">
        <v>1</v>
      </c>
      <c r="R2035">
        <v>0</v>
      </c>
      <c r="T2035" t="b">
        <v>1</v>
      </c>
    </row>
    <row r="2036" spans="2:20" x14ac:dyDescent="0.35">
      <c r="B2036">
        <v>2014</v>
      </c>
      <c r="C2036" s="41">
        <v>42795</v>
      </c>
      <c r="D2036" t="s">
        <v>298</v>
      </c>
      <c r="E2036" t="s">
        <v>219</v>
      </c>
      <c r="F2036" t="s">
        <v>1311</v>
      </c>
      <c r="G2036" t="s">
        <v>245</v>
      </c>
      <c r="H2036" t="s">
        <v>299</v>
      </c>
      <c r="I2036" t="s">
        <v>310</v>
      </c>
      <c r="J2036">
        <v>2</v>
      </c>
      <c r="L2036">
        <v>243</v>
      </c>
      <c r="M2036">
        <v>415</v>
      </c>
      <c r="N2036">
        <v>560</v>
      </c>
      <c r="O2036">
        <v>824</v>
      </c>
      <c r="P2036">
        <v>0</v>
      </c>
      <c r="Q2036">
        <v>1</v>
      </c>
      <c r="R2036">
        <v>0</v>
      </c>
      <c r="T2036" t="b">
        <v>1</v>
      </c>
    </row>
    <row r="2037" spans="2:20" x14ac:dyDescent="0.35">
      <c r="B2037">
        <v>2014</v>
      </c>
      <c r="C2037" s="41">
        <v>42795</v>
      </c>
      <c r="D2037" t="s">
        <v>298</v>
      </c>
      <c r="E2037" t="s">
        <v>219</v>
      </c>
      <c r="F2037" t="s">
        <v>1309</v>
      </c>
      <c r="G2037" t="s">
        <v>245</v>
      </c>
      <c r="H2037" t="s">
        <v>299</v>
      </c>
      <c r="I2037" t="s">
        <v>310</v>
      </c>
      <c r="J2037">
        <v>2</v>
      </c>
      <c r="L2037">
        <v>243</v>
      </c>
      <c r="M2037">
        <v>415</v>
      </c>
      <c r="N2037">
        <v>560</v>
      </c>
      <c r="O2037">
        <v>824</v>
      </c>
      <c r="P2037">
        <v>0</v>
      </c>
      <c r="Q2037">
        <v>1</v>
      </c>
      <c r="R2037">
        <v>0</v>
      </c>
      <c r="T2037" t="b">
        <v>1</v>
      </c>
    </row>
    <row r="2038" spans="2:20" x14ac:dyDescent="0.35">
      <c r="B2038">
        <v>2014</v>
      </c>
      <c r="C2038" s="41">
        <v>42795</v>
      </c>
      <c r="D2038" t="s">
        <v>298</v>
      </c>
      <c r="E2038" t="s">
        <v>219</v>
      </c>
      <c r="F2038" t="s">
        <v>461</v>
      </c>
      <c r="G2038" t="s">
        <v>245</v>
      </c>
      <c r="H2038" t="s">
        <v>299</v>
      </c>
      <c r="I2038" t="s">
        <v>310</v>
      </c>
      <c r="J2038">
        <v>2</v>
      </c>
      <c r="L2038">
        <v>243</v>
      </c>
      <c r="M2038">
        <v>415</v>
      </c>
      <c r="N2038">
        <v>560</v>
      </c>
      <c r="O2038">
        <v>824</v>
      </c>
      <c r="P2038">
        <v>0</v>
      </c>
      <c r="Q2038">
        <v>1</v>
      </c>
      <c r="R2038">
        <v>0</v>
      </c>
      <c r="T2038" t="b">
        <v>1</v>
      </c>
    </row>
    <row r="2039" spans="2:20" x14ac:dyDescent="0.35">
      <c r="B2039">
        <v>2014</v>
      </c>
      <c r="C2039" s="41">
        <v>42795</v>
      </c>
      <c r="D2039" t="s">
        <v>298</v>
      </c>
      <c r="E2039" t="s">
        <v>219</v>
      </c>
      <c r="F2039" t="s">
        <v>1301</v>
      </c>
      <c r="G2039" t="s">
        <v>245</v>
      </c>
      <c r="H2039" t="s">
        <v>299</v>
      </c>
      <c r="I2039" t="s">
        <v>310</v>
      </c>
      <c r="J2039">
        <v>2</v>
      </c>
      <c r="L2039">
        <v>243</v>
      </c>
      <c r="M2039">
        <v>415</v>
      </c>
      <c r="N2039">
        <v>560</v>
      </c>
      <c r="O2039">
        <v>824</v>
      </c>
      <c r="P2039">
        <v>0</v>
      </c>
      <c r="Q2039">
        <v>1</v>
      </c>
      <c r="R2039">
        <v>0</v>
      </c>
      <c r="T2039" t="b">
        <v>1</v>
      </c>
    </row>
    <row r="2040" spans="2:20" x14ac:dyDescent="0.35">
      <c r="B2040">
        <v>2014</v>
      </c>
      <c r="C2040" s="41">
        <v>42795</v>
      </c>
      <c r="D2040" t="s">
        <v>298</v>
      </c>
      <c r="E2040" t="s">
        <v>219</v>
      </c>
      <c r="F2040" t="s">
        <v>458</v>
      </c>
      <c r="G2040" t="s">
        <v>245</v>
      </c>
      <c r="H2040" t="s">
        <v>299</v>
      </c>
      <c r="I2040" t="s">
        <v>310</v>
      </c>
      <c r="J2040">
        <v>2</v>
      </c>
      <c r="L2040">
        <v>243</v>
      </c>
      <c r="M2040">
        <v>415</v>
      </c>
      <c r="N2040">
        <v>560</v>
      </c>
      <c r="O2040">
        <v>824</v>
      </c>
      <c r="P2040">
        <v>0</v>
      </c>
      <c r="Q2040">
        <v>1</v>
      </c>
      <c r="R2040">
        <v>0</v>
      </c>
      <c r="T2040" t="b">
        <v>1</v>
      </c>
    </row>
    <row r="2041" spans="2:20" x14ac:dyDescent="0.35">
      <c r="B2041">
        <v>2014</v>
      </c>
      <c r="C2041" s="41">
        <v>42795</v>
      </c>
      <c r="D2041" t="s">
        <v>298</v>
      </c>
      <c r="E2041" t="s">
        <v>219</v>
      </c>
      <c r="F2041" t="s">
        <v>1390</v>
      </c>
      <c r="G2041" t="s">
        <v>245</v>
      </c>
      <c r="H2041" t="s">
        <v>299</v>
      </c>
      <c r="I2041" t="s">
        <v>310</v>
      </c>
      <c r="J2041">
        <v>2</v>
      </c>
      <c r="L2041">
        <v>243</v>
      </c>
      <c r="M2041">
        <v>415</v>
      </c>
      <c r="N2041">
        <v>560</v>
      </c>
      <c r="O2041">
        <v>824</v>
      </c>
      <c r="P2041">
        <v>0</v>
      </c>
      <c r="Q2041">
        <v>1</v>
      </c>
      <c r="R2041">
        <v>0</v>
      </c>
      <c r="T2041" t="b">
        <v>1</v>
      </c>
    </row>
    <row r="2042" spans="2:20" x14ac:dyDescent="0.35">
      <c r="B2042">
        <v>2014</v>
      </c>
      <c r="C2042" s="41">
        <v>42795</v>
      </c>
      <c r="D2042" t="s">
        <v>1518</v>
      </c>
      <c r="E2042" t="s">
        <v>219</v>
      </c>
      <c r="F2042" t="s">
        <v>1390</v>
      </c>
      <c r="G2042" t="s">
        <v>245</v>
      </c>
      <c r="H2042" t="s">
        <v>301</v>
      </c>
      <c r="I2042" t="s">
        <v>310</v>
      </c>
      <c r="J2042">
        <v>2</v>
      </c>
      <c r="L2042">
        <v>258</v>
      </c>
      <c r="M2042">
        <v>440</v>
      </c>
      <c r="N2042">
        <v>591</v>
      </c>
      <c r="O2042">
        <v>870</v>
      </c>
      <c r="P2042">
        <v>1</v>
      </c>
      <c r="Q2042">
        <v>1</v>
      </c>
      <c r="R2042">
        <v>0</v>
      </c>
      <c r="T2042" t="b">
        <v>1</v>
      </c>
    </row>
    <row r="2043" spans="2:20" x14ac:dyDescent="0.35">
      <c r="B2043">
        <v>2014</v>
      </c>
      <c r="C2043" s="41">
        <v>42795</v>
      </c>
      <c r="D2043" t="s">
        <v>1518</v>
      </c>
      <c r="E2043" t="s">
        <v>219</v>
      </c>
      <c r="F2043" t="s">
        <v>1311</v>
      </c>
      <c r="G2043" t="s">
        <v>245</v>
      </c>
      <c r="H2043" t="s">
        <v>301</v>
      </c>
      <c r="I2043" t="s">
        <v>310</v>
      </c>
      <c r="J2043">
        <v>2</v>
      </c>
      <c r="L2043">
        <v>258</v>
      </c>
      <c r="M2043">
        <v>440</v>
      </c>
      <c r="N2043">
        <v>591</v>
      </c>
      <c r="O2043">
        <v>870</v>
      </c>
      <c r="P2043">
        <v>1</v>
      </c>
      <c r="Q2043">
        <v>1</v>
      </c>
      <c r="R2043">
        <v>0</v>
      </c>
      <c r="T2043" t="b">
        <v>1</v>
      </c>
    </row>
    <row r="2044" spans="2:20" x14ac:dyDescent="0.35">
      <c r="B2044">
        <v>2014</v>
      </c>
      <c r="C2044" s="41">
        <v>42795</v>
      </c>
      <c r="D2044" t="s">
        <v>1518</v>
      </c>
      <c r="E2044" t="s">
        <v>219</v>
      </c>
      <c r="F2044" t="s">
        <v>461</v>
      </c>
      <c r="G2044" t="s">
        <v>245</v>
      </c>
      <c r="H2044" t="s">
        <v>301</v>
      </c>
      <c r="I2044" t="s">
        <v>310</v>
      </c>
      <c r="J2044">
        <v>2</v>
      </c>
      <c r="L2044">
        <v>258</v>
      </c>
      <c r="M2044">
        <v>440</v>
      </c>
      <c r="N2044">
        <v>591</v>
      </c>
      <c r="O2044">
        <v>870</v>
      </c>
      <c r="P2044">
        <v>1</v>
      </c>
      <c r="Q2044">
        <v>1</v>
      </c>
      <c r="R2044">
        <v>0</v>
      </c>
      <c r="T2044" t="b">
        <v>1</v>
      </c>
    </row>
    <row r="2045" spans="2:20" x14ac:dyDescent="0.35">
      <c r="B2045">
        <v>2014</v>
      </c>
      <c r="C2045" s="41">
        <v>42795</v>
      </c>
      <c r="D2045" t="s">
        <v>1518</v>
      </c>
      <c r="E2045" t="s">
        <v>219</v>
      </c>
      <c r="F2045" t="s">
        <v>1301</v>
      </c>
      <c r="G2045" t="s">
        <v>245</v>
      </c>
      <c r="H2045" t="s">
        <v>301</v>
      </c>
      <c r="I2045" t="s">
        <v>310</v>
      </c>
      <c r="J2045">
        <v>2</v>
      </c>
      <c r="L2045">
        <v>258</v>
      </c>
      <c r="M2045">
        <v>440</v>
      </c>
      <c r="N2045">
        <v>591</v>
      </c>
      <c r="O2045">
        <v>870</v>
      </c>
      <c r="P2045">
        <v>1</v>
      </c>
      <c r="Q2045">
        <v>1</v>
      </c>
      <c r="R2045">
        <v>0</v>
      </c>
      <c r="T2045" t="b">
        <v>1</v>
      </c>
    </row>
    <row r="2046" spans="2:20" x14ac:dyDescent="0.35">
      <c r="B2046">
        <v>2014</v>
      </c>
      <c r="C2046" s="41">
        <v>42795</v>
      </c>
      <c r="D2046" t="s">
        <v>1518</v>
      </c>
      <c r="E2046" t="s">
        <v>219</v>
      </c>
      <c r="F2046" t="s">
        <v>1309</v>
      </c>
      <c r="G2046" t="s">
        <v>245</v>
      </c>
      <c r="H2046" t="s">
        <v>301</v>
      </c>
      <c r="I2046" t="s">
        <v>310</v>
      </c>
      <c r="J2046">
        <v>2</v>
      </c>
      <c r="L2046">
        <v>258</v>
      </c>
      <c r="M2046">
        <v>440</v>
      </c>
      <c r="N2046">
        <v>591</v>
      </c>
      <c r="O2046">
        <v>870</v>
      </c>
      <c r="P2046">
        <v>1</v>
      </c>
      <c r="Q2046">
        <v>1</v>
      </c>
      <c r="R2046">
        <v>0</v>
      </c>
      <c r="T2046" t="b">
        <v>1</v>
      </c>
    </row>
    <row r="2047" spans="2:20" x14ac:dyDescent="0.35">
      <c r="B2047">
        <v>2014</v>
      </c>
      <c r="C2047" s="41">
        <v>42795</v>
      </c>
      <c r="D2047" t="s">
        <v>1518</v>
      </c>
      <c r="E2047" t="s">
        <v>219</v>
      </c>
      <c r="F2047" t="s">
        <v>458</v>
      </c>
      <c r="G2047" t="s">
        <v>245</v>
      </c>
      <c r="H2047" t="s">
        <v>301</v>
      </c>
      <c r="I2047" t="s">
        <v>310</v>
      </c>
      <c r="J2047">
        <v>2</v>
      </c>
      <c r="L2047">
        <v>258</v>
      </c>
      <c r="M2047">
        <v>440</v>
      </c>
      <c r="N2047">
        <v>591</v>
      </c>
      <c r="O2047">
        <v>870</v>
      </c>
      <c r="P2047">
        <v>1</v>
      </c>
      <c r="Q2047">
        <v>1</v>
      </c>
      <c r="R2047">
        <v>0</v>
      </c>
      <c r="T2047" t="b">
        <v>1</v>
      </c>
    </row>
    <row r="2048" spans="2:20" x14ac:dyDescent="0.35">
      <c r="B2048">
        <v>2014</v>
      </c>
      <c r="C2048" s="41">
        <v>42795</v>
      </c>
      <c r="D2048" t="s">
        <v>2077</v>
      </c>
      <c r="E2048" t="s">
        <v>219</v>
      </c>
      <c r="F2048" t="s">
        <v>1301</v>
      </c>
      <c r="G2048" t="s">
        <v>245</v>
      </c>
      <c r="H2048" t="s">
        <v>301</v>
      </c>
      <c r="I2048" t="s">
        <v>310</v>
      </c>
      <c r="J2048">
        <v>2</v>
      </c>
      <c r="L2048">
        <v>258</v>
      </c>
      <c r="M2048">
        <v>440</v>
      </c>
      <c r="N2048">
        <v>591</v>
      </c>
      <c r="O2048">
        <v>870</v>
      </c>
      <c r="P2048">
        <v>1</v>
      </c>
      <c r="Q2048">
        <v>1</v>
      </c>
      <c r="R2048">
        <v>0</v>
      </c>
      <c r="T2048" t="b">
        <v>1</v>
      </c>
    </row>
    <row r="2049" spans="2:20" x14ac:dyDescent="0.35">
      <c r="B2049">
        <v>2014</v>
      </c>
      <c r="C2049" s="41">
        <v>42795</v>
      </c>
      <c r="D2049" t="s">
        <v>2077</v>
      </c>
      <c r="E2049" t="s">
        <v>219</v>
      </c>
      <c r="F2049" t="s">
        <v>461</v>
      </c>
      <c r="G2049" t="s">
        <v>245</v>
      </c>
      <c r="H2049" t="s">
        <v>301</v>
      </c>
      <c r="I2049" t="s">
        <v>310</v>
      </c>
      <c r="J2049">
        <v>2</v>
      </c>
      <c r="L2049">
        <v>258</v>
      </c>
      <c r="M2049">
        <v>440</v>
      </c>
      <c r="N2049">
        <v>591</v>
      </c>
      <c r="O2049">
        <v>870</v>
      </c>
      <c r="P2049">
        <v>1</v>
      </c>
      <c r="Q2049">
        <v>1</v>
      </c>
      <c r="R2049">
        <v>0</v>
      </c>
      <c r="T2049" t="b">
        <v>1</v>
      </c>
    </row>
    <row r="2050" spans="2:20" x14ac:dyDescent="0.35">
      <c r="B2050">
        <v>2014</v>
      </c>
      <c r="C2050" s="41">
        <v>42795</v>
      </c>
      <c r="D2050" t="s">
        <v>2077</v>
      </c>
      <c r="E2050" t="s">
        <v>219</v>
      </c>
      <c r="F2050" t="s">
        <v>458</v>
      </c>
      <c r="G2050" t="s">
        <v>245</v>
      </c>
      <c r="H2050" t="s">
        <v>301</v>
      </c>
      <c r="I2050" t="s">
        <v>310</v>
      </c>
      <c r="J2050">
        <v>2</v>
      </c>
      <c r="L2050">
        <v>258</v>
      </c>
      <c r="M2050">
        <v>440</v>
      </c>
      <c r="N2050">
        <v>591</v>
      </c>
      <c r="O2050">
        <v>870</v>
      </c>
      <c r="P2050">
        <v>1</v>
      </c>
      <c r="Q2050">
        <v>1</v>
      </c>
      <c r="R2050">
        <v>0</v>
      </c>
      <c r="T2050" t="b">
        <v>1</v>
      </c>
    </row>
    <row r="2051" spans="2:20" x14ac:dyDescent="0.35">
      <c r="B2051">
        <v>2014</v>
      </c>
      <c r="C2051" s="41">
        <v>42795</v>
      </c>
      <c r="D2051" t="s">
        <v>2077</v>
      </c>
      <c r="E2051" t="s">
        <v>219</v>
      </c>
      <c r="F2051" t="s">
        <v>1390</v>
      </c>
      <c r="G2051" t="s">
        <v>245</v>
      </c>
      <c r="H2051" t="s">
        <v>301</v>
      </c>
      <c r="I2051" t="s">
        <v>310</v>
      </c>
      <c r="J2051">
        <v>2</v>
      </c>
      <c r="L2051">
        <v>258</v>
      </c>
      <c r="M2051">
        <v>440</v>
      </c>
      <c r="N2051">
        <v>591</v>
      </c>
      <c r="O2051">
        <v>870</v>
      </c>
      <c r="P2051">
        <v>1</v>
      </c>
      <c r="Q2051">
        <v>1</v>
      </c>
      <c r="R2051">
        <v>0</v>
      </c>
      <c r="T2051" t="b">
        <v>1</v>
      </c>
    </row>
    <row r="2052" spans="2:20" x14ac:dyDescent="0.35">
      <c r="B2052">
        <v>2014</v>
      </c>
      <c r="C2052" s="41">
        <v>42795</v>
      </c>
      <c r="D2052" t="s">
        <v>2077</v>
      </c>
      <c r="E2052" t="s">
        <v>219</v>
      </c>
      <c r="F2052" t="s">
        <v>1311</v>
      </c>
      <c r="G2052" t="s">
        <v>245</v>
      </c>
      <c r="H2052" t="s">
        <v>301</v>
      </c>
      <c r="I2052" t="s">
        <v>310</v>
      </c>
      <c r="J2052">
        <v>2</v>
      </c>
      <c r="L2052">
        <v>258</v>
      </c>
      <c r="M2052">
        <v>440</v>
      </c>
      <c r="N2052">
        <v>591</v>
      </c>
      <c r="O2052">
        <v>870</v>
      </c>
      <c r="P2052">
        <v>1</v>
      </c>
      <c r="Q2052">
        <v>1</v>
      </c>
      <c r="R2052">
        <v>0</v>
      </c>
      <c r="T2052" t="b">
        <v>1</v>
      </c>
    </row>
    <row r="2053" spans="2:20" x14ac:dyDescent="0.35">
      <c r="B2053">
        <v>2014</v>
      </c>
      <c r="C2053" s="41">
        <v>42795</v>
      </c>
      <c r="D2053" t="s">
        <v>2077</v>
      </c>
      <c r="E2053" t="s">
        <v>219</v>
      </c>
      <c r="F2053" t="s">
        <v>1309</v>
      </c>
      <c r="G2053" t="s">
        <v>245</v>
      </c>
      <c r="H2053" t="s">
        <v>301</v>
      </c>
      <c r="I2053" t="s">
        <v>310</v>
      </c>
      <c r="J2053">
        <v>2</v>
      </c>
      <c r="L2053">
        <v>258</v>
      </c>
      <c r="M2053">
        <v>440</v>
      </c>
      <c r="N2053">
        <v>591</v>
      </c>
      <c r="O2053">
        <v>870</v>
      </c>
      <c r="P2053">
        <v>1</v>
      </c>
      <c r="Q2053">
        <v>1</v>
      </c>
      <c r="R2053">
        <v>0</v>
      </c>
      <c r="T2053" t="b">
        <v>1</v>
      </c>
    </row>
    <row r="2054" spans="2:20" x14ac:dyDescent="0.35">
      <c r="B2054">
        <v>2014</v>
      </c>
      <c r="C2054" s="41">
        <v>42795</v>
      </c>
      <c r="D2054" t="s">
        <v>1103</v>
      </c>
      <c r="E2054" t="s">
        <v>219</v>
      </c>
      <c r="F2054" t="s">
        <v>1390</v>
      </c>
      <c r="G2054" t="s">
        <v>245</v>
      </c>
      <c r="H2054" t="s">
        <v>1104</v>
      </c>
      <c r="I2054" t="s">
        <v>843</v>
      </c>
      <c r="J2054">
        <v>2</v>
      </c>
      <c r="L2054">
        <v>288</v>
      </c>
      <c r="M2054">
        <v>491</v>
      </c>
      <c r="N2054">
        <v>662</v>
      </c>
      <c r="O2054">
        <v>974</v>
      </c>
      <c r="P2054">
        <v>0</v>
      </c>
      <c r="Q2054">
        <v>1</v>
      </c>
      <c r="R2054">
        <v>0</v>
      </c>
      <c r="T2054" t="b">
        <v>1</v>
      </c>
    </row>
    <row r="2055" spans="2:20" x14ac:dyDescent="0.35">
      <c r="B2055">
        <v>2014</v>
      </c>
      <c r="C2055" s="41">
        <v>42795</v>
      </c>
      <c r="D2055" t="s">
        <v>1103</v>
      </c>
      <c r="E2055" t="s">
        <v>219</v>
      </c>
      <c r="F2055" t="s">
        <v>461</v>
      </c>
      <c r="G2055" t="s">
        <v>245</v>
      </c>
      <c r="H2055" t="s">
        <v>1104</v>
      </c>
      <c r="I2055" t="s">
        <v>843</v>
      </c>
      <c r="J2055">
        <v>2</v>
      </c>
      <c r="L2055">
        <v>288</v>
      </c>
      <c r="M2055">
        <v>491</v>
      </c>
      <c r="N2055">
        <v>662</v>
      </c>
      <c r="O2055">
        <v>974</v>
      </c>
      <c r="P2055">
        <v>0</v>
      </c>
      <c r="Q2055">
        <v>1</v>
      </c>
      <c r="R2055">
        <v>0</v>
      </c>
      <c r="T2055" t="b">
        <v>1</v>
      </c>
    </row>
    <row r="2056" spans="2:20" x14ac:dyDescent="0.35">
      <c r="B2056">
        <v>2014</v>
      </c>
      <c r="C2056" s="41">
        <v>42795</v>
      </c>
      <c r="D2056" t="s">
        <v>1103</v>
      </c>
      <c r="E2056" t="s">
        <v>219</v>
      </c>
      <c r="F2056" t="s">
        <v>1301</v>
      </c>
      <c r="G2056" t="s">
        <v>245</v>
      </c>
      <c r="H2056" t="s">
        <v>1104</v>
      </c>
      <c r="I2056" t="s">
        <v>843</v>
      </c>
      <c r="J2056">
        <v>2</v>
      </c>
      <c r="L2056">
        <v>288</v>
      </c>
      <c r="M2056">
        <v>491</v>
      </c>
      <c r="N2056">
        <v>662</v>
      </c>
      <c r="O2056">
        <v>974</v>
      </c>
      <c r="P2056">
        <v>0</v>
      </c>
      <c r="Q2056">
        <v>1</v>
      </c>
      <c r="R2056">
        <v>0</v>
      </c>
      <c r="T2056" t="b">
        <v>1</v>
      </c>
    </row>
    <row r="2057" spans="2:20" x14ac:dyDescent="0.35">
      <c r="B2057">
        <v>2014</v>
      </c>
      <c r="C2057" s="41">
        <v>42795</v>
      </c>
      <c r="D2057" t="s">
        <v>1103</v>
      </c>
      <c r="E2057" t="s">
        <v>219</v>
      </c>
      <c r="F2057" t="s">
        <v>1311</v>
      </c>
      <c r="G2057" t="s">
        <v>245</v>
      </c>
      <c r="H2057" t="s">
        <v>1104</v>
      </c>
      <c r="I2057" t="s">
        <v>843</v>
      </c>
      <c r="J2057">
        <v>2</v>
      </c>
      <c r="L2057">
        <v>288</v>
      </c>
      <c r="M2057">
        <v>491</v>
      </c>
      <c r="N2057">
        <v>662</v>
      </c>
      <c r="O2057">
        <v>974</v>
      </c>
      <c r="P2057">
        <v>0</v>
      </c>
      <c r="Q2057">
        <v>1</v>
      </c>
      <c r="R2057">
        <v>0</v>
      </c>
      <c r="T2057" t="b">
        <v>1</v>
      </c>
    </row>
    <row r="2058" spans="2:20" x14ac:dyDescent="0.35">
      <c r="B2058">
        <v>2014</v>
      </c>
      <c r="C2058" s="41">
        <v>42795</v>
      </c>
      <c r="D2058" t="s">
        <v>1103</v>
      </c>
      <c r="E2058" t="s">
        <v>219</v>
      </c>
      <c r="F2058" t="s">
        <v>1309</v>
      </c>
      <c r="G2058" t="s">
        <v>245</v>
      </c>
      <c r="H2058" t="s">
        <v>1104</v>
      </c>
      <c r="I2058" t="s">
        <v>843</v>
      </c>
      <c r="J2058">
        <v>2</v>
      </c>
      <c r="L2058">
        <v>288</v>
      </c>
      <c r="M2058">
        <v>491</v>
      </c>
      <c r="N2058">
        <v>662</v>
      </c>
      <c r="O2058">
        <v>974</v>
      </c>
      <c r="P2058">
        <v>0</v>
      </c>
      <c r="Q2058">
        <v>1</v>
      </c>
      <c r="R2058">
        <v>0</v>
      </c>
      <c r="T2058" t="b">
        <v>1</v>
      </c>
    </row>
    <row r="2059" spans="2:20" x14ac:dyDescent="0.35">
      <c r="B2059">
        <v>2014</v>
      </c>
      <c r="C2059" s="41">
        <v>42795</v>
      </c>
      <c r="D2059" t="s">
        <v>1103</v>
      </c>
      <c r="E2059" t="s">
        <v>219</v>
      </c>
      <c r="F2059" t="s">
        <v>458</v>
      </c>
      <c r="G2059" t="s">
        <v>245</v>
      </c>
      <c r="H2059" t="s">
        <v>1104</v>
      </c>
      <c r="I2059" t="s">
        <v>843</v>
      </c>
      <c r="J2059">
        <v>2</v>
      </c>
      <c r="L2059">
        <v>288</v>
      </c>
      <c r="M2059">
        <v>491</v>
      </c>
      <c r="N2059">
        <v>662</v>
      </c>
      <c r="O2059">
        <v>974</v>
      </c>
      <c r="P2059">
        <v>0</v>
      </c>
      <c r="Q2059">
        <v>1</v>
      </c>
      <c r="R2059">
        <v>0</v>
      </c>
      <c r="T2059" t="b">
        <v>1</v>
      </c>
    </row>
    <row r="2060" spans="2:20" x14ac:dyDescent="0.35">
      <c r="B2060">
        <v>2014</v>
      </c>
      <c r="C2060" s="41">
        <v>42795</v>
      </c>
      <c r="D2060" t="s">
        <v>2198</v>
      </c>
      <c r="E2060" t="s">
        <v>219</v>
      </c>
      <c r="F2060" t="s">
        <v>1301</v>
      </c>
      <c r="G2060" t="s">
        <v>1299</v>
      </c>
      <c r="H2060" t="s">
        <v>2199</v>
      </c>
      <c r="I2060" t="s">
        <v>842</v>
      </c>
      <c r="J2060">
        <v>2</v>
      </c>
      <c r="L2060">
        <v>237.28</v>
      </c>
      <c r="M2060">
        <v>404.37</v>
      </c>
      <c r="N2060">
        <v>544.52</v>
      </c>
      <c r="O2060">
        <v>801.5</v>
      </c>
      <c r="P2060">
        <v>0</v>
      </c>
      <c r="Q2060">
        <v>1</v>
      </c>
      <c r="R2060">
        <v>0</v>
      </c>
      <c r="T2060" t="b">
        <v>1</v>
      </c>
    </row>
    <row r="2061" spans="2:20" x14ac:dyDescent="0.35">
      <c r="B2061">
        <v>2014</v>
      </c>
      <c r="C2061" s="41">
        <v>42795</v>
      </c>
      <c r="D2061" t="s">
        <v>2198</v>
      </c>
      <c r="E2061" t="s">
        <v>219</v>
      </c>
      <c r="F2061" t="s">
        <v>1311</v>
      </c>
      <c r="G2061" t="s">
        <v>1299</v>
      </c>
      <c r="H2061" t="s">
        <v>2199</v>
      </c>
      <c r="I2061" t="s">
        <v>842</v>
      </c>
      <c r="J2061">
        <v>2</v>
      </c>
      <c r="L2061">
        <v>188.81</v>
      </c>
      <c r="M2061">
        <v>321.77999999999997</v>
      </c>
      <c r="N2061">
        <v>433.29</v>
      </c>
      <c r="O2061">
        <v>637.78</v>
      </c>
      <c r="P2061">
        <v>0</v>
      </c>
      <c r="Q2061">
        <v>1</v>
      </c>
      <c r="R2061">
        <v>0</v>
      </c>
      <c r="T2061" t="b">
        <v>1</v>
      </c>
    </row>
    <row r="2062" spans="2:20" x14ac:dyDescent="0.35">
      <c r="B2062">
        <v>2014</v>
      </c>
      <c r="C2062" s="41">
        <v>42795</v>
      </c>
      <c r="D2062" t="s">
        <v>2198</v>
      </c>
      <c r="E2062" t="s">
        <v>219</v>
      </c>
      <c r="F2062" t="s">
        <v>1309</v>
      </c>
      <c r="G2062" t="s">
        <v>1299</v>
      </c>
      <c r="H2062" t="s">
        <v>2199</v>
      </c>
      <c r="I2062" t="s">
        <v>842</v>
      </c>
      <c r="J2062">
        <v>2</v>
      </c>
      <c r="L2062">
        <v>208.11</v>
      </c>
      <c r="M2062">
        <v>354.66</v>
      </c>
      <c r="N2062">
        <v>477.58</v>
      </c>
      <c r="O2062">
        <v>702.96</v>
      </c>
      <c r="P2062">
        <v>0</v>
      </c>
      <c r="Q2062">
        <v>1</v>
      </c>
      <c r="R2062">
        <v>0</v>
      </c>
      <c r="T2062" t="b">
        <v>1</v>
      </c>
    </row>
    <row r="2063" spans="2:20" x14ac:dyDescent="0.35">
      <c r="B2063">
        <v>2014</v>
      </c>
      <c r="C2063" s="41">
        <v>42795</v>
      </c>
      <c r="D2063" t="s">
        <v>2200</v>
      </c>
      <c r="E2063" t="s">
        <v>219</v>
      </c>
      <c r="F2063" t="s">
        <v>461</v>
      </c>
      <c r="G2063" t="s">
        <v>1381</v>
      </c>
      <c r="H2063" t="s">
        <v>2201</v>
      </c>
      <c r="I2063" t="s">
        <v>843</v>
      </c>
      <c r="J2063">
        <v>2</v>
      </c>
      <c r="L2063">
        <v>412.21</v>
      </c>
      <c r="M2063">
        <v>702.49</v>
      </c>
      <c r="N2063">
        <v>945.95</v>
      </c>
      <c r="O2063">
        <v>1392.38</v>
      </c>
      <c r="P2063">
        <v>0</v>
      </c>
      <c r="Q2063">
        <v>1</v>
      </c>
      <c r="R2063">
        <v>0</v>
      </c>
      <c r="T2063" t="b">
        <v>1</v>
      </c>
    </row>
    <row r="2064" spans="2:20" x14ac:dyDescent="0.35">
      <c r="B2064">
        <v>2014</v>
      </c>
      <c r="C2064" s="41">
        <v>42795</v>
      </c>
      <c r="D2064" t="s">
        <v>2200</v>
      </c>
      <c r="E2064" t="s">
        <v>219</v>
      </c>
      <c r="F2064" t="s">
        <v>1301</v>
      </c>
      <c r="G2064" t="s">
        <v>1381</v>
      </c>
      <c r="H2064" t="s">
        <v>2201</v>
      </c>
      <c r="I2064" t="s">
        <v>843</v>
      </c>
      <c r="J2064">
        <v>2</v>
      </c>
      <c r="L2064">
        <v>346.42</v>
      </c>
      <c r="M2064">
        <v>590.36</v>
      </c>
      <c r="N2064">
        <v>794.97</v>
      </c>
      <c r="O2064">
        <v>1170.1400000000001</v>
      </c>
      <c r="P2064">
        <v>0</v>
      </c>
      <c r="Q2064">
        <v>1</v>
      </c>
      <c r="R2064">
        <v>0</v>
      </c>
      <c r="T2064" t="b">
        <v>1</v>
      </c>
    </row>
    <row r="2065" spans="2:20" x14ac:dyDescent="0.35">
      <c r="B2065">
        <v>2014</v>
      </c>
      <c r="C2065" s="41">
        <v>42795</v>
      </c>
      <c r="D2065" t="s">
        <v>2200</v>
      </c>
      <c r="E2065" t="s">
        <v>219</v>
      </c>
      <c r="F2065" t="s">
        <v>1307</v>
      </c>
      <c r="G2065" t="s">
        <v>1381</v>
      </c>
      <c r="H2065" t="s">
        <v>2201</v>
      </c>
      <c r="I2065" t="s">
        <v>843</v>
      </c>
      <c r="J2065">
        <v>2</v>
      </c>
      <c r="L2065">
        <v>453.43</v>
      </c>
      <c r="M2065">
        <v>772.73</v>
      </c>
      <c r="N2065">
        <v>1040.55</v>
      </c>
      <c r="O2065">
        <v>1531.62</v>
      </c>
      <c r="P2065">
        <v>0</v>
      </c>
      <c r="Q2065">
        <v>1</v>
      </c>
      <c r="R2065">
        <v>0</v>
      </c>
      <c r="T2065" t="b">
        <v>1</v>
      </c>
    </row>
    <row r="2066" spans="2:20" x14ac:dyDescent="0.35">
      <c r="B2066">
        <v>2014</v>
      </c>
      <c r="C2066" s="41">
        <v>42795</v>
      </c>
      <c r="D2066" t="s">
        <v>2200</v>
      </c>
      <c r="E2066" t="s">
        <v>219</v>
      </c>
      <c r="F2066" t="s">
        <v>1390</v>
      </c>
      <c r="G2066" t="s">
        <v>1381</v>
      </c>
      <c r="H2066" t="s">
        <v>2201</v>
      </c>
      <c r="I2066" t="s">
        <v>843</v>
      </c>
      <c r="J2066">
        <v>2</v>
      </c>
      <c r="L2066">
        <v>432</v>
      </c>
      <c r="M2066">
        <v>736.21</v>
      </c>
      <c r="N2066">
        <v>991.36</v>
      </c>
      <c r="O2066">
        <v>1459.22</v>
      </c>
      <c r="P2066">
        <v>0</v>
      </c>
      <c r="Q2066">
        <v>1</v>
      </c>
      <c r="R2066">
        <v>0</v>
      </c>
      <c r="T2066" t="b">
        <v>1</v>
      </c>
    </row>
    <row r="2067" spans="2:20" x14ac:dyDescent="0.35">
      <c r="B2067">
        <v>2014</v>
      </c>
      <c r="C2067" s="41">
        <v>42795</v>
      </c>
      <c r="D2067" t="s">
        <v>2200</v>
      </c>
      <c r="E2067" t="s">
        <v>219</v>
      </c>
      <c r="F2067" t="s">
        <v>462</v>
      </c>
      <c r="G2067" t="s">
        <v>1381</v>
      </c>
      <c r="H2067" t="s">
        <v>2201</v>
      </c>
      <c r="I2067" t="s">
        <v>843</v>
      </c>
      <c r="J2067">
        <v>2</v>
      </c>
      <c r="L2067">
        <v>381.17</v>
      </c>
      <c r="M2067">
        <v>649.59</v>
      </c>
      <c r="N2067">
        <v>874.73</v>
      </c>
      <c r="O2067">
        <v>1287.54</v>
      </c>
      <c r="P2067">
        <v>0</v>
      </c>
      <c r="Q2067">
        <v>1</v>
      </c>
      <c r="R2067">
        <v>0</v>
      </c>
      <c r="T2067" t="b">
        <v>1</v>
      </c>
    </row>
    <row r="2068" spans="2:20" x14ac:dyDescent="0.35">
      <c r="B2068">
        <v>2014</v>
      </c>
      <c r="C2068" s="41">
        <v>42795</v>
      </c>
      <c r="D2068" t="s">
        <v>2200</v>
      </c>
      <c r="E2068" t="s">
        <v>219</v>
      </c>
      <c r="F2068" t="s">
        <v>464</v>
      </c>
      <c r="G2068" t="s">
        <v>1381</v>
      </c>
      <c r="H2068" t="s">
        <v>2201</v>
      </c>
      <c r="I2068" t="s">
        <v>843</v>
      </c>
      <c r="J2068">
        <v>2</v>
      </c>
      <c r="L2068">
        <v>354.07</v>
      </c>
      <c r="M2068">
        <v>603.4</v>
      </c>
      <c r="N2068">
        <v>812.52</v>
      </c>
      <c r="O2068">
        <v>1195.98</v>
      </c>
      <c r="P2068">
        <v>0</v>
      </c>
      <c r="Q2068">
        <v>1</v>
      </c>
      <c r="R2068">
        <v>0</v>
      </c>
      <c r="T2068" t="b">
        <v>1</v>
      </c>
    </row>
    <row r="2069" spans="2:20" x14ac:dyDescent="0.35">
      <c r="B2069">
        <v>2014</v>
      </c>
      <c r="C2069" s="41">
        <v>42795</v>
      </c>
      <c r="D2069" t="s">
        <v>2200</v>
      </c>
      <c r="E2069" t="s">
        <v>219</v>
      </c>
      <c r="F2069" t="s">
        <v>1311</v>
      </c>
      <c r="G2069" t="s">
        <v>1381</v>
      </c>
      <c r="H2069" t="s">
        <v>2201</v>
      </c>
      <c r="I2069" t="s">
        <v>843</v>
      </c>
      <c r="J2069">
        <v>2</v>
      </c>
      <c r="L2069">
        <v>345.9</v>
      </c>
      <c r="M2069">
        <v>589.49</v>
      </c>
      <c r="N2069">
        <v>793.8</v>
      </c>
      <c r="O2069">
        <v>1168.42</v>
      </c>
      <c r="P2069">
        <v>0</v>
      </c>
      <c r="Q2069">
        <v>1</v>
      </c>
      <c r="R2069">
        <v>0</v>
      </c>
      <c r="T2069" t="b">
        <v>1</v>
      </c>
    </row>
    <row r="2070" spans="2:20" x14ac:dyDescent="0.35">
      <c r="B2070">
        <v>2014</v>
      </c>
      <c r="C2070" s="41">
        <v>42795</v>
      </c>
      <c r="D2070" t="s">
        <v>2200</v>
      </c>
      <c r="E2070" t="s">
        <v>219</v>
      </c>
      <c r="F2070" t="s">
        <v>1310</v>
      </c>
      <c r="G2070" t="s">
        <v>1381</v>
      </c>
      <c r="H2070" t="s">
        <v>2201</v>
      </c>
      <c r="I2070" t="s">
        <v>843</v>
      </c>
      <c r="J2070">
        <v>2</v>
      </c>
      <c r="L2070">
        <v>513.52</v>
      </c>
      <c r="M2070">
        <v>875.14</v>
      </c>
      <c r="N2070">
        <v>1178.44999999999</v>
      </c>
      <c r="O2070">
        <v>1734.6</v>
      </c>
      <c r="P2070">
        <v>0</v>
      </c>
      <c r="Q2070">
        <v>1</v>
      </c>
      <c r="R2070">
        <v>0</v>
      </c>
      <c r="T2070" t="b">
        <v>1</v>
      </c>
    </row>
    <row r="2071" spans="2:20" x14ac:dyDescent="0.35">
      <c r="B2071">
        <v>2014</v>
      </c>
      <c r="C2071" s="41">
        <v>42795</v>
      </c>
      <c r="D2071" t="s">
        <v>2200</v>
      </c>
      <c r="E2071" t="s">
        <v>219</v>
      </c>
      <c r="F2071" t="s">
        <v>459</v>
      </c>
      <c r="G2071" t="s">
        <v>1381</v>
      </c>
      <c r="H2071" t="s">
        <v>2201</v>
      </c>
      <c r="I2071" t="s">
        <v>843</v>
      </c>
      <c r="J2071">
        <v>2</v>
      </c>
      <c r="L2071">
        <v>423.69</v>
      </c>
      <c r="M2071">
        <v>722.04</v>
      </c>
      <c r="N2071">
        <v>972.3</v>
      </c>
      <c r="O2071">
        <v>1431.16</v>
      </c>
      <c r="P2071">
        <v>0</v>
      </c>
      <c r="Q2071">
        <v>1</v>
      </c>
      <c r="R2071">
        <v>0</v>
      </c>
      <c r="T2071" t="b">
        <v>1</v>
      </c>
    </row>
    <row r="2072" spans="2:20" x14ac:dyDescent="0.35">
      <c r="B2072">
        <v>2014</v>
      </c>
      <c r="C2072" s="41">
        <v>42795</v>
      </c>
      <c r="D2072" t="s">
        <v>2200</v>
      </c>
      <c r="E2072" t="s">
        <v>219</v>
      </c>
      <c r="F2072" t="s">
        <v>1309</v>
      </c>
      <c r="G2072" t="s">
        <v>1381</v>
      </c>
      <c r="H2072" t="s">
        <v>2201</v>
      </c>
      <c r="I2072" t="s">
        <v>843</v>
      </c>
      <c r="J2072">
        <v>2</v>
      </c>
      <c r="L2072">
        <v>357.7</v>
      </c>
      <c r="M2072">
        <v>609.6</v>
      </c>
      <c r="N2072">
        <v>820.88</v>
      </c>
      <c r="O2072">
        <v>1208.28</v>
      </c>
      <c r="P2072">
        <v>0</v>
      </c>
      <c r="Q2072">
        <v>1</v>
      </c>
      <c r="R2072">
        <v>0</v>
      </c>
      <c r="T2072" t="b">
        <v>1</v>
      </c>
    </row>
    <row r="2073" spans="2:20" x14ac:dyDescent="0.35">
      <c r="B2073">
        <v>2014</v>
      </c>
      <c r="C2073" s="41">
        <v>42795</v>
      </c>
      <c r="D2073" t="s">
        <v>2200</v>
      </c>
      <c r="E2073" t="s">
        <v>219</v>
      </c>
      <c r="F2073" t="s">
        <v>1298</v>
      </c>
      <c r="G2073" t="s">
        <v>1381</v>
      </c>
      <c r="H2073" t="s">
        <v>2201</v>
      </c>
      <c r="I2073" t="s">
        <v>843</v>
      </c>
      <c r="J2073">
        <v>2</v>
      </c>
      <c r="L2073">
        <v>396.79</v>
      </c>
      <c r="M2073">
        <v>676.22</v>
      </c>
      <c r="N2073">
        <v>910.56999999999903</v>
      </c>
      <c r="O2073">
        <v>1340.3</v>
      </c>
      <c r="P2073">
        <v>0</v>
      </c>
      <c r="Q2073">
        <v>1</v>
      </c>
      <c r="R2073">
        <v>0</v>
      </c>
      <c r="T2073" t="b">
        <v>1</v>
      </c>
    </row>
    <row r="2074" spans="2:20" x14ac:dyDescent="0.35">
      <c r="B2074">
        <v>2014</v>
      </c>
      <c r="C2074" s="41">
        <v>42795</v>
      </c>
      <c r="D2074" t="s">
        <v>2200</v>
      </c>
      <c r="E2074" t="s">
        <v>219</v>
      </c>
      <c r="F2074" t="s">
        <v>460</v>
      </c>
      <c r="G2074" t="s">
        <v>1381</v>
      </c>
      <c r="H2074" t="s">
        <v>2201</v>
      </c>
      <c r="I2074" t="s">
        <v>843</v>
      </c>
      <c r="J2074">
        <v>2</v>
      </c>
      <c r="L2074">
        <v>350.98</v>
      </c>
      <c r="M2074">
        <v>598.13</v>
      </c>
      <c r="N2074">
        <v>805.43</v>
      </c>
      <c r="O2074">
        <v>1185.54</v>
      </c>
      <c r="P2074">
        <v>0</v>
      </c>
      <c r="Q2074">
        <v>1</v>
      </c>
      <c r="R2074">
        <v>0</v>
      </c>
      <c r="T2074" t="b">
        <v>1</v>
      </c>
    </row>
    <row r="2075" spans="2:20" x14ac:dyDescent="0.35">
      <c r="B2075">
        <v>2014</v>
      </c>
      <c r="C2075" s="41">
        <v>42795</v>
      </c>
      <c r="D2075" t="s">
        <v>2200</v>
      </c>
      <c r="E2075" t="s">
        <v>219</v>
      </c>
      <c r="F2075" t="s">
        <v>458</v>
      </c>
      <c r="G2075" t="s">
        <v>1381</v>
      </c>
      <c r="H2075" t="s">
        <v>2201</v>
      </c>
      <c r="I2075" t="s">
        <v>843</v>
      </c>
      <c r="J2075">
        <v>2</v>
      </c>
      <c r="L2075">
        <v>328.91</v>
      </c>
      <c r="M2075">
        <v>560.54</v>
      </c>
      <c r="N2075">
        <v>754.8</v>
      </c>
      <c r="O2075">
        <v>1111.02</v>
      </c>
      <c r="P2075">
        <v>0</v>
      </c>
      <c r="Q2075">
        <v>1</v>
      </c>
      <c r="R2075">
        <v>0</v>
      </c>
      <c r="T2075" t="b">
        <v>1</v>
      </c>
    </row>
    <row r="2076" spans="2:20" x14ac:dyDescent="0.35">
      <c r="B2076">
        <v>2014</v>
      </c>
      <c r="C2076" s="41">
        <v>42795</v>
      </c>
      <c r="D2076" t="s">
        <v>2200</v>
      </c>
      <c r="E2076" t="s">
        <v>219</v>
      </c>
      <c r="F2076" t="s">
        <v>1302</v>
      </c>
      <c r="G2076" t="s">
        <v>1381</v>
      </c>
      <c r="H2076" t="s">
        <v>2201</v>
      </c>
      <c r="I2076" t="s">
        <v>843</v>
      </c>
      <c r="J2076">
        <v>2</v>
      </c>
      <c r="L2076">
        <v>367.27</v>
      </c>
      <c r="M2076">
        <v>625.9</v>
      </c>
      <c r="N2076">
        <v>842.83999999999901</v>
      </c>
      <c r="O2076">
        <v>1240.5999999999999</v>
      </c>
      <c r="P2076">
        <v>0</v>
      </c>
      <c r="Q2076">
        <v>1</v>
      </c>
      <c r="R2076">
        <v>0</v>
      </c>
      <c r="T2076" t="b">
        <v>1</v>
      </c>
    </row>
    <row r="2077" spans="2:20" x14ac:dyDescent="0.35">
      <c r="B2077">
        <v>2014</v>
      </c>
      <c r="C2077" s="41">
        <v>42795</v>
      </c>
      <c r="D2077" t="s">
        <v>2200</v>
      </c>
      <c r="E2077" t="s">
        <v>219</v>
      </c>
      <c r="F2077" t="s">
        <v>1389</v>
      </c>
      <c r="G2077" t="s">
        <v>1381</v>
      </c>
      <c r="H2077" t="s">
        <v>2201</v>
      </c>
      <c r="I2077" t="s">
        <v>843</v>
      </c>
      <c r="J2077">
        <v>2</v>
      </c>
      <c r="L2077">
        <v>357.85</v>
      </c>
      <c r="M2077">
        <v>609.85</v>
      </c>
      <c r="N2077">
        <v>821.22</v>
      </c>
      <c r="O2077">
        <v>1208.78</v>
      </c>
      <c r="P2077">
        <v>0</v>
      </c>
      <c r="Q2077">
        <v>1</v>
      </c>
      <c r="R2077">
        <v>0</v>
      </c>
      <c r="T2077" t="b">
        <v>1</v>
      </c>
    </row>
    <row r="2078" spans="2:20" x14ac:dyDescent="0.35">
      <c r="B2078">
        <v>2014</v>
      </c>
      <c r="C2078" s="41">
        <v>42795</v>
      </c>
      <c r="D2078" t="s">
        <v>2200</v>
      </c>
      <c r="E2078" t="s">
        <v>219</v>
      </c>
      <c r="F2078" t="s">
        <v>463</v>
      </c>
      <c r="G2078" t="s">
        <v>1381</v>
      </c>
      <c r="H2078" t="s">
        <v>2201</v>
      </c>
      <c r="I2078" t="s">
        <v>843</v>
      </c>
      <c r="J2078">
        <v>2</v>
      </c>
      <c r="L2078">
        <v>470.68</v>
      </c>
      <c r="M2078">
        <v>802.13</v>
      </c>
      <c r="N2078">
        <v>1080.1300000000001</v>
      </c>
      <c r="O2078">
        <v>1589.88</v>
      </c>
      <c r="P2078">
        <v>0</v>
      </c>
      <c r="Q2078">
        <v>1</v>
      </c>
      <c r="R2078">
        <v>0</v>
      </c>
      <c r="T2078" t="b">
        <v>1</v>
      </c>
    </row>
    <row r="2079" spans="2:20" x14ac:dyDescent="0.35">
      <c r="B2079">
        <v>2014</v>
      </c>
      <c r="C2079" s="41">
        <v>42795</v>
      </c>
      <c r="D2079" t="s">
        <v>2202</v>
      </c>
      <c r="E2079" t="s">
        <v>219</v>
      </c>
      <c r="F2079" t="s">
        <v>1310</v>
      </c>
      <c r="G2079" t="s">
        <v>1381</v>
      </c>
      <c r="H2079" t="s">
        <v>2203</v>
      </c>
      <c r="I2079" t="s">
        <v>842</v>
      </c>
      <c r="J2079">
        <v>2</v>
      </c>
      <c r="L2079">
        <v>331.8</v>
      </c>
      <c r="M2079">
        <v>565.45000000000005</v>
      </c>
      <c r="N2079">
        <v>761.42</v>
      </c>
      <c r="O2079">
        <v>1120.76</v>
      </c>
      <c r="P2079">
        <v>0</v>
      </c>
      <c r="Q2079">
        <v>1</v>
      </c>
      <c r="R2079">
        <v>0</v>
      </c>
      <c r="T2079" t="b">
        <v>1</v>
      </c>
    </row>
    <row r="2080" spans="2:20" x14ac:dyDescent="0.35">
      <c r="B2080">
        <v>2014</v>
      </c>
      <c r="C2080" s="41">
        <v>42795</v>
      </c>
      <c r="D2080" t="s">
        <v>2202</v>
      </c>
      <c r="E2080" t="s">
        <v>219</v>
      </c>
      <c r="F2080" t="s">
        <v>1301</v>
      </c>
      <c r="G2080" t="s">
        <v>1381</v>
      </c>
      <c r="H2080" t="s">
        <v>2203</v>
      </c>
      <c r="I2080" t="s">
        <v>842</v>
      </c>
      <c r="J2080">
        <v>2</v>
      </c>
      <c r="L2080">
        <v>223.83</v>
      </c>
      <c r="M2080">
        <v>381.45</v>
      </c>
      <c r="N2080">
        <v>513.65</v>
      </c>
      <c r="O2080">
        <v>756.06</v>
      </c>
      <c r="P2080">
        <v>0</v>
      </c>
      <c r="Q2080">
        <v>1</v>
      </c>
      <c r="R2080">
        <v>0</v>
      </c>
      <c r="T2080" t="b">
        <v>1</v>
      </c>
    </row>
    <row r="2081" spans="2:20" x14ac:dyDescent="0.35">
      <c r="B2081">
        <v>2014</v>
      </c>
      <c r="C2081" s="41">
        <v>42795</v>
      </c>
      <c r="D2081" t="s">
        <v>2202</v>
      </c>
      <c r="E2081" t="s">
        <v>219</v>
      </c>
      <c r="F2081" t="s">
        <v>1307</v>
      </c>
      <c r="G2081" t="s">
        <v>1381</v>
      </c>
      <c r="H2081" t="s">
        <v>2203</v>
      </c>
      <c r="I2081" t="s">
        <v>842</v>
      </c>
      <c r="J2081">
        <v>2</v>
      </c>
      <c r="L2081">
        <v>292.97000000000003</v>
      </c>
      <c r="M2081">
        <v>499.28</v>
      </c>
      <c r="N2081">
        <v>672.31</v>
      </c>
      <c r="O2081">
        <v>989.6</v>
      </c>
      <c r="P2081">
        <v>0</v>
      </c>
      <c r="Q2081">
        <v>1</v>
      </c>
      <c r="R2081">
        <v>0</v>
      </c>
      <c r="T2081" t="b">
        <v>1</v>
      </c>
    </row>
    <row r="2082" spans="2:20" x14ac:dyDescent="0.35">
      <c r="B2082">
        <v>2014</v>
      </c>
      <c r="C2082" s="41">
        <v>42795</v>
      </c>
      <c r="D2082" t="s">
        <v>2202</v>
      </c>
      <c r="E2082" t="s">
        <v>219</v>
      </c>
      <c r="F2082" t="s">
        <v>1302</v>
      </c>
      <c r="G2082" t="s">
        <v>1381</v>
      </c>
      <c r="H2082" t="s">
        <v>2203</v>
      </c>
      <c r="I2082" t="s">
        <v>842</v>
      </c>
      <c r="J2082">
        <v>2</v>
      </c>
      <c r="L2082">
        <v>237.3</v>
      </c>
      <c r="M2082">
        <v>404.4</v>
      </c>
      <c r="N2082">
        <v>544.55999999999995</v>
      </c>
      <c r="O2082">
        <v>801.56</v>
      </c>
      <c r="P2082">
        <v>0</v>
      </c>
      <c r="Q2082">
        <v>1</v>
      </c>
      <c r="R2082">
        <v>0</v>
      </c>
      <c r="T2082" t="b">
        <v>1</v>
      </c>
    </row>
    <row r="2083" spans="2:20" x14ac:dyDescent="0.35">
      <c r="B2083">
        <v>2014</v>
      </c>
      <c r="C2083" s="41">
        <v>42795</v>
      </c>
      <c r="D2083" t="s">
        <v>2202</v>
      </c>
      <c r="E2083" t="s">
        <v>219</v>
      </c>
      <c r="F2083" t="s">
        <v>461</v>
      </c>
      <c r="G2083" t="s">
        <v>1381</v>
      </c>
      <c r="H2083" t="s">
        <v>2203</v>
      </c>
      <c r="I2083" t="s">
        <v>842</v>
      </c>
      <c r="J2083">
        <v>2</v>
      </c>
      <c r="L2083">
        <v>266.33999999999997</v>
      </c>
      <c r="M2083">
        <v>453.89</v>
      </c>
      <c r="N2083">
        <v>611.21</v>
      </c>
      <c r="O2083">
        <v>899.66</v>
      </c>
      <c r="P2083">
        <v>0</v>
      </c>
      <c r="Q2083">
        <v>1</v>
      </c>
      <c r="R2083">
        <v>0</v>
      </c>
      <c r="T2083" t="b">
        <v>1</v>
      </c>
    </row>
    <row r="2084" spans="2:20" x14ac:dyDescent="0.35">
      <c r="B2084">
        <v>2014</v>
      </c>
      <c r="C2084" s="41">
        <v>42795</v>
      </c>
      <c r="D2084" t="s">
        <v>2202</v>
      </c>
      <c r="E2084" t="s">
        <v>219</v>
      </c>
      <c r="F2084" t="s">
        <v>458</v>
      </c>
      <c r="G2084" t="s">
        <v>1381</v>
      </c>
      <c r="H2084" t="s">
        <v>2203</v>
      </c>
      <c r="I2084" t="s">
        <v>842</v>
      </c>
      <c r="J2084">
        <v>2</v>
      </c>
      <c r="L2084">
        <v>212.51</v>
      </c>
      <c r="M2084">
        <v>362.17</v>
      </c>
      <c r="N2084">
        <v>487.7</v>
      </c>
      <c r="O2084">
        <v>717.86</v>
      </c>
      <c r="P2084">
        <v>0</v>
      </c>
      <c r="Q2084">
        <v>1</v>
      </c>
      <c r="R2084">
        <v>0</v>
      </c>
      <c r="T2084" t="b">
        <v>1</v>
      </c>
    </row>
    <row r="2085" spans="2:20" x14ac:dyDescent="0.35">
      <c r="B2085">
        <v>2014</v>
      </c>
      <c r="C2085" s="41">
        <v>42795</v>
      </c>
      <c r="D2085" t="s">
        <v>2202</v>
      </c>
      <c r="E2085" t="s">
        <v>219</v>
      </c>
      <c r="F2085" t="s">
        <v>464</v>
      </c>
      <c r="G2085" t="s">
        <v>1381</v>
      </c>
      <c r="H2085" t="s">
        <v>2203</v>
      </c>
      <c r="I2085" t="s">
        <v>842</v>
      </c>
      <c r="J2085">
        <v>2</v>
      </c>
      <c r="L2085">
        <v>228.77</v>
      </c>
      <c r="M2085">
        <v>389.87</v>
      </c>
      <c r="N2085">
        <v>524.98</v>
      </c>
      <c r="O2085">
        <v>772.74</v>
      </c>
      <c r="P2085">
        <v>0</v>
      </c>
      <c r="Q2085">
        <v>1</v>
      </c>
      <c r="R2085">
        <v>0</v>
      </c>
      <c r="T2085" t="b">
        <v>1</v>
      </c>
    </row>
    <row r="2086" spans="2:20" x14ac:dyDescent="0.35">
      <c r="B2086">
        <v>2014</v>
      </c>
      <c r="C2086" s="41">
        <v>42795</v>
      </c>
      <c r="D2086" t="s">
        <v>2202</v>
      </c>
      <c r="E2086" t="s">
        <v>219</v>
      </c>
      <c r="F2086" t="s">
        <v>463</v>
      </c>
      <c r="G2086" t="s">
        <v>1381</v>
      </c>
      <c r="H2086" t="s">
        <v>2203</v>
      </c>
      <c r="I2086" t="s">
        <v>842</v>
      </c>
      <c r="J2086">
        <v>2</v>
      </c>
      <c r="L2086">
        <v>304.12</v>
      </c>
      <c r="M2086">
        <v>518.28</v>
      </c>
      <c r="N2086">
        <v>697.91</v>
      </c>
      <c r="O2086">
        <v>1027.28</v>
      </c>
      <c r="P2086">
        <v>0</v>
      </c>
      <c r="Q2086">
        <v>1</v>
      </c>
      <c r="R2086">
        <v>0</v>
      </c>
      <c r="T2086" t="b">
        <v>1</v>
      </c>
    </row>
    <row r="2087" spans="2:20" x14ac:dyDescent="0.35">
      <c r="B2087">
        <v>2014</v>
      </c>
      <c r="C2087" s="41">
        <v>42795</v>
      </c>
      <c r="D2087" t="s">
        <v>2202</v>
      </c>
      <c r="E2087" t="s">
        <v>219</v>
      </c>
      <c r="F2087" t="s">
        <v>1311</v>
      </c>
      <c r="G2087" t="s">
        <v>1381</v>
      </c>
      <c r="H2087" t="s">
        <v>2203</v>
      </c>
      <c r="I2087" t="s">
        <v>842</v>
      </c>
      <c r="J2087">
        <v>2</v>
      </c>
      <c r="L2087">
        <v>223.5</v>
      </c>
      <c r="M2087">
        <v>380.88</v>
      </c>
      <c r="N2087">
        <v>512.89</v>
      </c>
      <c r="O2087">
        <v>754.94</v>
      </c>
      <c r="P2087">
        <v>0</v>
      </c>
      <c r="Q2087">
        <v>1</v>
      </c>
      <c r="R2087">
        <v>0</v>
      </c>
      <c r="T2087" t="b">
        <v>1</v>
      </c>
    </row>
    <row r="2088" spans="2:20" x14ac:dyDescent="0.35">
      <c r="B2088">
        <v>2014</v>
      </c>
      <c r="C2088" s="41">
        <v>42795</v>
      </c>
      <c r="D2088" t="s">
        <v>2202</v>
      </c>
      <c r="E2088" t="s">
        <v>219</v>
      </c>
      <c r="F2088" t="s">
        <v>462</v>
      </c>
      <c r="G2088" t="s">
        <v>1381</v>
      </c>
      <c r="H2088" t="s">
        <v>2203</v>
      </c>
      <c r="I2088" t="s">
        <v>842</v>
      </c>
      <c r="J2088">
        <v>2</v>
      </c>
      <c r="L2088">
        <v>246.28</v>
      </c>
      <c r="M2088">
        <v>419.71</v>
      </c>
      <c r="N2088">
        <v>565.19000000000005</v>
      </c>
      <c r="O2088">
        <v>831.92</v>
      </c>
      <c r="P2088">
        <v>0</v>
      </c>
      <c r="Q2088">
        <v>1</v>
      </c>
      <c r="R2088">
        <v>0</v>
      </c>
      <c r="T2088" t="b">
        <v>1</v>
      </c>
    </row>
    <row r="2089" spans="2:20" x14ac:dyDescent="0.35">
      <c r="B2089">
        <v>2014</v>
      </c>
      <c r="C2089" s="41">
        <v>42795</v>
      </c>
      <c r="D2089" t="s">
        <v>2202</v>
      </c>
      <c r="E2089" t="s">
        <v>219</v>
      </c>
      <c r="F2089" t="s">
        <v>1298</v>
      </c>
      <c r="G2089" t="s">
        <v>1381</v>
      </c>
      <c r="H2089" t="s">
        <v>2203</v>
      </c>
      <c r="I2089" t="s">
        <v>842</v>
      </c>
      <c r="J2089">
        <v>2</v>
      </c>
      <c r="L2089">
        <v>256.38</v>
      </c>
      <c r="M2089">
        <v>436.93</v>
      </c>
      <c r="N2089">
        <v>588.37</v>
      </c>
      <c r="O2089">
        <v>866.04</v>
      </c>
      <c r="P2089">
        <v>0</v>
      </c>
      <c r="Q2089">
        <v>1</v>
      </c>
      <c r="R2089">
        <v>0</v>
      </c>
      <c r="T2089" t="b">
        <v>1</v>
      </c>
    </row>
    <row r="2090" spans="2:20" x14ac:dyDescent="0.35">
      <c r="B2090">
        <v>2014</v>
      </c>
      <c r="C2090" s="41">
        <v>42795</v>
      </c>
      <c r="D2090" t="s">
        <v>2202</v>
      </c>
      <c r="E2090" t="s">
        <v>219</v>
      </c>
      <c r="F2090" t="s">
        <v>460</v>
      </c>
      <c r="G2090" t="s">
        <v>1381</v>
      </c>
      <c r="H2090" t="s">
        <v>2203</v>
      </c>
      <c r="I2090" t="s">
        <v>842</v>
      </c>
      <c r="J2090">
        <v>2</v>
      </c>
      <c r="L2090">
        <v>226.78</v>
      </c>
      <c r="M2090">
        <v>386.47</v>
      </c>
      <c r="N2090">
        <v>520.41999999999996</v>
      </c>
      <c r="O2090">
        <v>766.02</v>
      </c>
      <c r="P2090">
        <v>0</v>
      </c>
      <c r="Q2090">
        <v>1</v>
      </c>
      <c r="R2090">
        <v>0</v>
      </c>
      <c r="T2090" t="b">
        <v>1</v>
      </c>
    </row>
    <row r="2091" spans="2:20" x14ac:dyDescent="0.35">
      <c r="B2091">
        <v>2014</v>
      </c>
      <c r="C2091" s="41">
        <v>42795</v>
      </c>
      <c r="D2091" t="s">
        <v>2202</v>
      </c>
      <c r="E2091" t="s">
        <v>219</v>
      </c>
      <c r="F2091" t="s">
        <v>1309</v>
      </c>
      <c r="G2091" t="s">
        <v>1381</v>
      </c>
      <c r="H2091" t="s">
        <v>2203</v>
      </c>
      <c r="I2091" t="s">
        <v>842</v>
      </c>
      <c r="J2091">
        <v>2</v>
      </c>
      <c r="L2091">
        <v>231.13</v>
      </c>
      <c r="M2091">
        <v>393.88</v>
      </c>
      <c r="N2091">
        <v>530.39</v>
      </c>
      <c r="O2091">
        <v>780.7</v>
      </c>
      <c r="P2091">
        <v>0</v>
      </c>
      <c r="Q2091">
        <v>1</v>
      </c>
      <c r="R2091">
        <v>0</v>
      </c>
      <c r="T2091" t="b">
        <v>1</v>
      </c>
    </row>
    <row r="2092" spans="2:20" x14ac:dyDescent="0.35">
      <c r="B2092">
        <v>2014</v>
      </c>
      <c r="C2092" s="41">
        <v>42795</v>
      </c>
      <c r="D2092" t="s">
        <v>2202</v>
      </c>
      <c r="E2092" t="s">
        <v>219</v>
      </c>
      <c r="F2092" t="s">
        <v>1389</v>
      </c>
      <c r="G2092" t="s">
        <v>1381</v>
      </c>
      <c r="H2092" t="s">
        <v>2203</v>
      </c>
      <c r="I2092" t="s">
        <v>842</v>
      </c>
      <c r="J2092">
        <v>2</v>
      </c>
      <c r="L2092">
        <v>231.22</v>
      </c>
      <c r="M2092">
        <v>394.05</v>
      </c>
      <c r="N2092">
        <v>530.62</v>
      </c>
      <c r="O2092">
        <v>781.04</v>
      </c>
      <c r="P2092">
        <v>0</v>
      </c>
      <c r="Q2092">
        <v>1</v>
      </c>
      <c r="R2092">
        <v>0</v>
      </c>
      <c r="T2092" t="b">
        <v>1</v>
      </c>
    </row>
    <row r="2093" spans="2:20" x14ac:dyDescent="0.35">
      <c r="B2093">
        <v>2014</v>
      </c>
      <c r="C2093" s="41">
        <v>42795</v>
      </c>
      <c r="D2093" t="s">
        <v>2202</v>
      </c>
      <c r="E2093" t="s">
        <v>219</v>
      </c>
      <c r="F2093" t="s">
        <v>459</v>
      </c>
      <c r="G2093" t="s">
        <v>1381</v>
      </c>
      <c r="H2093" t="s">
        <v>2203</v>
      </c>
      <c r="I2093" t="s">
        <v>842</v>
      </c>
      <c r="J2093">
        <v>2</v>
      </c>
      <c r="L2093">
        <v>273.75</v>
      </c>
      <c r="M2093">
        <v>466.52</v>
      </c>
      <c r="N2093">
        <v>628.21</v>
      </c>
      <c r="O2093">
        <v>924.68</v>
      </c>
      <c r="P2093">
        <v>0</v>
      </c>
      <c r="Q2093">
        <v>1</v>
      </c>
      <c r="R2093">
        <v>0</v>
      </c>
      <c r="T2093" t="b">
        <v>1</v>
      </c>
    </row>
    <row r="2094" spans="2:20" x14ac:dyDescent="0.35">
      <c r="B2094">
        <v>2014</v>
      </c>
      <c r="C2094" s="41">
        <v>42795</v>
      </c>
      <c r="D2094" t="s">
        <v>2202</v>
      </c>
      <c r="E2094" t="s">
        <v>219</v>
      </c>
      <c r="F2094" t="s">
        <v>1390</v>
      </c>
      <c r="G2094" t="s">
        <v>1381</v>
      </c>
      <c r="H2094" t="s">
        <v>2203</v>
      </c>
      <c r="I2094" t="s">
        <v>842</v>
      </c>
      <c r="J2094">
        <v>2</v>
      </c>
      <c r="L2094">
        <v>279.11</v>
      </c>
      <c r="M2094">
        <v>475.67</v>
      </c>
      <c r="N2094">
        <v>640.52</v>
      </c>
      <c r="O2094">
        <v>942.8</v>
      </c>
      <c r="P2094">
        <v>0</v>
      </c>
      <c r="Q2094">
        <v>1</v>
      </c>
      <c r="R2094">
        <v>0</v>
      </c>
      <c r="T2094" t="b">
        <v>1</v>
      </c>
    </row>
    <row r="2095" spans="2:20" x14ac:dyDescent="0.35">
      <c r="B2095">
        <v>2014</v>
      </c>
      <c r="C2095" s="41">
        <v>42795</v>
      </c>
      <c r="D2095" t="s">
        <v>2204</v>
      </c>
      <c r="E2095" t="s">
        <v>219</v>
      </c>
      <c r="F2095" t="s">
        <v>1309</v>
      </c>
      <c r="G2095" t="s">
        <v>1381</v>
      </c>
      <c r="H2095" t="s">
        <v>276</v>
      </c>
      <c r="I2095" t="s">
        <v>310</v>
      </c>
      <c r="J2095">
        <v>2</v>
      </c>
      <c r="L2095">
        <v>282.54000000000002</v>
      </c>
      <c r="M2095">
        <v>481.51</v>
      </c>
      <c r="N2095">
        <v>648.4</v>
      </c>
      <c r="O2095">
        <v>954.4</v>
      </c>
      <c r="P2095">
        <v>1</v>
      </c>
      <c r="Q2095">
        <v>1</v>
      </c>
      <c r="R2095">
        <v>0</v>
      </c>
      <c r="T2095" t="b">
        <v>1</v>
      </c>
    </row>
    <row r="2096" spans="2:20" x14ac:dyDescent="0.35">
      <c r="B2096">
        <v>2014</v>
      </c>
      <c r="C2096" s="41">
        <v>42795</v>
      </c>
      <c r="D2096" t="s">
        <v>2204</v>
      </c>
      <c r="E2096" t="s">
        <v>219</v>
      </c>
      <c r="F2096" t="s">
        <v>1389</v>
      </c>
      <c r="G2096" t="s">
        <v>1381</v>
      </c>
      <c r="H2096" t="s">
        <v>276</v>
      </c>
      <c r="I2096" t="s">
        <v>310</v>
      </c>
      <c r="J2096">
        <v>2</v>
      </c>
      <c r="L2096">
        <v>282.66000000000003</v>
      </c>
      <c r="M2096">
        <v>481.7</v>
      </c>
      <c r="N2096">
        <v>648.66</v>
      </c>
      <c r="O2096">
        <v>954.78</v>
      </c>
      <c r="P2096">
        <v>1</v>
      </c>
      <c r="Q2096">
        <v>1</v>
      </c>
      <c r="R2096">
        <v>0</v>
      </c>
      <c r="T2096" t="b">
        <v>1</v>
      </c>
    </row>
    <row r="2097" spans="2:20" x14ac:dyDescent="0.35">
      <c r="B2097">
        <v>2014</v>
      </c>
      <c r="C2097" s="41">
        <v>42795</v>
      </c>
      <c r="D2097" t="s">
        <v>2204</v>
      </c>
      <c r="E2097" t="s">
        <v>219</v>
      </c>
      <c r="F2097" t="s">
        <v>462</v>
      </c>
      <c r="G2097" t="s">
        <v>1381</v>
      </c>
      <c r="H2097" t="s">
        <v>276</v>
      </c>
      <c r="I2097" t="s">
        <v>310</v>
      </c>
      <c r="J2097">
        <v>2</v>
      </c>
      <c r="L2097">
        <v>301.08</v>
      </c>
      <c r="M2097">
        <v>513.1</v>
      </c>
      <c r="N2097">
        <v>690.93</v>
      </c>
      <c r="O2097">
        <v>1017</v>
      </c>
      <c r="P2097">
        <v>1</v>
      </c>
      <c r="Q2097">
        <v>1</v>
      </c>
      <c r="R2097">
        <v>0</v>
      </c>
      <c r="T2097" t="b">
        <v>1</v>
      </c>
    </row>
    <row r="2098" spans="2:20" x14ac:dyDescent="0.35">
      <c r="B2098">
        <v>2014</v>
      </c>
      <c r="C2098" s="41">
        <v>42795</v>
      </c>
      <c r="D2098" t="s">
        <v>2204</v>
      </c>
      <c r="E2098" t="s">
        <v>219</v>
      </c>
      <c r="F2098" t="s">
        <v>463</v>
      </c>
      <c r="G2098" t="s">
        <v>1381</v>
      </c>
      <c r="H2098" t="s">
        <v>276</v>
      </c>
      <c r="I2098" t="s">
        <v>310</v>
      </c>
      <c r="J2098">
        <v>2</v>
      </c>
      <c r="L2098">
        <v>371.78</v>
      </c>
      <c r="M2098">
        <v>633.58000000000004</v>
      </c>
      <c r="N2098">
        <v>853.18</v>
      </c>
      <c r="O2098">
        <v>1255.82</v>
      </c>
      <c r="P2098">
        <v>1</v>
      </c>
      <c r="Q2098">
        <v>1</v>
      </c>
      <c r="R2098">
        <v>0</v>
      </c>
      <c r="T2098" t="b">
        <v>1</v>
      </c>
    </row>
    <row r="2099" spans="2:20" x14ac:dyDescent="0.35">
      <c r="B2099">
        <v>2014</v>
      </c>
      <c r="C2099" s="41">
        <v>42795</v>
      </c>
      <c r="D2099" t="s">
        <v>2204</v>
      </c>
      <c r="E2099" t="s">
        <v>219</v>
      </c>
      <c r="F2099" t="s">
        <v>1307</v>
      </c>
      <c r="G2099" t="s">
        <v>1381</v>
      </c>
      <c r="H2099" t="s">
        <v>276</v>
      </c>
      <c r="I2099" t="s">
        <v>310</v>
      </c>
      <c r="J2099">
        <v>2</v>
      </c>
      <c r="L2099">
        <v>358.15</v>
      </c>
      <c r="M2099">
        <v>610.37</v>
      </c>
      <c r="N2099">
        <v>821.91</v>
      </c>
      <c r="O2099">
        <v>1209.8</v>
      </c>
      <c r="P2099">
        <v>1</v>
      </c>
      <c r="Q2099">
        <v>1</v>
      </c>
      <c r="R2099">
        <v>0</v>
      </c>
      <c r="T2099" t="b">
        <v>1</v>
      </c>
    </row>
    <row r="2100" spans="2:20" x14ac:dyDescent="0.35">
      <c r="B2100">
        <v>2014</v>
      </c>
      <c r="C2100" s="41">
        <v>42795</v>
      </c>
      <c r="D2100" t="s">
        <v>2204</v>
      </c>
      <c r="E2100" t="s">
        <v>219</v>
      </c>
      <c r="F2100" t="s">
        <v>460</v>
      </c>
      <c r="G2100" t="s">
        <v>1381</v>
      </c>
      <c r="H2100" t="s">
        <v>276</v>
      </c>
      <c r="I2100" t="s">
        <v>310</v>
      </c>
      <c r="J2100">
        <v>2</v>
      </c>
      <c r="L2100">
        <v>277.23</v>
      </c>
      <c r="M2100">
        <v>472.45</v>
      </c>
      <c r="N2100">
        <v>636.20000000000005</v>
      </c>
      <c r="O2100">
        <v>936.44</v>
      </c>
      <c r="P2100">
        <v>1</v>
      </c>
      <c r="Q2100">
        <v>1</v>
      </c>
      <c r="R2100">
        <v>0</v>
      </c>
      <c r="T2100" t="b">
        <v>1</v>
      </c>
    </row>
    <row r="2101" spans="2:20" x14ac:dyDescent="0.35">
      <c r="B2101">
        <v>2014</v>
      </c>
      <c r="C2101" s="41">
        <v>42795</v>
      </c>
      <c r="D2101" t="s">
        <v>2204</v>
      </c>
      <c r="E2101" t="s">
        <v>219</v>
      </c>
      <c r="F2101" t="s">
        <v>459</v>
      </c>
      <c r="G2101" t="s">
        <v>1381</v>
      </c>
      <c r="H2101" t="s">
        <v>276</v>
      </c>
      <c r="I2101" t="s">
        <v>310</v>
      </c>
      <c r="J2101">
        <v>2</v>
      </c>
      <c r="L2101">
        <v>334.66</v>
      </c>
      <c r="M2101">
        <v>570.32000000000005</v>
      </c>
      <c r="N2101">
        <v>767.98</v>
      </c>
      <c r="O2101">
        <v>1130.42</v>
      </c>
      <c r="P2101">
        <v>1</v>
      </c>
      <c r="Q2101">
        <v>1</v>
      </c>
      <c r="R2101">
        <v>0</v>
      </c>
      <c r="T2101" t="b">
        <v>1</v>
      </c>
    </row>
    <row r="2102" spans="2:20" x14ac:dyDescent="0.35">
      <c r="B2102">
        <v>2014</v>
      </c>
      <c r="C2102" s="41">
        <v>42795</v>
      </c>
      <c r="D2102" t="s">
        <v>2204</v>
      </c>
      <c r="E2102" t="s">
        <v>219</v>
      </c>
      <c r="F2102" t="s">
        <v>461</v>
      </c>
      <c r="G2102" t="s">
        <v>1381</v>
      </c>
      <c r="H2102" t="s">
        <v>276</v>
      </c>
      <c r="I2102" t="s">
        <v>310</v>
      </c>
      <c r="J2102">
        <v>2</v>
      </c>
      <c r="L2102">
        <v>325.58999999999997</v>
      </c>
      <c r="M2102">
        <v>554.87</v>
      </c>
      <c r="N2102">
        <v>747.18</v>
      </c>
      <c r="O2102">
        <v>1099.8</v>
      </c>
      <c r="P2102">
        <v>1</v>
      </c>
      <c r="Q2102">
        <v>1</v>
      </c>
      <c r="R2102">
        <v>0</v>
      </c>
      <c r="T2102" t="b">
        <v>1</v>
      </c>
    </row>
    <row r="2103" spans="2:20" x14ac:dyDescent="0.35">
      <c r="B2103">
        <v>2014</v>
      </c>
      <c r="C2103" s="41">
        <v>42795</v>
      </c>
      <c r="D2103" t="s">
        <v>2204</v>
      </c>
      <c r="E2103" t="s">
        <v>219</v>
      </c>
      <c r="F2103" t="s">
        <v>1298</v>
      </c>
      <c r="G2103" t="s">
        <v>1381</v>
      </c>
      <c r="H2103" t="s">
        <v>276</v>
      </c>
      <c r="I2103" t="s">
        <v>310</v>
      </c>
      <c r="J2103">
        <v>2</v>
      </c>
      <c r="L2103">
        <v>313.41000000000003</v>
      </c>
      <c r="M2103">
        <v>534.12</v>
      </c>
      <c r="N2103">
        <v>719.23</v>
      </c>
      <c r="O2103">
        <v>1058.6600000000001</v>
      </c>
      <c r="P2103">
        <v>1</v>
      </c>
      <c r="Q2103">
        <v>1</v>
      </c>
      <c r="R2103">
        <v>0</v>
      </c>
      <c r="T2103" t="b">
        <v>1</v>
      </c>
    </row>
    <row r="2104" spans="2:20" x14ac:dyDescent="0.35">
      <c r="B2104">
        <v>2014</v>
      </c>
      <c r="C2104" s="41">
        <v>42795</v>
      </c>
      <c r="D2104" t="s">
        <v>2204</v>
      </c>
      <c r="E2104" t="s">
        <v>219</v>
      </c>
      <c r="F2104" t="s">
        <v>1302</v>
      </c>
      <c r="G2104" t="s">
        <v>1381</v>
      </c>
      <c r="H2104" t="s">
        <v>276</v>
      </c>
      <c r="I2104" t="s">
        <v>310</v>
      </c>
      <c r="J2104">
        <v>2</v>
      </c>
      <c r="L2104">
        <v>290.10000000000002</v>
      </c>
      <c r="M2104">
        <v>494.38</v>
      </c>
      <c r="N2104">
        <v>665.72</v>
      </c>
      <c r="O2104">
        <v>979.9</v>
      </c>
      <c r="P2104">
        <v>1</v>
      </c>
      <c r="Q2104">
        <v>1</v>
      </c>
      <c r="R2104">
        <v>0</v>
      </c>
      <c r="T2104" t="b">
        <v>1</v>
      </c>
    </row>
    <row r="2105" spans="2:20" x14ac:dyDescent="0.35">
      <c r="B2105">
        <v>2014</v>
      </c>
      <c r="C2105" s="41">
        <v>42795</v>
      </c>
      <c r="D2105" t="s">
        <v>2204</v>
      </c>
      <c r="E2105" t="s">
        <v>219</v>
      </c>
      <c r="F2105" t="s">
        <v>1301</v>
      </c>
      <c r="G2105" t="s">
        <v>1381</v>
      </c>
      <c r="H2105" t="s">
        <v>276</v>
      </c>
      <c r="I2105" t="s">
        <v>310</v>
      </c>
      <c r="J2105">
        <v>2</v>
      </c>
      <c r="L2105">
        <v>273.62</v>
      </c>
      <c r="M2105">
        <v>466.31</v>
      </c>
      <c r="N2105">
        <v>627.91999999999996</v>
      </c>
      <c r="O2105">
        <v>924.26</v>
      </c>
      <c r="P2105">
        <v>1</v>
      </c>
      <c r="Q2105">
        <v>1</v>
      </c>
      <c r="R2105">
        <v>0</v>
      </c>
      <c r="T2105" t="b">
        <v>1</v>
      </c>
    </row>
    <row r="2106" spans="2:20" x14ac:dyDescent="0.35">
      <c r="B2106">
        <v>2014</v>
      </c>
      <c r="C2106" s="41">
        <v>42795</v>
      </c>
      <c r="D2106" t="s">
        <v>2204</v>
      </c>
      <c r="E2106" t="s">
        <v>219</v>
      </c>
      <c r="F2106" t="s">
        <v>1310</v>
      </c>
      <c r="G2106" t="s">
        <v>1381</v>
      </c>
      <c r="H2106" t="s">
        <v>276</v>
      </c>
      <c r="I2106" t="s">
        <v>310</v>
      </c>
      <c r="J2106">
        <v>2</v>
      </c>
      <c r="L2106">
        <v>405.62</v>
      </c>
      <c r="M2106">
        <v>691.25</v>
      </c>
      <c r="N2106">
        <v>930.83</v>
      </c>
      <c r="O2106">
        <v>1370.12</v>
      </c>
      <c r="P2106">
        <v>1</v>
      </c>
      <c r="Q2106">
        <v>1</v>
      </c>
      <c r="R2106">
        <v>0</v>
      </c>
      <c r="T2106" t="b">
        <v>1</v>
      </c>
    </row>
    <row r="2107" spans="2:20" x14ac:dyDescent="0.35">
      <c r="B2107">
        <v>2014</v>
      </c>
      <c r="C2107" s="41">
        <v>42795</v>
      </c>
      <c r="D2107" t="s">
        <v>2204</v>
      </c>
      <c r="E2107" t="s">
        <v>219</v>
      </c>
      <c r="F2107" t="s">
        <v>1390</v>
      </c>
      <c r="G2107" t="s">
        <v>1381</v>
      </c>
      <c r="H2107" t="s">
        <v>276</v>
      </c>
      <c r="I2107" t="s">
        <v>310</v>
      </c>
      <c r="J2107">
        <v>2</v>
      </c>
      <c r="L2107">
        <v>341.22</v>
      </c>
      <c r="M2107">
        <v>581.5</v>
      </c>
      <c r="N2107">
        <v>783.04</v>
      </c>
      <c r="O2107">
        <v>1152.58</v>
      </c>
      <c r="P2107">
        <v>1</v>
      </c>
      <c r="Q2107">
        <v>1</v>
      </c>
      <c r="R2107">
        <v>0</v>
      </c>
      <c r="T2107" t="b">
        <v>1</v>
      </c>
    </row>
    <row r="2108" spans="2:20" x14ac:dyDescent="0.35">
      <c r="B2108">
        <v>2014</v>
      </c>
      <c r="C2108" s="41">
        <v>42795</v>
      </c>
      <c r="D2108" t="s">
        <v>2204</v>
      </c>
      <c r="E2108" t="s">
        <v>219</v>
      </c>
      <c r="F2108" t="s">
        <v>458</v>
      </c>
      <c r="G2108" t="s">
        <v>1381</v>
      </c>
      <c r="H2108" t="s">
        <v>276</v>
      </c>
      <c r="I2108" t="s">
        <v>310</v>
      </c>
      <c r="J2108">
        <v>2</v>
      </c>
      <c r="L2108">
        <v>259.8</v>
      </c>
      <c r="M2108">
        <v>442.75</v>
      </c>
      <c r="N2108">
        <v>596.21</v>
      </c>
      <c r="O2108">
        <v>877.57999999999902</v>
      </c>
      <c r="P2108">
        <v>1</v>
      </c>
      <c r="Q2108">
        <v>1</v>
      </c>
      <c r="R2108">
        <v>0</v>
      </c>
      <c r="T2108" t="b">
        <v>1</v>
      </c>
    </row>
    <row r="2109" spans="2:20" x14ac:dyDescent="0.35">
      <c r="B2109">
        <v>2014</v>
      </c>
      <c r="C2109" s="41">
        <v>42795</v>
      </c>
      <c r="D2109" t="s">
        <v>2204</v>
      </c>
      <c r="E2109" t="s">
        <v>219</v>
      </c>
      <c r="F2109" t="s">
        <v>464</v>
      </c>
      <c r="G2109" t="s">
        <v>1381</v>
      </c>
      <c r="H2109" t="s">
        <v>276</v>
      </c>
      <c r="I2109" t="s">
        <v>310</v>
      </c>
      <c r="J2109">
        <v>2</v>
      </c>
      <c r="L2109">
        <v>279.67</v>
      </c>
      <c r="M2109">
        <v>476.61</v>
      </c>
      <c r="N2109">
        <v>641.80999999999995</v>
      </c>
      <c r="O2109">
        <v>944.7</v>
      </c>
      <c r="P2109">
        <v>1</v>
      </c>
      <c r="Q2109">
        <v>1</v>
      </c>
      <c r="R2109">
        <v>0</v>
      </c>
      <c r="T2109" t="b">
        <v>1</v>
      </c>
    </row>
    <row r="2110" spans="2:20" x14ac:dyDescent="0.35">
      <c r="B2110">
        <v>2014</v>
      </c>
      <c r="C2110" s="41">
        <v>42795</v>
      </c>
      <c r="D2110" t="s">
        <v>2204</v>
      </c>
      <c r="E2110" t="s">
        <v>219</v>
      </c>
      <c r="F2110" t="s">
        <v>1311</v>
      </c>
      <c r="G2110" t="s">
        <v>1381</v>
      </c>
      <c r="H2110" t="s">
        <v>276</v>
      </c>
      <c r="I2110" t="s">
        <v>310</v>
      </c>
      <c r="J2110">
        <v>2</v>
      </c>
      <c r="L2110">
        <v>273.20999999999998</v>
      </c>
      <c r="M2110">
        <v>465.61</v>
      </c>
      <c r="N2110">
        <v>626.97</v>
      </c>
      <c r="O2110">
        <v>922.85999999999899</v>
      </c>
      <c r="P2110">
        <v>1</v>
      </c>
      <c r="Q2110">
        <v>1</v>
      </c>
      <c r="R2110">
        <v>0</v>
      </c>
      <c r="T2110" t="b">
        <v>1</v>
      </c>
    </row>
    <row r="2111" spans="2:20" x14ac:dyDescent="0.35">
      <c r="B2111">
        <v>2014</v>
      </c>
      <c r="C2111" s="41">
        <v>42795</v>
      </c>
      <c r="D2111" t="s">
        <v>940</v>
      </c>
      <c r="E2111" t="s">
        <v>219</v>
      </c>
      <c r="F2111" t="s">
        <v>1309</v>
      </c>
      <c r="G2111" t="s">
        <v>1299</v>
      </c>
      <c r="H2111" t="s">
        <v>2205</v>
      </c>
      <c r="I2111" t="s">
        <v>842</v>
      </c>
      <c r="J2111">
        <v>2</v>
      </c>
      <c r="L2111">
        <v>190.17</v>
      </c>
      <c r="M2111">
        <v>324.08</v>
      </c>
      <c r="N2111">
        <v>436.409999999999</v>
      </c>
      <c r="O2111">
        <v>642.36</v>
      </c>
      <c r="P2111">
        <v>0</v>
      </c>
      <c r="Q2111">
        <v>1</v>
      </c>
      <c r="R2111">
        <v>0</v>
      </c>
      <c r="T2111" t="b">
        <v>1</v>
      </c>
    </row>
    <row r="2112" spans="2:20" x14ac:dyDescent="0.35">
      <c r="B2112">
        <v>2014</v>
      </c>
      <c r="C2112" s="41">
        <v>42795</v>
      </c>
      <c r="D2112" t="s">
        <v>940</v>
      </c>
      <c r="E2112" t="s">
        <v>219</v>
      </c>
      <c r="F2112" t="s">
        <v>1311</v>
      </c>
      <c r="G2112" t="s">
        <v>1299</v>
      </c>
      <c r="H2112" t="s">
        <v>2205</v>
      </c>
      <c r="I2112" t="s">
        <v>842</v>
      </c>
      <c r="J2112">
        <v>2</v>
      </c>
      <c r="L2112">
        <v>172.54</v>
      </c>
      <c r="M2112">
        <v>294.04000000000002</v>
      </c>
      <c r="N2112">
        <v>395.94</v>
      </c>
      <c r="O2112">
        <v>582.79999999999995</v>
      </c>
      <c r="P2112">
        <v>0</v>
      </c>
      <c r="Q2112">
        <v>1</v>
      </c>
      <c r="R2112">
        <v>0</v>
      </c>
      <c r="T2112" t="b">
        <v>1</v>
      </c>
    </row>
    <row r="2113" spans="2:20" x14ac:dyDescent="0.35">
      <c r="B2113">
        <v>2014</v>
      </c>
      <c r="C2113" s="41">
        <v>42795</v>
      </c>
      <c r="D2113" t="s">
        <v>940</v>
      </c>
      <c r="E2113" t="s">
        <v>219</v>
      </c>
      <c r="F2113" t="s">
        <v>1301</v>
      </c>
      <c r="G2113" t="s">
        <v>1299</v>
      </c>
      <c r="H2113" t="s">
        <v>2205</v>
      </c>
      <c r="I2113" t="s">
        <v>842</v>
      </c>
      <c r="J2113">
        <v>2</v>
      </c>
      <c r="L2113">
        <v>216.82</v>
      </c>
      <c r="M2113">
        <v>369.51</v>
      </c>
      <c r="N2113">
        <v>497.58</v>
      </c>
      <c r="O2113">
        <v>732.4</v>
      </c>
      <c r="P2113">
        <v>0</v>
      </c>
      <c r="Q2113">
        <v>1</v>
      </c>
      <c r="R2113">
        <v>0</v>
      </c>
      <c r="T2113" t="b">
        <v>1</v>
      </c>
    </row>
    <row r="2114" spans="2:20" x14ac:dyDescent="0.35">
      <c r="B2114">
        <v>2014</v>
      </c>
      <c r="C2114" s="41">
        <v>42795</v>
      </c>
      <c r="D2114" t="s">
        <v>2206</v>
      </c>
      <c r="E2114" t="s">
        <v>219</v>
      </c>
      <c r="F2114" t="s">
        <v>1311</v>
      </c>
      <c r="G2114" t="s">
        <v>1299</v>
      </c>
      <c r="H2114" t="s">
        <v>266</v>
      </c>
      <c r="I2114" t="s">
        <v>310</v>
      </c>
      <c r="J2114">
        <v>2</v>
      </c>
      <c r="L2114">
        <v>207.26</v>
      </c>
      <c r="M2114">
        <v>353.21</v>
      </c>
      <c r="N2114">
        <v>475.63</v>
      </c>
      <c r="O2114">
        <v>700.1</v>
      </c>
      <c r="P2114">
        <v>1</v>
      </c>
      <c r="Q2114">
        <v>1</v>
      </c>
      <c r="R2114">
        <v>0</v>
      </c>
      <c r="T2114" t="b">
        <v>1</v>
      </c>
    </row>
    <row r="2115" spans="2:20" x14ac:dyDescent="0.35">
      <c r="B2115">
        <v>2014</v>
      </c>
      <c r="C2115" s="41">
        <v>42795</v>
      </c>
      <c r="D2115" t="s">
        <v>2206</v>
      </c>
      <c r="E2115" t="s">
        <v>219</v>
      </c>
      <c r="F2115" t="s">
        <v>1301</v>
      </c>
      <c r="G2115" t="s">
        <v>1299</v>
      </c>
      <c r="H2115" t="s">
        <v>266</v>
      </c>
      <c r="I2115" t="s">
        <v>310</v>
      </c>
      <c r="J2115">
        <v>2</v>
      </c>
      <c r="L2115">
        <v>260.45999999999998</v>
      </c>
      <c r="M2115">
        <v>443.88</v>
      </c>
      <c r="N2115">
        <v>597.72</v>
      </c>
      <c r="O2115">
        <v>879.8</v>
      </c>
      <c r="P2115">
        <v>1</v>
      </c>
      <c r="Q2115">
        <v>1</v>
      </c>
      <c r="R2115">
        <v>0</v>
      </c>
      <c r="T2115" t="b">
        <v>1</v>
      </c>
    </row>
    <row r="2116" spans="2:20" x14ac:dyDescent="0.35">
      <c r="B2116">
        <v>2014</v>
      </c>
      <c r="C2116" s="41">
        <v>42795</v>
      </c>
      <c r="D2116" t="s">
        <v>2206</v>
      </c>
      <c r="E2116" t="s">
        <v>219</v>
      </c>
      <c r="F2116" t="s">
        <v>1309</v>
      </c>
      <c r="G2116" t="s">
        <v>1299</v>
      </c>
      <c r="H2116" t="s">
        <v>266</v>
      </c>
      <c r="I2116" t="s">
        <v>310</v>
      </c>
      <c r="J2116">
        <v>2</v>
      </c>
      <c r="L2116">
        <v>228.44</v>
      </c>
      <c r="M2116">
        <v>389.31</v>
      </c>
      <c r="N2116">
        <v>524.24</v>
      </c>
      <c r="O2116">
        <v>771.64</v>
      </c>
      <c r="P2116">
        <v>1</v>
      </c>
      <c r="Q2116">
        <v>1</v>
      </c>
      <c r="R2116">
        <v>0</v>
      </c>
      <c r="T2116" t="b">
        <v>1</v>
      </c>
    </row>
    <row r="2117" spans="2:20" x14ac:dyDescent="0.35">
      <c r="B2117">
        <v>2014</v>
      </c>
      <c r="C2117" s="41">
        <v>42795</v>
      </c>
      <c r="D2117" t="s">
        <v>2207</v>
      </c>
      <c r="E2117" t="s">
        <v>219</v>
      </c>
      <c r="F2117" t="s">
        <v>1301</v>
      </c>
      <c r="G2117" t="s">
        <v>1299</v>
      </c>
      <c r="H2117" t="s">
        <v>215</v>
      </c>
      <c r="I2117" t="s">
        <v>310</v>
      </c>
      <c r="J2117">
        <v>2</v>
      </c>
      <c r="L2117">
        <v>277.10000000000002</v>
      </c>
      <c r="M2117">
        <v>472.23</v>
      </c>
      <c r="N2117">
        <v>635.9</v>
      </c>
      <c r="O2117">
        <v>936</v>
      </c>
      <c r="P2117">
        <v>1</v>
      </c>
      <c r="Q2117">
        <v>1</v>
      </c>
      <c r="R2117">
        <v>0</v>
      </c>
      <c r="T2117" t="b">
        <v>1</v>
      </c>
    </row>
    <row r="2118" spans="2:20" x14ac:dyDescent="0.35">
      <c r="B2118">
        <v>2014</v>
      </c>
      <c r="C2118" s="41">
        <v>42795</v>
      </c>
      <c r="D2118" t="s">
        <v>2207</v>
      </c>
      <c r="E2118" t="s">
        <v>219</v>
      </c>
      <c r="F2118" t="s">
        <v>1311</v>
      </c>
      <c r="G2118" t="s">
        <v>1299</v>
      </c>
      <c r="H2118" t="s">
        <v>215</v>
      </c>
      <c r="I2118" t="s">
        <v>310</v>
      </c>
      <c r="J2118">
        <v>2</v>
      </c>
      <c r="L2118">
        <v>220.5</v>
      </c>
      <c r="M2118">
        <v>375.77</v>
      </c>
      <c r="N2118">
        <v>506</v>
      </c>
      <c r="O2118">
        <v>744.8</v>
      </c>
      <c r="P2118">
        <v>1</v>
      </c>
      <c r="Q2118">
        <v>1</v>
      </c>
      <c r="R2118">
        <v>0</v>
      </c>
      <c r="T2118" t="b">
        <v>1</v>
      </c>
    </row>
    <row r="2119" spans="2:20" x14ac:dyDescent="0.35">
      <c r="B2119">
        <v>2014</v>
      </c>
      <c r="C2119" s="41">
        <v>42795</v>
      </c>
      <c r="D2119" t="s">
        <v>2207</v>
      </c>
      <c r="E2119" t="s">
        <v>219</v>
      </c>
      <c r="F2119" t="s">
        <v>1309</v>
      </c>
      <c r="G2119" t="s">
        <v>1299</v>
      </c>
      <c r="H2119" t="s">
        <v>215</v>
      </c>
      <c r="I2119" t="s">
        <v>310</v>
      </c>
      <c r="J2119">
        <v>2</v>
      </c>
      <c r="L2119">
        <v>243.03</v>
      </c>
      <c r="M2119">
        <v>414.17</v>
      </c>
      <c r="N2119">
        <v>557.73</v>
      </c>
      <c r="O2119">
        <v>820.93999999999903</v>
      </c>
      <c r="P2119">
        <v>1</v>
      </c>
      <c r="Q2119">
        <v>1</v>
      </c>
      <c r="R2119">
        <v>0</v>
      </c>
      <c r="T2119" t="b">
        <v>1</v>
      </c>
    </row>
    <row r="2120" spans="2:20" x14ac:dyDescent="0.35">
      <c r="B2120">
        <v>2014</v>
      </c>
      <c r="C2120" s="41">
        <v>42795</v>
      </c>
      <c r="D2120" t="s">
        <v>293</v>
      </c>
      <c r="E2120" t="s">
        <v>219</v>
      </c>
      <c r="F2120" t="s">
        <v>1301</v>
      </c>
      <c r="G2120" t="s">
        <v>1299</v>
      </c>
      <c r="H2120" t="s">
        <v>215</v>
      </c>
      <c r="I2120" t="s">
        <v>310</v>
      </c>
      <c r="J2120">
        <v>2</v>
      </c>
      <c r="L2120">
        <v>277.10000000000002</v>
      </c>
      <c r="M2120">
        <v>472.23</v>
      </c>
      <c r="N2120">
        <v>635.9</v>
      </c>
      <c r="O2120">
        <v>936</v>
      </c>
      <c r="P2120">
        <v>0</v>
      </c>
      <c r="Q2120">
        <v>1</v>
      </c>
      <c r="R2120">
        <v>0</v>
      </c>
      <c r="T2120" t="b">
        <v>1</v>
      </c>
    </row>
    <row r="2121" spans="2:20" x14ac:dyDescent="0.35">
      <c r="B2121">
        <v>2014</v>
      </c>
      <c r="C2121" s="41">
        <v>42795</v>
      </c>
      <c r="D2121" t="s">
        <v>293</v>
      </c>
      <c r="E2121" t="s">
        <v>219</v>
      </c>
      <c r="F2121" t="s">
        <v>1309</v>
      </c>
      <c r="G2121" t="s">
        <v>1299</v>
      </c>
      <c r="H2121" t="s">
        <v>215</v>
      </c>
      <c r="I2121" t="s">
        <v>310</v>
      </c>
      <c r="J2121">
        <v>2</v>
      </c>
      <c r="L2121">
        <v>243.03</v>
      </c>
      <c r="M2121">
        <v>414.17</v>
      </c>
      <c r="N2121">
        <v>557.73</v>
      </c>
      <c r="O2121">
        <v>820.93999999999903</v>
      </c>
      <c r="P2121">
        <v>0</v>
      </c>
      <c r="Q2121">
        <v>1</v>
      </c>
      <c r="R2121">
        <v>0</v>
      </c>
      <c r="T2121" t="b">
        <v>1</v>
      </c>
    </row>
    <row r="2122" spans="2:20" x14ac:dyDescent="0.35">
      <c r="B2122">
        <v>2014</v>
      </c>
      <c r="C2122" s="41">
        <v>42795</v>
      </c>
      <c r="D2122" t="s">
        <v>293</v>
      </c>
      <c r="E2122" t="s">
        <v>219</v>
      </c>
      <c r="F2122" t="s">
        <v>1311</v>
      </c>
      <c r="G2122" t="s">
        <v>1299</v>
      </c>
      <c r="H2122" t="s">
        <v>215</v>
      </c>
      <c r="I2122" t="s">
        <v>310</v>
      </c>
      <c r="J2122">
        <v>2</v>
      </c>
      <c r="L2122">
        <v>220.5</v>
      </c>
      <c r="M2122">
        <v>375.77</v>
      </c>
      <c r="N2122">
        <v>506</v>
      </c>
      <c r="O2122">
        <v>744.8</v>
      </c>
      <c r="P2122">
        <v>0</v>
      </c>
      <c r="Q2122">
        <v>1</v>
      </c>
      <c r="R2122">
        <v>0</v>
      </c>
      <c r="T2122" t="b">
        <v>1</v>
      </c>
    </row>
    <row r="2123" spans="2:20" x14ac:dyDescent="0.35">
      <c r="B2123">
        <v>2014</v>
      </c>
      <c r="C2123" s="41">
        <v>42795</v>
      </c>
      <c r="D2123" t="s">
        <v>2208</v>
      </c>
      <c r="E2123" t="s">
        <v>219</v>
      </c>
      <c r="F2123" t="s">
        <v>1309</v>
      </c>
      <c r="G2123" t="s">
        <v>1299</v>
      </c>
      <c r="H2123" t="s">
        <v>263</v>
      </c>
      <c r="I2123" t="s">
        <v>310</v>
      </c>
      <c r="J2123">
        <v>2</v>
      </c>
      <c r="L2123">
        <v>220.71</v>
      </c>
      <c r="M2123">
        <v>376.14</v>
      </c>
      <c r="N2123">
        <v>506.5</v>
      </c>
      <c r="O2123">
        <v>745.54</v>
      </c>
      <c r="P2123">
        <v>1</v>
      </c>
      <c r="Q2123">
        <v>1</v>
      </c>
      <c r="R2123">
        <v>0</v>
      </c>
      <c r="T2123" t="b">
        <v>1</v>
      </c>
    </row>
    <row r="2124" spans="2:20" x14ac:dyDescent="0.35">
      <c r="B2124">
        <v>2014</v>
      </c>
      <c r="C2124" s="41">
        <v>42795</v>
      </c>
      <c r="D2124" t="s">
        <v>2208</v>
      </c>
      <c r="E2124" t="s">
        <v>219</v>
      </c>
      <c r="F2124" t="s">
        <v>1301</v>
      </c>
      <c r="G2124" t="s">
        <v>1299</v>
      </c>
      <c r="H2124" t="s">
        <v>263</v>
      </c>
      <c r="I2124" t="s">
        <v>310</v>
      </c>
      <c r="J2124">
        <v>2</v>
      </c>
      <c r="L2124">
        <v>251.65</v>
      </c>
      <c r="M2124">
        <v>428.87</v>
      </c>
      <c r="N2124">
        <v>577.5</v>
      </c>
      <c r="O2124">
        <v>850.04</v>
      </c>
      <c r="P2124">
        <v>1</v>
      </c>
      <c r="Q2124">
        <v>1</v>
      </c>
      <c r="R2124">
        <v>0</v>
      </c>
      <c r="T2124" t="b">
        <v>1</v>
      </c>
    </row>
    <row r="2125" spans="2:20" x14ac:dyDescent="0.35">
      <c r="B2125">
        <v>2014</v>
      </c>
      <c r="C2125" s="41">
        <v>42795</v>
      </c>
      <c r="D2125" t="s">
        <v>2208</v>
      </c>
      <c r="E2125" t="s">
        <v>219</v>
      </c>
      <c r="F2125" t="s">
        <v>1311</v>
      </c>
      <c r="G2125" t="s">
        <v>1299</v>
      </c>
      <c r="H2125" t="s">
        <v>263</v>
      </c>
      <c r="I2125" t="s">
        <v>310</v>
      </c>
      <c r="J2125">
        <v>2</v>
      </c>
      <c r="L2125">
        <v>200.25</v>
      </c>
      <c r="M2125">
        <v>341.27</v>
      </c>
      <c r="N2125">
        <v>459.55</v>
      </c>
      <c r="O2125">
        <v>676.42</v>
      </c>
      <c r="P2125">
        <v>1</v>
      </c>
      <c r="Q2125">
        <v>1</v>
      </c>
      <c r="R2125">
        <v>0</v>
      </c>
      <c r="T2125" t="b">
        <v>1</v>
      </c>
    </row>
    <row r="2126" spans="2:20" x14ac:dyDescent="0.35">
      <c r="B2126">
        <v>2014</v>
      </c>
      <c r="C2126" s="41">
        <v>42795</v>
      </c>
      <c r="D2126" t="s">
        <v>2209</v>
      </c>
      <c r="E2126" t="s">
        <v>219</v>
      </c>
      <c r="F2126" t="s">
        <v>1309</v>
      </c>
      <c r="G2126" t="s">
        <v>1299</v>
      </c>
      <c r="H2126" t="s">
        <v>263</v>
      </c>
      <c r="I2126" t="s">
        <v>310</v>
      </c>
      <c r="J2126">
        <v>2</v>
      </c>
      <c r="L2126">
        <v>220.71</v>
      </c>
      <c r="M2126">
        <v>376.14</v>
      </c>
      <c r="N2126">
        <v>506.5</v>
      </c>
      <c r="O2126">
        <v>745.54</v>
      </c>
      <c r="P2126">
        <v>1</v>
      </c>
      <c r="Q2126">
        <v>1</v>
      </c>
      <c r="R2126">
        <v>0</v>
      </c>
      <c r="T2126" t="b">
        <v>1</v>
      </c>
    </row>
    <row r="2127" spans="2:20" x14ac:dyDescent="0.35">
      <c r="B2127">
        <v>2014</v>
      </c>
      <c r="C2127" s="41">
        <v>42795</v>
      </c>
      <c r="D2127" t="s">
        <v>2209</v>
      </c>
      <c r="E2127" t="s">
        <v>219</v>
      </c>
      <c r="F2127" t="s">
        <v>1301</v>
      </c>
      <c r="G2127" t="s">
        <v>1299</v>
      </c>
      <c r="H2127" t="s">
        <v>263</v>
      </c>
      <c r="I2127" t="s">
        <v>310</v>
      </c>
      <c r="J2127">
        <v>2</v>
      </c>
      <c r="L2127">
        <v>251.65</v>
      </c>
      <c r="M2127">
        <v>428.87</v>
      </c>
      <c r="N2127">
        <v>577.5</v>
      </c>
      <c r="O2127">
        <v>850.04</v>
      </c>
      <c r="P2127">
        <v>1</v>
      </c>
      <c r="Q2127">
        <v>1</v>
      </c>
      <c r="R2127">
        <v>0</v>
      </c>
      <c r="T2127" t="b">
        <v>1</v>
      </c>
    </row>
    <row r="2128" spans="2:20" x14ac:dyDescent="0.35">
      <c r="B2128">
        <v>2014</v>
      </c>
      <c r="C2128" s="41">
        <v>42795</v>
      </c>
      <c r="D2128" t="s">
        <v>2209</v>
      </c>
      <c r="E2128" t="s">
        <v>219</v>
      </c>
      <c r="F2128" t="s">
        <v>1311</v>
      </c>
      <c r="G2128" t="s">
        <v>1299</v>
      </c>
      <c r="H2128" t="s">
        <v>263</v>
      </c>
      <c r="I2128" t="s">
        <v>310</v>
      </c>
      <c r="J2128">
        <v>2</v>
      </c>
      <c r="L2128">
        <v>200.25</v>
      </c>
      <c r="M2128">
        <v>341.27</v>
      </c>
      <c r="N2128">
        <v>459.55</v>
      </c>
      <c r="O2128">
        <v>676.42</v>
      </c>
      <c r="P2128">
        <v>1</v>
      </c>
      <c r="Q2128">
        <v>1</v>
      </c>
      <c r="R2128">
        <v>0</v>
      </c>
      <c r="T2128" t="b">
        <v>1</v>
      </c>
    </row>
    <row r="2129" spans="2:20" x14ac:dyDescent="0.35">
      <c r="B2129">
        <v>2014</v>
      </c>
      <c r="C2129" s="41">
        <v>42795</v>
      </c>
      <c r="D2129" t="s">
        <v>2210</v>
      </c>
      <c r="E2129" t="s">
        <v>219</v>
      </c>
      <c r="F2129" t="s">
        <v>1301</v>
      </c>
      <c r="G2129" t="s">
        <v>1299</v>
      </c>
      <c r="H2129" t="s">
        <v>268</v>
      </c>
      <c r="I2129" t="s">
        <v>310</v>
      </c>
      <c r="J2129">
        <v>2</v>
      </c>
      <c r="L2129">
        <v>264.04000000000002</v>
      </c>
      <c r="M2129">
        <v>449.97</v>
      </c>
      <c r="N2129">
        <v>605.94000000000005</v>
      </c>
      <c r="O2129">
        <v>891.9</v>
      </c>
      <c r="P2129">
        <v>1</v>
      </c>
      <c r="Q2129">
        <v>1</v>
      </c>
      <c r="R2129">
        <v>0</v>
      </c>
      <c r="T2129" t="b">
        <v>1</v>
      </c>
    </row>
    <row r="2130" spans="2:20" x14ac:dyDescent="0.35">
      <c r="B2130">
        <v>2014</v>
      </c>
      <c r="C2130" s="41">
        <v>42795</v>
      </c>
      <c r="D2130" t="s">
        <v>2210</v>
      </c>
      <c r="E2130" t="s">
        <v>219</v>
      </c>
      <c r="F2130" t="s">
        <v>1309</v>
      </c>
      <c r="G2130" t="s">
        <v>1299</v>
      </c>
      <c r="H2130" t="s">
        <v>268</v>
      </c>
      <c r="I2130" t="s">
        <v>310</v>
      </c>
      <c r="J2130">
        <v>2</v>
      </c>
      <c r="L2130">
        <v>231.58</v>
      </c>
      <c r="M2130">
        <v>394.65</v>
      </c>
      <c r="N2130">
        <v>531.44000000000005</v>
      </c>
      <c r="O2130">
        <v>782.24</v>
      </c>
      <c r="P2130">
        <v>1</v>
      </c>
      <c r="Q2130">
        <v>1</v>
      </c>
      <c r="R2130">
        <v>0</v>
      </c>
      <c r="T2130" t="b">
        <v>1</v>
      </c>
    </row>
    <row r="2131" spans="2:20" x14ac:dyDescent="0.35">
      <c r="B2131">
        <v>2014</v>
      </c>
      <c r="C2131" s="41">
        <v>42795</v>
      </c>
      <c r="D2131" t="s">
        <v>2210</v>
      </c>
      <c r="E2131" t="s">
        <v>219</v>
      </c>
      <c r="F2131" t="s">
        <v>1311</v>
      </c>
      <c r="G2131" t="s">
        <v>1299</v>
      </c>
      <c r="H2131" t="s">
        <v>268</v>
      </c>
      <c r="I2131" t="s">
        <v>310</v>
      </c>
      <c r="J2131">
        <v>2</v>
      </c>
      <c r="L2131">
        <v>210.11</v>
      </c>
      <c r="M2131">
        <v>358.06</v>
      </c>
      <c r="N2131">
        <v>482.17</v>
      </c>
      <c r="O2131">
        <v>709.72</v>
      </c>
      <c r="P2131">
        <v>1</v>
      </c>
      <c r="Q2131">
        <v>1</v>
      </c>
      <c r="R2131">
        <v>0</v>
      </c>
      <c r="T2131" t="b">
        <v>1</v>
      </c>
    </row>
    <row r="2132" spans="2:20" x14ac:dyDescent="0.35">
      <c r="B2132">
        <v>2014</v>
      </c>
      <c r="C2132" s="41">
        <v>42795</v>
      </c>
      <c r="D2132" t="s">
        <v>288</v>
      </c>
      <c r="E2132" t="s">
        <v>219</v>
      </c>
      <c r="F2132" t="s">
        <v>1309</v>
      </c>
      <c r="G2132" t="s">
        <v>1299</v>
      </c>
      <c r="H2132" t="s">
        <v>213</v>
      </c>
      <c r="I2132" t="s">
        <v>310</v>
      </c>
      <c r="J2132">
        <v>2</v>
      </c>
      <c r="L2132">
        <v>230.5</v>
      </c>
      <c r="M2132">
        <v>392.82</v>
      </c>
      <c r="N2132">
        <v>528.96</v>
      </c>
      <c r="O2132">
        <v>778.599999999999</v>
      </c>
      <c r="P2132">
        <v>0</v>
      </c>
      <c r="Q2132">
        <v>1</v>
      </c>
      <c r="R2132">
        <v>0</v>
      </c>
      <c r="T2132" t="b">
        <v>1</v>
      </c>
    </row>
    <row r="2133" spans="2:20" x14ac:dyDescent="0.35">
      <c r="B2133">
        <v>2014</v>
      </c>
      <c r="C2133" s="41">
        <v>42795</v>
      </c>
      <c r="D2133" t="s">
        <v>288</v>
      </c>
      <c r="E2133" t="s">
        <v>219</v>
      </c>
      <c r="F2133" t="s">
        <v>1301</v>
      </c>
      <c r="G2133" t="s">
        <v>1299</v>
      </c>
      <c r="H2133" t="s">
        <v>213</v>
      </c>
      <c r="I2133" t="s">
        <v>310</v>
      </c>
      <c r="J2133">
        <v>2</v>
      </c>
      <c r="L2133">
        <v>262.81</v>
      </c>
      <c r="M2133">
        <v>447.88</v>
      </c>
      <c r="N2133">
        <v>603.11</v>
      </c>
      <c r="O2133">
        <v>887.74</v>
      </c>
      <c r="P2133">
        <v>0</v>
      </c>
      <c r="Q2133">
        <v>1</v>
      </c>
      <c r="R2133">
        <v>0</v>
      </c>
      <c r="T2133" t="b">
        <v>1</v>
      </c>
    </row>
    <row r="2134" spans="2:20" x14ac:dyDescent="0.35">
      <c r="B2134">
        <v>2014</v>
      </c>
      <c r="C2134" s="41">
        <v>42795</v>
      </c>
      <c r="D2134" t="s">
        <v>288</v>
      </c>
      <c r="E2134" t="s">
        <v>219</v>
      </c>
      <c r="F2134" t="s">
        <v>1311</v>
      </c>
      <c r="G2134" t="s">
        <v>1299</v>
      </c>
      <c r="H2134" t="s">
        <v>213</v>
      </c>
      <c r="I2134" t="s">
        <v>310</v>
      </c>
      <c r="J2134">
        <v>2</v>
      </c>
      <c r="L2134">
        <v>209.13</v>
      </c>
      <c r="M2134">
        <v>356.4</v>
      </c>
      <c r="N2134">
        <v>479.93</v>
      </c>
      <c r="O2134">
        <v>706.42</v>
      </c>
      <c r="P2134">
        <v>0</v>
      </c>
      <c r="Q2134">
        <v>1</v>
      </c>
      <c r="R2134">
        <v>0</v>
      </c>
      <c r="T2134" t="b">
        <v>1</v>
      </c>
    </row>
    <row r="2135" spans="2:20" x14ac:dyDescent="0.35">
      <c r="B2135">
        <v>2014</v>
      </c>
      <c r="C2135" s="41">
        <v>42795</v>
      </c>
      <c r="D2135" t="s">
        <v>2211</v>
      </c>
      <c r="E2135" t="s">
        <v>219</v>
      </c>
      <c r="F2135" t="s">
        <v>1301</v>
      </c>
      <c r="G2135" t="s">
        <v>1299</v>
      </c>
      <c r="H2135" t="s">
        <v>264</v>
      </c>
      <c r="I2135" t="s">
        <v>310</v>
      </c>
      <c r="J2135">
        <v>2</v>
      </c>
      <c r="L2135">
        <v>254.82</v>
      </c>
      <c r="M2135">
        <v>434.26</v>
      </c>
      <c r="N2135">
        <v>584.77</v>
      </c>
      <c r="O2135">
        <v>860.74</v>
      </c>
      <c r="P2135">
        <v>1</v>
      </c>
      <c r="Q2135">
        <v>1</v>
      </c>
      <c r="R2135">
        <v>0</v>
      </c>
      <c r="T2135" t="b">
        <v>1</v>
      </c>
    </row>
    <row r="2136" spans="2:20" x14ac:dyDescent="0.35">
      <c r="B2136">
        <v>2014</v>
      </c>
      <c r="C2136" s="41">
        <v>42795</v>
      </c>
      <c r="D2136" t="s">
        <v>2211</v>
      </c>
      <c r="E2136" t="s">
        <v>219</v>
      </c>
      <c r="F2136" t="s">
        <v>1311</v>
      </c>
      <c r="G2136" t="s">
        <v>1299</v>
      </c>
      <c r="H2136" t="s">
        <v>264</v>
      </c>
      <c r="I2136" t="s">
        <v>310</v>
      </c>
      <c r="J2136">
        <v>2</v>
      </c>
      <c r="L2136">
        <v>202.77</v>
      </c>
      <c r="M2136">
        <v>345.56</v>
      </c>
      <c r="N2136">
        <v>465.32</v>
      </c>
      <c r="O2136">
        <v>684.92</v>
      </c>
      <c r="P2136">
        <v>1</v>
      </c>
      <c r="Q2136">
        <v>1</v>
      </c>
      <c r="R2136">
        <v>0</v>
      </c>
      <c r="T2136" t="b">
        <v>1</v>
      </c>
    </row>
    <row r="2137" spans="2:20" x14ac:dyDescent="0.35">
      <c r="B2137">
        <v>2014</v>
      </c>
      <c r="C2137" s="41">
        <v>42795</v>
      </c>
      <c r="D2137" t="s">
        <v>2211</v>
      </c>
      <c r="E2137" t="s">
        <v>219</v>
      </c>
      <c r="F2137" t="s">
        <v>1309</v>
      </c>
      <c r="G2137" t="s">
        <v>1299</v>
      </c>
      <c r="H2137" t="s">
        <v>264</v>
      </c>
      <c r="I2137" t="s">
        <v>310</v>
      </c>
      <c r="J2137">
        <v>2</v>
      </c>
      <c r="L2137">
        <v>223.49</v>
      </c>
      <c r="M2137">
        <v>380.87</v>
      </c>
      <c r="N2137">
        <v>512.88</v>
      </c>
      <c r="O2137">
        <v>754.92</v>
      </c>
      <c r="P2137">
        <v>1</v>
      </c>
      <c r="Q2137">
        <v>1</v>
      </c>
      <c r="R2137">
        <v>0</v>
      </c>
      <c r="T2137" t="b">
        <v>1</v>
      </c>
    </row>
    <row r="2138" spans="2:20" x14ac:dyDescent="0.35">
      <c r="B2138">
        <v>2014</v>
      </c>
      <c r="C2138" s="41">
        <v>42795</v>
      </c>
      <c r="D2138" t="s">
        <v>2212</v>
      </c>
      <c r="E2138" t="s">
        <v>219</v>
      </c>
      <c r="F2138" t="s">
        <v>461</v>
      </c>
      <c r="G2138" t="s">
        <v>1381</v>
      </c>
      <c r="H2138" t="s">
        <v>280</v>
      </c>
      <c r="I2138" t="s">
        <v>310</v>
      </c>
      <c r="J2138">
        <v>2</v>
      </c>
      <c r="L2138">
        <v>329.23</v>
      </c>
      <c r="M2138">
        <v>561.07000000000005</v>
      </c>
      <c r="N2138">
        <v>755.54</v>
      </c>
      <c r="O2138">
        <v>1112.0999999999999</v>
      </c>
      <c r="P2138">
        <v>1</v>
      </c>
      <c r="Q2138">
        <v>1</v>
      </c>
      <c r="R2138">
        <v>0</v>
      </c>
      <c r="T2138" t="b">
        <v>1</v>
      </c>
    </row>
    <row r="2139" spans="2:20" x14ac:dyDescent="0.35">
      <c r="B2139">
        <v>2014</v>
      </c>
      <c r="C2139" s="41">
        <v>42795</v>
      </c>
      <c r="D2139" t="s">
        <v>2212</v>
      </c>
      <c r="E2139" t="s">
        <v>219</v>
      </c>
      <c r="F2139" t="s">
        <v>1301</v>
      </c>
      <c r="G2139" t="s">
        <v>1381</v>
      </c>
      <c r="H2139" t="s">
        <v>280</v>
      </c>
      <c r="I2139" t="s">
        <v>310</v>
      </c>
      <c r="J2139">
        <v>2</v>
      </c>
      <c r="L2139">
        <v>276.68</v>
      </c>
      <c r="M2139">
        <v>471.52</v>
      </c>
      <c r="N2139">
        <v>634.95000000000005</v>
      </c>
      <c r="O2139">
        <v>934.599999999999</v>
      </c>
      <c r="P2139">
        <v>1</v>
      </c>
      <c r="Q2139">
        <v>1</v>
      </c>
      <c r="R2139">
        <v>0</v>
      </c>
      <c r="T2139" t="b">
        <v>1</v>
      </c>
    </row>
    <row r="2140" spans="2:20" x14ac:dyDescent="0.35">
      <c r="B2140">
        <v>2014</v>
      </c>
      <c r="C2140" s="41">
        <v>42795</v>
      </c>
      <c r="D2140" t="s">
        <v>2212</v>
      </c>
      <c r="E2140" t="s">
        <v>219</v>
      </c>
      <c r="F2140" t="s">
        <v>464</v>
      </c>
      <c r="G2140" t="s">
        <v>1381</v>
      </c>
      <c r="H2140" t="s">
        <v>280</v>
      </c>
      <c r="I2140" t="s">
        <v>310</v>
      </c>
      <c r="J2140">
        <v>2</v>
      </c>
      <c r="L2140">
        <v>282.79000000000002</v>
      </c>
      <c r="M2140">
        <v>481.93</v>
      </c>
      <c r="N2140">
        <v>648.97</v>
      </c>
      <c r="O2140">
        <v>955.24</v>
      </c>
      <c r="P2140">
        <v>1</v>
      </c>
      <c r="Q2140">
        <v>1</v>
      </c>
      <c r="R2140">
        <v>0</v>
      </c>
      <c r="T2140" t="b">
        <v>1</v>
      </c>
    </row>
    <row r="2141" spans="2:20" x14ac:dyDescent="0.35">
      <c r="B2141">
        <v>2014</v>
      </c>
      <c r="C2141" s="41">
        <v>42795</v>
      </c>
      <c r="D2141" t="s">
        <v>2212</v>
      </c>
      <c r="E2141" t="s">
        <v>219</v>
      </c>
      <c r="F2141" t="s">
        <v>1390</v>
      </c>
      <c r="G2141" t="s">
        <v>1381</v>
      </c>
      <c r="H2141" t="s">
        <v>280</v>
      </c>
      <c r="I2141" t="s">
        <v>310</v>
      </c>
      <c r="J2141">
        <v>2</v>
      </c>
      <c r="L2141">
        <v>345.03</v>
      </c>
      <c r="M2141">
        <v>588</v>
      </c>
      <c r="N2141">
        <v>791.8</v>
      </c>
      <c r="O2141">
        <v>1165.48</v>
      </c>
      <c r="P2141">
        <v>1</v>
      </c>
      <c r="Q2141">
        <v>1</v>
      </c>
      <c r="R2141">
        <v>0</v>
      </c>
      <c r="T2141" t="b">
        <v>1</v>
      </c>
    </row>
    <row r="2142" spans="2:20" x14ac:dyDescent="0.35">
      <c r="B2142">
        <v>2014</v>
      </c>
      <c r="C2142" s="41">
        <v>42795</v>
      </c>
      <c r="D2142" t="s">
        <v>2212</v>
      </c>
      <c r="E2142" t="s">
        <v>219</v>
      </c>
      <c r="F2142" t="s">
        <v>463</v>
      </c>
      <c r="G2142" t="s">
        <v>1381</v>
      </c>
      <c r="H2142" t="s">
        <v>280</v>
      </c>
      <c r="I2142" t="s">
        <v>310</v>
      </c>
      <c r="J2142">
        <v>2</v>
      </c>
      <c r="L2142">
        <v>375.93</v>
      </c>
      <c r="M2142">
        <v>640.66</v>
      </c>
      <c r="N2142">
        <v>862.7</v>
      </c>
      <c r="O2142">
        <v>1269.8399999999999</v>
      </c>
      <c r="P2142">
        <v>1</v>
      </c>
      <c r="Q2142">
        <v>1</v>
      </c>
      <c r="R2142">
        <v>0</v>
      </c>
      <c r="T2142" t="b">
        <v>1</v>
      </c>
    </row>
    <row r="2143" spans="2:20" x14ac:dyDescent="0.35">
      <c r="B2143">
        <v>2014</v>
      </c>
      <c r="C2143" s="41">
        <v>42795</v>
      </c>
      <c r="D2143" t="s">
        <v>2212</v>
      </c>
      <c r="E2143" t="s">
        <v>219</v>
      </c>
      <c r="F2143" t="s">
        <v>1307</v>
      </c>
      <c r="G2143" t="s">
        <v>1381</v>
      </c>
      <c r="H2143" t="s">
        <v>280</v>
      </c>
      <c r="I2143" t="s">
        <v>310</v>
      </c>
      <c r="J2143">
        <v>2</v>
      </c>
      <c r="L2143">
        <v>362.16</v>
      </c>
      <c r="M2143">
        <v>617.19000000000005</v>
      </c>
      <c r="N2143">
        <v>831.1</v>
      </c>
      <c r="O2143">
        <v>1223.32</v>
      </c>
      <c r="P2143">
        <v>1</v>
      </c>
      <c r="Q2143">
        <v>1</v>
      </c>
      <c r="R2143">
        <v>0</v>
      </c>
      <c r="T2143" t="b">
        <v>1</v>
      </c>
    </row>
    <row r="2144" spans="2:20" x14ac:dyDescent="0.35">
      <c r="B2144">
        <v>2014</v>
      </c>
      <c r="C2144" s="41">
        <v>42795</v>
      </c>
      <c r="D2144" t="s">
        <v>2212</v>
      </c>
      <c r="E2144" t="s">
        <v>219</v>
      </c>
      <c r="F2144" t="s">
        <v>1298</v>
      </c>
      <c r="G2144" t="s">
        <v>1381</v>
      </c>
      <c r="H2144" t="s">
        <v>280</v>
      </c>
      <c r="I2144" t="s">
        <v>310</v>
      </c>
      <c r="J2144">
        <v>2</v>
      </c>
      <c r="L2144">
        <v>316.93</v>
      </c>
      <c r="M2144">
        <v>540.1</v>
      </c>
      <c r="N2144">
        <v>727.3</v>
      </c>
      <c r="O2144">
        <v>1070.54</v>
      </c>
      <c r="P2144">
        <v>1</v>
      </c>
      <c r="Q2144">
        <v>1</v>
      </c>
      <c r="R2144">
        <v>0</v>
      </c>
      <c r="T2144" t="b">
        <v>1</v>
      </c>
    </row>
    <row r="2145" spans="2:20" x14ac:dyDescent="0.35">
      <c r="B2145">
        <v>2014</v>
      </c>
      <c r="C2145" s="41">
        <v>42795</v>
      </c>
      <c r="D2145" t="s">
        <v>2212</v>
      </c>
      <c r="E2145" t="s">
        <v>219</v>
      </c>
      <c r="F2145" t="s">
        <v>462</v>
      </c>
      <c r="G2145" t="s">
        <v>1381</v>
      </c>
      <c r="H2145" t="s">
        <v>280</v>
      </c>
      <c r="I2145" t="s">
        <v>310</v>
      </c>
      <c r="J2145">
        <v>2</v>
      </c>
      <c r="L2145">
        <v>304.43</v>
      </c>
      <c r="M2145">
        <v>518.82000000000005</v>
      </c>
      <c r="N2145">
        <v>698.63</v>
      </c>
      <c r="O2145">
        <v>1028.3399999999999</v>
      </c>
      <c r="P2145">
        <v>1</v>
      </c>
      <c r="Q2145">
        <v>1</v>
      </c>
      <c r="R2145">
        <v>0</v>
      </c>
      <c r="T2145" t="b">
        <v>1</v>
      </c>
    </row>
    <row r="2146" spans="2:20" x14ac:dyDescent="0.35">
      <c r="B2146">
        <v>2014</v>
      </c>
      <c r="C2146" s="41">
        <v>42795</v>
      </c>
      <c r="D2146" t="s">
        <v>2212</v>
      </c>
      <c r="E2146" t="s">
        <v>219</v>
      </c>
      <c r="F2146" t="s">
        <v>1389</v>
      </c>
      <c r="G2146" t="s">
        <v>1381</v>
      </c>
      <c r="H2146" t="s">
        <v>280</v>
      </c>
      <c r="I2146" t="s">
        <v>310</v>
      </c>
      <c r="J2146">
        <v>2</v>
      </c>
      <c r="L2146">
        <v>285.82</v>
      </c>
      <c r="M2146">
        <v>487.1</v>
      </c>
      <c r="N2146">
        <v>655.91</v>
      </c>
      <c r="O2146">
        <v>965.46</v>
      </c>
      <c r="P2146">
        <v>1</v>
      </c>
      <c r="Q2146">
        <v>1</v>
      </c>
      <c r="R2146">
        <v>0</v>
      </c>
      <c r="T2146" t="b">
        <v>1</v>
      </c>
    </row>
    <row r="2147" spans="2:20" x14ac:dyDescent="0.35">
      <c r="B2147">
        <v>2014</v>
      </c>
      <c r="C2147" s="41">
        <v>42795</v>
      </c>
      <c r="D2147" t="s">
        <v>2212</v>
      </c>
      <c r="E2147" t="s">
        <v>219</v>
      </c>
      <c r="F2147" t="s">
        <v>1309</v>
      </c>
      <c r="G2147" t="s">
        <v>1381</v>
      </c>
      <c r="H2147" t="s">
        <v>280</v>
      </c>
      <c r="I2147" t="s">
        <v>310</v>
      </c>
      <c r="J2147">
        <v>2</v>
      </c>
      <c r="L2147">
        <v>285.7</v>
      </c>
      <c r="M2147">
        <v>486.88</v>
      </c>
      <c r="N2147">
        <v>655.63</v>
      </c>
      <c r="O2147">
        <v>965.04</v>
      </c>
      <c r="P2147">
        <v>1</v>
      </c>
      <c r="Q2147">
        <v>1</v>
      </c>
      <c r="R2147">
        <v>0</v>
      </c>
      <c r="T2147" t="b">
        <v>1</v>
      </c>
    </row>
    <row r="2148" spans="2:20" x14ac:dyDescent="0.35">
      <c r="B2148">
        <v>2014</v>
      </c>
      <c r="C2148" s="41">
        <v>42795</v>
      </c>
      <c r="D2148" t="s">
        <v>2212</v>
      </c>
      <c r="E2148" t="s">
        <v>219</v>
      </c>
      <c r="F2148" t="s">
        <v>458</v>
      </c>
      <c r="G2148" t="s">
        <v>1381</v>
      </c>
      <c r="H2148" t="s">
        <v>280</v>
      </c>
      <c r="I2148" t="s">
        <v>310</v>
      </c>
      <c r="J2148">
        <v>2</v>
      </c>
      <c r="L2148">
        <v>262.7</v>
      </c>
      <c r="M2148">
        <v>447.7</v>
      </c>
      <c r="N2148">
        <v>602.87</v>
      </c>
      <c r="O2148">
        <v>887.38</v>
      </c>
      <c r="P2148">
        <v>1</v>
      </c>
      <c r="Q2148">
        <v>1</v>
      </c>
      <c r="R2148">
        <v>0</v>
      </c>
      <c r="T2148" t="b">
        <v>1</v>
      </c>
    </row>
    <row r="2149" spans="2:20" x14ac:dyDescent="0.35">
      <c r="B2149">
        <v>2014</v>
      </c>
      <c r="C2149" s="41">
        <v>42795</v>
      </c>
      <c r="D2149" t="s">
        <v>2212</v>
      </c>
      <c r="E2149" t="s">
        <v>219</v>
      </c>
      <c r="F2149" t="s">
        <v>1310</v>
      </c>
      <c r="G2149" t="s">
        <v>1381</v>
      </c>
      <c r="H2149" t="s">
        <v>280</v>
      </c>
      <c r="I2149" t="s">
        <v>310</v>
      </c>
      <c r="J2149">
        <v>2</v>
      </c>
      <c r="L2149">
        <v>410.15</v>
      </c>
      <c r="M2149">
        <v>698.97</v>
      </c>
      <c r="N2149">
        <v>941.21</v>
      </c>
      <c r="O2149">
        <v>1385.4</v>
      </c>
      <c r="P2149">
        <v>1</v>
      </c>
      <c r="Q2149">
        <v>1</v>
      </c>
      <c r="R2149">
        <v>0</v>
      </c>
      <c r="T2149" t="b">
        <v>1</v>
      </c>
    </row>
    <row r="2150" spans="2:20" x14ac:dyDescent="0.35">
      <c r="B2150">
        <v>2014</v>
      </c>
      <c r="C2150" s="41">
        <v>42795</v>
      </c>
      <c r="D2150" t="s">
        <v>2212</v>
      </c>
      <c r="E2150" t="s">
        <v>219</v>
      </c>
      <c r="F2150" t="s">
        <v>1311</v>
      </c>
      <c r="G2150" t="s">
        <v>1381</v>
      </c>
      <c r="H2150" t="s">
        <v>280</v>
      </c>
      <c r="I2150" t="s">
        <v>310</v>
      </c>
      <c r="J2150">
        <v>2</v>
      </c>
      <c r="L2150">
        <v>276.27</v>
      </c>
      <c r="M2150">
        <v>470.83</v>
      </c>
      <c r="N2150">
        <v>634.01</v>
      </c>
      <c r="O2150">
        <v>933.22</v>
      </c>
      <c r="P2150">
        <v>1</v>
      </c>
      <c r="Q2150">
        <v>1</v>
      </c>
      <c r="R2150">
        <v>0</v>
      </c>
      <c r="T2150" t="b">
        <v>1</v>
      </c>
    </row>
    <row r="2151" spans="2:20" x14ac:dyDescent="0.35">
      <c r="B2151">
        <v>2014</v>
      </c>
      <c r="C2151" s="41">
        <v>42795</v>
      </c>
      <c r="D2151" t="s">
        <v>2212</v>
      </c>
      <c r="E2151" t="s">
        <v>219</v>
      </c>
      <c r="F2151" t="s">
        <v>1302</v>
      </c>
      <c r="G2151" t="s">
        <v>1381</v>
      </c>
      <c r="H2151" t="s">
        <v>280</v>
      </c>
      <c r="I2151" t="s">
        <v>310</v>
      </c>
      <c r="J2151">
        <v>2</v>
      </c>
      <c r="L2151">
        <v>293.33999999999997</v>
      </c>
      <c r="M2151">
        <v>499.9</v>
      </c>
      <c r="N2151">
        <v>673.17</v>
      </c>
      <c r="O2151">
        <v>990.86</v>
      </c>
      <c r="P2151">
        <v>1</v>
      </c>
      <c r="Q2151">
        <v>1</v>
      </c>
      <c r="R2151">
        <v>0</v>
      </c>
      <c r="T2151" t="b">
        <v>1</v>
      </c>
    </row>
    <row r="2152" spans="2:20" x14ac:dyDescent="0.35">
      <c r="B2152">
        <v>2014</v>
      </c>
      <c r="C2152" s="41">
        <v>42795</v>
      </c>
      <c r="D2152" t="s">
        <v>2212</v>
      </c>
      <c r="E2152" t="s">
        <v>219</v>
      </c>
      <c r="F2152" t="s">
        <v>459</v>
      </c>
      <c r="G2152" t="s">
        <v>1381</v>
      </c>
      <c r="H2152" t="s">
        <v>280</v>
      </c>
      <c r="I2152" t="s">
        <v>310</v>
      </c>
      <c r="J2152">
        <v>2</v>
      </c>
      <c r="L2152">
        <v>338.39</v>
      </c>
      <c r="M2152">
        <v>576.67999999999995</v>
      </c>
      <c r="N2152">
        <v>776.56</v>
      </c>
      <c r="O2152">
        <v>1143.04</v>
      </c>
      <c r="P2152">
        <v>1</v>
      </c>
      <c r="Q2152">
        <v>1</v>
      </c>
      <c r="R2152">
        <v>0</v>
      </c>
      <c r="T2152" t="b">
        <v>1</v>
      </c>
    </row>
    <row r="2153" spans="2:20" x14ac:dyDescent="0.35">
      <c r="B2153">
        <v>2014</v>
      </c>
      <c r="C2153" s="41">
        <v>42795</v>
      </c>
      <c r="D2153" t="s">
        <v>2212</v>
      </c>
      <c r="E2153" t="s">
        <v>219</v>
      </c>
      <c r="F2153" t="s">
        <v>460</v>
      </c>
      <c r="G2153" t="s">
        <v>1381</v>
      </c>
      <c r="H2153" t="s">
        <v>280</v>
      </c>
      <c r="I2153" t="s">
        <v>310</v>
      </c>
      <c r="J2153">
        <v>2</v>
      </c>
      <c r="L2153">
        <v>280.32</v>
      </c>
      <c r="M2153">
        <v>477.72</v>
      </c>
      <c r="N2153">
        <v>643.29</v>
      </c>
      <c r="O2153">
        <v>946.87999999999897</v>
      </c>
      <c r="P2153">
        <v>1</v>
      </c>
      <c r="Q2153">
        <v>1</v>
      </c>
      <c r="R2153">
        <v>0</v>
      </c>
      <c r="T2153" t="b">
        <v>1</v>
      </c>
    </row>
    <row r="2154" spans="2:20" x14ac:dyDescent="0.35">
      <c r="B2154">
        <v>2014</v>
      </c>
      <c r="C2154" s="41">
        <v>42795</v>
      </c>
      <c r="D2154" t="s">
        <v>2213</v>
      </c>
      <c r="E2154" t="s">
        <v>219</v>
      </c>
      <c r="F2154" t="s">
        <v>1302</v>
      </c>
      <c r="G2154" t="s">
        <v>304</v>
      </c>
      <c r="H2154" t="s">
        <v>306</v>
      </c>
      <c r="I2154" t="s">
        <v>310</v>
      </c>
      <c r="J2154">
        <v>1</v>
      </c>
      <c r="L2154">
        <v>275.19</v>
      </c>
      <c r="M2154">
        <v>468.99</v>
      </c>
      <c r="N2154">
        <v>631.52</v>
      </c>
      <c r="O2154">
        <v>929.56</v>
      </c>
      <c r="P2154">
        <v>1</v>
      </c>
      <c r="Q2154">
        <v>1</v>
      </c>
      <c r="R2154">
        <v>0</v>
      </c>
      <c r="T2154" t="b">
        <v>1</v>
      </c>
    </row>
    <row r="2155" spans="2:20" x14ac:dyDescent="0.35">
      <c r="B2155">
        <v>2014</v>
      </c>
      <c r="C2155" s="41">
        <v>42795</v>
      </c>
      <c r="D2155" t="s">
        <v>2213</v>
      </c>
      <c r="E2155" t="s">
        <v>219</v>
      </c>
      <c r="F2155" t="s">
        <v>1311</v>
      </c>
      <c r="G2155" t="s">
        <v>304</v>
      </c>
      <c r="H2155" t="s">
        <v>306</v>
      </c>
      <c r="I2155" t="s">
        <v>310</v>
      </c>
      <c r="J2155">
        <v>1</v>
      </c>
      <c r="L2155">
        <v>288.95</v>
      </c>
      <c r="M2155">
        <v>492.43</v>
      </c>
      <c r="N2155">
        <v>663.1</v>
      </c>
      <c r="O2155">
        <v>976.04</v>
      </c>
      <c r="P2155">
        <v>1</v>
      </c>
      <c r="Q2155">
        <v>1</v>
      </c>
      <c r="R2155">
        <v>0</v>
      </c>
      <c r="T2155" t="b">
        <v>1</v>
      </c>
    </row>
    <row r="2156" spans="2:20" x14ac:dyDescent="0.35">
      <c r="B2156">
        <v>2014</v>
      </c>
      <c r="C2156" s="41">
        <v>42795</v>
      </c>
      <c r="D2156" t="s">
        <v>2213</v>
      </c>
      <c r="E2156" t="s">
        <v>219</v>
      </c>
      <c r="F2156" t="s">
        <v>1301</v>
      </c>
      <c r="G2156" t="s">
        <v>304</v>
      </c>
      <c r="H2156" t="s">
        <v>306</v>
      </c>
      <c r="I2156" t="s">
        <v>310</v>
      </c>
      <c r="J2156">
        <v>1</v>
      </c>
      <c r="L2156">
        <v>247.67</v>
      </c>
      <c r="M2156">
        <v>422.09</v>
      </c>
      <c r="N2156">
        <v>568.38</v>
      </c>
      <c r="O2156">
        <v>836.62</v>
      </c>
      <c r="P2156">
        <v>1</v>
      </c>
      <c r="Q2156">
        <v>1</v>
      </c>
      <c r="R2156">
        <v>0</v>
      </c>
      <c r="T2156" t="b">
        <v>1</v>
      </c>
    </row>
    <row r="2157" spans="2:20" x14ac:dyDescent="0.35">
      <c r="B2157">
        <v>2014</v>
      </c>
      <c r="C2157" s="41">
        <v>42795</v>
      </c>
      <c r="D2157" t="s">
        <v>2213</v>
      </c>
      <c r="E2157" t="s">
        <v>219</v>
      </c>
      <c r="F2157" t="s">
        <v>461</v>
      </c>
      <c r="G2157" t="s">
        <v>304</v>
      </c>
      <c r="H2157" t="s">
        <v>306</v>
      </c>
      <c r="I2157" t="s">
        <v>310</v>
      </c>
      <c r="J2157">
        <v>1</v>
      </c>
      <c r="L2157">
        <v>302.70999999999998</v>
      </c>
      <c r="M2157">
        <v>515.88</v>
      </c>
      <c r="N2157">
        <v>694.68</v>
      </c>
      <c r="O2157">
        <v>1022.52</v>
      </c>
      <c r="P2157">
        <v>1</v>
      </c>
      <c r="Q2157">
        <v>1</v>
      </c>
      <c r="R2157">
        <v>0</v>
      </c>
      <c r="T2157" t="b">
        <v>1</v>
      </c>
    </row>
    <row r="2158" spans="2:20" x14ac:dyDescent="0.35">
      <c r="B2158">
        <v>2014</v>
      </c>
      <c r="C2158" s="41">
        <v>42795</v>
      </c>
      <c r="D2158" t="s">
        <v>2213</v>
      </c>
      <c r="E2158" t="s">
        <v>219</v>
      </c>
      <c r="F2158" t="s">
        <v>1298</v>
      </c>
      <c r="G2158" t="s">
        <v>304</v>
      </c>
      <c r="H2158" t="s">
        <v>306</v>
      </c>
      <c r="I2158" t="s">
        <v>310</v>
      </c>
      <c r="J2158">
        <v>1</v>
      </c>
      <c r="L2158">
        <v>275.19</v>
      </c>
      <c r="M2158">
        <v>468.99</v>
      </c>
      <c r="N2158">
        <v>631.52</v>
      </c>
      <c r="O2158">
        <v>929.56</v>
      </c>
      <c r="P2158">
        <v>1</v>
      </c>
      <c r="Q2158">
        <v>1</v>
      </c>
      <c r="R2158">
        <v>0</v>
      </c>
      <c r="T2158" t="b">
        <v>1</v>
      </c>
    </row>
    <row r="2159" spans="2:20" x14ac:dyDescent="0.35">
      <c r="B2159">
        <v>2014</v>
      </c>
      <c r="C2159" s="41">
        <v>42795</v>
      </c>
      <c r="D2159" t="s">
        <v>2213</v>
      </c>
      <c r="E2159" t="s">
        <v>219</v>
      </c>
      <c r="F2159" t="s">
        <v>458</v>
      </c>
      <c r="G2159" t="s">
        <v>304</v>
      </c>
      <c r="H2159" t="s">
        <v>306</v>
      </c>
      <c r="I2159" t="s">
        <v>310</v>
      </c>
      <c r="J2159">
        <v>1</v>
      </c>
      <c r="L2159">
        <v>261.43</v>
      </c>
      <c r="M2159">
        <v>445.54</v>
      </c>
      <c r="N2159">
        <v>599.96</v>
      </c>
      <c r="O2159">
        <v>883.099999999999</v>
      </c>
      <c r="P2159">
        <v>1</v>
      </c>
      <c r="Q2159">
        <v>1</v>
      </c>
      <c r="R2159">
        <v>0</v>
      </c>
      <c r="T2159" t="b">
        <v>1</v>
      </c>
    </row>
    <row r="2160" spans="2:20" x14ac:dyDescent="0.35">
      <c r="B2160">
        <v>2014</v>
      </c>
      <c r="C2160" s="41">
        <v>42795</v>
      </c>
      <c r="D2160" t="s">
        <v>2213</v>
      </c>
      <c r="E2160" t="s">
        <v>219</v>
      </c>
      <c r="F2160" t="s">
        <v>1390</v>
      </c>
      <c r="G2160" t="s">
        <v>304</v>
      </c>
      <c r="H2160" t="s">
        <v>306</v>
      </c>
      <c r="I2160" t="s">
        <v>310</v>
      </c>
      <c r="J2160">
        <v>1</v>
      </c>
      <c r="L2160">
        <v>294.45999999999998</v>
      </c>
      <c r="M2160">
        <v>501.81</v>
      </c>
      <c r="N2160">
        <v>675.74</v>
      </c>
      <c r="O2160">
        <v>994.63999999999896</v>
      </c>
      <c r="P2160">
        <v>1</v>
      </c>
      <c r="Q2160">
        <v>1</v>
      </c>
      <c r="R2160">
        <v>0</v>
      </c>
      <c r="T2160" t="b">
        <v>1</v>
      </c>
    </row>
    <row r="2161" spans="2:20" x14ac:dyDescent="0.35">
      <c r="B2161">
        <v>2014</v>
      </c>
      <c r="C2161" s="41">
        <v>42795</v>
      </c>
      <c r="D2161" t="s">
        <v>2214</v>
      </c>
      <c r="E2161" t="s">
        <v>219</v>
      </c>
      <c r="F2161" t="s">
        <v>1310</v>
      </c>
      <c r="G2161" t="s">
        <v>1381</v>
      </c>
      <c r="H2161" t="s">
        <v>276</v>
      </c>
      <c r="I2161" t="s">
        <v>310</v>
      </c>
      <c r="J2161">
        <v>2</v>
      </c>
      <c r="L2161">
        <v>405.62</v>
      </c>
      <c r="M2161">
        <v>691.25</v>
      </c>
      <c r="N2161">
        <v>930.83</v>
      </c>
      <c r="O2161">
        <v>1370.12</v>
      </c>
      <c r="P2161">
        <v>1</v>
      </c>
      <c r="Q2161">
        <v>1</v>
      </c>
      <c r="R2161">
        <v>0</v>
      </c>
      <c r="T2161" t="b">
        <v>1</v>
      </c>
    </row>
    <row r="2162" spans="2:20" x14ac:dyDescent="0.35">
      <c r="B2162">
        <v>2014</v>
      </c>
      <c r="C2162" s="41">
        <v>42795</v>
      </c>
      <c r="D2162" t="s">
        <v>2214</v>
      </c>
      <c r="E2162" t="s">
        <v>219</v>
      </c>
      <c r="F2162" t="s">
        <v>463</v>
      </c>
      <c r="G2162" t="s">
        <v>1381</v>
      </c>
      <c r="H2162" t="s">
        <v>276</v>
      </c>
      <c r="I2162" t="s">
        <v>310</v>
      </c>
      <c r="J2162">
        <v>2</v>
      </c>
      <c r="L2162">
        <v>371.78</v>
      </c>
      <c r="M2162">
        <v>633.58000000000004</v>
      </c>
      <c r="N2162">
        <v>853.18</v>
      </c>
      <c r="O2162">
        <v>1255.82</v>
      </c>
      <c r="P2162">
        <v>1</v>
      </c>
      <c r="Q2162">
        <v>1</v>
      </c>
      <c r="R2162">
        <v>0</v>
      </c>
      <c r="T2162" t="b">
        <v>1</v>
      </c>
    </row>
    <row r="2163" spans="2:20" x14ac:dyDescent="0.35">
      <c r="B2163">
        <v>2014</v>
      </c>
      <c r="C2163" s="41">
        <v>42795</v>
      </c>
      <c r="D2163" t="s">
        <v>2214</v>
      </c>
      <c r="E2163" t="s">
        <v>219</v>
      </c>
      <c r="F2163" t="s">
        <v>1307</v>
      </c>
      <c r="G2163" t="s">
        <v>1381</v>
      </c>
      <c r="H2163" t="s">
        <v>276</v>
      </c>
      <c r="I2163" t="s">
        <v>310</v>
      </c>
      <c r="J2163">
        <v>2</v>
      </c>
      <c r="L2163">
        <v>358.15</v>
      </c>
      <c r="M2163">
        <v>610.37</v>
      </c>
      <c r="N2163">
        <v>821.91</v>
      </c>
      <c r="O2163">
        <v>1209.8</v>
      </c>
      <c r="P2163">
        <v>1</v>
      </c>
      <c r="Q2163">
        <v>1</v>
      </c>
      <c r="R2163">
        <v>0</v>
      </c>
      <c r="T2163" t="b">
        <v>1</v>
      </c>
    </row>
    <row r="2164" spans="2:20" x14ac:dyDescent="0.35">
      <c r="B2164">
        <v>2014</v>
      </c>
      <c r="C2164" s="41">
        <v>42795</v>
      </c>
      <c r="D2164" t="s">
        <v>2214</v>
      </c>
      <c r="E2164" t="s">
        <v>219</v>
      </c>
      <c r="F2164" t="s">
        <v>1390</v>
      </c>
      <c r="G2164" t="s">
        <v>1381</v>
      </c>
      <c r="H2164" t="s">
        <v>276</v>
      </c>
      <c r="I2164" t="s">
        <v>310</v>
      </c>
      <c r="J2164">
        <v>2</v>
      </c>
      <c r="L2164">
        <v>341.22</v>
      </c>
      <c r="M2164">
        <v>581.5</v>
      </c>
      <c r="N2164">
        <v>783.04</v>
      </c>
      <c r="O2164">
        <v>1152.58</v>
      </c>
      <c r="P2164">
        <v>1</v>
      </c>
      <c r="Q2164">
        <v>1</v>
      </c>
      <c r="R2164">
        <v>0</v>
      </c>
      <c r="T2164" t="b">
        <v>1</v>
      </c>
    </row>
    <row r="2165" spans="2:20" x14ac:dyDescent="0.35">
      <c r="B2165">
        <v>2014</v>
      </c>
      <c r="C2165" s="41">
        <v>42795</v>
      </c>
      <c r="D2165" t="s">
        <v>2214</v>
      </c>
      <c r="E2165" t="s">
        <v>219</v>
      </c>
      <c r="F2165" t="s">
        <v>461</v>
      </c>
      <c r="G2165" t="s">
        <v>1381</v>
      </c>
      <c r="H2165" t="s">
        <v>276</v>
      </c>
      <c r="I2165" t="s">
        <v>310</v>
      </c>
      <c r="J2165">
        <v>2</v>
      </c>
      <c r="L2165">
        <v>325.58999999999997</v>
      </c>
      <c r="M2165">
        <v>554.87</v>
      </c>
      <c r="N2165">
        <v>747.18</v>
      </c>
      <c r="O2165">
        <v>1099.8</v>
      </c>
      <c r="P2165">
        <v>1</v>
      </c>
      <c r="Q2165">
        <v>1</v>
      </c>
      <c r="R2165">
        <v>0</v>
      </c>
      <c r="T2165" t="b">
        <v>1</v>
      </c>
    </row>
    <row r="2166" spans="2:20" x14ac:dyDescent="0.35">
      <c r="B2166">
        <v>2014</v>
      </c>
      <c r="C2166" s="41">
        <v>42795</v>
      </c>
      <c r="D2166" t="s">
        <v>2214</v>
      </c>
      <c r="E2166" t="s">
        <v>219</v>
      </c>
      <c r="F2166" t="s">
        <v>462</v>
      </c>
      <c r="G2166" t="s">
        <v>1381</v>
      </c>
      <c r="H2166" t="s">
        <v>276</v>
      </c>
      <c r="I2166" t="s">
        <v>310</v>
      </c>
      <c r="J2166">
        <v>2</v>
      </c>
      <c r="L2166">
        <v>301.08</v>
      </c>
      <c r="M2166">
        <v>513.1</v>
      </c>
      <c r="N2166">
        <v>690.93</v>
      </c>
      <c r="O2166">
        <v>1017</v>
      </c>
      <c r="P2166">
        <v>1</v>
      </c>
      <c r="Q2166">
        <v>1</v>
      </c>
      <c r="R2166">
        <v>0</v>
      </c>
      <c r="T2166" t="b">
        <v>1</v>
      </c>
    </row>
    <row r="2167" spans="2:20" x14ac:dyDescent="0.35">
      <c r="B2167">
        <v>2014</v>
      </c>
      <c r="C2167" s="41">
        <v>42795</v>
      </c>
      <c r="D2167" t="s">
        <v>2214</v>
      </c>
      <c r="E2167" t="s">
        <v>219</v>
      </c>
      <c r="F2167" t="s">
        <v>1302</v>
      </c>
      <c r="G2167" t="s">
        <v>1381</v>
      </c>
      <c r="H2167" t="s">
        <v>276</v>
      </c>
      <c r="I2167" t="s">
        <v>310</v>
      </c>
      <c r="J2167">
        <v>2</v>
      </c>
      <c r="L2167">
        <v>290.10000000000002</v>
      </c>
      <c r="M2167">
        <v>494.38</v>
      </c>
      <c r="N2167">
        <v>665.72</v>
      </c>
      <c r="O2167">
        <v>979.9</v>
      </c>
      <c r="P2167">
        <v>1</v>
      </c>
      <c r="Q2167">
        <v>1</v>
      </c>
      <c r="R2167">
        <v>0</v>
      </c>
      <c r="T2167" t="b">
        <v>1</v>
      </c>
    </row>
    <row r="2168" spans="2:20" x14ac:dyDescent="0.35">
      <c r="B2168">
        <v>2014</v>
      </c>
      <c r="C2168" s="41">
        <v>42795</v>
      </c>
      <c r="D2168" t="s">
        <v>2214</v>
      </c>
      <c r="E2168" t="s">
        <v>219</v>
      </c>
      <c r="F2168" t="s">
        <v>1309</v>
      </c>
      <c r="G2168" t="s">
        <v>1381</v>
      </c>
      <c r="H2168" t="s">
        <v>276</v>
      </c>
      <c r="I2168" t="s">
        <v>310</v>
      </c>
      <c r="J2168">
        <v>2</v>
      </c>
      <c r="L2168">
        <v>282.54000000000002</v>
      </c>
      <c r="M2168">
        <v>481.51</v>
      </c>
      <c r="N2168">
        <v>648.4</v>
      </c>
      <c r="O2168">
        <v>954.4</v>
      </c>
      <c r="P2168">
        <v>1</v>
      </c>
      <c r="Q2168">
        <v>1</v>
      </c>
      <c r="R2168">
        <v>0</v>
      </c>
      <c r="T2168" t="b">
        <v>1</v>
      </c>
    </row>
    <row r="2169" spans="2:20" x14ac:dyDescent="0.35">
      <c r="B2169">
        <v>2014</v>
      </c>
      <c r="C2169" s="41">
        <v>42795</v>
      </c>
      <c r="D2169" t="s">
        <v>2214</v>
      </c>
      <c r="E2169" t="s">
        <v>219</v>
      </c>
      <c r="F2169" t="s">
        <v>460</v>
      </c>
      <c r="G2169" t="s">
        <v>1381</v>
      </c>
      <c r="H2169" t="s">
        <v>276</v>
      </c>
      <c r="I2169" t="s">
        <v>310</v>
      </c>
      <c r="J2169">
        <v>2</v>
      </c>
      <c r="L2169">
        <v>277.23</v>
      </c>
      <c r="M2169">
        <v>472.45</v>
      </c>
      <c r="N2169">
        <v>636.20000000000005</v>
      </c>
      <c r="O2169">
        <v>936.44</v>
      </c>
      <c r="P2169">
        <v>1</v>
      </c>
      <c r="Q2169">
        <v>1</v>
      </c>
      <c r="R2169">
        <v>0</v>
      </c>
      <c r="T2169" t="b">
        <v>1</v>
      </c>
    </row>
    <row r="2170" spans="2:20" x14ac:dyDescent="0.35">
      <c r="B2170">
        <v>2014</v>
      </c>
      <c r="C2170" s="41">
        <v>42795</v>
      </c>
      <c r="D2170" t="s">
        <v>2214</v>
      </c>
      <c r="E2170" t="s">
        <v>219</v>
      </c>
      <c r="F2170" t="s">
        <v>1311</v>
      </c>
      <c r="G2170" t="s">
        <v>1381</v>
      </c>
      <c r="H2170" t="s">
        <v>276</v>
      </c>
      <c r="I2170" t="s">
        <v>310</v>
      </c>
      <c r="J2170">
        <v>2</v>
      </c>
      <c r="L2170">
        <v>273.20999999999998</v>
      </c>
      <c r="M2170">
        <v>465.61</v>
      </c>
      <c r="N2170">
        <v>626.97</v>
      </c>
      <c r="O2170">
        <v>922.85999999999899</v>
      </c>
      <c r="P2170">
        <v>1</v>
      </c>
      <c r="Q2170">
        <v>1</v>
      </c>
      <c r="R2170">
        <v>0</v>
      </c>
      <c r="T2170" t="b">
        <v>1</v>
      </c>
    </row>
    <row r="2171" spans="2:20" x14ac:dyDescent="0.35">
      <c r="B2171">
        <v>2014</v>
      </c>
      <c r="C2171" s="41">
        <v>42795</v>
      </c>
      <c r="D2171" t="s">
        <v>2214</v>
      </c>
      <c r="E2171" t="s">
        <v>219</v>
      </c>
      <c r="F2171" t="s">
        <v>1389</v>
      </c>
      <c r="G2171" t="s">
        <v>1381</v>
      </c>
      <c r="H2171" t="s">
        <v>276</v>
      </c>
      <c r="I2171" t="s">
        <v>310</v>
      </c>
      <c r="J2171">
        <v>2</v>
      </c>
      <c r="L2171">
        <v>282.66000000000003</v>
      </c>
      <c r="M2171">
        <v>481.7</v>
      </c>
      <c r="N2171">
        <v>648.66</v>
      </c>
      <c r="O2171">
        <v>954.78</v>
      </c>
      <c r="P2171">
        <v>1</v>
      </c>
      <c r="Q2171">
        <v>1</v>
      </c>
      <c r="R2171">
        <v>0</v>
      </c>
      <c r="T2171" t="b">
        <v>1</v>
      </c>
    </row>
    <row r="2172" spans="2:20" x14ac:dyDescent="0.35">
      <c r="B2172">
        <v>2014</v>
      </c>
      <c r="C2172" s="41">
        <v>42795</v>
      </c>
      <c r="D2172" t="s">
        <v>2214</v>
      </c>
      <c r="E2172" t="s">
        <v>219</v>
      </c>
      <c r="F2172" t="s">
        <v>1301</v>
      </c>
      <c r="G2172" t="s">
        <v>1381</v>
      </c>
      <c r="H2172" t="s">
        <v>276</v>
      </c>
      <c r="I2172" t="s">
        <v>310</v>
      </c>
      <c r="J2172">
        <v>2</v>
      </c>
      <c r="L2172">
        <v>273.62</v>
      </c>
      <c r="M2172">
        <v>466.31</v>
      </c>
      <c r="N2172">
        <v>627.91999999999996</v>
      </c>
      <c r="O2172">
        <v>924.26</v>
      </c>
      <c r="P2172">
        <v>1</v>
      </c>
      <c r="Q2172">
        <v>1</v>
      </c>
      <c r="R2172">
        <v>0</v>
      </c>
      <c r="T2172" t="b">
        <v>1</v>
      </c>
    </row>
    <row r="2173" spans="2:20" x14ac:dyDescent="0.35">
      <c r="B2173">
        <v>2014</v>
      </c>
      <c r="C2173" s="41">
        <v>42795</v>
      </c>
      <c r="D2173" t="s">
        <v>2214</v>
      </c>
      <c r="E2173" t="s">
        <v>219</v>
      </c>
      <c r="F2173" t="s">
        <v>459</v>
      </c>
      <c r="G2173" t="s">
        <v>1381</v>
      </c>
      <c r="H2173" t="s">
        <v>276</v>
      </c>
      <c r="I2173" t="s">
        <v>310</v>
      </c>
      <c r="J2173">
        <v>2</v>
      </c>
      <c r="L2173">
        <v>334.66</v>
      </c>
      <c r="M2173">
        <v>570.32000000000005</v>
      </c>
      <c r="N2173">
        <v>767.98</v>
      </c>
      <c r="O2173">
        <v>1130.42</v>
      </c>
      <c r="P2173">
        <v>1</v>
      </c>
      <c r="Q2173">
        <v>1</v>
      </c>
      <c r="R2173">
        <v>0</v>
      </c>
      <c r="T2173" t="b">
        <v>1</v>
      </c>
    </row>
    <row r="2174" spans="2:20" x14ac:dyDescent="0.35">
      <c r="B2174">
        <v>2014</v>
      </c>
      <c r="C2174" s="41">
        <v>42795</v>
      </c>
      <c r="D2174" t="s">
        <v>2214</v>
      </c>
      <c r="E2174" t="s">
        <v>219</v>
      </c>
      <c r="F2174" t="s">
        <v>458</v>
      </c>
      <c r="G2174" t="s">
        <v>1381</v>
      </c>
      <c r="H2174" t="s">
        <v>276</v>
      </c>
      <c r="I2174" t="s">
        <v>310</v>
      </c>
      <c r="J2174">
        <v>2</v>
      </c>
      <c r="L2174">
        <v>259.8</v>
      </c>
      <c r="M2174">
        <v>442.75</v>
      </c>
      <c r="N2174">
        <v>596.21</v>
      </c>
      <c r="O2174">
        <v>877.57999999999902</v>
      </c>
      <c r="P2174">
        <v>1</v>
      </c>
      <c r="Q2174">
        <v>1</v>
      </c>
      <c r="R2174">
        <v>0</v>
      </c>
      <c r="T2174" t="b">
        <v>1</v>
      </c>
    </row>
    <row r="2175" spans="2:20" x14ac:dyDescent="0.35">
      <c r="B2175">
        <v>2014</v>
      </c>
      <c r="C2175" s="41">
        <v>42795</v>
      </c>
      <c r="D2175" t="s">
        <v>2214</v>
      </c>
      <c r="E2175" t="s">
        <v>219</v>
      </c>
      <c r="F2175" t="s">
        <v>464</v>
      </c>
      <c r="G2175" t="s">
        <v>1381</v>
      </c>
      <c r="H2175" t="s">
        <v>276</v>
      </c>
      <c r="I2175" t="s">
        <v>310</v>
      </c>
      <c r="J2175">
        <v>2</v>
      </c>
      <c r="L2175">
        <v>279.67</v>
      </c>
      <c r="M2175">
        <v>476.61</v>
      </c>
      <c r="N2175">
        <v>641.80999999999995</v>
      </c>
      <c r="O2175">
        <v>944.7</v>
      </c>
      <c r="P2175">
        <v>1</v>
      </c>
      <c r="Q2175">
        <v>1</v>
      </c>
      <c r="R2175">
        <v>0</v>
      </c>
      <c r="T2175" t="b">
        <v>1</v>
      </c>
    </row>
    <row r="2176" spans="2:20" x14ac:dyDescent="0.35">
      <c r="B2176">
        <v>2014</v>
      </c>
      <c r="C2176" s="41">
        <v>42795</v>
      </c>
      <c r="D2176" t="s">
        <v>2214</v>
      </c>
      <c r="E2176" t="s">
        <v>219</v>
      </c>
      <c r="F2176" t="s">
        <v>1298</v>
      </c>
      <c r="G2176" t="s">
        <v>1381</v>
      </c>
      <c r="H2176" t="s">
        <v>276</v>
      </c>
      <c r="I2176" t="s">
        <v>310</v>
      </c>
      <c r="J2176">
        <v>2</v>
      </c>
      <c r="L2176">
        <v>313.41000000000003</v>
      </c>
      <c r="M2176">
        <v>534.12</v>
      </c>
      <c r="N2176">
        <v>719.23</v>
      </c>
      <c r="O2176">
        <v>1058.6600000000001</v>
      </c>
      <c r="P2176">
        <v>1</v>
      </c>
      <c r="Q2176">
        <v>1</v>
      </c>
      <c r="R2176">
        <v>0</v>
      </c>
      <c r="T2176" t="b">
        <v>1</v>
      </c>
    </row>
    <row r="2177" spans="2:20" x14ac:dyDescent="0.35">
      <c r="B2177">
        <v>2014</v>
      </c>
      <c r="C2177" s="41">
        <v>42795</v>
      </c>
      <c r="D2177" t="s">
        <v>2215</v>
      </c>
      <c r="E2177" t="s">
        <v>219</v>
      </c>
      <c r="F2177" t="s">
        <v>1311</v>
      </c>
      <c r="G2177" t="s">
        <v>1299</v>
      </c>
      <c r="H2177" t="s">
        <v>215</v>
      </c>
      <c r="I2177" t="s">
        <v>310</v>
      </c>
      <c r="J2177">
        <v>2</v>
      </c>
      <c r="L2177">
        <v>220.5</v>
      </c>
      <c r="M2177">
        <v>375.77</v>
      </c>
      <c r="N2177">
        <v>506</v>
      </c>
      <c r="O2177">
        <v>744.8</v>
      </c>
      <c r="P2177">
        <v>1</v>
      </c>
      <c r="Q2177">
        <v>1</v>
      </c>
      <c r="R2177">
        <v>0</v>
      </c>
      <c r="T2177" t="b">
        <v>1</v>
      </c>
    </row>
    <row r="2178" spans="2:20" x14ac:dyDescent="0.35">
      <c r="B2178">
        <v>2014</v>
      </c>
      <c r="C2178" s="41">
        <v>42795</v>
      </c>
      <c r="D2178" t="s">
        <v>2215</v>
      </c>
      <c r="E2178" t="s">
        <v>219</v>
      </c>
      <c r="F2178" t="s">
        <v>1301</v>
      </c>
      <c r="G2178" t="s">
        <v>1299</v>
      </c>
      <c r="H2178" t="s">
        <v>215</v>
      </c>
      <c r="I2178" t="s">
        <v>310</v>
      </c>
      <c r="J2178">
        <v>2</v>
      </c>
      <c r="L2178">
        <v>277.10000000000002</v>
      </c>
      <c r="M2178">
        <v>472.23</v>
      </c>
      <c r="N2178">
        <v>635.9</v>
      </c>
      <c r="O2178">
        <v>936</v>
      </c>
      <c r="P2178">
        <v>1</v>
      </c>
      <c r="Q2178">
        <v>1</v>
      </c>
      <c r="R2178">
        <v>0</v>
      </c>
      <c r="T2178" t="b">
        <v>1</v>
      </c>
    </row>
    <row r="2179" spans="2:20" x14ac:dyDescent="0.35">
      <c r="B2179">
        <v>2014</v>
      </c>
      <c r="C2179" s="41">
        <v>42795</v>
      </c>
      <c r="D2179" t="s">
        <v>2215</v>
      </c>
      <c r="E2179" t="s">
        <v>219</v>
      </c>
      <c r="F2179" t="s">
        <v>1309</v>
      </c>
      <c r="G2179" t="s">
        <v>1299</v>
      </c>
      <c r="H2179" t="s">
        <v>215</v>
      </c>
      <c r="I2179" t="s">
        <v>310</v>
      </c>
      <c r="J2179">
        <v>2</v>
      </c>
      <c r="L2179">
        <v>243.03</v>
      </c>
      <c r="M2179">
        <v>414.17</v>
      </c>
      <c r="N2179">
        <v>557.73</v>
      </c>
      <c r="O2179">
        <v>820.93999999999903</v>
      </c>
      <c r="P2179">
        <v>1</v>
      </c>
      <c r="Q2179">
        <v>1</v>
      </c>
      <c r="R2179">
        <v>0</v>
      </c>
      <c r="T2179" t="b">
        <v>1</v>
      </c>
    </row>
    <row r="2180" spans="2:20" x14ac:dyDescent="0.35">
      <c r="B2180">
        <v>2014</v>
      </c>
      <c r="C2180" s="41">
        <v>42795</v>
      </c>
      <c r="D2180" t="s">
        <v>308</v>
      </c>
      <c r="E2180" t="s">
        <v>219</v>
      </c>
      <c r="F2180" t="s">
        <v>461</v>
      </c>
      <c r="G2180" t="s">
        <v>2100</v>
      </c>
      <c r="H2180" t="s">
        <v>224</v>
      </c>
      <c r="I2180" t="s">
        <v>310</v>
      </c>
      <c r="J2180">
        <v>2</v>
      </c>
      <c r="L2180">
        <v>187.8</v>
      </c>
      <c r="M2180">
        <v>320.06</v>
      </c>
      <c r="N2180">
        <v>430.95</v>
      </c>
      <c r="O2180">
        <v>634.33999999999901</v>
      </c>
      <c r="P2180">
        <v>0</v>
      </c>
      <c r="Q2180">
        <v>3</v>
      </c>
      <c r="R2180">
        <v>0</v>
      </c>
      <c r="T2180" t="b">
        <v>1</v>
      </c>
    </row>
    <row r="2181" spans="2:20" x14ac:dyDescent="0.35">
      <c r="B2181">
        <v>2014</v>
      </c>
      <c r="C2181" s="41">
        <v>42795</v>
      </c>
      <c r="D2181" t="s">
        <v>308</v>
      </c>
      <c r="E2181" t="s">
        <v>219</v>
      </c>
      <c r="F2181" t="s">
        <v>1301</v>
      </c>
      <c r="G2181" t="s">
        <v>2100</v>
      </c>
      <c r="H2181" t="s">
        <v>224</v>
      </c>
      <c r="I2181" t="s">
        <v>310</v>
      </c>
      <c r="J2181">
        <v>2</v>
      </c>
      <c r="L2181">
        <v>187.8</v>
      </c>
      <c r="M2181">
        <v>320.06</v>
      </c>
      <c r="N2181">
        <v>430.95</v>
      </c>
      <c r="O2181">
        <v>634.33999999999901</v>
      </c>
      <c r="P2181">
        <v>0</v>
      </c>
      <c r="Q2181">
        <v>3</v>
      </c>
      <c r="R2181">
        <v>0</v>
      </c>
      <c r="T2181" t="b">
        <v>1</v>
      </c>
    </row>
    <row r="2182" spans="2:20" x14ac:dyDescent="0.35">
      <c r="B2182">
        <v>2014</v>
      </c>
      <c r="C2182" s="41">
        <v>42795</v>
      </c>
      <c r="D2182" t="s">
        <v>308</v>
      </c>
      <c r="E2182" t="s">
        <v>219</v>
      </c>
      <c r="F2182" t="s">
        <v>458</v>
      </c>
      <c r="G2182" t="s">
        <v>2100</v>
      </c>
      <c r="H2182" t="s">
        <v>224</v>
      </c>
      <c r="I2182" t="s">
        <v>310</v>
      </c>
      <c r="J2182">
        <v>2</v>
      </c>
      <c r="L2182">
        <v>187.8</v>
      </c>
      <c r="M2182">
        <v>320.06</v>
      </c>
      <c r="N2182">
        <v>430.95</v>
      </c>
      <c r="O2182">
        <v>634.33999999999901</v>
      </c>
      <c r="P2182">
        <v>0</v>
      </c>
      <c r="Q2182">
        <v>3</v>
      </c>
      <c r="R2182">
        <v>0</v>
      </c>
      <c r="T2182" t="b">
        <v>1</v>
      </c>
    </row>
    <row r="2183" spans="2:20" x14ac:dyDescent="0.35">
      <c r="B2183">
        <v>2014</v>
      </c>
      <c r="C2183" s="41">
        <v>42795</v>
      </c>
      <c r="D2183" t="s">
        <v>942</v>
      </c>
      <c r="E2183" t="s">
        <v>219</v>
      </c>
      <c r="F2183" t="s">
        <v>1309</v>
      </c>
      <c r="G2183" t="s">
        <v>1299</v>
      </c>
      <c r="H2183" t="s">
        <v>2216</v>
      </c>
      <c r="I2183" t="s">
        <v>842</v>
      </c>
      <c r="J2183">
        <v>2</v>
      </c>
      <c r="L2183">
        <v>191.13</v>
      </c>
      <c r="M2183">
        <v>325.73</v>
      </c>
      <c r="N2183">
        <v>438.62</v>
      </c>
      <c r="O2183">
        <v>645.62</v>
      </c>
      <c r="P2183">
        <v>0</v>
      </c>
      <c r="Q2183">
        <v>1</v>
      </c>
      <c r="R2183">
        <v>0</v>
      </c>
      <c r="T2183" t="b">
        <v>1</v>
      </c>
    </row>
    <row r="2184" spans="2:20" x14ac:dyDescent="0.35">
      <c r="B2184">
        <v>2014</v>
      </c>
      <c r="C2184" s="41">
        <v>42795</v>
      </c>
      <c r="D2184" t="s">
        <v>942</v>
      </c>
      <c r="E2184" t="s">
        <v>219</v>
      </c>
      <c r="F2184" t="s">
        <v>1311</v>
      </c>
      <c r="G2184" t="s">
        <v>1299</v>
      </c>
      <c r="H2184" t="s">
        <v>2216</v>
      </c>
      <c r="I2184" t="s">
        <v>842</v>
      </c>
      <c r="J2184">
        <v>2</v>
      </c>
      <c r="L2184">
        <v>173.41</v>
      </c>
      <c r="M2184">
        <v>295.52999999999997</v>
      </c>
      <c r="N2184">
        <v>397.95</v>
      </c>
      <c r="O2184">
        <v>585.76</v>
      </c>
      <c r="P2184">
        <v>0</v>
      </c>
      <c r="Q2184">
        <v>1</v>
      </c>
      <c r="R2184">
        <v>0</v>
      </c>
      <c r="T2184" t="b">
        <v>1</v>
      </c>
    </row>
    <row r="2185" spans="2:20" x14ac:dyDescent="0.35">
      <c r="B2185">
        <v>2014</v>
      </c>
      <c r="C2185" s="41">
        <v>42795</v>
      </c>
      <c r="D2185" t="s">
        <v>942</v>
      </c>
      <c r="E2185" t="s">
        <v>219</v>
      </c>
      <c r="F2185" t="s">
        <v>1301</v>
      </c>
      <c r="G2185" t="s">
        <v>1299</v>
      </c>
      <c r="H2185" t="s">
        <v>2216</v>
      </c>
      <c r="I2185" t="s">
        <v>842</v>
      </c>
      <c r="J2185">
        <v>2</v>
      </c>
      <c r="L2185">
        <v>217.92</v>
      </c>
      <c r="M2185">
        <v>371.39</v>
      </c>
      <c r="N2185">
        <v>500.1</v>
      </c>
      <c r="O2185">
        <v>736.12</v>
      </c>
      <c r="P2185">
        <v>0</v>
      </c>
      <c r="Q2185">
        <v>1</v>
      </c>
      <c r="R2185">
        <v>0</v>
      </c>
      <c r="T2185" t="b">
        <v>1</v>
      </c>
    </row>
    <row r="2186" spans="2:20" x14ac:dyDescent="0.35">
      <c r="B2186">
        <v>2014</v>
      </c>
      <c r="C2186" s="41">
        <v>42795</v>
      </c>
      <c r="D2186" t="s">
        <v>2079</v>
      </c>
      <c r="E2186" t="s">
        <v>219</v>
      </c>
      <c r="F2186" t="s">
        <v>458</v>
      </c>
      <c r="G2186" t="s">
        <v>245</v>
      </c>
      <c r="H2186" t="s">
        <v>299</v>
      </c>
      <c r="I2186" t="s">
        <v>310</v>
      </c>
      <c r="J2186">
        <v>2</v>
      </c>
      <c r="L2186">
        <v>243</v>
      </c>
      <c r="M2186">
        <v>415</v>
      </c>
      <c r="N2186">
        <v>560</v>
      </c>
      <c r="O2186">
        <v>824</v>
      </c>
      <c r="P2186">
        <v>1</v>
      </c>
      <c r="Q2186">
        <v>1</v>
      </c>
      <c r="R2186">
        <v>0</v>
      </c>
      <c r="T2186" t="b">
        <v>1</v>
      </c>
    </row>
    <row r="2187" spans="2:20" x14ac:dyDescent="0.35">
      <c r="B2187">
        <v>2014</v>
      </c>
      <c r="C2187" s="41">
        <v>42795</v>
      </c>
      <c r="D2187" t="s">
        <v>2079</v>
      </c>
      <c r="E2187" t="s">
        <v>219</v>
      </c>
      <c r="F2187" t="s">
        <v>1311</v>
      </c>
      <c r="G2187" t="s">
        <v>245</v>
      </c>
      <c r="H2187" t="s">
        <v>299</v>
      </c>
      <c r="I2187" t="s">
        <v>310</v>
      </c>
      <c r="J2187">
        <v>2</v>
      </c>
      <c r="L2187">
        <v>243</v>
      </c>
      <c r="M2187">
        <v>415</v>
      </c>
      <c r="N2187">
        <v>560</v>
      </c>
      <c r="O2187">
        <v>824</v>
      </c>
      <c r="P2187">
        <v>1</v>
      </c>
      <c r="Q2187">
        <v>1</v>
      </c>
      <c r="R2187">
        <v>0</v>
      </c>
      <c r="T2187" t="b">
        <v>1</v>
      </c>
    </row>
    <row r="2188" spans="2:20" x14ac:dyDescent="0.35">
      <c r="B2188">
        <v>2014</v>
      </c>
      <c r="C2188" s="41">
        <v>42795</v>
      </c>
      <c r="D2188" t="s">
        <v>2079</v>
      </c>
      <c r="E2188" t="s">
        <v>219</v>
      </c>
      <c r="F2188" t="s">
        <v>1390</v>
      </c>
      <c r="G2188" t="s">
        <v>245</v>
      </c>
      <c r="H2188" t="s">
        <v>299</v>
      </c>
      <c r="I2188" t="s">
        <v>310</v>
      </c>
      <c r="J2188">
        <v>2</v>
      </c>
      <c r="L2188">
        <v>243</v>
      </c>
      <c r="M2188">
        <v>415</v>
      </c>
      <c r="N2188">
        <v>560</v>
      </c>
      <c r="O2188">
        <v>824</v>
      </c>
      <c r="P2188">
        <v>1</v>
      </c>
      <c r="Q2188">
        <v>1</v>
      </c>
      <c r="R2188">
        <v>0</v>
      </c>
      <c r="T2188" t="b">
        <v>1</v>
      </c>
    </row>
    <row r="2189" spans="2:20" x14ac:dyDescent="0.35">
      <c r="B2189">
        <v>2014</v>
      </c>
      <c r="C2189" s="41">
        <v>42795</v>
      </c>
      <c r="D2189" t="s">
        <v>2079</v>
      </c>
      <c r="E2189" t="s">
        <v>219</v>
      </c>
      <c r="F2189" t="s">
        <v>1309</v>
      </c>
      <c r="G2189" t="s">
        <v>245</v>
      </c>
      <c r="H2189" t="s">
        <v>299</v>
      </c>
      <c r="I2189" t="s">
        <v>310</v>
      </c>
      <c r="J2189">
        <v>2</v>
      </c>
      <c r="L2189">
        <v>243</v>
      </c>
      <c r="M2189">
        <v>415</v>
      </c>
      <c r="N2189">
        <v>560</v>
      </c>
      <c r="O2189">
        <v>824</v>
      </c>
      <c r="P2189">
        <v>1</v>
      </c>
      <c r="Q2189">
        <v>1</v>
      </c>
      <c r="R2189">
        <v>0</v>
      </c>
      <c r="T2189" t="b">
        <v>1</v>
      </c>
    </row>
    <row r="2190" spans="2:20" x14ac:dyDescent="0.35">
      <c r="B2190">
        <v>2014</v>
      </c>
      <c r="C2190" s="41">
        <v>42795</v>
      </c>
      <c r="D2190" t="s">
        <v>2079</v>
      </c>
      <c r="E2190" t="s">
        <v>219</v>
      </c>
      <c r="F2190" t="s">
        <v>461</v>
      </c>
      <c r="G2190" t="s">
        <v>245</v>
      </c>
      <c r="H2190" t="s">
        <v>299</v>
      </c>
      <c r="I2190" t="s">
        <v>310</v>
      </c>
      <c r="J2190">
        <v>2</v>
      </c>
      <c r="L2190">
        <v>243</v>
      </c>
      <c r="M2190">
        <v>415</v>
      </c>
      <c r="N2190">
        <v>560</v>
      </c>
      <c r="O2190">
        <v>824</v>
      </c>
      <c r="P2190">
        <v>1</v>
      </c>
      <c r="Q2190">
        <v>1</v>
      </c>
      <c r="R2190">
        <v>0</v>
      </c>
      <c r="T2190" t="b">
        <v>1</v>
      </c>
    </row>
    <row r="2191" spans="2:20" x14ac:dyDescent="0.35">
      <c r="B2191">
        <v>2014</v>
      </c>
      <c r="C2191" s="41">
        <v>42795</v>
      </c>
      <c r="D2191" t="s">
        <v>2079</v>
      </c>
      <c r="E2191" t="s">
        <v>219</v>
      </c>
      <c r="F2191" t="s">
        <v>1301</v>
      </c>
      <c r="G2191" t="s">
        <v>245</v>
      </c>
      <c r="H2191" t="s">
        <v>299</v>
      </c>
      <c r="I2191" t="s">
        <v>310</v>
      </c>
      <c r="J2191">
        <v>2</v>
      </c>
      <c r="L2191">
        <v>243</v>
      </c>
      <c r="M2191">
        <v>415</v>
      </c>
      <c r="N2191">
        <v>560</v>
      </c>
      <c r="O2191">
        <v>824</v>
      </c>
      <c r="P2191">
        <v>1</v>
      </c>
      <c r="Q2191">
        <v>1</v>
      </c>
      <c r="R2191">
        <v>0</v>
      </c>
      <c r="T2191" t="b">
        <v>1</v>
      </c>
    </row>
    <row r="2192" spans="2:20" x14ac:dyDescent="0.35">
      <c r="B2192">
        <v>2014</v>
      </c>
      <c r="C2192" s="41">
        <v>42795</v>
      </c>
      <c r="D2192" t="s">
        <v>300</v>
      </c>
      <c r="E2192" t="s">
        <v>219</v>
      </c>
      <c r="F2192" t="s">
        <v>1309</v>
      </c>
      <c r="G2192" t="s">
        <v>245</v>
      </c>
      <c r="H2192" t="s">
        <v>301</v>
      </c>
      <c r="I2192" t="s">
        <v>310</v>
      </c>
      <c r="J2192">
        <v>2</v>
      </c>
      <c r="L2192">
        <v>258</v>
      </c>
      <c r="M2192">
        <v>440</v>
      </c>
      <c r="N2192">
        <v>591</v>
      </c>
      <c r="O2192">
        <v>870</v>
      </c>
      <c r="P2192">
        <v>0</v>
      </c>
      <c r="Q2192">
        <v>1</v>
      </c>
      <c r="R2192">
        <v>0</v>
      </c>
      <c r="T2192" t="b">
        <v>1</v>
      </c>
    </row>
    <row r="2193" spans="2:20" x14ac:dyDescent="0.35">
      <c r="B2193">
        <v>2014</v>
      </c>
      <c r="C2193" s="41">
        <v>42795</v>
      </c>
      <c r="D2193" t="s">
        <v>300</v>
      </c>
      <c r="E2193" t="s">
        <v>219</v>
      </c>
      <c r="F2193" t="s">
        <v>458</v>
      </c>
      <c r="G2193" t="s">
        <v>245</v>
      </c>
      <c r="H2193" t="s">
        <v>301</v>
      </c>
      <c r="I2193" t="s">
        <v>310</v>
      </c>
      <c r="J2193">
        <v>2</v>
      </c>
      <c r="L2193">
        <v>258</v>
      </c>
      <c r="M2193">
        <v>440</v>
      </c>
      <c r="N2193">
        <v>591</v>
      </c>
      <c r="O2193">
        <v>870</v>
      </c>
      <c r="P2193">
        <v>0</v>
      </c>
      <c r="Q2193">
        <v>1</v>
      </c>
      <c r="R2193">
        <v>0</v>
      </c>
      <c r="T2193" t="b">
        <v>1</v>
      </c>
    </row>
    <row r="2194" spans="2:20" x14ac:dyDescent="0.35">
      <c r="B2194">
        <v>2014</v>
      </c>
      <c r="C2194" s="41">
        <v>42795</v>
      </c>
      <c r="D2194" t="s">
        <v>300</v>
      </c>
      <c r="E2194" t="s">
        <v>219</v>
      </c>
      <c r="F2194" t="s">
        <v>1390</v>
      </c>
      <c r="G2194" t="s">
        <v>245</v>
      </c>
      <c r="H2194" t="s">
        <v>301</v>
      </c>
      <c r="I2194" t="s">
        <v>310</v>
      </c>
      <c r="J2194">
        <v>2</v>
      </c>
      <c r="L2194">
        <v>258</v>
      </c>
      <c r="M2194">
        <v>440</v>
      </c>
      <c r="N2194">
        <v>591</v>
      </c>
      <c r="O2194">
        <v>870</v>
      </c>
      <c r="P2194">
        <v>0</v>
      </c>
      <c r="Q2194">
        <v>1</v>
      </c>
      <c r="R2194">
        <v>0</v>
      </c>
      <c r="T2194" t="b">
        <v>1</v>
      </c>
    </row>
    <row r="2195" spans="2:20" x14ac:dyDescent="0.35">
      <c r="B2195">
        <v>2014</v>
      </c>
      <c r="C2195" s="41">
        <v>42795</v>
      </c>
      <c r="D2195" t="s">
        <v>300</v>
      </c>
      <c r="E2195" t="s">
        <v>219</v>
      </c>
      <c r="F2195" t="s">
        <v>1301</v>
      </c>
      <c r="G2195" t="s">
        <v>245</v>
      </c>
      <c r="H2195" t="s">
        <v>301</v>
      </c>
      <c r="I2195" t="s">
        <v>310</v>
      </c>
      <c r="J2195">
        <v>2</v>
      </c>
      <c r="L2195">
        <v>258</v>
      </c>
      <c r="M2195">
        <v>440</v>
      </c>
      <c r="N2195">
        <v>591</v>
      </c>
      <c r="O2195">
        <v>870</v>
      </c>
      <c r="P2195">
        <v>0</v>
      </c>
      <c r="Q2195">
        <v>1</v>
      </c>
      <c r="R2195">
        <v>0</v>
      </c>
      <c r="T2195" t="b">
        <v>1</v>
      </c>
    </row>
    <row r="2196" spans="2:20" x14ac:dyDescent="0.35">
      <c r="B2196">
        <v>2014</v>
      </c>
      <c r="C2196" s="41">
        <v>42795</v>
      </c>
      <c r="D2196" t="s">
        <v>300</v>
      </c>
      <c r="E2196" t="s">
        <v>219</v>
      </c>
      <c r="F2196" t="s">
        <v>1311</v>
      </c>
      <c r="G2196" t="s">
        <v>245</v>
      </c>
      <c r="H2196" t="s">
        <v>301</v>
      </c>
      <c r="I2196" t="s">
        <v>310</v>
      </c>
      <c r="J2196">
        <v>2</v>
      </c>
      <c r="L2196">
        <v>258</v>
      </c>
      <c r="M2196">
        <v>440</v>
      </c>
      <c r="N2196">
        <v>591</v>
      </c>
      <c r="O2196">
        <v>870</v>
      </c>
      <c r="P2196">
        <v>0</v>
      </c>
      <c r="Q2196">
        <v>1</v>
      </c>
      <c r="R2196">
        <v>0</v>
      </c>
      <c r="T2196" t="b">
        <v>1</v>
      </c>
    </row>
    <row r="2197" spans="2:20" x14ac:dyDescent="0.35">
      <c r="B2197">
        <v>2014</v>
      </c>
      <c r="C2197" s="41">
        <v>42795</v>
      </c>
      <c r="D2197" t="s">
        <v>300</v>
      </c>
      <c r="E2197" t="s">
        <v>219</v>
      </c>
      <c r="F2197" t="s">
        <v>461</v>
      </c>
      <c r="G2197" t="s">
        <v>245</v>
      </c>
      <c r="H2197" t="s">
        <v>301</v>
      </c>
      <c r="I2197" t="s">
        <v>310</v>
      </c>
      <c r="J2197">
        <v>2</v>
      </c>
      <c r="L2197">
        <v>258</v>
      </c>
      <c r="M2197">
        <v>440</v>
      </c>
      <c r="N2197">
        <v>591</v>
      </c>
      <c r="O2197">
        <v>870</v>
      </c>
      <c r="P2197">
        <v>0</v>
      </c>
      <c r="Q2197">
        <v>1</v>
      </c>
      <c r="R2197">
        <v>0</v>
      </c>
      <c r="T2197" t="b">
        <v>1</v>
      </c>
    </row>
    <row r="2198" spans="2:20" x14ac:dyDescent="0.35">
      <c r="B2198">
        <v>2014</v>
      </c>
      <c r="C2198" s="41">
        <v>42795</v>
      </c>
      <c r="D2198" t="s">
        <v>1066</v>
      </c>
      <c r="E2198" t="s">
        <v>219</v>
      </c>
      <c r="F2198" t="s">
        <v>1309</v>
      </c>
      <c r="G2198" t="s">
        <v>2100</v>
      </c>
      <c r="H2198" t="s">
        <v>2171</v>
      </c>
      <c r="I2198" t="s">
        <v>842</v>
      </c>
      <c r="J2198">
        <v>2</v>
      </c>
      <c r="L2198">
        <v>188.35</v>
      </c>
      <c r="M2198">
        <v>320.99</v>
      </c>
      <c r="N2198">
        <v>432.22</v>
      </c>
      <c r="O2198">
        <v>636.20000000000005</v>
      </c>
      <c r="P2198">
        <v>0</v>
      </c>
      <c r="Q2198">
        <v>3</v>
      </c>
      <c r="R2198">
        <v>0</v>
      </c>
      <c r="T2198" t="b">
        <v>1</v>
      </c>
    </row>
    <row r="2199" spans="2:20" x14ac:dyDescent="0.35">
      <c r="B2199">
        <v>2014</v>
      </c>
      <c r="C2199" s="41">
        <v>42795</v>
      </c>
      <c r="D2199" t="s">
        <v>285</v>
      </c>
      <c r="E2199" t="s">
        <v>219</v>
      </c>
      <c r="F2199" t="s">
        <v>1309</v>
      </c>
      <c r="G2199" t="s">
        <v>1299</v>
      </c>
      <c r="H2199" t="s">
        <v>264</v>
      </c>
      <c r="I2199" t="s">
        <v>310</v>
      </c>
      <c r="J2199">
        <v>2</v>
      </c>
      <c r="L2199">
        <v>223.49</v>
      </c>
      <c r="M2199">
        <v>380.87</v>
      </c>
      <c r="N2199">
        <v>512.88</v>
      </c>
      <c r="O2199">
        <v>754.92</v>
      </c>
      <c r="P2199">
        <v>0</v>
      </c>
      <c r="Q2199">
        <v>1</v>
      </c>
      <c r="R2199">
        <v>0</v>
      </c>
      <c r="T2199" t="b">
        <v>1</v>
      </c>
    </row>
    <row r="2200" spans="2:20" x14ac:dyDescent="0.35">
      <c r="B2200">
        <v>2014</v>
      </c>
      <c r="C2200" s="41">
        <v>42795</v>
      </c>
      <c r="D2200" t="s">
        <v>285</v>
      </c>
      <c r="E2200" t="s">
        <v>219</v>
      </c>
      <c r="F2200" t="s">
        <v>1301</v>
      </c>
      <c r="G2200" t="s">
        <v>1299</v>
      </c>
      <c r="H2200" t="s">
        <v>264</v>
      </c>
      <c r="I2200" t="s">
        <v>310</v>
      </c>
      <c r="J2200">
        <v>2</v>
      </c>
      <c r="L2200">
        <v>254.82</v>
      </c>
      <c r="M2200">
        <v>434.26</v>
      </c>
      <c r="N2200">
        <v>584.77</v>
      </c>
      <c r="O2200">
        <v>860.74</v>
      </c>
      <c r="P2200">
        <v>0</v>
      </c>
      <c r="Q2200">
        <v>1</v>
      </c>
      <c r="R2200">
        <v>0</v>
      </c>
      <c r="T2200" t="b">
        <v>1</v>
      </c>
    </row>
    <row r="2201" spans="2:20" x14ac:dyDescent="0.35">
      <c r="B2201">
        <v>2014</v>
      </c>
      <c r="C2201" s="41">
        <v>42795</v>
      </c>
      <c r="D2201" t="s">
        <v>285</v>
      </c>
      <c r="E2201" t="s">
        <v>219</v>
      </c>
      <c r="F2201" t="s">
        <v>1311</v>
      </c>
      <c r="G2201" t="s">
        <v>1299</v>
      </c>
      <c r="H2201" t="s">
        <v>264</v>
      </c>
      <c r="I2201" t="s">
        <v>310</v>
      </c>
      <c r="J2201">
        <v>2</v>
      </c>
      <c r="L2201">
        <v>202.77</v>
      </c>
      <c r="M2201">
        <v>345.56</v>
      </c>
      <c r="N2201">
        <v>465.32</v>
      </c>
      <c r="O2201">
        <v>684.92</v>
      </c>
      <c r="P2201">
        <v>0</v>
      </c>
      <c r="Q2201">
        <v>1</v>
      </c>
      <c r="R2201">
        <v>0</v>
      </c>
      <c r="T2201" t="b">
        <v>1</v>
      </c>
    </row>
    <row r="2202" spans="2:20" x14ac:dyDescent="0.35">
      <c r="B2202">
        <v>2014</v>
      </c>
      <c r="C2202" s="41">
        <v>42795</v>
      </c>
      <c r="D2202" t="s">
        <v>284</v>
      </c>
      <c r="E2202" t="s">
        <v>219</v>
      </c>
      <c r="F2202" t="s">
        <v>1309</v>
      </c>
      <c r="G2202" t="s">
        <v>1299</v>
      </c>
      <c r="H2202" t="s">
        <v>263</v>
      </c>
      <c r="I2202" t="s">
        <v>310</v>
      </c>
      <c r="J2202">
        <v>2</v>
      </c>
      <c r="L2202">
        <v>220.71</v>
      </c>
      <c r="M2202">
        <v>376.14</v>
      </c>
      <c r="N2202">
        <v>506.5</v>
      </c>
      <c r="O2202">
        <v>745.54</v>
      </c>
      <c r="P2202">
        <v>0</v>
      </c>
      <c r="Q2202">
        <v>1</v>
      </c>
      <c r="R2202">
        <v>0</v>
      </c>
      <c r="T2202" t="b">
        <v>1</v>
      </c>
    </row>
    <row r="2203" spans="2:20" x14ac:dyDescent="0.35">
      <c r="B2203">
        <v>2014</v>
      </c>
      <c r="C2203" s="41">
        <v>42795</v>
      </c>
      <c r="D2203" t="s">
        <v>284</v>
      </c>
      <c r="E2203" t="s">
        <v>219</v>
      </c>
      <c r="F2203" t="s">
        <v>1311</v>
      </c>
      <c r="G2203" t="s">
        <v>1299</v>
      </c>
      <c r="H2203" t="s">
        <v>263</v>
      </c>
      <c r="I2203" t="s">
        <v>310</v>
      </c>
      <c r="J2203">
        <v>2</v>
      </c>
      <c r="L2203">
        <v>200.25</v>
      </c>
      <c r="M2203">
        <v>341.27</v>
      </c>
      <c r="N2203">
        <v>459.55</v>
      </c>
      <c r="O2203">
        <v>676.42</v>
      </c>
      <c r="P2203">
        <v>0</v>
      </c>
      <c r="Q2203">
        <v>1</v>
      </c>
      <c r="R2203">
        <v>0</v>
      </c>
      <c r="T2203" t="b">
        <v>1</v>
      </c>
    </row>
    <row r="2204" spans="2:20" x14ac:dyDescent="0.35">
      <c r="B2204">
        <v>2014</v>
      </c>
      <c r="C2204" s="41">
        <v>42795</v>
      </c>
      <c r="D2204" t="s">
        <v>284</v>
      </c>
      <c r="E2204" t="s">
        <v>219</v>
      </c>
      <c r="F2204" t="s">
        <v>1301</v>
      </c>
      <c r="G2204" t="s">
        <v>1299</v>
      </c>
      <c r="H2204" t="s">
        <v>263</v>
      </c>
      <c r="I2204" t="s">
        <v>310</v>
      </c>
      <c r="J2204">
        <v>2</v>
      </c>
      <c r="L2204">
        <v>251.65</v>
      </c>
      <c r="M2204">
        <v>428.87</v>
      </c>
      <c r="N2204">
        <v>577.5</v>
      </c>
      <c r="O2204">
        <v>850.04</v>
      </c>
      <c r="P2204">
        <v>0</v>
      </c>
      <c r="Q2204">
        <v>1</v>
      </c>
      <c r="R2204">
        <v>0</v>
      </c>
      <c r="T2204" t="b">
        <v>1</v>
      </c>
    </row>
    <row r="2205" spans="2:20" x14ac:dyDescent="0.35">
      <c r="B2205">
        <v>2014</v>
      </c>
      <c r="C2205" s="41">
        <v>42795</v>
      </c>
      <c r="D2205" t="s">
        <v>1080</v>
      </c>
      <c r="E2205" t="s">
        <v>219</v>
      </c>
      <c r="F2205" t="s">
        <v>1309</v>
      </c>
      <c r="G2205" t="s">
        <v>2100</v>
      </c>
      <c r="H2205" t="s">
        <v>2185</v>
      </c>
      <c r="I2205" t="s">
        <v>843</v>
      </c>
      <c r="J2205">
        <v>2</v>
      </c>
      <c r="L2205">
        <v>226</v>
      </c>
      <c r="M2205">
        <v>385.17</v>
      </c>
      <c r="N2205">
        <v>518.63</v>
      </c>
      <c r="O2205">
        <v>763.4</v>
      </c>
      <c r="P2205">
        <v>0</v>
      </c>
      <c r="Q2205">
        <v>3</v>
      </c>
      <c r="R2205">
        <v>0</v>
      </c>
      <c r="T2205" t="b">
        <v>1</v>
      </c>
    </row>
    <row r="2206" spans="2:20" x14ac:dyDescent="0.35">
      <c r="B2206">
        <v>2014</v>
      </c>
      <c r="C2206" s="41">
        <v>42795</v>
      </c>
      <c r="D2206" t="s">
        <v>2217</v>
      </c>
      <c r="E2206" t="s">
        <v>219</v>
      </c>
      <c r="F2206" t="s">
        <v>1309</v>
      </c>
      <c r="G2206" t="s">
        <v>1299</v>
      </c>
      <c r="H2206" t="s">
        <v>267</v>
      </c>
      <c r="I2206" t="s">
        <v>310</v>
      </c>
      <c r="J2206">
        <v>2</v>
      </c>
      <c r="L2206">
        <v>231.31</v>
      </c>
      <c r="M2206">
        <v>394.2</v>
      </c>
      <c r="N2206">
        <v>530.80999999999995</v>
      </c>
      <c r="O2206">
        <v>781.31999999999903</v>
      </c>
      <c r="P2206">
        <v>1</v>
      </c>
      <c r="Q2206">
        <v>1</v>
      </c>
      <c r="R2206">
        <v>0</v>
      </c>
      <c r="T2206" t="b">
        <v>1</v>
      </c>
    </row>
    <row r="2207" spans="2:20" x14ac:dyDescent="0.35">
      <c r="B2207">
        <v>2014</v>
      </c>
      <c r="C2207" s="41">
        <v>42795</v>
      </c>
      <c r="D2207" t="s">
        <v>2217</v>
      </c>
      <c r="E2207" t="s">
        <v>219</v>
      </c>
      <c r="F2207" t="s">
        <v>1301</v>
      </c>
      <c r="G2207" t="s">
        <v>1299</v>
      </c>
      <c r="H2207" t="s">
        <v>267</v>
      </c>
      <c r="I2207" t="s">
        <v>310</v>
      </c>
      <c r="J2207">
        <v>2</v>
      </c>
      <c r="L2207">
        <v>263.74</v>
      </c>
      <c r="M2207">
        <v>449.46</v>
      </c>
      <c r="N2207">
        <v>605.23</v>
      </c>
      <c r="O2207">
        <v>890.86</v>
      </c>
      <c r="P2207">
        <v>1</v>
      </c>
      <c r="Q2207">
        <v>1</v>
      </c>
      <c r="R2207">
        <v>0</v>
      </c>
      <c r="T2207" t="b">
        <v>1</v>
      </c>
    </row>
    <row r="2208" spans="2:20" x14ac:dyDescent="0.35">
      <c r="B2208">
        <v>2014</v>
      </c>
      <c r="C2208" s="41">
        <v>42795</v>
      </c>
      <c r="D2208" t="s">
        <v>2217</v>
      </c>
      <c r="E2208" t="s">
        <v>219</v>
      </c>
      <c r="F2208" t="s">
        <v>1311</v>
      </c>
      <c r="G2208" t="s">
        <v>1299</v>
      </c>
      <c r="H2208" t="s">
        <v>267</v>
      </c>
      <c r="I2208" t="s">
        <v>310</v>
      </c>
      <c r="J2208">
        <v>2</v>
      </c>
      <c r="L2208">
        <v>209.86</v>
      </c>
      <c r="M2208">
        <v>357.65</v>
      </c>
      <c r="N2208">
        <v>481.61</v>
      </c>
      <c r="O2208">
        <v>708.9</v>
      </c>
      <c r="P2208">
        <v>1</v>
      </c>
      <c r="Q2208">
        <v>1</v>
      </c>
      <c r="R2208">
        <v>0</v>
      </c>
      <c r="T2208" t="b">
        <v>1</v>
      </c>
    </row>
    <row r="2209" spans="2:20" x14ac:dyDescent="0.35">
      <c r="B2209">
        <v>2014</v>
      </c>
      <c r="C2209" s="41">
        <v>42795</v>
      </c>
      <c r="D2209" t="s">
        <v>302</v>
      </c>
      <c r="E2209" t="s">
        <v>219</v>
      </c>
      <c r="F2209" t="s">
        <v>1311</v>
      </c>
      <c r="G2209" t="s">
        <v>245</v>
      </c>
      <c r="H2209" t="s">
        <v>303</v>
      </c>
      <c r="I2209" t="s">
        <v>310</v>
      </c>
      <c r="J2209">
        <v>2</v>
      </c>
      <c r="L2209">
        <v>273</v>
      </c>
      <c r="M2209">
        <v>465</v>
      </c>
      <c r="N2209">
        <v>625</v>
      </c>
      <c r="O2209">
        <v>920</v>
      </c>
      <c r="P2209">
        <v>0</v>
      </c>
      <c r="Q2209">
        <v>1</v>
      </c>
      <c r="R2209">
        <v>0</v>
      </c>
      <c r="T2209" t="b">
        <v>1</v>
      </c>
    </row>
    <row r="2210" spans="2:20" x14ac:dyDescent="0.35">
      <c r="B2210">
        <v>2014</v>
      </c>
      <c r="C2210" s="41">
        <v>42795</v>
      </c>
      <c r="D2210" t="s">
        <v>302</v>
      </c>
      <c r="E2210" t="s">
        <v>219</v>
      </c>
      <c r="F2210" t="s">
        <v>1309</v>
      </c>
      <c r="G2210" t="s">
        <v>245</v>
      </c>
      <c r="H2210" t="s">
        <v>303</v>
      </c>
      <c r="I2210" t="s">
        <v>310</v>
      </c>
      <c r="J2210">
        <v>2</v>
      </c>
      <c r="L2210">
        <v>273</v>
      </c>
      <c r="M2210">
        <v>465</v>
      </c>
      <c r="N2210">
        <v>625</v>
      </c>
      <c r="O2210">
        <v>920</v>
      </c>
      <c r="P2210">
        <v>0</v>
      </c>
      <c r="Q2210">
        <v>1</v>
      </c>
      <c r="R2210">
        <v>0</v>
      </c>
      <c r="T2210" t="b">
        <v>1</v>
      </c>
    </row>
    <row r="2211" spans="2:20" x14ac:dyDescent="0.35">
      <c r="B2211">
        <v>2014</v>
      </c>
      <c r="C2211" s="41">
        <v>42795</v>
      </c>
      <c r="D2211" t="s">
        <v>302</v>
      </c>
      <c r="E2211" t="s">
        <v>219</v>
      </c>
      <c r="F2211" t="s">
        <v>1390</v>
      </c>
      <c r="G2211" t="s">
        <v>245</v>
      </c>
      <c r="H2211" t="s">
        <v>303</v>
      </c>
      <c r="I2211" t="s">
        <v>310</v>
      </c>
      <c r="J2211">
        <v>2</v>
      </c>
      <c r="L2211">
        <v>273</v>
      </c>
      <c r="M2211">
        <v>465</v>
      </c>
      <c r="N2211">
        <v>625</v>
      </c>
      <c r="O2211">
        <v>920</v>
      </c>
      <c r="P2211">
        <v>0</v>
      </c>
      <c r="Q2211">
        <v>1</v>
      </c>
      <c r="R2211">
        <v>0</v>
      </c>
      <c r="T2211" t="b">
        <v>1</v>
      </c>
    </row>
    <row r="2212" spans="2:20" x14ac:dyDescent="0.35">
      <c r="B2212">
        <v>2014</v>
      </c>
      <c r="C2212" s="41">
        <v>42795</v>
      </c>
      <c r="D2212" t="s">
        <v>302</v>
      </c>
      <c r="E2212" t="s">
        <v>219</v>
      </c>
      <c r="F2212" t="s">
        <v>458</v>
      </c>
      <c r="G2212" t="s">
        <v>245</v>
      </c>
      <c r="H2212" t="s">
        <v>303</v>
      </c>
      <c r="I2212" t="s">
        <v>310</v>
      </c>
      <c r="J2212">
        <v>2</v>
      </c>
      <c r="L2212">
        <v>273</v>
      </c>
      <c r="M2212">
        <v>465</v>
      </c>
      <c r="N2212">
        <v>625</v>
      </c>
      <c r="O2212">
        <v>920</v>
      </c>
      <c r="P2212">
        <v>0</v>
      </c>
      <c r="Q2212">
        <v>1</v>
      </c>
      <c r="R2212">
        <v>0</v>
      </c>
      <c r="T2212" t="b">
        <v>1</v>
      </c>
    </row>
    <row r="2213" spans="2:20" x14ac:dyDescent="0.35">
      <c r="B2213">
        <v>2014</v>
      </c>
      <c r="C2213" s="41">
        <v>42795</v>
      </c>
      <c r="D2213" t="s">
        <v>302</v>
      </c>
      <c r="E2213" t="s">
        <v>219</v>
      </c>
      <c r="F2213" t="s">
        <v>1301</v>
      </c>
      <c r="G2213" t="s">
        <v>245</v>
      </c>
      <c r="H2213" t="s">
        <v>303</v>
      </c>
      <c r="I2213" t="s">
        <v>310</v>
      </c>
      <c r="J2213">
        <v>2</v>
      </c>
      <c r="L2213">
        <v>273</v>
      </c>
      <c r="M2213">
        <v>465</v>
      </c>
      <c r="N2213">
        <v>625</v>
      </c>
      <c r="O2213">
        <v>920</v>
      </c>
      <c r="P2213">
        <v>0</v>
      </c>
      <c r="Q2213">
        <v>1</v>
      </c>
      <c r="R2213">
        <v>0</v>
      </c>
      <c r="T2213" t="b">
        <v>1</v>
      </c>
    </row>
    <row r="2214" spans="2:20" x14ac:dyDescent="0.35">
      <c r="B2214">
        <v>2014</v>
      </c>
      <c r="C2214" s="41">
        <v>42795</v>
      </c>
      <c r="D2214" t="s">
        <v>302</v>
      </c>
      <c r="E2214" t="s">
        <v>219</v>
      </c>
      <c r="F2214" t="s">
        <v>461</v>
      </c>
      <c r="G2214" t="s">
        <v>245</v>
      </c>
      <c r="H2214" t="s">
        <v>303</v>
      </c>
      <c r="I2214" t="s">
        <v>310</v>
      </c>
      <c r="J2214">
        <v>2</v>
      </c>
      <c r="L2214">
        <v>273</v>
      </c>
      <c r="M2214">
        <v>465</v>
      </c>
      <c r="N2214">
        <v>625</v>
      </c>
      <c r="O2214">
        <v>920</v>
      </c>
      <c r="P2214">
        <v>0</v>
      </c>
      <c r="Q2214">
        <v>1</v>
      </c>
      <c r="R2214">
        <v>0</v>
      </c>
      <c r="T2214" t="b">
        <v>1</v>
      </c>
    </row>
    <row r="2215" spans="2:20" x14ac:dyDescent="0.35">
      <c r="B2215">
        <v>2014</v>
      </c>
      <c r="C2215" s="41">
        <v>42795</v>
      </c>
      <c r="D2215" t="s">
        <v>947</v>
      </c>
      <c r="E2215" t="s">
        <v>219</v>
      </c>
      <c r="F2215" t="s">
        <v>1311</v>
      </c>
      <c r="G2215" t="s">
        <v>1299</v>
      </c>
      <c r="H2215" t="s">
        <v>2218</v>
      </c>
      <c r="I2215" t="s">
        <v>843</v>
      </c>
      <c r="J2215">
        <v>2</v>
      </c>
      <c r="L2215">
        <v>243.09</v>
      </c>
      <c r="M2215">
        <v>414.28</v>
      </c>
      <c r="N2215">
        <v>557.849999999999</v>
      </c>
      <c r="O2215">
        <v>821.11999999999898</v>
      </c>
      <c r="P2215">
        <v>0</v>
      </c>
      <c r="Q2215">
        <v>1</v>
      </c>
      <c r="R2215">
        <v>0</v>
      </c>
      <c r="T2215" t="b">
        <v>1</v>
      </c>
    </row>
    <row r="2216" spans="2:20" x14ac:dyDescent="0.35">
      <c r="B2216">
        <v>2014</v>
      </c>
      <c r="C2216" s="41">
        <v>42795</v>
      </c>
      <c r="D2216" t="s">
        <v>947</v>
      </c>
      <c r="E2216" t="s">
        <v>219</v>
      </c>
      <c r="F2216" t="s">
        <v>1301</v>
      </c>
      <c r="G2216" t="s">
        <v>1299</v>
      </c>
      <c r="H2216" t="s">
        <v>2218</v>
      </c>
      <c r="I2216" t="s">
        <v>843</v>
      </c>
      <c r="J2216">
        <v>2</v>
      </c>
      <c r="L2216">
        <v>305.49</v>
      </c>
      <c r="M2216">
        <v>520.62</v>
      </c>
      <c r="N2216">
        <v>701.05</v>
      </c>
      <c r="O2216">
        <v>1031.9000000000001</v>
      </c>
      <c r="P2216">
        <v>0</v>
      </c>
      <c r="Q2216">
        <v>1</v>
      </c>
      <c r="R2216">
        <v>0</v>
      </c>
      <c r="T2216" t="b">
        <v>1</v>
      </c>
    </row>
    <row r="2217" spans="2:20" x14ac:dyDescent="0.35">
      <c r="B2217">
        <v>2014</v>
      </c>
      <c r="C2217" s="41">
        <v>42795</v>
      </c>
      <c r="D2217" t="s">
        <v>947</v>
      </c>
      <c r="E2217" t="s">
        <v>219</v>
      </c>
      <c r="F2217" t="s">
        <v>1309</v>
      </c>
      <c r="G2217" t="s">
        <v>1299</v>
      </c>
      <c r="H2217" t="s">
        <v>2218</v>
      </c>
      <c r="I2217" t="s">
        <v>843</v>
      </c>
      <c r="J2217">
        <v>2</v>
      </c>
      <c r="L2217">
        <v>267.93</v>
      </c>
      <c r="M2217">
        <v>456.61</v>
      </c>
      <c r="N2217">
        <v>614.88</v>
      </c>
      <c r="O2217">
        <v>905.06</v>
      </c>
      <c r="P2217">
        <v>0</v>
      </c>
      <c r="Q2217">
        <v>1</v>
      </c>
      <c r="R2217">
        <v>0</v>
      </c>
      <c r="T2217" t="b">
        <v>1</v>
      </c>
    </row>
    <row r="2218" spans="2:20" x14ac:dyDescent="0.35">
      <c r="B2218">
        <v>2014</v>
      </c>
      <c r="C2218" s="41">
        <v>42795</v>
      </c>
      <c r="D2218" t="s">
        <v>2219</v>
      </c>
      <c r="E2218" t="s">
        <v>219</v>
      </c>
      <c r="F2218" t="s">
        <v>1301</v>
      </c>
      <c r="G2218" t="s">
        <v>1299</v>
      </c>
      <c r="H2218" t="s">
        <v>268</v>
      </c>
      <c r="I2218" t="s">
        <v>310</v>
      </c>
      <c r="J2218">
        <v>2</v>
      </c>
      <c r="L2218">
        <v>264.04000000000002</v>
      </c>
      <c r="M2218">
        <v>449.97</v>
      </c>
      <c r="N2218">
        <v>605.94000000000005</v>
      </c>
      <c r="O2218">
        <v>891.9</v>
      </c>
      <c r="P2218">
        <v>1</v>
      </c>
      <c r="Q2218">
        <v>1</v>
      </c>
      <c r="R2218">
        <v>0</v>
      </c>
      <c r="T2218" t="b">
        <v>1</v>
      </c>
    </row>
    <row r="2219" spans="2:20" x14ac:dyDescent="0.35">
      <c r="B2219">
        <v>2014</v>
      </c>
      <c r="C2219" s="41">
        <v>42795</v>
      </c>
      <c r="D2219" t="s">
        <v>2219</v>
      </c>
      <c r="E2219" t="s">
        <v>219</v>
      </c>
      <c r="F2219" t="s">
        <v>1311</v>
      </c>
      <c r="G2219" t="s">
        <v>1299</v>
      </c>
      <c r="H2219" t="s">
        <v>268</v>
      </c>
      <c r="I2219" t="s">
        <v>310</v>
      </c>
      <c r="J2219">
        <v>2</v>
      </c>
      <c r="L2219">
        <v>210.11</v>
      </c>
      <c r="M2219">
        <v>358.06</v>
      </c>
      <c r="N2219">
        <v>482.17</v>
      </c>
      <c r="O2219">
        <v>709.72</v>
      </c>
      <c r="P2219">
        <v>1</v>
      </c>
      <c r="Q2219">
        <v>1</v>
      </c>
      <c r="R2219">
        <v>0</v>
      </c>
      <c r="T2219" t="b">
        <v>1</v>
      </c>
    </row>
    <row r="2220" spans="2:20" x14ac:dyDescent="0.35">
      <c r="B2220">
        <v>2014</v>
      </c>
      <c r="C2220" s="41">
        <v>42795</v>
      </c>
      <c r="D2220" t="s">
        <v>2219</v>
      </c>
      <c r="E2220" t="s">
        <v>219</v>
      </c>
      <c r="F2220" t="s">
        <v>1309</v>
      </c>
      <c r="G2220" t="s">
        <v>1299</v>
      </c>
      <c r="H2220" t="s">
        <v>268</v>
      </c>
      <c r="I2220" t="s">
        <v>310</v>
      </c>
      <c r="J2220">
        <v>2</v>
      </c>
      <c r="L2220">
        <v>231.58</v>
      </c>
      <c r="M2220">
        <v>394.65</v>
      </c>
      <c r="N2220">
        <v>531.44000000000005</v>
      </c>
      <c r="O2220">
        <v>782.24</v>
      </c>
      <c r="P2220">
        <v>1</v>
      </c>
      <c r="Q2220">
        <v>1</v>
      </c>
      <c r="R2220">
        <v>0</v>
      </c>
      <c r="T2220" t="b">
        <v>1</v>
      </c>
    </row>
    <row r="2221" spans="2:20" x14ac:dyDescent="0.35">
      <c r="B2221">
        <v>2014</v>
      </c>
      <c r="C2221" s="41">
        <v>42795</v>
      </c>
      <c r="D2221" t="s">
        <v>1101</v>
      </c>
      <c r="E2221" t="s">
        <v>219</v>
      </c>
      <c r="F2221" t="s">
        <v>1309</v>
      </c>
      <c r="G2221" t="s">
        <v>245</v>
      </c>
      <c r="H2221" t="s">
        <v>1102</v>
      </c>
      <c r="I2221" t="s">
        <v>843</v>
      </c>
      <c r="J2221">
        <v>2</v>
      </c>
      <c r="L2221">
        <v>316</v>
      </c>
      <c r="M2221">
        <v>539</v>
      </c>
      <c r="N2221">
        <v>727</v>
      </c>
      <c r="O2221">
        <v>1070</v>
      </c>
      <c r="P2221">
        <v>0</v>
      </c>
      <c r="Q2221">
        <v>1</v>
      </c>
      <c r="R2221">
        <v>0</v>
      </c>
      <c r="T2221" t="b">
        <v>1</v>
      </c>
    </row>
    <row r="2222" spans="2:20" x14ac:dyDescent="0.35">
      <c r="B2222">
        <v>2014</v>
      </c>
      <c r="C2222" s="41">
        <v>42795</v>
      </c>
      <c r="D2222" t="s">
        <v>1101</v>
      </c>
      <c r="E2222" t="s">
        <v>219</v>
      </c>
      <c r="F2222" t="s">
        <v>1390</v>
      </c>
      <c r="G2222" t="s">
        <v>245</v>
      </c>
      <c r="H2222" t="s">
        <v>1102</v>
      </c>
      <c r="I2222" t="s">
        <v>843</v>
      </c>
      <c r="J2222">
        <v>2</v>
      </c>
      <c r="L2222">
        <v>316</v>
      </c>
      <c r="M2222">
        <v>539</v>
      </c>
      <c r="N2222">
        <v>727</v>
      </c>
      <c r="O2222">
        <v>1070</v>
      </c>
      <c r="P2222">
        <v>0</v>
      </c>
      <c r="Q2222">
        <v>1</v>
      </c>
      <c r="R2222">
        <v>0</v>
      </c>
      <c r="T2222" t="b">
        <v>1</v>
      </c>
    </row>
    <row r="2223" spans="2:20" x14ac:dyDescent="0.35">
      <c r="B2223">
        <v>2014</v>
      </c>
      <c r="C2223" s="41">
        <v>42795</v>
      </c>
      <c r="D2223" t="s">
        <v>1101</v>
      </c>
      <c r="E2223" t="s">
        <v>219</v>
      </c>
      <c r="F2223" t="s">
        <v>461</v>
      </c>
      <c r="G2223" t="s">
        <v>245</v>
      </c>
      <c r="H2223" t="s">
        <v>1102</v>
      </c>
      <c r="I2223" t="s">
        <v>843</v>
      </c>
      <c r="J2223">
        <v>2</v>
      </c>
      <c r="L2223">
        <v>316</v>
      </c>
      <c r="M2223">
        <v>539</v>
      </c>
      <c r="N2223">
        <v>727</v>
      </c>
      <c r="O2223">
        <v>1070</v>
      </c>
      <c r="P2223">
        <v>0</v>
      </c>
      <c r="Q2223">
        <v>1</v>
      </c>
      <c r="R2223">
        <v>0</v>
      </c>
      <c r="T2223" t="b">
        <v>1</v>
      </c>
    </row>
    <row r="2224" spans="2:20" x14ac:dyDescent="0.35">
      <c r="B2224">
        <v>2014</v>
      </c>
      <c r="C2224" s="41">
        <v>42795</v>
      </c>
      <c r="D2224" t="s">
        <v>1101</v>
      </c>
      <c r="E2224" t="s">
        <v>219</v>
      </c>
      <c r="F2224" t="s">
        <v>1311</v>
      </c>
      <c r="G2224" t="s">
        <v>245</v>
      </c>
      <c r="H2224" t="s">
        <v>1102</v>
      </c>
      <c r="I2224" t="s">
        <v>843</v>
      </c>
      <c r="J2224">
        <v>2</v>
      </c>
      <c r="L2224">
        <v>316</v>
      </c>
      <c r="M2224">
        <v>539</v>
      </c>
      <c r="N2224">
        <v>727</v>
      </c>
      <c r="O2224">
        <v>1070</v>
      </c>
      <c r="P2224">
        <v>0</v>
      </c>
      <c r="Q2224">
        <v>1</v>
      </c>
      <c r="R2224">
        <v>0</v>
      </c>
      <c r="T2224" t="b">
        <v>1</v>
      </c>
    </row>
    <row r="2225" spans="2:20" x14ac:dyDescent="0.35">
      <c r="B2225">
        <v>2014</v>
      </c>
      <c r="C2225" s="41">
        <v>42795</v>
      </c>
      <c r="D2225" t="s">
        <v>1101</v>
      </c>
      <c r="E2225" t="s">
        <v>219</v>
      </c>
      <c r="F2225" t="s">
        <v>1301</v>
      </c>
      <c r="G2225" t="s">
        <v>245</v>
      </c>
      <c r="H2225" t="s">
        <v>1102</v>
      </c>
      <c r="I2225" t="s">
        <v>843</v>
      </c>
      <c r="J2225">
        <v>2</v>
      </c>
      <c r="L2225">
        <v>316</v>
      </c>
      <c r="M2225">
        <v>539</v>
      </c>
      <c r="N2225">
        <v>727</v>
      </c>
      <c r="O2225">
        <v>1070</v>
      </c>
      <c r="P2225">
        <v>0</v>
      </c>
      <c r="Q2225">
        <v>1</v>
      </c>
      <c r="R2225">
        <v>0</v>
      </c>
      <c r="T2225" t="b">
        <v>1</v>
      </c>
    </row>
    <row r="2226" spans="2:20" x14ac:dyDescent="0.35">
      <c r="B2226">
        <v>2014</v>
      </c>
      <c r="C2226" s="41">
        <v>42795</v>
      </c>
      <c r="D2226" t="s">
        <v>1101</v>
      </c>
      <c r="E2226" t="s">
        <v>219</v>
      </c>
      <c r="F2226" t="s">
        <v>458</v>
      </c>
      <c r="G2226" t="s">
        <v>245</v>
      </c>
      <c r="H2226" t="s">
        <v>1102</v>
      </c>
      <c r="I2226" t="s">
        <v>843</v>
      </c>
      <c r="J2226">
        <v>2</v>
      </c>
      <c r="L2226">
        <v>316</v>
      </c>
      <c r="M2226">
        <v>539</v>
      </c>
      <c r="N2226">
        <v>727</v>
      </c>
      <c r="O2226">
        <v>1070</v>
      </c>
      <c r="P2226">
        <v>0</v>
      </c>
      <c r="Q2226">
        <v>1</v>
      </c>
      <c r="R2226">
        <v>0</v>
      </c>
      <c r="T2226" t="b">
        <v>1</v>
      </c>
    </row>
    <row r="2227" spans="2:20" x14ac:dyDescent="0.35">
      <c r="B2227">
        <v>2014</v>
      </c>
      <c r="C2227" s="41">
        <v>42795</v>
      </c>
      <c r="D2227" t="s">
        <v>2220</v>
      </c>
      <c r="E2227" t="s">
        <v>219</v>
      </c>
      <c r="F2227" t="s">
        <v>1390</v>
      </c>
      <c r="G2227" t="s">
        <v>304</v>
      </c>
      <c r="H2227" t="s">
        <v>306</v>
      </c>
      <c r="I2227" t="s">
        <v>310</v>
      </c>
      <c r="J2227">
        <v>1</v>
      </c>
      <c r="L2227">
        <v>306.85000000000002</v>
      </c>
      <c r="M2227">
        <v>522.94000000000005</v>
      </c>
      <c r="N2227">
        <v>704.19</v>
      </c>
      <c r="O2227">
        <v>1036.52</v>
      </c>
      <c r="P2227">
        <v>1</v>
      </c>
      <c r="Q2227">
        <v>1</v>
      </c>
      <c r="R2227">
        <v>0</v>
      </c>
      <c r="T2227" t="b">
        <v>1</v>
      </c>
    </row>
    <row r="2228" spans="2:20" x14ac:dyDescent="0.35">
      <c r="B2228">
        <v>2014</v>
      </c>
      <c r="C2228" s="41">
        <v>42795</v>
      </c>
      <c r="D2228" t="s">
        <v>2220</v>
      </c>
      <c r="E2228" t="s">
        <v>219</v>
      </c>
      <c r="F2228" t="s">
        <v>1301</v>
      </c>
      <c r="G2228" t="s">
        <v>304</v>
      </c>
      <c r="H2228" t="s">
        <v>306</v>
      </c>
      <c r="I2228" t="s">
        <v>310</v>
      </c>
      <c r="J2228">
        <v>1</v>
      </c>
      <c r="L2228">
        <v>258.10000000000002</v>
      </c>
      <c r="M2228">
        <v>439.85</v>
      </c>
      <c r="N2228">
        <v>592.30999999999995</v>
      </c>
      <c r="O2228">
        <v>871.83999999999901</v>
      </c>
      <c r="P2228">
        <v>1</v>
      </c>
      <c r="Q2228">
        <v>1</v>
      </c>
      <c r="R2228">
        <v>0</v>
      </c>
      <c r="T2228" t="b">
        <v>1</v>
      </c>
    </row>
    <row r="2229" spans="2:20" x14ac:dyDescent="0.35">
      <c r="B2229">
        <v>2014</v>
      </c>
      <c r="C2229" s="41">
        <v>42795</v>
      </c>
      <c r="D2229" t="s">
        <v>2220</v>
      </c>
      <c r="E2229" t="s">
        <v>219</v>
      </c>
      <c r="F2229" t="s">
        <v>1302</v>
      </c>
      <c r="G2229" t="s">
        <v>304</v>
      </c>
      <c r="H2229" t="s">
        <v>306</v>
      </c>
      <c r="I2229" t="s">
        <v>310</v>
      </c>
      <c r="J2229">
        <v>1</v>
      </c>
      <c r="L2229">
        <v>286.77999999999997</v>
      </c>
      <c r="M2229">
        <v>488.73</v>
      </c>
      <c r="N2229">
        <v>658.099999999999</v>
      </c>
      <c r="O2229">
        <v>968.68</v>
      </c>
      <c r="P2229">
        <v>1</v>
      </c>
      <c r="Q2229">
        <v>1</v>
      </c>
      <c r="R2229">
        <v>0</v>
      </c>
      <c r="T2229" t="b">
        <v>1</v>
      </c>
    </row>
    <row r="2230" spans="2:20" x14ac:dyDescent="0.35">
      <c r="B2230">
        <v>2014</v>
      </c>
      <c r="C2230" s="41">
        <v>42795</v>
      </c>
      <c r="D2230" t="s">
        <v>2220</v>
      </c>
      <c r="E2230" t="s">
        <v>219</v>
      </c>
      <c r="F2230" t="s">
        <v>1298</v>
      </c>
      <c r="G2230" t="s">
        <v>304</v>
      </c>
      <c r="H2230" t="s">
        <v>306</v>
      </c>
      <c r="I2230" t="s">
        <v>310</v>
      </c>
      <c r="J2230">
        <v>1</v>
      </c>
      <c r="L2230">
        <v>286.77999999999997</v>
      </c>
      <c r="M2230">
        <v>488.73</v>
      </c>
      <c r="N2230">
        <v>658.099999999999</v>
      </c>
      <c r="O2230">
        <v>968.68</v>
      </c>
      <c r="P2230">
        <v>1</v>
      </c>
      <c r="Q2230">
        <v>1</v>
      </c>
      <c r="R2230">
        <v>0</v>
      </c>
      <c r="T2230" t="b">
        <v>1</v>
      </c>
    </row>
    <row r="2231" spans="2:20" x14ac:dyDescent="0.35">
      <c r="B2231">
        <v>2014</v>
      </c>
      <c r="C2231" s="41">
        <v>42795</v>
      </c>
      <c r="D2231" t="s">
        <v>2220</v>
      </c>
      <c r="E2231" t="s">
        <v>219</v>
      </c>
      <c r="F2231" t="s">
        <v>461</v>
      </c>
      <c r="G2231" t="s">
        <v>304</v>
      </c>
      <c r="H2231" t="s">
        <v>306</v>
      </c>
      <c r="I2231" t="s">
        <v>310</v>
      </c>
      <c r="J2231">
        <v>1</v>
      </c>
      <c r="L2231">
        <v>315.45</v>
      </c>
      <c r="M2231">
        <v>537.6</v>
      </c>
      <c r="N2231">
        <v>723.92</v>
      </c>
      <c r="O2231">
        <v>1065.56</v>
      </c>
      <c r="P2231">
        <v>1</v>
      </c>
      <c r="Q2231">
        <v>1</v>
      </c>
      <c r="R2231">
        <v>0</v>
      </c>
      <c r="T2231" t="b">
        <v>1</v>
      </c>
    </row>
    <row r="2232" spans="2:20" x14ac:dyDescent="0.35">
      <c r="B2232">
        <v>2014</v>
      </c>
      <c r="C2232" s="41">
        <v>42795</v>
      </c>
      <c r="D2232" t="s">
        <v>2220</v>
      </c>
      <c r="E2232" t="s">
        <v>219</v>
      </c>
      <c r="F2232" t="s">
        <v>458</v>
      </c>
      <c r="G2232" t="s">
        <v>304</v>
      </c>
      <c r="H2232" t="s">
        <v>306</v>
      </c>
      <c r="I2232" t="s">
        <v>310</v>
      </c>
      <c r="J2232">
        <v>1</v>
      </c>
      <c r="L2232">
        <v>272.44</v>
      </c>
      <c r="M2232">
        <v>464.29</v>
      </c>
      <c r="N2232">
        <v>625.19000000000005</v>
      </c>
      <c r="O2232">
        <v>920.24</v>
      </c>
      <c r="P2232">
        <v>1</v>
      </c>
      <c r="Q2232">
        <v>1</v>
      </c>
      <c r="R2232">
        <v>0</v>
      </c>
      <c r="T2232" t="b">
        <v>1</v>
      </c>
    </row>
    <row r="2233" spans="2:20" x14ac:dyDescent="0.35">
      <c r="B2233">
        <v>2014</v>
      </c>
      <c r="C2233" s="41">
        <v>42795</v>
      </c>
      <c r="D2233" t="s">
        <v>2220</v>
      </c>
      <c r="E2233" t="s">
        <v>219</v>
      </c>
      <c r="F2233" t="s">
        <v>1311</v>
      </c>
      <c r="G2233" t="s">
        <v>304</v>
      </c>
      <c r="H2233" t="s">
        <v>306</v>
      </c>
      <c r="I2233" t="s">
        <v>310</v>
      </c>
      <c r="J2233">
        <v>1</v>
      </c>
      <c r="L2233">
        <v>301.12</v>
      </c>
      <c r="M2233">
        <v>513.16</v>
      </c>
      <c r="N2233">
        <v>691.01</v>
      </c>
      <c r="O2233">
        <v>1017.12</v>
      </c>
      <c r="P2233">
        <v>1</v>
      </c>
      <c r="Q2233">
        <v>1</v>
      </c>
      <c r="R2233">
        <v>0</v>
      </c>
      <c r="T223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74E6-CCB4-42C9-8350-AF8B6402DB89}">
  <dimension ref="A1:AP28"/>
  <sheetViews>
    <sheetView topLeftCell="T1" workbookViewId="0">
      <selection activeCell="AO20" sqref="AO20"/>
    </sheetView>
  </sheetViews>
  <sheetFormatPr defaultRowHeight="14.5" x14ac:dyDescent="0.35"/>
  <cols>
    <col min="3" max="3" width="5.54296875" bestFit="1" customWidth="1"/>
    <col min="4" max="4" width="13.7265625" bestFit="1" customWidth="1"/>
    <col min="5" max="5" width="6.54296875" bestFit="1" customWidth="1"/>
  </cols>
  <sheetData>
    <row r="1" spans="1:42" x14ac:dyDescent="0.35">
      <c r="F1" t="s">
        <v>2224</v>
      </c>
      <c r="K1" t="s">
        <v>2225</v>
      </c>
      <c r="P1" t="s">
        <v>2226</v>
      </c>
      <c r="U1" s="42" t="s">
        <v>2224</v>
      </c>
      <c r="V1" s="43"/>
      <c r="W1" s="43"/>
      <c r="X1" s="43"/>
      <c r="Y1" s="43"/>
      <c r="Z1" s="43" t="s">
        <v>2225</v>
      </c>
      <c r="AA1" s="43"/>
      <c r="AB1" s="43"/>
      <c r="AC1" s="43"/>
      <c r="AD1" s="43"/>
      <c r="AE1" s="43" t="s">
        <v>2226</v>
      </c>
      <c r="AF1" s="43"/>
      <c r="AG1" s="43"/>
      <c r="AH1" s="43"/>
      <c r="AI1" s="44"/>
    </row>
    <row r="2" spans="1:42" x14ac:dyDescent="0.35">
      <c r="F2">
        <v>2014</v>
      </c>
      <c r="G2">
        <v>2014</v>
      </c>
      <c r="H2">
        <v>2014</v>
      </c>
      <c r="I2">
        <v>2014</v>
      </c>
      <c r="J2">
        <v>2014</v>
      </c>
      <c r="K2">
        <v>2014</v>
      </c>
      <c r="L2">
        <v>2014</v>
      </c>
      <c r="M2">
        <v>2014</v>
      </c>
      <c r="N2">
        <v>2014</v>
      </c>
      <c r="O2">
        <v>2014</v>
      </c>
      <c r="P2">
        <v>2014</v>
      </c>
      <c r="Q2">
        <v>2014</v>
      </c>
      <c r="R2">
        <v>2014</v>
      </c>
      <c r="S2">
        <v>2014</v>
      </c>
      <c r="T2">
        <v>2014</v>
      </c>
      <c r="U2" s="45">
        <v>2019</v>
      </c>
      <c r="V2" s="45">
        <v>2019</v>
      </c>
      <c r="W2" s="45">
        <v>2019</v>
      </c>
      <c r="X2" s="45">
        <v>2019</v>
      </c>
      <c r="Y2" s="45">
        <v>2019</v>
      </c>
      <c r="Z2" s="45">
        <v>2019</v>
      </c>
      <c r="AA2" s="45">
        <v>2019</v>
      </c>
      <c r="AB2" s="45">
        <v>2019</v>
      </c>
      <c r="AC2" s="45">
        <v>2019</v>
      </c>
      <c r="AD2" s="45">
        <v>2019</v>
      </c>
      <c r="AE2" s="45">
        <v>2019</v>
      </c>
      <c r="AF2" s="45">
        <v>2019</v>
      </c>
      <c r="AG2" s="45">
        <v>2019</v>
      </c>
      <c r="AH2" s="45">
        <v>2019</v>
      </c>
      <c r="AI2" s="45">
        <v>2019</v>
      </c>
      <c r="AK2" t="s">
        <v>2231</v>
      </c>
    </row>
    <row r="3" spans="1:42" ht="29" x14ac:dyDescent="0.35">
      <c r="B3" s="4" t="s">
        <v>188</v>
      </c>
      <c r="C3" s="4" t="s">
        <v>182</v>
      </c>
      <c r="D3" s="4"/>
      <c r="E3" s="8" t="s">
        <v>189</v>
      </c>
      <c r="F3" t="s">
        <v>1427</v>
      </c>
      <c r="G3" t="s">
        <v>842</v>
      </c>
      <c r="H3" t="s">
        <v>310</v>
      </c>
      <c r="I3" t="s">
        <v>843</v>
      </c>
      <c r="J3" t="s">
        <v>1555</v>
      </c>
      <c r="K3" t="s">
        <v>1427</v>
      </c>
      <c r="L3" t="s">
        <v>842</v>
      </c>
      <c r="M3" t="s">
        <v>310</v>
      </c>
      <c r="N3" t="s">
        <v>843</v>
      </c>
      <c r="O3" t="s">
        <v>1555</v>
      </c>
      <c r="P3" t="s">
        <v>1427</v>
      </c>
      <c r="Q3" t="s">
        <v>842</v>
      </c>
      <c r="R3" t="s">
        <v>310</v>
      </c>
      <c r="S3" t="s">
        <v>843</v>
      </c>
      <c r="T3" t="s">
        <v>1555</v>
      </c>
      <c r="U3" s="45" t="s">
        <v>1427</v>
      </c>
      <c r="V3" t="s">
        <v>842</v>
      </c>
      <c r="W3" t="s">
        <v>310</v>
      </c>
      <c r="X3" t="s">
        <v>843</v>
      </c>
      <c r="Y3" t="s">
        <v>1555</v>
      </c>
      <c r="Z3" t="s">
        <v>1427</v>
      </c>
      <c r="AA3" t="s">
        <v>842</v>
      </c>
      <c r="AB3" t="s">
        <v>310</v>
      </c>
      <c r="AC3" t="s">
        <v>843</v>
      </c>
      <c r="AD3" t="s">
        <v>1555</v>
      </c>
      <c r="AE3" t="s">
        <v>1427</v>
      </c>
      <c r="AF3" t="s">
        <v>842</v>
      </c>
      <c r="AG3" t="s">
        <v>310</v>
      </c>
      <c r="AH3" t="s">
        <v>843</v>
      </c>
      <c r="AI3" s="46" t="s">
        <v>1555</v>
      </c>
      <c r="AK3" t="s">
        <v>1555</v>
      </c>
      <c r="AL3" t="s">
        <v>1427</v>
      </c>
      <c r="AM3" t="s">
        <v>842</v>
      </c>
      <c r="AN3" t="s">
        <v>310</v>
      </c>
      <c r="AO3" t="s">
        <v>843</v>
      </c>
      <c r="AP3" s="46" t="s">
        <v>1555</v>
      </c>
    </row>
    <row r="4" spans="1:42" x14ac:dyDescent="0.35">
      <c r="A4" t="s">
        <v>1310</v>
      </c>
      <c r="B4" s="5" t="str">
        <f t="shared" ref="B4:B19" si="0">CONCATENATE(C4,E4)</f>
        <v>GA1</v>
      </c>
      <c r="C4" s="5" t="s">
        <v>219</v>
      </c>
      <c r="D4" s="5" t="s">
        <v>3</v>
      </c>
      <c r="E4" s="5">
        <v>1</v>
      </c>
      <c r="F4">
        <f t="shared" ref="F4:J13" si="1">COUNTIFS(Metal,F$3,YEAR,F$2,AREA,$A4)</f>
        <v>1</v>
      </c>
      <c r="G4">
        <f t="shared" si="1"/>
        <v>6</v>
      </c>
      <c r="H4">
        <f t="shared" si="1"/>
        <v>20</v>
      </c>
      <c r="I4">
        <f t="shared" si="1"/>
        <v>3</v>
      </c>
      <c r="J4">
        <f t="shared" si="1"/>
        <v>0</v>
      </c>
      <c r="K4">
        <f t="shared" ref="K4:O13" si="2">SUMIFS(PREMC2CA30,AREA,$A4,YEAR,K$2,Metal,K$3)</f>
        <v>871.52</v>
      </c>
      <c r="L4">
        <f t="shared" si="2"/>
        <v>6640.7999999999811</v>
      </c>
      <c r="M4">
        <f t="shared" si="2"/>
        <v>26940.719999999998</v>
      </c>
      <c r="N4">
        <f t="shared" si="2"/>
        <v>5107.2999999999993</v>
      </c>
      <c r="O4">
        <f t="shared" si="2"/>
        <v>0</v>
      </c>
      <c r="P4">
        <f>K4/F4</f>
        <v>871.52</v>
      </c>
      <c r="Q4">
        <f t="shared" ref="Q4:Q21" si="3">L4/G4</f>
        <v>1106.7999999999968</v>
      </c>
      <c r="R4">
        <f t="shared" ref="R4:R21" si="4">M4/H4</f>
        <v>1347.0359999999998</v>
      </c>
      <c r="S4">
        <f t="shared" ref="S4:T21" si="5">N4/I4</f>
        <v>1702.4333333333332</v>
      </c>
      <c r="T4" t="e">
        <f t="shared" si="5"/>
        <v>#DIV/0!</v>
      </c>
      <c r="U4" s="45">
        <f t="shared" ref="U4:Y13" si="6">COUNTIFS(Metal,U$3,YEAR,U$2,AREA,$A4)</f>
        <v>0</v>
      </c>
      <c r="V4">
        <f t="shared" si="6"/>
        <v>2</v>
      </c>
      <c r="W4">
        <f t="shared" si="6"/>
        <v>44</v>
      </c>
      <c r="X4">
        <f t="shared" si="6"/>
        <v>1</v>
      </c>
      <c r="Y4">
        <f t="shared" si="6"/>
        <v>0</v>
      </c>
      <c r="Z4">
        <f t="shared" ref="Z4:AD13" si="7">SUMIFS(PREMC2CA30,AREA,$A4,YEAR,Z$2,Metal,Z$3)</f>
        <v>0</v>
      </c>
      <c r="AA4">
        <f t="shared" si="7"/>
        <v>2752.1599999999899</v>
      </c>
      <c r="AB4">
        <f t="shared" si="7"/>
        <v>73101.759999999951</v>
      </c>
      <c r="AC4">
        <f t="shared" si="7"/>
        <v>1690.98</v>
      </c>
      <c r="AD4">
        <f t="shared" si="7"/>
        <v>0</v>
      </c>
      <c r="AE4" t="e">
        <f>Z4/U4</f>
        <v>#DIV/0!</v>
      </c>
      <c r="AF4">
        <f t="shared" ref="AF4:AF21" si="8">AA4/V4</f>
        <v>1376.0799999999949</v>
      </c>
      <c r="AG4">
        <f t="shared" ref="AG4:AG21" si="9">AB4/W4</f>
        <v>1661.4036363636353</v>
      </c>
      <c r="AH4">
        <f t="shared" ref="AH4:AH21" si="10">AC4/X4</f>
        <v>1690.98</v>
      </c>
      <c r="AI4" s="46" t="e">
        <f t="shared" ref="AI4:AI21" si="11">AD4/Y4</f>
        <v>#DIV/0!</v>
      </c>
      <c r="AK4" s="50" t="e">
        <f>AE4/P4-1</f>
        <v>#DIV/0!</v>
      </c>
      <c r="AL4" s="50">
        <f t="shared" ref="AL4:AL21" si="12">AF4/Q4-1</f>
        <v>0.24329598843512734</v>
      </c>
      <c r="AM4" s="50">
        <f t="shared" ref="AM4:AM21" si="13">AG4/R4-1</f>
        <v>0.23337730867150963</v>
      </c>
      <c r="AN4" s="50">
        <f t="shared" ref="AN4:AN21" si="14">AH4/S4-1</f>
        <v>-6.7276251639808438E-3</v>
      </c>
      <c r="AO4" s="50" t="e">
        <f t="shared" ref="AO4:AO21" si="15">AI4/T4-1</f>
        <v>#DIV/0!</v>
      </c>
      <c r="AP4" s="50" t="e">
        <f t="shared" ref="AP4:AP21" si="16">AJ4/U4-1</f>
        <v>#DIV/0!</v>
      </c>
    </row>
    <row r="5" spans="1:42" x14ac:dyDescent="0.35">
      <c r="A5" t="s">
        <v>1311</v>
      </c>
      <c r="B5" s="5" t="str">
        <f t="shared" si="0"/>
        <v>GA2</v>
      </c>
      <c r="C5" s="5" t="s">
        <v>219</v>
      </c>
      <c r="D5" s="5" t="s">
        <v>16</v>
      </c>
      <c r="E5" s="5">
        <v>2</v>
      </c>
      <c r="F5">
        <f t="shared" si="1"/>
        <v>3</v>
      </c>
      <c r="G5">
        <f t="shared" si="1"/>
        <v>21</v>
      </c>
      <c r="H5">
        <f t="shared" si="1"/>
        <v>92</v>
      </c>
      <c r="I5">
        <f t="shared" si="1"/>
        <v>14</v>
      </c>
      <c r="J5">
        <f t="shared" si="1"/>
        <v>1</v>
      </c>
      <c r="K5">
        <f t="shared" si="2"/>
        <v>1617.639999999999</v>
      </c>
      <c r="L5">
        <f t="shared" si="2"/>
        <v>14095.200000000003</v>
      </c>
      <c r="M5">
        <f t="shared" si="2"/>
        <v>73329.119999999981</v>
      </c>
      <c r="N5">
        <f t="shared" si="2"/>
        <v>13673.319999999989</v>
      </c>
      <c r="O5">
        <f t="shared" si="2"/>
        <v>995.56</v>
      </c>
      <c r="P5">
        <f t="shared" ref="P5:P21" si="17">K5/F5</f>
        <v>539.21333333333303</v>
      </c>
      <c r="Q5">
        <f t="shared" si="3"/>
        <v>671.20000000000016</v>
      </c>
      <c r="R5">
        <f t="shared" si="4"/>
        <v>797.05565217391279</v>
      </c>
      <c r="S5">
        <f t="shared" si="5"/>
        <v>976.66571428571353</v>
      </c>
      <c r="T5">
        <f t="shared" si="5"/>
        <v>995.56</v>
      </c>
      <c r="U5" s="45">
        <f t="shared" si="6"/>
        <v>1</v>
      </c>
      <c r="V5">
        <f t="shared" si="6"/>
        <v>9</v>
      </c>
      <c r="W5">
        <f t="shared" si="6"/>
        <v>61</v>
      </c>
      <c r="X5">
        <f t="shared" si="6"/>
        <v>4</v>
      </c>
      <c r="Y5">
        <f t="shared" si="6"/>
        <v>2</v>
      </c>
      <c r="Z5">
        <f t="shared" si="7"/>
        <v>819.12</v>
      </c>
      <c r="AA5">
        <f t="shared" si="7"/>
        <v>11294.26</v>
      </c>
      <c r="AB5">
        <f t="shared" si="7"/>
        <v>86649.339999999851</v>
      </c>
      <c r="AC5">
        <f t="shared" si="7"/>
        <v>7492.3399999999892</v>
      </c>
      <c r="AD5">
        <f t="shared" si="7"/>
        <v>4120.2999999999993</v>
      </c>
      <c r="AE5">
        <f t="shared" ref="AE5:AE21" si="18">Z5/U5</f>
        <v>819.12</v>
      </c>
      <c r="AF5">
        <f t="shared" si="8"/>
        <v>1254.9177777777777</v>
      </c>
      <c r="AG5">
        <f t="shared" si="9"/>
        <v>1420.4809836065549</v>
      </c>
      <c r="AH5">
        <f t="shared" si="10"/>
        <v>1873.0849999999973</v>
      </c>
      <c r="AI5" s="46">
        <f t="shared" si="11"/>
        <v>2060.1499999999996</v>
      </c>
      <c r="AK5" s="50">
        <f t="shared" ref="AK5:AK21" si="19">AE5/P5-1</f>
        <v>0.51910190153557112</v>
      </c>
      <c r="AL5" s="50">
        <f t="shared" si="12"/>
        <v>0.86966295854853604</v>
      </c>
      <c r="AM5" s="50">
        <f t="shared" si="13"/>
        <v>0.78216035446495336</v>
      </c>
      <c r="AN5" s="50">
        <f t="shared" si="14"/>
        <v>0.91783634113733781</v>
      </c>
      <c r="AO5" s="50">
        <f t="shared" si="15"/>
        <v>1.0693378600988388</v>
      </c>
      <c r="AP5" s="50">
        <f t="shared" si="16"/>
        <v>-1</v>
      </c>
    </row>
    <row r="6" spans="1:42" x14ac:dyDescent="0.35">
      <c r="A6" t="s">
        <v>1301</v>
      </c>
      <c r="B6" s="5" t="str">
        <f t="shared" si="0"/>
        <v>GA3</v>
      </c>
      <c r="C6" s="5" t="s">
        <v>219</v>
      </c>
      <c r="D6" s="5" t="s">
        <v>26</v>
      </c>
      <c r="E6" s="5">
        <v>3</v>
      </c>
      <c r="F6">
        <f t="shared" si="1"/>
        <v>4</v>
      </c>
      <c r="G6">
        <f t="shared" si="1"/>
        <v>23</v>
      </c>
      <c r="H6">
        <f t="shared" si="1"/>
        <v>96</v>
      </c>
      <c r="I6">
        <f t="shared" si="1"/>
        <v>15</v>
      </c>
      <c r="J6">
        <f t="shared" si="1"/>
        <v>2</v>
      </c>
      <c r="K6">
        <f t="shared" si="2"/>
        <v>1995.86</v>
      </c>
      <c r="L6">
        <f t="shared" si="2"/>
        <v>16322.84</v>
      </c>
      <c r="M6">
        <f t="shared" si="2"/>
        <v>83093.919999999955</v>
      </c>
      <c r="N6">
        <f t="shared" si="2"/>
        <v>15298.279999999999</v>
      </c>
      <c r="O6">
        <f t="shared" si="2"/>
        <v>1712.74</v>
      </c>
      <c r="P6">
        <f t="shared" si="17"/>
        <v>498.96499999999997</v>
      </c>
      <c r="Q6">
        <f t="shared" si="3"/>
        <v>709.68869565217392</v>
      </c>
      <c r="R6">
        <f t="shared" si="4"/>
        <v>865.56166666666616</v>
      </c>
      <c r="S6">
        <f t="shared" si="5"/>
        <v>1019.8853333333333</v>
      </c>
      <c r="T6">
        <f t="shared" si="5"/>
        <v>856.37</v>
      </c>
      <c r="U6" s="45">
        <f t="shared" si="6"/>
        <v>6</v>
      </c>
      <c r="V6">
        <f t="shared" si="6"/>
        <v>20</v>
      </c>
      <c r="W6">
        <f t="shared" si="6"/>
        <v>126</v>
      </c>
      <c r="X6">
        <f t="shared" si="6"/>
        <v>11</v>
      </c>
      <c r="Y6">
        <f t="shared" si="6"/>
        <v>0</v>
      </c>
      <c r="Z6">
        <f t="shared" si="7"/>
        <v>6128.5999999999995</v>
      </c>
      <c r="AA6">
        <f t="shared" si="7"/>
        <v>24442.579999999998</v>
      </c>
      <c r="AB6">
        <f t="shared" si="7"/>
        <v>199738.85999999981</v>
      </c>
      <c r="AC6">
        <f t="shared" si="7"/>
        <v>20987.86</v>
      </c>
      <c r="AD6">
        <f t="shared" si="7"/>
        <v>0</v>
      </c>
      <c r="AE6">
        <f t="shared" si="18"/>
        <v>1021.4333333333333</v>
      </c>
      <c r="AF6">
        <f t="shared" si="8"/>
        <v>1222.1289999999999</v>
      </c>
      <c r="AG6">
        <f t="shared" si="9"/>
        <v>1585.229047619046</v>
      </c>
      <c r="AH6">
        <f t="shared" si="10"/>
        <v>1907.9872727272727</v>
      </c>
      <c r="AI6" s="46" t="e">
        <f t="shared" si="11"/>
        <v>#DIV/0!</v>
      </c>
      <c r="AK6" s="50">
        <f t="shared" si="19"/>
        <v>1.0471041723033347</v>
      </c>
      <c r="AL6" s="50">
        <f t="shared" si="12"/>
        <v>0.72206350120444718</v>
      </c>
      <c r="AM6" s="50">
        <f t="shared" si="13"/>
        <v>0.83144553261452225</v>
      </c>
      <c r="AN6" s="50">
        <f t="shared" si="14"/>
        <v>0.87078606816642745</v>
      </c>
      <c r="AO6" s="50" t="e">
        <f t="shared" si="15"/>
        <v>#DIV/0!</v>
      </c>
      <c r="AP6" s="50">
        <f t="shared" si="16"/>
        <v>-1</v>
      </c>
    </row>
    <row r="7" spans="1:42" x14ac:dyDescent="0.35">
      <c r="A7" t="s">
        <v>1390</v>
      </c>
      <c r="B7" s="5" t="str">
        <f t="shared" si="0"/>
        <v>GA4</v>
      </c>
      <c r="C7" s="5" t="s">
        <v>219</v>
      </c>
      <c r="D7" s="5" t="s">
        <v>48</v>
      </c>
      <c r="E7" s="5">
        <v>4</v>
      </c>
      <c r="F7">
        <f t="shared" si="1"/>
        <v>3</v>
      </c>
      <c r="G7">
        <f t="shared" si="1"/>
        <v>12</v>
      </c>
      <c r="H7">
        <f t="shared" si="1"/>
        <v>44</v>
      </c>
      <c r="I7">
        <f t="shared" si="1"/>
        <v>8</v>
      </c>
      <c r="J7">
        <f t="shared" si="1"/>
        <v>1</v>
      </c>
      <c r="K7">
        <f t="shared" si="2"/>
        <v>1731.079999999999</v>
      </c>
      <c r="L7">
        <f t="shared" si="2"/>
        <v>9875.7399999999961</v>
      </c>
      <c r="M7">
        <f t="shared" si="2"/>
        <v>44132</v>
      </c>
      <c r="N7">
        <f t="shared" si="2"/>
        <v>9442.42</v>
      </c>
      <c r="O7">
        <f t="shared" si="2"/>
        <v>933.52</v>
      </c>
      <c r="P7">
        <f t="shared" si="17"/>
        <v>577.0266666666663</v>
      </c>
      <c r="Q7">
        <f t="shared" si="3"/>
        <v>822.97833333333301</v>
      </c>
      <c r="R7">
        <f t="shared" si="4"/>
        <v>1003</v>
      </c>
      <c r="S7">
        <f t="shared" si="5"/>
        <v>1180.3025</v>
      </c>
      <c r="T7">
        <f t="shared" si="5"/>
        <v>933.52</v>
      </c>
      <c r="U7" s="45">
        <f t="shared" si="6"/>
        <v>1</v>
      </c>
      <c r="V7">
        <f t="shared" si="6"/>
        <v>5</v>
      </c>
      <c r="W7">
        <f t="shared" si="6"/>
        <v>8</v>
      </c>
      <c r="X7">
        <f t="shared" si="6"/>
        <v>1</v>
      </c>
      <c r="Y7">
        <f t="shared" si="6"/>
        <v>0</v>
      </c>
      <c r="Z7">
        <f t="shared" si="7"/>
        <v>1059.48</v>
      </c>
      <c r="AA7">
        <f t="shared" si="7"/>
        <v>8177.1200000000008</v>
      </c>
      <c r="AB7">
        <f t="shared" si="7"/>
        <v>19030.559999999998</v>
      </c>
      <c r="AC7">
        <f t="shared" si="7"/>
        <v>3359.1</v>
      </c>
      <c r="AD7">
        <f t="shared" si="7"/>
        <v>0</v>
      </c>
      <c r="AE7">
        <f t="shared" si="18"/>
        <v>1059.48</v>
      </c>
      <c r="AF7">
        <f t="shared" si="8"/>
        <v>1635.4240000000002</v>
      </c>
      <c r="AG7">
        <f t="shared" si="9"/>
        <v>2378.8199999999997</v>
      </c>
      <c r="AH7">
        <f t="shared" si="10"/>
        <v>3359.1</v>
      </c>
      <c r="AI7" s="46" t="e">
        <f t="shared" si="11"/>
        <v>#DIV/0!</v>
      </c>
      <c r="AK7" s="50">
        <f t="shared" si="19"/>
        <v>0.83610231762830267</v>
      </c>
      <c r="AL7" s="50">
        <f t="shared" si="12"/>
        <v>0.98720176918387992</v>
      </c>
      <c r="AM7" s="50">
        <f t="shared" si="13"/>
        <v>1.3717048853439677</v>
      </c>
      <c r="AN7" s="50">
        <f t="shared" si="14"/>
        <v>1.8459653351577243</v>
      </c>
      <c r="AO7" s="50" t="e">
        <f t="shared" si="15"/>
        <v>#DIV/0!</v>
      </c>
      <c r="AP7" s="50">
        <f t="shared" si="16"/>
        <v>-1</v>
      </c>
    </row>
    <row r="8" spans="1:42" x14ac:dyDescent="0.35">
      <c r="A8" t="s">
        <v>1389</v>
      </c>
      <c r="B8" s="5" t="str">
        <f t="shared" si="0"/>
        <v>GA5</v>
      </c>
      <c r="C8" s="5" t="s">
        <v>219</v>
      </c>
      <c r="D8" s="5" t="s">
        <v>52</v>
      </c>
      <c r="E8" s="5">
        <v>5</v>
      </c>
      <c r="F8">
        <f t="shared" si="1"/>
        <v>2</v>
      </c>
      <c r="G8">
        <f t="shared" si="1"/>
        <v>7</v>
      </c>
      <c r="H8">
        <f t="shared" si="1"/>
        <v>24</v>
      </c>
      <c r="I8">
        <f t="shared" si="1"/>
        <v>4</v>
      </c>
      <c r="J8">
        <f t="shared" si="1"/>
        <v>1</v>
      </c>
      <c r="K8">
        <f t="shared" si="2"/>
        <v>1086.2599999999991</v>
      </c>
      <c r="L8">
        <f t="shared" si="2"/>
        <v>5222.8999999999996</v>
      </c>
      <c r="M8">
        <f t="shared" si="2"/>
        <v>21585.839999999997</v>
      </c>
      <c r="N8">
        <f t="shared" si="2"/>
        <v>4365.5199999999995</v>
      </c>
      <c r="O8">
        <f t="shared" si="2"/>
        <v>908.9</v>
      </c>
      <c r="P8">
        <f t="shared" si="17"/>
        <v>543.12999999999954</v>
      </c>
      <c r="Q8">
        <f t="shared" si="3"/>
        <v>746.12857142857138</v>
      </c>
      <c r="R8">
        <f t="shared" si="4"/>
        <v>899.40999999999985</v>
      </c>
      <c r="S8">
        <f t="shared" si="5"/>
        <v>1091.3799999999999</v>
      </c>
      <c r="T8">
        <f t="shared" si="5"/>
        <v>908.9</v>
      </c>
      <c r="U8" s="45">
        <f t="shared" si="6"/>
        <v>2</v>
      </c>
      <c r="V8">
        <f t="shared" si="6"/>
        <v>10</v>
      </c>
      <c r="W8">
        <f t="shared" si="6"/>
        <v>16</v>
      </c>
      <c r="X8">
        <f t="shared" si="6"/>
        <v>2</v>
      </c>
      <c r="Y8">
        <f t="shared" si="6"/>
        <v>0</v>
      </c>
      <c r="Z8">
        <f t="shared" si="7"/>
        <v>1403.1599999999989</v>
      </c>
      <c r="AA8">
        <f t="shared" si="7"/>
        <v>10828.779999999988</v>
      </c>
      <c r="AB8">
        <f t="shared" si="7"/>
        <v>25201.039999999994</v>
      </c>
      <c r="AC8">
        <f t="shared" si="7"/>
        <v>4447.96</v>
      </c>
      <c r="AD8">
        <f t="shared" si="7"/>
        <v>0</v>
      </c>
      <c r="AE8">
        <f t="shared" si="18"/>
        <v>701.57999999999947</v>
      </c>
      <c r="AF8">
        <f t="shared" si="8"/>
        <v>1082.8779999999988</v>
      </c>
      <c r="AG8">
        <f t="shared" si="9"/>
        <v>1575.0649999999996</v>
      </c>
      <c r="AH8">
        <f t="shared" si="10"/>
        <v>2223.98</v>
      </c>
      <c r="AI8" s="46" t="e">
        <f t="shared" si="11"/>
        <v>#DIV/0!</v>
      </c>
      <c r="AK8" s="50">
        <f t="shared" si="19"/>
        <v>0.2917349437519563</v>
      </c>
      <c r="AL8" s="50">
        <f t="shared" si="12"/>
        <v>0.4513289551781563</v>
      </c>
      <c r="AM8" s="50">
        <f t="shared" si="13"/>
        <v>0.75122024438242829</v>
      </c>
      <c r="AN8" s="50">
        <f t="shared" si="14"/>
        <v>1.0377686965126722</v>
      </c>
      <c r="AO8" s="50" t="e">
        <f t="shared" si="15"/>
        <v>#DIV/0!</v>
      </c>
      <c r="AP8" s="50">
        <f t="shared" si="16"/>
        <v>-1</v>
      </c>
    </row>
    <row r="9" spans="1:42" x14ac:dyDescent="0.35">
      <c r="A9" t="s">
        <v>1307</v>
      </c>
      <c r="B9" s="5" t="str">
        <f t="shared" si="0"/>
        <v>GA6</v>
      </c>
      <c r="C9" s="5" t="s">
        <v>219</v>
      </c>
      <c r="D9" s="5" t="s">
        <v>65</v>
      </c>
      <c r="E9" s="5">
        <v>6</v>
      </c>
      <c r="F9">
        <f t="shared" si="1"/>
        <v>2</v>
      </c>
      <c r="G9">
        <f t="shared" si="1"/>
        <v>7</v>
      </c>
      <c r="H9">
        <f t="shared" si="1"/>
        <v>24</v>
      </c>
      <c r="I9">
        <f t="shared" si="1"/>
        <v>4</v>
      </c>
      <c r="J9">
        <f t="shared" si="1"/>
        <v>1</v>
      </c>
      <c r="K9">
        <f t="shared" si="2"/>
        <v>1226.74</v>
      </c>
      <c r="L9">
        <f t="shared" si="2"/>
        <v>6431.8</v>
      </c>
      <c r="M9">
        <f t="shared" si="2"/>
        <v>26472.479999999956</v>
      </c>
      <c r="N9">
        <f t="shared" si="2"/>
        <v>5279.44</v>
      </c>
      <c r="O9">
        <f t="shared" si="2"/>
        <v>867.58</v>
      </c>
      <c r="P9">
        <f t="shared" si="17"/>
        <v>613.37</v>
      </c>
      <c r="Q9">
        <f t="shared" si="3"/>
        <v>918.82857142857142</v>
      </c>
      <c r="R9">
        <f t="shared" si="4"/>
        <v>1103.0199999999982</v>
      </c>
      <c r="S9">
        <f t="shared" si="5"/>
        <v>1319.86</v>
      </c>
      <c r="T9">
        <f t="shared" si="5"/>
        <v>867.58</v>
      </c>
      <c r="U9" s="45">
        <f t="shared" si="6"/>
        <v>1</v>
      </c>
      <c r="V9">
        <f t="shared" si="6"/>
        <v>7</v>
      </c>
      <c r="W9">
        <f t="shared" si="6"/>
        <v>52</v>
      </c>
      <c r="X9">
        <f t="shared" si="6"/>
        <v>2</v>
      </c>
      <c r="Y9">
        <f t="shared" si="6"/>
        <v>0</v>
      </c>
      <c r="Z9">
        <f t="shared" si="7"/>
        <v>949.2</v>
      </c>
      <c r="AA9">
        <f t="shared" si="7"/>
        <v>9251.0399999999881</v>
      </c>
      <c r="AB9">
        <f t="shared" si="7"/>
        <v>68183.199999999997</v>
      </c>
      <c r="AC9">
        <f t="shared" si="7"/>
        <v>4192.22</v>
      </c>
      <c r="AD9">
        <f t="shared" si="7"/>
        <v>0</v>
      </c>
      <c r="AE9">
        <f t="shared" si="18"/>
        <v>949.2</v>
      </c>
      <c r="AF9">
        <f t="shared" si="8"/>
        <v>1321.5771428571411</v>
      </c>
      <c r="AG9">
        <f t="shared" si="9"/>
        <v>1311.2153846153847</v>
      </c>
      <c r="AH9">
        <f t="shared" si="10"/>
        <v>2096.11</v>
      </c>
      <c r="AI9" s="46" t="e">
        <f t="shared" si="11"/>
        <v>#DIV/0!</v>
      </c>
      <c r="AK9" s="50">
        <f t="shared" si="19"/>
        <v>0.54751618109786926</v>
      </c>
      <c r="AL9" s="50">
        <f t="shared" si="12"/>
        <v>0.43832830622842556</v>
      </c>
      <c r="AM9" s="50">
        <f t="shared" si="13"/>
        <v>0.18875032602798392</v>
      </c>
      <c r="AN9" s="50">
        <f t="shared" si="14"/>
        <v>0.58813055930174429</v>
      </c>
      <c r="AO9" s="50" t="e">
        <f t="shared" si="15"/>
        <v>#DIV/0!</v>
      </c>
      <c r="AP9" s="50">
        <f t="shared" si="16"/>
        <v>-1</v>
      </c>
    </row>
    <row r="10" spans="1:42" x14ac:dyDescent="0.35">
      <c r="A10" t="s">
        <v>1298</v>
      </c>
      <c r="B10" s="5" t="str">
        <f t="shared" si="0"/>
        <v>GA7</v>
      </c>
      <c r="C10" s="5" t="s">
        <v>219</v>
      </c>
      <c r="D10" s="5" t="s">
        <v>75</v>
      </c>
      <c r="E10" s="5">
        <v>7</v>
      </c>
      <c r="F10">
        <f t="shared" si="1"/>
        <v>1</v>
      </c>
      <c r="G10">
        <f t="shared" si="1"/>
        <v>8</v>
      </c>
      <c r="H10">
        <f t="shared" si="1"/>
        <v>28</v>
      </c>
      <c r="I10">
        <f t="shared" si="1"/>
        <v>5</v>
      </c>
      <c r="J10">
        <f t="shared" si="1"/>
        <v>0</v>
      </c>
      <c r="K10">
        <f t="shared" si="2"/>
        <v>673.42</v>
      </c>
      <c r="L10">
        <f t="shared" si="2"/>
        <v>6755.7399999999971</v>
      </c>
      <c r="M10">
        <f t="shared" si="2"/>
        <v>28410.079999999998</v>
      </c>
      <c r="N10">
        <f t="shared" si="2"/>
        <v>6071.26</v>
      </c>
      <c r="O10">
        <f t="shared" si="2"/>
        <v>0</v>
      </c>
      <c r="P10">
        <f t="shared" si="17"/>
        <v>673.42</v>
      </c>
      <c r="Q10">
        <f t="shared" si="3"/>
        <v>844.46749999999963</v>
      </c>
      <c r="R10">
        <f t="shared" si="4"/>
        <v>1014.6457142857142</v>
      </c>
      <c r="S10">
        <f t="shared" si="5"/>
        <v>1214.252</v>
      </c>
      <c r="T10" t="e">
        <f t="shared" si="5"/>
        <v>#DIV/0!</v>
      </c>
      <c r="U10" s="45">
        <f t="shared" si="6"/>
        <v>0</v>
      </c>
      <c r="V10">
        <f t="shared" si="6"/>
        <v>2</v>
      </c>
      <c r="W10">
        <f t="shared" si="6"/>
        <v>44</v>
      </c>
      <c r="X10">
        <f t="shared" si="6"/>
        <v>1</v>
      </c>
      <c r="Y10">
        <f t="shared" si="6"/>
        <v>0</v>
      </c>
      <c r="Z10">
        <f t="shared" si="7"/>
        <v>0</v>
      </c>
      <c r="AA10">
        <f t="shared" si="7"/>
        <v>2276.2199999999903</v>
      </c>
      <c r="AB10">
        <f t="shared" si="7"/>
        <v>60458.879999999837</v>
      </c>
      <c r="AC10">
        <f t="shared" si="7"/>
        <v>1398.54</v>
      </c>
      <c r="AD10">
        <f t="shared" si="7"/>
        <v>0</v>
      </c>
      <c r="AE10" t="e">
        <f t="shared" si="18"/>
        <v>#DIV/0!</v>
      </c>
      <c r="AF10">
        <f t="shared" si="8"/>
        <v>1138.1099999999951</v>
      </c>
      <c r="AG10">
        <f t="shared" si="9"/>
        <v>1374.0654545454508</v>
      </c>
      <c r="AH10">
        <f t="shared" si="10"/>
        <v>1398.54</v>
      </c>
      <c r="AI10" s="46" t="e">
        <f t="shared" si="11"/>
        <v>#DIV/0!</v>
      </c>
      <c r="AK10" s="50" t="e">
        <f t="shared" si="19"/>
        <v>#DIV/0!</v>
      </c>
      <c r="AL10" s="50">
        <f t="shared" si="12"/>
        <v>0.34772504566486639</v>
      </c>
      <c r="AM10" s="50">
        <f t="shared" si="13"/>
        <v>0.35423176306693338</v>
      </c>
      <c r="AN10" s="50">
        <f t="shared" si="14"/>
        <v>0.15177080210697613</v>
      </c>
      <c r="AO10" s="50" t="e">
        <f t="shared" si="15"/>
        <v>#DIV/0!</v>
      </c>
      <c r="AP10" s="50" t="e">
        <f t="shared" si="16"/>
        <v>#DIV/0!</v>
      </c>
    </row>
    <row r="11" spans="1:42" x14ac:dyDescent="0.35">
      <c r="A11" t="s">
        <v>1309</v>
      </c>
      <c r="B11" s="5" t="str">
        <f t="shared" si="0"/>
        <v>GA8</v>
      </c>
      <c r="C11" s="5" t="s">
        <v>219</v>
      </c>
      <c r="D11" s="5" t="s">
        <v>79</v>
      </c>
      <c r="E11" s="5">
        <v>8</v>
      </c>
      <c r="F11">
        <f t="shared" si="1"/>
        <v>4</v>
      </c>
      <c r="G11">
        <f t="shared" si="1"/>
        <v>21</v>
      </c>
      <c r="H11">
        <f t="shared" si="1"/>
        <v>88</v>
      </c>
      <c r="I11">
        <f t="shared" si="1"/>
        <v>13</v>
      </c>
      <c r="J11">
        <f t="shared" si="1"/>
        <v>2</v>
      </c>
      <c r="K11">
        <f t="shared" si="2"/>
        <v>2047.2799999999979</v>
      </c>
      <c r="L11">
        <f t="shared" si="2"/>
        <v>14258.94</v>
      </c>
      <c r="M11">
        <f t="shared" si="2"/>
        <v>71840.479999999996</v>
      </c>
      <c r="N11">
        <f t="shared" si="2"/>
        <v>12768.58</v>
      </c>
      <c r="O11">
        <f t="shared" si="2"/>
        <v>1774.079999999999</v>
      </c>
      <c r="P11">
        <f t="shared" si="17"/>
        <v>511.81999999999948</v>
      </c>
      <c r="Q11">
        <f t="shared" si="3"/>
        <v>678.99714285714288</v>
      </c>
      <c r="R11">
        <f t="shared" si="4"/>
        <v>816.36909090909091</v>
      </c>
      <c r="S11">
        <f t="shared" si="5"/>
        <v>982.19846153846152</v>
      </c>
      <c r="T11">
        <f t="shared" si="5"/>
        <v>887.03999999999951</v>
      </c>
      <c r="U11" s="45">
        <f t="shared" si="6"/>
        <v>1</v>
      </c>
      <c r="V11">
        <f t="shared" si="6"/>
        <v>7</v>
      </c>
      <c r="W11">
        <f t="shared" si="6"/>
        <v>52</v>
      </c>
      <c r="X11">
        <f t="shared" si="6"/>
        <v>2</v>
      </c>
      <c r="Y11">
        <f t="shared" si="6"/>
        <v>0</v>
      </c>
      <c r="Z11">
        <f t="shared" si="7"/>
        <v>874.04</v>
      </c>
      <c r="AA11">
        <f t="shared" si="7"/>
        <v>8866.6399999999903</v>
      </c>
      <c r="AB11">
        <f t="shared" si="7"/>
        <v>72027.919999999911</v>
      </c>
      <c r="AC11">
        <f t="shared" si="7"/>
        <v>4074.16</v>
      </c>
      <c r="AD11">
        <f t="shared" si="7"/>
        <v>0</v>
      </c>
      <c r="AE11">
        <f t="shared" si="18"/>
        <v>874.04</v>
      </c>
      <c r="AF11">
        <f t="shared" si="8"/>
        <v>1266.6628571428557</v>
      </c>
      <c r="AG11">
        <f t="shared" si="9"/>
        <v>1385.1523076923061</v>
      </c>
      <c r="AH11">
        <f t="shared" si="10"/>
        <v>2037.08</v>
      </c>
      <c r="AI11" s="46" t="e">
        <f t="shared" si="11"/>
        <v>#DIV/0!</v>
      </c>
      <c r="AK11" s="50">
        <f t="shared" si="19"/>
        <v>0.70770974170607026</v>
      </c>
      <c r="AL11" s="50">
        <f t="shared" si="12"/>
        <v>0.86549070267495121</v>
      </c>
      <c r="AM11" s="50">
        <f t="shared" si="13"/>
        <v>0.69672311594971159</v>
      </c>
      <c r="AN11" s="50">
        <f t="shared" si="14"/>
        <v>1.0740003978516013</v>
      </c>
      <c r="AO11" s="50" t="e">
        <f t="shared" si="15"/>
        <v>#DIV/0!</v>
      </c>
      <c r="AP11" s="50">
        <f t="shared" si="16"/>
        <v>-1</v>
      </c>
    </row>
    <row r="12" spans="1:42" x14ac:dyDescent="0.35">
      <c r="A12" t="s">
        <v>1302</v>
      </c>
      <c r="B12" s="5" t="str">
        <f t="shared" si="0"/>
        <v>GA9</v>
      </c>
      <c r="C12" s="5" t="s">
        <v>219</v>
      </c>
      <c r="D12" s="5" t="s">
        <v>93</v>
      </c>
      <c r="E12" s="5">
        <v>9</v>
      </c>
      <c r="F12">
        <f t="shared" si="1"/>
        <v>1</v>
      </c>
      <c r="G12">
        <f t="shared" si="1"/>
        <v>8</v>
      </c>
      <c r="H12">
        <f t="shared" si="1"/>
        <v>28</v>
      </c>
      <c r="I12">
        <f t="shared" si="1"/>
        <v>5</v>
      </c>
      <c r="J12">
        <f t="shared" si="1"/>
        <v>0</v>
      </c>
      <c r="K12">
        <f t="shared" si="2"/>
        <v>623.31999999999903</v>
      </c>
      <c r="L12">
        <f t="shared" si="2"/>
        <v>6373.7999999999993</v>
      </c>
      <c r="M12">
        <f t="shared" si="2"/>
        <v>26861.040000000008</v>
      </c>
      <c r="N12">
        <f t="shared" si="2"/>
        <v>5777.66</v>
      </c>
      <c r="O12">
        <f t="shared" si="2"/>
        <v>0</v>
      </c>
      <c r="P12">
        <f t="shared" si="17"/>
        <v>623.31999999999903</v>
      </c>
      <c r="Q12">
        <f t="shared" si="3"/>
        <v>796.72499999999991</v>
      </c>
      <c r="R12">
        <f t="shared" si="4"/>
        <v>959.3228571428574</v>
      </c>
      <c r="S12">
        <f t="shared" si="5"/>
        <v>1155.5319999999999</v>
      </c>
      <c r="T12" t="e">
        <f t="shared" si="5"/>
        <v>#DIV/0!</v>
      </c>
      <c r="U12" s="45">
        <f t="shared" si="6"/>
        <v>1</v>
      </c>
      <c r="V12">
        <f t="shared" si="6"/>
        <v>13</v>
      </c>
      <c r="W12">
        <f t="shared" si="6"/>
        <v>95</v>
      </c>
      <c r="X12">
        <f t="shared" si="6"/>
        <v>8</v>
      </c>
      <c r="Y12">
        <f t="shared" si="6"/>
        <v>6</v>
      </c>
      <c r="Z12">
        <f t="shared" si="7"/>
        <v>863.12</v>
      </c>
      <c r="AA12">
        <f t="shared" si="7"/>
        <v>16004.899999999989</v>
      </c>
      <c r="AB12">
        <f t="shared" si="7"/>
        <v>146047.43999999983</v>
      </c>
      <c r="AC12">
        <f t="shared" si="7"/>
        <v>13006.459999999988</v>
      </c>
      <c r="AD12">
        <f t="shared" si="7"/>
        <v>10140.579999999998</v>
      </c>
      <c r="AE12">
        <f t="shared" si="18"/>
        <v>863.12</v>
      </c>
      <c r="AF12">
        <f t="shared" si="8"/>
        <v>1231.1461538461531</v>
      </c>
      <c r="AG12">
        <f t="shared" si="9"/>
        <v>1537.3414736842087</v>
      </c>
      <c r="AH12">
        <f t="shared" si="10"/>
        <v>1625.8074999999985</v>
      </c>
      <c r="AI12" s="46">
        <f t="shared" si="11"/>
        <v>1690.0966666666664</v>
      </c>
      <c r="AK12" s="50">
        <f t="shared" si="19"/>
        <v>0.38471411153179957</v>
      </c>
      <c r="AL12" s="50">
        <f t="shared" si="12"/>
        <v>0.54525859467966131</v>
      </c>
      <c r="AM12" s="50">
        <f t="shared" si="13"/>
        <v>0.60252772279695166</v>
      </c>
      <c r="AN12" s="50">
        <f t="shared" si="14"/>
        <v>0.40697747877168156</v>
      </c>
      <c r="AO12" s="50" t="e">
        <f t="shared" si="15"/>
        <v>#DIV/0!</v>
      </c>
      <c r="AP12" s="50">
        <f t="shared" si="16"/>
        <v>-1</v>
      </c>
    </row>
    <row r="13" spans="1:42" x14ac:dyDescent="0.35">
      <c r="A13" t="s">
        <v>458</v>
      </c>
      <c r="B13" s="5" t="str">
        <f t="shared" si="0"/>
        <v>GA10</v>
      </c>
      <c r="C13" s="5" t="s">
        <v>219</v>
      </c>
      <c r="D13" s="5" t="s">
        <v>97</v>
      </c>
      <c r="E13" s="5">
        <v>10</v>
      </c>
      <c r="F13">
        <f t="shared" si="1"/>
        <v>4</v>
      </c>
      <c r="G13">
        <f t="shared" si="1"/>
        <v>14</v>
      </c>
      <c r="H13">
        <f t="shared" si="1"/>
        <v>48</v>
      </c>
      <c r="I13">
        <f t="shared" si="1"/>
        <v>9</v>
      </c>
      <c r="J13">
        <f t="shared" si="1"/>
        <v>2</v>
      </c>
      <c r="K13">
        <f t="shared" si="2"/>
        <v>1955.74</v>
      </c>
      <c r="L13">
        <f t="shared" si="2"/>
        <v>9473.4199999999983</v>
      </c>
      <c r="M13">
        <f t="shared" si="2"/>
        <v>40176.319999999978</v>
      </c>
      <c r="N13">
        <f t="shared" si="2"/>
        <v>8835.7599999999711</v>
      </c>
      <c r="O13">
        <f t="shared" si="2"/>
        <v>1692.96</v>
      </c>
      <c r="P13">
        <f t="shared" si="17"/>
        <v>488.935</v>
      </c>
      <c r="Q13">
        <f t="shared" si="3"/>
        <v>676.67285714285697</v>
      </c>
      <c r="R13">
        <f t="shared" si="4"/>
        <v>837.00666666666621</v>
      </c>
      <c r="S13">
        <f t="shared" si="5"/>
        <v>981.75111111110789</v>
      </c>
      <c r="T13">
        <f t="shared" si="5"/>
        <v>846.48</v>
      </c>
      <c r="U13" s="45">
        <f t="shared" si="6"/>
        <v>1</v>
      </c>
      <c r="V13">
        <f t="shared" si="6"/>
        <v>29</v>
      </c>
      <c r="W13">
        <f t="shared" si="6"/>
        <v>132</v>
      </c>
      <c r="X13">
        <f t="shared" si="6"/>
        <v>25</v>
      </c>
      <c r="Y13">
        <f t="shared" si="6"/>
        <v>24</v>
      </c>
      <c r="Z13">
        <f t="shared" si="7"/>
        <v>925.96</v>
      </c>
      <c r="AA13">
        <f t="shared" si="7"/>
        <v>42099.779999999992</v>
      </c>
      <c r="AB13">
        <f t="shared" si="7"/>
        <v>256192.31999999966</v>
      </c>
      <c r="AC13">
        <f t="shared" si="7"/>
        <v>46495.439999999864</v>
      </c>
      <c r="AD13">
        <f t="shared" si="7"/>
        <v>49443.60000000002</v>
      </c>
      <c r="AE13">
        <f t="shared" si="18"/>
        <v>925.96</v>
      </c>
      <c r="AF13">
        <f t="shared" si="8"/>
        <v>1451.7165517241376</v>
      </c>
      <c r="AG13">
        <f t="shared" si="9"/>
        <v>1940.8509090909065</v>
      </c>
      <c r="AH13">
        <f t="shared" si="10"/>
        <v>1859.8175999999946</v>
      </c>
      <c r="AI13" s="46">
        <f t="shared" si="11"/>
        <v>2060.150000000001</v>
      </c>
      <c r="AK13" s="50">
        <f t="shared" si="19"/>
        <v>0.89383046826265256</v>
      </c>
      <c r="AL13" s="50">
        <f t="shared" si="12"/>
        <v>1.1453742918753664</v>
      </c>
      <c r="AM13" s="50">
        <f t="shared" si="13"/>
        <v>1.3187998212968126</v>
      </c>
      <c r="AN13" s="50">
        <f t="shared" si="14"/>
        <v>0.89438807753945415</v>
      </c>
      <c r="AO13" s="50">
        <f t="shared" si="15"/>
        <v>1.4337846139306314</v>
      </c>
      <c r="AP13" s="50">
        <f t="shared" si="16"/>
        <v>-1</v>
      </c>
    </row>
    <row r="14" spans="1:42" x14ac:dyDescent="0.35">
      <c r="A14" t="s">
        <v>459</v>
      </c>
      <c r="B14" s="5" t="str">
        <f t="shared" si="0"/>
        <v>GA11</v>
      </c>
      <c r="C14" s="5" t="s">
        <v>219</v>
      </c>
      <c r="D14" s="5" t="s">
        <v>110</v>
      </c>
      <c r="E14" s="5">
        <v>11</v>
      </c>
      <c r="F14">
        <f t="shared" ref="F14:J19" si="20">COUNTIFS(Metal,F$3,YEAR,F$2,AREA,$A14)</f>
        <v>2</v>
      </c>
      <c r="G14">
        <f t="shared" si="20"/>
        <v>7</v>
      </c>
      <c r="H14">
        <f t="shared" si="20"/>
        <v>24</v>
      </c>
      <c r="I14">
        <f t="shared" si="20"/>
        <v>4</v>
      </c>
      <c r="J14">
        <f t="shared" si="20"/>
        <v>1</v>
      </c>
      <c r="K14">
        <f t="shared" ref="K14:O19" si="21">SUMIFS(PREMC2CA30,AREA,$A14,YEAR,K$2,Metal,K$3)</f>
        <v>1169.3799999999999</v>
      </c>
      <c r="L14">
        <f t="shared" si="21"/>
        <v>6038.5999999999876</v>
      </c>
      <c r="M14">
        <f t="shared" si="21"/>
        <v>24871.519999999997</v>
      </c>
      <c r="N14">
        <f t="shared" si="21"/>
        <v>4972.12</v>
      </c>
      <c r="O14">
        <f t="shared" si="21"/>
        <v>854.64</v>
      </c>
      <c r="P14">
        <f t="shared" si="17"/>
        <v>584.68999999999994</v>
      </c>
      <c r="Q14">
        <f t="shared" si="3"/>
        <v>862.65714285714114</v>
      </c>
      <c r="R14">
        <f t="shared" si="4"/>
        <v>1036.3133333333333</v>
      </c>
      <c r="S14">
        <f t="shared" si="5"/>
        <v>1243.03</v>
      </c>
      <c r="T14">
        <f t="shared" si="5"/>
        <v>854.64</v>
      </c>
      <c r="U14" s="45">
        <f t="shared" ref="U14:Y19" si="22">COUNTIFS(Metal,U$3,YEAR,U$2,AREA,$A14)</f>
        <v>1</v>
      </c>
      <c r="V14">
        <f t="shared" si="22"/>
        <v>7</v>
      </c>
      <c r="W14">
        <f t="shared" si="22"/>
        <v>52</v>
      </c>
      <c r="X14">
        <f t="shared" si="22"/>
        <v>2</v>
      </c>
      <c r="Y14">
        <f t="shared" si="22"/>
        <v>0</v>
      </c>
      <c r="Z14">
        <f t="shared" ref="Z14:AD19" si="23">SUMIFS(PREMC2CA30,AREA,$A14,YEAR,Z$2,Metal,Z$3)</f>
        <v>970.18</v>
      </c>
      <c r="AA14">
        <f t="shared" si="23"/>
        <v>9257.619999999979</v>
      </c>
      <c r="AB14">
        <f t="shared" si="23"/>
        <v>64429.759999999958</v>
      </c>
      <c r="AC14">
        <f t="shared" si="23"/>
        <v>4163.24</v>
      </c>
      <c r="AD14">
        <f t="shared" si="23"/>
        <v>0</v>
      </c>
      <c r="AE14">
        <f t="shared" si="18"/>
        <v>970.18</v>
      </c>
      <c r="AF14">
        <f t="shared" si="8"/>
        <v>1322.5171428571398</v>
      </c>
      <c r="AG14">
        <f t="shared" si="9"/>
        <v>1239.0338461538454</v>
      </c>
      <c r="AH14">
        <f t="shared" si="10"/>
        <v>2081.62</v>
      </c>
      <c r="AI14" s="46" t="e">
        <f t="shared" si="11"/>
        <v>#DIV/0!</v>
      </c>
      <c r="AK14" s="50">
        <f t="shared" si="19"/>
        <v>0.65930664112606685</v>
      </c>
      <c r="AL14" s="50">
        <f t="shared" si="12"/>
        <v>0.53307389129930738</v>
      </c>
      <c r="AM14" s="50">
        <f t="shared" si="13"/>
        <v>0.19561700723125441</v>
      </c>
      <c r="AN14" s="50">
        <f t="shared" si="14"/>
        <v>0.67463375783368051</v>
      </c>
      <c r="AO14" s="50" t="e">
        <f t="shared" si="15"/>
        <v>#DIV/0!</v>
      </c>
      <c r="AP14" s="50">
        <f t="shared" si="16"/>
        <v>-1</v>
      </c>
    </row>
    <row r="15" spans="1:42" x14ac:dyDescent="0.35">
      <c r="A15" t="s">
        <v>460</v>
      </c>
      <c r="B15" s="5" t="str">
        <f t="shared" si="0"/>
        <v>GA12</v>
      </c>
      <c r="C15" s="5" t="s">
        <v>219</v>
      </c>
      <c r="D15" s="5" t="s">
        <v>121</v>
      </c>
      <c r="E15" s="5">
        <v>12</v>
      </c>
      <c r="F15">
        <f t="shared" si="20"/>
        <v>2</v>
      </c>
      <c r="G15">
        <f t="shared" si="20"/>
        <v>7</v>
      </c>
      <c r="H15">
        <f t="shared" si="20"/>
        <v>24</v>
      </c>
      <c r="I15">
        <f t="shared" si="20"/>
        <v>4</v>
      </c>
      <c r="J15">
        <f t="shared" si="20"/>
        <v>1</v>
      </c>
      <c r="K15">
        <f t="shared" si="21"/>
        <v>1160.6399999999999</v>
      </c>
      <c r="L15">
        <f t="shared" si="21"/>
        <v>5240.8199999999979</v>
      </c>
      <c r="M15">
        <f t="shared" si="21"/>
        <v>21729.999999999993</v>
      </c>
      <c r="N15">
        <f t="shared" si="21"/>
        <v>4441.9799999999996</v>
      </c>
      <c r="O15">
        <f t="shared" si="21"/>
        <v>1072.1599999999901</v>
      </c>
      <c r="P15">
        <f t="shared" si="17"/>
        <v>580.31999999999994</v>
      </c>
      <c r="Q15">
        <f t="shared" si="3"/>
        <v>748.68857142857109</v>
      </c>
      <c r="R15">
        <f t="shared" si="4"/>
        <v>905.4166666666664</v>
      </c>
      <c r="S15">
        <f t="shared" si="5"/>
        <v>1110.4949999999999</v>
      </c>
      <c r="T15">
        <f t="shared" si="5"/>
        <v>1072.1599999999901</v>
      </c>
      <c r="U15" s="45">
        <f t="shared" si="22"/>
        <v>1</v>
      </c>
      <c r="V15">
        <f t="shared" si="22"/>
        <v>7</v>
      </c>
      <c r="W15">
        <f t="shared" si="22"/>
        <v>52</v>
      </c>
      <c r="X15">
        <f t="shared" si="22"/>
        <v>2</v>
      </c>
      <c r="Y15">
        <f t="shared" si="22"/>
        <v>0</v>
      </c>
      <c r="Z15">
        <f t="shared" si="23"/>
        <v>852.54</v>
      </c>
      <c r="AA15">
        <f t="shared" si="23"/>
        <v>8724.1199999999899</v>
      </c>
      <c r="AB15">
        <f t="shared" si="23"/>
        <v>72267.359999999899</v>
      </c>
      <c r="AC15">
        <f t="shared" si="23"/>
        <v>4020.42</v>
      </c>
      <c r="AD15">
        <f t="shared" si="23"/>
        <v>0</v>
      </c>
      <c r="AE15">
        <f t="shared" si="18"/>
        <v>852.54</v>
      </c>
      <c r="AF15">
        <f t="shared" si="8"/>
        <v>1246.3028571428556</v>
      </c>
      <c r="AG15">
        <f t="shared" si="9"/>
        <v>1389.7569230769211</v>
      </c>
      <c r="AH15">
        <f t="shared" si="10"/>
        <v>2010.21</v>
      </c>
      <c r="AI15" s="46" t="e">
        <f t="shared" si="11"/>
        <v>#DIV/0!</v>
      </c>
      <c r="AK15" s="50">
        <f t="shared" si="19"/>
        <v>0.46908602150537648</v>
      </c>
      <c r="AL15" s="50">
        <f t="shared" si="12"/>
        <v>0.6646478986112847</v>
      </c>
      <c r="AM15" s="50">
        <f t="shared" si="13"/>
        <v>0.53493631632977978</v>
      </c>
      <c r="AN15" s="50">
        <f t="shared" si="14"/>
        <v>0.81019275188091822</v>
      </c>
      <c r="AO15" s="50" t="e">
        <f t="shared" si="15"/>
        <v>#DIV/0!</v>
      </c>
      <c r="AP15" s="50">
        <f t="shared" si="16"/>
        <v>-1</v>
      </c>
    </row>
    <row r="16" spans="1:42" x14ac:dyDescent="0.35">
      <c r="A16" t="s">
        <v>461</v>
      </c>
      <c r="B16" s="5" t="str">
        <f t="shared" si="0"/>
        <v>GA13</v>
      </c>
      <c r="C16" s="5" t="s">
        <v>219</v>
      </c>
      <c r="D16" s="5" t="s">
        <v>135</v>
      </c>
      <c r="E16" s="5">
        <v>13</v>
      </c>
      <c r="F16">
        <f t="shared" si="20"/>
        <v>4</v>
      </c>
      <c r="G16">
        <f t="shared" si="20"/>
        <v>14</v>
      </c>
      <c r="H16">
        <f t="shared" si="20"/>
        <v>48</v>
      </c>
      <c r="I16">
        <f t="shared" si="20"/>
        <v>9</v>
      </c>
      <c r="J16">
        <f t="shared" si="20"/>
        <v>2</v>
      </c>
      <c r="K16">
        <f t="shared" si="21"/>
        <v>2139.2599999999993</v>
      </c>
      <c r="L16">
        <f t="shared" si="21"/>
        <v>10846.619999999995</v>
      </c>
      <c r="M16">
        <f t="shared" si="21"/>
        <v>45932.639999999992</v>
      </c>
      <c r="N16">
        <f t="shared" si="21"/>
        <v>10053.9</v>
      </c>
      <c r="O16">
        <f t="shared" si="21"/>
        <v>1772.96</v>
      </c>
      <c r="P16">
        <f t="shared" si="17"/>
        <v>534.81499999999983</v>
      </c>
      <c r="Q16">
        <f t="shared" si="3"/>
        <v>774.75857142857114</v>
      </c>
      <c r="R16">
        <f t="shared" si="4"/>
        <v>956.92999999999984</v>
      </c>
      <c r="S16">
        <f t="shared" si="5"/>
        <v>1117.0999999999999</v>
      </c>
      <c r="T16">
        <f t="shared" si="5"/>
        <v>886.48</v>
      </c>
      <c r="U16" s="45">
        <f t="shared" si="22"/>
        <v>1</v>
      </c>
      <c r="V16">
        <f t="shared" si="22"/>
        <v>17</v>
      </c>
      <c r="W16">
        <f t="shared" si="22"/>
        <v>113</v>
      </c>
      <c r="X16">
        <f t="shared" si="22"/>
        <v>12</v>
      </c>
      <c r="Y16">
        <f t="shared" si="22"/>
        <v>10</v>
      </c>
      <c r="Z16">
        <f t="shared" si="23"/>
        <v>879.16</v>
      </c>
      <c r="AA16">
        <f t="shared" si="23"/>
        <v>22694.28</v>
      </c>
      <c r="AB16">
        <f t="shared" si="23"/>
        <v>180727.67999999976</v>
      </c>
      <c r="AC16">
        <f t="shared" si="23"/>
        <v>21393.14</v>
      </c>
      <c r="AD16">
        <f t="shared" si="23"/>
        <v>19769.099999999948</v>
      </c>
      <c r="AE16">
        <f t="shared" si="18"/>
        <v>879.16</v>
      </c>
      <c r="AF16">
        <f t="shared" si="8"/>
        <v>1334.9576470588236</v>
      </c>
      <c r="AG16">
        <f t="shared" si="9"/>
        <v>1599.3599999999979</v>
      </c>
      <c r="AH16">
        <f t="shared" si="10"/>
        <v>1782.7616666666665</v>
      </c>
      <c r="AI16" s="46">
        <f t="shared" si="11"/>
        <v>1976.9099999999949</v>
      </c>
      <c r="AK16" s="50">
        <f t="shared" si="19"/>
        <v>0.64385815655881062</v>
      </c>
      <c r="AL16" s="50">
        <f t="shared" si="12"/>
        <v>0.72306276598825603</v>
      </c>
      <c r="AM16" s="50">
        <f t="shared" si="13"/>
        <v>0.67134482146029284</v>
      </c>
      <c r="AN16" s="50">
        <f t="shared" si="14"/>
        <v>0.59588368692746108</v>
      </c>
      <c r="AO16" s="50">
        <f t="shared" si="15"/>
        <v>1.2300672321992541</v>
      </c>
      <c r="AP16" s="50">
        <f t="shared" si="16"/>
        <v>-1</v>
      </c>
    </row>
    <row r="17" spans="1:42" x14ac:dyDescent="0.35">
      <c r="A17" t="s">
        <v>462</v>
      </c>
      <c r="B17" s="5" t="str">
        <f t="shared" si="0"/>
        <v>GA14</v>
      </c>
      <c r="C17" s="5" t="s">
        <v>219</v>
      </c>
      <c r="D17" s="5" t="s">
        <v>142</v>
      </c>
      <c r="E17" s="5">
        <v>14</v>
      </c>
      <c r="F17">
        <f t="shared" si="20"/>
        <v>2</v>
      </c>
      <c r="G17">
        <f t="shared" si="20"/>
        <v>7</v>
      </c>
      <c r="H17">
        <f t="shared" si="20"/>
        <v>24</v>
      </c>
      <c r="I17">
        <f t="shared" si="20"/>
        <v>4</v>
      </c>
      <c r="J17">
        <f t="shared" si="20"/>
        <v>1</v>
      </c>
      <c r="K17">
        <f t="shared" si="21"/>
        <v>1110.9599999999989</v>
      </c>
      <c r="L17">
        <f t="shared" si="21"/>
        <v>5505.8599999999988</v>
      </c>
      <c r="M17">
        <f t="shared" si="21"/>
        <v>22721.600000000002</v>
      </c>
      <c r="N17">
        <f t="shared" si="21"/>
        <v>4572.3399999999901</v>
      </c>
      <c r="O17">
        <f t="shared" si="21"/>
        <v>880.62</v>
      </c>
      <c r="P17">
        <f t="shared" si="17"/>
        <v>555.47999999999945</v>
      </c>
      <c r="Q17">
        <f t="shared" si="3"/>
        <v>786.55142857142835</v>
      </c>
      <c r="R17">
        <f t="shared" si="4"/>
        <v>946.73333333333346</v>
      </c>
      <c r="S17">
        <f t="shared" si="5"/>
        <v>1143.0849999999975</v>
      </c>
      <c r="T17">
        <f t="shared" si="5"/>
        <v>880.62</v>
      </c>
      <c r="U17" s="45">
        <f t="shared" si="22"/>
        <v>0</v>
      </c>
      <c r="V17">
        <f t="shared" si="22"/>
        <v>2</v>
      </c>
      <c r="W17">
        <f t="shared" si="22"/>
        <v>44</v>
      </c>
      <c r="X17">
        <f t="shared" si="22"/>
        <v>1</v>
      </c>
      <c r="Y17">
        <f t="shared" si="22"/>
        <v>0</v>
      </c>
      <c r="Z17">
        <f t="shared" si="23"/>
        <v>0</v>
      </c>
      <c r="AA17">
        <f t="shared" si="23"/>
        <v>2177.2399999999998</v>
      </c>
      <c r="AB17">
        <f t="shared" si="23"/>
        <v>57830.239999999998</v>
      </c>
      <c r="AC17">
        <f t="shared" si="23"/>
        <v>1337.74</v>
      </c>
      <c r="AD17">
        <f t="shared" si="23"/>
        <v>0</v>
      </c>
      <c r="AE17" t="e">
        <f t="shared" si="18"/>
        <v>#DIV/0!</v>
      </c>
      <c r="AF17">
        <f t="shared" si="8"/>
        <v>1088.6199999999999</v>
      </c>
      <c r="AG17">
        <f t="shared" si="9"/>
        <v>1314.3236363636363</v>
      </c>
      <c r="AH17">
        <f t="shared" si="10"/>
        <v>1337.74</v>
      </c>
      <c r="AI17" s="46" t="e">
        <f t="shared" si="11"/>
        <v>#DIV/0!</v>
      </c>
      <c r="AK17" s="50" t="e">
        <f t="shared" si="19"/>
        <v>#DIV/0!</v>
      </c>
      <c r="AL17" s="50">
        <f t="shared" si="12"/>
        <v>0.38404173008394715</v>
      </c>
      <c r="AM17" s="50">
        <f t="shared" si="13"/>
        <v>0.38827227275928045</v>
      </c>
      <c r="AN17" s="50">
        <f t="shared" si="14"/>
        <v>0.17028917359601681</v>
      </c>
      <c r="AO17" s="50" t="e">
        <f t="shared" si="15"/>
        <v>#DIV/0!</v>
      </c>
      <c r="AP17" s="50" t="e">
        <f t="shared" si="16"/>
        <v>#DIV/0!</v>
      </c>
    </row>
    <row r="18" spans="1:42" x14ac:dyDescent="0.35">
      <c r="A18" t="s">
        <v>463</v>
      </c>
      <c r="B18" s="5" t="str">
        <f t="shared" si="0"/>
        <v>GA15</v>
      </c>
      <c r="C18" s="5" t="s">
        <v>219</v>
      </c>
      <c r="D18" s="5" t="s">
        <v>154</v>
      </c>
      <c r="E18" s="5">
        <v>15</v>
      </c>
      <c r="F18">
        <f t="shared" si="20"/>
        <v>1</v>
      </c>
      <c r="G18">
        <f t="shared" si="20"/>
        <v>6</v>
      </c>
      <c r="H18">
        <f t="shared" si="20"/>
        <v>20</v>
      </c>
      <c r="I18">
        <f t="shared" si="20"/>
        <v>3</v>
      </c>
      <c r="J18">
        <f t="shared" si="20"/>
        <v>0</v>
      </c>
      <c r="K18">
        <f t="shared" si="21"/>
        <v>798.8</v>
      </c>
      <c r="L18">
        <f t="shared" si="21"/>
        <v>6086.7999999999993</v>
      </c>
      <c r="M18">
        <f t="shared" si="21"/>
        <v>24693.360000000004</v>
      </c>
      <c r="N18">
        <f t="shared" si="21"/>
        <v>4681.18</v>
      </c>
      <c r="O18">
        <f t="shared" si="21"/>
        <v>0</v>
      </c>
      <c r="P18">
        <f t="shared" si="17"/>
        <v>798.8</v>
      </c>
      <c r="Q18">
        <f t="shared" si="3"/>
        <v>1014.4666666666666</v>
      </c>
      <c r="R18">
        <f t="shared" si="4"/>
        <v>1234.6680000000001</v>
      </c>
      <c r="S18">
        <f t="shared" si="5"/>
        <v>1560.3933333333334</v>
      </c>
      <c r="T18" t="e">
        <f t="shared" si="5"/>
        <v>#DIV/0!</v>
      </c>
      <c r="U18" s="45">
        <f t="shared" si="22"/>
        <v>1</v>
      </c>
      <c r="V18">
        <f t="shared" si="22"/>
        <v>7</v>
      </c>
      <c r="W18">
        <f t="shared" si="22"/>
        <v>52</v>
      </c>
      <c r="X18">
        <f t="shared" si="22"/>
        <v>2</v>
      </c>
      <c r="Y18">
        <f t="shared" si="22"/>
        <v>0</v>
      </c>
      <c r="Z18">
        <f t="shared" si="23"/>
        <v>1096.98</v>
      </c>
      <c r="AA18">
        <f t="shared" si="23"/>
        <v>10247.82</v>
      </c>
      <c r="AB18">
        <f t="shared" si="23"/>
        <v>67019.519999999902</v>
      </c>
      <c r="AC18">
        <f t="shared" si="23"/>
        <v>4572.42</v>
      </c>
      <c r="AD18">
        <f t="shared" si="23"/>
        <v>0</v>
      </c>
      <c r="AE18">
        <f t="shared" si="18"/>
        <v>1096.98</v>
      </c>
      <c r="AF18">
        <f t="shared" si="8"/>
        <v>1463.9742857142858</v>
      </c>
      <c r="AG18">
        <f t="shared" si="9"/>
        <v>1288.8369230769213</v>
      </c>
      <c r="AH18">
        <f t="shared" si="10"/>
        <v>2286.21</v>
      </c>
      <c r="AI18" s="46" t="e">
        <f t="shared" si="11"/>
        <v>#DIV/0!</v>
      </c>
      <c r="AK18" s="50">
        <f t="shared" si="19"/>
        <v>0.37328492739108676</v>
      </c>
      <c r="AL18" s="50">
        <f t="shared" si="12"/>
        <v>0.44309747556773926</v>
      </c>
      <c r="AM18" s="50">
        <f t="shared" si="13"/>
        <v>4.3873270447538193E-2</v>
      </c>
      <c r="AN18" s="50">
        <f t="shared" si="14"/>
        <v>0.46514981265407429</v>
      </c>
      <c r="AO18" s="50" t="e">
        <f t="shared" si="15"/>
        <v>#DIV/0!</v>
      </c>
      <c r="AP18" s="50">
        <f t="shared" si="16"/>
        <v>-1</v>
      </c>
    </row>
    <row r="19" spans="1:42" x14ac:dyDescent="0.35">
      <c r="A19" t="s">
        <v>464</v>
      </c>
      <c r="B19" s="5" t="str">
        <f t="shared" si="0"/>
        <v>GA16</v>
      </c>
      <c r="C19" s="5" t="s">
        <v>219</v>
      </c>
      <c r="D19" s="5" t="s">
        <v>173</v>
      </c>
      <c r="E19" s="5">
        <v>16</v>
      </c>
      <c r="F19">
        <f t="shared" si="20"/>
        <v>2</v>
      </c>
      <c r="G19">
        <f t="shared" si="20"/>
        <v>7</v>
      </c>
      <c r="H19">
        <f t="shared" si="20"/>
        <v>24</v>
      </c>
      <c r="I19">
        <f t="shared" si="20"/>
        <v>4</v>
      </c>
      <c r="J19">
        <f t="shared" si="20"/>
        <v>1</v>
      </c>
      <c r="K19">
        <f t="shared" si="21"/>
        <v>1073.079999999999</v>
      </c>
      <c r="L19">
        <f t="shared" si="21"/>
        <v>5165.4799999999996</v>
      </c>
      <c r="M19">
        <f t="shared" si="21"/>
        <v>21347.760000000006</v>
      </c>
      <c r="N19">
        <f t="shared" si="21"/>
        <v>4316.4400000000005</v>
      </c>
      <c r="O19">
        <f t="shared" si="21"/>
        <v>896.04</v>
      </c>
      <c r="P19">
        <f t="shared" si="17"/>
        <v>536.53999999999951</v>
      </c>
      <c r="Q19">
        <f t="shared" si="3"/>
        <v>737.92571428571421</v>
      </c>
      <c r="R19">
        <f t="shared" si="4"/>
        <v>889.49000000000024</v>
      </c>
      <c r="S19">
        <f t="shared" si="5"/>
        <v>1079.1100000000001</v>
      </c>
      <c r="T19">
        <f t="shared" si="5"/>
        <v>896.04</v>
      </c>
      <c r="U19" s="45">
        <f t="shared" si="22"/>
        <v>1</v>
      </c>
      <c r="V19">
        <f t="shared" si="22"/>
        <v>5</v>
      </c>
      <c r="W19">
        <f t="shared" si="22"/>
        <v>8</v>
      </c>
      <c r="X19">
        <f t="shared" si="22"/>
        <v>1</v>
      </c>
      <c r="Y19">
        <f t="shared" si="22"/>
        <v>0</v>
      </c>
      <c r="Z19">
        <f t="shared" si="23"/>
        <v>813.12</v>
      </c>
      <c r="AA19">
        <f t="shared" si="23"/>
        <v>6275.7999999999893</v>
      </c>
      <c r="AB19">
        <f t="shared" si="23"/>
        <v>14605.679999999958</v>
      </c>
      <c r="AC19">
        <f t="shared" si="23"/>
        <v>2578.04</v>
      </c>
      <c r="AD19">
        <f t="shared" si="23"/>
        <v>0</v>
      </c>
      <c r="AE19">
        <f t="shared" si="18"/>
        <v>813.12</v>
      </c>
      <c r="AF19">
        <f t="shared" si="8"/>
        <v>1255.1599999999978</v>
      </c>
      <c r="AG19">
        <f t="shared" si="9"/>
        <v>1825.7099999999948</v>
      </c>
      <c r="AH19">
        <f t="shared" si="10"/>
        <v>2578.04</v>
      </c>
      <c r="AI19" s="46" t="e">
        <f t="shared" si="11"/>
        <v>#DIV/0!</v>
      </c>
      <c r="AK19" s="50">
        <f t="shared" si="19"/>
        <v>0.51548812763261043</v>
      </c>
      <c r="AL19" s="50">
        <f t="shared" si="12"/>
        <v>0.70093002005621652</v>
      </c>
      <c r="AM19" s="50">
        <f t="shared" si="13"/>
        <v>1.0525357227175061</v>
      </c>
      <c r="AN19" s="50">
        <f t="shared" si="14"/>
        <v>1.3890428223258051</v>
      </c>
      <c r="AO19" s="50" t="e">
        <f t="shared" si="15"/>
        <v>#DIV/0!</v>
      </c>
      <c r="AP19" s="50">
        <f t="shared" si="16"/>
        <v>-1</v>
      </c>
    </row>
    <row r="20" spans="1:42" x14ac:dyDescent="0.35">
      <c r="D20" s="5" t="s">
        <v>2222</v>
      </c>
      <c r="F20">
        <f>COUNTIFS(Metal,F3,YEAR,F2)</f>
        <v>38</v>
      </c>
      <c r="G20">
        <f>COUNTIFS(Metal,G3,YEAR,G2)</f>
        <v>175</v>
      </c>
      <c r="H20">
        <f>COUNTIFS(Metal,H3,YEAR,H2)</f>
        <v>656</v>
      </c>
      <c r="I20">
        <f>COUNTIFS(Metal,I3,YEAR,I2)</f>
        <v>108</v>
      </c>
      <c r="J20">
        <f>COUNTIFS(Metal,J3,YEAR,J2)</f>
        <v>16</v>
      </c>
      <c r="K20">
        <f>SUMIFS(PREMC2CA30,YEAR,K$2,Metal,K$3)</f>
        <v>21280.979999999989</v>
      </c>
      <c r="L20">
        <f>SUMIFS(PREMC2CA30,YEAR,L$2,Metal,L$3)</f>
        <v>134335.35999999996</v>
      </c>
      <c r="M20">
        <f>SUMIFS(PREMC2CA30,YEAR,M$2,Metal,M$3)</f>
        <v>604138.88000000024</v>
      </c>
      <c r="N20">
        <f>SUMIFS(PREMC2CA30,YEAR,N$2,Metal,N$3)</f>
        <v>119657.49999999993</v>
      </c>
      <c r="O20">
        <f>SUMIFS(PREMC2CA30,YEAR,O$2,Metal,O$3)</f>
        <v>14361.759999999987</v>
      </c>
      <c r="P20">
        <f t="shared" si="17"/>
        <v>560.02578947368386</v>
      </c>
      <c r="Q20">
        <f t="shared" si="3"/>
        <v>767.63062857142836</v>
      </c>
      <c r="R20">
        <f t="shared" si="4"/>
        <v>920.94341463414673</v>
      </c>
      <c r="S20">
        <f t="shared" si="5"/>
        <v>1107.9398148148141</v>
      </c>
      <c r="T20">
        <f t="shared" si="5"/>
        <v>897.60999999999922</v>
      </c>
      <c r="U20" s="45">
        <f>COUNTIFS(Metal,U3,YEAR,U2)</f>
        <v>19</v>
      </c>
      <c r="V20">
        <f>COUNTIFS(Metal,V3,YEAR,V2)</f>
        <v>149</v>
      </c>
      <c r="W20">
        <f>COUNTIFS(Metal,W3,YEAR,W2)</f>
        <v>951</v>
      </c>
      <c r="X20">
        <f>COUNTIFS(Metal,X3,YEAR,X2)</f>
        <v>77</v>
      </c>
      <c r="Y20">
        <f>COUNTIFS(Metal,Y3,YEAR,Y2)</f>
        <v>42</v>
      </c>
      <c r="Z20">
        <f>SUMIFS(PREMC2CA30,YEAR,Z$2,Metal,Z$3)</f>
        <v>17634.66</v>
      </c>
      <c r="AA20">
        <f>SUMIFS(PREMC2CA30,YEAR,AA$2,Metal,AA$3)</f>
        <v>195370.35999999972</v>
      </c>
      <c r="AB20">
        <f>SUMIFS(PREMC2CA30,YEAR,AB$2,Metal,AB$3)</f>
        <v>1463511.5600000061</v>
      </c>
      <c r="AC20">
        <f>SUMIFS(PREMC2CA30,YEAR,AC$2,Metal,AC$3)</f>
        <v>145210.06</v>
      </c>
      <c r="AD20">
        <f>SUMIFS(PREMC2CA30,YEAR,AD$2,Metal,AD$3)</f>
        <v>83473.579999999987</v>
      </c>
      <c r="AE20">
        <f t="shared" si="18"/>
        <v>928.14</v>
      </c>
      <c r="AF20">
        <f t="shared" si="8"/>
        <v>1311.2104697986558</v>
      </c>
      <c r="AG20">
        <f t="shared" si="9"/>
        <v>1538.9185699263996</v>
      </c>
      <c r="AH20">
        <f t="shared" si="10"/>
        <v>1885.844935064935</v>
      </c>
      <c r="AI20" s="46">
        <f t="shared" si="11"/>
        <v>1987.4661904761901</v>
      </c>
      <c r="AK20" s="50">
        <f t="shared" si="19"/>
        <v>0.65731653335513784</v>
      </c>
      <c r="AL20" s="50">
        <f t="shared" si="12"/>
        <v>0.70812682688135742</v>
      </c>
      <c r="AM20" s="50">
        <f t="shared" si="13"/>
        <v>0.67102402327047339</v>
      </c>
      <c r="AN20" s="50">
        <f t="shared" si="14"/>
        <v>0.70211857164835556</v>
      </c>
      <c r="AO20" s="50">
        <f t="shared" si="15"/>
        <v>1.2141756336005525</v>
      </c>
      <c r="AP20" s="50">
        <f t="shared" si="16"/>
        <v>-1</v>
      </c>
    </row>
    <row r="21" spans="1:42" ht="15" thickBot="1" x14ac:dyDescent="0.4">
      <c r="D21" s="5" t="s">
        <v>2223</v>
      </c>
      <c r="F21">
        <f>SUM(F4:F19)</f>
        <v>38</v>
      </c>
      <c r="G21">
        <f>SUM(G4:G19)</f>
        <v>175</v>
      </c>
      <c r="H21">
        <f>SUM(H4:H19)</f>
        <v>656</v>
      </c>
      <c r="I21">
        <f>SUM(I4:I19)</f>
        <v>108</v>
      </c>
      <c r="J21">
        <f>SUM(J4:J19)</f>
        <v>16</v>
      </c>
      <c r="K21">
        <f t="shared" ref="K21:O21" si="24">SUM(K4:K19)</f>
        <v>21280.979999999989</v>
      </c>
      <c r="L21">
        <f t="shared" si="24"/>
        <v>134335.35999999996</v>
      </c>
      <c r="M21">
        <f t="shared" si="24"/>
        <v>604138.87999999989</v>
      </c>
      <c r="N21">
        <f t="shared" si="24"/>
        <v>119657.49999999994</v>
      </c>
      <c r="O21">
        <f t="shared" si="24"/>
        <v>14361.759999999991</v>
      </c>
      <c r="P21">
        <f t="shared" si="17"/>
        <v>560.02578947368386</v>
      </c>
      <c r="Q21">
        <f t="shared" si="3"/>
        <v>767.63062857142836</v>
      </c>
      <c r="R21">
        <f t="shared" si="4"/>
        <v>920.94341463414617</v>
      </c>
      <c r="S21">
        <f t="shared" si="5"/>
        <v>1107.9398148148143</v>
      </c>
      <c r="T21">
        <f t="shared" si="5"/>
        <v>897.60999999999945</v>
      </c>
      <c r="U21" s="47">
        <f>SUM(U4:U19)</f>
        <v>19</v>
      </c>
      <c r="V21" s="48">
        <f>SUM(V4:V19)</f>
        <v>149</v>
      </c>
      <c r="W21" s="48">
        <f>SUM(W4:W19)</f>
        <v>951</v>
      </c>
      <c r="X21" s="48">
        <f>SUM(X4:X19)</f>
        <v>77</v>
      </c>
      <c r="Y21" s="48">
        <f>SUM(Y4:Y19)</f>
        <v>42</v>
      </c>
      <c r="Z21" s="48">
        <f t="shared" ref="Z21:AD21" si="25">SUM(Z4:Z19)</f>
        <v>17634.66</v>
      </c>
      <c r="AA21" s="48">
        <f t="shared" si="25"/>
        <v>195370.35999999987</v>
      </c>
      <c r="AB21" s="48">
        <f t="shared" si="25"/>
        <v>1463511.5599999984</v>
      </c>
      <c r="AC21" s="48">
        <f t="shared" si="25"/>
        <v>145210.05999999988</v>
      </c>
      <c r="AD21" s="48">
        <f t="shared" si="25"/>
        <v>83473.579999999958</v>
      </c>
      <c r="AE21" s="48">
        <f t="shared" si="18"/>
        <v>928.14</v>
      </c>
      <c r="AF21" s="48">
        <f t="shared" si="8"/>
        <v>1311.2104697986567</v>
      </c>
      <c r="AG21" s="48">
        <f t="shared" si="9"/>
        <v>1538.9185699263917</v>
      </c>
      <c r="AH21" s="48">
        <f t="shared" si="10"/>
        <v>1885.8449350649335</v>
      </c>
      <c r="AI21" s="49">
        <f t="shared" si="11"/>
        <v>1987.4661904761895</v>
      </c>
      <c r="AK21" s="50">
        <f t="shared" si="19"/>
        <v>0.65731653335513784</v>
      </c>
      <c r="AL21" s="50">
        <f t="shared" si="12"/>
        <v>0.70812682688135875</v>
      </c>
      <c r="AM21" s="50">
        <f t="shared" si="13"/>
        <v>0.67102402327046584</v>
      </c>
      <c r="AN21" s="50">
        <f t="shared" si="14"/>
        <v>0.70211857164835378</v>
      </c>
      <c r="AO21" s="50">
        <f t="shared" si="15"/>
        <v>1.2141756336005511</v>
      </c>
      <c r="AP21" s="50">
        <f t="shared" si="16"/>
        <v>-1</v>
      </c>
    </row>
    <row r="24" spans="1:42" x14ac:dyDescent="0.35">
      <c r="D24" t="s">
        <v>1299</v>
      </c>
    </row>
    <row r="25" spans="1:42" x14ac:dyDescent="0.35">
      <c r="D25" t="s">
        <v>1381</v>
      </c>
    </row>
    <row r="26" spans="1:42" x14ac:dyDescent="0.35">
      <c r="D26" t="s">
        <v>245</v>
      </c>
    </row>
    <row r="27" spans="1:42" x14ac:dyDescent="0.35">
      <c r="D27" t="s">
        <v>304</v>
      </c>
    </row>
    <row r="28" spans="1:42" x14ac:dyDescent="0.35">
      <c r="D28" t="s">
        <v>2100</v>
      </c>
    </row>
  </sheetData>
  <sortState xmlns:xlrd2="http://schemas.microsoft.com/office/spreadsheetml/2017/richdata2" ref="A4:A19">
    <sortCondition ref="A4:A1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77EC-1599-4441-84C3-B67A5399773A}">
  <dimension ref="A2:CO31"/>
  <sheetViews>
    <sheetView tabSelected="1" workbookViewId="0">
      <pane xSplit="8" ySplit="4" topLeftCell="I5" activePane="bottomRight" state="frozen"/>
      <selection pane="topRight" activeCell="H1" sqref="H1"/>
      <selection pane="bottomLeft" activeCell="A5" sqref="A5"/>
      <selection pane="bottomRight" activeCell="M26" sqref="M26"/>
    </sheetView>
  </sheetViews>
  <sheetFormatPr defaultRowHeight="14.5" x14ac:dyDescent="0.35"/>
  <cols>
    <col min="2" max="2" width="5.7265625" bestFit="1" customWidth="1"/>
    <col min="3" max="4" width="5.54296875" bestFit="1" customWidth="1"/>
    <col min="5" max="5" width="13.7265625" bestFit="1" customWidth="1"/>
    <col min="6" max="6" width="12.54296875" bestFit="1" customWidth="1"/>
    <col min="7" max="7" width="12.54296875" customWidth="1"/>
    <col min="8" max="8" width="2.26953125" customWidth="1"/>
    <col min="9" max="9" width="12" bestFit="1" customWidth="1"/>
    <col min="10" max="10" width="7.1796875" bestFit="1" customWidth="1"/>
    <col min="11" max="11" width="8.453125" bestFit="1" customWidth="1"/>
    <col min="12" max="12" width="6" customWidth="1"/>
    <col min="13" max="13" width="9" bestFit="1" customWidth="1"/>
    <col min="14" max="20" width="9" customWidth="1"/>
    <col min="21" max="21" width="4.81640625" customWidth="1"/>
    <col min="22" max="22" width="9.54296875" bestFit="1" customWidth="1"/>
    <col min="23" max="23" width="8.1796875" bestFit="1" customWidth="1"/>
    <col min="24" max="24" width="18.1796875" bestFit="1" customWidth="1"/>
    <col min="25" max="25" width="18.54296875" bestFit="1" customWidth="1"/>
    <col min="26" max="26" width="8.26953125" bestFit="1" customWidth="1"/>
    <col min="27" max="27" width="8.26953125" customWidth="1"/>
  </cols>
  <sheetData>
    <row r="2" spans="2:93" x14ac:dyDescent="0.35">
      <c r="AH2">
        <v>2014</v>
      </c>
      <c r="AI2">
        <v>2014</v>
      </c>
      <c r="AJ2">
        <v>2014</v>
      </c>
      <c r="AK2">
        <v>2014</v>
      </c>
      <c r="AL2">
        <v>2014</v>
      </c>
      <c r="AM2" t="s">
        <v>2228</v>
      </c>
      <c r="AN2">
        <v>2019</v>
      </c>
      <c r="AO2">
        <v>2019</v>
      </c>
      <c r="AP2">
        <v>2019</v>
      </c>
      <c r="AQ2">
        <v>2019</v>
      </c>
      <c r="AR2">
        <v>2019</v>
      </c>
      <c r="AT2">
        <v>2014</v>
      </c>
      <c r="AU2">
        <v>2014</v>
      </c>
      <c r="AV2">
        <v>2014</v>
      </c>
      <c r="AW2">
        <v>2014</v>
      </c>
      <c r="AX2">
        <v>2014</v>
      </c>
      <c r="AY2" t="s">
        <v>2228</v>
      </c>
      <c r="AZ2">
        <v>2019</v>
      </c>
      <c r="BA2">
        <v>2019</v>
      </c>
      <c r="BB2">
        <v>2019</v>
      </c>
      <c r="BC2">
        <v>2019</v>
      </c>
      <c r="BD2">
        <v>2019</v>
      </c>
      <c r="BF2">
        <v>2014</v>
      </c>
      <c r="BG2">
        <v>2014</v>
      </c>
      <c r="BH2">
        <v>2014</v>
      </c>
      <c r="BI2">
        <v>2014</v>
      </c>
      <c r="BJ2">
        <v>2014</v>
      </c>
      <c r="BK2" t="s">
        <v>2228</v>
      </c>
      <c r="BL2">
        <v>2019</v>
      </c>
      <c r="BM2">
        <v>2019</v>
      </c>
      <c r="BN2">
        <v>2019</v>
      </c>
      <c r="BO2">
        <v>2019</v>
      </c>
      <c r="BP2">
        <v>2019</v>
      </c>
      <c r="BR2">
        <v>2014</v>
      </c>
      <c r="BS2">
        <v>2014</v>
      </c>
      <c r="BT2">
        <v>2014</v>
      </c>
      <c r="BU2">
        <v>2014</v>
      </c>
      <c r="BV2">
        <v>2014</v>
      </c>
      <c r="BW2" t="s">
        <v>2228</v>
      </c>
      <c r="BX2">
        <v>2019</v>
      </c>
      <c r="BY2">
        <v>2019</v>
      </c>
      <c r="BZ2">
        <v>2019</v>
      </c>
      <c r="CA2">
        <v>2019</v>
      </c>
      <c r="CB2">
        <v>2019</v>
      </c>
      <c r="CD2">
        <v>2014</v>
      </c>
      <c r="CE2">
        <v>2014</v>
      </c>
      <c r="CF2">
        <v>2014</v>
      </c>
      <c r="CG2">
        <v>2014</v>
      </c>
      <c r="CH2">
        <v>2014</v>
      </c>
      <c r="CI2" t="s">
        <v>2228</v>
      </c>
      <c r="CJ2">
        <v>2019</v>
      </c>
      <c r="CK2">
        <v>2019</v>
      </c>
      <c r="CL2">
        <v>2019</v>
      </c>
      <c r="CM2">
        <v>2019</v>
      </c>
      <c r="CN2">
        <v>2019</v>
      </c>
    </row>
    <row r="3" spans="2:93" x14ac:dyDescent="0.35">
      <c r="I3">
        <v>2014</v>
      </c>
      <c r="O3">
        <v>2019</v>
      </c>
      <c r="V3">
        <v>2014</v>
      </c>
      <c r="W3">
        <v>2014</v>
      </c>
      <c r="X3">
        <v>2014</v>
      </c>
      <c r="Y3">
        <v>2014</v>
      </c>
      <c r="Z3">
        <v>2014</v>
      </c>
      <c r="AA3" t="s">
        <v>2228</v>
      </c>
      <c r="AB3">
        <v>2019</v>
      </c>
      <c r="AC3">
        <v>2019</v>
      </c>
      <c r="AD3">
        <v>2019</v>
      </c>
      <c r="AE3">
        <v>2019</v>
      </c>
      <c r="AF3">
        <v>2019</v>
      </c>
      <c r="AH3" t="s">
        <v>1427</v>
      </c>
      <c r="AI3" t="s">
        <v>1427</v>
      </c>
      <c r="AJ3" t="s">
        <v>1427</v>
      </c>
      <c r="AK3" t="s">
        <v>1427</v>
      </c>
      <c r="AL3" t="s">
        <v>1427</v>
      </c>
      <c r="AM3" t="s">
        <v>1427</v>
      </c>
      <c r="AN3" t="s">
        <v>1427</v>
      </c>
      <c r="AO3" t="s">
        <v>1427</v>
      </c>
      <c r="AP3" t="s">
        <v>1427</v>
      </c>
      <c r="AQ3" t="s">
        <v>1427</v>
      </c>
      <c r="AR3" t="s">
        <v>1427</v>
      </c>
      <c r="AT3" t="s">
        <v>842</v>
      </c>
      <c r="AU3" t="s">
        <v>842</v>
      </c>
      <c r="AV3" t="s">
        <v>842</v>
      </c>
      <c r="AW3" t="s">
        <v>842</v>
      </c>
      <c r="AX3" t="s">
        <v>842</v>
      </c>
      <c r="AY3" t="s">
        <v>842</v>
      </c>
      <c r="AZ3" t="s">
        <v>842</v>
      </c>
      <c r="BA3" t="s">
        <v>842</v>
      </c>
      <c r="BB3" t="s">
        <v>842</v>
      </c>
      <c r="BC3" t="s">
        <v>842</v>
      </c>
      <c r="BD3" t="s">
        <v>842</v>
      </c>
      <c r="BF3" t="s">
        <v>310</v>
      </c>
      <c r="BG3" t="s">
        <v>310</v>
      </c>
      <c r="BH3" t="s">
        <v>310</v>
      </c>
      <c r="BI3" t="s">
        <v>310</v>
      </c>
      <c r="BJ3" t="s">
        <v>310</v>
      </c>
      <c r="BK3" t="s">
        <v>310</v>
      </c>
      <c r="BL3" t="s">
        <v>310</v>
      </c>
      <c r="BM3" t="s">
        <v>310</v>
      </c>
      <c r="BN3" t="s">
        <v>310</v>
      </c>
      <c r="BO3" t="s">
        <v>310</v>
      </c>
      <c r="BP3" t="s">
        <v>310</v>
      </c>
      <c r="BR3" t="s">
        <v>843</v>
      </c>
      <c r="BS3" t="s">
        <v>843</v>
      </c>
      <c r="BT3" t="s">
        <v>843</v>
      </c>
      <c r="BU3" t="s">
        <v>843</v>
      </c>
      <c r="BV3" t="s">
        <v>843</v>
      </c>
      <c r="BW3" t="s">
        <v>843</v>
      </c>
      <c r="BX3" t="s">
        <v>843</v>
      </c>
      <c r="BY3" t="s">
        <v>843</v>
      </c>
      <c r="BZ3" t="s">
        <v>843</v>
      </c>
      <c r="CA3" t="s">
        <v>843</v>
      </c>
      <c r="CB3" t="s">
        <v>843</v>
      </c>
      <c r="CD3" t="s">
        <v>1555</v>
      </c>
      <c r="CE3" t="s">
        <v>1555</v>
      </c>
      <c r="CF3" t="s">
        <v>1555</v>
      </c>
      <c r="CG3" t="s">
        <v>1555</v>
      </c>
      <c r="CH3" t="s">
        <v>1555</v>
      </c>
      <c r="CI3" t="s">
        <v>1555</v>
      </c>
      <c r="CJ3" t="s">
        <v>1555</v>
      </c>
      <c r="CK3" t="s">
        <v>1555</v>
      </c>
      <c r="CL3" t="s">
        <v>1555</v>
      </c>
      <c r="CM3" t="s">
        <v>1555</v>
      </c>
      <c r="CN3" t="s">
        <v>1555</v>
      </c>
    </row>
    <row r="4" spans="2:93" x14ac:dyDescent="0.35">
      <c r="B4" t="s">
        <v>835</v>
      </c>
      <c r="C4" s="4" t="s">
        <v>188</v>
      </c>
      <c r="D4" s="4" t="s">
        <v>182</v>
      </c>
      <c r="E4" s="4"/>
      <c r="F4" s="8" t="s">
        <v>189</v>
      </c>
      <c r="G4" s="8" t="s">
        <v>2230</v>
      </c>
      <c r="I4" t="s">
        <v>1427</v>
      </c>
      <c r="J4" t="s">
        <v>842</v>
      </c>
      <c r="K4" t="s">
        <v>310</v>
      </c>
      <c r="L4" t="s">
        <v>843</v>
      </c>
      <c r="M4" t="s">
        <v>1555</v>
      </c>
      <c r="N4" t="s">
        <v>2229</v>
      </c>
      <c r="O4" t="s">
        <v>1427</v>
      </c>
      <c r="P4" t="s">
        <v>842</v>
      </c>
      <c r="Q4" t="s">
        <v>310</v>
      </c>
      <c r="R4" t="s">
        <v>843</v>
      </c>
      <c r="S4" t="s">
        <v>1555</v>
      </c>
      <c r="T4" t="s">
        <v>2229</v>
      </c>
      <c r="V4" t="s">
        <v>1299</v>
      </c>
      <c r="W4" t="s">
        <v>1381</v>
      </c>
      <c r="X4" t="s">
        <v>245</v>
      </c>
      <c r="Y4" t="s">
        <v>304</v>
      </c>
      <c r="Z4" t="s">
        <v>2100</v>
      </c>
      <c r="AA4" t="s">
        <v>2227</v>
      </c>
      <c r="AB4" t="s">
        <v>1299</v>
      </c>
      <c r="AC4" t="s">
        <v>1381</v>
      </c>
      <c r="AD4" t="s">
        <v>245</v>
      </c>
      <c r="AE4" t="s">
        <v>304</v>
      </c>
      <c r="AF4" t="s">
        <v>2100</v>
      </c>
      <c r="AH4" t="s">
        <v>1299</v>
      </c>
      <c r="AI4" t="s">
        <v>1381</v>
      </c>
      <c r="AJ4" t="s">
        <v>245</v>
      </c>
      <c r="AK4" t="s">
        <v>304</v>
      </c>
      <c r="AL4" t="s">
        <v>2100</v>
      </c>
      <c r="AM4" t="s">
        <v>2227</v>
      </c>
      <c r="AN4" t="s">
        <v>1299</v>
      </c>
      <c r="AO4" t="s">
        <v>1381</v>
      </c>
      <c r="AP4" t="s">
        <v>245</v>
      </c>
      <c r="AQ4" t="s">
        <v>304</v>
      </c>
      <c r="AR4" t="s">
        <v>2100</v>
      </c>
      <c r="AT4" t="s">
        <v>1299</v>
      </c>
      <c r="AU4" t="s">
        <v>1381</v>
      </c>
      <c r="AV4" t="s">
        <v>245</v>
      </c>
      <c r="AW4" t="s">
        <v>304</v>
      </c>
      <c r="AX4" t="s">
        <v>2100</v>
      </c>
      <c r="AY4" t="s">
        <v>2227</v>
      </c>
      <c r="AZ4" t="s">
        <v>1299</v>
      </c>
      <c r="BA4" t="s">
        <v>1381</v>
      </c>
      <c r="BB4" t="s">
        <v>245</v>
      </c>
      <c r="BC4" t="s">
        <v>304</v>
      </c>
      <c r="BD4" t="s">
        <v>2100</v>
      </c>
      <c r="BF4" t="s">
        <v>1299</v>
      </c>
      <c r="BG4" t="s">
        <v>1381</v>
      </c>
      <c r="BH4" t="s">
        <v>245</v>
      </c>
      <c r="BI4" t="s">
        <v>304</v>
      </c>
      <c r="BJ4" t="s">
        <v>2100</v>
      </c>
      <c r="BK4" t="s">
        <v>2227</v>
      </c>
      <c r="BL4" t="s">
        <v>1299</v>
      </c>
      <c r="BM4" t="s">
        <v>1381</v>
      </c>
      <c r="BN4" t="s">
        <v>245</v>
      </c>
      <c r="BO4" t="s">
        <v>304</v>
      </c>
      <c r="BP4" t="s">
        <v>2100</v>
      </c>
      <c r="BR4" t="s">
        <v>1299</v>
      </c>
      <c r="BS4" t="s">
        <v>1381</v>
      </c>
      <c r="BT4" t="s">
        <v>245</v>
      </c>
      <c r="BU4" t="s">
        <v>304</v>
      </c>
      <c r="BV4" t="s">
        <v>2100</v>
      </c>
      <c r="BW4" t="s">
        <v>2227</v>
      </c>
      <c r="BX4" t="s">
        <v>1299</v>
      </c>
      <c r="BY4" t="s">
        <v>1381</v>
      </c>
      <c r="BZ4" t="s">
        <v>245</v>
      </c>
      <c r="CA4" t="s">
        <v>304</v>
      </c>
      <c r="CB4" t="s">
        <v>2100</v>
      </c>
      <c r="CD4" t="s">
        <v>1299</v>
      </c>
      <c r="CE4" t="s">
        <v>1381</v>
      </c>
      <c r="CF4" t="s">
        <v>245</v>
      </c>
      <c r="CG4" t="s">
        <v>304</v>
      </c>
      <c r="CH4" t="s">
        <v>2100</v>
      </c>
      <c r="CI4" t="s">
        <v>2227</v>
      </c>
      <c r="CJ4" t="s">
        <v>1299</v>
      </c>
      <c r="CK4" t="s">
        <v>1381</v>
      </c>
      <c r="CL4" t="s">
        <v>245</v>
      </c>
      <c r="CM4" t="s">
        <v>304</v>
      </c>
      <c r="CN4" t="s">
        <v>2100</v>
      </c>
    </row>
    <row r="5" spans="2:93" x14ac:dyDescent="0.35">
      <c r="B5" t="s">
        <v>1310</v>
      </c>
      <c r="C5" s="5" t="str">
        <f t="shared" ref="C5:C20" si="0">CONCATENATE(D5,F5)</f>
        <v>GA1</v>
      </c>
      <c r="D5" s="5" t="s">
        <v>219</v>
      </c>
      <c r="E5" s="5" t="s">
        <v>3</v>
      </c>
      <c r="F5" s="5">
        <v>1</v>
      </c>
      <c r="G5" s="5">
        <f>ByCounty!I5</f>
        <v>12</v>
      </c>
      <c r="I5">
        <f>AM5</f>
        <v>1</v>
      </c>
      <c r="J5">
        <f>AY5</f>
        <v>1</v>
      </c>
      <c r="K5">
        <f>BK5</f>
        <v>1</v>
      </c>
      <c r="L5">
        <f>BW5</f>
        <v>1</v>
      </c>
      <c r="M5">
        <f>CI5</f>
        <v>0</v>
      </c>
      <c r="N5">
        <f>AA5</f>
        <v>1</v>
      </c>
      <c r="O5">
        <f>AS5</f>
        <v>0</v>
      </c>
      <c r="P5">
        <f>BE5</f>
        <v>1</v>
      </c>
      <c r="Q5">
        <f>BQ5</f>
        <v>1</v>
      </c>
      <c r="R5">
        <f>CC5</f>
        <v>1</v>
      </c>
      <c r="S5">
        <f>CO5</f>
        <v>0</v>
      </c>
      <c r="T5">
        <f>AG5</f>
        <v>1</v>
      </c>
      <c r="V5">
        <f t="shared" ref="V5:Z14" si="1">COUNTIFS(Carrier,V$4,AREA,$B5,YEAR,V$3)</f>
        <v>0</v>
      </c>
      <c r="W5">
        <f t="shared" si="1"/>
        <v>30</v>
      </c>
      <c r="X5">
        <f t="shared" si="1"/>
        <v>0</v>
      </c>
      <c r="Y5">
        <f t="shared" si="1"/>
        <v>0</v>
      </c>
      <c r="Z5">
        <f t="shared" si="1"/>
        <v>0</v>
      </c>
      <c r="AA5">
        <f>COUNTIF(V5:Z5,"&gt;0")</f>
        <v>1</v>
      </c>
      <c r="AB5">
        <f t="shared" ref="AB5:AF14" si="2">COUNTIFS(Carrier,AB$4,AREA,$B5,YEAR,AB$3)</f>
        <v>47</v>
      </c>
      <c r="AC5">
        <f t="shared" si="2"/>
        <v>0</v>
      </c>
      <c r="AD5">
        <f t="shared" si="2"/>
        <v>0</v>
      </c>
      <c r="AE5">
        <f t="shared" si="2"/>
        <v>0</v>
      </c>
      <c r="AF5">
        <f t="shared" si="2"/>
        <v>0</v>
      </c>
      <c r="AG5">
        <f>COUNTIF(AB5:AF5,"&gt;0")</f>
        <v>1</v>
      </c>
      <c r="AH5">
        <f t="shared" ref="AH5:AL14" si="3">COUNTIFS(Carrier,AH$4,AREA,$B5,YEAR,AH$2,Metal,AH$3)</f>
        <v>0</v>
      </c>
      <c r="AI5">
        <f t="shared" si="3"/>
        <v>1</v>
      </c>
      <c r="AJ5">
        <f t="shared" si="3"/>
        <v>0</v>
      </c>
      <c r="AK5">
        <f t="shared" si="3"/>
        <v>0</v>
      </c>
      <c r="AL5">
        <f t="shared" si="3"/>
        <v>0</v>
      </c>
      <c r="AM5">
        <f>COUNTIF(AH5:AL5,"&gt;0")</f>
        <v>1</v>
      </c>
      <c r="AN5">
        <f t="shared" ref="AN5:AR14" si="4">COUNTIFS(Carrier,AN$4,AREA,$B5,YEAR,AN$2,Metal,AN$3)</f>
        <v>0</v>
      </c>
      <c r="AO5">
        <f t="shared" si="4"/>
        <v>0</v>
      </c>
      <c r="AP5">
        <f t="shared" si="4"/>
        <v>0</v>
      </c>
      <c r="AQ5">
        <f t="shared" si="4"/>
        <v>0</v>
      </c>
      <c r="AR5">
        <f t="shared" si="4"/>
        <v>0</v>
      </c>
      <c r="AS5">
        <f>COUNTIF(AN5:AR5,"&gt;0")</f>
        <v>0</v>
      </c>
      <c r="AT5">
        <f t="shared" ref="AT5:AX14" si="5">COUNTIFS(Carrier,AT$4,AREA,$B5,YEAR,AT$2,Metal,AT$3)</f>
        <v>0</v>
      </c>
      <c r="AU5">
        <f t="shared" si="5"/>
        <v>6</v>
      </c>
      <c r="AV5">
        <f t="shared" si="5"/>
        <v>0</v>
      </c>
      <c r="AW5">
        <f t="shared" si="5"/>
        <v>0</v>
      </c>
      <c r="AX5">
        <f t="shared" si="5"/>
        <v>0</v>
      </c>
      <c r="AY5">
        <f>COUNTIF(AT5:AX5,"&gt;0")</f>
        <v>1</v>
      </c>
      <c r="AZ5">
        <f t="shared" ref="AZ5:BD14" si="6">COUNTIFS(Carrier,AZ$4,AREA,$B5,YEAR,AZ$2,Metal,AZ$3)</f>
        <v>2</v>
      </c>
      <c r="BA5">
        <f t="shared" si="6"/>
        <v>0</v>
      </c>
      <c r="BB5">
        <f t="shared" si="6"/>
        <v>0</v>
      </c>
      <c r="BC5">
        <f t="shared" si="6"/>
        <v>0</v>
      </c>
      <c r="BD5">
        <f t="shared" si="6"/>
        <v>0</v>
      </c>
      <c r="BE5">
        <f>COUNTIF(AZ5:BD5,"&gt;0")</f>
        <v>1</v>
      </c>
      <c r="BF5">
        <f t="shared" ref="BF5:BJ14" si="7">COUNTIFS(Carrier,BF$4,AREA,$B5,YEAR,BF$2,Metal,BF$3)</f>
        <v>0</v>
      </c>
      <c r="BG5">
        <f t="shared" si="7"/>
        <v>20</v>
      </c>
      <c r="BH5">
        <f t="shared" si="7"/>
        <v>0</v>
      </c>
      <c r="BI5">
        <f t="shared" si="7"/>
        <v>0</v>
      </c>
      <c r="BJ5">
        <f t="shared" si="7"/>
        <v>0</v>
      </c>
      <c r="BK5">
        <f>COUNTIF(BF5:BJ5,"&gt;0")</f>
        <v>1</v>
      </c>
      <c r="BL5">
        <f t="shared" ref="BL5:BP14" si="8">COUNTIFS(Carrier,BL$4,AREA,$B5,YEAR,BL$2,Metal,BL$3)</f>
        <v>44</v>
      </c>
      <c r="BM5">
        <f t="shared" si="8"/>
        <v>0</v>
      </c>
      <c r="BN5">
        <f t="shared" si="8"/>
        <v>0</v>
      </c>
      <c r="BO5">
        <f t="shared" si="8"/>
        <v>0</v>
      </c>
      <c r="BP5">
        <f t="shared" si="8"/>
        <v>0</v>
      </c>
      <c r="BQ5">
        <f>COUNTIF(BL5:BP5,"&gt;0")</f>
        <v>1</v>
      </c>
      <c r="BR5">
        <f t="shared" ref="BR5:BV14" si="9">COUNTIFS(Carrier,BR$4,AREA,$B5,YEAR,BR$2,Metal,BR$3)</f>
        <v>0</v>
      </c>
      <c r="BS5">
        <f t="shared" si="9"/>
        <v>3</v>
      </c>
      <c r="BT5">
        <f t="shared" si="9"/>
        <v>0</v>
      </c>
      <c r="BU5">
        <f t="shared" si="9"/>
        <v>0</v>
      </c>
      <c r="BV5">
        <f t="shared" si="9"/>
        <v>0</v>
      </c>
      <c r="BW5">
        <f>COUNTIF(BR5:BV5,"&gt;0")</f>
        <v>1</v>
      </c>
      <c r="BX5">
        <f t="shared" ref="BX5:CB14" si="10">COUNTIFS(Carrier,BX$4,AREA,$B5,YEAR,BX$2,Metal,BX$3)</f>
        <v>1</v>
      </c>
      <c r="BY5">
        <f t="shared" si="10"/>
        <v>0</v>
      </c>
      <c r="BZ5">
        <f t="shared" si="10"/>
        <v>0</v>
      </c>
      <c r="CA5">
        <f t="shared" si="10"/>
        <v>0</v>
      </c>
      <c r="CB5">
        <f t="shared" si="10"/>
        <v>0</v>
      </c>
      <c r="CC5">
        <f>COUNTIF(BX5:CB5,"&gt;0")</f>
        <v>1</v>
      </c>
      <c r="CD5">
        <f t="shared" ref="CD5:CH14" si="11">COUNTIFS(Carrier,CD$4,AREA,$B5,YEAR,CD$2,Metal,CD$3)</f>
        <v>0</v>
      </c>
      <c r="CE5">
        <f t="shared" si="11"/>
        <v>0</v>
      </c>
      <c r="CF5">
        <f t="shared" si="11"/>
        <v>0</v>
      </c>
      <c r="CG5">
        <f t="shared" si="11"/>
        <v>0</v>
      </c>
      <c r="CH5">
        <f t="shared" si="11"/>
        <v>0</v>
      </c>
      <c r="CI5">
        <f>COUNTIF(CD5:CH5,"&gt;0")</f>
        <v>0</v>
      </c>
      <c r="CJ5">
        <f t="shared" ref="CJ5:CN14" si="12">COUNTIFS(Carrier,CJ$4,AREA,$B5,YEAR,CJ$2,Metal,CJ$3)</f>
        <v>0</v>
      </c>
      <c r="CK5">
        <f t="shared" si="12"/>
        <v>0</v>
      </c>
      <c r="CL5">
        <f t="shared" si="12"/>
        <v>0</v>
      </c>
      <c r="CM5">
        <f t="shared" si="12"/>
        <v>0</v>
      </c>
      <c r="CN5">
        <f t="shared" si="12"/>
        <v>0</v>
      </c>
      <c r="CO5">
        <f>COUNTIF(CJ5:CN5,"&gt;0")</f>
        <v>0</v>
      </c>
    </row>
    <row r="6" spans="2:93" x14ac:dyDescent="0.35">
      <c r="B6" t="s">
        <v>1311</v>
      </c>
      <c r="C6" s="5" t="str">
        <f t="shared" si="0"/>
        <v>GA2</v>
      </c>
      <c r="D6" s="5" t="s">
        <v>219</v>
      </c>
      <c r="E6" s="5" t="s">
        <v>16</v>
      </c>
      <c r="F6" s="5">
        <v>2</v>
      </c>
      <c r="G6" s="5">
        <f>ByCounty!I6</f>
        <v>9</v>
      </c>
      <c r="I6">
        <f t="shared" ref="I6:I20" si="13">AM6</f>
        <v>3</v>
      </c>
      <c r="J6">
        <f t="shared" ref="J6:J20" si="14">AY6</f>
        <v>5</v>
      </c>
      <c r="K6">
        <f t="shared" ref="K6:K20" si="15">BK6</f>
        <v>5</v>
      </c>
      <c r="L6">
        <f t="shared" ref="L6:L20" si="16">BW6</f>
        <v>5</v>
      </c>
      <c r="M6">
        <f t="shared" ref="M6:M20" si="17">CI6</f>
        <v>1</v>
      </c>
      <c r="N6">
        <f t="shared" ref="N6:N20" si="18">AA6</f>
        <v>5</v>
      </c>
      <c r="O6">
        <f t="shared" ref="O6:O20" si="19">AS6</f>
        <v>1</v>
      </c>
      <c r="P6">
        <f t="shared" ref="P6:P20" si="20">BE6</f>
        <v>3</v>
      </c>
      <c r="Q6">
        <f t="shared" ref="Q6:Q20" si="21">BQ6</f>
        <v>3</v>
      </c>
      <c r="R6">
        <f t="shared" ref="R6:R20" si="22">CC6</f>
        <v>3</v>
      </c>
      <c r="S6">
        <f t="shared" ref="S6:S20" si="23">CO6</f>
        <v>1</v>
      </c>
      <c r="T6">
        <f t="shared" ref="T6:T20" si="24">AG6</f>
        <v>3</v>
      </c>
      <c r="V6">
        <f t="shared" si="1"/>
        <v>63</v>
      </c>
      <c r="W6">
        <f t="shared" si="1"/>
        <v>30</v>
      </c>
      <c r="X6">
        <f t="shared" si="1"/>
        <v>18</v>
      </c>
      <c r="Y6">
        <f t="shared" si="1"/>
        <v>12</v>
      </c>
      <c r="Z6">
        <f t="shared" si="1"/>
        <v>8</v>
      </c>
      <c r="AA6">
        <f t="shared" ref="AA6:AA21" si="25">COUNTIF(V6:Z6,"&gt;0")</f>
        <v>5</v>
      </c>
      <c r="AB6">
        <f t="shared" si="2"/>
        <v>47</v>
      </c>
      <c r="AC6">
        <f t="shared" si="2"/>
        <v>15</v>
      </c>
      <c r="AD6">
        <f t="shared" si="2"/>
        <v>0</v>
      </c>
      <c r="AE6">
        <f t="shared" si="2"/>
        <v>15</v>
      </c>
      <c r="AF6">
        <f t="shared" si="2"/>
        <v>0</v>
      </c>
      <c r="AG6">
        <f t="shared" ref="AG6:AG21" si="26">COUNTIF(AB6:AF6,"&gt;0")</f>
        <v>3</v>
      </c>
      <c r="AH6">
        <f t="shared" si="3"/>
        <v>0</v>
      </c>
      <c r="AI6">
        <f t="shared" si="3"/>
        <v>1</v>
      </c>
      <c r="AJ6">
        <f t="shared" si="3"/>
        <v>1</v>
      </c>
      <c r="AK6">
        <f t="shared" si="3"/>
        <v>0</v>
      </c>
      <c r="AL6">
        <f t="shared" si="3"/>
        <v>1</v>
      </c>
      <c r="AM6">
        <f t="shared" ref="AM6:AM21" si="27">COUNTIF(AH6:AL6,"&gt;0")</f>
        <v>3</v>
      </c>
      <c r="AN6">
        <f t="shared" si="4"/>
        <v>0</v>
      </c>
      <c r="AO6">
        <f t="shared" si="4"/>
        <v>1</v>
      </c>
      <c r="AP6">
        <f t="shared" si="4"/>
        <v>0</v>
      </c>
      <c r="AQ6">
        <f t="shared" si="4"/>
        <v>0</v>
      </c>
      <c r="AR6">
        <f t="shared" si="4"/>
        <v>0</v>
      </c>
      <c r="AS6">
        <f t="shared" ref="AS6:AS21" si="28">COUNTIF(AN6:AR6,"&gt;0")</f>
        <v>1</v>
      </c>
      <c r="AT6">
        <f t="shared" si="5"/>
        <v>9</v>
      </c>
      <c r="AU6">
        <f t="shared" si="5"/>
        <v>6</v>
      </c>
      <c r="AV6">
        <f t="shared" si="5"/>
        <v>3</v>
      </c>
      <c r="AW6">
        <f t="shared" si="5"/>
        <v>2</v>
      </c>
      <c r="AX6">
        <f t="shared" si="5"/>
        <v>1</v>
      </c>
      <c r="AY6">
        <f t="shared" ref="AY6:AY21" si="29">COUNTIF(AT6:AX6,"&gt;0")</f>
        <v>5</v>
      </c>
      <c r="AZ6">
        <f t="shared" si="6"/>
        <v>2</v>
      </c>
      <c r="BA6">
        <f t="shared" si="6"/>
        <v>5</v>
      </c>
      <c r="BB6">
        <f t="shared" si="6"/>
        <v>0</v>
      </c>
      <c r="BC6">
        <f t="shared" si="6"/>
        <v>2</v>
      </c>
      <c r="BD6">
        <f t="shared" si="6"/>
        <v>0</v>
      </c>
      <c r="BE6">
        <f t="shared" ref="BE6:BE21" si="30">COUNTIF(AZ6:BD6,"&gt;0")</f>
        <v>3</v>
      </c>
      <c r="BF6">
        <f t="shared" si="7"/>
        <v>48</v>
      </c>
      <c r="BG6">
        <f t="shared" si="7"/>
        <v>20</v>
      </c>
      <c r="BH6">
        <f t="shared" si="7"/>
        <v>12</v>
      </c>
      <c r="BI6">
        <f t="shared" si="7"/>
        <v>8</v>
      </c>
      <c r="BJ6">
        <f t="shared" si="7"/>
        <v>4</v>
      </c>
      <c r="BK6">
        <f t="shared" ref="BK6:BK21" si="31">COUNTIF(BF6:BJ6,"&gt;0")</f>
        <v>5</v>
      </c>
      <c r="BL6">
        <f t="shared" si="8"/>
        <v>44</v>
      </c>
      <c r="BM6">
        <f t="shared" si="8"/>
        <v>8</v>
      </c>
      <c r="BN6">
        <f t="shared" si="8"/>
        <v>0</v>
      </c>
      <c r="BO6">
        <f t="shared" si="8"/>
        <v>9</v>
      </c>
      <c r="BP6">
        <f t="shared" si="8"/>
        <v>0</v>
      </c>
      <c r="BQ6">
        <f t="shared" ref="BQ6:BQ21" si="32">COUNTIF(BL6:BP6,"&gt;0")</f>
        <v>3</v>
      </c>
      <c r="BR6">
        <f t="shared" si="9"/>
        <v>6</v>
      </c>
      <c r="BS6">
        <f t="shared" si="9"/>
        <v>3</v>
      </c>
      <c r="BT6">
        <f t="shared" si="9"/>
        <v>2</v>
      </c>
      <c r="BU6">
        <f t="shared" si="9"/>
        <v>2</v>
      </c>
      <c r="BV6">
        <f t="shared" si="9"/>
        <v>1</v>
      </c>
      <c r="BW6">
        <f t="shared" ref="BW6:BW21" si="33">COUNTIF(BR6:BV6,"&gt;0")</f>
        <v>5</v>
      </c>
      <c r="BX6">
        <f t="shared" si="10"/>
        <v>1</v>
      </c>
      <c r="BY6">
        <f t="shared" si="10"/>
        <v>1</v>
      </c>
      <c r="BZ6">
        <f t="shared" si="10"/>
        <v>0</v>
      </c>
      <c r="CA6">
        <f t="shared" si="10"/>
        <v>2</v>
      </c>
      <c r="CB6">
        <f t="shared" si="10"/>
        <v>0</v>
      </c>
      <c r="CC6">
        <f t="shared" ref="CC6:CC21" si="34">COUNTIF(BX6:CB6,"&gt;0")</f>
        <v>3</v>
      </c>
      <c r="CD6">
        <f t="shared" si="11"/>
        <v>0</v>
      </c>
      <c r="CE6">
        <f t="shared" si="11"/>
        <v>0</v>
      </c>
      <c r="CF6">
        <f t="shared" si="11"/>
        <v>0</v>
      </c>
      <c r="CG6">
        <f t="shared" si="11"/>
        <v>0</v>
      </c>
      <c r="CH6">
        <f t="shared" si="11"/>
        <v>1</v>
      </c>
      <c r="CI6">
        <f t="shared" ref="CI6:CI21" si="35">COUNTIF(CD6:CH6,"&gt;0")</f>
        <v>1</v>
      </c>
      <c r="CJ6">
        <f t="shared" si="12"/>
        <v>0</v>
      </c>
      <c r="CK6">
        <f t="shared" si="12"/>
        <v>0</v>
      </c>
      <c r="CL6">
        <f t="shared" si="12"/>
        <v>0</v>
      </c>
      <c r="CM6">
        <f t="shared" si="12"/>
        <v>2</v>
      </c>
      <c r="CN6">
        <f t="shared" si="12"/>
        <v>0</v>
      </c>
      <c r="CO6">
        <f t="shared" ref="CO6:CO21" si="36">COUNTIF(CJ6:CN6,"&gt;0")</f>
        <v>1</v>
      </c>
    </row>
    <row r="7" spans="2:93" x14ac:dyDescent="0.35">
      <c r="B7" t="s">
        <v>1301</v>
      </c>
      <c r="C7" s="5" t="str">
        <f t="shared" si="0"/>
        <v>GA3</v>
      </c>
      <c r="D7" s="5" t="s">
        <v>219</v>
      </c>
      <c r="E7" s="5" t="s">
        <v>26</v>
      </c>
      <c r="F7" s="5">
        <v>3</v>
      </c>
      <c r="G7" s="5">
        <f>ByCounty!I7</f>
        <v>21</v>
      </c>
      <c r="I7">
        <f t="shared" si="13"/>
        <v>3</v>
      </c>
      <c r="J7">
        <f t="shared" si="14"/>
        <v>5</v>
      </c>
      <c r="K7">
        <f t="shared" si="15"/>
        <v>5</v>
      </c>
      <c r="L7">
        <f t="shared" si="16"/>
        <v>5</v>
      </c>
      <c r="M7">
        <f t="shared" si="17"/>
        <v>1</v>
      </c>
      <c r="N7">
        <f t="shared" si="18"/>
        <v>5</v>
      </c>
      <c r="O7">
        <f t="shared" si="19"/>
        <v>2</v>
      </c>
      <c r="P7">
        <f t="shared" si="20"/>
        <v>3</v>
      </c>
      <c r="Q7">
        <f t="shared" si="21"/>
        <v>3</v>
      </c>
      <c r="R7">
        <f t="shared" si="22"/>
        <v>3</v>
      </c>
      <c r="S7">
        <f t="shared" si="23"/>
        <v>0</v>
      </c>
      <c r="T7">
        <f t="shared" si="24"/>
        <v>3</v>
      </c>
      <c r="V7">
        <f t="shared" si="1"/>
        <v>63</v>
      </c>
      <c r="W7">
        <f t="shared" si="1"/>
        <v>30</v>
      </c>
      <c r="X7">
        <f t="shared" si="1"/>
        <v>18</v>
      </c>
      <c r="Y7">
        <f t="shared" si="1"/>
        <v>12</v>
      </c>
      <c r="Z7">
        <f t="shared" si="1"/>
        <v>17</v>
      </c>
      <c r="AA7">
        <f t="shared" si="25"/>
        <v>5</v>
      </c>
      <c r="AB7">
        <f t="shared" si="2"/>
        <v>47</v>
      </c>
      <c r="AC7">
        <f t="shared" si="2"/>
        <v>66</v>
      </c>
      <c r="AD7">
        <f t="shared" si="2"/>
        <v>50</v>
      </c>
      <c r="AE7">
        <f t="shared" si="2"/>
        <v>0</v>
      </c>
      <c r="AF7">
        <f t="shared" si="2"/>
        <v>0</v>
      </c>
      <c r="AG7">
        <f t="shared" si="26"/>
        <v>3</v>
      </c>
      <c r="AH7">
        <f t="shared" si="3"/>
        <v>0</v>
      </c>
      <c r="AI7">
        <f t="shared" si="3"/>
        <v>1</v>
      </c>
      <c r="AJ7">
        <f t="shared" si="3"/>
        <v>1</v>
      </c>
      <c r="AK7">
        <f t="shared" si="3"/>
        <v>0</v>
      </c>
      <c r="AL7">
        <f t="shared" si="3"/>
        <v>2</v>
      </c>
      <c r="AM7">
        <f t="shared" si="27"/>
        <v>3</v>
      </c>
      <c r="AN7">
        <f t="shared" si="4"/>
        <v>0</v>
      </c>
      <c r="AO7">
        <f t="shared" si="4"/>
        <v>2</v>
      </c>
      <c r="AP7">
        <f t="shared" si="4"/>
        <v>4</v>
      </c>
      <c r="AQ7">
        <f t="shared" si="4"/>
        <v>0</v>
      </c>
      <c r="AR7">
        <f t="shared" si="4"/>
        <v>0</v>
      </c>
      <c r="AS7">
        <f t="shared" si="28"/>
        <v>2</v>
      </c>
      <c r="AT7">
        <f t="shared" si="5"/>
        <v>9</v>
      </c>
      <c r="AU7">
        <f t="shared" si="5"/>
        <v>6</v>
      </c>
      <c r="AV7">
        <f t="shared" si="5"/>
        <v>3</v>
      </c>
      <c r="AW7">
        <f t="shared" si="5"/>
        <v>2</v>
      </c>
      <c r="AX7">
        <f t="shared" si="5"/>
        <v>3</v>
      </c>
      <c r="AY7">
        <f t="shared" si="29"/>
        <v>5</v>
      </c>
      <c r="AZ7">
        <f t="shared" si="6"/>
        <v>2</v>
      </c>
      <c r="BA7">
        <f t="shared" si="6"/>
        <v>10</v>
      </c>
      <c r="BB7">
        <f t="shared" si="6"/>
        <v>8</v>
      </c>
      <c r="BC7">
        <f t="shared" si="6"/>
        <v>0</v>
      </c>
      <c r="BD7">
        <f t="shared" si="6"/>
        <v>0</v>
      </c>
      <c r="BE7">
        <f t="shared" si="30"/>
        <v>3</v>
      </c>
      <c r="BF7">
        <f t="shared" si="7"/>
        <v>48</v>
      </c>
      <c r="BG7">
        <f t="shared" si="7"/>
        <v>20</v>
      </c>
      <c r="BH7">
        <f t="shared" si="7"/>
        <v>12</v>
      </c>
      <c r="BI7">
        <f t="shared" si="7"/>
        <v>8</v>
      </c>
      <c r="BJ7">
        <f t="shared" si="7"/>
        <v>8</v>
      </c>
      <c r="BK7">
        <f t="shared" si="31"/>
        <v>5</v>
      </c>
      <c r="BL7">
        <f t="shared" si="8"/>
        <v>44</v>
      </c>
      <c r="BM7">
        <f t="shared" si="8"/>
        <v>52</v>
      </c>
      <c r="BN7">
        <f t="shared" si="8"/>
        <v>30</v>
      </c>
      <c r="BO7">
        <f t="shared" si="8"/>
        <v>0</v>
      </c>
      <c r="BP7">
        <f t="shared" si="8"/>
        <v>0</v>
      </c>
      <c r="BQ7">
        <f t="shared" si="32"/>
        <v>3</v>
      </c>
      <c r="BR7">
        <f t="shared" si="9"/>
        <v>6</v>
      </c>
      <c r="BS7">
        <f t="shared" si="9"/>
        <v>3</v>
      </c>
      <c r="BT7">
        <f t="shared" si="9"/>
        <v>2</v>
      </c>
      <c r="BU7">
        <f t="shared" si="9"/>
        <v>2</v>
      </c>
      <c r="BV7">
        <f t="shared" si="9"/>
        <v>2</v>
      </c>
      <c r="BW7">
        <f t="shared" si="33"/>
        <v>5</v>
      </c>
      <c r="BX7">
        <f t="shared" si="10"/>
        <v>1</v>
      </c>
      <c r="BY7">
        <f t="shared" si="10"/>
        <v>2</v>
      </c>
      <c r="BZ7">
        <f t="shared" si="10"/>
        <v>8</v>
      </c>
      <c r="CA7">
        <f t="shared" si="10"/>
        <v>0</v>
      </c>
      <c r="CB7">
        <f t="shared" si="10"/>
        <v>0</v>
      </c>
      <c r="CC7">
        <f t="shared" si="34"/>
        <v>3</v>
      </c>
      <c r="CD7">
        <f t="shared" si="11"/>
        <v>0</v>
      </c>
      <c r="CE7">
        <f t="shared" si="11"/>
        <v>0</v>
      </c>
      <c r="CF7">
        <f t="shared" si="11"/>
        <v>0</v>
      </c>
      <c r="CG7">
        <f t="shared" si="11"/>
        <v>0</v>
      </c>
      <c r="CH7">
        <f t="shared" si="11"/>
        <v>2</v>
      </c>
      <c r="CI7">
        <f t="shared" si="35"/>
        <v>1</v>
      </c>
      <c r="CJ7">
        <f t="shared" si="12"/>
        <v>0</v>
      </c>
      <c r="CK7">
        <f t="shared" si="12"/>
        <v>0</v>
      </c>
      <c r="CL7">
        <f t="shared" si="12"/>
        <v>0</v>
      </c>
      <c r="CM7">
        <f t="shared" si="12"/>
        <v>0</v>
      </c>
      <c r="CN7">
        <f t="shared" si="12"/>
        <v>0</v>
      </c>
      <c r="CO7">
        <f t="shared" si="36"/>
        <v>0</v>
      </c>
    </row>
    <row r="8" spans="2:93" x14ac:dyDescent="0.35">
      <c r="B8" t="s">
        <v>1390</v>
      </c>
      <c r="C8" s="5" t="str">
        <f t="shared" si="0"/>
        <v>GA4</v>
      </c>
      <c r="D8" s="5" t="s">
        <v>219</v>
      </c>
      <c r="E8" s="5" t="s">
        <v>48</v>
      </c>
      <c r="F8" s="5">
        <v>4</v>
      </c>
      <c r="G8" s="5">
        <f>ByCounty!I8</f>
        <v>3</v>
      </c>
      <c r="I8">
        <f t="shared" si="13"/>
        <v>3</v>
      </c>
      <c r="J8">
        <f t="shared" si="14"/>
        <v>4</v>
      </c>
      <c r="K8">
        <f t="shared" si="15"/>
        <v>4</v>
      </c>
      <c r="L8">
        <f t="shared" si="16"/>
        <v>4</v>
      </c>
      <c r="M8">
        <f t="shared" si="17"/>
        <v>1</v>
      </c>
      <c r="N8">
        <f t="shared" si="18"/>
        <v>4</v>
      </c>
      <c r="O8">
        <f t="shared" si="19"/>
        <v>1</v>
      </c>
      <c r="P8">
        <f t="shared" si="20"/>
        <v>1</v>
      </c>
      <c r="Q8">
        <f t="shared" si="21"/>
        <v>1</v>
      </c>
      <c r="R8">
        <f t="shared" si="22"/>
        <v>1</v>
      </c>
      <c r="S8">
        <f t="shared" si="23"/>
        <v>0</v>
      </c>
      <c r="T8">
        <f t="shared" si="24"/>
        <v>1</v>
      </c>
      <c r="V8">
        <f t="shared" si="1"/>
        <v>0</v>
      </c>
      <c r="W8">
        <f t="shared" si="1"/>
        <v>30</v>
      </c>
      <c r="X8">
        <f t="shared" si="1"/>
        <v>18</v>
      </c>
      <c r="Y8">
        <f t="shared" si="1"/>
        <v>12</v>
      </c>
      <c r="Z8">
        <f t="shared" si="1"/>
        <v>8</v>
      </c>
      <c r="AA8">
        <f t="shared" si="25"/>
        <v>4</v>
      </c>
      <c r="AB8">
        <f t="shared" si="2"/>
        <v>0</v>
      </c>
      <c r="AC8">
        <f t="shared" si="2"/>
        <v>15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6"/>
        <v>1</v>
      </c>
      <c r="AH8">
        <f t="shared" si="3"/>
        <v>0</v>
      </c>
      <c r="AI8">
        <f t="shared" si="3"/>
        <v>1</v>
      </c>
      <c r="AJ8">
        <f t="shared" si="3"/>
        <v>1</v>
      </c>
      <c r="AK8">
        <f t="shared" si="3"/>
        <v>0</v>
      </c>
      <c r="AL8">
        <f t="shared" si="3"/>
        <v>1</v>
      </c>
      <c r="AM8">
        <f t="shared" si="27"/>
        <v>3</v>
      </c>
      <c r="AN8">
        <f t="shared" si="4"/>
        <v>0</v>
      </c>
      <c r="AO8">
        <f t="shared" si="4"/>
        <v>1</v>
      </c>
      <c r="AP8">
        <f t="shared" si="4"/>
        <v>0</v>
      </c>
      <c r="AQ8">
        <f t="shared" si="4"/>
        <v>0</v>
      </c>
      <c r="AR8">
        <f t="shared" si="4"/>
        <v>0</v>
      </c>
      <c r="AS8">
        <f t="shared" si="28"/>
        <v>1</v>
      </c>
      <c r="AT8">
        <f t="shared" si="5"/>
        <v>0</v>
      </c>
      <c r="AU8">
        <f t="shared" si="5"/>
        <v>6</v>
      </c>
      <c r="AV8">
        <f t="shared" si="5"/>
        <v>3</v>
      </c>
      <c r="AW8">
        <f t="shared" si="5"/>
        <v>2</v>
      </c>
      <c r="AX8">
        <f t="shared" si="5"/>
        <v>1</v>
      </c>
      <c r="AY8">
        <f t="shared" si="29"/>
        <v>4</v>
      </c>
      <c r="AZ8">
        <f t="shared" si="6"/>
        <v>0</v>
      </c>
      <c r="BA8">
        <f t="shared" si="6"/>
        <v>5</v>
      </c>
      <c r="BB8">
        <f t="shared" si="6"/>
        <v>0</v>
      </c>
      <c r="BC8">
        <f t="shared" si="6"/>
        <v>0</v>
      </c>
      <c r="BD8">
        <f t="shared" si="6"/>
        <v>0</v>
      </c>
      <c r="BE8">
        <f t="shared" si="30"/>
        <v>1</v>
      </c>
      <c r="BF8">
        <f t="shared" si="7"/>
        <v>0</v>
      </c>
      <c r="BG8">
        <f t="shared" si="7"/>
        <v>20</v>
      </c>
      <c r="BH8">
        <f t="shared" si="7"/>
        <v>12</v>
      </c>
      <c r="BI8">
        <f t="shared" si="7"/>
        <v>8</v>
      </c>
      <c r="BJ8">
        <f t="shared" si="7"/>
        <v>4</v>
      </c>
      <c r="BK8">
        <f t="shared" si="31"/>
        <v>4</v>
      </c>
      <c r="BL8">
        <f t="shared" si="8"/>
        <v>0</v>
      </c>
      <c r="BM8">
        <f t="shared" si="8"/>
        <v>8</v>
      </c>
      <c r="BN8">
        <f t="shared" si="8"/>
        <v>0</v>
      </c>
      <c r="BO8">
        <f t="shared" si="8"/>
        <v>0</v>
      </c>
      <c r="BP8">
        <f t="shared" si="8"/>
        <v>0</v>
      </c>
      <c r="BQ8">
        <f t="shared" si="32"/>
        <v>1</v>
      </c>
      <c r="BR8">
        <f t="shared" si="9"/>
        <v>0</v>
      </c>
      <c r="BS8">
        <f t="shared" si="9"/>
        <v>3</v>
      </c>
      <c r="BT8">
        <f t="shared" si="9"/>
        <v>2</v>
      </c>
      <c r="BU8">
        <f t="shared" si="9"/>
        <v>2</v>
      </c>
      <c r="BV8">
        <f t="shared" si="9"/>
        <v>1</v>
      </c>
      <c r="BW8">
        <f t="shared" si="33"/>
        <v>4</v>
      </c>
      <c r="BX8">
        <f t="shared" si="10"/>
        <v>0</v>
      </c>
      <c r="BY8">
        <f t="shared" si="10"/>
        <v>1</v>
      </c>
      <c r="BZ8">
        <f t="shared" si="10"/>
        <v>0</v>
      </c>
      <c r="CA8">
        <f t="shared" si="10"/>
        <v>0</v>
      </c>
      <c r="CB8">
        <f t="shared" si="10"/>
        <v>0</v>
      </c>
      <c r="CC8">
        <f t="shared" si="34"/>
        <v>1</v>
      </c>
      <c r="CD8">
        <f t="shared" si="11"/>
        <v>0</v>
      </c>
      <c r="CE8">
        <f t="shared" si="11"/>
        <v>0</v>
      </c>
      <c r="CF8">
        <f t="shared" si="11"/>
        <v>0</v>
      </c>
      <c r="CG8">
        <f t="shared" si="11"/>
        <v>0</v>
      </c>
      <c r="CH8">
        <f t="shared" si="11"/>
        <v>1</v>
      </c>
      <c r="CI8">
        <f t="shared" si="35"/>
        <v>1</v>
      </c>
      <c r="CJ8">
        <f t="shared" si="12"/>
        <v>0</v>
      </c>
      <c r="CK8">
        <f t="shared" si="12"/>
        <v>0</v>
      </c>
      <c r="CL8">
        <f t="shared" si="12"/>
        <v>0</v>
      </c>
      <c r="CM8">
        <f t="shared" si="12"/>
        <v>0</v>
      </c>
      <c r="CN8">
        <f t="shared" si="12"/>
        <v>0</v>
      </c>
      <c r="CO8">
        <f t="shared" si="36"/>
        <v>0</v>
      </c>
    </row>
    <row r="9" spans="2:93" x14ac:dyDescent="0.35">
      <c r="B9" t="s">
        <v>1389</v>
      </c>
      <c r="C9" s="5" t="str">
        <f t="shared" si="0"/>
        <v>GA5</v>
      </c>
      <c r="D9" s="5" t="s">
        <v>219</v>
      </c>
      <c r="E9" s="5" t="s">
        <v>52</v>
      </c>
      <c r="F9" s="5">
        <v>5</v>
      </c>
      <c r="G9" s="5">
        <f>ByCounty!I9</f>
        <v>12</v>
      </c>
      <c r="I9">
        <f t="shared" si="13"/>
        <v>2</v>
      </c>
      <c r="J9">
        <f t="shared" si="14"/>
        <v>2</v>
      </c>
      <c r="K9">
        <f t="shared" si="15"/>
        <v>2</v>
      </c>
      <c r="L9">
        <f t="shared" si="16"/>
        <v>2</v>
      </c>
      <c r="M9">
        <f t="shared" si="17"/>
        <v>1</v>
      </c>
      <c r="N9">
        <f t="shared" si="18"/>
        <v>2</v>
      </c>
      <c r="O9">
        <f t="shared" si="19"/>
        <v>1</v>
      </c>
      <c r="P9">
        <f t="shared" si="20"/>
        <v>1</v>
      </c>
      <c r="Q9">
        <f t="shared" si="21"/>
        <v>1</v>
      </c>
      <c r="R9">
        <f t="shared" si="22"/>
        <v>1</v>
      </c>
      <c r="S9">
        <f t="shared" si="23"/>
        <v>0</v>
      </c>
      <c r="T9">
        <f t="shared" si="24"/>
        <v>1</v>
      </c>
      <c r="V9">
        <f t="shared" si="1"/>
        <v>0</v>
      </c>
      <c r="W9">
        <f t="shared" si="1"/>
        <v>30</v>
      </c>
      <c r="X9">
        <f t="shared" si="1"/>
        <v>0</v>
      </c>
      <c r="Y9">
        <f t="shared" si="1"/>
        <v>0</v>
      </c>
      <c r="Z9">
        <f t="shared" si="1"/>
        <v>8</v>
      </c>
      <c r="AA9">
        <f t="shared" si="25"/>
        <v>2</v>
      </c>
      <c r="AB9">
        <f t="shared" si="2"/>
        <v>0</v>
      </c>
      <c r="AC9">
        <f t="shared" si="2"/>
        <v>30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6"/>
        <v>1</v>
      </c>
      <c r="AH9">
        <f t="shared" si="3"/>
        <v>0</v>
      </c>
      <c r="AI9">
        <f t="shared" si="3"/>
        <v>1</v>
      </c>
      <c r="AJ9">
        <f t="shared" si="3"/>
        <v>0</v>
      </c>
      <c r="AK9">
        <f t="shared" si="3"/>
        <v>0</v>
      </c>
      <c r="AL9">
        <f t="shared" si="3"/>
        <v>1</v>
      </c>
      <c r="AM9">
        <f t="shared" si="27"/>
        <v>2</v>
      </c>
      <c r="AN9">
        <f t="shared" si="4"/>
        <v>0</v>
      </c>
      <c r="AO9">
        <f t="shared" si="4"/>
        <v>2</v>
      </c>
      <c r="AP9">
        <f t="shared" si="4"/>
        <v>0</v>
      </c>
      <c r="AQ9">
        <f t="shared" si="4"/>
        <v>0</v>
      </c>
      <c r="AR9">
        <f t="shared" si="4"/>
        <v>0</v>
      </c>
      <c r="AS9">
        <f t="shared" si="28"/>
        <v>1</v>
      </c>
      <c r="AT9">
        <f t="shared" si="5"/>
        <v>0</v>
      </c>
      <c r="AU9">
        <f t="shared" si="5"/>
        <v>6</v>
      </c>
      <c r="AV9">
        <f t="shared" si="5"/>
        <v>0</v>
      </c>
      <c r="AW9">
        <f t="shared" si="5"/>
        <v>0</v>
      </c>
      <c r="AX9">
        <f t="shared" si="5"/>
        <v>1</v>
      </c>
      <c r="AY9">
        <f t="shared" si="29"/>
        <v>2</v>
      </c>
      <c r="AZ9">
        <f t="shared" si="6"/>
        <v>0</v>
      </c>
      <c r="BA9">
        <f t="shared" si="6"/>
        <v>10</v>
      </c>
      <c r="BB9">
        <f t="shared" si="6"/>
        <v>0</v>
      </c>
      <c r="BC9">
        <f t="shared" si="6"/>
        <v>0</v>
      </c>
      <c r="BD9">
        <f t="shared" si="6"/>
        <v>0</v>
      </c>
      <c r="BE9">
        <f t="shared" si="30"/>
        <v>1</v>
      </c>
      <c r="BF9">
        <f t="shared" si="7"/>
        <v>0</v>
      </c>
      <c r="BG9">
        <f t="shared" si="7"/>
        <v>20</v>
      </c>
      <c r="BH9">
        <f t="shared" si="7"/>
        <v>0</v>
      </c>
      <c r="BI9">
        <f t="shared" si="7"/>
        <v>0</v>
      </c>
      <c r="BJ9">
        <f t="shared" si="7"/>
        <v>4</v>
      </c>
      <c r="BK9">
        <f t="shared" si="31"/>
        <v>2</v>
      </c>
      <c r="BL9">
        <f t="shared" si="8"/>
        <v>0</v>
      </c>
      <c r="BM9">
        <f t="shared" si="8"/>
        <v>16</v>
      </c>
      <c r="BN9">
        <f t="shared" si="8"/>
        <v>0</v>
      </c>
      <c r="BO9">
        <f t="shared" si="8"/>
        <v>0</v>
      </c>
      <c r="BP9">
        <f t="shared" si="8"/>
        <v>0</v>
      </c>
      <c r="BQ9">
        <f t="shared" si="32"/>
        <v>1</v>
      </c>
      <c r="BR9">
        <f t="shared" si="9"/>
        <v>0</v>
      </c>
      <c r="BS9">
        <f t="shared" si="9"/>
        <v>3</v>
      </c>
      <c r="BT9">
        <f t="shared" si="9"/>
        <v>0</v>
      </c>
      <c r="BU9">
        <f t="shared" si="9"/>
        <v>0</v>
      </c>
      <c r="BV9">
        <f t="shared" si="9"/>
        <v>1</v>
      </c>
      <c r="BW9">
        <f t="shared" si="33"/>
        <v>2</v>
      </c>
      <c r="BX9">
        <f t="shared" si="10"/>
        <v>0</v>
      </c>
      <c r="BY9">
        <f t="shared" si="10"/>
        <v>2</v>
      </c>
      <c r="BZ9">
        <f t="shared" si="10"/>
        <v>0</v>
      </c>
      <c r="CA9">
        <f t="shared" si="10"/>
        <v>0</v>
      </c>
      <c r="CB9">
        <f t="shared" si="10"/>
        <v>0</v>
      </c>
      <c r="CC9">
        <f t="shared" si="34"/>
        <v>1</v>
      </c>
      <c r="CD9">
        <f t="shared" si="11"/>
        <v>0</v>
      </c>
      <c r="CE9">
        <f t="shared" si="11"/>
        <v>0</v>
      </c>
      <c r="CF9">
        <f t="shared" si="11"/>
        <v>0</v>
      </c>
      <c r="CG9">
        <f t="shared" si="11"/>
        <v>0</v>
      </c>
      <c r="CH9">
        <f t="shared" si="11"/>
        <v>1</v>
      </c>
      <c r="CI9">
        <f t="shared" si="35"/>
        <v>1</v>
      </c>
      <c r="CJ9">
        <f t="shared" si="12"/>
        <v>0</v>
      </c>
      <c r="CK9">
        <f t="shared" si="12"/>
        <v>0</v>
      </c>
      <c r="CL9">
        <f t="shared" si="12"/>
        <v>0</v>
      </c>
      <c r="CM9">
        <f t="shared" si="12"/>
        <v>0</v>
      </c>
      <c r="CN9">
        <f t="shared" si="12"/>
        <v>0</v>
      </c>
      <c r="CO9">
        <f t="shared" si="36"/>
        <v>0</v>
      </c>
    </row>
    <row r="10" spans="2:93" x14ac:dyDescent="0.35">
      <c r="B10" t="s">
        <v>1307</v>
      </c>
      <c r="C10" s="5" t="str">
        <f t="shared" si="0"/>
        <v>GA6</v>
      </c>
      <c r="D10" s="5" t="s">
        <v>219</v>
      </c>
      <c r="E10" s="5" t="s">
        <v>65</v>
      </c>
      <c r="F10" s="5">
        <v>6</v>
      </c>
      <c r="G10" s="5">
        <f>ByCounty!I10</f>
        <v>9</v>
      </c>
      <c r="I10">
        <f t="shared" si="13"/>
        <v>2</v>
      </c>
      <c r="J10">
        <f t="shared" si="14"/>
        <v>2</v>
      </c>
      <c r="K10">
        <f t="shared" si="15"/>
        <v>2</v>
      </c>
      <c r="L10">
        <f t="shared" si="16"/>
        <v>2</v>
      </c>
      <c r="M10">
        <f t="shared" si="17"/>
        <v>1</v>
      </c>
      <c r="N10">
        <f t="shared" si="18"/>
        <v>2</v>
      </c>
      <c r="O10">
        <f t="shared" si="19"/>
        <v>1</v>
      </c>
      <c r="P10">
        <f t="shared" si="20"/>
        <v>2</v>
      </c>
      <c r="Q10">
        <f t="shared" si="21"/>
        <v>2</v>
      </c>
      <c r="R10">
        <f t="shared" si="22"/>
        <v>2</v>
      </c>
      <c r="S10">
        <f t="shared" si="23"/>
        <v>0</v>
      </c>
      <c r="T10">
        <f t="shared" si="24"/>
        <v>2</v>
      </c>
      <c r="V10">
        <f t="shared" si="1"/>
        <v>0</v>
      </c>
      <c r="W10">
        <f t="shared" si="1"/>
        <v>30</v>
      </c>
      <c r="X10">
        <f t="shared" si="1"/>
        <v>0</v>
      </c>
      <c r="Y10">
        <f t="shared" si="1"/>
        <v>0</v>
      </c>
      <c r="Z10">
        <f t="shared" si="1"/>
        <v>8</v>
      </c>
      <c r="AA10">
        <f t="shared" si="25"/>
        <v>2</v>
      </c>
      <c r="AB10">
        <f t="shared" si="2"/>
        <v>47</v>
      </c>
      <c r="AC10">
        <f t="shared" si="2"/>
        <v>15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6"/>
        <v>2</v>
      </c>
      <c r="AH10">
        <f t="shared" si="3"/>
        <v>0</v>
      </c>
      <c r="AI10">
        <f t="shared" si="3"/>
        <v>1</v>
      </c>
      <c r="AJ10">
        <f t="shared" si="3"/>
        <v>0</v>
      </c>
      <c r="AK10">
        <f t="shared" si="3"/>
        <v>0</v>
      </c>
      <c r="AL10">
        <f t="shared" si="3"/>
        <v>1</v>
      </c>
      <c r="AM10">
        <f t="shared" si="27"/>
        <v>2</v>
      </c>
      <c r="AN10">
        <f t="shared" si="4"/>
        <v>0</v>
      </c>
      <c r="AO10">
        <f t="shared" si="4"/>
        <v>1</v>
      </c>
      <c r="AP10">
        <f t="shared" si="4"/>
        <v>0</v>
      </c>
      <c r="AQ10">
        <f t="shared" si="4"/>
        <v>0</v>
      </c>
      <c r="AR10">
        <f t="shared" si="4"/>
        <v>0</v>
      </c>
      <c r="AS10">
        <f t="shared" si="28"/>
        <v>1</v>
      </c>
      <c r="AT10">
        <f t="shared" si="5"/>
        <v>0</v>
      </c>
      <c r="AU10">
        <f t="shared" si="5"/>
        <v>6</v>
      </c>
      <c r="AV10">
        <f t="shared" si="5"/>
        <v>0</v>
      </c>
      <c r="AW10">
        <f t="shared" si="5"/>
        <v>0</v>
      </c>
      <c r="AX10">
        <f t="shared" si="5"/>
        <v>1</v>
      </c>
      <c r="AY10">
        <f t="shared" si="29"/>
        <v>2</v>
      </c>
      <c r="AZ10">
        <f t="shared" si="6"/>
        <v>2</v>
      </c>
      <c r="BA10">
        <f t="shared" si="6"/>
        <v>5</v>
      </c>
      <c r="BB10">
        <f t="shared" si="6"/>
        <v>0</v>
      </c>
      <c r="BC10">
        <f t="shared" si="6"/>
        <v>0</v>
      </c>
      <c r="BD10">
        <f t="shared" si="6"/>
        <v>0</v>
      </c>
      <c r="BE10">
        <f t="shared" si="30"/>
        <v>2</v>
      </c>
      <c r="BF10">
        <f t="shared" si="7"/>
        <v>0</v>
      </c>
      <c r="BG10">
        <f t="shared" si="7"/>
        <v>20</v>
      </c>
      <c r="BH10">
        <f t="shared" si="7"/>
        <v>0</v>
      </c>
      <c r="BI10">
        <f t="shared" si="7"/>
        <v>0</v>
      </c>
      <c r="BJ10">
        <f t="shared" si="7"/>
        <v>4</v>
      </c>
      <c r="BK10">
        <f t="shared" si="31"/>
        <v>2</v>
      </c>
      <c r="BL10">
        <f t="shared" si="8"/>
        <v>44</v>
      </c>
      <c r="BM10">
        <f t="shared" si="8"/>
        <v>8</v>
      </c>
      <c r="BN10">
        <f t="shared" si="8"/>
        <v>0</v>
      </c>
      <c r="BO10">
        <f t="shared" si="8"/>
        <v>0</v>
      </c>
      <c r="BP10">
        <f t="shared" si="8"/>
        <v>0</v>
      </c>
      <c r="BQ10">
        <f t="shared" si="32"/>
        <v>2</v>
      </c>
      <c r="BR10">
        <f t="shared" si="9"/>
        <v>0</v>
      </c>
      <c r="BS10">
        <f t="shared" si="9"/>
        <v>3</v>
      </c>
      <c r="BT10">
        <f t="shared" si="9"/>
        <v>0</v>
      </c>
      <c r="BU10">
        <f t="shared" si="9"/>
        <v>0</v>
      </c>
      <c r="BV10">
        <f t="shared" si="9"/>
        <v>1</v>
      </c>
      <c r="BW10">
        <f t="shared" si="33"/>
        <v>2</v>
      </c>
      <c r="BX10">
        <f t="shared" si="10"/>
        <v>1</v>
      </c>
      <c r="BY10">
        <f t="shared" si="10"/>
        <v>1</v>
      </c>
      <c r="BZ10">
        <f t="shared" si="10"/>
        <v>0</v>
      </c>
      <c r="CA10">
        <f t="shared" si="10"/>
        <v>0</v>
      </c>
      <c r="CB10">
        <f t="shared" si="10"/>
        <v>0</v>
      </c>
      <c r="CC10">
        <f t="shared" si="34"/>
        <v>2</v>
      </c>
      <c r="CD10">
        <f t="shared" si="11"/>
        <v>0</v>
      </c>
      <c r="CE10">
        <f t="shared" si="11"/>
        <v>0</v>
      </c>
      <c r="CF10">
        <f t="shared" si="11"/>
        <v>0</v>
      </c>
      <c r="CG10">
        <f t="shared" si="11"/>
        <v>0</v>
      </c>
      <c r="CH10">
        <f t="shared" si="11"/>
        <v>1</v>
      </c>
      <c r="CI10">
        <f t="shared" si="35"/>
        <v>1</v>
      </c>
      <c r="CJ10">
        <f t="shared" si="12"/>
        <v>0</v>
      </c>
      <c r="CK10">
        <f t="shared" si="12"/>
        <v>0</v>
      </c>
      <c r="CL10">
        <f t="shared" si="12"/>
        <v>0</v>
      </c>
      <c r="CM10">
        <f t="shared" si="12"/>
        <v>0</v>
      </c>
      <c r="CN10">
        <f t="shared" si="12"/>
        <v>0</v>
      </c>
      <c r="CO10">
        <f t="shared" si="36"/>
        <v>0</v>
      </c>
    </row>
    <row r="11" spans="2:93" x14ac:dyDescent="0.35">
      <c r="B11" t="s">
        <v>1298</v>
      </c>
      <c r="C11" s="5" t="str">
        <f t="shared" si="0"/>
        <v>GA7</v>
      </c>
      <c r="D11" s="5" t="s">
        <v>219</v>
      </c>
      <c r="E11" s="5" t="s">
        <v>75</v>
      </c>
      <c r="F11" s="5">
        <v>7</v>
      </c>
      <c r="G11" s="5">
        <f>ByCounty!I11</f>
        <v>3</v>
      </c>
      <c r="I11">
        <f t="shared" si="13"/>
        <v>1</v>
      </c>
      <c r="J11">
        <f t="shared" si="14"/>
        <v>2</v>
      </c>
      <c r="K11">
        <f t="shared" si="15"/>
        <v>2</v>
      </c>
      <c r="L11">
        <f t="shared" si="16"/>
        <v>2</v>
      </c>
      <c r="M11">
        <f t="shared" si="17"/>
        <v>0</v>
      </c>
      <c r="N11">
        <f t="shared" si="18"/>
        <v>2</v>
      </c>
      <c r="O11">
        <f t="shared" si="19"/>
        <v>0</v>
      </c>
      <c r="P11">
        <f t="shared" si="20"/>
        <v>1</v>
      </c>
      <c r="Q11">
        <f t="shared" si="21"/>
        <v>1</v>
      </c>
      <c r="R11">
        <f t="shared" si="22"/>
        <v>1</v>
      </c>
      <c r="S11">
        <f t="shared" si="23"/>
        <v>0</v>
      </c>
      <c r="T11">
        <f t="shared" si="24"/>
        <v>1</v>
      </c>
      <c r="V11">
        <f t="shared" si="1"/>
        <v>0</v>
      </c>
      <c r="W11">
        <f t="shared" si="1"/>
        <v>30</v>
      </c>
      <c r="X11">
        <f t="shared" si="1"/>
        <v>0</v>
      </c>
      <c r="Y11">
        <f t="shared" si="1"/>
        <v>12</v>
      </c>
      <c r="Z11">
        <f t="shared" si="1"/>
        <v>0</v>
      </c>
      <c r="AA11">
        <f t="shared" si="25"/>
        <v>2</v>
      </c>
      <c r="AB11">
        <f t="shared" si="2"/>
        <v>47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6"/>
        <v>1</v>
      </c>
      <c r="AH11">
        <f t="shared" si="3"/>
        <v>0</v>
      </c>
      <c r="AI11">
        <f t="shared" si="3"/>
        <v>1</v>
      </c>
      <c r="AJ11">
        <f t="shared" si="3"/>
        <v>0</v>
      </c>
      <c r="AK11">
        <f t="shared" si="3"/>
        <v>0</v>
      </c>
      <c r="AL11">
        <f t="shared" si="3"/>
        <v>0</v>
      </c>
      <c r="AM11">
        <f t="shared" si="27"/>
        <v>1</v>
      </c>
      <c r="AN11">
        <f t="shared" si="4"/>
        <v>0</v>
      </c>
      <c r="AO11">
        <f t="shared" si="4"/>
        <v>0</v>
      </c>
      <c r="AP11">
        <f t="shared" si="4"/>
        <v>0</v>
      </c>
      <c r="AQ11">
        <f t="shared" si="4"/>
        <v>0</v>
      </c>
      <c r="AR11">
        <f t="shared" si="4"/>
        <v>0</v>
      </c>
      <c r="AS11">
        <f t="shared" si="28"/>
        <v>0</v>
      </c>
      <c r="AT11">
        <f t="shared" si="5"/>
        <v>0</v>
      </c>
      <c r="AU11">
        <f t="shared" si="5"/>
        <v>6</v>
      </c>
      <c r="AV11">
        <f t="shared" si="5"/>
        <v>0</v>
      </c>
      <c r="AW11">
        <f t="shared" si="5"/>
        <v>2</v>
      </c>
      <c r="AX11">
        <f t="shared" si="5"/>
        <v>0</v>
      </c>
      <c r="AY11">
        <f t="shared" si="29"/>
        <v>2</v>
      </c>
      <c r="AZ11">
        <f t="shared" si="6"/>
        <v>2</v>
      </c>
      <c r="BA11">
        <f t="shared" si="6"/>
        <v>0</v>
      </c>
      <c r="BB11">
        <f t="shared" si="6"/>
        <v>0</v>
      </c>
      <c r="BC11">
        <f t="shared" si="6"/>
        <v>0</v>
      </c>
      <c r="BD11">
        <f t="shared" si="6"/>
        <v>0</v>
      </c>
      <c r="BE11">
        <f t="shared" si="30"/>
        <v>1</v>
      </c>
      <c r="BF11">
        <f t="shared" si="7"/>
        <v>0</v>
      </c>
      <c r="BG11">
        <f t="shared" si="7"/>
        <v>20</v>
      </c>
      <c r="BH11">
        <f t="shared" si="7"/>
        <v>0</v>
      </c>
      <c r="BI11">
        <f t="shared" si="7"/>
        <v>8</v>
      </c>
      <c r="BJ11">
        <f t="shared" si="7"/>
        <v>0</v>
      </c>
      <c r="BK11">
        <f t="shared" si="31"/>
        <v>2</v>
      </c>
      <c r="BL11">
        <f t="shared" si="8"/>
        <v>44</v>
      </c>
      <c r="BM11">
        <f t="shared" si="8"/>
        <v>0</v>
      </c>
      <c r="BN11">
        <f t="shared" si="8"/>
        <v>0</v>
      </c>
      <c r="BO11">
        <f t="shared" si="8"/>
        <v>0</v>
      </c>
      <c r="BP11">
        <f t="shared" si="8"/>
        <v>0</v>
      </c>
      <c r="BQ11">
        <f t="shared" si="32"/>
        <v>1</v>
      </c>
      <c r="BR11">
        <f t="shared" si="9"/>
        <v>0</v>
      </c>
      <c r="BS11">
        <f t="shared" si="9"/>
        <v>3</v>
      </c>
      <c r="BT11">
        <f t="shared" si="9"/>
        <v>0</v>
      </c>
      <c r="BU11">
        <f t="shared" si="9"/>
        <v>2</v>
      </c>
      <c r="BV11">
        <f t="shared" si="9"/>
        <v>0</v>
      </c>
      <c r="BW11">
        <f t="shared" si="33"/>
        <v>2</v>
      </c>
      <c r="BX11">
        <f t="shared" si="10"/>
        <v>1</v>
      </c>
      <c r="BY11">
        <f t="shared" si="10"/>
        <v>0</v>
      </c>
      <c r="BZ11">
        <f t="shared" si="10"/>
        <v>0</v>
      </c>
      <c r="CA11">
        <f t="shared" si="10"/>
        <v>0</v>
      </c>
      <c r="CB11">
        <f t="shared" si="10"/>
        <v>0</v>
      </c>
      <c r="CC11">
        <f t="shared" si="34"/>
        <v>1</v>
      </c>
      <c r="CD11">
        <f t="shared" si="11"/>
        <v>0</v>
      </c>
      <c r="CE11">
        <f t="shared" si="11"/>
        <v>0</v>
      </c>
      <c r="CF11">
        <f t="shared" si="11"/>
        <v>0</v>
      </c>
      <c r="CG11">
        <f t="shared" si="11"/>
        <v>0</v>
      </c>
      <c r="CH11">
        <f t="shared" si="11"/>
        <v>0</v>
      </c>
      <c r="CI11">
        <f t="shared" si="35"/>
        <v>0</v>
      </c>
      <c r="CJ11">
        <f t="shared" si="12"/>
        <v>0</v>
      </c>
      <c r="CK11">
        <f t="shared" si="12"/>
        <v>0</v>
      </c>
      <c r="CL11">
        <f t="shared" si="12"/>
        <v>0</v>
      </c>
      <c r="CM11">
        <f t="shared" si="12"/>
        <v>0</v>
      </c>
      <c r="CN11">
        <f t="shared" si="12"/>
        <v>0</v>
      </c>
      <c r="CO11">
        <f t="shared" si="36"/>
        <v>0</v>
      </c>
    </row>
    <row r="12" spans="2:93" x14ac:dyDescent="0.35">
      <c r="B12" t="s">
        <v>1309</v>
      </c>
      <c r="C12" s="5" t="str">
        <f t="shared" si="0"/>
        <v>GA8</v>
      </c>
      <c r="D12" s="5" t="s">
        <v>219</v>
      </c>
      <c r="E12" s="5" t="s">
        <v>79</v>
      </c>
      <c r="F12" s="5">
        <v>8</v>
      </c>
      <c r="G12" s="5">
        <f>ByCounty!I12</f>
        <v>13</v>
      </c>
      <c r="I12">
        <f t="shared" si="13"/>
        <v>3</v>
      </c>
      <c r="J12">
        <f t="shared" si="14"/>
        <v>4</v>
      </c>
      <c r="K12">
        <f t="shared" si="15"/>
        <v>4</v>
      </c>
      <c r="L12">
        <f t="shared" si="16"/>
        <v>4</v>
      </c>
      <c r="M12">
        <f t="shared" si="17"/>
        <v>1</v>
      </c>
      <c r="N12">
        <f t="shared" si="18"/>
        <v>4</v>
      </c>
      <c r="O12">
        <f t="shared" si="19"/>
        <v>1</v>
      </c>
      <c r="P12">
        <f t="shared" si="20"/>
        <v>2</v>
      </c>
      <c r="Q12">
        <f t="shared" si="21"/>
        <v>2</v>
      </c>
      <c r="R12">
        <f t="shared" si="22"/>
        <v>2</v>
      </c>
      <c r="S12">
        <f t="shared" si="23"/>
        <v>0</v>
      </c>
      <c r="T12">
        <f t="shared" si="24"/>
        <v>2</v>
      </c>
      <c r="V12">
        <f t="shared" si="1"/>
        <v>63</v>
      </c>
      <c r="W12">
        <f t="shared" si="1"/>
        <v>30</v>
      </c>
      <c r="X12">
        <f t="shared" si="1"/>
        <v>18</v>
      </c>
      <c r="Y12">
        <f t="shared" si="1"/>
        <v>0</v>
      </c>
      <c r="Z12">
        <f t="shared" si="1"/>
        <v>17</v>
      </c>
      <c r="AA12">
        <f t="shared" si="25"/>
        <v>4</v>
      </c>
      <c r="AB12">
        <f t="shared" si="2"/>
        <v>47</v>
      </c>
      <c r="AC12">
        <f t="shared" si="2"/>
        <v>15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6"/>
        <v>2</v>
      </c>
      <c r="AH12">
        <f t="shared" si="3"/>
        <v>0</v>
      </c>
      <c r="AI12">
        <f t="shared" si="3"/>
        <v>1</v>
      </c>
      <c r="AJ12">
        <f t="shared" si="3"/>
        <v>1</v>
      </c>
      <c r="AK12">
        <f t="shared" si="3"/>
        <v>0</v>
      </c>
      <c r="AL12">
        <f t="shared" si="3"/>
        <v>2</v>
      </c>
      <c r="AM12">
        <f t="shared" si="27"/>
        <v>3</v>
      </c>
      <c r="AN12">
        <f t="shared" si="4"/>
        <v>0</v>
      </c>
      <c r="AO12">
        <f t="shared" si="4"/>
        <v>1</v>
      </c>
      <c r="AP12">
        <f t="shared" si="4"/>
        <v>0</v>
      </c>
      <c r="AQ12">
        <f t="shared" si="4"/>
        <v>0</v>
      </c>
      <c r="AR12">
        <f t="shared" si="4"/>
        <v>0</v>
      </c>
      <c r="AS12">
        <f t="shared" si="28"/>
        <v>1</v>
      </c>
      <c r="AT12">
        <f t="shared" si="5"/>
        <v>9</v>
      </c>
      <c r="AU12">
        <f t="shared" si="5"/>
        <v>6</v>
      </c>
      <c r="AV12">
        <f t="shared" si="5"/>
        <v>3</v>
      </c>
      <c r="AW12">
        <f t="shared" si="5"/>
        <v>0</v>
      </c>
      <c r="AX12">
        <f t="shared" si="5"/>
        <v>3</v>
      </c>
      <c r="AY12">
        <f t="shared" si="29"/>
        <v>4</v>
      </c>
      <c r="AZ12">
        <f t="shared" si="6"/>
        <v>2</v>
      </c>
      <c r="BA12">
        <f t="shared" si="6"/>
        <v>5</v>
      </c>
      <c r="BB12">
        <f t="shared" si="6"/>
        <v>0</v>
      </c>
      <c r="BC12">
        <f t="shared" si="6"/>
        <v>0</v>
      </c>
      <c r="BD12">
        <f t="shared" si="6"/>
        <v>0</v>
      </c>
      <c r="BE12">
        <f t="shared" si="30"/>
        <v>2</v>
      </c>
      <c r="BF12">
        <f t="shared" si="7"/>
        <v>48</v>
      </c>
      <c r="BG12">
        <f t="shared" si="7"/>
        <v>20</v>
      </c>
      <c r="BH12">
        <f t="shared" si="7"/>
        <v>12</v>
      </c>
      <c r="BI12">
        <f t="shared" si="7"/>
        <v>0</v>
      </c>
      <c r="BJ12">
        <f t="shared" si="7"/>
        <v>8</v>
      </c>
      <c r="BK12">
        <f t="shared" si="31"/>
        <v>4</v>
      </c>
      <c r="BL12">
        <f t="shared" si="8"/>
        <v>44</v>
      </c>
      <c r="BM12">
        <f t="shared" si="8"/>
        <v>8</v>
      </c>
      <c r="BN12">
        <f t="shared" si="8"/>
        <v>0</v>
      </c>
      <c r="BO12">
        <f t="shared" si="8"/>
        <v>0</v>
      </c>
      <c r="BP12">
        <f t="shared" si="8"/>
        <v>0</v>
      </c>
      <c r="BQ12">
        <f t="shared" si="32"/>
        <v>2</v>
      </c>
      <c r="BR12">
        <f t="shared" si="9"/>
        <v>6</v>
      </c>
      <c r="BS12">
        <f t="shared" si="9"/>
        <v>3</v>
      </c>
      <c r="BT12">
        <f t="shared" si="9"/>
        <v>2</v>
      </c>
      <c r="BU12">
        <f t="shared" si="9"/>
        <v>0</v>
      </c>
      <c r="BV12">
        <f t="shared" si="9"/>
        <v>2</v>
      </c>
      <c r="BW12">
        <f t="shared" si="33"/>
        <v>4</v>
      </c>
      <c r="BX12">
        <f t="shared" si="10"/>
        <v>1</v>
      </c>
      <c r="BY12">
        <f t="shared" si="10"/>
        <v>1</v>
      </c>
      <c r="BZ12">
        <f t="shared" si="10"/>
        <v>0</v>
      </c>
      <c r="CA12">
        <f t="shared" si="10"/>
        <v>0</v>
      </c>
      <c r="CB12">
        <f t="shared" si="10"/>
        <v>0</v>
      </c>
      <c r="CC12">
        <f t="shared" si="34"/>
        <v>2</v>
      </c>
      <c r="CD12">
        <f t="shared" si="11"/>
        <v>0</v>
      </c>
      <c r="CE12">
        <f t="shared" si="11"/>
        <v>0</v>
      </c>
      <c r="CF12">
        <f t="shared" si="11"/>
        <v>0</v>
      </c>
      <c r="CG12">
        <f t="shared" si="11"/>
        <v>0</v>
      </c>
      <c r="CH12">
        <f t="shared" si="11"/>
        <v>2</v>
      </c>
      <c r="CI12">
        <f t="shared" si="35"/>
        <v>1</v>
      </c>
      <c r="CJ12">
        <f t="shared" si="12"/>
        <v>0</v>
      </c>
      <c r="CK12">
        <f t="shared" si="12"/>
        <v>0</v>
      </c>
      <c r="CL12">
        <f t="shared" si="12"/>
        <v>0</v>
      </c>
      <c r="CM12">
        <f t="shared" si="12"/>
        <v>0</v>
      </c>
      <c r="CN12">
        <f t="shared" si="12"/>
        <v>0</v>
      </c>
      <c r="CO12">
        <f t="shared" si="36"/>
        <v>0</v>
      </c>
    </row>
    <row r="13" spans="2:93" x14ac:dyDescent="0.35">
      <c r="B13" t="s">
        <v>1302</v>
      </c>
      <c r="C13" s="5" t="str">
        <f t="shared" si="0"/>
        <v>GA9</v>
      </c>
      <c r="D13" s="5" t="s">
        <v>219</v>
      </c>
      <c r="E13" s="5" t="s">
        <v>93</v>
      </c>
      <c r="F13" s="5">
        <v>9</v>
      </c>
      <c r="G13" s="5">
        <f>ByCounty!I13</f>
        <v>3</v>
      </c>
      <c r="I13">
        <f t="shared" si="13"/>
        <v>1</v>
      </c>
      <c r="J13">
        <f t="shared" si="14"/>
        <v>2</v>
      </c>
      <c r="K13">
        <f t="shared" si="15"/>
        <v>2</v>
      </c>
      <c r="L13">
        <f t="shared" si="16"/>
        <v>2</v>
      </c>
      <c r="M13">
        <f t="shared" si="17"/>
        <v>0</v>
      </c>
      <c r="N13">
        <f t="shared" si="18"/>
        <v>2</v>
      </c>
      <c r="O13">
        <f t="shared" si="19"/>
        <v>1</v>
      </c>
      <c r="P13">
        <f t="shared" si="20"/>
        <v>3</v>
      </c>
      <c r="Q13">
        <f t="shared" si="21"/>
        <v>3</v>
      </c>
      <c r="R13">
        <f t="shared" si="22"/>
        <v>3</v>
      </c>
      <c r="S13">
        <f t="shared" si="23"/>
        <v>1</v>
      </c>
      <c r="T13">
        <f t="shared" si="24"/>
        <v>3</v>
      </c>
      <c r="V13">
        <f t="shared" si="1"/>
        <v>0</v>
      </c>
      <c r="W13">
        <f t="shared" si="1"/>
        <v>30</v>
      </c>
      <c r="X13">
        <f t="shared" si="1"/>
        <v>0</v>
      </c>
      <c r="Y13">
        <f t="shared" si="1"/>
        <v>12</v>
      </c>
      <c r="Z13">
        <f t="shared" si="1"/>
        <v>0</v>
      </c>
      <c r="AA13">
        <f t="shared" si="25"/>
        <v>2</v>
      </c>
      <c r="AB13">
        <f t="shared" si="2"/>
        <v>47</v>
      </c>
      <c r="AC13">
        <f t="shared" si="2"/>
        <v>31</v>
      </c>
      <c r="AD13">
        <f t="shared" si="2"/>
        <v>0</v>
      </c>
      <c r="AE13">
        <f t="shared" si="2"/>
        <v>45</v>
      </c>
      <c r="AF13">
        <f t="shared" si="2"/>
        <v>0</v>
      </c>
      <c r="AG13">
        <f t="shared" si="26"/>
        <v>3</v>
      </c>
      <c r="AH13">
        <f t="shared" si="3"/>
        <v>0</v>
      </c>
      <c r="AI13">
        <f t="shared" si="3"/>
        <v>1</v>
      </c>
      <c r="AJ13">
        <f t="shared" si="3"/>
        <v>0</v>
      </c>
      <c r="AK13">
        <f t="shared" si="3"/>
        <v>0</v>
      </c>
      <c r="AL13">
        <f t="shared" si="3"/>
        <v>0</v>
      </c>
      <c r="AM13">
        <f t="shared" si="27"/>
        <v>1</v>
      </c>
      <c r="AN13">
        <f t="shared" si="4"/>
        <v>0</v>
      </c>
      <c r="AO13">
        <f t="shared" si="4"/>
        <v>1</v>
      </c>
      <c r="AP13">
        <f t="shared" si="4"/>
        <v>0</v>
      </c>
      <c r="AQ13">
        <f t="shared" si="4"/>
        <v>0</v>
      </c>
      <c r="AR13">
        <f t="shared" si="4"/>
        <v>0</v>
      </c>
      <c r="AS13">
        <f t="shared" si="28"/>
        <v>1</v>
      </c>
      <c r="AT13">
        <f t="shared" si="5"/>
        <v>0</v>
      </c>
      <c r="AU13">
        <f t="shared" si="5"/>
        <v>6</v>
      </c>
      <c r="AV13">
        <f t="shared" si="5"/>
        <v>0</v>
      </c>
      <c r="AW13">
        <f t="shared" si="5"/>
        <v>2</v>
      </c>
      <c r="AX13">
        <f t="shared" si="5"/>
        <v>0</v>
      </c>
      <c r="AY13">
        <f t="shared" si="29"/>
        <v>2</v>
      </c>
      <c r="AZ13">
        <f t="shared" si="6"/>
        <v>2</v>
      </c>
      <c r="BA13">
        <f t="shared" si="6"/>
        <v>5</v>
      </c>
      <c r="BB13">
        <f t="shared" si="6"/>
        <v>0</v>
      </c>
      <c r="BC13">
        <f t="shared" si="6"/>
        <v>6</v>
      </c>
      <c r="BD13">
        <f t="shared" si="6"/>
        <v>0</v>
      </c>
      <c r="BE13">
        <f t="shared" si="30"/>
        <v>3</v>
      </c>
      <c r="BF13">
        <f t="shared" si="7"/>
        <v>0</v>
      </c>
      <c r="BG13">
        <f t="shared" si="7"/>
        <v>20</v>
      </c>
      <c r="BH13">
        <f t="shared" si="7"/>
        <v>0</v>
      </c>
      <c r="BI13">
        <f t="shared" si="7"/>
        <v>8</v>
      </c>
      <c r="BJ13">
        <f t="shared" si="7"/>
        <v>0</v>
      </c>
      <c r="BK13">
        <f t="shared" si="31"/>
        <v>2</v>
      </c>
      <c r="BL13">
        <f t="shared" si="8"/>
        <v>44</v>
      </c>
      <c r="BM13">
        <f t="shared" si="8"/>
        <v>24</v>
      </c>
      <c r="BN13">
        <f t="shared" si="8"/>
        <v>0</v>
      </c>
      <c r="BO13">
        <f t="shared" si="8"/>
        <v>27</v>
      </c>
      <c r="BP13">
        <f t="shared" si="8"/>
        <v>0</v>
      </c>
      <c r="BQ13">
        <f t="shared" si="32"/>
        <v>3</v>
      </c>
      <c r="BR13">
        <f t="shared" si="9"/>
        <v>0</v>
      </c>
      <c r="BS13">
        <f t="shared" si="9"/>
        <v>3</v>
      </c>
      <c r="BT13">
        <f t="shared" si="9"/>
        <v>0</v>
      </c>
      <c r="BU13">
        <f t="shared" si="9"/>
        <v>2</v>
      </c>
      <c r="BV13">
        <f t="shared" si="9"/>
        <v>0</v>
      </c>
      <c r="BW13">
        <f t="shared" si="33"/>
        <v>2</v>
      </c>
      <c r="BX13">
        <f t="shared" si="10"/>
        <v>1</v>
      </c>
      <c r="BY13">
        <f t="shared" si="10"/>
        <v>1</v>
      </c>
      <c r="BZ13">
        <f t="shared" si="10"/>
        <v>0</v>
      </c>
      <c r="CA13">
        <f t="shared" si="10"/>
        <v>6</v>
      </c>
      <c r="CB13">
        <f t="shared" si="10"/>
        <v>0</v>
      </c>
      <c r="CC13">
        <f t="shared" si="34"/>
        <v>3</v>
      </c>
      <c r="CD13">
        <f t="shared" si="11"/>
        <v>0</v>
      </c>
      <c r="CE13">
        <f t="shared" si="11"/>
        <v>0</v>
      </c>
      <c r="CF13">
        <f t="shared" si="11"/>
        <v>0</v>
      </c>
      <c r="CG13">
        <f t="shared" si="11"/>
        <v>0</v>
      </c>
      <c r="CH13">
        <f t="shared" si="11"/>
        <v>0</v>
      </c>
      <c r="CI13">
        <f t="shared" si="35"/>
        <v>0</v>
      </c>
      <c r="CJ13">
        <f t="shared" si="12"/>
        <v>0</v>
      </c>
      <c r="CK13">
        <f t="shared" si="12"/>
        <v>0</v>
      </c>
      <c r="CL13">
        <f t="shared" si="12"/>
        <v>0</v>
      </c>
      <c r="CM13">
        <f t="shared" si="12"/>
        <v>6</v>
      </c>
      <c r="CN13">
        <f t="shared" si="12"/>
        <v>0</v>
      </c>
      <c r="CO13">
        <f t="shared" si="36"/>
        <v>1</v>
      </c>
    </row>
    <row r="14" spans="2:93" x14ac:dyDescent="0.35">
      <c r="B14" t="s">
        <v>458</v>
      </c>
      <c r="C14" s="5" t="str">
        <f t="shared" si="0"/>
        <v>GA10</v>
      </c>
      <c r="D14" s="5" t="s">
        <v>219</v>
      </c>
      <c r="E14" s="5" t="s">
        <v>97</v>
      </c>
      <c r="F14" s="5">
        <v>10</v>
      </c>
      <c r="G14" s="5">
        <f>ByCounty!I14</f>
        <v>12</v>
      </c>
      <c r="I14">
        <f t="shared" si="13"/>
        <v>3</v>
      </c>
      <c r="J14">
        <f t="shared" si="14"/>
        <v>4</v>
      </c>
      <c r="K14">
        <f t="shared" si="15"/>
        <v>4</v>
      </c>
      <c r="L14">
        <f t="shared" si="16"/>
        <v>4</v>
      </c>
      <c r="M14">
        <f t="shared" si="17"/>
        <v>1</v>
      </c>
      <c r="N14">
        <f t="shared" si="18"/>
        <v>4</v>
      </c>
      <c r="O14">
        <f t="shared" si="19"/>
        <v>1</v>
      </c>
      <c r="P14">
        <f t="shared" si="20"/>
        <v>2</v>
      </c>
      <c r="Q14">
        <f t="shared" si="21"/>
        <v>2</v>
      </c>
      <c r="R14">
        <f t="shared" si="22"/>
        <v>2</v>
      </c>
      <c r="S14">
        <f t="shared" si="23"/>
        <v>1</v>
      </c>
      <c r="T14">
        <f t="shared" si="24"/>
        <v>2</v>
      </c>
      <c r="V14">
        <f t="shared" si="1"/>
        <v>0</v>
      </c>
      <c r="W14">
        <f t="shared" si="1"/>
        <v>30</v>
      </c>
      <c r="X14">
        <f t="shared" si="1"/>
        <v>18</v>
      </c>
      <c r="Y14">
        <f t="shared" si="1"/>
        <v>12</v>
      </c>
      <c r="Z14">
        <f t="shared" si="1"/>
        <v>17</v>
      </c>
      <c r="AA14">
        <f t="shared" si="25"/>
        <v>4</v>
      </c>
      <c r="AB14">
        <f t="shared" si="2"/>
        <v>0</v>
      </c>
      <c r="AC14">
        <f t="shared" si="2"/>
        <v>31</v>
      </c>
      <c r="AD14">
        <f t="shared" si="2"/>
        <v>0</v>
      </c>
      <c r="AE14">
        <f t="shared" si="2"/>
        <v>180</v>
      </c>
      <c r="AF14">
        <f t="shared" si="2"/>
        <v>0</v>
      </c>
      <c r="AG14">
        <f t="shared" si="26"/>
        <v>2</v>
      </c>
      <c r="AH14">
        <f t="shared" si="3"/>
        <v>0</v>
      </c>
      <c r="AI14">
        <f t="shared" si="3"/>
        <v>1</v>
      </c>
      <c r="AJ14">
        <f t="shared" si="3"/>
        <v>1</v>
      </c>
      <c r="AK14">
        <f t="shared" si="3"/>
        <v>0</v>
      </c>
      <c r="AL14">
        <f t="shared" si="3"/>
        <v>2</v>
      </c>
      <c r="AM14">
        <f t="shared" si="27"/>
        <v>3</v>
      </c>
      <c r="AN14">
        <f t="shared" si="4"/>
        <v>0</v>
      </c>
      <c r="AO14">
        <f t="shared" si="4"/>
        <v>1</v>
      </c>
      <c r="AP14">
        <f t="shared" si="4"/>
        <v>0</v>
      </c>
      <c r="AQ14">
        <f t="shared" si="4"/>
        <v>0</v>
      </c>
      <c r="AR14">
        <f t="shared" si="4"/>
        <v>0</v>
      </c>
      <c r="AS14">
        <f t="shared" si="28"/>
        <v>1</v>
      </c>
      <c r="AT14">
        <f t="shared" si="5"/>
        <v>0</v>
      </c>
      <c r="AU14">
        <f t="shared" si="5"/>
        <v>6</v>
      </c>
      <c r="AV14">
        <f t="shared" si="5"/>
        <v>3</v>
      </c>
      <c r="AW14">
        <f t="shared" si="5"/>
        <v>2</v>
      </c>
      <c r="AX14">
        <f t="shared" si="5"/>
        <v>3</v>
      </c>
      <c r="AY14">
        <f t="shared" si="29"/>
        <v>4</v>
      </c>
      <c r="AZ14">
        <f t="shared" si="6"/>
        <v>0</v>
      </c>
      <c r="BA14">
        <f t="shared" si="6"/>
        <v>5</v>
      </c>
      <c r="BB14">
        <f t="shared" si="6"/>
        <v>0</v>
      </c>
      <c r="BC14">
        <f t="shared" si="6"/>
        <v>24</v>
      </c>
      <c r="BD14">
        <f t="shared" si="6"/>
        <v>0</v>
      </c>
      <c r="BE14">
        <f t="shared" si="30"/>
        <v>2</v>
      </c>
      <c r="BF14">
        <f t="shared" si="7"/>
        <v>0</v>
      </c>
      <c r="BG14">
        <f t="shared" si="7"/>
        <v>20</v>
      </c>
      <c r="BH14">
        <f t="shared" si="7"/>
        <v>12</v>
      </c>
      <c r="BI14">
        <f t="shared" si="7"/>
        <v>8</v>
      </c>
      <c r="BJ14">
        <f t="shared" si="7"/>
        <v>8</v>
      </c>
      <c r="BK14">
        <f t="shared" si="31"/>
        <v>4</v>
      </c>
      <c r="BL14">
        <f t="shared" si="8"/>
        <v>0</v>
      </c>
      <c r="BM14">
        <f t="shared" si="8"/>
        <v>24</v>
      </c>
      <c r="BN14">
        <f t="shared" si="8"/>
        <v>0</v>
      </c>
      <c r="BO14">
        <f t="shared" si="8"/>
        <v>108</v>
      </c>
      <c r="BP14">
        <f t="shared" si="8"/>
        <v>0</v>
      </c>
      <c r="BQ14">
        <f t="shared" si="32"/>
        <v>2</v>
      </c>
      <c r="BR14">
        <f t="shared" si="9"/>
        <v>0</v>
      </c>
      <c r="BS14">
        <f t="shared" si="9"/>
        <v>3</v>
      </c>
      <c r="BT14">
        <f t="shared" si="9"/>
        <v>2</v>
      </c>
      <c r="BU14">
        <f t="shared" si="9"/>
        <v>2</v>
      </c>
      <c r="BV14">
        <f t="shared" si="9"/>
        <v>2</v>
      </c>
      <c r="BW14">
        <f t="shared" si="33"/>
        <v>4</v>
      </c>
      <c r="BX14">
        <f t="shared" si="10"/>
        <v>0</v>
      </c>
      <c r="BY14">
        <f t="shared" si="10"/>
        <v>1</v>
      </c>
      <c r="BZ14">
        <f t="shared" si="10"/>
        <v>0</v>
      </c>
      <c r="CA14">
        <f t="shared" si="10"/>
        <v>24</v>
      </c>
      <c r="CB14">
        <f t="shared" si="10"/>
        <v>0</v>
      </c>
      <c r="CC14">
        <f t="shared" si="34"/>
        <v>2</v>
      </c>
      <c r="CD14">
        <f t="shared" si="11"/>
        <v>0</v>
      </c>
      <c r="CE14">
        <f t="shared" si="11"/>
        <v>0</v>
      </c>
      <c r="CF14">
        <f t="shared" si="11"/>
        <v>0</v>
      </c>
      <c r="CG14">
        <f t="shared" si="11"/>
        <v>0</v>
      </c>
      <c r="CH14">
        <f t="shared" si="11"/>
        <v>2</v>
      </c>
      <c r="CI14">
        <f t="shared" si="35"/>
        <v>1</v>
      </c>
      <c r="CJ14">
        <f t="shared" si="12"/>
        <v>0</v>
      </c>
      <c r="CK14">
        <f t="shared" si="12"/>
        <v>0</v>
      </c>
      <c r="CL14">
        <f t="shared" si="12"/>
        <v>0</v>
      </c>
      <c r="CM14">
        <f t="shared" si="12"/>
        <v>24</v>
      </c>
      <c r="CN14">
        <f t="shared" si="12"/>
        <v>0</v>
      </c>
      <c r="CO14">
        <f t="shared" si="36"/>
        <v>1</v>
      </c>
    </row>
    <row r="15" spans="2:93" x14ac:dyDescent="0.35">
      <c r="B15" t="s">
        <v>459</v>
      </c>
      <c r="C15" s="5" t="str">
        <f t="shared" si="0"/>
        <v>GA11</v>
      </c>
      <c r="D15" s="5" t="s">
        <v>219</v>
      </c>
      <c r="E15" s="5" t="s">
        <v>110</v>
      </c>
      <c r="F15" s="5">
        <v>11</v>
      </c>
      <c r="G15" s="5">
        <f>ByCounty!I15</f>
        <v>10</v>
      </c>
      <c r="I15">
        <f t="shared" si="13"/>
        <v>2</v>
      </c>
      <c r="J15">
        <f t="shared" si="14"/>
        <v>2</v>
      </c>
      <c r="K15">
        <f t="shared" si="15"/>
        <v>2</v>
      </c>
      <c r="L15">
        <f t="shared" si="16"/>
        <v>2</v>
      </c>
      <c r="M15">
        <f t="shared" si="17"/>
        <v>1</v>
      </c>
      <c r="N15">
        <f t="shared" si="18"/>
        <v>2</v>
      </c>
      <c r="O15">
        <f t="shared" si="19"/>
        <v>1</v>
      </c>
      <c r="P15">
        <f t="shared" si="20"/>
        <v>2</v>
      </c>
      <c r="Q15">
        <f t="shared" si="21"/>
        <v>2</v>
      </c>
      <c r="R15">
        <f t="shared" si="22"/>
        <v>2</v>
      </c>
      <c r="S15">
        <f t="shared" si="23"/>
        <v>0</v>
      </c>
      <c r="T15">
        <f t="shared" si="24"/>
        <v>2</v>
      </c>
      <c r="V15">
        <f t="shared" ref="V15:Z20" si="37">COUNTIFS(Carrier,V$4,AREA,$B15,YEAR,V$3)</f>
        <v>0</v>
      </c>
      <c r="W15">
        <f t="shared" si="37"/>
        <v>30</v>
      </c>
      <c r="X15">
        <f t="shared" si="37"/>
        <v>0</v>
      </c>
      <c r="Y15">
        <f t="shared" si="37"/>
        <v>0</v>
      </c>
      <c r="Z15">
        <f t="shared" si="37"/>
        <v>8</v>
      </c>
      <c r="AA15">
        <f t="shared" si="25"/>
        <v>2</v>
      </c>
      <c r="AB15">
        <f t="shared" ref="AB15:AF20" si="38">COUNTIFS(Carrier,AB$4,AREA,$B15,YEAR,AB$3)</f>
        <v>47</v>
      </c>
      <c r="AC15">
        <f t="shared" si="38"/>
        <v>15</v>
      </c>
      <c r="AD15">
        <f t="shared" si="38"/>
        <v>0</v>
      </c>
      <c r="AE15">
        <f t="shared" si="38"/>
        <v>0</v>
      </c>
      <c r="AF15">
        <f t="shared" si="38"/>
        <v>0</v>
      </c>
      <c r="AG15">
        <f t="shared" si="26"/>
        <v>2</v>
      </c>
      <c r="AH15">
        <f t="shared" ref="AH15:AL20" si="39">COUNTIFS(Carrier,AH$4,AREA,$B15,YEAR,AH$2,Metal,AH$3)</f>
        <v>0</v>
      </c>
      <c r="AI15">
        <f t="shared" si="39"/>
        <v>1</v>
      </c>
      <c r="AJ15">
        <f t="shared" si="39"/>
        <v>0</v>
      </c>
      <c r="AK15">
        <f t="shared" si="39"/>
        <v>0</v>
      </c>
      <c r="AL15">
        <f t="shared" si="39"/>
        <v>1</v>
      </c>
      <c r="AM15">
        <f t="shared" si="27"/>
        <v>2</v>
      </c>
      <c r="AN15">
        <f t="shared" ref="AN15:AR20" si="40">COUNTIFS(Carrier,AN$4,AREA,$B15,YEAR,AN$2,Metal,AN$3)</f>
        <v>0</v>
      </c>
      <c r="AO15">
        <f t="shared" si="40"/>
        <v>1</v>
      </c>
      <c r="AP15">
        <f t="shared" si="40"/>
        <v>0</v>
      </c>
      <c r="AQ15">
        <f t="shared" si="40"/>
        <v>0</v>
      </c>
      <c r="AR15">
        <f t="shared" si="40"/>
        <v>0</v>
      </c>
      <c r="AS15">
        <f t="shared" si="28"/>
        <v>1</v>
      </c>
      <c r="AT15">
        <f t="shared" ref="AT15:AX20" si="41">COUNTIFS(Carrier,AT$4,AREA,$B15,YEAR,AT$2,Metal,AT$3)</f>
        <v>0</v>
      </c>
      <c r="AU15">
        <f t="shared" si="41"/>
        <v>6</v>
      </c>
      <c r="AV15">
        <f t="shared" si="41"/>
        <v>0</v>
      </c>
      <c r="AW15">
        <f t="shared" si="41"/>
        <v>0</v>
      </c>
      <c r="AX15">
        <f t="shared" si="41"/>
        <v>1</v>
      </c>
      <c r="AY15">
        <f t="shared" si="29"/>
        <v>2</v>
      </c>
      <c r="AZ15">
        <f t="shared" ref="AZ15:BD20" si="42">COUNTIFS(Carrier,AZ$4,AREA,$B15,YEAR,AZ$2,Metal,AZ$3)</f>
        <v>2</v>
      </c>
      <c r="BA15">
        <f t="shared" si="42"/>
        <v>5</v>
      </c>
      <c r="BB15">
        <f t="shared" si="42"/>
        <v>0</v>
      </c>
      <c r="BC15">
        <f t="shared" si="42"/>
        <v>0</v>
      </c>
      <c r="BD15">
        <f t="shared" si="42"/>
        <v>0</v>
      </c>
      <c r="BE15">
        <f t="shared" si="30"/>
        <v>2</v>
      </c>
      <c r="BF15">
        <f t="shared" ref="BF15:BJ20" si="43">COUNTIFS(Carrier,BF$4,AREA,$B15,YEAR,BF$2,Metal,BF$3)</f>
        <v>0</v>
      </c>
      <c r="BG15">
        <f t="shared" si="43"/>
        <v>20</v>
      </c>
      <c r="BH15">
        <f t="shared" si="43"/>
        <v>0</v>
      </c>
      <c r="BI15">
        <f t="shared" si="43"/>
        <v>0</v>
      </c>
      <c r="BJ15">
        <f t="shared" si="43"/>
        <v>4</v>
      </c>
      <c r="BK15">
        <f t="shared" si="31"/>
        <v>2</v>
      </c>
      <c r="BL15">
        <f t="shared" ref="BL15:BP20" si="44">COUNTIFS(Carrier,BL$4,AREA,$B15,YEAR,BL$2,Metal,BL$3)</f>
        <v>44</v>
      </c>
      <c r="BM15">
        <f t="shared" si="44"/>
        <v>8</v>
      </c>
      <c r="BN15">
        <f t="shared" si="44"/>
        <v>0</v>
      </c>
      <c r="BO15">
        <f t="shared" si="44"/>
        <v>0</v>
      </c>
      <c r="BP15">
        <f t="shared" si="44"/>
        <v>0</v>
      </c>
      <c r="BQ15">
        <f t="shared" si="32"/>
        <v>2</v>
      </c>
      <c r="BR15">
        <f t="shared" ref="BR15:BV20" si="45">COUNTIFS(Carrier,BR$4,AREA,$B15,YEAR,BR$2,Metal,BR$3)</f>
        <v>0</v>
      </c>
      <c r="BS15">
        <f t="shared" si="45"/>
        <v>3</v>
      </c>
      <c r="BT15">
        <f t="shared" si="45"/>
        <v>0</v>
      </c>
      <c r="BU15">
        <f t="shared" si="45"/>
        <v>0</v>
      </c>
      <c r="BV15">
        <f t="shared" si="45"/>
        <v>1</v>
      </c>
      <c r="BW15">
        <f t="shared" si="33"/>
        <v>2</v>
      </c>
      <c r="BX15">
        <f t="shared" ref="BX15:CB20" si="46">COUNTIFS(Carrier,BX$4,AREA,$B15,YEAR,BX$2,Metal,BX$3)</f>
        <v>1</v>
      </c>
      <c r="BY15">
        <f t="shared" si="46"/>
        <v>1</v>
      </c>
      <c r="BZ15">
        <f t="shared" si="46"/>
        <v>0</v>
      </c>
      <c r="CA15">
        <f t="shared" si="46"/>
        <v>0</v>
      </c>
      <c r="CB15">
        <f t="shared" si="46"/>
        <v>0</v>
      </c>
      <c r="CC15">
        <f t="shared" si="34"/>
        <v>2</v>
      </c>
      <c r="CD15">
        <f t="shared" ref="CD15:CH20" si="47">COUNTIFS(Carrier,CD$4,AREA,$B15,YEAR,CD$2,Metal,CD$3)</f>
        <v>0</v>
      </c>
      <c r="CE15">
        <f t="shared" si="47"/>
        <v>0</v>
      </c>
      <c r="CF15">
        <f t="shared" si="47"/>
        <v>0</v>
      </c>
      <c r="CG15">
        <f t="shared" si="47"/>
        <v>0</v>
      </c>
      <c r="CH15">
        <f t="shared" si="47"/>
        <v>1</v>
      </c>
      <c r="CI15">
        <f t="shared" si="35"/>
        <v>1</v>
      </c>
      <c r="CJ15">
        <f t="shared" ref="CJ15:CN20" si="48">COUNTIFS(Carrier,CJ$4,AREA,$B15,YEAR,CJ$2,Metal,CJ$3)</f>
        <v>0</v>
      </c>
      <c r="CK15">
        <f t="shared" si="48"/>
        <v>0</v>
      </c>
      <c r="CL15">
        <f t="shared" si="48"/>
        <v>0</v>
      </c>
      <c r="CM15">
        <f t="shared" si="48"/>
        <v>0</v>
      </c>
      <c r="CN15">
        <f t="shared" si="48"/>
        <v>0</v>
      </c>
      <c r="CO15">
        <f t="shared" si="36"/>
        <v>0</v>
      </c>
    </row>
    <row r="16" spans="2:93" x14ac:dyDescent="0.35">
      <c r="B16" t="s">
        <v>460</v>
      </c>
      <c r="C16" s="5" t="str">
        <f t="shared" si="0"/>
        <v>GA12</v>
      </c>
      <c r="D16" s="5" t="s">
        <v>219</v>
      </c>
      <c r="E16" s="5" t="s">
        <v>121</v>
      </c>
      <c r="F16" s="5">
        <v>12</v>
      </c>
      <c r="G16" s="5">
        <f>ByCounty!I16</f>
        <v>13</v>
      </c>
      <c r="I16">
        <f t="shared" si="13"/>
        <v>2</v>
      </c>
      <c r="J16">
        <f t="shared" si="14"/>
        <v>2</v>
      </c>
      <c r="K16">
        <f t="shared" si="15"/>
        <v>2</v>
      </c>
      <c r="L16">
        <f t="shared" si="16"/>
        <v>2</v>
      </c>
      <c r="M16">
        <f t="shared" si="17"/>
        <v>1</v>
      </c>
      <c r="N16">
        <f t="shared" si="18"/>
        <v>2</v>
      </c>
      <c r="O16">
        <f t="shared" si="19"/>
        <v>1</v>
      </c>
      <c r="P16">
        <f t="shared" si="20"/>
        <v>2</v>
      </c>
      <c r="Q16">
        <f t="shared" si="21"/>
        <v>2</v>
      </c>
      <c r="R16">
        <f t="shared" si="22"/>
        <v>2</v>
      </c>
      <c r="S16">
        <f t="shared" si="23"/>
        <v>0</v>
      </c>
      <c r="T16">
        <f t="shared" si="24"/>
        <v>2</v>
      </c>
      <c r="V16">
        <f t="shared" si="37"/>
        <v>0</v>
      </c>
      <c r="W16">
        <f t="shared" si="37"/>
        <v>30</v>
      </c>
      <c r="X16">
        <f t="shared" si="37"/>
        <v>0</v>
      </c>
      <c r="Y16">
        <f t="shared" si="37"/>
        <v>0</v>
      </c>
      <c r="Z16">
        <f t="shared" si="37"/>
        <v>8</v>
      </c>
      <c r="AA16">
        <f t="shared" si="25"/>
        <v>2</v>
      </c>
      <c r="AB16">
        <f t="shared" si="38"/>
        <v>47</v>
      </c>
      <c r="AC16">
        <f t="shared" si="38"/>
        <v>15</v>
      </c>
      <c r="AD16">
        <f t="shared" si="38"/>
        <v>0</v>
      </c>
      <c r="AE16">
        <f t="shared" si="38"/>
        <v>0</v>
      </c>
      <c r="AF16">
        <f t="shared" si="38"/>
        <v>0</v>
      </c>
      <c r="AG16">
        <f t="shared" si="26"/>
        <v>2</v>
      </c>
      <c r="AH16">
        <f t="shared" si="39"/>
        <v>0</v>
      </c>
      <c r="AI16">
        <f t="shared" si="39"/>
        <v>1</v>
      </c>
      <c r="AJ16">
        <f t="shared" si="39"/>
        <v>0</v>
      </c>
      <c r="AK16">
        <f t="shared" si="39"/>
        <v>0</v>
      </c>
      <c r="AL16">
        <f t="shared" si="39"/>
        <v>1</v>
      </c>
      <c r="AM16">
        <f t="shared" si="27"/>
        <v>2</v>
      </c>
      <c r="AN16">
        <f t="shared" si="40"/>
        <v>0</v>
      </c>
      <c r="AO16">
        <f t="shared" si="40"/>
        <v>1</v>
      </c>
      <c r="AP16">
        <f t="shared" si="40"/>
        <v>0</v>
      </c>
      <c r="AQ16">
        <f t="shared" si="40"/>
        <v>0</v>
      </c>
      <c r="AR16">
        <f t="shared" si="40"/>
        <v>0</v>
      </c>
      <c r="AS16">
        <f t="shared" si="28"/>
        <v>1</v>
      </c>
      <c r="AT16">
        <f t="shared" si="41"/>
        <v>0</v>
      </c>
      <c r="AU16">
        <f t="shared" si="41"/>
        <v>6</v>
      </c>
      <c r="AV16">
        <f t="shared" si="41"/>
        <v>0</v>
      </c>
      <c r="AW16">
        <f t="shared" si="41"/>
        <v>0</v>
      </c>
      <c r="AX16">
        <f t="shared" si="41"/>
        <v>1</v>
      </c>
      <c r="AY16">
        <f t="shared" si="29"/>
        <v>2</v>
      </c>
      <c r="AZ16">
        <f t="shared" si="42"/>
        <v>2</v>
      </c>
      <c r="BA16">
        <f t="shared" si="42"/>
        <v>5</v>
      </c>
      <c r="BB16">
        <f t="shared" si="42"/>
        <v>0</v>
      </c>
      <c r="BC16">
        <f t="shared" si="42"/>
        <v>0</v>
      </c>
      <c r="BD16">
        <f t="shared" si="42"/>
        <v>0</v>
      </c>
      <c r="BE16">
        <f t="shared" si="30"/>
        <v>2</v>
      </c>
      <c r="BF16">
        <f t="shared" si="43"/>
        <v>0</v>
      </c>
      <c r="BG16">
        <f t="shared" si="43"/>
        <v>20</v>
      </c>
      <c r="BH16">
        <f t="shared" si="43"/>
        <v>0</v>
      </c>
      <c r="BI16">
        <f t="shared" si="43"/>
        <v>0</v>
      </c>
      <c r="BJ16">
        <f t="shared" si="43"/>
        <v>4</v>
      </c>
      <c r="BK16">
        <f t="shared" si="31"/>
        <v>2</v>
      </c>
      <c r="BL16">
        <f t="shared" si="44"/>
        <v>44</v>
      </c>
      <c r="BM16">
        <f t="shared" si="44"/>
        <v>8</v>
      </c>
      <c r="BN16">
        <f t="shared" si="44"/>
        <v>0</v>
      </c>
      <c r="BO16">
        <f t="shared" si="44"/>
        <v>0</v>
      </c>
      <c r="BP16">
        <f t="shared" si="44"/>
        <v>0</v>
      </c>
      <c r="BQ16">
        <f t="shared" si="32"/>
        <v>2</v>
      </c>
      <c r="BR16">
        <f t="shared" si="45"/>
        <v>0</v>
      </c>
      <c r="BS16">
        <f t="shared" si="45"/>
        <v>3</v>
      </c>
      <c r="BT16">
        <f t="shared" si="45"/>
        <v>0</v>
      </c>
      <c r="BU16">
        <f t="shared" si="45"/>
        <v>0</v>
      </c>
      <c r="BV16">
        <f t="shared" si="45"/>
        <v>1</v>
      </c>
      <c r="BW16">
        <f t="shared" si="33"/>
        <v>2</v>
      </c>
      <c r="BX16">
        <f t="shared" si="46"/>
        <v>1</v>
      </c>
      <c r="BY16">
        <f t="shared" si="46"/>
        <v>1</v>
      </c>
      <c r="BZ16">
        <f t="shared" si="46"/>
        <v>0</v>
      </c>
      <c r="CA16">
        <f t="shared" si="46"/>
        <v>0</v>
      </c>
      <c r="CB16">
        <f t="shared" si="46"/>
        <v>0</v>
      </c>
      <c r="CC16">
        <f t="shared" si="34"/>
        <v>2</v>
      </c>
      <c r="CD16">
        <f t="shared" si="47"/>
        <v>0</v>
      </c>
      <c r="CE16">
        <f t="shared" si="47"/>
        <v>0</v>
      </c>
      <c r="CF16">
        <f t="shared" si="47"/>
        <v>0</v>
      </c>
      <c r="CG16">
        <f t="shared" si="47"/>
        <v>0</v>
      </c>
      <c r="CH16">
        <f t="shared" si="47"/>
        <v>1</v>
      </c>
      <c r="CI16">
        <f t="shared" si="35"/>
        <v>1</v>
      </c>
      <c r="CJ16">
        <f t="shared" si="48"/>
        <v>0</v>
      </c>
      <c r="CK16">
        <f t="shared" si="48"/>
        <v>0</v>
      </c>
      <c r="CL16">
        <f t="shared" si="48"/>
        <v>0</v>
      </c>
      <c r="CM16">
        <f t="shared" si="48"/>
        <v>0</v>
      </c>
      <c r="CN16">
        <f t="shared" si="48"/>
        <v>0</v>
      </c>
      <c r="CO16">
        <f t="shared" si="36"/>
        <v>0</v>
      </c>
    </row>
    <row r="17" spans="1:93" x14ac:dyDescent="0.35">
      <c r="B17" t="s">
        <v>461</v>
      </c>
      <c r="C17" s="5" t="str">
        <f t="shared" si="0"/>
        <v>GA13</v>
      </c>
      <c r="D17" s="5" t="s">
        <v>219</v>
      </c>
      <c r="E17" s="5" t="s">
        <v>135</v>
      </c>
      <c r="F17" s="5">
        <v>13</v>
      </c>
      <c r="G17" s="5">
        <f>ByCounty!I17</f>
        <v>6</v>
      </c>
      <c r="I17">
        <f t="shared" si="13"/>
        <v>3</v>
      </c>
      <c r="J17">
        <f t="shared" si="14"/>
        <v>4</v>
      </c>
      <c r="K17">
        <f t="shared" si="15"/>
        <v>4</v>
      </c>
      <c r="L17">
        <f t="shared" si="16"/>
        <v>4</v>
      </c>
      <c r="M17">
        <f t="shared" si="17"/>
        <v>1</v>
      </c>
      <c r="N17">
        <f t="shared" si="18"/>
        <v>4</v>
      </c>
      <c r="O17">
        <f t="shared" si="19"/>
        <v>1</v>
      </c>
      <c r="P17">
        <f t="shared" si="20"/>
        <v>3</v>
      </c>
      <c r="Q17">
        <f t="shared" si="21"/>
        <v>3</v>
      </c>
      <c r="R17">
        <f t="shared" si="22"/>
        <v>3</v>
      </c>
      <c r="S17">
        <f t="shared" si="23"/>
        <v>1</v>
      </c>
      <c r="T17">
        <f t="shared" si="24"/>
        <v>3</v>
      </c>
      <c r="V17">
        <f t="shared" si="37"/>
        <v>0</v>
      </c>
      <c r="W17">
        <f t="shared" si="37"/>
        <v>30</v>
      </c>
      <c r="X17">
        <f t="shared" si="37"/>
        <v>18</v>
      </c>
      <c r="Y17">
        <f t="shared" si="37"/>
        <v>12</v>
      </c>
      <c r="Z17">
        <f t="shared" si="37"/>
        <v>17</v>
      </c>
      <c r="AA17">
        <f t="shared" si="25"/>
        <v>4</v>
      </c>
      <c r="AB17">
        <f t="shared" si="38"/>
        <v>47</v>
      </c>
      <c r="AC17">
        <f t="shared" si="38"/>
        <v>31</v>
      </c>
      <c r="AD17">
        <f t="shared" si="38"/>
        <v>0</v>
      </c>
      <c r="AE17">
        <f t="shared" si="38"/>
        <v>75</v>
      </c>
      <c r="AF17">
        <f t="shared" si="38"/>
        <v>0</v>
      </c>
      <c r="AG17">
        <f t="shared" si="26"/>
        <v>3</v>
      </c>
      <c r="AH17">
        <f t="shared" si="39"/>
        <v>0</v>
      </c>
      <c r="AI17">
        <f t="shared" si="39"/>
        <v>1</v>
      </c>
      <c r="AJ17">
        <f t="shared" si="39"/>
        <v>1</v>
      </c>
      <c r="AK17">
        <f t="shared" si="39"/>
        <v>0</v>
      </c>
      <c r="AL17">
        <f t="shared" si="39"/>
        <v>2</v>
      </c>
      <c r="AM17">
        <f t="shared" si="27"/>
        <v>3</v>
      </c>
      <c r="AN17">
        <f t="shared" si="40"/>
        <v>0</v>
      </c>
      <c r="AO17">
        <f t="shared" si="40"/>
        <v>1</v>
      </c>
      <c r="AP17">
        <f t="shared" si="40"/>
        <v>0</v>
      </c>
      <c r="AQ17">
        <f t="shared" si="40"/>
        <v>0</v>
      </c>
      <c r="AR17">
        <f t="shared" si="40"/>
        <v>0</v>
      </c>
      <c r="AS17">
        <f t="shared" si="28"/>
        <v>1</v>
      </c>
      <c r="AT17">
        <f t="shared" si="41"/>
        <v>0</v>
      </c>
      <c r="AU17">
        <f t="shared" si="41"/>
        <v>6</v>
      </c>
      <c r="AV17">
        <f t="shared" si="41"/>
        <v>3</v>
      </c>
      <c r="AW17">
        <f t="shared" si="41"/>
        <v>2</v>
      </c>
      <c r="AX17">
        <f t="shared" si="41"/>
        <v>3</v>
      </c>
      <c r="AY17">
        <f t="shared" si="29"/>
        <v>4</v>
      </c>
      <c r="AZ17">
        <f t="shared" si="42"/>
        <v>2</v>
      </c>
      <c r="BA17">
        <f t="shared" si="42"/>
        <v>5</v>
      </c>
      <c r="BB17">
        <f t="shared" si="42"/>
        <v>0</v>
      </c>
      <c r="BC17">
        <f t="shared" si="42"/>
        <v>10</v>
      </c>
      <c r="BD17">
        <f t="shared" si="42"/>
        <v>0</v>
      </c>
      <c r="BE17">
        <f t="shared" si="30"/>
        <v>3</v>
      </c>
      <c r="BF17">
        <f t="shared" si="43"/>
        <v>0</v>
      </c>
      <c r="BG17">
        <f t="shared" si="43"/>
        <v>20</v>
      </c>
      <c r="BH17">
        <f t="shared" si="43"/>
        <v>12</v>
      </c>
      <c r="BI17">
        <f t="shared" si="43"/>
        <v>8</v>
      </c>
      <c r="BJ17">
        <f t="shared" si="43"/>
        <v>8</v>
      </c>
      <c r="BK17">
        <f t="shared" si="31"/>
        <v>4</v>
      </c>
      <c r="BL17">
        <f t="shared" si="44"/>
        <v>44</v>
      </c>
      <c r="BM17">
        <f t="shared" si="44"/>
        <v>24</v>
      </c>
      <c r="BN17">
        <f t="shared" si="44"/>
        <v>0</v>
      </c>
      <c r="BO17">
        <f t="shared" si="44"/>
        <v>45</v>
      </c>
      <c r="BP17">
        <f t="shared" si="44"/>
        <v>0</v>
      </c>
      <c r="BQ17">
        <f t="shared" si="32"/>
        <v>3</v>
      </c>
      <c r="BR17">
        <f t="shared" si="45"/>
        <v>0</v>
      </c>
      <c r="BS17">
        <f t="shared" si="45"/>
        <v>3</v>
      </c>
      <c r="BT17">
        <f t="shared" si="45"/>
        <v>2</v>
      </c>
      <c r="BU17">
        <f t="shared" si="45"/>
        <v>2</v>
      </c>
      <c r="BV17">
        <f t="shared" si="45"/>
        <v>2</v>
      </c>
      <c r="BW17">
        <f t="shared" si="33"/>
        <v>4</v>
      </c>
      <c r="BX17">
        <f t="shared" si="46"/>
        <v>1</v>
      </c>
      <c r="BY17">
        <f t="shared" si="46"/>
        <v>1</v>
      </c>
      <c r="BZ17">
        <f t="shared" si="46"/>
        <v>0</v>
      </c>
      <c r="CA17">
        <f t="shared" si="46"/>
        <v>10</v>
      </c>
      <c r="CB17">
        <f t="shared" si="46"/>
        <v>0</v>
      </c>
      <c r="CC17">
        <f t="shared" si="34"/>
        <v>3</v>
      </c>
      <c r="CD17">
        <f t="shared" si="47"/>
        <v>0</v>
      </c>
      <c r="CE17">
        <f t="shared" si="47"/>
        <v>0</v>
      </c>
      <c r="CF17">
        <f t="shared" si="47"/>
        <v>0</v>
      </c>
      <c r="CG17">
        <f t="shared" si="47"/>
        <v>0</v>
      </c>
      <c r="CH17">
        <f t="shared" si="47"/>
        <v>2</v>
      </c>
      <c r="CI17">
        <f t="shared" si="35"/>
        <v>1</v>
      </c>
      <c r="CJ17">
        <f t="shared" si="48"/>
        <v>0</v>
      </c>
      <c r="CK17">
        <f t="shared" si="48"/>
        <v>0</v>
      </c>
      <c r="CL17">
        <f t="shared" si="48"/>
        <v>0</v>
      </c>
      <c r="CM17">
        <f t="shared" si="48"/>
        <v>10</v>
      </c>
      <c r="CN17">
        <f t="shared" si="48"/>
        <v>0</v>
      </c>
      <c r="CO17">
        <f t="shared" si="36"/>
        <v>1</v>
      </c>
    </row>
    <row r="18" spans="1:93" x14ac:dyDescent="0.35">
      <c r="B18" t="s">
        <v>462</v>
      </c>
      <c r="C18" s="5" t="str">
        <f t="shared" si="0"/>
        <v>GA14</v>
      </c>
      <c r="D18" s="5" t="s">
        <v>219</v>
      </c>
      <c r="E18" s="5" t="s">
        <v>142</v>
      </c>
      <c r="F18" s="5">
        <v>14</v>
      </c>
      <c r="G18" s="5">
        <f>ByCounty!I18</f>
        <v>11</v>
      </c>
      <c r="I18">
        <f t="shared" si="13"/>
        <v>2</v>
      </c>
      <c r="J18">
        <f t="shared" si="14"/>
        <v>2</v>
      </c>
      <c r="K18">
        <f t="shared" si="15"/>
        <v>2</v>
      </c>
      <c r="L18">
        <f t="shared" si="16"/>
        <v>2</v>
      </c>
      <c r="M18">
        <f t="shared" si="17"/>
        <v>1</v>
      </c>
      <c r="N18">
        <f t="shared" si="18"/>
        <v>2</v>
      </c>
      <c r="O18">
        <f t="shared" si="19"/>
        <v>0</v>
      </c>
      <c r="P18">
        <f t="shared" si="20"/>
        <v>1</v>
      </c>
      <c r="Q18">
        <f t="shared" si="21"/>
        <v>1</v>
      </c>
      <c r="R18">
        <f t="shared" si="22"/>
        <v>1</v>
      </c>
      <c r="S18">
        <f t="shared" si="23"/>
        <v>0</v>
      </c>
      <c r="T18">
        <f t="shared" si="24"/>
        <v>1</v>
      </c>
      <c r="V18">
        <f t="shared" si="37"/>
        <v>0</v>
      </c>
      <c r="W18">
        <f t="shared" si="37"/>
        <v>30</v>
      </c>
      <c r="X18">
        <f t="shared" si="37"/>
        <v>0</v>
      </c>
      <c r="Y18">
        <f t="shared" si="37"/>
        <v>0</v>
      </c>
      <c r="Z18">
        <f t="shared" si="37"/>
        <v>8</v>
      </c>
      <c r="AA18">
        <f t="shared" si="25"/>
        <v>2</v>
      </c>
      <c r="AB18">
        <f t="shared" si="38"/>
        <v>47</v>
      </c>
      <c r="AC18">
        <f t="shared" si="38"/>
        <v>0</v>
      </c>
      <c r="AD18">
        <f t="shared" si="38"/>
        <v>0</v>
      </c>
      <c r="AE18">
        <f t="shared" si="38"/>
        <v>0</v>
      </c>
      <c r="AF18">
        <f t="shared" si="38"/>
        <v>0</v>
      </c>
      <c r="AG18">
        <f t="shared" si="26"/>
        <v>1</v>
      </c>
      <c r="AH18">
        <f t="shared" si="39"/>
        <v>0</v>
      </c>
      <c r="AI18">
        <f t="shared" si="39"/>
        <v>1</v>
      </c>
      <c r="AJ18">
        <f t="shared" si="39"/>
        <v>0</v>
      </c>
      <c r="AK18">
        <f t="shared" si="39"/>
        <v>0</v>
      </c>
      <c r="AL18">
        <f t="shared" si="39"/>
        <v>1</v>
      </c>
      <c r="AM18">
        <f t="shared" si="27"/>
        <v>2</v>
      </c>
      <c r="AN18">
        <f t="shared" si="40"/>
        <v>0</v>
      </c>
      <c r="AO18">
        <f t="shared" si="40"/>
        <v>0</v>
      </c>
      <c r="AP18">
        <f t="shared" si="40"/>
        <v>0</v>
      </c>
      <c r="AQ18">
        <f t="shared" si="40"/>
        <v>0</v>
      </c>
      <c r="AR18">
        <f t="shared" si="40"/>
        <v>0</v>
      </c>
      <c r="AS18">
        <f t="shared" si="28"/>
        <v>0</v>
      </c>
      <c r="AT18">
        <f t="shared" si="41"/>
        <v>0</v>
      </c>
      <c r="AU18">
        <f t="shared" si="41"/>
        <v>6</v>
      </c>
      <c r="AV18">
        <f t="shared" si="41"/>
        <v>0</v>
      </c>
      <c r="AW18">
        <f t="shared" si="41"/>
        <v>0</v>
      </c>
      <c r="AX18">
        <f t="shared" si="41"/>
        <v>1</v>
      </c>
      <c r="AY18">
        <f t="shared" si="29"/>
        <v>2</v>
      </c>
      <c r="AZ18">
        <f t="shared" si="42"/>
        <v>2</v>
      </c>
      <c r="BA18">
        <f t="shared" si="42"/>
        <v>0</v>
      </c>
      <c r="BB18">
        <f t="shared" si="42"/>
        <v>0</v>
      </c>
      <c r="BC18">
        <f t="shared" si="42"/>
        <v>0</v>
      </c>
      <c r="BD18">
        <f t="shared" si="42"/>
        <v>0</v>
      </c>
      <c r="BE18">
        <f t="shared" si="30"/>
        <v>1</v>
      </c>
      <c r="BF18">
        <f t="shared" si="43"/>
        <v>0</v>
      </c>
      <c r="BG18">
        <f t="shared" si="43"/>
        <v>20</v>
      </c>
      <c r="BH18">
        <f t="shared" si="43"/>
        <v>0</v>
      </c>
      <c r="BI18">
        <f t="shared" si="43"/>
        <v>0</v>
      </c>
      <c r="BJ18">
        <f t="shared" si="43"/>
        <v>4</v>
      </c>
      <c r="BK18">
        <f t="shared" si="31"/>
        <v>2</v>
      </c>
      <c r="BL18">
        <f t="shared" si="44"/>
        <v>44</v>
      </c>
      <c r="BM18">
        <f t="shared" si="44"/>
        <v>0</v>
      </c>
      <c r="BN18">
        <f t="shared" si="44"/>
        <v>0</v>
      </c>
      <c r="BO18">
        <f t="shared" si="44"/>
        <v>0</v>
      </c>
      <c r="BP18">
        <f t="shared" si="44"/>
        <v>0</v>
      </c>
      <c r="BQ18">
        <f t="shared" si="32"/>
        <v>1</v>
      </c>
      <c r="BR18">
        <f t="shared" si="45"/>
        <v>0</v>
      </c>
      <c r="BS18">
        <f t="shared" si="45"/>
        <v>3</v>
      </c>
      <c r="BT18">
        <f t="shared" si="45"/>
        <v>0</v>
      </c>
      <c r="BU18">
        <f t="shared" si="45"/>
        <v>0</v>
      </c>
      <c r="BV18">
        <f t="shared" si="45"/>
        <v>1</v>
      </c>
      <c r="BW18">
        <f t="shared" si="33"/>
        <v>2</v>
      </c>
      <c r="BX18">
        <f t="shared" si="46"/>
        <v>1</v>
      </c>
      <c r="BY18">
        <f t="shared" si="46"/>
        <v>0</v>
      </c>
      <c r="BZ18">
        <f t="shared" si="46"/>
        <v>0</v>
      </c>
      <c r="CA18">
        <f t="shared" si="46"/>
        <v>0</v>
      </c>
      <c r="CB18">
        <f t="shared" si="46"/>
        <v>0</v>
      </c>
      <c r="CC18">
        <f t="shared" si="34"/>
        <v>1</v>
      </c>
      <c r="CD18">
        <f t="shared" si="47"/>
        <v>0</v>
      </c>
      <c r="CE18">
        <f t="shared" si="47"/>
        <v>0</v>
      </c>
      <c r="CF18">
        <f t="shared" si="47"/>
        <v>0</v>
      </c>
      <c r="CG18">
        <f t="shared" si="47"/>
        <v>0</v>
      </c>
      <c r="CH18">
        <f t="shared" si="47"/>
        <v>1</v>
      </c>
      <c r="CI18">
        <f t="shared" si="35"/>
        <v>1</v>
      </c>
      <c r="CJ18">
        <f t="shared" si="48"/>
        <v>0</v>
      </c>
      <c r="CK18">
        <f t="shared" si="48"/>
        <v>0</v>
      </c>
      <c r="CL18">
        <f t="shared" si="48"/>
        <v>0</v>
      </c>
      <c r="CM18">
        <f t="shared" si="48"/>
        <v>0</v>
      </c>
      <c r="CN18">
        <f t="shared" si="48"/>
        <v>0</v>
      </c>
      <c r="CO18">
        <f t="shared" si="36"/>
        <v>0</v>
      </c>
    </row>
    <row r="19" spans="1:93" x14ac:dyDescent="0.35">
      <c r="B19" t="s">
        <v>463</v>
      </c>
      <c r="C19" s="5" t="str">
        <f t="shared" si="0"/>
        <v>GA15</v>
      </c>
      <c r="D19" s="5" t="s">
        <v>219</v>
      </c>
      <c r="E19" s="5" t="s">
        <v>154</v>
      </c>
      <c r="F19" s="5">
        <v>15</v>
      </c>
      <c r="G19" s="5">
        <f>ByCounty!I19</f>
        <v>18</v>
      </c>
      <c r="I19">
        <f t="shared" si="13"/>
        <v>1</v>
      </c>
      <c r="J19">
        <f t="shared" si="14"/>
        <v>1</v>
      </c>
      <c r="K19">
        <f t="shared" si="15"/>
        <v>1</v>
      </c>
      <c r="L19">
        <f t="shared" si="16"/>
        <v>1</v>
      </c>
      <c r="M19">
        <f t="shared" si="17"/>
        <v>0</v>
      </c>
      <c r="N19">
        <f t="shared" si="18"/>
        <v>1</v>
      </c>
      <c r="O19">
        <f t="shared" si="19"/>
        <v>1</v>
      </c>
      <c r="P19">
        <f t="shared" si="20"/>
        <v>2</v>
      </c>
      <c r="Q19">
        <f t="shared" si="21"/>
        <v>2</v>
      </c>
      <c r="R19">
        <f t="shared" si="22"/>
        <v>2</v>
      </c>
      <c r="S19">
        <f t="shared" si="23"/>
        <v>0</v>
      </c>
      <c r="T19">
        <f t="shared" si="24"/>
        <v>2</v>
      </c>
      <c r="V19">
        <f t="shared" si="37"/>
        <v>0</v>
      </c>
      <c r="W19">
        <f t="shared" si="37"/>
        <v>30</v>
      </c>
      <c r="X19">
        <f t="shared" si="37"/>
        <v>0</v>
      </c>
      <c r="Y19">
        <f t="shared" si="37"/>
        <v>0</v>
      </c>
      <c r="Z19">
        <f t="shared" si="37"/>
        <v>0</v>
      </c>
      <c r="AA19">
        <f t="shared" si="25"/>
        <v>1</v>
      </c>
      <c r="AB19">
        <f t="shared" si="38"/>
        <v>47</v>
      </c>
      <c r="AC19">
        <f t="shared" si="38"/>
        <v>15</v>
      </c>
      <c r="AD19">
        <f t="shared" si="38"/>
        <v>0</v>
      </c>
      <c r="AE19">
        <f t="shared" si="38"/>
        <v>0</v>
      </c>
      <c r="AF19">
        <f t="shared" si="38"/>
        <v>0</v>
      </c>
      <c r="AG19">
        <f t="shared" si="26"/>
        <v>2</v>
      </c>
      <c r="AH19">
        <f t="shared" si="39"/>
        <v>0</v>
      </c>
      <c r="AI19">
        <f t="shared" si="39"/>
        <v>1</v>
      </c>
      <c r="AJ19">
        <f t="shared" si="39"/>
        <v>0</v>
      </c>
      <c r="AK19">
        <f t="shared" si="39"/>
        <v>0</v>
      </c>
      <c r="AL19">
        <f t="shared" si="39"/>
        <v>0</v>
      </c>
      <c r="AM19">
        <f t="shared" si="27"/>
        <v>1</v>
      </c>
      <c r="AN19">
        <f t="shared" si="40"/>
        <v>0</v>
      </c>
      <c r="AO19">
        <f t="shared" si="40"/>
        <v>1</v>
      </c>
      <c r="AP19">
        <f t="shared" si="40"/>
        <v>0</v>
      </c>
      <c r="AQ19">
        <f t="shared" si="40"/>
        <v>0</v>
      </c>
      <c r="AR19">
        <f t="shared" si="40"/>
        <v>0</v>
      </c>
      <c r="AS19">
        <f t="shared" si="28"/>
        <v>1</v>
      </c>
      <c r="AT19">
        <f t="shared" si="41"/>
        <v>0</v>
      </c>
      <c r="AU19">
        <f t="shared" si="41"/>
        <v>6</v>
      </c>
      <c r="AV19">
        <f t="shared" si="41"/>
        <v>0</v>
      </c>
      <c r="AW19">
        <f t="shared" si="41"/>
        <v>0</v>
      </c>
      <c r="AX19">
        <f t="shared" si="41"/>
        <v>0</v>
      </c>
      <c r="AY19">
        <f t="shared" si="29"/>
        <v>1</v>
      </c>
      <c r="AZ19">
        <f t="shared" si="42"/>
        <v>2</v>
      </c>
      <c r="BA19">
        <f t="shared" si="42"/>
        <v>5</v>
      </c>
      <c r="BB19">
        <f t="shared" si="42"/>
        <v>0</v>
      </c>
      <c r="BC19">
        <f t="shared" si="42"/>
        <v>0</v>
      </c>
      <c r="BD19">
        <f t="shared" si="42"/>
        <v>0</v>
      </c>
      <c r="BE19">
        <f t="shared" si="30"/>
        <v>2</v>
      </c>
      <c r="BF19">
        <f t="shared" si="43"/>
        <v>0</v>
      </c>
      <c r="BG19">
        <f t="shared" si="43"/>
        <v>20</v>
      </c>
      <c r="BH19">
        <f t="shared" si="43"/>
        <v>0</v>
      </c>
      <c r="BI19">
        <f t="shared" si="43"/>
        <v>0</v>
      </c>
      <c r="BJ19">
        <f t="shared" si="43"/>
        <v>0</v>
      </c>
      <c r="BK19">
        <f t="shared" si="31"/>
        <v>1</v>
      </c>
      <c r="BL19">
        <f t="shared" si="44"/>
        <v>44</v>
      </c>
      <c r="BM19">
        <f t="shared" si="44"/>
        <v>8</v>
      </c>
      <c r="BN19">
        <f t="shared" si="44"/>
        <v>0</v>
      </c>
      <c r="BO19">
        <f t="shared" si="44"/>
        <v>0</v>
      </c>
      <c r="BP19">
        <f t="shared" si="44"/>
        <v>0</v>
      </c>
      <c r="BQ19">
        <f t="shared" si="32"/>
        <v>2</v>
      </c>
      <c r="BR19">
        <f t="shared" si="45"/>
        <v>0</v>
      </c>
      <c r="BS19">
        <f t="shared" si="45"/>
        <v>3</v>
      </c>
      <c r="BT19">
        <f t="shared" si="45"/>
        <v>0</v>
      </c>
      <c r="BU19">
        <f t="shared" si="45"/>
        <v>0</v>
      </c>
      <c r="BV19">
        <f t="shared" si="45"/>
        <v>0</v>
      </c>
      <c r="BW19">
        <f t="shared" si="33"/>
        <v>1</v>
      </c>
      <c r="BX19">
        <f t="shared" si="46"/>
        <v>1</v>
      </c>
      <c r="BY19">
        <f t="shared" si="46"/>
        <v>1</v>
      </c>
      <c r="BZ19">
        <f t="shared" si="46"/>
        <v>0</v>
      </c>
      <c r="CA19">
        <f t="shared" si="46"/>
        <v>0</v>
      </c>
      <c r="CB19">
        <f t="shared" si="46"/>
        <v>0</v>
      </c>
      <c r="CC19">
        <f t="shared" si="34"/>
        <v>2</v>
      </c>
      <c r="CD19">
        <f t="shared" si="47"/>
        <v>0</v>
      </c>
      <c r="CE19">
        <f t="shared" si="47"/>
        <v>0</v>
      </c>
      <c r="CF19">
        <f t="shared" si="47"/>
        <v>0</v>
      </c>
      <c r="CG19">
        <f t="shared" si="47"/>
        <v>0</v>
      </c>
      <c r="CH19">
        <f t="shared" si="47"/>
        <v>0</v>
      </c>
      <c r="CI19">
        <f t="shared" si="35"/>
        <v>0</v>
      </c>
      <c r="CJ19">
        <f t="shared" si="48"/>
        <v>0</v>
      </c>
      <c r="CK19">
        <f t="shared" si="48"/>
        <v>0</v>
      </c>
      <c r="CL19">
        <f t="shared" si="48"/>
        <v>0</v>
      </c>
      <c r="CM19">
        <f t="shared" si="48"/>
        <v>0</v>
      </c>
      <c r="CN19">
        <f t="shared" si="48"/>
        <v>0</v>
      </c>
      <c r="CO19">
        <f t="shared" si="36"/>
        <v>0</v>
      </c>
    </row>
    <row r="20" spans="1:93" x14ac:dyDescent="0.35">
      <c r="B20" t="s">
        <v>464</v>
      </c>
      <c r="C20" s="5" t="str">
        <f t="shared" si="0"/>
        <v>GA16</v>
      </c>
      <c r="D20" s="5" t="s">
        <v>219</v>
      </c>
      <c r="E20" s="5" t="s">
        <v>173</v>
      </c>
      <c r="F20" s="5">
        <v>16</v>
      </c>
      <c r="G20" s="5">
        <f>ByCounty!I20</f>
        <v>4</v>
      </c>
      <c r="I20">
        <f t="shared" si="13"/>
        <v>2</v>
      </c>
      <c r="J20">
        <f t="shared" si="14"/>
        <v>2</v>
      </c>
      <c r="K20">
        <f t="shared" si="15"/>
        <v>2</v>
      </c>
      <c r="L20">
        <f t="shared" si="16"/>
        <v>2</v>
      </c>
      <c r="M20">
        <f t="shared" si="17"/>
        <v>1</v>
      </c>
      <c r="N20">
        <f t="shared" si="18"/>
        <v>2</v>
      </c>
      <c r="O20">
        <f t="shared" si="19"/>
        <v>1</v>
      </c>
      <c r="P20">
        <f t="shared" si="20"/>
        <v>1</v>
      </c>
      <c r="Q20">
        <f t="shared" si="21"/>
        <v>1</v>
      </c>
      <c r="R20">
        <f t="shared" si="22"/>
        <v>1</v>
      </c>
      <c r="S20">
        <f t="shared" si="23"/>
        <v>0</v>
      </c>
      <c r="T20">
        <f t="shared" si="24"/>
        <v>1</v>
      </c>
      <c r="V20">
        <f t="shared" si="37"/>
        <v>0</v>
      </c>
      <c r="W20">
        <f t="shared" si="37"/>
        <v>30</v>
      </c>
      <c r="X20">
        <f t="shared" si="37"/>
        <v>0</v>
      </c>
      <c r="Y20">
        <f t="shared" si="37"/>
        <v>0</v>
      </c>
      <c r="Z20">
        <f t="shared" si="37"/>
        <v>8</v>
      </c>
      <c r="AA20">
        <f t="shared" si="25"/>
        <v>2</v>
      </c>
      <c r="AB20">
        <f t="shared" si="38"/>
        <v>0</v>
      </c>
      <c r="AC20">
        <f t="shared" si="38"/>
        <v>15</v>
      </c>
      <c r="AD20">
        <f t="shared" si="38"/>
        <v>0</v>
      </c>
      <c r="AE20">
        <f t="shared" si="38"/>
        <v>0</v>
      </c>
      <c r="AF20">
        <f t="shared" si="38"/>
        <v>0</v>
      </c>
      <c r="AG20">
        <f t="shared" si="26"/>
        <v>1</v>
      </c>
      <c r="AH20">
        <f t="shared" si="39"/>
        <v>0</v>
      </c>
      <c r="AI20">
        <f t="shared" si="39"/>
        <v>1</v>
      </c>
      <c r="AJ20">
        <f t="shared" si="39"/>
        <v>0</v>
      </c>
      <c r="AK20">
        <f t="shared" si="39"/>
        <v>0</v>
      </c>
      <c r="AL20">
        <f t="shared" si="39"/>
        <v>1</v>
      </c>
      <c r="AM20">
        <f t="shared" si="27"/>
        <v>2</v>
      </c>
      <c r="AN20">
        <f t="shared" si="40"/>
        <v>0</v>
      </c>
      <c r="AO20">
        <f t="shared" si="40"/>
        <v>1</v>
      </c>
      <c r="AP20">
        <f t="shared" si="40"/>
        <v>0</v>
      </c>
      <c r="AQ20">
        <f t="shared" si="40"/>
        <v>0</v>
      </c>
      <c r="AR20">
        <f t="shared" si="40"/>
        <v>0</v>
      </c>
      <c r="AS20">
        <f t="shared" si="28"/>
        <v>1</v>
      </c>
      <c r="AT20">
        <f t="shared" si="41"/>
        <v>0</v>
      </c>
      <c r="AU20">
        <f t="shared" si="41"/>
        <v>6</v>
      </c>
      <c r="AV20">
        <f t="shared" si="41"/>
        <v>0</v>
      </c>
      <c r="AW20">
        <f t="shared" si="41"/>
        <v>0</v>
      </c>
      <c r="AX20">
        <f t="shared" si="41"/>
        <v>1</v>
      </c>
      <c r="AY20">
        <f t="shared" si="29"/>
        <v>2</v>
      </c>
      <c r="AZ20">
        <f t="shared" si="42"/>
        <v>0</v>
      </c>
      <c r="BA20">
        <f t="shared" si="42"/>
        <v>5</v>
      </c>
      <c r="BB20">
        <f t="shared" si="42"/>
        <v>0</v>
      </c>
      <c r="BC20">
        <f t="shared" si="42"/>
        <v>0</v>
      </c>
      <c r="BD20">
        <f t="shared" si="42"/>
        <v>0</v>
      </c>
      <c r="BE20">
        <f t="shared" si="30"/>
        <v>1</v>
      </c>
      <c r="BF20">
        <f t="shared" si="43"/>
        <v>0</v>
      </c>
      <c r="BG20">
        <f t="shared" si="43"/>
        <v>20</v>
      </c>
      <c r="BH20">
        <f t="shared" si="43"/>
        <v>0</v>
      </c>
      <c r="BI20">
        <f t="shared" si="43"/>
        <v>0</v>
      </c>
      <c r="BJ20">
        <f t="shared" si="43"/>
        <v>4</v>
      </c>
      <c r="BK20">
        <f t="shared" si="31"/>
        <v>2</v>
      </c>
      <c r="BL20">
        <f t="shared" si="44"/>
        <v>0</v>
      </c>
      <c r="BM20">
        <f t="shared" si="44"/>
        <v>8</v>
      </c>
      <c r="BN20">
        <f t="shared" si="44"/>
        <v>0</v>
      </c>
      <c r="BO20">
        <f t="shared" si="44"/>
        <v>0</v>
      </c>
      <c r="BP20">
        <f t="shared" si="44"/>
        <v>0</v>
      </c>
      <c r="BQ20">
        <f t="shared" si="32"/>
        <v>1</v>
      </c>
      <c r="BR20">
        <f t="shared" si="45"/>
        <v>0</v>
      </c>
      <c r="BS20">
        <f t="shared" si="45"/>
        <v>3</v>
      </c>
      <c r="BT20">
        <f t="shared" si="45"/>
        <v>0</v>
      </c>
      <c r="BU20">
        <f t="shared" si="45"/>
        <v>0</v>
      </c>
      <c r="BV20">
        <f t="shared" si="45"/>
        <v>1</v>
      </c>
      <c r="BW20">
        <f t="shared" si="33"/>
        <v>2</v>
      </c>
      <c r="BX20">
        <f t="shared" si="46"/>
        <v>0</v>
      </c>
      <c r="BY20">
        <f t="shared" si="46"/>
        <v>1</v>
      </c>
      <c r="BZ20">
        <f t="shared" si="46"/>
        <v>0</v>
      </c>
      <c r="CA20">
        <f t="shared" si="46"/>
        <v>0</v>
      </c>
      <c r="CB20">
        <f t="shared" si="46"/>
        <v>0</v>
      </c>
      <c r="CC20">
        <f t="shared" si="34"/>
        <v>1</v>
      </c>
      <c r="CD20">
        <f t="shared" si="47"/>
        <v>0</v>
      </c>
      <c r="CE20">
        <f t="shared" si="47"/>
        <v>0</v>
      </c>
      <c r="CF20">
        <f t="shared" si="47"/>
        <v>0</v>
      </c>
      <c r="CG20">
        <f t="shared" si="47"/>
        <v>0</v>
      </c>
      <c r="CH20">
        <f t="shared" si="47"/>
        <v>1</v>
      </c>
      <c r="CI20">
        <f t="shared" si="35"/>
        <v>1</v>
      </c>
      <c r="CJ20">
        <f t="shared" si="48"/>
        <v>0</v>
      </c>
      <c r="CK20">
        <f t="shared" si="48"/>
        <v>0</v>
      </c>
      <c r="CL20">
        <f t="shared" si="48"/>
        <v>0</v>
      </c>
      <c r="CM20">
        <f t="shared" si="48"/>
        <v>0</v>
      </c>
      <c r="CN20">
        <f t="shared" si="48"/>
        <v>0</v>
      </c>
      <c r="CO20">
        <f t="shared" si="36"/>
        <v>0</v>
      </c>
    </row>
    <row r="21" spans="1:93" x14ac:dyDescent="0.35">
      <c r="E21" s="5" t="s">
        <v>2222</v>
      </c>
      <c r="G21">
        <f>SUM(G5:G20)</f>
        <v>159</v>
      </c>
      <c r="I21">
        <f t="shared" ref="I21" si="49">AM21</f>
        <v>3</v>
      </c>
      <c r="J21">
        <f t="shared" ref="J21" si="50">AY21</f>
        <v>5</v>
      </c>
      <c r="K21">
        <f t="shared" ref="K21" si="51">BK21</f>
        <v>5</v>
      </c>
      <c r="L21">
        <f t="shared" ref="L21" si="52">BW21</f>
        <v>5</v>
      </c>
      <c r="M21">
        <f t="shared" ref="M21" si="53">CI21</f>
        <v>1</v>
      </c>
      <c r="N21">
        <f t="shared" ref="N21" si="54">AA21</f>
        <v>5</v>
      </c>
      <c r="O21">
        <f t="shared" ref="O21" si="55">AS21</f>
        <v>2</v>
      </c>
      <c r="P21">
        <f t="shared" ref="P21" si="56">BE21</f>
        <v>4</v>
      </c>
      <c r="Q21">
        <f t="shared" ref="Q21" si="57">BQ21</f>
        <v>4</v>
      </c>
      <c r="R21">
        <f t="shared" ref="R21" si="58">CC21</f>
        <v>4</v>
      </c>
      <c r="S21">
        <f t="shared" ref="S21" si="59">CO21</f>
        <v>1</v>
      </c>
      <c r="T21">
        <f t="shared" ref="T21" si="60">AG21</f>
        <v>4</v>
      </c>
      <c r="V21">
        <f>COUNTIFS(Carrier,V$4,YEAR,V$3)</f>
        <v>189</v>
      </c>
      <c r="W21">
        <f>COUNTIFS(Carrier,W$4,YEAR,W$3)</f>
        <v>480</v>
      </c>
      <c r="X21">
        <f>COUNTIFS(Carrier,X$4,YEAR,X$3)</f>
        <v>108</v>
      </c>
      <c r="Y21">
        <f>COUNTIFS(Carrier,Y$4,YEAR,Y$3)</f>
        <v>84</v>
      </c>
      <c r="Z21">
        <f>COUNTIFS(Carrier,Z$4,YEAR,Z$3)</f>
        <v>132</v>
      </c>
      <c r="AA21">
        <f t="shared" si="25"/>
        <v>5</v>
      </c>
      <c r="AB21">
        <f>COUNTIFS(Carrier,AB$4,YEAR,AB$3)</f>
        <v>564</v>
      </c>
      <c r="AC21">
        <f>COUNTIFS(Carrier,AC$4,YEAR,AC$3)</f>
        <v>309</v>
      </c>
      <c r="AD21">
        <f>COUNTIFS(Carrier,AD$4,YEAR,AD$3)</f>
        <v>50</v>
      </c>
      <c r="AE21">
        <f>COUNTIFS(Carrier,AE$4,YEAR,AE$3)</f>
        <v>315</v>
      </c>
      <c r="AF21">
        <f>COUNTIFS(Carrier,AF$4,YEAR,AF$3)</f>
        <v>0</v>
      </c>
      <c r="AG21">
        <f t="shared" si="26"/>
        <v>4</v>
      </c>
      <c r="AH21">
        <f>COUNTIFS(Carrier,AH$4,YEAR,AH$2,Metal,AH$3)</f>
        <v>0</v>
      </c>
      <c r="AI21">
        <f>COUNTIFS(Carrier,AI$4,YEAR,AI$2,Metal,AI$3)</f>
        <v>16</v>
      </c>
      <c r="AJ21">
        <f>COUNTIFS(Carrier,AJ$4,YEAR,AJ$2,Metal,AJ$3)</f>
        <v>6</v>
      </c>
      <c r="AK21">
        <f>COUNTIFS(Carrier,AK$4,YEAR,AK$2,Metal,AK$3)</f>
        <v>0</v>
      </c>
      <c r="AL21">
        <f>COUNTIFS(Carrier,AL$4,YEAR,AL$2,Metal,AL$3)</f>
        <v>16</v>
      </c>
      <c r="AM21">
        <f t="shared" si="27"/>
        <v>3</v>
      </c>
      <c r="AN21">
        <f>COUNTIFS(Carrier,AN$4,YEAR,AN$2,Metal,AN$3)</f>
        <v>0</v>
      </c>
      <c r="AO21">
        <f>COUNTIFS(Carrier,AO$4,YEAR,AO$2,Metal,AO$3)</f>
        <v>15</v>
      </c>
      <c r="AP21">
        <f>COUNTIFS(Carrier,AP$4,YEAR,AP$2,Metal,AP$3)</f>
        <v>4</v>
      </c>
      <c r="AQ21">
        <f>COUNTIFS(Carrier,AQ$4,YEAR,AQ$2,Metal,AQ$3)</f>
        <v>0</v>
      </c>
      <c r="AR21">
        <f>COUNTIFS(Carrier,AR$4,YEAR,AR$2,Metal,AR$3)</f>
        <v>0</v>
      </c>
      <c r="AS21">
        <f t="shared" si="28"/>
        <v>2</v>
      </c>
      <c r="AT21">
        <f>COUNTIFS(Carrier,AT$4,YEAR,AT$2,Metal,AT$3)</f>
        <v>27</v>
      </c>
      <c r="AU21">
        <f>COUNTIFS(Carrier,AU$4,YEAR,AU$2,Metal,AU$3)</f>
        <v>96</v>
      </c>
      <c r="AV21">
        <f>COUNTIFS(Carrier,AV$4,YEAR,AV$2,Metal,AV$3)</f>
        <v>18</v>
      </c>
      <c r="AW21">
        <f>COUNTIFS(Carrier,AW$4,YEAR,AW$2,Metal,AW$3)</f>
        <v>14</v>
      </c>
      <c r="AX21">
        <f>COUNTIFS(Carrier,AX$4,YEAR,AX$2,Metal,AX$3)</f>
        <v>20</v>
      </c>
      <c r="AY21">
        <f t="shared" si="29"/>
        <v>5</v>
      </c>
      <c r="AZ21">
        <f>COUNTIFS(Carrier,AZ$4,YEAR,AZ$2,Metal,AZ$3)</f>
        <v>24</v>
      </c>
      <c r="BA21">
        <f>COUNTIFS(Carrier,BA$4,YEAR,BA$2,Metal,BA$3)</f>
        <v>75</v>
      </c>
      <c r="BB21">
        <f>COUNTIFS(Carrier,BB$4,YEAR,BB$2,Metal,BB$3)</f>
        <v>8</v>
      </c>
      <c r="BC21">
        <f>COUNTIFS(Carrier,BC$4,YEAR,BC$2,Metal,BC$3)</f>
        <v>42</v>
      </c>
      <c r="BD21">
        <f>COUNTIFS(Carrier,BD$4,YEAR,BD$2,Metal,BD$3)</f>
        <v>0</v>
      </c>
      <c r="BE21">
        <f t="shared" si="30"/>
        <v>4</v>
      </c>
      <c r="BF21">
        <f>COUNTIFS(Carrier,BF$4,YEAR,BF$2,Metal,BF$3)</f>
        <v>144</v>
      </c>
      <c r="BG21">
        <f>COUNTIFS(Carrier,BG$4,YEAR,BG$2,Metal,BG$3)</f>
        <v>320</v>
      </c>
      <c r="BH21">
        <f>COUNTIFS(Carrier,BH$4,YEAR,BH$2,Metal,BH$3)</f>
        <v>72</v>
      </c>
      <c r="BI21">
        <f>COUNTIFS(Carrier,BI$4,YEAR,BI$2,Metal,BI$3)</f>
        <v>56</v>
      </c>
      <c r="BJ21">
        <f>COUNTIFS(Carrier,BJ$4,YEAR,BJ$2,Metal,BJ$3)</f>
        <v>64</v>
      </c>
      <c r="BK21">
        <f t="shared" si="31"/>
        <v>5</v>
      </c>
      <c r="BL21">
        <f>COUNTIFS(Carrier,BL$4,YEAR,BL$2,Metal,BL$3)</f>
        <v>528</v>
      </c>
      <c r="BM21">
        <f>COUNTIFS(Carrier,BM$4,YEAR,BM$2,Metal,BM$3)</f>
        <v>204</v>
      </c>
      <c r="BN21">
        <f>COUNTIFS(Carrier,BN$4,YEAR,BN$2,Metal,BN$3)</f>
        <v>30</v>
      </c>
      <c r="BO21">
        <f>COUNTIFS(Carrier,BO$4,YEAR,BO$2,Metal,BO$3)</f>
        <v>189</v>
      </c>
      <c r="BP21">
        <f>COUNTIFS(Carrier,BP$4,YEAR,BP$2,Metal,BP$3)</f>
        <v>0</v>
      </c>
      <c r="BQ21">
        <f t="shared" si="32"/>
        <v>4</v>
      </c>
      <c r="BR21">
        <f>COUNTIFS(Carrier,BR$4,YEAR,BR$2,Metal,BR$3)</f>
        <v>18</v>
      </c>
      <c r="BS21">
        <f>COUNTIFS(Carrier,BS$4,YEAR,BS$2,Metal,BS$3)</f>
        <v>48</v>
      </c>
      <c r="BT21">
        <f>COUNTIFS(Carrier,BT$4,YEAR,BT$2,Metal,BT$3)</f>
        <v>12</v>
      </c>
      <c r="BU21">
        <f>COUNTIFS(Carrier,BU$4,YEAR,BU$2,Metal,BU$3)</f>
        <v>14</v>
      </c>
      <c r="BV21">
        <f>COUNTIFS(Carrier,BV$4,YEAR,BV$2,Metal,BV$3)</f>
        <v>16</v>
      </c>
      <c r="BW21">
        <f t="shared" si="33"/>
        <v>5</v>
      </c>
      <c r="BX21">
        <f>COUNTIFS(Carrier,BX$4,YEAR,BX$2,Metal,BX$3)</f>
        <v>12</v>
      </c>
      <c r="BY21">
        <f>COUNTIFS(Carrier,BY$4,YEAR,BY$2,Metal,BY$3)</f>
        <v>15</v>
      </c>
      <c r="BZ21">
        <f>COUNTIFS(Carrier,BZ$4,YEAR,BZ$2,Metal,BZ$3)</f>
        <v>8</v>
      </c>
      <c r="CA21">
        <f>COUNTIFS(Carrier,CA$4,YEAR,CA$2,Metal,CA$3)</f>
        <v>42</v>
      </c>
      <c r="CB21">
        <f>COUNTIFS(Carrier,CB$4,YEAR,CB$2,Metal,CB$3)</f>
        <v>0</v>
      </c>
      <c r="CC21">
        <f t="shared" si="34"/>
        <v>4</v>
      </c>
      <c r="CD21">
        <f>COUNTIFS(Carrier,CD$4,YEAR,CD$2,Metal,CD$3)</f>
        <v>0</v>
      </c>
      <c r="CE21">
        <f>COUNTIFS(Carrier,CE$4,YEAR,CE$2,Metal,CE$3)</f>
        <v>0</v>
      </c>
      <c r="CF21">
        <f>COUNTIFS(Carrier,CF$4,YEAR,CF$2,Metal,CF$3)</f>
        <v>0</v>
      </c>
      <c r="CG21">
        <f>COUNTIFS(Carrier,CG$4,YEAR,CG$2,Metal,CG$3)</f>
        <v>0</v>
      </c>
      <c r="CH21">
        <f>COUNTIFS(Carrier,CH$4,YEAR,CH$2,Metal,CH$3)</f>
        <v>16</v>
      </c>
      <c r="CI21">
        <f t="shared" si="35"/>
        <v>1</v>
      </c>
      <c r="CJ21">
        <f>COUNTIFS(Carrier,CJ$4,YEAR,CJ$2,Metal,CJ$3)</f>
        <v>0</v>
      </c>
      <c r="CK21">
        <f>COUNTIFS(Carrier,CK$4,YEAR,CK$2,Metal,CK$3)</f>
        <v>0</v>
      </c>
      <c r="CL21">
        <f>COUNTIFS(Carrier,CL$4,YEAR,CL$2,Metal,CL$3)</f>
        <v>0</v>
      </c>
      <c r="CM21">
        <f>COUNTIFS(Carrier,CM$4,YEAR,CM$2,Metal,CM$3)</f>
        <v>42</v>
      </c>
      <c r="CN21">
        <f>COUNTIFS(Carrier,CN$4,YEAR,CN$2,Metal,CN$3)</f>
        <v>0</v>
      </c>
      <c r="CO21">
        <f t="shared" si="36"/>
        <v>1</v>
      </c>
    </row>
    <row r="22" spans="1:93" x14ac:dyDescent="0.35">
      <c r="E22" s="5" t="s">
        <v>2223</v>
      </c>
    </row>
    <row r="25" spans="1:93" x14ac:dyDescent="0.35">
      <c r="K25">
        <v>2014</v>
      </c>
      <c r="L25">
        <v>2019</v>
      </c>
    </row>
    <row r="26" spans="1:93" x14ac:dyDescent="0.35">
      <c r="A26" t="s">
        <v>1427</v>
      </c>
      <c r="B26" t="s">
        <v>842</v>
      </c>
      <c r="C26" t="s">
        <v>310</v>
      </c>
      <c r="D26" t="s">
        <v>843</v>
      </c>
      <c r="E26" t="s">
        <v>1555</v>
      </c>
      <c r="J26">
        <v>1</v>
      </c>
      <c r="K26">
        <f>SUMIFS($G$5:$G$20,$N$5:$N$20,J26)</f>
        <v>30</v>
      </c>
      <c r="L26">
        <f>SUMIFS($G$5:$G$20,$T$5:$T$20,J26)</f>
        <v>45</v>
      </c>
      <c r="M26">
        <f>L26/L$31</f>
        <v>0.28301886792452829</v>
      </c>
    </row>
    <row r="27" spans="1:93" x14ac:dyDescent="0.35">
      <c r="J27">
        <v>2</v>
      </c>
      <c r="K27">
        <f t="shared" ref="K27:K30" si="61">SUMIFS($G$5:$G$20,$N$5:$N$20,J27)</f>
        <v>65</v>
      </c>
      <c r="L27">
        <f t="shared" ref="L27:L30" si="62">SUMIFS($G$5:$G$20,$T$5:$T$20,J27)</f>
        <v>75</v>
      </c>
      <c r="M27">
        <f>L27/L$31</f>
        <v>0.47169811320754718</v>
      </c>
    </row>
    <row r="28" spans="1:93" x14ac:dyDescent="0.35">
      <c r="J28">
        <v>3</v>
      </c>
      <c r="K28">
        <f t="shared" si="61"/>
        <v>0</v>
      </c>
      <c r="L28">
        <f t="shared" si="62"/>
        <v>39</v>
      </c>
    </row>
    <row r="29" spans="1:93" x14ac:dyDescent="0.35">
      <c r="J29">
        <v>4</v>
      </c>
      <c r="K29">
        <f t="shared" si="61"/>
        <v>34</v>
      </c>
      <c r="L29">
        <f t="shared" si="62"/>
        <v>0</v>
      </c>
    </row>
    <row r="30" spans="1:93" x14ac:dyDescent="0.35">
      <c r="J30">
        <v>5</v>
      </c>
      <c r="K30">
        <f t="shared" si="61"/>
        <v>30</v>
      </c>
      <c r="L30">
        <f t="shared" si="62"/>
        <v>0</v>
      </c>
    </row>
    <row r="31" spans="1:93" x14ac:dyDescent="0.35">
      <c r="K31">
        <f>SUM(K26:K30)</f>
        <v>159</v>
      </c>
      <c r="L31">
        <f>SUM(L26:L30)</f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896"/>
  <sheetViews>
    <sheetView zoomScale="70" zoomScaleNormal="70" zoomScalePageLayoutView="70" workbookViewId="0">
      <selection activeCell="V27" sqref="V27"/>
    </sheetView>
  </sheetViews>
  <sheetFormatPr defaultColWidth="8.81640625" defaultRowHeight="14.5" x14ac:dyDescent="0.35"/>
  <cols>
    <col min="1" max="1" width="8.81640625" style="5"/>
    <col min="2" max="2" width="8.81640625" style="5" customWidth="1"/>
    <col min="3" max="3" width="8.81640625" style="5"/>
    <col min="4" max="4" width="32" style="6" customWidth="1"/>
    <col min="5" max="5" width="26.1796875" style="5" customWidth="1"/>
    <col min="6" max="6" width="36.1796875" style="6" customWidth="1"/>
    <col min="7" max="7" width="23.7265625" style="5" bestFit="1" customWidth="1"/>
    <col min="8" max="8" width="15.7265625" style="5" bestFit="1" customWidth="1"/>
    <col min="9" max="9" width="7.7265625" style="5" customWidth="1"/>
    <col min="10" max="10" width="20.81640625" style="5" bestFit="1" customWidth="1"/>
    <col min="11" max="14" width="8.81640625" style="5"/>
    <col min="15" max="15" width="15.26953125" style="5" bestFit="1" customWidth="1"/>
    <col min="16" max="16" width="8.81640625" style="5"/>
    <col min="17" max="17" width="12.1796875" style="5" customWidth="1"/>
    <col min="18" max="19" width="16.26953125" style="5" bestFit="1" customWidth="1"/>
    <col min="20" max="20" width="11.453125" style="5" bestFit="1" customWidth="1"/>
    <col min="21" max="21" width="8.81640625" style="5"/>
    <col min="22" max="22" width="10.453125" style="5" customWidth="1"/>
    <col min="23" max="23" width="9.26953125" style="5" bestFit="1" customWidth="1"/>
    <col min="24" max="24" width="14.81640625" style="5" bestFit="1" customWidth="1"/>
    <col min="25" max="25" width="15" style="5" bestFit="1" customWidth="1"/>
    <col min="26" max="26" width="8.81640625" style="5"/>
    <col min="27" max="27" width="17.7265625" style="5" bestFit="1" customWidth="1"/>
    <col min="28" max="16384" width="8.81640625" style="5"/>
  </cols>
  <sheetData>
    <row r="1" spans="1:28" x14ac:dyDescent="0.35">
      <c r="C1" s="53" t="s">
        <v>180</v>
      </c>
      <c r="D1" s="53"/>
      <c r="E1" s="53"/>
      <c r="F1" s="53"/>
      <c r="G1" s="53"/>
      <c r="H1" s="53"/>
      <c r="I1" s="53"/>
      <c r="J1" s="53"/>
      <c r="M1" s="54" t="s">
        <v>181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8" s="4" customFormat="1" ht="39.75" customHeight="1" x14ac:dyDescent="0.35">
      <c r="C2" s="4" t="s">
        <v>182</v>
      </c>
      <c r="D2" s="6" t="s">
        <v>183</v>
      </c>
      <c r="E2" s="4" t="s">
        <v>184</v>
      </c>
      <c r="F2" s="6" t="s">
        <v>185</v>
      </c>
      <c r="G2" s="4" t="s">
        <v>186</v>
      </c>
      <c r="H2" s="4" t="s">
        <v>178</v>
      </c>
      <c r="I2" s="4" t="s">
        <v>178</v>
      </c>
      <c r="J2" s="7" t="s">
        <v>187</v>
      </c>
      <c r="M2" s="4" t="s">
        <v>188</v>
      </c>
      <c r="N2" s="4" t="s">
        <v>182</v>
      </c>
      <c r="P2" s="8" t="s">
        <v>189</v>
      </c>
      <c r="Q2" s="8" t="s">
        <v>190</v>
      </c>
      <c r="R2" s="8" t="s">
        <v>191</v>
      </c>
      <c r="S2" s="8" t="s">
        <v>192</v>
      </c>
      <c r="T2" s="8" t="s">
        <v>193</v>
      </c>
      <c r="U2" s="8" t="s">
        <v>194</v>
      </c>
      <c r="V2" s="8" t="s">
        <v>195</v>
      </c>
      <c r="W2" s="8" t="s">
        <v>196</v>
      </c>
      <c r="X2" s="8" t="s">
        <v>197</v>
      </c>
      <c r="Y2" s="8" t="s">
        <v>198</v>
      </c>
      <c r="AA2" s="6" t="s">
        <v>199</v>
      </c>
    </row>
    <row r="3" spans="1:28" x14ac:dyDescent="0.35">
      <c r="A3" s="5">
        <v>1</v>
      </c>
      <c r="B3" s="5" t="str">
        <f t="shared" ref="B3:B66" si="0">CONCATENATE(C3,I3)</f>
        <v>GA1</v>
      </c>
      <c r="C3" t="s">
        <v>219</v>
      </c>
      <c r="D3" t="s">
        <v>984</v>
      </c>
      <c r="E3" t="s">
        <v>1032</v>
      </c>
      <c r="F3" t="s">
        <v>1033</v>
      </c>
      <c r="G3">
        <v>2</v>
      </c>
      <c r="H3" t="s">
        <v>310</v>
      </c>
      <c r="I3">
        <v>1</v>
      </c>
      <c r="J3" s="37">
        <v>297.91000000000003</v>
      </c>
      <c r="M3" s="5" t="str">
        <f t="shared" ref="M3:M18" si="1">CONCATENATE(N3,P3)</f>
        <v>GA1</v>
      </c>
      <c r="N3" s="5" t="s">
        <v>219</v>
      </c>
      <c r="O3" s="5" t="s">
        <v>3</v>
      </c>
      <c r="P3" s="5">
        <v>1</v>
      </c>
      <c r="Q3" s="4">
        <f>COUNTIF(B$3:B$343,M3)</f>
        <v>11</v>
      </c>
      <c r="R3" s="5">
        <f>MATCH(M3,B$3:B$343,0)</f>
        <v>1</v>
      </c>
      <c r="S3" s="5">
        <f>INDEX(J$3:J$343,R3+1)</f>
        <v>305.83</v>
      </c>
      <c r="T3" s="5">
        <f t="shared" ref="T3:T18" si="2">VLOOKUP(R3+1,Silverplans,10,FALSE)</f>
        <v>305.83</v>
      </c>
      <c r="U3" s="5">
        <f>_xlfn.IFNA(VLOOKUP(N3,AgeFactors,2,FALSE),AgeFactors!$E$25)</f>
        <v>1.048</v>
      </c>
      <c r="V3" s="9">
        <f t="shared" ref="V3:V18" si="3">T3/U3</f>
        <v>291.82251908396944</v>
      </c>
      <c r="W3" s="10">
        <f t="shared" ref="W3:W18" si="4">VLOOKUP(M3,Weight,4,FALSE)</f>
        <v>9027</v>
      </c>
      <c r="X3" s="10">
        <f t="shared" ref="X3:X18" si="5">_xlfn.IFNA(W3,0)</f>
        <v>9027</v>
      </c>
      <c r="Y3" s="10">
        <f t="shared" ref="Y3:Y18" si="6">_xlfn.IFNA(W3*V3,0)</f>
        <v>2634281.8797709923</v>
      </c>
      <c r="AA3" s="5" t="s">
        <v>202</v>
      </c>
      <c r="AB3" s="5">
        <f>V21</f>
        <v>205.87128933280349</v>
      </c>
    </row>
    <row r="4" spans="1:28" x14ac:dyDescent="0.35">
      <c r="A4" s="5">
        <v>2</v>
      </c>
      <c r="B4" s="5" t="str">
        <f t="shared" si="0"/>
        <v>GA1</v>
      </c>
      <c r="C4" t="s">
        <v>219</v>
      </c>
      <c r="D4" t="s">
        <v>260</v>
      </c>
      <c r="E4" t="s">
        <v>1115</v>
      </c>
      <c r="F4" t="s">
        <v>851</v>
      </c>
      <c r="G4">
        <v>2</v>
      </c>
      <c r="H4" t="s">
        <v>310</v>
      </c>
      <c r="I4">
        <v>1</v>
      </c>
      <c r="J4" s="37">
        <v>305.83</v>
      </c>
      <c r="M4" s="5" t="str">
        <f t="shared" si="1"/>
        <v>GA2</v>
      </c>
      <c r="N4" s="5" t="s">
        <v>219</v>
      </c>
      <c r="O4" s="5" t="s">
        <v>16</v>
      </c>
      <c r="P4" s="5">
        <v>2</v>
      </c>
      <c r="Q4" s="4">
        <f t="shared" ref="Q4:Q18" si="7">COUNTIF(B$3:B$343,M4)</f>
        <v>42</v>
      </c>
      <c r="R4" s="5">
        <f t="shared" ref="R4:R18" si="8">MATCH(M4,B$3:B$343,0)</f>
        <v>12</v>
      </c>
      <c r="S4" s="5">
        <f t="shared" ref="S4:S18" si="9">INDEX(J$3:J$343,R4+1)</f>
        <v>191.04</v>
      </c>
      <c r="T4" s="5">
        <f t="shared" si="2"/>
        <v>191.04</v>
      </c>
      <c r="U4" s="5">
        <f>_xlfn.IFNA(VLOOKUP(N4,AgeFactors,2,FALSE),AgeFactors!$E$25)</f>
        <v>1.048</v>
      </c>
      <c r="V4" s="9">
        <f t="shared" si="3"/>
        <v>182.29007633587784</v>
      </c>
      <c r="W4" s="10">
        <f t="shared" si="4"/>
        <v>14591</v>
      </c>
      <c r="X4" s="10">
        <f t="shared" si="5"/>
        <v>14591</v>
      </c>
      <c r="Y4" s="10">
        <f t="shared" si="6"/>
        <v>2659794.5038167937</v>
      </c>
      <c r="AA4" s="5" t="s">
        <v>203</v>
      </c>
      <c r="AB4" s="9">
        <f>V19</f>
        <v>218.59732824427482</v>
      </c>
    </row>
    <row r="5" spans="1:28" x14ac:dyDescent="0.35">
      <c r="A5" s="5">
        <v>3</v>
      </c>
      <c r="B5" s="5" t="str">
        <f t="shared" si="0"/>
        <v>GA1</v>
      </c>
      <c r="C5" t="s">
        <v>219</v>
      </c>
      <c r="D5" t="s">
        <v>984</v>
      </c>
      <c r="E5" t="s">
        <v>1048</v>
      </c>
      <c r="F5" t="s">
        <v>1049</v>
      </c>
      <c r="G5">
        <v>2</v>
      </c>
      <c r="H5" t="s">
        <v>310</v>
      </c>
      <c r="I5">
        <v>1</v>
      </c>
      <c r="J5" s="37">
        <v>307.27</v>
      </c>
      <c r="M5" s="5" t="str">
        <f t="shared" si="1"/>
        <v>GA3</v>
      </c>
      <c r="N5" s="5" t="s">
        <v>219</v>
      </c>
      <c r="O5" s="5" t="s">
        <v>26</v>
      </c>
      <c r="P5" s="5">
        <v>3</v>
      </c>
      <c r="Q5" s="4">
        <f t="shared" si="7"/>
        <v>45</v>
      </c>
      <c r="R5" s="5">
        <f t="shared" si="8"/>
        <v>54</v>
      </c>
      <c r="S5" s="5">
        <f t="shared" si="9"/>
        <v>209.41</v>
      </c>
      <c r="T5" s="5">
        <f t="shared" si="2"/>
        <v>209.41</v>
      </c>
      <c r="U5" s="5">
        <f>_xlfn.IFNA(VLOOKUP(N5,AgeFactors,2,FALSE),AgeFactors!$E$25)</f>
        <v>1.048</v>
      </c>
      <c r="V5" s="9">
        <f t="shared" si="3"/>
        <v>199.81870229007632</v>
      </c>
      <c r="W5" s="10">
        <f t="shared" si="4"/>
        <v>341300</v>
      </c>
      <c r="X5" s="10">
        <f t="shared" si="5"/>
        <v>341300</v>
      </c>
      <c r="Y5" s="10">
        <f t="shared" si="6"/>
        <v>68198123.091603041</v>
      </c>
      <c r="AA5" s="5" t="s">
        <v>204</v>
      </c>
      <c r="AB5" s="9">
        <f>V20</f>
        <v>222.00322041984731</v>
      </c>
    </row>
    <row r="6" spans="1:28" x14ac:dyDescent="0.35">
      <c r="A6" s="5">
        <v>4</v>
      </c>
      <c r="B6" s="5" t="str">
        <f t="shared" si="0"/>
        <v>GA1</v>
      </c>
      <c r="C6" t="s">
        <v>219</v>
      </c>
      <c r="D6" t="s">
        <v>260</v>
      </c>
      <c r="E6" t="s">
        <v>1114</v>
      </c>
      <c r="F6" t="s">
        <v>850</v>
      </c>
      <c r="G6">
        <v>2</v>
      </c>
      <c r="H6" t="s">
        <v>310</v>
      </c>
      <c r="I6">
        <v>1</v>
      </c>
      <c r="J6" s="37">
        <v>322.64999999999998</v>
      </c>
      <c r="M6" s="5" t="str">
        <f t="shared" si="1"/>
        <v>GA4</v>
      </c>
      <c r="N6" s="5" t="s">
        <v>219</v>
      </c>
      <c r="O6" s="5" t="s">
        <v>48</v>
      </c>
      <c r="P6" s="5">
        <v>4</v>
      </c>
      <c r="Q6" s="4">
        <f t="shared" si="7"/>
        <v>24</v>
      </c>
      <c r="R6" s="5">
        <f t="shared" si="8"/>
        <v>99</v>
      </c>
      <c r="S6" s="5">
        <f t="shared" si="9"/>
        <v>261.43</v>
      </c>
      <c r="T6" s="5">
        <f t="shared" si="2"/>
        <v>261.43</v>
      </c>
      <c r="U6" s="5">
        <f>_xlfn.IFNA(VLOOKUP(N6,AgeFactors,2,FALSE),AgeFactors!$E$25)</f>
        <v>1.048</v>
      </c>
      <c r="V6" s="9">
        <f t="shared" si="3"/>
        <v>249.45610687022901</v>
      </c>
      <c r="W6" s="10">
        <f t="shared" si="4"/>
        <v>7945</v>
      </c>
      <c r="X6" s="10">
        <f t="shared" si="5"/>
        <v>7945</v>
      </c>
      <c r="Y6" s="10">
        <f t="shared" si="6"/>
        <v>1981928.7690839695</v>
      </c>
    </row>
    <row r="7" spans="1:28" x14ac:dyDescent="0.35">
      <c r="A7" s="5">
        <v>5</v>
      </c>
      <c r="B7" s="5" t="str">
        <f t="shared" si="0"/>
        <v>GA1</v>
      </c>
      <c r="C7" t="s">
        <v>219</v>
      </c>
      <c r="D7" t="s">
        <v>260</v>
      </c>
      <c r="E7" t="s">
        <v>1113</v>
      </c>
      <c r="F7" t="s">
        <v>849</v>
      </c>
      <c r="G7">
        <v>2</v>
      </c>
      <c r="H7" t="s">
        <v>310</v>
      </c>
      <c r="I7">
        <v>1</v>
      </c>
      <c r="J7" s="37">
        <v>324.48</v>
      </c>
      <c r="M7" s="5" t="str">
        <f t="shared" si="1"/>
        <v>GA5</v>
      </c>
      <c r="N7" s="5" t="s">
        <v>219</v>
      </c>
      <c r="O7" s="5" t="s">
        <v>52</v>
      </c>
      <c r="P7" s="5">
        <v>5</v>
      </c>
      <c r="Q7" s="4">
        <f t="shared" si="7"/>
        <v>12</v>
      </c>
      <c r="R7" s="5">
        <f t="shared" si="8"/>
        <v>123</v>
      </c>
      <c r="S7" s="5">
        <f t="shared" si="9"/>
        <v>208.73</v>
      </c>
      <c r="T7" s="5">
        <f t="shared" si="2"/>
        <v>208.73</v>
      </c>
      <c r="U7" s="5">
        <f>_xlfn.IFNA(VLOOKUP(N7,AgeFactors,2,FALSE),AgeFactors!$E$25)</f>
        <v>1.048</v>
      </c>
      <c r="V7" s="9">
        <f t="shared" si="3"/>
        <v>199.16984732824426</v>
      </c>
      <c r="W7" s="10">
        <f t="shared" si="4"/>
        <v>22577</v>
      </c>
      <c r="X7" s="10">
        <f t="shared" si="5"/>
        <v>22577</v>
      </c>
      <c r="Y7" s="10">
        <f t="shared" si="6"/>
        <v>4496657.6431297706</v>
      </c>
    </row>
    <row r="8" spans="1:28" x14ac:dyDescent="0.35">
      <c r="A8" s="5">
        <v>6</v>
      </c>
      <c r="B8" s="5" t="str">
        <f t="shared" si="0"/>
        <v>GA1</v>
      </c>
      <c r="C8" t="s">
        <v>219</v>
      </c>
      <c r="D8" t="s">
        <v>951</v>
      </c>
      <c r="E8" t="s">
        <v>969</v>
      </c>
      <c r="F8" t="s">
        <v>970</v>
      </c>
      <c r="G8">
        <v>2</v>
      </c>
      <c r="H8" t="s">
        <v>310</v>
      </c>
      <c r="I8">
        <v>1</v>
      </c>
      <c r="J8" s="37">
        <v>332.94</v>
      </c>
      <c r="M8" s="5" t="str">
        <f t="shared" si="1"/>
        <v>GA6</v>
      </c>
      <c r="N8" s="5" t="s">
        <v>219</v>
      </c>
      <c r="O8" s="5" t="s">
        <v>65</v>
      </c>
      <c r="P8" s="5">
        <v>6</v>
      </c>
      <c r="Q8" s="4">
        <f t="shared" si="7"/>
        <v>12</v>
      </c>
      <c r="R8" s="5">
        <f t="shared" si="8"/>
        <v>135</v>
      </c>
      <c r="S8" s="5">
        <f t="shared" si="9"/>
        <v>249.59</v>
      </c>
      <c r="T8" s="5">
        <f t="shared" si="2"/>
        <v>249.59</v>
      </c>
      <c r="U8" s="5">
        <f>_xlfn.IFNA(VLOOKUP(N8,AgeFactors,2,FALSE),AgeFactors!$E$25)</f>
        <v>1.048</v>
      </c>
      <c r="V8" s="9">
        <f t="shared" si="3"/>
        <v>238.15839694656489</v>
      </c>
      <c r="W8" s="10">
        <f t="shared" si="4"/>
        <v>12955</v>
      </c>
      <c r="X8" s="10">
        <f t="shared" si="5"/>
        <v>12955</v>
      </c>
      <c r="Y8" s="10">
        <f t="shared" si="6"/>
        <v>3085342.0324427481</v>
      </c>
    </row>
    <row r="9" spans="1:28" x14ac:dyDescent="0.35">
      <c r="A9" s="5">
        <v>7</v>
      </c>
      <c r="B9" s="5" t="str">
        <f t="shared" si="0"/>
        <v>GA1</v>
      </c>
      <c r="C9" t="s">
        <v>219</v>
      </c>
      <c r="D9" t="s">
        <v>951</v>
      </c>
      <c r="E9" t="s">
        <v>961</v>
      </c>
      <c r="F9" t="s">
        <v>962</v>
      </c>
      <c r="G9">
        <v>2</v>
      </c>
      <c r="H9" t="s">
        <v>310</v>
      </c>
      <c r="I9">
        <v>1</v>
      </c>
      <c r="J9" s="37">
        <v>335.68</v>
      </c>
      <c r="M9" s="5" t="str">
        <f t="shared" si="1"/>
        <v>GA7</v>
      </c>
      <c r="N9" s="5" t="s">
        <v>219</v>
      </c>
      <c r="O9" s="5" t="s">
        <v>75</v>
      </c>
      <c r="P9" s="5">
        <v>7</v>
      </c>
      <c r="Q9" s="4">
        <f t="shared" si="7"/>
        <v>20</v>
      </c>
      <c r="R9" s="5">
        <f t="shared" si="8"/>
        <v>147</v>
      </c>
      <c r="S9" s="5">
        <f t="shared" si="9"/>
        <v>232.11</v>
      </c>
      <c r="T9" s="5">
        <f t="shared" si="2"/>
        <v>232.11</v>
      </c>
      <c r="U9" s="5">
        <f>_xlfn.IFNA(VLOOKUP(N9,AgeFactors,2,FALSE),AgeFactors!$E$25)</f>
        <v>1.048</v>
      </c>
      <c r="V9" s="9">
        <f t="shared" si="3"/>
        <v>221.4790076335878</v>
      </c>
      <c r="W9" s="10">
        <f t="shared" si="4"/>
        <v>5220</v>
      </c>
      <c r="X9" s="10">
        <f t="shared" si="5"/>
        <v>5220</v>
      </c>
      <c r="Y9" s="10">
        <f t="shared" si="6"/>
        <v>1156120.4198473282</v>
      </c>
    </row>
    <row r="10" spans="1:28" x14ac:dyDescent="0.35">
      <c r="A10" s="5">
        <v>8</v>
      </c>
      <c r="B10" s="5" t="str">
        <f t="shared" si="0"/>
        <v>GA1</v>
      </c>
      <c r="C10" t="s">
        <v>219</v>
      </c>
      <c r="D10" t="s">
        <v>951</v>
      </c>
      <c r="E10" t="s">
        <v>963</v>
      </c>
      <c r="F10" t="s">
        <v>964</v>
      </c>
      <c r="G10">
        <v>2</v>
      </c>
      <c r="H10" t="s">
        <v>310</v>
      </c>
      <c r="I10">
        <v>1</v>
      </c>
      <c r="J10" s="37">
        <v>354.45</v>
      </c>
      <c r="M10" s="5" t="str">
        <f t="shared" si="1"/>
        <v>GA8</v>
      </c>
      <c r="N10" s="5" t="s">
        <v>219</v>
      </c>
      <c r="O10" s="5" t="s">
        <v>79</v>
      </c>
      <c r="P10" s="5">
        <v>8</v>
      </c>
      <c r="Q10" s="4">
        <f t="shared" si="7"/>
        <v>31</v>
      </c>
      <c r="R10" s="5">
        <f t="shared" si="8"/>
        <v>167</v>
      </c>
      <c r="S10" s="5">
        <f t="shared" si="9"/>
        <v>213.6</v>
      </c>
      <c r="T10" s="5">
        <f t="shared" si="2"/>
        <v>213.6</v>
      </c>
      <c r="U10" s="5">
        <f>_xlfn.IFNA(VLOOKUP(N10,AgeFactors,2,FALSE),AgeFactors!$E$25)</f>
        <v>1.048</v>
      </c>
      <c r="V10" s="9">
        <f t="shared" si="3"/>
        <v>203.81679389312976</v>
      </c>
      <c r="W10" s="10">
        <f t="shared" si="4"/>
        <v>13483</v>
      </c>
      <c r="X10" s="10">
        <f t="shared" si="5"/>
        <v>13483</v>
      </c>
      <c r="Y10" s="10">
        <f t="shared" si="6"/>
        <v>2748061.8320610686</v>
      </c>
    </row>
    <row r="11" spans="1:28" x14ac:dyDescent="0.35">
      <c r="A11" s="5">
        <v>9</v>
      </c>
      <c r="B11" s="5" t="str">
        <f t="shared" si="0"/>
        <v>GA1</v>
      </c>
      <c r="C11" t="s">
        <v>219</v>
      </c>
      <c r="D11" t="s">
        <v>951</v>
      </c>
      <c r="E11" t="s">
        <v>965</v>
      </c>
      <c r="F11" t="s">
        <v>966</v>
      </c>
      <c r="G11">
        <v>2</v>
      </c>
      <c r="H11" t="s">
        <v>310</v>
      </c>
      <c r="I11">
        <v>1</v>
      </c>
      <c r="J11" s="37">
        <v>357.4</v>
      </c>
      <c r="M11" s="5" t="str">
        <f t="shared" si="1"/>
        <v>GA9</v>
      </c>
      <c r="N11" s="5" t="s">
        <v>219</v>
      </c>
      <c r="O11" s="5" t="s">
        <v>93</v>
      </c>
      <c r="P11" s="5">
        <v>9</v>
      </c>
      <c r="Q11" s="4">
        <f t="shared" si="7"/>
        <v>20</v>
      </c>
      <c r="R11" s="5">
        <f t="shared" si="8"/>
        <v>198</v>
      </c>
      <c r="S11" s="5">
        <f t="shared" si="9"/>
        <v>228.55</v>
      </c>
      <c r="T11" s="5">
        <f t="shared" si="2"/>
        <v>228.55</v>
      </c>
      <c r="U11" s="5">
        <f>_xlfn.IFNA(VLOOKUP(N11,AgeFactors,2,FALSE),AgeFactors!$E$25)</f>
        <v>1.048</v>
      </c>
      <c r="V11" s="9">
        <f t="shared" si="3"/>
        <v>218.0820610687023</v>
      </c>
      <c r="W11" s="10">
        <f t="shared" si="4"/>
        <v>5564</v>
      </c>
      <c r="X11" s="10">
        <f t="shared" si="5"/>
        <v>5564</v>
      </c>
      <c r="Y11" s="10">
        <f t="shared" si="6"/>
        <v>1213408.5877862596</v>
      </c>
    </row>
    <row r="12" spans="1:28" x14ac:dyDescent="0.35">
      <c r="A12" s="5">
        <v>10</v>
      </c>
      <c r="B12" s="5" t="str">
        <f t="shared" si="0"/>
        <v>GA1</v>
      </c>
      <c r="C12" t="s">
        <v>219</v>
      </c>
      <c r="D12" t="s">
        <v>951</v>
      </c>
      <c r="E12" t="s">
        <v>967</v>
      </c>
      <c r="F12" t="s">
        <v>968</v>
      </c>
      <c r="G12">
        <v>2</v>
      </c>
      <c r="H12" t="s">
        <v>310</v>
      </c>
      <c r="I12">
        <v>1</v>
      </c>
      <c r="J12" s="37">
        <v>368.17</v>
      </c>
      <c r="M12" s="5" t="str">
        <f t="shared" si="1"/>
        <v>GA10</v>
      </c>
      <c r="N12" s="5" t="s">
        <v>219</v>
      </c>
      <c r="O12" s="5" t="s">
        <v>97</v>
      </c>
      <c r="P12" s="5">
        <v>10</v>
      </c>
      <c r="Q12" s="4">
        <f t="shared" si="7"/>
        <v>29</v>
      </c>
      <c r="R12" s="5">
        <f t="shared" si="8"/>
        <v>218</v>
      </c>
      <c r="S12" s="5">
        <f t="shared" si="9"/>
        <v>217.73</v>
      </c>
      <c r="T12" s="5">
        <f t="shared" si="2"/>
        <v>217.73</v>
      </c>
      <c r="U12" s="5">
        <f>_xlfn.IFNA(VLOOKUP(N12,AgeFactors,2,FALSE),AgeFactors!$E$25)</f>
        <v>1.048</v>
      </c>
      <c r="V12" s="9">
        <f t="shared" si="3"/>
        <v>207.75763358778624</v>
      </c>
      <c r="W12" s="10">
        <f t="shared" si="4"/>
        <v>20614</v>
      </c>
      <c r="X12" s="10">
        <f t="shared" si="5"/>
        <v>20614</v>
      </c>
      <c r="Y12" s="10">
        <f t="shared" si="6"/>
        <v>4282715.8587786257</v>
      </c>
    </row>
    <row r="13" spans="1:28" x14ac:dyDescent="0.35">
      <c r="A13" s="5">
        <v>11</v>
      </c>
      <c r="B13" s="5" t="str">
        <f t="shared" si="0"/>
        <v>GA1</v>
      </c>
      <c r="C13" t="s">
        <v>219</v>
      </c>
      <c r="D13" t="s">
        <v>951</v>
      </c>
      <c r="E13" t="s">
        <v>973</v>
      </c>
      <c r="F13" t="s">
        <v>278</v>
      </c>
      <c r="G13">
        <v>2</v>
      </c>
      <c r="H13" t="s">
        <v>310</v>
      </c>
      <c r="I13">
        <v>1</v>
      </c>
      <c r="J13" s="37">
        <v>373.35</v>
      </c>
      <c r="M13" s="5" t="str">
        <f t="shared" si="1"/>
        <v>GA11</v>
      </c>
      <c r="N13" s="5" t="s">
        <v>219</v>
      </c>
      <c r="O13" s="5" t="s">
        <v>110</v>
      </c>
      <c r="P13" s="5">
        <v>11</v>
      </c>
      <c r="Q13" s="4">
        <f t="shared" si="7"/>
        <v>15</v>
      </c>
      <c r="R13" s="5">
        <f t="shared" si="8"/>
        <v>247</v>
      </c>
      <c r="S13" s="5">
        <f t="shared" si="9"/>
        <v>244.43</v>
      </c>
      <c r="T13" s="5">
        <f t="shared" si="2"/>
        <v>244.43</v>
      </c>
      <c r="U13" s="5">
        <f>_xlfn.IFNA(VLOOKUP(N13,AgeFactors,2,FALSE),AgeFactors!$E$25)</f>
        <v>1.048</v>
      </c>
      <c r="V13" s="9">
        <f t="shared" si="3"/>
        <v>233.23473282442748</v>
      </c>
      <c r="W13" s="10">
        <f t="shared" si="4"/>
        <v>6195</v>
      </c>
      <c r="X13" s="10">
        <f t="shared" si="5"/>
        <v>6195</v>
      </c>
      <c r="Y13" s="10">
        <f t="shared" si="6"/>
        <v>1444889.1698473282</v>
      </c>
    </row>
    <row r="14" spans="1:28" x14ac:dyDescent="0.35">
      <c r="A14" s="5">
        <v>12</v>
      </c>
      <c r="B14" s="5" t="str">
        <f t="shared" si="0"/>
        <v>GA2</v>
      </c>
      <c r="C14" t="s">
        <v>219</v>
      </c>
      <c r="D14" t="s">
        <v>281</v>
      </c>
      <c r="E14" t="s">
        <v>929</v>
      </c>
      <c r="F14" t="s">
        <v>855</v>
      </c>
      <c r="G14">
        <v>2</v>
      </c>
      <c r="H14" t="s">
        <v>310</v>
      </c>
      <c r="I14">
        <v>2</v>
      </c>
      <c r="J14" s="37">
        <v>186.57</v>
      </c>
      <c r="M14" s="5" t="str">
        <f t="shared" si="1"/>
        <v>GA12</v>
      </c>
      <c r="N14" s="5" t="s">
        <v>219</v>
      </c>
      <c r="O14" s="5" t="s">
        <v>121</v>
      </c>
      <c r="P14" s="5">
        <v>12</v>
      </c>
      <c r="Q14" s="4">
        <f t="shared" si="7"/>
        <v>16</v>
      </c>
      <c r="R14" s="5">
        <f t="shared" si="8"/>
        <v>262</v>
      </c>
      <c r="S14" s="5">
        <f t="shared" si="9"/>
        <v>229.63</v>
      </c>
      <c r="T14" s="5">
        <f t="shared" si="2"/>
        <v>229.63</v>
      </c>
      <c r="U14" s="5">
        <f>_xlfn.IFNA(VLOOKUP(N14,AgeFactors,2,FALSE),AgeFactors!$E$25)</f>
        <v>1.048</v>
      </c>
      <c r="V14" s="9">
        <f t="shared" si="3"/>
        <v>219.11259541984731</v>
      </c>
      <c r="W14" s="10">
        <f t="shared" si="4"/>
        <v>18563</v>
      </c>
      <c r="X14" s="10">
        <f t="shared" si="5"/>
        <v>18563</v>
      </c>
      <c r="Y14" s="10">
        <f t="shared" si="6"/>
        <v>4067387.1087786257</v>
      </c>
    </row>
    <row r="15" spans="1:28" x14ac:dyDescent="0.35">
      <c r="A15" s="5">
        <v>13</v>
      </c>
      <c r="B15" s="5" t="str">
        <f t="shared" si="0"/>
        <v>GA2</v>
      </c>
      <c r="C15" t="s">
        <v>219</v>
      </c>
      <c r="D15" t="s">
        <v>281</v>
      </c>
      <c r="E15" t="s">
        <v>930</v>
      </c>
      <c r="F15" t="s">
        <v>856</v>
      </c>
      <c r="G15">
        <v>2</v>
      </c>
      <c r="H15" t="s">
        <v>310</v>
      </c>
      <c r="I15">
        <v>2</v>
      </c>
      <c r="J15" s="37">
        <v>191.04</v>
      </c>
      <c r="M15" s="5" t="str">
        <f t="shared" si="1"/>
        <v>GA13</v>
      </c>
      <c r="N15" s="5" t="s">
        <v>219</v>
      </c>
      <c r="O15" s="5" t="s">
        <v>135</v>
      </c>
      <c r="P15" s="5">
        <v>13</v>
      </c>
      <c r="Q15" s="4">
        <f t="shared" si="7"/>
        <v>28</v>
      </c>
      <c r="R15" s="5">
        <f t="shared" si="8"/>
        <v>278</v>
      </c>
      <c r="S15" s="5">
        <f t="shared" si="9"/>
        <v>240.35</v>
      </c>
      <c r="T15" s="5">
        <f t="shared" si="2"/>
        <v>240.35</v>
      </c>
      <c r="U15" s="5">
        <f>_xlfn.IFNA(VLOOKUP(N15,AgeFactors,2,FALSE),AgeFactors!$E$25)</f>
        <v>1.048</v>
      </c>
      <c r="V15" s="9">
        <f t="shared" si="3"/>
        <v>229.34160305343511</v>
      </c>
      <c r="W15" s="10">
        <f t="shared" si="4"/>
        <v>11235</v>
      </c>
      <c r="X15" s="10">
        <f t="shared" si="5"/>
        <v>11235</v>
      </c>
      <c r="Y15" s="10">
        <f t="shared" si="6"/>
        <v>2576652.9103053436</v>
      </c>
    </row>
    <row r="16" spans="1:28" x14ac:dyDescent="0.35">
      <c r="A16" s="5">
        <v>14</v>
      </c>
      <c r="B16" s="5" t="str">
        <f t="shared" si="0"/>
        <v>GA2</v>
      </c>
      <c r="C16" t="s">
        <v>219</v>
      </c>
      <c r="D16" t="s">
        <v>281</v>
      </c>
      <c r="E16" t="s">
        <v>286</v>
      </c>
      <c r="F16" t="s">
        <v>865</v>
      </c>
      <c r="G16">
        <v>2</v>
      </c>
      <c r="H16" t="s">
        <v>310</v>
      </c>
      <c r="I16">
        <v>2</v>
      </c>
      <c r="J16" s="37">
        <v>196.52</v>
      </c>
      <c r="M16" s="5" t="str">
        <f t="shared" si="1"/>
        <v>GA14</v>
      </c>
      <c r="N16" s="5" t="s">
        <v>219</v>
      </c>
      <c r="O16" s="5" t="s">
        <v>142</v>
      </c>
      <c r="P16" s="5">
        <v>14</v>
      </c>
      <c r="Q16" s="4">
        <f t="shared" si="7"/>
        <v>15</v>
      </c>
      <c r="R16" s="5">
        <f t="shared" si="8"/>
        <v>306</v>
      </c>
      <c r="S16" s="5">
        <f t="shared" si="9"/>
        <v>195.44</v>
      </c>
      <c r="T16" s="5">
        <f t="shared" si="2"/>
        <v>195.44</v>
      </c>
      <c r="U16" s="5">
        <f>_xlfn.IFNA(VLOOKUP(N16,AgeFactors,2,FALSE),AgeFactors!$E$25)</f>
        <v>1.048</v>
      </c>
      <c r="V16" s="9">
        <f t="shared" si="3"/>
        <v>186.4885496183206</v>
      </c>
      <c r="W16" s="10">
        <f t="shared" si="4"/>
        <v>33895</v>
      </c>
      <c r="X16" s="10">
        <f t="shared" si="5"/>
        <v>33895</v>
      </c>
      <c r="Y16" s="10">
        <f t="shared" si="6"/>
        <v>6321029.389312977</v>
      </c>
    </row>
    <row r="17" spans="1:25" x14ac:dyDescent="0.35">
      <c r="A17" s="5">
        <v>15</v>
      </c>
      <c r="B17" s="5" t="str">
        <f t="shared" si="0"/>
        <v>GA2</v>
      </c>
      <c r="C17" t="s">
        <v>219</v>
      </c>
      <c r="D17" t="s">
        <v>281</v>
      </c>
      <c r="E17" t="s">
        <v>926</v>
      </c>
      <c r="F17" t="s">
        <v>852</v>
      </c>
      <c r="G17">
        <v>2</v>
      </c>
      <c r="H17" t="s">
        <v>310</v>
      </c>
      <c r="I17">
        <v>2</v>
      </c>
      <c r="J17" s="37">
        <v>198.55</v>
      </c>
      <c r="M17" s="5" t="str">
        <f t="shared" si="1"/>
        <v>GA15</v>
      </c>
      <c r="N17" s="5" t="s">
        <v>219</v>
      </c>
      <c r="O17" s="5" t="s">
        <v>154</v>
      </c>
      <c r="P17" s="5">
        <v>15</v>
      </c>
      <c r="Q17" s="4">
        <f t="shared" si="7"/>
        <v>11</v>
      </c>
      <c r="R17" s="5">
        <f t="shared" si="8"/>
        <v>321</v>
      </c>
      <c r="S17" s="5">
        <f t="shared" si="9"/>
        <v>273.89999999999998</v>
      </c>
      <c r="T17" s="5">
        <f t="shared" si="2"/>
        <v>273.89999999999998</v>
      </c>
      <c r="U17" s="5">
        <f>_xlfn.IFNA(VLOOKUP(N17,AgeFactors,2,FALSE),AgeFactors!$E$25)</f>
        <v>1.048</v>
      </c>
      <c r="V17" s="9">
        <f t="shared" si="3"/>
        <v>261.35496183206101</v>
      </c>
      <c r="W17" s="10">
        <f t="shared" si="4"/>
        <v>14843</v>
      </c>
      <c r="X17" s="10">
        <f t="shared" si="5"/>
        <v>14843</v>
      </c>
      <c r="Y17" s="10">
        <f t="shared" si="6"/>
        <v>3879291.6984732817</v>
      </c>
    </row>
    <row r="18" spans="1:25" x14ac:dyDescent="0.35">
      <c r="A18" s="5">
        <v>16</v>
      </c>
      <c r="B18" s="5" t="str">
        <f t="shared" si="0"/>
        <v>GA2</v>
      </c>
      <c r="C18" t="s">
        <v>219</v>
      </c>
      <c r="D18" t="s">
        <v>281</v>
      </c>
      <c r="E18" t="s">
        <v>931</v>
      </c>
      <c r="F18" t="s">
        <v>857</v>
      </c>
      <c r="G18">
        <v>2</v>
      </c>
      <c r="H18" t="s">
        <v>310</v>
      </c>
      <c r="I18">
        <v>2</v>
      </c>
      <c r="J18" s="37">
        <v>199.36</v>
      </c>
      <c r="M18" s="5" t="str">
        <f t="shared" si="1"/>
        <v>GA16</v>
      </c>
      <c r="N18" s="5" t="s">
        <v>219</v>
      </c>
      <c r="O18" s="5" t="s">
        <v>173</v>
      </c>
      <c r="P18" s="5">
        <v>16</v>
      </c>
      <c r="Q18" s="4">
        <f t="shared" si="7"/>
        <v>10</v>
      </c>
      <c r="R18" s="5">
        <f t="shared" si="8"/>
        <v>332</v>
      </c>
      <c r="S18" s="5">
        <f t="shared" si="9"/>
        <v>220.78</v>
      </c>
      <c r="T18" s="5">
        <f t="shared" si="2"/>
        <v>220.78</v>
      </c>
      <c r="U18" s="5">
        <f>_xlfn.IFNA(VLOOKUP(N18,AgeFactors,2,FALSE),AgeFactors!$E$25)</f>
        <v>1.048</v>
      </c>
      <c r="V18" s="9">
        <f t="shared" si="3"/>
        <v>210.6679389312977</v>
      </c>
      <c r="W18" s="10">
        <f t="shared" si="4"/>
        <v>3025</v>
      </c>
      <c r="X18" s="10">
        <f t="shared" si="5"/>
        <v>3025</v>
      </c>
      <c r="Y18" s="10">
        <f t="shared" si="6"/>
        <v>637270.51526717551</v>
      </c>
    </row>
    <row r="19" spans="1:25" x14ac:dyDescent="0.35">
      <c r="A19" s="5">
        <v>17</v>
      </c>
      <c r="B19" s="5" t="str">
        <f t="shared" si="0"/>
        <v>GA2</v>
      </c>
      <c r="C19" t="s">
        <v>219</v>
      </c>
      <c r="D19" t="s">
        <v>281</v>
      </c>
      <c r="E19" t="s">
        <v>290</v>
      </c>
      <c r="F19" t="s">
        <v>866</v>
      </c>
      <c r="G19">
        <v>2</v>
      </c>
      <c r="H19" t="s">
        <v>310</v>
      </c>
      <c r="I19">
        <v>2</v>
      </c>
      <c r="J19" s="37">
        <v>201.22</v>
      </c>
      <c r="N19"/>
      <c r="O19"/>
      <c r="U19" s="5" t="s">
        <v>257</v>
      </c>
      <c r="V19" s="9">
        <f>MEDIAN(V3:V18)</f>
        <v>218.59732824427482</v>
      </c>
      <c r="W19" s="10"/>
      <c r="X19" s="10"/>
      <c r="Y19" s="10"/>
    </row>
    <row r="20" spans="1:25" x14ac:dyDescent="0.35">
      <c r="A20" s="5">
        <v>18</v>
      </c>
      <c r="B20" s="5" t="str">
        <f t="shared" si="0"/>
        <v>GA2</v>
      </c>
      <c r="C20" t="s">
        <v>219</v>
      </c>
      <c r="D20" t="s">
        <v>281</v>
      </c>
      <c r="E20" t="s">
        <v>282</v>
      </c>
      <c r="F20" t="s">
        <v>868</v>
      </c>
      <c r="G20">
        <v>2</v>
      </c>
      <c r="H20" t="s">
        <v>310</v>
      </c>
      <c r="I20">
        <v>2</v>
      </c>
      <c r="J20" s="37">
        <v>203.02</v>
      </c>
      <c r="N20"/>
      <c r="O20"/>
      <c r="U20" s="5" t="s">
        <v>258</v>
      </c>
      <c r="V20" s="9">
        <f>AVERAGE(V3:V18)</f>
        <v>222.00322041984731</v>
      </c>
      <c r="W20" s="10"/>
      <c r="X20" s="12">
        <f>SUM(X3:X18)</f>
        <v>541032</v>
      </c>
      <c r="Y20" s="12">
        <f>SUM(Y3:Y18)</f>
        <v>111382955.41030534</v>
      </c>
    </row>
    <row r="21" spans="1:25" x14ac:dyDescent="0.35">
      <c r="A21" s="5">
        <v>19</v>
      </c>
      <c r="B21" s="5" t="str">
        <f t="shared" si="0"/>
        <v>GA2</v>
      </c>
      <c r="C21" t="s">
        <v>219</v>
      </c>
      <c r="D21" t="s">
        <v>281</v>
      </c>
      <c r="E21" t="s">
        <v>927</v>
      </c>
      <c r="F21" t="s">
        <v>853</v>
      </c>
      <c r="G21">
        <v>2</v>
      </c>
      <c r="H21" t="s">
        <v>310</v>
      </c>
      <c r="I21">
        <v>2</v>
      </c>
      <c r="J21" s="37">
        <v>203.3</v>
      </c>
      <c r="N21"/>
      <c r="O21"/>
      <c r="U21" s="13" t="s">
        <v>259</v>
      </c>
      <c r="V21" s="13">
        <f>Y20/X20</f>
        <v>205.87128933280349</v>
      </c>
    </row>
    <row r="22" spans="1:25" x14ac:dyDescent="0.35">
      <c r="A22" s="5">
        <v>20</v>
      </c>
      <c r="B22" s="5" t="str">
        <f t="shared" si="0"/>
        <v>GA2</v>
      </c>
      <c r="C22" t="s">
        <v>219</v>
      </c>
      <c r="D22" t="s">
        <v>281</v>
      </c>
      <c r="E22" t="s">
        <v>283</v>
      </c>
      <c r="F22" t="s">
        <v>862</v>
      </c>
      <c r="G22">
        <v>2</v>
      </c>
      <c r="H22" t="s">
        <v>310</v>
      </c>
      <c r="I22">
        <v>2</v>
      </c>
      <c r="J22" s="37">
        <v>204.03</v>
      </c>
      <c r="N22"/>
      <c r="O22"/>
      <c r="U22" s="5" t="s">
        <v>829</v>
      </c>
      <c r="V22" s="9">
        <f>MIN(V3:V18)</f>
        <v>182.29007633587784</v>
      </c>
    </row>
    <row r="23" spans="1:25" x14ac:dyDescent="0.35">
      <c r="A23" s="5">
        <v>21</v>
      </c>
      <c r="B23" s="5" t="str">
        <f t="shared" si="0"/>
        <v>GA2</v>
      </c>
      <c r="C23" t="s">
        <v>219</v>
      </c>
      <c r="D23" t="s">
        <v>281</v>
      </c>
      <c r="E23" t="s">
        <v>284</v>
      </c>
      <c r="F23" t="s">
        <v>869</v>
      </c>
      <c r="G23">
        <v>2</v>
      </c>
      <c r="H23" t="s">
        <v>310</v>
      </c>
      <c r="I23">
        <v>2</v>
      </c>
      <c r="J23" s="37">
        <v>207.87</v>
      </c>
      <c r="N23"/>
      <c r="O23"/>
      <c r="U23" s="5" t="s">
        <v>830</v>
      </c>
      <c r="V23" s="9">
        <f>MAX(V3:V18)</f>
        <v>291.82251908396944</v>
      </c>
    </row>
    <row r="24" spans="1:25" x14ac:dyDescent="0.35">
      <c r="A24" s="5">
        <v>22</v>
      </c>
      <c r="B24" s="5" t="str">
        <f t="shared" si="0"/>
        <v>GA2</v>
      </c>
      <c r="C24" t="s">
        <v>219</v>
      </c>
      <c r="D24" t="s">
        <v>281</v>
      </c>
      <c r="E24" t="s">
        <v>285</v>
      </c>
      <c r="F24" t="s">
        <v>863</v>
      </c>
      <c r="G24">
        <v>2</v>
      </c>
      <c r="H24" t="s">
        <v>310</v>
      </c>
      <c r="I24">
        <v>2</v>
      </c>
      <c r="J24" s="37">
        <v>208.91</v>
      </c>
      <c r="N24"/>
      <c r="O24"/>
    </row>
    <row r="25" spans="1:25" x14ac:dyDescent="0.35">
      <c r="A25" s="5">
        <v>23</v>
      </c>
      <c r="B25" s="5" t="str">
        <f t="shared" si="0"/>
        <v>GA2</v>
      </c>
      <c r="C25" t="s">
        <v>219</v>
      </c>
      <c r="D25" t="s">
        <v>281</v>
      </c>
      <c r="E25" t="s">
        <v>292</v>
      </c>
      <c r="F25" t="s">
        <v>867</v>
      </c>
      <c r="G25">
        <v>2</v>
      </c>
      <c r="H25" t="s">
        <v>310</v>
      </c>
      <c r="I25">
        <v>2</v>
      </c>
      <c r="J25" s="37">
        <v>209.99</v>
      </c>
      <c r="N25"/>
      <c r="O25"/>
    </row>
    <row r="26" spans="1:25" x14ac:dyDescent="0.35">
      <c r="A26" s="5">
        <v>24</v>
      </c>
      <c r="B26" s="5" t="str">
        <f t="shared" si="0"/>
        <v>GA2</v>
      </c>
      <c r="C26" t="s">
        <v>219</v>
      </c>
      <c r="D26" t="s">
        <v>281</v>
      </c>
      <c r="E26" t="s">
        <v>928</v>
      </c>
      <c r="F26" t="s">
        <v>854</v>
      </c>
      <c r="G26">
        <v>2</v>
      </c>
      <c r="H26" t="s">
        <v>310</v>
      </c>
      <c r="I26">
        <v>2</v>
      </c>
      <c r="J26" s="37">
        <v>212.16</v>
      </c>
      <c r="N26"/>
      <c r="O26"/>
    </row>
    <row r="27" spans="1:25" x14ac:dyDescent="0.35">
      <c r="A27" s="5">
        <v>25</v>
      </c>
      <c r="B27" s="5" t="str">
        <f t="shared" si="0"/>
        <v>GA2</v>
      </c>
      <c r="C27" t="s">
        <v>219</v>
      </c>
      <c r="D27" t="s">
        <v>951</v>
      </c>
      <c r="E27" t="s">
        <v>969</v>
      </c>
      <c r="F27" t="s">
        <v>970</v>
      </c>
      <c r="G27">
        <v>2</v>
      </c>
      <c r="H27" t="s">
        <v>310</v>
      </c>
      <c r="I27">
        <v>2</v>
      </c>
      <c r="J27" s="37">
        <v>214.78</v>
      </c>
      <c r="N27"/>
      <c r="O27"/>
    </row>
    <row r="28" spans="1:25" x14ac:dyDescent="0.35">
      <c r="A28" s="5">
        <v>26</v>
      </c>
      <c r="B28" s="5" t="str">
        <f t="shared" si="0"/>
        <v>GA2</v>
      </c>
      <c r="C28" t="s">
        <v>219</v>
      </c>
      <c r="D28" t="s">
        <v>951</v>
      </c>
      <c r="E28" t="s">
        <v>961</v>
      </c>
      <c r="F28" t="s">
        <v>962</v>
      </c>
      <c r="G28">
        <v>2</v>
      </c>
      <c r="H28" t="s">
        <v>310</v>
      </c>
      <c r="I28">
        <v>2</v>
      </c>
      <c r="J28" s="37">
        <v>216.55</v>
      </c>
      <c r="N28"/>
      <c r="O28"/>
    </row>
    <row r="29" spans="1:25" x14ac:dyDescent="0.35">
      <c r="A29" s="5">
        <v>27</v>
      </c>
      <c r="B29" s="5" t="str">
        <f t="shared" si="0"/>
        <v>GA2</v>
      </c>
      <c r="C29" t="s">
        <v>219</v>
      </c>
      <c r="D29" t="s">
        <v>281</v>
      </c>
      <c r="E29" t="s">
        <v>287</v>
      </c>
      <c r="F29" t="s">
        <v>870</v>
      </c>
      <c r="G29">
        <v>2</v>
      </c>
      <c r="H29" t="s">
        <v>310</v>
      </c>
      <c r="I29">
        <v>2</v>
      </c>
      <c r="J29" s="37">
        <v>216.93</v>
      </c>
      <c r="N29"/>
      <c r="O29"/>
    </row>
    <row r="30" spans="1:25" x14ac:dyDescent="0.35">
      <c r="A30" s="5">
        <v>28</v>
      </c>
      <c r="B30" s="5" t="str">
        <f t="shared" si="0"/>
        <v>GA2</v>
      </c>
      <c r="C30" t="s">
        <v>219</v>
      </c>
      <c r="D30" t="s">
        <v>281</v>
      </c>
      <c r="E30" t="s">
        <v>289</v>
      </c>
      <c r="F30" t="s">
        <v>864</v>
      </c>
      <c r="G30">
        <v>2</v>
      </c>
      <c r="H30" t="s">
        <v>310</v>
      </c>
      <c r="I30">
        <v>2</v>
      </c>
      <c r="J30" s="37">
        <v>218.01</v>
      </c>
      <c r="N30"/>
      <c r="O30"/>
    </row>
    <row r="31" spans="1:25" x14ac:dyDescent="0.35">
      <c r="A31" s="5">
        <v>29</v>
      </c>
      <c r="B31" s="5" t="str">
        <f t="shared" si="0"/>
        <v>GA2</v>
      </c>
      <c r="C31" t="s">
        <v>219</v>
      </c>
      <c r="D31" t="s">
        <v>951</v>
      </c>
      <c r="E31" t="s">
        <v>963</v>
      </c>
      <c r="F31" t="s">
        <v>964</v>
      </c>
      <c r="G31">
        <v>2</v>
      </c>
      <c r="H31" t="s">
        <v>310</v>
      </c>
      <c r="I31">
        <v>2</v>
      </c>
      <c r="J31" s="37">
        <v>228.65</v>
      </c>
      <c r="N31"/>
      <c r="O31"/>
    </row>
    <row r="32" spans="1:25" x14ac:dyDescent="0.35">
      <c r="A32" s="5">
        <v>30</v>
      </c>
      <c r="B32" s="5" t="str">
        <f t="shared" si="0"/>
        <v>GA2</v>
      </c>
      <c r="C32" t="s">
        <v>219</v>
      </c>
      <c r="D32" t="s">
        <v>951</v>
      </c>
      <c r="E32" t="s">
        <v>965</v>
      </c>
      <c r="F32" t="s">
        <v>966</v>
      </c>
      <c r="G32">
        <v>2</v>
      </c>
      <c r="H32" t="s">
        <v>310</v>
      </c>
      <c r="I32">
        <v>2</v>
      </c>
      <c r="J32" s="37">
        <v>230.56</v>
      </c>
      <c r="N32"/>
      <c r="O32"/>
    </row>
    <row r="33" spans="1:15" x14ac:dyDescent="0.35">
      <c r="A33" s="5">
        <v>31</v>
      </c>
      <c r="B33" s="5" t="str">
        <f t="shared" si="0"/>
        <v>GA2</v>
      </c>
      <c r="C33" t="s">
        <v>219</v>
      </c>
      <c r="D33" t="s">
        <v>951</v>
      </c>
      <c r="E33" t="s">
        <v>967</v>
      </c>
      <c r="F33" t="s">
        <v>968</v>
      </c>
      <c r="G33">
        <v>2</v>
      </c>
      <c r="H33" t="s">
        <v>310</v>
      </c>
      <c r="I33">
        <v>2</v>
      </c>
      <c r="J33" s="37">
        <v>237.51</v>
      </c>
      <c r="N33"/>
      <c r="O33"/>
    </row>
    <row r="34" spans="1:15" x14ac:dyDescent="0.35">
      <c r="A34" s="5">
        <v>32</v>
      </c>
      <c r="B34" s="5" t="str">
        <f t="shared" si="0"/>
        <v>GA2</v>
      </c>
      <c r="C34" t="s">
        <v>219</v>
      </c>
      <c r="D34" t="s">
        <v>951</v>
      </c>
      <c r="E34" t="s">
        <v>973</v>
      </c>
      <c r="F34" t="s">
        <v>278</v>
      </c>
      <c r="G34">
        <v>2</v>
      </c>
      <c r="H34" t="s">
        <v>310</v>
      </c>
      <c r="I34">
        <v>2</v>
      </c>
      <c r="J34" s="37">
        <v>240.84</v>
      </c>
      <c r="N34"/>
      <c r="O34"/>
    </row>
    <row r="35" spans="1:15" x14ac:dyDescent="0.35">
      <c r="A35" s="5">
        <v>33</v>
      </c>
      <c r="B35" s="5" t="str">
        <f t="shared" si="0"/>
        <v>GA2</v>
      </c>
      <c r="C35" t="s">
        <v>219</v>
      </c>
      <c r="D35" t="s">
        <v>304</v>
      </c>
      <c r="E35" t="s">
        <v>307</v>
      </c>
      <c r="F35" t="s">
        <v>904</v>
      </c>
      <c r="G35">
        <v>1</v>
      </c>
      <c r="H35" t="s">
        <v>310</v>
      </c>
      <c r="I35">
        <v>2</v>
      </c>
      <c r="J35" s="37">
        <v>241.89</v>
      </c>
      <c r="N35"/>
      <c r="O35"/>
    </row>
    <row r="36" spans="1:15" x14ac:dyDescent="0.35">
      <c r="A36" s="5">
        <v>34</v>
      </c>
      <c r="B36" s="5" t="str">
        <f t="shared" si="0"/>
        <v>GA2</v>
      </c>
      <c r="C36" t="s">
        <v>219</v>
      </c>
      <c r="D36" t="s">
        <v>304</v>
      </c>
      <c r="E36" t="s">
        <v>916</v>
      </c>
      <c r="F36" t="s">
        <v>917</v>
      </c>
      <c r="G36">
        <v>1</v>
      </c>
      <c r="H36" t="s">
        <v>310</v>
      </c>
      <c r="I36">
        <v>2</v>
      </c>
      <c r="J36" s="37">
        <v>241.89</v>
      </c>
      <c r="N36"/>
      <c r="O36"/>
    </row>
    <row r="37" spans="1:15" x14ac:dyDescent="0.35">
      <c r="A37" s="5">
        <v>35</v>
      </c>
      <c r="B37" s="5" t="str">
        <f t="shared" si="0"/>
        <v>GA2</v>
      </c>
      <c r="C37" t="s">
        <v>219</v>
      </c>
      <c r="D37" t="s">
        <v>304</v>
      </c>
      <c r="E37" t="s">
        <v>902</v>
      </c>
      <c r="F37" t="s">
        <v>903</v>
      </c>
      <c r="G37">
        <v>1</v>
      </c>
      <c r="H37" t="s">
        <v>310</v>
      </c>
      <c r="I37">
        <v>2</v>
      </c>
      <c r="J37" s="37">
        <v>241.96</v>
      </c>
      <c r="N37"/>
      <c r="O37"/>
    </row>
    <row r="38" spans="1:15" x14ac:dyDescent="0.35">
      <c r="A38" s="5">
        <v>36</v>
      </c>
      <c r="B38" s="5" t="str">
        <f t="shared" si="0"/>
        <v>GA2</v>
      </c>
      <c r="C38" t="s">
        <v>219</v>
      </c>
      <c r="D38" t="s">
        <v>304</v>
      </c>
      <c r="E38" t="s">
        <v>305</v>
      </c>
      <c r="F38" t="s">
        <v>913</v>
      </c>
      <c r="G38">
        <v>1</v>
      </c>
      <c r="H38" t="s">
        <v>310</v>
      </c>
      <c r="I38">
        <v>2</v>
      </c>
      <c r="J38" s="37">
        <v>242.04</v>
      </c>
      <c r="N38"/>
      <c r="O38"/>
    </row>
    <row r="39" spans="1:15" x14ac:dyDescent="0.35">
      <c r="A39" s="5">
        <v>37</v>
      </c>
      <c r="B39" s="5" t="str">
        <f t="shared" si="0"/>
        <v>GA2</v>
      </c>
      <c r="C39" t="s">
        <v>219</v>
      </c>
      <c r="D39" t="s">
        <v>304</v>
      </c>
      <c r="E39" t="s">
        <v>911</v>
      </c>
      <c r="F39" t="s">
        <v>912</v>
      </c>
      <c r="G39">
        <v>1</v>
      </c>
      <c r="H39" t="s">
        <v>310</v>
      </c>
      <c r="I39">
        <v>2</v>
      </c>
      <c r="J39" s="37">
        <v>242.07</v>
      </c>
      <c r="N39"/>
      <c r="O39"/>
    </row>
    <row r="40" spans="1:15" x14ac:dyDescent="0.35">
      <c r="A40" s="5">
        <v>38</v>
      </c>
      <c r="B40" s="5" t="str">
        <f t="shared" si="0"/>
        <v>GA2</v>
      </c>
      <c r="C40" t="s">
        <v>219</v>
      </c>
      <c r="D40" t="s">
        <v>304</v>
      </c>
      <c r="E40" t="s">
        <v>914</v>
      </c>
      <c r="F40" t="s">
        <v>915</v>
      </c>
      <c r="G40">
        <v>1</v>
      </c>
      <c r="H40" t="s">
        <v>310</v>
      </c>
      <c r="I40">
        <v>2</v>
      </c>
      <c r="J40" s="37">
        <v>242.29</v>
      </c>
      <c r="N40"/>
      <c r="O40"/>
    </row>
    <row r="41" spans="1:15" x14ac:dyDescent="0.35">
      <c r="A41" s="5">
        <v>39</v>
      </c>
      <c r="B41" s="5" t="str">
        <f t="shared" si="0"/>
        <v>GA2</v>
      </c>
      <c r="C41" t="s">
        <v>219</v>
      </c>
      <c r="D41" t="s">
        <v>304</v>
      </c>
      <c r="E41" t="s">
        <v>909</v>
      </c>
      <c r="F41" t="s">
        <v>910</v>
      </c>
      <c r="G41">
        <v>1</v>
      </c>
      <c r="H41" t="s">
        <v>310</v>
      </c>
      <c r="I41">
        <v>2</v>
      </c>
      <c r="J41" s="37">
        <v>242.37</v>
      </c>
      <c r="N41"/>
      <c r="O41"/>
    </row>
    <row r="42" spans="1:15" x14ac:dyDescent="0.35">
      <c r="A42" s="5">
        <v>40</v>
      </c>
      <c r="B42" s="5" t="str">
        <f t="shared" si="0"/>
        <v>GA2</v>
      </c>
      <c r="C42" t="s">
        <v>219</v>
      </c>
      <c r="D42" t="s">
        <v>844</v>
      </c>
      <c r="E42" t="s">
        <v>295</v>
      </c>
      <c r="F42" t="s">
        <v>1088</v>
      </c>
      <c r="G42">
        <v>3</v>
      </c>
      <c r="H42" t="s">
        <v>310</v>
      </c>
      <c r="I42">
        <v>2</v>
      </c>
      <c r="J42" s="37">
        <v>243.3</v>
      </c>
      <c r="N42"/>
      <c r="O42"/>
    </row>
    <row r="43" spans="1:15" x14ac:dyDescent="0.35">
      <c r="A43" s="5">
        <v>41</v>
      </c>
      <c r="B43" s="5" t="str">
        <f t="shared" si="0"/>
        <v>GA2</v>
      </c>
      <c r="C43" t="s">
        <v>219</v>
      </c>
      <c r="D43" t="s">
        <v>304</v>
      </c>
      <c r="E43" t="s">
        <v>900</v>
      </c>
      <c r="F43" t="s">
        <v>901</v>
      </c>
      <c r="G43">
        <v>1</v>
      </c>
      <c r="H43" t="s">
        <v>310</v>
      </c>
      <c r="I43">
        <v>2</v>
      </c>
      <c r="J43" s="37">
        <v>243.94</v>
      </c>
      <c r="N43"/>
      <c r="O43"/>
    </row>
    <row r="44" spans="1:15" x14ac:dyDescent="0.35">
      <c r="A44" s="5">
        <v>42</v>
      </c>
      <c r="B44" s="5" t="str">
        <f t="shared" si="0"/>
        <v>GA2</v>
      </c>
      <c r="C44" t="s">
        <v>219</v>
      </c>
      <c r="D44" t="s">
        <v>304</v>
      </c>
      <c r="E44" t="s">
        <v>898</v>
      </c>
      <c r="F44" t="s">
        <v>899</v>
      </c>
      <c r="G44">
        <v>1</v>
      </c>
      <c r="H44" t="s">
        <v>310</v>
      </c>
      <c r="I44">
        <v>2</v>
      </c>
      <c r="J44" s="37">
        <v>244.51</v>
      </c>
      <c r="N44"/>
      <c r="O44"/>
    </row>
    <row r="45" spans="1:15" x14ac:dyDescent="0.35">
      <c r="A45" s="5">
        <v>43</v>
      </c>
      <c r="B45" s="5" t="str">
        <f t="shared" si="0"/>
        <v>GA2</v>
      </c>
      <c r="C45" t="s">
        <v>219</v>
      </c>
      <c r="D45" t="s">
        <v>304</v>
      </c>
      <c r="E45" t="s">
        <v>907</v>
      </c>
      <c r="F45" t="s">
        <v>908</v>
      </c>
      <c r="G45">
        <v>1</v>
      </c>
      <c r="H45" t="s">
        <v>310</v>
      </c>
      <c r="I45">
        <v>2</v>
      </c>
      <c r="J45" s="37">
        <v>249.86</v>
      </c>
      <c r="N45"/>
      <c r="O45"/>
    </row>
    <row r="46" spans="1:15" x14ac:dyDescent="0.35">
      <c r="A46" s="5">
        <v>44</v>
      </c>
      <c r="B46" s="5" t="str">
        <f t="shared" si="0"/>
        <v>GA2</v>
      </c>
      <c r="C46" t="s">
        <v>219</v>
      </c>
      <c r="D46" t="s">
        <v>304</v>
      </c>
      <c r="E46" t="s">
        <v>905</v>
      </c>
      <c r="F46" t="s">
        <v>906</v>
      </c>
      <c r="G46">
        <v>1</v>
      </c>
      <c r="H46" t="s">
        <v>310</v>
      </c>
      <c r="I46">
        <v>2</v>
      </c>
      <c r="J46" s="37">
        <v>255.11</v>
      </c>
      <c r="N46"/>
      <c r="O46"/>
    </row>
    <row r="47" spans="1:15" x14ac:dyDescent="0.35">
      <c r="A47" s="5">
        <v>45</v>
      </c>
      <c r="B47" s="5" t="str">
        <f t="shared" si="0"/>
        <v>GA2</v>
      </c>
      <c r="C47" t="s">
        <v>219</v>
      </c>
      <c r="D47" t="s">
        <v>245</v>
      </c>
      <c r="E47" t="s">
        <v>300</v>
      </c>
      <c r="F47" t="s">
        <v>301</v>
      </c>
      <c r="G47">
        <v>2</v>
      </c>
      <c r="H47" t="s">
        <v>310</v>
      </c>
      <c r="I47">
        <v>2</v>
      </c>
      <c r="J47" s="37">
        <v>265</v>
      </c>
      <c r="N47"/>
      <c r="O47"/>
    </row>
    <row r="48" spans="1:15" x14ac:dyDescent="0.35">
      <c r="A48" s="5">
        <v>46</v>
      </c>
      <c r="B48" s="5" t="str">
        <f t="shared" si="0"/>
        <v>GA2</v>
      </c>
      <c r="C48" t="s">
        <v>219</v>
      </c>
      <c r="D48" t="s">
        <v>861</v>
      </c>
      <c r="E48" t="s">
        <v>977</v>
      </c>
      <c r="F48" t="s">
        <v>978</v>
      </c>
      <c r="G48">
        <v>1</v>
      </c>
      <c r="H48" t="s">
        <v>310</v>
      </c>
      <c r="I48">
        <v>2</v>
      </c>
      <c r="J48" s="37">
        <v>269.85000000000002</v>
      </c>
      <c r="N48"/>
      <c r="O48"/>
    </row>
    <row r="49" spans="1:15" x14ac:dyDescent="0.35">
      <c r="A49" s="5">
        <v>47</v>
      </c>
      <c r="B49" s="5" t="str">
        <f t="shared" si="0"/>
        <v>GA2</v>
      </c>
      <c r="C49" t="s">
        <v>219</v>
      </c>
      <c r="D49" t="s">
        <v>245</v>
      </c>
      <c r="E49" t="s">
        <v>302</v>
      </c>
      <c r="F49" t="s">
        <v>303</v>
      </c>
      <c r="G49">
        <v>2</v>
      </c>
      <c r="H49" t="s">
        <v>310</v>
      </c>
      <c r="I49">
        <v>2</v>
      </c>
      <c r="J49" s="37">
        <v>274</v>
      </c>
      <c r="N49"/>
      <c r="O49"/>
    </row>
    <row r="50" spans="1:15" x14ac:dyDescent="0.35">
      <c r="A50" s="5">
        <v>48</v>
      </c>
      <c r="B50" s="5" t="str">
        <f t="shared" si="0"/>
        <v>GA2</v>
      </c>
      <c r="C50" t="s">
        <v>219</v>
      </c>
      <c r="D50" t="s">
        <v>861</v>
      </c>
      <c r="E50" t="s">
        <v>980</v>
      </c>
      <c r="F50" t="s">
        <v>218</v>
      </c>
      <c r="G50">
        <v>1</v>
      </c>
      <c r="H50" t="s">
        <v>310</v>
      </c>
      <c r="I50">
        <v>2</v>
      </c>
      <c r="J50" s="37">
        <v>281.02</v>
      </c>
      <c r="N50"/>
      <c r="O50"/>
    </row>
    <row r="51" spans="1:15" x14ac:dyDescent="0.35">
      <c r="A51" s="5">
        <v>49</v>
      </c>
      <c r="B51" s="5" t="str">
        <f t="shared" si="0"/>
        <v>GA2</v>
      </c>
      <c r="C51" t="s">
        <v>219</v>
      </c>
      <c r="D51" t="s">
        <v>861</v>
      </c>
      <c r="E51" t="s">
        <v>975</v>
      </c>
      <c r="F51" t="s">
        <v>976</v>
      </c>
      <c r="G51">
        <v>1</v>
      </c>
      <c r="H51" t="s">
        <v>310</v>
      </c>
      <c r="I51">
        <v>2</v>
      </c>
      <c r="J51" s="37">
        <v>283.23</v>
      </c>
      <c r="N51"/>
      <c r="O51"/>
    </row>
    <row r="52" spans="1:15" x14ac:dyDescent="0.35">
      <c r="A52" s="5">
        <v>50</v>
      </c>
      <c r="B52" s="5" t="str">
        <f t="shared" si="0"/>
        <v>GA2</v>
      </c>
      <c r="C52" t="s">
        <v>219</v>
      </c>
      <c r="D52" t="s">
        <v>260</v>
      </c>
      <c r="E52" t="s">
        <v>1115</v>
      </c>
      <c r="F52" t="s">
        <v>851</v>
      </c>
      <c r="G52">
        <v>2</v>
      </c>
      <c r="H52" t="s">
        <v>310</v>
      </c>
      <c r="I52">
        <v>2</v>
      </c>
      <c r="J52" s="37">
        <v>283.33999999999997</v>
      </c>
      <c r="N52"/>
      <c r="O52"/>
    </row>
    <row r="53" spans="1:15" x14ac:dyDescent="0.35">
      <c r="A53" s="5">
        <v>51</v>
      </c>
      <c r="B53" s="5" t="str">
        <f t="shared" si="0"/>
        <v>GA2</v>
      </c>
      <c r="C53" t="s">
        <v>219</v>
      </c>
      <c r="D53" t="s">
        <v>245</v>
      </c>
      <c r="E53" t="s">
        <v>298</v>
      </c>
      <c r="F53" t="s">
        <v>299</v>
      </c>
      <c r="G53">
        <v>2</v>
      </c>
      <c r="H53" t="s">
        <v>310</v>
      </c>
      <c r="I53">
        <v>2</v>
      </c>
      <c r="J53" s="37">
        <v>285</v>
      </c>
      <c r="N53"/>
      <c r="O53"/>
    </row>
    <row r="54" spans="1:15" x14ac:dyDescent="0.35">
      <c r="A54" s="5">
        <v>52</v>
      </c>
      <c r="B54" s="5" t="str">
        <f t="shared" si="0"/>
        <v>GA2</v>
      </c>
      <c r="C54" t="s">
        <v>219</v>
      </c>
      <c r="D54" t="s">
        <v>260</v>
      </c>
      <c r="E54" t="s">
        <v>1114</v>
      </c>
      <c r="F54" t="s">
        <v>850</v>
      </c>
      <c r="G54">
        <v>2</v>
      </c>
      <c r="H54" t="s">
        <v>310</v>
      </c>
      <c r="I54">
        <v>2</v>
      </c>
      <c r="J54" s="37">
        <v>298.92</v>
      </c>
      <c r="N54"/>
      <c r="O54"/>
    </row>
    <row r="55" spans="1:15" x14ac:dyDescent="0.35">
      <c r="A55" s="5">
        <v>53</v>
      </c>
      <c r="B55" s="5" t="str">
        <f t="shared" si="0"/>
        <v>GA2</v>
      </c>
      <c r="C55" t="s">
        <v>219</v>
      </c>
      <c r="D55" t="s">
        <v>260</v>
      </c>
      <c r="E55" t="s">
        <v>1113</v>
      </c>
      <c r="F55" t="s">
        <v>849</v>
      </c>
      <c r="G55">
        <v>2</v>
      </c>
      <c r="H55" t="s">
        <v>310</v>
      </c>
      <c r="I55">
        <v>2</v>
      </c>
      <c r="J55" s="37">
        <v>300.63</v>
      </c>
      <c r="N55"/>
      <c r="O55"/>
    </row>
    <row r="56" spans="1:15" x14ac:dyDescent="0.35">
      <c r="A56" s="5">
        <v>54</v>
      </c>
      <c r="B56" s="5" t="str">
        <f t="shared" si="0"/>
        <v>GA3</v>
      </c>
      <c r="C56" t="s">
        <v>219</v>
      </c>
      <c r="D56" t="s">
        <v>984</v>
      </c>
      <c r="E56" t="s">
        <v>1034</v>
      </c>
      <c r="F56" t="s">
        <v>1035</v>
      </c>
      <c r="G56">
        <v>2</v>
      </c>
      <c r="H56" t="s">
        <v>310</v>
      </c>
      <c r="I56">
        <v>3</v>
      </c>
      <c r="J56" s="37">
        <v>203.1</v>
      </c>
      <c r="N56"/>
      <c r="O56"/>
    </row>
    <row r="57" spans="1:15" x14ac:dyDescent="0.35">
      <c r="A57" s="5">
        <v>55</v>
      </c>
      <c r="B57" s="5" t="str">
        <f t="shared" si="0"/>
        <v>GA3</v>
      </c>
      <c r="C57" t="s">
        <v>219</v>
      </c>
      <c r="D57" t="s">
        <v>281</v>
      </c>
      <c r="E57" t="s">
        <v>929</v>
      </c>
      <c r="F57" t="s">
        <v>855</v>
      </c>
      <c r="G57">
        <v>2</v>
      </c>
      <c r="H57" t="s">
        <v>310</v>
      </c>
      <c r="I57">
        <v>3</v>
      </c>
      <c r="J57" s="37">
        <v>209.41</v>
      </c>
      <c r="N57"/>
      <c r="O57"/>
    </row>
    <row r="58" spans="1:15" x14ac:dyDescent="0.35">
      <c r="A58" s="5">
        <v>56</v>
      </c>
      <c r="B58" s="5" t="str">
        <f t="shared" si="0"/>
        <v>GA3</v>
      </c>
      <c r="C58" t="s">
        <v>219</v>
      </c>
      <c r="D58" t="s">
        <v>984</v>
      </c>
      <c r="E58" t="s">
        <v>1050</v>
      </c>
      <c r="F58" t="s">
        <v>1051</v>
      </c>
      <c r="G58">
        <v>2</v>
      </c>
      <c r="H58" t="s">
        <v>310</v>
      </c>
      <c r="I58">
        <v>3</v>
      </c>
      <c r="J58" s="37">
        <v>209.49</v>
      </c>
      <c r="N58"/>
      <c r="O58"/>
    </row>
    <row r="59" spans="1:15" x14ac:dyDescent="0.35">
      <c r="A59" s="5">
        <v>57</v>
      </c>
      <c r="B59" s="5" t="str">
        <f t="shared" si="0"/>
        <v>GA3</v>
      </c>
      <c r="C59" t="s">
        <v>219</v>
      </c>
      <c r="D59" t="s">
        <v>844</v>
      </c>
      <c r="E59" t="s">
        <v>308</v>
      </c>
      <c r="F59" t="s">
        <v>1089</v>
      </c>
      <c r="G59">
        <v>2</v>
      </c>
      <c r="H59" t="s">
        <v>310</v>
      </c>
      <c r="I59">
        <v>3</v>
      </c>
      <c r="J59" s="37">
        <v>210.72</v>
      </c>
      <c r="N59"/>
      <c r="O59"/>
    </row>
    <row r="60" spans="1:15" x14ac:dyDescent="0.35">
      <c r="A60" s="5">
        <v>58</v>
      </c>
      <c r="B60" s="5" t="str">
        <f t="shared" si="0"/>
        <v>GA3</v>
      </c>
      <c r="C60" t="s">
        <v>219</v>
      </c>
      <c r="D60" t="s">
        <v>281</v>
      </c>
      <c r="E60" t="s">
        <v>930</v>
      </c>
      <c r="F60" t="s">
        <v>856</v>
      </c>
      <c r="G60">
        <v>2</v>
      </c>
      <c r="H60" t="s">
        <v>310</v>
      </c>
      <c r="I60">
        <v>3</v>
      </c>
      <c r="J60" s="37">
        <v>214.42</v>
      </c>
      <c r="N60"/>
      <c r="O60"/>
    </row>
    <row r="61" spans="1:15" x14ac:dyDescent="0.35">
      <c r="A61" s="5">
        <v>59</v>
      </c>
      <c r="B61" s="5" t="str">
        <f t="shared" si="0"/>
        <v>GA3</v>
      </c>
      <c r="C61" t="s">
        <v>219</v>
      </c>
      <c r="D61" t="s">
        <v>281</v>
      </c>
      <c r="E61" t="s">
        <v>286</v>
      </c>
      <c r="F61" t="s">
        <v>865</v>
      </c>
      <c r="G61">
        <v>2</v>
      </c>
      <c r="H61" t="s">
        <v>310</v>
      </c>
      <c r="I61">
        <v>3</v>
      </c>
      <c r="J61" s="37">
        <v>220.58</v>
      </c>
      <c r="N61"/>
      <c r="O61"/>
    </row>
    <row r="62" spans="1:15" x14ac:dyDescent="0.35">
      <c r="A62" s="5">
        <v>60</v>
      </c>
      <c r="B62" s="5" t="str">
        <f t="shared" si="0"/>
        <v>GA3</v>
      </c>
      <c r="C62" t="s">
        <v>219</v>
      </c>
      <c r="D62" t="s">
        <v>844</v>
      </c>
      <c r="E62" t="s">
        <v>295</v>
      </c>
      <c r="F62" t="s">
        <v>1088</v>
      </c>
      <c r="G62">
        <v>3</v>
      </c>
      <c r="H62" t="s">
        <v>310</v>
      </c>
      <c r="I62">
        <v>3</v>
      </c>
      <c r="J62" s="37">
        <v>220.58</v>
      </c>
      <c r="N62"/>
      <c r="O62"/>
    </row>
    <row r="63" spans="1:15" x14ac:dyDescent="0.35">
      <c r="A63" s="5">
        <v>61</v>
      </c>
      <c r="B63" s="5" t="str">
        <f t="shared" si="0"/>
        <v>GA3</v>
      </c>
      <c r="C63" t="s">
        <v>219</v>
      </c>
      <c r="D63" t="s">
        <v>281</v>
      </c>
      <c r="E63" t="s">
        <v>926</v>
      </c>
      <c r="F63" t="s">
        <v>852</v>
      </c>
      <c r="G63">
        <v>2</v>
      </c>
      <c r="H63" t="s">
        <v>310</v>
      </c>
      <c r="I63">
        <v>3</v>
      </c>
      <c r="J63" s="37">
        <v>222.86</v>
      </c>
      <c r="N63"/>
      <c r="O63"/>
    </row>
    <row r="64" spans="1:15" x14ac:dyDescent="0.35">
      <c r="A64" s="5">
        <v>62</v>
      </c>
      <c r="B64" s="5" t="str">
        <f t="shared" si="0"/>
        <v>GA3</v>
      </c>
      <c r="C64" t="s">
        <v>219</v>
      </c>
      <c r="D64" t="s">
        <v>281</v>
      </c>
      <c r="E64" t="s">
        <v>931</v>
      </c>
      <c r="F64" t="s">
        <v>857</v>
      </c>
      <c r="G64">
        <v>2</v>
      </c>
      <c r="H64" t="s">
        <v>310</v>
      </c>
      <c r="I64">
        <v>3</v>
      </c>
      <c r="J64" s="37">
        <v>223.76</v>
      </c>
      <c r="N64"/>
      <c r="O64"/>
    </row>
    <row r="65" spans="1:15" x14ac:dyDescent="0.35">
      <c r="A65" s="5">
        <v>63</v>
      </c>
      <c r="B65" s="5" t="str">
        <f t="shared" si="0"/>
        <v>GA3</v>
      </c>
      <c r="C65" t="s">
        <v>219</v>
      </c>
      <c r="D65" t="s">
        <v>281</v>
      </c>
      <c r="E65" t="s">
        <v>290</v>
      </c>
      <c r="F65" t="s">
        <v>866</v>
      </c>
      <c r="G65">
        <v>2</v>
      </c>
      <c r="H65" t="s">
        <v>310</v>
      </c>
      <c r="I65">
        <v>3</v>
      </c>
      <c r="J65" s="37">
        <v>225.86</v>
      </c>
      <c r="N65"/>
      <c r="O65"/>
    </row>
    <row r="66" spans="1:15" x14ac:dyDescent="0.35">
      <c r="A66" s="5">
        <v>64</v>
      </c>
      <c r="B66" s="5" t="str">
        <f t="shared" si="0"/>
        <v>GA3</v>
      </c>
      <c r="C66" t="s">
        <v>219</v>
      </c>
      <c r="D66" t="s">
        <v>281</v>
      </c>
      <c r="E66" t="s">
        <v>282</v>
      </c>
      <c r="F66" t="s">
        <v>868</v>
      </c>
      <c r="G66">
        <v>2</v>
      </c>
      <c r="H66" t="s">
        <v>310</v>
      </c>
      <c r="I66">
        <v>3</v>
      </c>
      <c r="J66" s="37">
        <v>227.87</v>
      </c>
      <c r="N66"/>
      <c r="O66"/>
    </row>
    <row r="67" spans="1:15" x14ac:dyDescent="0.35">
      <c r="A67" s="5">
        <v>65</v>
      </c>
      <c r="B67" s="5" t="str">
        <f t="shared" ref="B67:B130" si="10">CONCATENATE(C67,I67)</f>
        <v>GA3</v>
      </c>
      <c r="C67" t="s">
        <v>219</v>
      </c>
      <c r="D67" t="s">
        <v>281</v>
      </c>
      <c r="E67" t="s">
        <v>927</v>
      </c>
      <c r="F67" t="s">
        <v>853</v>
      </c>
      <c r="G67">
        <v>2</v>
      </c>
      <c r="H67" t="s">
        <v>310</v>
      </c>
      <c r="I67">
        <v>3</v>
      </c>
      <c r="J67" s="37">
        <v>228.19</v>
      </c>
      <c r="N67"/>
      <c r="O67"/>
    </row>
    <row r="68" spans="1:15" x14ac:dyDescent="0.35">
      <c r="A68" s="5">
        <v>66</v>
      </c>
      <c r="B68" s="5" t="str">
        <f t="shared" si="10"/>
        <v>GA3</v>
      </c>
      <c r="C68" t="s">
        <v>219</v>
      </c>
      <c r="D68" t="s">
        <v>281</v>
      </c>
      <c r="E68" t="s">
        <v>283</v>
      </c>
      <c r="F68" t="s">
        <v>862</v>
      </c>
      <c r="G68">
        <v>2</v>
      </c>
      <c r="H68" t="s">
        <v>310</v>
      </c>
      <c r="I68">
        <v>3</v>
      </c>
      <c r="J68" s="37">
        <v>229.01</v>
      </c>
      <c r="N68"/>
      <c r="O68"/>
    </row>
    <row r="69" spans="1:15" x14ac:dyDescent="0.35">
      <c r="A69" s="5">
        <v>67</v>
      </c>
      <c r="B69" s="5" t="str">
        <f t="shared" si="10"/>
        <v>GA3</v>
      </c>
      <c r="C69" t="s">
        <v>219</v>
      </c>
      <c r="D69" t="s">
        <v>281</v>
      </c>
      <c r="E69" t="s">
        <v>284</v>
      </c>
      <c r="F69" t="s">
        <v>869</v>
      </c>
      <c r="G69">
        <v>2</v>
      </c>
      <c r="H69" t="s">
        <v>310</v>
      </c>
      <c r="I69">
        <v>3</v>
      </c>
      <c r="J69" s="37">
        <v>233.32</v>
      </c>
      <c r="N69"/>
      <c r="O69"/>
    </row>
    <row r="70" spans="1:15" x14ac:dyDescent="0.35">
      <c r="A70" s="5">
        <v>68</v>
      </c>
      <c r="B70" s="5" t="str">
        <f t="shared" si="10"/>
        <v>GA3</v>
      </c>
      <c r="C70" t="s">
        <v>219</v>
      </c>
      <c r="D70" t="s">
        <v>951</v>
      </c>
      <c r="E70" t="s">
        <v>969</v>
      </c>
      <c r="F70" t="s">
        <v>970</v>
      </c>
      <c r="G70">
        <v>2</v>
      </c>
      <c r="H70" t="s">
        <v>310</v>
      </c>
      <c r="I70">
        <v>3</v>
      </c>
      <c r="J70" s="37">
        <v>233.43</v>
      </c>
      <c r="N70"/>
      <c r="O70"/>
    </row>
    <row r="71" spans="1:15" x14ac:dyDescent="0.35">
      <c r="A71" s="5">
        <v>69</v>
      </c>
      <c r="B71" s="5" t="str">
        <f t="shared" si="10"/>
        <v>GA3</v>
      </c>
      <c r="C71" t="s">
        <v>219</v>
      </c>
      <c r="D71" t="s">
        <v>281</v>
      </c>
      <c r="E71" t="s">
        <v>285</v>
      </c>
      <c r="F71" t="s">
        <v>863</v>
      </c>
      <c r="G71">
        <v>2</v>
      </c>
      <c r="H71" t="s">
        <v>310</v>
      </c>
      <c r="I71">
        <v>3</v>
      </c>
      <c r="J71" s="37">
        <v>234.49</v>
      </c>
      <c r="N71"/>
      <c r="O71"/>
    </row>
    <row r="72" spans="1:15" x14ac:dyDescent="0.35">
      <c r="A72" s="5">
        <v>70</v>
      </c>
      <c r="B72" s="5" t="str">
        <f t="shared" si="10"/>
        <v>GA3</v>
      </c>
      <c r="C72" t="s">
        <v>219</v>
      </c>
      <c r="D72" t="s">
        <v>951</v>
      </c>
      <c r="E72" t="s">
        <v>961</v>
      </c>
      <c r="F72" t="s">
        <v>962</v>
      </c>
      <c r="G72">
        <v>2</v>
      </c>
      <c r="H72" t="s">
        <v>310</v>
      </c>
      <c r="I72">
        <v>3</v>
      </c>
      <c r="J72" s="37">
        <v>235.36</v>
      </c>
      <c r="N72"/>
      <c r="O72"/>
    </row>
    <row r="73" spans="1:15" x14ac:dyDescent="0.35">
      <c r="A73" s="5">
        <v>71</v>
      </c>
      <c r="B73" s="5" t="str">
        <f t="shared" si="10"/>
        <v>GA3</v>
      </c>
      <c r="C73" t="s">
        <v>219</v>
      </c>
      <c r="D73" t="s">
        <v>281</v>
      </c>
      <c r="E73" t="s">
        <v>292</v>
      </c>
      <c r="F73" t="s">
        <v>867</v>
      </c>
      <c r="G73">
        <v>2</v>
      </c>
      <c r="H73" t="s">
        <v>310</v>
      </c>
      <c r="I73">
        <v>3</v>
      </c>
      <c r="J73" s="37">
        <v>235.69</v>
      </c>
      <c r="N73"/>
      <c r="O73"/>
    </row>
    <row r="74" spans="1:15" x14ac:dyDescent="0.35">
      <c r="A74" s="5">
        <v>72</v>
      </c>
      <c r="B74" s="5" t="str">
        <f t="shared" si="10"/>
        <v>GA3</v>
      </c>
      <c r="C74" t="s">
        <v>219</v>
      </c>
      <c r="D74" t="s">
        <v>281</v>
      </c>
      <c r="E74" t="s">
        <v>928</v>
      </c>
      <c r="F74" t="s">
        <v>854</v>
      </c>
      <c r="G74">
        <v>2</v>
      </c>
      <c r="H74" t="s">
        <v>310</v>
      </c>
      <c r="I74">
        <v>3</v>
      </c>
      <c r="J74" s="37">
        <v>238.13</v>
      </c>
      <c r="N74"/>
      <c r="O74"/>
    </row>
    <row r="75" spans="1:15" x14ac:dyDescent="0.35">
      <c r="A75" s="5">
        <v>73</v>
      </c>
      <c r="B75" s="5" t="str">
        <f t="shared" si="10"/>
        <v>GA3</v>
      </c>
      <c r="C75" t="s">
        <v>219</v>
      </c>
      <c r="D75" t="s">
        <v>281</v>
      </c>
      <c r="E75" t="s">
        <v>287</v>
      </c>
      <c r="F75" t="s">
        <v>870</v>
      </c>
      <c r="G75">
        <v>2</v>
      </c>
      <c r="H75" t="s">
        <v>310</v>
      </c>
      <c r="I75">
        <v>3</v>
      </c>
      <c r="J75" s="37">
        <v>243.49</v>
      </c>
      <c r="N75"/>
      <c r="O75"/>
    </row>
    <row r="76" spans="1:15" x14ac:dyDescent="0.35">
      <c r="A76" s="5">
        <v>74</v>
      </c>
      <c r="B76" s="5" t="str">
        <f t="shared" si="10"/>
        <v>GA3</v>
      </c>
      <c r="C76" t="s">
        <v>219</v>
      </c>
      <c r="D76" t="s">
        <v>281</v>
      </c>
      <c r="E76" t="s">
        <v>289</v>
      </c>
      <c r="F76" t="s">
        <v>864</v>
      </c>
      <c r="G76">
        <v>2</v>
      </c>
      <c r="H76" t="s">
        <v>310</v>
      </c>
      <c r="I76">
        <v>3</v>
      </c>
      <c r="J76" s="37">
        <v>244.7</v>
      </c>
      <c r="N76"/>
      <c r="O76"/>
    </row>
    <row r="77" spans="1:15" x14ac:dyDescent="0.35">
      <c r="A77" s="5">
        <v>75</v>
      </c>
      <c r="B77" s="5" t="str">
        <f t="shared" si="10"/>
        <v>GA3</v>
      </c>
      <c r="C77" t="s">
        <v>219</v>
      </c>
      <c r="D77" t="s">
        <v>951</v>
      </c>
      <c r="E77" t="s">
        <v>963</v>
      </c>
      <c r="F77" t="s">
        <v>964</v>
      </c>
      <c r="G77">
        <v>2</v>
      </c>
      <c r="H77" t="s">
        <v>310</v>
      </c>
      <c r="I77">
        <v>3</v>
      </c>
      <c r="J77" s="37">
        <v>248.52</v>
      </c>
      <c r="N77"/>
      <c r="O77"/>
    </row>
    <row r="78" spans="1:15" x14ac:dyDescent="0.35">
      <c r="A78" s="5">
        <v>76</v>
      </c>
      <c r="B78" s="5" t="str">
        <f t="shared" si="10"/>
        <v>GA3</v>
      </c>
      <c r="C78" t="s">
        <v>219</v>
      </c>
      <c r="D78" t="s">
        <v>951</v>
      </c>
      <c r="E78" t="s">
        <v>965</v>
      </c>
      <c r="F78" t="s">
        <v>966</v>
      </c>
      <c r="G78">
        <v>2</v>
      </c>
      <c r="H78" t="s">
        <v>310</v>
      </c>
      <c r="I78">
        <v>3</v>
      </c>
      <c r="J78" s="37">
        <v>250.59</v>
      </c>
      <c r="N78"/>
      <c r="O78"/>
    </row>
    <row r="79" spans="1:15" x14ac:dyDescent="0.35">
      <c r="A79" s="5">
        <v>77</v>
      </c>
      <c r="B79" s="5" t="str">
        <f t="shared" si="10"/>
        <v>GA3</v>
      </c>
      <c r="C79" t="s">
        <v>219</v>
      </c>
      <c r="D79" t="s">
        <v>304</v>
      </c>
      <c r="E79" t="s">
        <v>307</v>
      </c>
      <c r="F79" t="s">
        <v>904</v>
      </c>
      <c r="G79">
        <v>1</v>
      </c>
      <c r="H79" t="s">
        <v>310</v>
      </c>
      <c r="I79">
        <v>3</v>
      </c>
      <c r="J79" s="37">
        <v>256.55</v>
      </c>
      <c r="N79"/>
      <c r="O79"/>
    </row>
    <row r="80" spans="1:15" x14ac:dyDescent="0.35">
      <c r="A80" s="5">
        <v>78</v>
      </c>
      <c r="B80" s="5" t="str">
        <f t="shared" si="10"/>
        <v>GA3</v>
      </c>
      <c r="C80" t="s">
        <v>219</v>
      </c>
      <c r="D80" t="s">
        <v>304</v>
      </c>
      <c r="E80" t="s">
        <v>916</v>
      </c>
      <c r="F80" t="s">
        <v>917</v>
      </c>
      <c r="G80">
        <v>1</v>
      </c>
      <c r="H80" t="s">
        <v>310</v>
      </c>
      <c r="I80">
        <v>3</v>
      </c>
      <c r="J80" s="37">
        <v>256.55</v>
      </c>
      <c r="N80"/>
      <c r="O80"/>
    </row>
    <row r="81" spans="1:15" x14ac:dyDescent="0.35">
      <c r="A81" s="5">
        <v>79</v>
      </c>
      <c r="B81" s="5" t="str">
        <f t="shared" si="10"/>
        <v>GA3</v>
      </c>
      <c r="C81" t="s">
        <v>219</v>
      </c>
      <c r="D81" t="s">
        <v>304</v>
      </c>
      <c r="E81" t="s">
        <v>902</v>
      </c>
      <c r="F81" t="s">
        <v>903</v>
      </c>
      <c r="G81">
        <v>1</v>
      </c>
      <c r="H81" t="s">
        <v>310</v>
      </c>
      <c r="I81">
        <v>3</v>
      </c>
      <c r="J81" s="37">
        <v>256.62</v>
      </c>
      <c r="N81"/>
      <c r="O81"/>
    </row>
    <row r="82" spans="1:15" x14ac:dyDescent="0.35">
      <c r="A82" s="5">
        <v>80</v>
      </c>
      <c r="B82" s="5" t="str">
        <f t="shared" si="10"/>
        <v>GA3</v>
      </c>
      <c r="C82" t="s">
        <v>219</v>
      </c>
      <c r="D82" t="s">
        <v>304</v>
      </c>
      <c r="E82" t="s">
        <v>305</v>
      </c>
      <c r="F82" t="s">
        <v>913</v>
      </c>
      <c r="G82">
        <v>1</v>
      </c>
      <c r="H82" t="s">
        <v>310</v>
      </c>
      <c r="I82">
        <v>3</v>
      </c>
      <c r="J82" s="37">
        <v>256.7</v>
      </c>
      <c r="N82"/>
      <c r="O82"/>
    </row>
    <row r="83" spans="1:15" x14ac:dyDescent="0.35">
      <c r="A83" s="5">
        <v>81</v>
      </c>
      <c r="B83" s="5" t="str">
        <f t="shared" si="10"/>
        <v>GA3</v>
      </c>
      <c r="C83" t="s">
        <v>219</v>
      </c>
      <c r="D83" t="s">
        <v>304</v>
      </c>
      <c r="E83" t="s">
        <v>911</v>
      </c>
      <c r="F83" t="s">
        <v>912</v>
      </c>
      <c r="G83">
        <v>1</v>
      </c>
      <c r="H83" t="s">
        <v>310</v>
      </c>
      <c r="I83">
        <v>3</v>
      </c>
      <c r="J83" s="37">
        <v>256.74</v>
      </c>
      <c r="N83"/>
      <c r="O83"/>
    </row>
    <row r="84" spans="1:15" x14ac:dyDescent="0.35">
      <c r="A84" s="5">
        <v>82</v>
      </c>
      <c r="B84" s="5" t="str">
        <f t="shared" si="10"/>
        <v>GA3</v>
      </c>
      <c r="C84" t="s">
        <v>219</v>
      </c>
      <c r="D84" t="s">
        <v>304</v>
      </c>
      <c r="E84" t="s">
        <v>914</v>
      </c>
      <c r="F84" t="s">
        <v>915</v>
      </c>
      <c r="G84">
        <v>1</v>
      </c>
      <c r="H84" t="s">
        <v>310</v>
      </c>
      <c r="I84">
        <v>3</v>
      </c>
      <c r="J84" s="37">
        <v>256.98</v>
      </c>
      <c r="N84"/>
      <c r="O84"/>
    </row>
    <row r="85" spans="1:15" x14ac:dyDescent="0.35">
      <c r="A85" s="5">
        <v>83</v>
      </c>
      <c r="B85" s="5" t="str">
        <f t="shared" si="10"/>
        <v>GA3</v>
      </c>
      <c r="C85" t="s">
        <v>219</v>
      </c>
      <c r="D85" t="s">
        <v>304</v>
      </c>
      <c r="E85" t="s">
        <v>909</v>
      </c>
      <c r="F85" t="s">
        <v>910</v>
      </c>
      <c r="G85">
        <v>1</v>
      </c>
      <c r="H85" t="s">
        <v>310</v>
      </c>
      <c r="I85">
        <v>3</v>
      </c>
      <c r="J85" s="37">
        <v>257.06</v>
      </c>
      <c r="N85"/>
      <c r="O85"/>
    </row>
    <row r="86" spans="1:15" x14ac:dyDescent="0.35">
      <c r="A86" s="5">
        <v>84</v>
      </c>
      <c r="B86" s="5" t="str">
        <f t="shared" si="10"/>
        <v>GA3</v>
      </c>
      <c r="C86" t="s">
        <v>219</v>
      </c>
      <c r="D86" t="s">
        <v>951</v>
      </c>
      <c r="E86" t="s">
        <v>967</v>
      </c>
      <c r="F86" t="s">
        <v>968</v>
      </c>
      <c r="G86">
        <v>2</v>
      </c>
      <c r="H86" t="s">
        <v>310</v>
      </c>
      <c r="I86">
        <v>3</v>
      </c>
      <c r="J86" s="37">
        <v>258.14</v>
      </c>
      <c r="N86"/>
      <c r="O86"/>
    </row>
    <row r="87" spans="1:15" x14ac:dyDescent="0.35">
      <c r="A87" s="5">
        <v>85</v>
      </c>
      <c r="B87" s="5" t="str">
        <f t="shared" si="10"/>
        <v>GA3</v>
      </c>
      <c r="C87" t="s">
        <v>219</v>
      </c>
      <c r="D87" t="s">
        <v>304</v>
      </c>
      <c r="E87" t="s">
        <v>900</v>
      </c>
      <c r="F87" t="s">
        <v>901</v>
      </c>
      <c r="G87">
        <v>1</v>
      </c>
      <c r="H87" t="s">
        <v>310</v>
      </c>
      <c r="I87">
        <v>3</v>
      </c>
      <c r="J87" s="37">
        <v>258.73</v>
      </c>
      <c r="N87"/>
      <c r="O87"/>
    </row>
    <row r="88" spans="1:15" x14ac:dyDescent="0.35">
      <c r="A88" s="5">
        <v>86</v>
      </c>
      <c r="B88" s="5" t="str">
        <f t="shared" si="10"/>
        <v>GA3</v>
      </c>
      <c r="C88" t="s">
        <v>219</v>
      </c>
      <c r="D88" t="s">
        <v>304</v>
      </c>
      <c r="E88" t="s">
        <v>898</v>
      </c>
      <c r="F88" t="s">
        <v>899</v>
      </c>
      <c r="G88">
        <v>1</v>
      </c>
      <c r="H88" t="s">
        <v>310</v>
      </c>
      <c r="I88">
        <v>3</v>
      </c>
      <c r="J88" s="37">
        <v>259.33</v>
      </c>
      <c r="N88"/>
      <c r="O88"/>
    </row>
    <row r="89" spans="1:15" x14ac:dyDescent="0.35">
      <c r="A89" s="5">
        <v>87</v>
      </c>
      <c r="B89" s="5" t="str">
        <f t="shared" si="10"/>
        <v>GA3</v>
      </c>
      <c r="C89" t="s">
        <v>219</v>
      </c>
      <c r="D89" t="s">
        <v>951</v>
      </c>
      <c r="E89" t="s">
        <v>973</v>
      </c>
      <c r="F89" t="s">
        <v>278</v>
      </c>
      <c r="G89">
        <v>2</v>
      </c>
      <c r="H89" t="s">
        <v>310</v>
      </c>
      <c r="I89">
        <v>3</v>
      </c>
      <c r="J89" s="37">
        <v>261.77</v>
      </c>
      <c r="N89"/>
      <c r="O89"/>
    </row>
    <row r="90" spans="1:15" x14ac:dyDescent="0.35">
      <c r="A90" s="5">
        <v>88</v>
      </c>
      <c r="B90" s="5" t="str">
        <f t="shared" si="10"/>
        <v>GA3</v>
      </c>
      <c r="C90" t="s">
        <v>219</v>
      </c>
      <c r="D90" t="s">
        <v>260</v>
      </c>
      <c r="E90" t="s">
        <v>1115</v>
      </c>
      <c r="F90" t="s">
        <v>851</v>
      </c>
      <c r="G90">
        <v>2</v>
      </c>
      <c r="H90" t="s">
        <v>310</v>
      </c>
      <c r="I90">
        <v>3</v>
      </c>
      <c r="J90" s="37">
        <v>262.05</v>
      </c>
      <c r="N90"/>
      <c r="O90"/>
    </row>
    <row r="91" spans="1:15" x14ac:dyDescent="0.35">
      <c r="A91" s="5">
        <v>89</v>
      </c>
      <c r="B91" s="5" t="str">
        <f t="shared" si="10"/>
        <v>GA3</v>
      </c>
      <c r="C91" t="s">
        <v>219</v>
      </c>
      <c r="D91" t="s">
        <v>245</v>
      </c>
      <c r="E91" t="s">
        <v>300</v>
      </c>
      <c r="F91" t="s">
        <v>301</v>
      </c>
      <c r="G91">
        <v>2</v>
      </c>
      <c r="H91" t="s">
        <v>310</v>
      </c>
      <c r="I91">
        <v>3</v>
      </c>
      <c r="J91" s="37">
        <v>265</v>
      </c>
      <c r="N91"/>
      <c r="O91"/>
    </row>
    <row r="92" spans="1:15" x14ac:dyDescent="0.35">
      <c r="A92" s="5">
        <v>90</v>
      </c>
      <c r="B92" s="5" t="str">
        <f t="shared" si="10"/>
        <v>GA3</v>
      </c>
      <c r="C92" t="s">
        <v>219</v>
      </c>
      <c r="D92" t="s">
        <v>304</v>
      </c>
      <c r="E92" t="s">
        <v>907</v>
      </c>
      <c r="F92" t="s">
        <v>908</v>
      </c>
      <c r="G92">
        <v>1</v>
      </c>
      <c r="H92" t="s">
        <v>310</v>
      </c>
      <c r="I92">
        <v>3</v>
      </c>
      <c r="J92" s="37">
        <v>265.01</v>
      </c>
      <c r="N92"/>
      <c r="O92"/>
    </row>
    <row r="93" spans="1:15" x14ac:dyDescent="0.35">
      <c r="A93" s="5">
        <v>91</v>
      </c>
      <c r="B93" s="5" t="str">
        <f t="shared" si="10"/>
        <v>GA3</v>
      </c>
      <c r="C93" t="s">
        <v>219</v>
      </c>
      <c r="D93" t="s">
        <v>861</v>
      </c>
      <c r="E93" t="s">
        <v>977</v>
      </c>
      <c r="F93" t="s">
        <v>978</v>
      </c>
      <c r="G93">
        <v>1</v>
      </c>
      <c r="H93" t="s">
        <v>310</v>
      </c>
      <c r="I93">
        <v>3</v>
      </c>
      <c r="J93" s="37">
        <v>267.29000000000002</v>
      </c>
      <c r="N93"/>
      <c r="O93"/>
    </row>
    <row r="94" spans="1:15" x14ac:dyDescent="0.35">
      <c r="A94" s="5">
        <v>92</v>
      </c>
      <c r="B94" s="5" t="str">
        <f t="shared" si="10"/>
        <v>GA3</v>
      </c>
      <c r="C94" t="s">
        <v>219</v>
      </c>
      <c r="D94" t="s">
        <v>304</v>
      </c>
      <c r="E94" t="s">
        <v>905</v>
      </c>
      <c r="F94" t="s">
        <v>906</v>
      </c>
      <c r="G94">
        <v>1</v>
      </c>
      <c r="H94" t="s">
        <v>310</v>
      </c>
      <c r="I94">
        <v>3</v>
      </c>
      <c r="J94" s="37">
        <v>270.57</v>
      </c>
      <c r="N94"/>
      <c r="O94"/>
    </row>
    <row r="95" spans="1:15" x14ac:dyDescent="0.35">
      <c r="A95" s="5">
        <v>93</v>
      </c>
      <c r="B95" s="5" t="str">
        <f t="shared" si="10"/>
        <v>GA3</v>
      </c>
      <c r="C95" t="s">
        <v>219</v>
      </c>
      <c r="D95" t="s">
        <v>245</v>
      </c>
      <c r="E95" t="s">
        <v>302</v>
      </c>
      <c r="F95" t="s">
        <v>303</v>
      </c>
      <c r="G95">
        <v>2</v>
      </c>
      <c r="H95" t="s">
        <v>310</v>
      </c>
      <c r="I95">
        <v>3</v>
      </c>
      <c r="J95" s="37">
        <v>274</v>
      </c>
      <c r="N95"/>
      <c r="O95"/>
    </row>
    <row r="96" spans="1:15" x14ac:dyDescent="0.35">
      <c r="A96" s="5">
        <v>94</v>
      </c>
      <c r="B96" s="5" t="str">
        <f t="shared" si="10"/>
        <v>GA3</v>
      </c>
      <c r="C96" t="s">
        <v>219</v>
      </c>
      <c r="D96" t="s">
        <v>260</v>
      </c>
      <c r="E96" t="s">
        <v>1114</v>
      </c>
      <c r="F96" t="s">
        <v>850</v>
      </c>
      <c r="G96">
        <v>2</v>
      </c>
      <c r="H96" t="s">
        <v>310</v>
      </c>
      <c r="I96">
        <v>3</v>
      </c>
      <c r="J96" s="37">
        <v>276.45999999999998</v>
      </c>
      <c r="N96"/>
      <c r="O96"/>
    </row>
    <row r="97" spans="1:15" x14ac:dyDescent="0.35">
      <c r="A97" s="5">
        <v>95</v>
      </c>
      <c r="B97" s="5" t="str">
        <f t="shared" si="10"/>
        <v>GA3</v>
      </c>
      <c r="C97" t="s">
        <v>219</v>
      </c>
      <c r="D97" t="s">
        <v>260</v>
      </c>
      <c r="E97" t="s">
        <v>1113</v>
      </c>
      <c r="F97" t="s">
        <v>849</v>
      </c>
      <c r="G97">
        <v>2</v>
      </c>
      <c r="H97" t="s">
        <v>310</v>
      </c>
      <c r="I97">
        <v>3</v>
      </c>
      <c r="J97" s="37">
        <v>278.02999999999997</v>
      </c>
      <c r="N97"/>
      <c r="O97"/>
    </row>
    <row r="98" spans="1:15" x14ac:dyDescent="0.35">
      <c r="A98" s="5">
        <v>96</v>
      </c>
      <c r="B98" s="5" t="str">
        <f t="shared" si="10"/>
        <v>GA3</v>
      </c>
      <c r="C98" t="s">
        <v>219</v>
      </c>
      <c r="D98" t="s">
        <v>861</v>
      </c>
      <c r="E98" t="s">
        <v>980</v>
      </c>
      <c r="F98" t="s">
        <v>218</v>
      </c>
      <c r="G98">
        <v>1</v>
      </c>
      <c r="H98" t="s">
        <v>310</v>
      </c>
      <c r="I98">
        <v>3</v>
      </c>
      <c r="J98" s="37">
        <v>278.36</v>
      </c>
      <c r="N98"/>
      <c r="O98"/>
    </row>
    <row r="99" spans="1:15" x14ac:dyDescent="0.35">
      <c r="A99" s="5">
        <v>97</v>
      </c>
      <c r="B99" s="5" t="str">
        <f t="shared" si="10"/>
        <v>GA3</v>
      </c>
      <c r="C99" t="s">
        <v>219</v>
      </c>
      <c r="D99" t="s">
        <v>861</v>
      </c>
      <c r="E99" t="s">
        <v>975</v>
      </c>
      <c r="F99" t="s">
        <v>976</v>
      </c>
      <c r="G99">
        <v>1</v>
      </c>
      <c r="H99" t="s">
        <v>310</v>
      </c>
      <c r="I99">
        <v>3</v>
      </c>
      <c r="J99" s="37">
        <v>280.55</v>
      </c>
      <c r="N99"/>
      <c r="O99"/>
    </row>
    <row r="100" spans="1:15" x14ac:dyDescent="0.35">
      <c r="A100" s="5">
        <v>98</v>
      </c>
      <c r="B100" s="5" t="str">
        <f t="shared" si="10"/>
        <v>GA3</v>
      </c>
      <c r="C100" t="s">
        <v>219</v>
      </c>
      <c r="D100" t="s">
        <v>245</v>
      </c>
      <c r="E100" t="s">
        <v>298</v>
      </c>
      <c r="F100" t="s">
        <v>299</v>
      </c>
      <c r="G100">
        <v>2</v>
      </c>
      <c r="H100" t="s">
        <v>310</v>
      </c>
      <c r="I100">
        <v>3</v>
      </c>
      <c r="J100" s="37">
        <v>285</v>
      </c>
      <c r="N100"/>
      <c r="O100"/>
    </row>
    <row r="101" spans="1:15" x14ac:dyDescent="0.35">
      <c r="A101" s="5">
        <v>99</v>
      </c>
      <c r="B101" s="5" t="str">
        <f t="shared" si="10"/>
        <v>GA4</v>
      </c>
      <c r="C101" t="s">
        <v>219</v>
      </c>
      <c r="D101" t="s">
        <v>844</v>
      </c>
      <c r="E101" t="s">
        <v>295</v>
      </c>
      <c r="F101" t="s">
        <v>1088</v>
      </c>
      <c r="G101">
        <v>3</v>
      </c>
      <c r="H101" t="s">
        <v>310</v>
      </c>
      <c r="I101">
        <v>4</v>
      </c>
      <c r="J101" s="37">
        <v>225.56</v>
      </c>
      <c r="N101"/>
      <c r="O101"/>
    </row>
    <row r="102" spans="1:15" x14ac:dyDescent="0.35">
      <c r="A102" s="5">
        <v>100</v>
      </c>
      <c r="B102" s="5" t="str">
        <f t="shared" si="10"/>
        <v>GA4</v>
      </c>
      <c r="C102" t="s">
        <v>219</v>
      </c>
      <c r="D102" t="s">
        <v>304</v>
      </c>
      <c r="E102" t="s">
        <v>307</v>
      </c>
      <c r="F102" t="s">
        <v>904</v>
      </c>
      <c r="G102">
        <v>1</v>
      </c>
      <c r="H102" t="s">
        <v>310</v>
      </c>
      <c r="I102">
        <v>4</v>
      </c>
      <c r="J102" s="37">
        <v>261.43</v>
      </c>
      <c r="N102"/>
      <c r="O102"/>
    </row>
    <row r="103" spans="1:15" x14ac:dyDescent="0.35">
      <c r="A103" s="5">
        <v>101</v>
      </c>
      <c r="B103" s="5" t="str">
        <f t="shared" si="10"/>
        <v>GA4</v>
      </c>
      <c r="C103" t="s">
        <v>219</v>
      </c>
      <c r="D103" t="s">
        <v>304</v>
      </c>
      <c r="E103" t="s">
        <v>916</v>
      </c>
      <c r="F103" t="s">
        <v>917</v>
      </c>
      <c r="G103">
        <v>1</v>
      </c>
      <c r="H103" t="s">
        <v>310</v>
      </c>
      <c r="I103">
        <v>4</v>
      </c>
      <c r="J103" s="37">
        <v>261.43</v>
      </c>
      <c r="N103"/>
      <c r="O103"/>
    </row>
    <row r="104" spans="1:15" x14ac:dyDescent="0.35">
      <c r="A104" s="5">
        <v>102</v>
      </c>
      <c r="B104" s="5" t="str">
        <f t="shared" si="10"/>
        <v>GA4</v>
      </c>
      <c r="C104" t="s">
        <v>219</v>
      </c>
      <c r="D104" t="s">
        <v>304</v>
      </c>
      <c r="E104" t="s">
        <v>902</v>
      </c>
      <c r="F104" t="s">
        <v>903</v>
      </c>
      <c r="G104">
        <v>1</v>
      </c>
      <c r="H104" t="s">
        <v>310</v>
      </c>
      <c r="I104">
        <v>4</v>
      </c>
      <c r="J104" s="37">
        <v>261.51</v>
      </c>
      <c r="N104"/>
      <c r="O104"/>
    </row>
    <row r="105" spans="1:15" x14ac:dyDescent="0.35">
      <c r="A105" s="5">
        <v>103</v>
      </c>
      <c r="B105" s="5" t="str">
        <f t="shared" si="10"/>
        <v>GA4</v>
      </c>
      <c r="C105" t="s">
        <v>219</v>
      </c>
      <c r="D105" t="s">
        <v>304</v>
      </c>
      <c r="E105" t="s">
        <v>305</v>
      </c>
      <c r="F105" t="s">
        <v>913</v>
      </c>
      <c r="G105">
        <v>1</v>
      </c>
      <c r="H105" t="s">
        <v>310</v>
      </c>
      <c r="I105">
        <v>4</v>
      </c>
      <c r="J105" s="37">
        <v>261.58999999999997</v>
      </c>
      <c r="N105"/>
      <c r="O105"/>
    </row>
    <row r="106" spans="1:15" x14ac:dyDescent="0.35">
      <c r="A106" s="5">
        <v>104</v>
      </c>
      <c r="B106" s="5" t="str">
        <f t="shared" si="10"/>
        <v>GA4</v>
      </c>
      <c r="C106" t="s">
        <v>219</v>
      </c>
      <c r="D106" t="s">
        <v>304</v>
      </c>
      <c r="E106" t="s">
        <v>911</v>
      </c>
      <c r="F106" t="s">
        <v>912</v>
      </c>
      <c r="G106">
        <v>1</v>
      </c>
      <c r="H106" t="s">
        <v>310</v>
      </c>
      <c r="I106">
        <v>4</v>
      </c>
      <c r="J106" s="37">
        <v>261.63</v>
      </c>
      <c r="N106"/>
      <c r="O106"/>
    </row>
    <row r="107" spans="1:15" x14ac:dyDescent="0.35">
      <c r="A107" s="5">
        <v>105</v>
      </c>
      <c r="B107" s="5" t="str">
        <f t="shared" si="10"/>
        <v>GA4</v>
      </c>
      <c r="C107" t="s">
        <v>219</v>
      </c>
      <c r="D107" t="s">
        <v>304</v>
      </c>
      <c r="E107" t="s">
        <v>914</v>
      </c>
      <c r="F107" t="s">
        <v>915</v>
      </c>
      <c r="G107">
        <v>1</v>
      </c>
      <c r="H107" t="s">
        <v>310</v>
      </c>
      <c r="I107">
        <v>4</v>
      </c>
      <c r="J107" s="37">
        <v>261.87</v>
      </c>
      <c r="N107"/>
      <c r="O107"/>
    </row>
    <row r="108" spans="1:15" x14ac:dyDescent="0.35">
      <c r="A108" s="5">
        <v>106</v>
      </c>
      <c r="B108" s="5" t="str">
        <f t="shared" si="10"/>
        <v>GA4</v>
      </c>
      <c r="C108" t="s">
        <v>219</v>
      </c>
      <c r="D108" t="s">
        <v>304</v>
      </c>
      <c r="E108" t="s">
        <v>909</v>
      </c>
      <c r="F108" t="s">
        <v>910</v>
      </c>
      <c r="G108">
        <v>1</v>
      </c>
      <c r="H108" t="s">
        <v>310</v>
      </c>
      <c r="I108">
        <v>4</v>
      </c>
      <c r="J108" s="37">
        <v>261.95</v>
      </c>
      <c r="N108"/>
      <c r="O108"/>
    </row>
    <row r="109" spans="1:15" x14ac:dyDescent="0.35">
      <c r="A109" s="5">
        <v>107</v>
      </c>
      <c r="B109" s="5" t="str">
        <f t="shared" si="10"/>
        <v>GA4</v>
      </c>
      <c r="C109" t="s">
        <v>219</v>
      </c>
      <c r="D109" t="s">
        <v>304</v>
      </c>
      <c r="E109" t="s">
        <v>900</v>
      </c>
      <c r="F109" t="s">
        <v>901</v>
      </c>
      <c r="G109">
        <v>1</v>
      </c>
      <c r="H109" t="s">
        <v>310</v>
      </c>
      <c r="I109">
        <v>4</v>
      </c>
      <c r="J109" s="37">
        <v>263.64999999999998</v>
      </c>
      <c r="N109"/>
      <c r="O109"/>
    </row>
    <row r="110" spans="1:15" x14ac:dyDescent="0.35">
      <c r="A110" s="5">
        <v>108</v>
      </c>
      <c r="B110" s="5" t="str">
        <f t="shared" si="10"/>
        <v>GA4</v>
      </c>
      <c r="C110" t="s">
        <v>219</v>
      </c>
      <c r="D110" t="s">
        <v>304</v>
      </c>
      <c r="E110" t="s">
        <v>898</v>
      </c>
      <c r="F110" t="s">
        <v>899</v>
      </c>
      <c r="G110">
        <v>1</v>
      </c>
      <c r="H110" t="s">
        <v>310</v>
      </c>
      <c r="I110">
        <v>4</v>
      </c>
      <c r="J110" s="37">
        <v>264.27</v>
      </c>
      <c r="N110"/>
      <c r="O110"/>
    </row>
    <row r="111" spans="1:15" x14ac:dyDescent="0.35">
      <c r="A111" s="5">
        <v>109</v>
      </c>
      <c r="B111" s="5" t="str">
        <f t="shared" si="10"/>
        <v>GA4</v>
      </c>
      <c r="C111" t="s">
        <v>219</v>
      </c>
      <c r="D111" t="s">
        <v>245</v>
      </c>
      <c r="E111" t="s">
        <v>300</v>
      </c>
      <c r="F111" t="s">
        <v>301</v>
      </c>
      <c r="G111">
        <v>2</v>
      </c>
      <c r="H111" t="s">
        <v>310</v>
      </c>
      <c r="I111">
        <v>4</v>
      </c>
      <c r="J111" s="37">
        <v>265</v>
      </c>
      <c r="N111"/>
      <c r="O111"/>
    </row>
    <row r="112" spans="1:15" x14ac:dyDescent="0.35">
      <c r="A112" s="5">
        <v>110</v>
      </c>
      <c r="B112" s="5" t="str">
        <f t="shared" si="10"/>
        <v>GA4</v>
      </c>
      <c r="C112" t="s">
        <v>219</v>
      </c>
      <c r="D112" t="s">
        <v>951</v>
      </c>
      <c r="E112" t="s">
        <v>969</v>
      </c>
      <c r="F112" t="s">
        <v>970</v>
      </c>
      <c r="G112">
        <v>2</v>
      </c>
      <c r="H112" t="s">
        <v>310</v>
      </c>
      <c r="I112">
        <v>4</v>
      </c>
      <c r="J112" s="37">
        <v>266.37</v>
      </c>
      <c r="N112"/>
      <c r="O112"/>
    </row>
    <row r="113" spans="1:15" x14ac:dyDescent="0.35">
      <c r="A113" s="5">
        <v>111</v>
      </c>
      <c r="B113" s="5" t="str">
        <f t="shared" si="10"/>
        <v>GA4</v>
      </c>
      <c r="C113" t="s">
        <v>219</v>
      </c>
      <c r="D113" t="s">
        <v>951</v>
      </c>
      <c r="E113" t="s">
        <v>961</v>
      </c>
      <c r="F113" t="s">
        <v>962</v>
      </c>
      <c r="G113">
        <v>2</v>
      </c>
      <c r="H113" t="s">
        <v>310</v>
      </c>
      <c r="I113">
        <v>4</v>
      </c>
      <c r="J113" s="37">
        <v>268.57</v>
      </c>
      <c r="N113"/>
      <c r="O113"/>
    </row>
    <row r="114" spans="1:15" x14ac:dyDescent="0.35">
      <c r="A114" s="5">
        <v>112</v>
      </c>
      <c r="B114" s="5" t="str">
        <f t="shared" si="10"/>
        <v>GA4</v>
      </c>
      <c r="C114" t="s">
        <v>219</v>
      </c>
      <c r="D114" t="s">
        <v>304</v>
      </c>
      <c r="E114" t="s">
        <v>907</v>
      </c>
      <c r="F114" t="s">
        <v>908</v>
      </c>
      <c r="G114">
        <v>1</v>
      </c>
      <c r="H114" t="s">
        <v>310</v>
      </c>
      <c r="I114">
        <v>4</v>
      </c>
      <c r="J114" s="37">
        <v>270.05</v>
      </c>
      <c r="N114"/>
      <c r="O114"/>
    </row>
    <row r="115" spans="1:15" x14ac:dyDescent="0.35">
      <c r="A115" s="5">
        <v>113</v>
      </c>
      <c r="B115" s="5" t="str">
        <f t="shared" si="10"/>
        <v>GA4</v>
      </c>
      <c r="C115" t="s">
        <v>219</v>
      </c>
      <c r="D115" t="s">
        <v>245</v>
      </c>
      <c r="E115" t="s">
        <v>302</v>
      </c>
      <c r="F115" t="s">
        <v>303</v>
      </c>
      <c r="G115">
        <v>2</v>
      </c>
      <c r="H115" t="s">
        <v>310</v>
      </c>
      <c r="I115">
        <v>4</v>
      </c>
      <c r="J115" s="37">
        <v>274</v>
      </c>
      <c r="N115"/>
      <c r="O115"/>
    </row>
    <row r="116" spans="1:15" x14ac:dyDescent="0.35">
      <c r="A116" s="5">
        <v>114</v>
      </c>
      <c r="B116" s="5" t="str">
        <f t="shared" si="10"/>
        <v>GA4</v>
      </c>
      <c r="C116" t="s">
        <v>219</v>
      </c>
      <c r="D116" t="s">
        <v>304</v>
      </c>
      <c r="E116" t="s">
        <v>905</v>
      </c>
      <c r="F116" t="s">
        <v>906</v>
      </c>
      <c r="G116">
        <v>1</v>
      </c>
      <c r="H116" t="s">
        <v>310</v>
      </c>
      <c r="I116">
        <v>4</v>
      </c>
      <c r="J116" s="37">
        <v>275.72000000000003</v>
      </c>
      <c r="N116"/>
      <c r="O116"/>
    </row>
    <row r="117" spans="1:15" x14ac:dyDescent="0.35">
      <c r="A117" s="5">
        <v>115</v>
      </c>
      <c r="B117" s="5" t="str">
        <f t="shared" si="10"/>
        <v>GA4</v>
      </c>
      <c r="C117" t="s">
        <v>219</v>
      </c>
      <c r="D117" t="s">
        <v>951</v>
      </c>
      <c r="E117" t="s">
        <v>963</v>
      </c>
      <c r="F117" t="s">
        <v>964</v>
      </c>
      <c r="G117">
        <v>2</v>
      </c>
      <c r="H117" t="s">
        <v>310</v>
      </c>
      <c r="I117">
        <v>4</v>
      </c>
      <c r="J117" s="37">
        <v>283.58</v>
      </c>
      <c r="N117"/>
      <c r="O117"/>
    </row>
    <row r="118" spans="1:15" x14ac:dyDescent="0.35">
      <c r="A118" s="5">
        <v>116</v>
      </c>
      <c r="B118" s="5" t="str">
        <f t="shared" si="10"/>
        <v>GA4</v>
      </c>
      <c r="C118" t="s">
        <v>219</v>
      </c>
      <c r="D118" t="s">
        <v>245</v>
      </c>
      <c r="E118" t="s">
        <v>298</v>
      </c>
      <c r="F118" t="s">
        <v>299</v>
      </c>
      <c r="G118">
        <v>2</v>
      </c>
      <c r="H118" t="s">
        <v>310</v>
      </c>
      <c r="I118">
        <v>4</v>
      </c>
      <c r="J118" s="37">
        <v>285</v>
      </c>
      <c r="N118"/>
      <c r="O118"/>
    </row>
    <row r="119" spans="1:15" x14ac:dyDescent="0.35">
      <c r="A119" s="5">
        <v>117</v>
      </c>
      <c r="B119" s="5" t="str">
        <f t="shared" si="10"/>
        <v>GA4</v>
      </c>
      <c r="C119" t="s">
        <v>219</v>
      </c>
      <c r="D119" t="s">
        <v>951</v>
      </c>
      <c r="E119" t="s">
        <v>965</v>
      </c>
      <c r="F119" t="s">
        <v>966</v>
      </c>
      <c r="G119">
        <v>2</v>
      </c>
      <c r="H119" t="s">
        <v>310</v>
      </c>
      <c r="I119">
        <v>4</v>
      </c>
      <c r="J119" s="37">
        <v>285.95</v>
      </c>
      <c r="N119"/>
      <c r="O119"/>
    </row>
    <row r="120" spans="1:15" x14ac:dyDescent="0.35">
      <c r="A120" s="5">
        <v>118</v>
      </c>
      <c r="B120" s="5" t="str">
        <f t="shared" si="10"/>
        <v>GA4</v>
      </c>
      <c r="C120" t="s">
        <v>219</v>
      </c>
      <c r="D120" t="s">
        <v>951</v>
      </c>
      <c r="E120" t="s">
        <v>967</v>
      </c>
      <c r="F120" t="s">
        <v>968</v>
      </c>
      <c r="G120">
        <v>2</v>
      </c>
      <c r="H120" t="s">
        <v>310</v>
      </c>
      <c r="I120">
        <v>4</v>
      </c>
      <c r="J120" s="37">
        <v>294.56</v>
      </c>
      <c r="N120"/>
      <c r="O120"/>
    </row>
    <row r="121" spans="1:15" x14ac:dyDescent="0.35">
      <c r="A121" s="5">
        <v>119</v>
      </c>
      <c r="B121" s="5" t="str">
        <f t="shared" si="10"/>
        <v>GA4</v>
      </c>
      <c r="C121" t="s">
        <v>219</v>
      </c>
      <c r="D121" t="s">
        <v>951</v>
      </c>
      <c r="E121" t="s">
        <v>973</v>
      </c>
      <c r="F121" t="s">
        <v>278</v>
      </c>
      <c r="G121">
        <v>2</v>
      </c>
      <c r="H121" t="s">
        <v>310</v>
      </c>
      <c r="I121">
        <v>4</v>
      </c>
      <c r="J121" s="37">
        <v>298.7</v>
      </c>
      <c r="N121"/>
      <c r="O121"/>
    </row>
    <row r="122" spans="1:15" x14ac:dyDescent="0.35">
      <c r="A122" s="5">
        <v>120</v>
      </c>
      <c r="B122" s="5" t="str">
        <f t="shared" si="10"/>
        <v>GA4</v>
      </c>
      <c r="C122" t="s">
        <v>219</v>
      </c>
      <c r="D122" t="s">
        <v>260</v>
      </c>
      <c r="E122" t="s">
        <v>1115</v>
      </c>
      <c r="F122" t="s">
        <v>851</v>
      </c>
      <c r="G122">
        <v>2</v>
      </c>
      <c r="H122" t="s">
        <v>310</v>
      </c>
      <c r="I122">
        <v>4</v>
      </c>
      <c r="J122" s="37">
        <v>299.83</v>
      </c>
      <c r="N122"/>
      <c r="O122"/>
    </row>
    <row r="123" spans="1:15" x14ac:dyDescent="0.35">
      <c r="A123" s="5">
        <v>121</v>
      </c>
      <c r="B123" s="5" t="str">
        <f t="shared" si="10"/>
        <v>GA4</v>
      </c>
      <c r="C123" t="s">
        <v>219</v>
      </c>
      <c r="D123" t="s">
        <v>260</v>
      </c>
      <c r="E123" t="s">
        <v>1114</v>
      </c>
      <c r="F123" t="s">
        <v>850</v>
      </c>
      <c r="G123">
        <v>2</v>
      </c>
      <c r="H123" t="s">
        <v>310</v>
      </c>
      <c r="I123">
        <v>4</v>
      </c>
      <c r="J123" s="37">
        <v>316.33</v>
      </c>
      <c r="N123"/>
      <c r="O123"/>
    </row>
    <row r="124" spans="1:15" x14ac:dyDescent="0.35">
      <c r="A124" s="5">
        <v>122</v>
      </c>
      <c r="B124" s="5" t="str">
        <f t="shared" si="10"/>
        <v>GA4</v>
      </c>
      <c r="C124" t="s">
        <v>219</v>
      </c>
      <c r="D124" t="s">
        <v>260</v>
      </c>
      <c r="E124" t="s">
        <v>1113</v>
      </c>
      <c r="F124" t="s">
        <v>849</v>
      </c>
      <c r="G124">
        <v>2</v>
      </c>
      <c r="H124" t="s">
        <v>310</v>
      </c>
      <c r="I124">
        <v>4</v>
      </c>
      <c r="J124" s="37">
        <v>318.12</v>
      </c>
      <c r="N124"/>
      <c r="O124"/>
    </row>
    <row r="125" spans="1:15" x14ac:dyDescent="0.35">
      <c r="A125" s="5">
        <v>123</v>
      </c>
      <c r="B125" s="5" t="str">
        <f t="shared" si="10"/>
        <v>GA5</v>
      </c>
      <c r="C125" t="s">
        <v>219</v>
      </c>
      <c r="D125" t="s">
        <v>984</v>
      </c>
      <c r="E125" t="s">
        <v>1044</v>
      </c>
      <c r="F125" t="s">
        <v>1045</v>
      </c>
      <c r="G125">
        <v>2</v>
      </c>
      <c r="H125" t="s">
        <v>310</v>
      </c>
      <c r="I125">
        <v>5</v>
      </c>
      <c r="J125" s="37">
        <v>202.37</v>
      </c>
      <c r="N125"/>
      <c r="O125"/>
    </row>
    <row r="126" spans="1:15" x14ac:dyDescent="0.35">
      <c r="A126" s="5">
        <v>124</v>
      </c>
      <c r="B126" s="5" t="str">
        <f t="shared" si="10"/>
        <v>GA5</v>
      </c>
      <c r="C126" t="s">
        <v>219</v>
      </c>
      <c r="D126" t="s">
        <v>984</v>
      </c>
      <c r="E126" t="s">
        <v>1060</v>
      </c>
      <c r="F126" t="s">
        <v>1061</v>
      </c>
      <c r="G126">
        <v>2</v>
      </c>
      <c r="H126" t="s">
        <v>310</v>
      </c>
      <c r="I126">
        <v>5</v>
      </c>
      <c r="J126" s="37">
        <v>208.73</v>
      </c>
      <c r="N126"/>
      <c r="O126"/>
    </row>
    <row r="127" spans="1:15" x14ac:dyDescent="0.35">
      <c r="A127" s="5">
        <v>125</v>
      </c>
      <c r="B127" s="5" t="str">
        <f t="shared" si="10"/>
        <v>GA5</v>
      </c>
      <c r="C127" t="s">
        <v>219</v>
      </c>
      <c r="D127" t="s">
        <v>844</v>
      </c>
      <c r="E127" t="s">
        <v>295</v>
      </c>
      <c r="F127" t="s">
        <v>1088</v>
      </c>
      <c r="G127">
        <v>3</v>
      </c>
      <c r="H127" t="s">
        <v>310</v>
      </c>
      <c r="I127">
        <v>5</v>
      </c>
      <c r="J127" s="37">
        <v>219.09</v>
      </c>
      <c r="N127"/>
      <c r="O127"/>
    </row>
    <row r="128" spans="1:15" x14ac:dyDescent="0.35">
      <c r="A128" s="5">
        <v>126</v>
      </c>
      <c r="B128" s="5" t="str">
        <f t="shared" si="10"/>
        <v>GA5</v>
      </c>
      <c r="C128" t="s">
        <v>219</v>
      </c>
      <c r="D128" t="s">
        <v>951</v>
      </c>
      <c r="E128" t="s">
        <v>969</v>
      </c>
      <c r="F128" t="s">
        <v>970</v>
      </c>
      <c r="G128">
        <v>2</v>
      </c>
      <c r="H128" t="s">
        <v>310</v>
      </c>
      <c r="I128">
        <v>5</v>
      </c>
      <c r="J128" s="37">
        <v>225.27</v>
      </c>
      <c r="N128"/>
      <c r="O128"/>
    </row>
    <row r="129" spans="1:15" x14ac:dyDescent="0.35">
      <c r="A129" s="5">
        <v>127</v>
      </c>
      <c r="B129" s="5" t="str">
        <f t="shared" si="10"/>
        <v>GA5</v>
      </c>
      <c r="C129" t="s">
        <v>219</v>
      </c>
      <c r="D129" t="s">
        <v>951</v>
      </c>
      <c r="E129" t="s">
        <v>961</v>
      </c>
      <c r="F129" t="s">
        <v>962</v>
      </c>
      <c r="G129">
        <v>2</v>
      </c>
      <c r="H129" t="s">
        <v>310</v>
      </c>
      <c r="I129">
        <v>5</v>
      </c>
      <c r="J129" s="37">
        <v>227.13</v>
      </c>
      <c r="N129"/>
      <c r="O129"/>
    </row>
    <row r="130" spans="1:15" x14ac:dyDescent="0.35">
      <c r="A130" s="5">
        <v>128</v>
      </c>
      <c r="B130" s="5" t="str">
        <f t="shared" si="10"/>
        <v>GA5</v>
      </c>
      <c r="C130" t="s">
        <v>219</v>
      </c>
      <c r="D130" t="s">
        <v>951</v>
      </c>
      <c r="E130" t="s">
        <v>963</v>
      </c>
      <c r="F130" t="s">
        <v>964</v>
      </c>
      <c r="G130">
        <v>2</v>
      </c>
      <c r="H130" t="s">
        <v>310</v>
      </c>
      <c r="I130">
        <v>5</v>
      </c>
      <c r="J130" s="37">
        <v>239.82</v>
      </c>
      <c r="N130"/>
      <c r="O130"/>
    </row>
    <row r="131" spans="1:15" x14ac:dyDescent="0.35">
      <c r="A131" s="5">
        <v>129</v>
      </c>
      <c r="B131" s="5" t="str">
        <f t="shared" ref="B131:B194" si="11">CONCATENATE(C131,I131)</f>
        <v>GA5</v>
      </c>
      <c r="C131" t="s">
        <v>219</v>
      </c>
      <c r="D131" t="s">
        <v>260</v>
      </c>
      <c r="E131" t="s">
        <v>1115</v>
      </c>
      <c r="F131" t="s">
        <v>851</v>
      </c>
      <c r="G131">
        <v>2</v>
      </c>
      <c r="H131" t="s">
        <v>310</v>
      </c>
      <c r="I131">
        <v>5</v>
      </c>
      <c r="J131" s="37">
        <v>240.46</v>
      </c>
      <c r="N131"/>
      <c r="O131"/>
    </row>
    <row r="132" spans="1:15" x14ac:dyDescent="0.35">
      <c r="A132" s="5">
        <v>130</v>
      </c>
      <c r="B132" s="5" t="str">
        <f t="shared" si="11"/>
        <v>GA5</v>
      </c>
      <c r="C132" t="s">
        <v>219</v>
      </c>
      <c r="D132" t="s">
        <v>951</v>
      </c>
      <c r="E132" t="s">
        <v>965</v>
      </c>
      <c r="F132" t="s">
        <v>966</v>
      </c>
      <c r="G132">
        <v>2</v>
      </c>
      <c r="H132" t="s">
        <v>310</v>
      </c>
      <c r="I132">
        <v>5</v>
      </c>
      <c r="J132" s="37">
        <v>241.83</v>
      </c>
      <c r="N132"/>
      <c r="O132"/>
    </row>
    <row r="133" spans="1:15" x14ac:dyDescent="0.35">
      <c r="A133" s="5">
        <v>131</v>
      </c>
      <c r="B133" s="5" t="str">
        <f t="shared" si="11"/>
        <v>GA5</v>
      </c>
      <c r="C133" t="s">
        <v>219</v>
      </c>
      <c r="D133" t="s">
        <v>951</v>
      </c>
      <c r="E133" t="s">
        <v>967</v>
      </c>
      <c r="F133" t="s">
        <v>968</v>
      </c>
      <c r="G133">
        <v>2</v>
      </c>
      <c r="H133" t="s">
        <v>310</v>
      </c>
      <c r="I133">
        <v>5</v>
      </c>
      <c r="J133" s="37">
        <v>249.11</v>
      </c>
      <c r="N133"/>
      <c r="O133"/>
    </row>
    <row r="134" spans="1:15" x14ac:dyDescent="0.35">
      <c r="A134" s="5">
        <v>132</v>
      </c>
      <c r="B134" s="5" t="str">
        <f t="shared" si="11"/>
        <v>GA5</v>
      </c>
      <c r="C134" t="s">
        <v>219</v>
      </c>
      <c r="D134" t="s">
        <v>951</v>
      </c>
      <c r="E134" t="s">
        <v>973</v>
      </c>
      <c r="F134" t="s">
        <v>278</v>
      </c>
      <c r="G134">
        <v>2</v>
      </c>
      <c r="H134" t="s">
        <v>310</v>
      </c>
      <c r="I134">
        <v>5</v>
      </c>
      <c r="J134" s="37">
        <v>252.61</v>
      </c>
      <c r="N134"/>
      <c r="O134"/>
    </row>
    <row r="135" spans="1:15" x14ac:dyDescent="0.35">
      <c r="A135" s="5">
        <v>133</v>
      </c>
      <c r="B135" s="5" t="str">
        <f t="shared" si="11"/>
        <v>GA5</v>
      </c>
      <c r="C135" t="s">
        <v>219</v>
      </c>
      <c r="D135" t="s">
        <v>260</v>
      </c>
      <c r="E135" t="s">
        <v>1114</v>
      </c>
      <c r="F135" t="s">
        <v>850</v>
      </c>
      <c r="G135">
        <v>2</v>
      </c>
      <c r="H135" t="s">
        <v>310</v>
      </c>
      <c r="I135">
        <v>5</v>
      </c>
      <c r="J135" s="37">
        <v>253.69</v>
      </c>
      <c r="N135"/>
      <c r="O135"/>
    </row>
    <row r="136" spans="1:15" x14ac:dyDescent="0.35">
      <c r="A136" s="5">
        <v>134</v>
      </c>
      <c r="B136" s="5" t="str">
        <f t="shared" si="11"/>
        <v>GA5</v>
      </c>
      <c r="C136" t="s">
        <v>219</v>
      </c>
      <c r="D136" t="s">
        <v>260</v>
      </c>
      <c r="E136" t="s">
        <v>1113</v>
      </c>
      <c r="F136" t="s">
        <v>849</v>
      </c>
      <c r="G136">
        <v>2</v>
      </c>
      <c r="H136" t="s">
        <v>310</v>
      </c>
      <c r="I136">
        <v>5</v>
      </c>
      <c r="J136" s="37">
        <v>255.14</v>
      </c>
      <c r="N136"/>
      <c r="O136"/>
    </row>
    <row r="137" spans="1:15" x14ac:dyDescent="0.35">
      <c r="A137" s="5">
        <v>135</v>
      </c>
      <c r="B137" s="5" t="str">
        <f t="shared" si="11"/>
        <v>GA6</v>
      </c>
      <c r="C137" t="s">
        <v>219</v>
      </c>
      <c r="D137" t="s">
        <v>844</v>
      </c>
      <c r="E137" t="s">
        <v>295</v>
      </c>
      <c r="F137" t="s">
        <v>1088</v>
      </c>
      <c r="G137">
        <v>3</v>
      </c>
      <c r="H137" t="s">
        <v>310</v>
      </c>
      <c r="I137">
        <v>6</v>
      </c>
      <c r="J137" s="37">
        <v>244.43</v>
      </c>
      <c r="N137"/>
      <c r="O137"/>
    </row>
    <row r="138" spans="1:15" x14ac:dyDescent="0.35">
      <c r="A138" s="5">
        <v>136</v>
      </c>
      <c r="B138" s="5" t="str">
        <f t="shared" si="11"/>
        <v>GA6</v>
      </c>
      <c r="C138" t="s">
        <v>219</v>
      </c>
      <c r="D138" t="s">
        <v>984</v>
      </c>
      <c r="E138" t="s">
        <v>1044</v>
      </c>
      <c r="F138" t="s">
        <v>1045</v>
      </c>
      <c r="G138">
        <v>2</v>
      </c>
      <c r="H138" t="s">
        <v>310</v>
      </c>
      <c r="I138">
        <v>6</v>
      </c>
      <c r="J138" s="37">
        <v>249.59</v>
      </c>
      <c r="N138"/>
      <c r="O138"/>
    </row>
    <row r="139" spans="1:15" x14ac:dyDescent="0.35">
      <c r="A139" s="5">
        <v>137</v>
      </c>
      <c r="B139" s="5" t="str">
        <f t="shared" si="11"/>
        <v>GA6</v>
      </c>
      <c r="C139" t="s">
        <v>219</v>
      </c>
      <c r="D139" t="s">
        <v>984</v>
      </c>
      <c r="E139" t="s">
        <v>1060</v>
      </c>
      <c r="F139" t="s">
        <v>1061</v>
      </c>
      <c r="G139">
        <v>2</v>
      </c>
      <c r="H139" t="s">
        <v>310</v>
      </c>
      <c r="I139">
        <v>6</v>
      </c>
      <c r="J139" s="37">
        <v>257.43</v>
      </c>
      <c r="N139"/>
      <c r="O139"/>
    </row>
    <row r="140" spans="1:15" x14ac:dyDescent="0.35">
      <c r="A140" s="5">
        <v>138</v>
      </c>
      <c r="B140" s="5" t="str">
        <f t="shared" si="11"/>
        <v>GA6</v>
      </c>
      <c r="C140" t="s">
        <v>219</v>
      </c>
      <c r="D140" t="s">
        <v>951</v>
      </c>
      <c r="E140" t="s">
        <v>969</v>
      </c>
      <c r="F140" t="s">
        <v>970</v>
      </c>
      <c r="G140">
        <v>2</v>
      </c>
      <c r="H140" t="s">
        <v>310</v>
      </c>
      <c r="I140">
        <v>6</v>
      </c>
      <c r="J140" s="37">
        <v>280.13</v>
      </c>
      <c r="N140"/>
      <c r="O140"/>
    </row>
    <row r="141" spans="1:15" x14ac:dyDescent="0.35">
      <c r="A141" s="5">
        <v>139</v>
      </c>
      <c r="B141" s="5" t="str">
        <f t="shared" si="11"/>
        <v>GA6</v>
      </c>
      <c r="C141" t="s">
        <v>219</v>
      </c>
      <c r="D141" t="s">
        <v>951</v>
      </c>
      <c r="E141" t="s">
        <v>961</v>
      </c>
      <c r="F141" t="s">
        <v>962</v>
      </c>
      <c r="G141">
        <v>2</v>
      </c>
      <c r="H141" t="s">
        <v>310</v>
      </c>
      <c r="I141">
        <v>6</v>
      </c>
      <c r="J141" s="37">
        <v>282.45</v>
      </c>
      <c r="N141"/>
      <c r="O141"/>
    </row>
    <row r="142" spans="1:15" x14ac:dyDescent="0.35">
      <c r="A142" s="5">
        <v>140</v>
      </c>
      <c r="B142" s="5" t="str">
        <f t="shared" si="11"/>
        <v>GA6</v>
      </c>
      <c r="C142" t="s">
        <v>219</v>
      </c>
      <c r="D142" t="s">
        <v>260</v>
      </c>
      <c r="E142" t="s">
        <v>1115</v>
      </c>
      <c r="F142" t="s">
        <v>851</v>
      </c>
      <c r="G142">
        <v>2</v>
      </c>
      <c r="H142" t="s">
        <v>310</v>
      </c>
      <c r="I142">
        <v>6</v>
      </c>
      <c r="J142" s="37">
        <v>289.33999999999997</v>
      </c>
      <c r="N142"/>
      <c r="O142"/>
    </row>
    <row r="143" spans="1:15" x14ac:dyDescent="0.35">
      <c r="A143" s="5">
        <v>141</v>
      </c>
      <c r="B143" s="5" t="str">
        <f t="shared" si="11"/>
        <v>GA6</v>
      </c>
      <c r="C143" t="s">
        <v>219</v>
      </c>
      <c r="D143" t="s">
        <v>951</v>
      </c>
      <c r="E143" t="s">
        <v>963</v>
      </c>
      <c r="F143" t="s">
        <v>964</v>
      </c>
      <c r="G143">
        <v>2</v>
      </c>
      <c r="H143" t="s">
        <v>310</v>
      </c>
      <c r="I143">
        <v>6</v>
      </c>
      <c r="J143" s="37">
        <v>298.24</v>
      </c>
      <c r="N143"/>
      <c r="O143"/>
    </row>
    <row r="144" spans="1:15" x14ac:dyDescent="0.35">
      <c r="A144" s="5">
        <v>142</v>
      </c>
      <c r="B144" s="5" t="str">
        <f t="shared" si="11"/>
        <v>GA6</v>
      </c>
      <c r="C144" t="s">
        <v>219</v>
      </c>
      <c r="D144" t="s">
        <v>951</v>
      </c>
      <c r="E144" t="s">
        <v>965</v>
      </c>
      <c r="F144" t="s">
        <v>966</v>
      </c>
      <c r="G144">
        <v>2</v>
      </c>
      <c r="H144" t="s">
        <v>310</v>
      </c>
      <c r="I144">
        <v>6</v>
      </c>
      <c r="J144" s="37">
        <v>300.70999999999998</v>
      </c>
      <c r="N144"/>
      <c r="O144"/>
    </row>
    <row r="145" spans="1:15" x14ac:dyDescent="0.35">
      <c r="A145" s="5">
        <v>143</v>
      </c>
      <c r="B145" s="5" t="str">
        <f t="shared" si="11"/>
        <v>GA6</v>
      </c>
      <c r="C145" t="s">
        <v>219</v>
      </c>
      <c r="D145" t="s">
        <v>260</v>
      </c>
      <c r="E145" t="s">
        <v>1114</v>
      </c>
      <c r="F145" t="s">
        <v>850</v>
      </c>
      <c r="G145">
        <v>2</v>
      </c>
      <c r="H145" t="s">
        <v>310</v>
      </c>
      <c r="I145">
        <v>6</v>
      </c>
      <c r="J145" s="37">
        <v>305.25</v>
      </c>
      <c r="N145"/>
      <c r="O145"/>
    </row>
    <row r="146" spans="1:15" x14ac:dyDescent="0.35">
      <c r="A146" s="5">
        <v>144</v>
      </c>
      <c r="B146" s="5" t="str">
        <f t="shared" si="11"/>
        <v>GA6</v>
      </c>
      <c r="C146" t="s">
        <v>219</v>
      </c>
      <c r="D146" t="s">
        <v>260</v>
      </c>
      <c r="E146" t="s">
        <v>1113</v>
      </c>
      <c r="F146" t="s">
        <v>849</v>
      </c>
      <c r="G146">
        <v>2</v>
      </c>
      <c r="H146" t="s">
        <v>310</v>
      </c>
      <c r="I146">
        <v>6</v>
      </c>
      <c r="J146" s="37">
        <v>306.99</v>
      </c>
      <c r="N146"/>
      <c r="O146"/>
    </row>
    <row r="147" spans="1:15" x14ac:dyDescent="0.35">
      <c r="A147" s="5">
        <v>145</v>
      </c>
      <c r="B147" s="5" t="str">
        <f t="shared" si="11"/>
        <v>GA6</v>
      </c>
      <c r="C147" t="s">
        <v>219</v>
      </c>
      <c r="D147" t="s">
        <v>951</v>
      </c>
      <c r="E147" t="s">
        <v>967</v>
      </c>
      <c r="F147" t="s">
        <v>968</v>
      </c>
      <c r="G147">
        <v>2</v>
      </c>
      <c r="H147" t="s">
        <v>310</v>
      </c>
      <c r="I147">
        <v>6</v>
      </c>
      <c r="J147" s="37">
        <v>309.77999999999997</v>
      </c>
      <c r="N147"/>
      <c r="O147"/>
    </row>
    <row r="148" spans="1:15" x14ac:dyDescent="0.35">
      <c r="A148" s="5">
        <v>146</v>
      </c>
      <c r="B148" s="5" t="str">
        <f t="shared" si="11"/>
        <v>GA6</v>
      </c>
      <c r="C148" t="s">
        <v>219</v>
      </c>
      <c r="D148" t="s">
        <v>951</v>
      </c>
      <c r="E148" t="s">
        <v>973</v>
      </c>
      <c r="F148" t="s">
        <v>278</v>
      </c>
      <c r="G148">
        <v>2</v>
      </c>
      <c r="H148" t="s">
        <v>310</v>
      </c>
      <c r="I148">
        <v>6</v>
      </c>
      <c r="J148" s="37">
        <v>314.14</v>
      </c>
      <c r="N148"/>
      <c r="O148"/>
    </row>
    <row r="149" spans="1:15" x14ac:dyDescent="0.35">
      <c r="A149" s="5">
        <v>147</v>
      </c>
      <c r="B149" s="5" t="str">
        <f t="shared" si="11"/>
        <v>GA7</v>
      </c>
      <c r="C149" t="s">
        <v>219</v>
      </c>
      <c r="D149" t="s">
        <v>304</v>
      </c>
      <c r="E149" t="s">
        <v>307</v>
      </c>
      <c r="F149" t="s">
        <v>904</v>
      </c>
      <c r="G149">
        <v>1</v>
      </c>
      <c r="H149" t="s">
        <v>310</v>
      </c>
      <c r="I149">
        <v>7</v>
      </c>
      <c r="J149" s="37">
        <v>232.11</v>
      </c>
      <c r="N149"/>
      <c r="O149"/>
    </row>
    <row r="150" spans="1:15" x14ac:dyDescent="0.35">
      <c r="A150" s="5">
        <v>148</v>
      </c>
      <c r="B150" s="5" t="str">
        <f t="shared" si="11"/>
        <v>GA7</v>
      </c>
      <c r="C150" t="s">
        <v>219</v>
      </c>
      <c r="D150" t="s">
        <v>304</v>
      </c>
      <c r="E150" t="s">
        <v>916</v>
      </c>
      <c r="F150" t="s">
        <v>917</v>
      </c>
      <c r="G150">
        <v>1</v>
      </c>
      <c r="H150" t="s">
        <v>310</v>
      </c>
      <c r="I150">
        <v>7</v>
      </c>
      <c r="J150" s="37">
        <v>232.11</v>
      </c>
      <c r="N150"/>
      <c r="O150"/>
    </row>
    <row r="151" spans="1:15" x14ac:dyDescent="0.35">
      <c r="A151" s="5">
        <v>149</v>
      </c>
      <c r="B151" s="5" t="str">
        <f t="shared" si="11"/>
        <v>GA7</v>
      </c>
      <c r="C151" t="s">
        <v>219</v>
      </c>
      <c r="D151" t="s">
        <v>304</v>
      </c>
      <c r="E151" t="s">
        <v>902</v>
      </c>
      <c r="F151" t="s">
        <v>903</v>
      </c>
      <c r="G151">
        <v>1</v>
      </c>
      <c r="H151" t="s">
        <v>310</v>
      </c>
      <c r="I151">
        <v>7</v>
      </c>
      <c r="J151" s="37">
        <v>232.18</v>
      </c>
      <c r="N151"/>
      <c r="O151"/>
    </row>
    <row r="152" spans="1:15" x14ac:dyDescent="0.35">
      <c r="A152" s="5">
        <v>150</v>
      </c>
      <c r="B152" s="5" t="str">
        <f t="shared" si="11"/>
        <v>GA7</v>
      </c>
      <c r="C152" t="s">
        <v>219</v>
      </c>
      <c r="D152" t="s">
        <v>304</v>
      </c>
      <c r="E152" t="s">
        <v>305</v>
      </c>
      <c r="F152" t="s">
        <v>913</v>
      </c>
      <c r="G152">
        <v>1</v>
      </c>
      <c r="H152" t="s">
        <v>310</v>
      </c>
      <c r="I152">
        <v>7</v>
      </c>
      <c r="J152" s="37">
        <v>232.26</v>
      </c>
      <c r="N152"/>
      <c r="O152"/>
    </row>
    <row r="153" spans="1:15" x14ac:dyDescent="0.35">
      <c r="A153" s="5">
        <v>151</v>
      </c>
      <c r="B153" s="5" t="str">
        <f t="shared" si="11"/>
        <v>GA7</v>
      </c>
      <c r="C153" t="s">
        <v>219</v>
      </c>
      <c r="D153" t="s">
        <v>304</v>
      </c>
      <c r="E153" t="s">
        <v>911</v>
      </c>
      <c r="F153" t="s">
        <v>912</v>
      </c>
      <c r="G153">
        <v>1</v>
      </c>
      <c r="H153" t="s">
        <v>310</v>
      </c>
      <c r="I153">
        <v>7</v>
      </c>
      <c r="J153" s="37">
        <v>232.29</v>
      </c>
      <c r="N153"/>
      <c r="O153"/>
    </row>
    <row r="154" spans="1:15" x14ac:dyDescent="0.35">
      <c r="A154" s="5">
        <v>152</v>
      </c>
      <c r="B154" s="5" t="str">
        <f t="shared" si="11"/>
        <v>GA7</v>
      </c>
      <c r="C154" t="s">
        <v>219</v>
      </c>
      <c r="D154" t="s">
        <v>304</v>
      </c>
      <c r="E154" t="s">
        <v>914</v>
      </c>
      <c r="F154" t="s">
        <v>915</v>
      </c>
      <c r="G154">
        <v>1</v>
      </c>
      <c r="H154" t="s">
        <v>310</v>
      </c>
      <c r="I154">
        <v>7</v>
      </c>
      <c r="J154" s="37">
        <v>232.5</v>
      </c>
      <c r="N154"/>
      <c r="O154"/>
    </row>
    <row r="155" spans="1:15" x14ac:dyDescent="0.35">
      <c r="A155" s="5">
        <v>153</v>
      </c>
      <c r="B155" s="5" t="str">
        <f t="shared" si="11"/>
        <v>GA7</v>
      </c>
      <c r="C155" t="s">
        <v>219</v>
      </c>
      <c r="D155" t="s">
        <v>304</v>
      </c>
      <c r="E155" t="s">
        <v>909</v>
      </c>
      <c r="F155" t="s">
        <v>910</v>
      </c>
      <c r="G155">
        <v>1</v>
      </c>
      <c r="H155" t="s">
        <v>310</v>
      </c>
      <c r="I155">
        <v>7</v>
      </c>
      <c r="J155" s="37">
        <v>232.58</v>
      </c>
      <c r="N155"/>
      <c r="O155"/>
    </row>
    <row r="156" spans="1:15" x14ac:dyDescent="0.35">
      <c r="A156" s="5">
        <v>154</v>
      </c>
      <c r="B156" s="5" t="str">
        <f t="shared" si="11"/>
        <v>GA7</v>
      </c>
      <c r="C156" t="s">
        <v>219</v>
      </c>
      <c r="D156" t="s">
        <v>304</v>
      </c>
      <c r="E156" t="s">
        <v>900</v>
      </c>
      <c r="F156" t="s">
        <v>901</v>
      </c>
      <c r="G156">
        <v>1</v>
      </c>
      <c r="H156" t="s">
        <v>310</v>
      </c>
      <c r="I156">
        <v>7</v>
      </c>
      <c r="J156" s="37">
        <v>234.09</v>
      </c>
      <c r="N156"/>
      <c r="O156"/>
    </row>
    <row r="157" spans="1:15" x14ac:dyDescent="0.35">
      <c r="A157" s="5">
        <v>155</v>
      </c>
      <c r="B157" s="5" t="str">
        <f t="shared" si="11"/>
        <v>GA7</v>
      </c>
      <c r="C157" t="s">
        <v>219</v>
      </c>
      <c r="D157" t="s">
        <v>304</v>
      </c>
      <c r="E157" t="s">
        <v>898</v>
      </c>
      <c r="F157" t="s">
        <v>899</v>
      </c>
      <c r="G157">
        <v>1</v>
      </c>
      <c r="H157" t="s">
        <v>310</v>
      </c>
      <c r="I157">
        <v>7</v>
      </c>
      <c r="J157" s="37">
        <v>234.63</v>
      </c>
      <c r="N157"/>
      <c r="O157"/>
    </row>
    <row r="158" spans="1:15" x14ac:dyDescent="0.35">
      <c r="A158" s="5">
        <v>156</v>
      </c>
      <c r="B158" s="5" t="str">
        <f t="shared" si="11"/>
        <v>GA7</v>
      </c>
      <c r="C158" t="s">
        <v>219</v>
      </c>
      <c r="D158" t="s">
        <v>260</v>
      </c>
      <c r="E158" t="s">
        <v>1115</v>
      </c>
      <c r="F158" t="s">
        <v>851</v>
      </c>
      <c r="G158">
        <v>2</v>
      </c>
      <c r="H158" t="s">
        <v>310</v>
      </c>
      <c r="I158">
        <v>7</v>
      </c>
      <c r="J158" s="37">
        <v>238.06</v>
      </c>
      <c r="N158"/>
      <c r="O158"/>
    </row>
    <row r="159" spans="1:15" x14ac:dyDescent="0.35">
      <c r="A159" s="5">
        <v>157</v>
      </c>
      <c r="B159" s="5" t="str">
        <f t="shared" si="11"/>
        <v>GA7</v>
      </c>
      <c r="C159" t="s">
        <v>219</v>
      </c>
      <c r="D159" t="s">
        <v>304</v>
      </c>
      <c r="E159" t="s">
        <v>907</v>
      </c>
      <c r="F159" t="s">
        <v>908</v>
      </c>
      <c r="G159">
        <v>1</v>
      </c>
      <c r="H159" t="s">
        <v>310</v>
      </c>
      <c r="I159">
        <v>7</v>
      </c>
      <c r="J159" s="37">
        <v>239.77</v>
      </c>
      <c r="N159"/>
      <c r="O159"/>
    </row>
    <row r="160" spans="1:15" x14ac:dyDescent="0.35">
      <c r="A160" s="5">
        <v>158</v>
      </c>
      <c r="B160" s="5" t="str">
        <f t="shared" si="11"/>
        <v>GA7</v>
      </c>
      <c r="C160" t="s">
        <v>219</v>
      </c>
      <c r="D160" t="s">
        <v>304</v>
      </c>
      <c r="E160" t="s">
        <v>905</v>
      </c>
      <c r="F160" t="s">
        <v>906</v>
      </c>
      <c r="G160">
        <v>1</v>
      </c>
      <c r="H160" t="s">
        <v>310</v>
      </c>
      <c r="I160">
        <v>7</v>
      </c>
      <c r="J160" s="37">
        <v>244.8</v>
      </c>
      <c r="N160"/>
      <c r="O160"/>
    </row>
    <row r="161" spans="1:15" x14ac:dyDescent="0.35">
      <c r="A161" s="5">
        <v>159</v>
      </c>
      <c r="B161" s="5" t="str">
        <f t="shared" si="11"/>
        <v>GA7</v>
      </c>
      <c r="C161" t="s">
        <v>219</v>
      </c>
      <c r="D161" t="s">
        <v>260</v>
      </c>
      <c r="E161" t="s">
        <v>1114</v>
      </c>
      <c r="F161" t="s">
        <v>850</v>
      </c>
      <c r="G161">
        <v>2</v>
      </c>
      <c r="H161" t="s">
        <v>310</v>
      </c>
      <c r="I161">
        <v>7</v>
      </c>
      <c r="J161" s="37">
        <v>251.16</v>
      </c>
      <c r="N161"/>
      <c r="O161"/>
    </row>
    <row r="162" spans="1:15" x14ac:dyDescent="0.35">
      <c r="A162" s="5">
        <v>160</v>
      </c>
      <c r="B162" s="5" t="str">
        <f t="shared" si="11"/>
        <v>GA7</v>
      </c>
      <c r="C162" t="s">
        <v>219</v>
      </c>
      <c r="D162" t="s">
        <v>260</v>
      </c>
      <c r="E162" t="s">
        <v>1113</v>
      </c>
      <c r="F162" t="s">
        <v>849</v>
      </c>
      <c r="G162">
        <v>2</v>
      </c>
      <c r="H162" t="s">
        <v>310</v>
      </c>
      <c r="I162">
        <v>7</v>
      </c>
      <c r="J162" s="37">
        <v>252.59</v>
      </c>
      <c r="N162"/>
      <c r="O162"/>
    </row>
    <row r="163" spans="1:15" x14ac:dyDescent="0.35">
      <c r="A163" s="5">
        <v>161</v>
      </c>
      <c r="B163" s="5" t="str">
        <f t="shared" si="11"/>
        <v>GA7</v>
      </c>
      <c r="C163" t="s">
        <v>219</v>
      </c>
      <c r="D163" t="s">
        <v>951</v>
      </c>
      <c r="E163" t="s">
        <v>969</v>
      </c>
      <c r="F163" t="s">
        <v>970</v>
      </c>
      <c r="G163">
        <v>2</v>
      </c>
      <c r="H163" t="s">
        <v>310</v>
      </c>
      <c r="I163">
        <v>7</v>
      </c>
      <c r="J163" s="37">
        <v>263.07</v>
      </c>
      <c r="N163"/>
      <c r="O163"/>
    </row>
    <row r="164" spans="1:15" x14ac:dyDescent="0.35">
      <c r="A164" s="5">
        <v>162</v>
      </c>
      <c r="B164" s="5" t="str">
        <f t="shared" si="11"/>
        <v>GA7</v>
      </c>
      <c r="C164" t="s">
        <v>219</v>
      </c>
      <c r="D164" t="s">
        <v>951</v>
      </c>
      <c r="E164" t="s">
        <v>961</v>
      </c>
      <c r="F164" t="s">
        <v>962</v>
      </c>
      <c r="G164">
        <v>2</v>
      </c>
      <c r="H164" t="s">
        <v>310</v>
      </c>
      <c r="I164">
        <v>7</v>
      </c>
      <c r="J164" s="37">
        <v>265.25</v>
      </c>
      <c r="N164"/>
      <c r="O164"/>
    </row>
    <row r="165" spans="1:15" x14ac:dyDescent="0.35">
      <c r="A165" s="5">
        <v>163</v>
      </c>
      <c r="B165" s="5" t="str">
        <f t="shared" si="11"/>
        <v>GA7</v>
      </c>
      <c r="C165" t="s">
        <v>219</v>
      </c>
      <c r="D165" t="s">
        <v>951</v>
      </c>
      <c r="E165" t="s">
        <v>963</v>
      </c>
      <c r="F165" t="s">
        <v>964</v>
      </c>
      <c r="G165">
        <v>2</v>
      </c>
      <c r="H165" t="s">
        <v>310</v>
      </c>
      <c r="I165">
        <v>7</v>
      </c>
      <c r="J165" s="37">
        <v>280.07</v>
      </c>
      <c r="N165"/>
      <c r="O165"/>
    </row>
    <row r="166" spans="1:15" x14ac:dyDescent="0.35">
      <c r="A166" s="5">
        <v>164</v>
      </c>
      <c r="B166" s="5" t="str">
        <f t="shared" si="11"/>
        <v>GA7</v>
      </c>
      <c r="C166" t="s">
        <v>219</v>
      </c>
      <c r="D166" t="s">
        <v>951</v>
      </c>
      <c r="E166" t="s">
        <v>965</v>
      </c>
      <c r="F166" t="s">
        <v>966</v>
      </c>
      <c r="G166">
        <v>2</v>
      </c>
      <c r="H166" t="s">
        <v>310</v>
      </c>
      <c r="I166">
        <v>7</v>
      </c>
      <c r="J166" s="37">
        <v>282.39999999999998</v>
      </c>
      <c r="N166"/>
      <c r="O166"/>
    </row>
    <row r="167" spans="1:15" x14ac:dyDescent="0.35">
      <c r="A167" s="5">
        <v>165</v>
      </c>
      <c r="B167" s="5" t="str">
        <f t="shared" si="11"/>
        <v>GA7</v>
      </c>
      <c r="C167" t="s">
        <v>219</v>
      </c>
      <c r="D167" t="s">
        <v>951</v>
      </c>
      <c r="E167" t="s">
        <v>967</v>
      </c>
      <c r="F167" t="s">
        <v>968</v>
      </c>
      <c r="G167">
        <v>2</v>
      </c>
      <c r="H167" t="s">
        <v>310</v>
      </c>
      <c r="I167">
        <v>7</v>
      </c>
      <c r="J167" s="37">
        <v>290.91000000000003</v>
      </c>
      <c r="N167"/>
      <c r="O167"/>
    </row>
    <row r="168" spans="1:15" x14ac:dyDescent="0.35">
      <c r="A168" s="5">
        <v>166</v>
      </c>
      <c r="B168" s="5" t="str">
        <f t="shared" si="11"/>
        <v>GA7</v>
      </c>
      <c r="C168" t="s">
        <v>219</v>
      </c>
      <c r="D168" t="s">
        <v>951</v>
      </c>
      <c r="E168" t="s">
        <v>973</v>
      </c>
      <c r="F168" t="s">
        <v>278</v>
      </c>
      <c r="G168">
        <v>2</v>
      </c>
      <c r="H168" t="s">
        <v>310</v>
      </c>
      <c r="I168">
        <v>7</v>
      </c>
      <c r="J168" s="37">
        <v>295</v>
      </c>
      <c r="N168"/>
      <c r="O168"/>
    </row>
    <row r="169" spans="1:15" x14ac:dyDescent="0.35">
      <c r="A169" s="5">
        <v>167</v>
      </c>
      <c r="B169" s="5" t="str">
        <f t="shared" si="11"/>
        <v>GA8</v>
      </c>
      <c r="C169" t="s">
        <v>219</v>
      </c>
      <c r="D169" t="s">
        <v>281</v>
      </c>
      <c r="E169" t="s">
        <v>929</v>
      </c>
      <c r="F169" t="s">
        <v>855</v>
      </c>
      <c r="G169">
        <v>2</v>
      </c>
      <c r="H169" t="s">
        <v>310</v>
      </c>
      <c r="I169">
        <v>8</v>
      </c>
      <c r="J169" s="37">
        <v>208.61</v>
      </c>
      <c r="N169"/>
      <c r="O169"/>
    </row>
    <row r="170" spans="1:15" x14ac:dyDescent="0.35">
      <c r="A170" s="5">
        <v>168</v>
      </c>
      <c r="B170" s="5" t="str">
        <f t="shared" si="11"/>
        <v>GA8</v>
      </c>
      <c r="C170" t="s">
        <v>219</v>
      </c>
      <c r="D170" t="s">
        <v>281</v>
      </c>
      <c r="E170" t="s">
        <v>930</v>
      </c>
      <c r="F170" t="s">
        <v>856</v>
      </c>
      <c r="G170">
        <v>2</v>
      </c>
      <c r="H170" t="s">
        <v>310</v>
      </c>
      <c r="I170">
        <v>8</v>
      </c>
      <c r="J170" s="37">
        <v>213.6</v>
      </c>
      <c r="N170"/>
      <c r="O170"/>
    </row>
    <row r="171" spans="1:15" x14ac:dyDescent="0.35">
      <c r="A171" s="5">
        <v>169</v>
      </c>
      <c r="B171" s="5" t="str">
        <f t="shared" si="11"/>
        <v>GA8</v>
      </c>
      <c r="C171" t="s">
        <v>219</v>
      </c>
      <c r="D171" t="s">
        <v>281</v>
      </c>
      <c r="E171" t="s">
        <v>286</v>
      </c>
      <c r="F171" t="s">
        <v>865</v>
      </c>
      <c r="G171">
        <v>2</v>
      </c>
      <c r="H171" t="s">
        <v>310</v>
      </c>
      <c r="I171">
        <v>8</v>
      </c>
      <c r="J171" s="37">
        <v>219.73</v>
      </c>
      <c r="N171"/>
      <c r="O171"/>
    </row>
    <row r="172" spans="1:15" x14ac:dyDescent="0.35">
      <c r="A172" s="5">
        <v>170</v>
      </c>
      <c r="B172" s="5" t="str">
        <f t="shared" si="11"/>
        <v>GA8</v>
      </c>
      <c r="C172" t="s">
        <v>219</v>
      </c>
      <c r="D172" t="s">
        <v>844</v>
      </c>
      <c r="E172" t="s">
        <v>309</v>
      </c>
      <c r="F172" t="s">
        <v>1090</v>
      </c>
      <c r="G172">
        <v>2</v>
      </c>
      <c r="H172" t="s">
        <v>310</v>
      </c>
      <c r="I172">
        <v>8</v>
      </c>
      <c r="J172" s="37">
        <v>221.21</v>
      </c>
      <c r="N172"/>
      <c r="O172"/>
    </row>
    <row r="173" spans="1:15" x14ac:dyDescent="0.35">
      <c r="A173" s="5">
        <v>171</v>
      </c>
      <c r="B173" s="5" t="str">
        <f t="shared" si="11"/>
        <v>GA8</v>
      </c>
      <c r="C173" t="s">
        <v>219</v>
      </c>
      <c r="D173" t="s">
        <v>281</v>
      </c>
      <c r="E173" t="s">
        <v>926</v>
      </c>
      <c r="F173" t="s">
        <v>852</v>
      </c>
      <c r="G173">
        <v>2</v>
      </c>
      <c r="H173" t="s">
        <v>310</v>
      </c>
      <c r="I173">
        <v>8</v>
      </c>
      <c r="J173" s="37">
        <v>222</v>
      </c>
      <c r="N173"/>
      <c r="O173"/>
    </row>
    <row r="174" spans="1:15" x14ac:dyDescent="0.35">
      <c r="A174" s="5">
        <v>172</v>
      </c>
      <c r="B174" s="5" t="str">
        <f t="shared" si="11"/>
        <v>GA8</v>
      </c>
      <c r="C174" t="s">
        <v>219</v>
      </c>
      <c r="D174" t="s">
        <v>984</v>
      </c>
      <c r="E174" t="s">
        <v>1036</v>
      </c>
      <c r="F174" t="s">
        <v>1037</v>
      </c>
      <c r="G174">
        <v>2</v>
      </c>
      <c r="H174" t="s">
        <v>310</v>
      </c>
      <c r="I174">
        <v>8</v>
      </c>
      <c r="J174" s="37">
        <v>222.43</v>
      </c>
      <c r="N174"/>
      <c r="O174"/>
    </row>
    <row r="175" spans="1:15" x14ac:dyDescent="0.35">
      <c r="A175" s="5">
        <v>173</v>
      </c>
      <c r="B175" s="5" t="str">
        <f t="shared" si="11"/>
        <v>GA8</v>
      </c>
      <c r="C175" t="s">
        <v>219</v>
      </c>
      <c r="D175" t="s">
        <v>281</v>
      </c>
      <c r="E175" t="s">
        <v>931</v>
      </c>
      <c r="F175" t="s">
        <v>857</v>
      </c>
      <c r="G175">
        <v>2</v>
      </c>
      <c r="H175" t="s">
        <v>310</v>
      </c>
      <c r="I175">
        <v>8</v>
      </c>
      <c r="J175" s="37">
        <v>222.9</v>
      </c>
      <c r="N175"/>
      <c r="O175"/>
    </row>
    <row r="176" spans="1:15" x14ac:dyDescent="0.35">
      <c r="A176" s="5">
        <v>174</v>
      </c>
      <c r="B176" s="5" t="str">
        <f t="shared" si="11"/>
        <v>GA8</v>
      </c>
      <c r="C176" t="s">
        <v>219</v>
      </c>
      <c r="D176" t="s">
        <v>281</v>
      </c>
      <c r="E176" t="s">
        <v>290</v>
      </c>
      <c r="F176" t="s">
        <v>866</v>
      </c>
      <c r="G176">
        <v>2</v>
      </c>
      <c r="H176" t="s">
        <v>310</v>
      </c>
      <c r="I176">
        <v>8</v>
      </c>
      <c r="J176" s="37">
        <v>224.98</v>
      </c>
      <c r="N176"/>
      <c r="O176"/>
    </row>
    <row r="177" spans="1:15" x14ac:dyDescent="0.35">
      <c r="A177" s="5">
        <v>175</v>
      </c>
      <c r="B177" s="5" t="str">
        <f t="shared" si="11"/>
        <v>GA8</v>
      </c>
      <c r="C177" t="s">
        <v>219</v>
      </c>
      <c r="D177" t="s">
        <v>281</v>
      </c>
      <c r="E177" t="s">
        <v>282</v>
      </c>
      <c r="F177" t="s">
        <v>868</v>
      </c>
      <c r="G177">
        <v>2</v>
      </c>
      <c r="H177" t="s">
        <v>310</v>
      </c>
      <c r="I177">
        <v>8</v>
      </c>
      <c r="J177" s="37">
        <v>226.99</v>
      </c>
      <c r="N177"/>
      <c r="O177"/>
    </row>
    <row r="178" spans="1:15" x14ac:dyDescent="0.35">
      <c r="A178" s="5">
        <v>176</v>
      </c>
      <c r="B178" s="5" t="str">
        <f t="shared" si="11"/>
        <v>GA8</v>
      </c>
      <c r="C178" t="s">
        <v>219</v>
      </c>
      <c r="D178" t="s">
        <v>281</v>
      </c>
      <c r="E178" t="s">
        <v>927</v>
      </c>
      <c r="F178" t="s">
        <v>853</v>
      </c>
      <c r="G178">
        <v>2</v>
      </c>
      <c r="H178" t="s">
        <v>310</v>
      </c>
      <c r="I178">
        <v>8</v>
      </c>
      <c r="J178" s="37">
        <v>227.31</v>
      </c>
      <c r="N178"/>
      <c r="O178"/>
    </row>
    <row r="179" spans="1:15" x14ac:dyDescent="0.35">
      <c r="A179" s="5">
        <v>177</v>
      </c>
      <c r="B179" s="5" t="str">
        <f t="shared" si="11"/>
        <v>GA8</v>
      </c>
      <c r="C179" t="s">
        <v>219</v>
      </c>
      <c r="D179" t="s">
        <v>281</v>
      </c>
      <c r="E179" t="s">
        <v>283</v>
      </c>
      <c r="F179" t="s">
        <v>862</v>
      </c>
      <c r="G179">
        <v>2</v>
      </c>
      <c r="H179" t="s">
        <v>310</v>
      </c>
      <c r="I179">
        <v>8</v>
      </c>
      <c r="J179" s="37">
        <v>228.13</v>
      </c>
      <c r="N179"/>
      <c r="O179"/>
    </row>
    <row r="180" spans="1:15" x14ac:dyDescent="0.35">
      <c r="A180" s="5">
        <v>178</v>
      </c>
      <c r="B180" s="5" t="str">
        <f t="shared" si="11"/>
        <v>GA8</v>
      </c>
      <c r="C180" t="s">
        <v>219</v>
      </c>
      <c r="D180" t="s">
        <v>984</v>
      </c>
      <c r="E180" t="s">
        <v>1052</v>
      </c>
      <c r="F180" t="s">
        <v>1053</v>
      </c>
      <c r="G180">
        <v>2</v>
      </c>
      <c r="H180" t="s">
        <v>310</v>
      </c>
      <c r="I180">
        <v>8</v>
      </c>
      <c r="J180" s="37">
        <v>229.39</v>
      </c>
      <c r="N180"/>
      <c r="O180"/>
    </row>
    <row r="181" spans="1:15" x14ac:dyDescent="0.35">
      <c r="A181" s="5">
        <v>179</v>
      </c>
      <c r="B181" s="5" t="str">
        <f t="shared" si="11"/>
        <v>GA8</v>
      </c>
      <c r="C181" t="s">
        <v>219</v>
      </c>
      <c r="D181" t="s">
        <v>844</v>
      </c>
      <c r="E181" t="s">
        <v>295</v>
      </c>
      <c r="F181" t="s">
        <v>1088</v>
      </c>
      <c r="G181">
        <v>3</v>
      </c>
      <c r="H181" t="s">
        <v>310</v>
      </c>
      <c r="I181">
        <v>8</v>
      </c>
      <c r="J181" s="37">
        <v>229.64</v>
      </c>
      <c r="N181"/>
      <c r="O181"/>
    </row>
    <row r="182" spans="1:15" x14ac:dyDescent="0.35">
      <c r="A182" s="5">
        <v>180</v>
      </c>
      <c r="B182" s="5" t="str">
        <f t="shared" si="11"/>
        <v>GA8</v>
      </c>
      <c r="C182" t="s">
        <v>219</v>
      </c>
      <c r="D182" t="s">
        <v>281</v>
      </c>
      <c r="E182" t="s">
        <v>284</v>
      </c>
      <c r="F182" t="s">
        <v>869</v>
      </c>
      <c r="G182">
        <v>2</v>
      </c>
      <c r="H182" t="s">
        <v>310</v>
      </c>
      <c r="I182">
        <v>8</v>
      </c>
      <c r="J182" s="37">
        <v>232.42</v>
      </c>
      <c r="N182"/>
      <c r="O182"/>
    </row>
    <row r="183" spans="1:15" x14ac:dyDescent="0.35">
      <c r="A183" s="5">
        <v>181</v>
      </c>
      <c r="B183" s="5" t="str">
        <f t="shared" si="11"/>
        <v>GA8</v>
      </c>
      <c r="C183" t="s">
        <v>219</v>
      </c>
      <c r="D183" t="s">
        <v>281</v>
      </c>
      <c r="E183" t="s">
        <v>285</v>
      </c>
      <c r="F183" t="s">
        <v>863</v>
      </c>
      <c r="G183">
        <v>2</v>
      </c>
      <c r="H183" t="s">
        <v>310</v>
      </c>
      <c r="I183">
        <v>8</v>
      </c>
      <c r="J183" s="37">
        <v>233.58</v>
      </c>
      <c r="N183"/>
      <c r="O183"/>
    </row>
    <row r="184" spans="1:15" x14ac:dyDescent="0.35">
      <c r="A184" s="5">
        <v>182</v>
      </c>
      <c r="B184" s="5" t="str">
        <f t="shared" si="11"/>
        <v>GA8</v>
      </c>
      <c r="C184" t="s">
        <v>219</v>
      </c>
      <c r="D184" t="s">
        <v>281</v>
      </c>
      <c r="E184" t="s">
        <v>292</v>
      </c>
      <c r="F184" t="s">
        <v>867</v>
      </c>
      <c r="G184">
        <v>2</v>
      </c>
      <c r="H184" t="s">
        <v>310</v>
      </c>
      <c r="I184">
        <v>8</v>
      </c>
      <c r="J184" s="37">
        <v>234.78</v>
      </c>
      <c r="N184"/>
      <c r="O184"/>
    </row>
    <row r="185" spans="1:15" x14ac:dyDescent="0.35">
      <c r="A185" s="5">
        <v>183</v>
      </c>
      <c r="B185" s="5" t="str">
        <f t="shared" si="11"/>
        <v>GA8</v>
      </c>
      <c r="C185" t="s">
        <v>219</v>
      </c>
      <c r="D185" t="s">
        <v>281</v>
      </c>
      <c r="E185" t="s">
        <v>928</v>
      </c>
      <c r="F185" t="s">
        <v>854</v>
      </c>
      <c r="G185">
        <v>2</v>
      </c>
      <c r="H185" t="s">
        <v>310</v>
      </c>
      <c r="I185">
        <v>8</v>
      </c>
      <c r="J185" s="37">
        <v>237.21</v>
      </c>
      <c r="N185"/>
      <c r="O185"/>
    </row>
    <row r="186" spans="1:15" x14ac:dyDescent="0.35">
      <c r="A186" s="5">
        <v>184</v>
      </c>
      <c r="B186" s="5" t="str">
        <f t="shared" si="11"/>
        <v>GA8</v>
      </c>
      <c r="C186" t="s">
        <v>219</v>
      </c>
      <c r="D186" t="s">
        <v>951</v>
      </c>
      <c r="E186" t="s">
        <v>969</v>
      </c>
      <c r="F186" t="s">
        <v>970</v>
      </c>
      <c r="G186">
        <v>2</v>
      </c>
      <c r="H186" t="s">
        <v>310</v>
      </c>
      <c r="I186">
        <v>8</v>
      </c>
      <c r="J186" s="37">
        <v>238.36</v>
      </c>
      <c r="N186"/>
      <c r="O186"/>
    </row>
    <row r="187" spans="1:15" x14ac:dyDescent="0.35">
      <c r="A187" s="5">
        <v>185</v>
      </c>
      <c r="B187" s="5" t="str">
        <f t="shared" si="11"/>
        <v>GA8</v>
      </c>
      <c r="C187" t="s">
        <v>219</v>
      </c>
      <c r="D187" t="s">
        <v>951</v>
      </c>
      <c r="E187" t="s">
        <v>961</v>
      </c>
      <c r="F187" t="s">
        <v>962</v>
      </c>
      <c r="G187">
        <v>2</v>
      </c>
      <c r="H187" t="s">
        <v>310</v>
      </c>
      <c r="I187">
        <v>8</v>
      </c>
      <c r="J187" s="37">
        <v>240.33</v>
      </c>
      <c r="N187"/>
      <c r="O187"/>
    </row>
    <row r="188" spans="1:15" x14ac:dyDescent="0.35">
      <c r="A188" s="5">
        <v>186</v>
      </c>
      <c r="B188" s="5" t="str">
        <f t="shared" si="11"/>
        <v>GA8</v>
      </c>
      <c r="C188" t="s">
        <v>219</v>
      </c>
      <c r="D188" t="s">
        <v>281</v>
      </c>
      <c r="E188" t="s">
        <v>287</v>
      </c>
      <c r="F188" t="s">
        <v>870</v>
      </c>
      <c r="G188">
        <v>2</v>
      </c>
      <c r="H188" t="s">
        <v>310</v>
      </c>
      <c r="I188">
        <v>8</v>
      </c>
      <c r="J188" s="37">
        <v>242.55</v>
      </c>
      <c r="N188"/>
      <c r="O188"/>
    </row>
    <row r="189" spans="1:15" x14ac:dyDescent="0.35">
      <c r="A189" s="5">
        <v>187</v>
      </c>
      <c r="B189" s="5" t="str">
        <f t="shared" si="11"/>
        <v>GA8</v>
      </c>
      <c r="C189" t="s">
        <v>219</v>
      </c>
      <c r="D189" t="s">
        <v>281</v>
      </c>
      <c r="E189" t="s">
        <v>289</v>
      </c>
      <c r="F189" t="s">
        <v>864</v>
      </c>
      <c r="G189">
        <v>2</v>
      </c>
      <c r="H189" t="s">
        <v>310</v>
      </c>
      <c r="I189">
        <v>8</v>
      </c>
      <c r="J189" s="37">
        <v>243.76</v>
      </c>
      <c r="N189"/>
      <c r="O189"/>
    </row>
    <row r="190" spans="1:15" x14ac:dyDescent="0.35">
      <c r="A190" s="5">
        <v>188</v>
      </c>
      <c r="B190" s="5" t="str">
        <f t="shared" si="11"/>
        <v>GA8</v>
      </c>
      <c r="C190" t="s">
        <v>219</v>
      </c>
      <c r="D190" t="s">
        <v>951</v>
      </c>
      <c r="E190" t="s">
        <v>963</v>
      </c>
      <c r="F190" t="s">
        <v>964</v>
      </c>
      <c r="G190">
        <v>2</v>
      </c>
      <c r="H190" t="s">
        <v>310</v>
      </c>
      <c r="I190">
        <v>8</v>
      </c>
      <c r="J190" s="37">
        <v>253.76</v>
      </c>
      <c r="N190"/>
      <c r="O190"/>
    </row>
    <row r="191" spans="1:15" x14ac:dyDescent="0.35">
      <c r="A191" s="5">
        <v>189</v>
      </c>
      <c r="B191" s="5" t="str">
        <f t="shared" si="11"/>
        <v>GA8</v>
      </c>
      <c r="C191" t="s">
        <v>219</v>
      </c>
      <c r="D191" t="s">
        <v>951</v>
      </c>
      <c r="E191" t="s">
        <v>965</v>
      </c>
      <c r="F191" t="s">
        <v>966</v>
      </c>
      <c r="G191">
        <v>2</v>
      </c>
      <c r="H191" t="s">
        <v>310</v>
      </c>
      <c r="I191">
        <v>8</v>
      </c>
      <c r="J191" s="37">
        <v>255.87</v>
      </c>
      <c r="N191"/>
      <c r="O191"/>
    </row>
    <row r="192" spans="1:15" x14ac:dyDescent="0.35">
      <c r="A192" s="5">
        <v>190</v>
      </c>
      <c r="B192" s="5" t="str">
        <f t="shared" si="11"/>
        <v>GA8</v>
      </c>
      <c r="C192" t="s">
        <v>219</v>
      </c>
      <c r="D192" t="s">
        <v>260</v>
      </c>
      <c r="E192" t="s">
        <v>1115</v>
      </c>
      <c r="F192" t="s">
        <v>851</v>
      </c>
      <c r="G192">
        <v>2</v>
      </c>
      <c r="H192" t="s">
        <v>310</v>
      </c>
      <c r="I192">
        <v>8</v>
      </c>
      <c r="J192" s="37">
        <v>262.05</v>
      </c>
      <c r="N192"/>
      <c r="O192"/>
    </row>
    <row r="193" spans="1:15" x14ac:dyDescent="0.35">
      <c r="A193" s="5">
        <v>191</v>
      </c>
      <c r="B193" s="5" t="str">
        <f t="shared" si="11"/>
        <v>GA8</v>
      </c>
      <c r="C193" t="s">
        <v>219</v>
      </c>
      <c r="D193" t="s">
        <v>951</v>
      </c>
      <c r="E193" t="s">
        <v>967</v>
      </c>
      <c r="F193" t="s">
        <v>968</v>
      </c>
      <c r="G193">
        <v>2</v>
      </c>
      <c r="H193" t="s">
        <v>310</v>
      </c>
      <c r="I193">
        <v>8</v>
      </c>
      <c r="J193" s="37">
        <v>263.58</v>
      </c>
      <c r="N193"/>
      <c r="O193"/>
    </row>
    <row r="194" spans="1:15" x14ac:dyDescent="0.35">
      <c r="A194" s="5">
        <v>192</v>
      </c>
      <c r="B194" s="5" t="str">
        <f t="shared" si="11"/>
        <v>GA8</v>
      </c>
      <c r="C194" t="s">
        <v>219</v>
      </c>
      <c r="D194" t="s">
        <v>245</v>
      </c>
      <c r="E194" t="s">
        <v>300</v>
      </c>
      <c r="F194" t="s">
        <v>301</v>
      </c>
      <c r="G194">
        <v>2</v>
      </c>
      <c r="H194" t="s">
        <v>310</v>
      </c>
      <c r="I194">
        <v>8</v>
      </c>
      <c r="J194" s="37">
        <v>265</v>
      </c>
      <c r="N194"/>
      <c r="O194"/>
    </row>
    <row r="195" spans="1:15" x14ac:dyDescent="0.35">
      <c r="A195" s="5">
        <v>193</v>
      </c>
      <c r="B195" s="5" t="str">
        <f t="shared" ref="B195:B258" si="12">CONCATENATE(C195,I195)</f>
        <v>GA8</v>
      </c>
      <c r="C195" t="s">
        <v>219</v>
      </c>
      <c r="D195" t="s">
        <v>951</v>
      </c>
      <c r="E195" t="s">
        <v>973</v>
      </c>
      <c r="F195" t="s">
        <v>278</v>
      </c>
      <c r="G195">
        <v>2</v>
      </c>
      <c r="H195" t="s">
        <v>310</v>
      </c>
      <c r="I195">
        <v>8</v>
      </c>
      <c r="J195" s="37">
        <v>267.27999999999997</v>
      </c>
      <c r="N195"/>
      <c r="O195"/>
    </row>
    <row r="196" spans="1:15" x14ac:dyDescent="0.35">
      <c r="A196" s="5">
        <v>194</v>
      </c>
      <c r="B196" s="5" t="str">
        <f t="shared" si="12"/>
        <v>GA8</v>
      </c>
      <c r="C196" t="s">
        <v>219</v>
      </c>
      <c r="D196" t="s">
        <v>245</v>
      </c>
      <c r="E196" t="s">
        <v>302</v>
      </c>
      <c r="F196" t="s">
        <v>303</v>
      </c>
      <c r="G196">
        <v>2</v>
      </c>
      <c r="H196" t="s">
        <v>310</v>
      </c>
      <c r="I196">
        <v>8</v>
      </c>
      <c r="J196" s="37">
        <v>274</v>
      </c>
      <c r="N196"/>
      <c r="O196"/>
    </row>
    <row r="197" spans="1:15" x14ac:dyDescent="0.35">
      <c r="A197" s="5">
        <v>195</v>
      </c>
      <c r="B197" s="5" t="str">
        <f t="shared" si="12"/>
        <v>GA8</v>
      </c>
      <c r="C197" t="s">
        <v>219</v>
      </c>
      <c r="D197" t="s">
        <v>260</v>
      </c>
      <c r="E197" t="s">
        <v>1114</v>
      </c>
      <c r="F197" t="s">
        <v>850</v>
      </c>
      <c r="G197">
        <v>2</v>
      </c>
      <c r="H197" t="s">
        <v>310</v>
      </c>
      <c r="I197">
        <v>8</v>
      </c>
      <c r="J197" s="37">
        <v>276.45999999999998</v>
      </c>
      <c r="N197"/>
      <c r="O197"/>
    </row>
    <row r="198" spans="1:15" x14ac:dyDescent="0.35">
      <c r="A198" s="5">
        <v>196</v>
      </c>
      <c r="B198" s="5" t="str">
        <f t="shared" si="12"/>
        <v>GA8</v>
      </c>
      <c r="C198" t="s">
        <v>219</v>
      </c>
      <c r="D198" t="s">
        <v>260</v>
      </c>
      <c r="E198" t="s">
        <v>1113</v>
      </c>
      <c r="F198" t="s">
        <v>849</v>
      </c>
      <c r="G198">
        <v>2</v>
      </c>
      <c r="H198" t="s">
        <v>310</v>
      </c>
      <c r="I198">
        <v>8</v>
      </c>
      <c r="J198" s="37">
        <v>278.02999999999997</v>
      </c>
      <c r="N198"/>
      <c r="O198"/>
    </row>
    <row r="199" spans="1:15" x14ac:dyDescent="0.35">
      <c r="A199" s="5">
        <v>197</v>
      </c>
      <c r="B199" s="5" t="str">
        <f t="shared" si="12"/>
        <v>GA8</v>
      </c>
      <c r="C199" t="s">
        <v>219</v>
      </c>
      <c r="D199" t="s">
        <v>245</v>
      </c>
      <c r="E199" t="s">
        <v>298</v>
      </c>
      <c r="F199" t="s">
        <v>299</v>
      </c>
      <c r="G199">
        <v>2</v>
      </c>
      <c r="H199" t="s">
        <v>310</v>
      </c>
      <c r="I199">
        <v>8</v>
      </c>
      <c r="J199" s="37">
        <v>285</v>
      </c>
      <c r="N199"/>
      <c r="O199"/>
    </row>
    <row r="200" spans="1:15" x14ac:dyDescent="0.35">
      <c r="A200" s="5">
        <v>198</v>
      </c>
      <c r="B200" s="5" t="str">
        <f t="shared" si="12"/>
        <v>GA9</v>
      </c>
      <c r="C200" t="s">
        <v>219</v>
      </c>
      <c r="D200" t="s">
        <v>951</v>
      </c>
      <c r="E200" t="s">
        <v>969</v>
      </c>
      <c r="F200" t="s">
        <v>970</v>
      </c>
      <c r="G200">
        <v>2</v>
      </c>
      <c r="H200" t="s">
        <v>310</v>
      </c>
      <c r="I200">
        <v>9</v>
      </c>
      <c r="J200" s="37">
        <v>226.67</v>
      </c>
      <c r="N200"/>
      <c r="O200"/>
    </row>
    <row r="201" spans="1:15" x14ac:dyDescent="0.35">
      <c r="A201" s="5">
        <v>199</v>
      </c>
      <c r="B201" s="5" t="str">
        <f t="shared" si="12"/>
        <v>GA9</v>
      </c>
      <c r="C201" t="s">
        <v>219</v>
      </c>
      <c r="D201" t="s">
        <v>951</v>
      </c>
      <c r="E201" t="s">
        <v>961</v>
      </c>
      <c r="F201" t="s">
        <v>962</v>
      </c>
      <c r="G201">
        <v>2</v>
      </c>
      <c r="H201" t="s">
        <v>310</v>
      </c>
      <c r="I201">
        <v>9</v>
      </c>
      <c r="J201" s="37">
        <v>228.55</v>
      </c>
      <c r="N201"/>
      <c r="O201"/>
    </row>
    <row r="202" spans="1:15" x14ac:dyDescent="0.35">
      <c r="A202" s="5">
        <v>200</v>
      </c>
      <c r="B202" s="5" t="str">
        <f t="shared" si="12"/>
        <v>GA9</v>
      </c>
      <c r="C202" t="s">
        <v>219</v>
      </c>
      <c r="D202" t="s">
        <v>304</v>
      </c>
      <c r="E202" t="s">
        <v>307</v>
      </c>
      <c r="F202" t="s">
        <v>904</v>
      </c>
      <c r="G202">
        <v>1</v>
      </c>
      <c r="H202" t="s">
        <v>310</v>
      </c>
      <c r="I202">
        <v>9</v>
      </c>
      <c r="J202" s="37">
        <v>232.11</v>
      </c>
      <c r="N202"/>
      <c r="O202"/>
    </row>
    <row r="203" spans="1:15" x14ac:dyDescent="0.35">
      <c r="A203" s="5">
        <v>201</v>
      </c>
      <c r="B203" s="5" t="str">
        <f t="shared" si="12"/>
        <v>GA9</v>
      </c>
      <c r="C203" t="s">
        <v>219</v>
      </c>
      <c r="D203" t="s">
        <v>304</v>
      </c>
      <c r="E203" t="s">
        <v>916</v>
      </c>
      <c r="F203" t="s">
        <v>917</v>
      </c>
      <c r="G203">
        <v>1</v>
      </c>
      <c r="H203" t="s">
        <v>310</v>
      </c>
      <c r="I203">
        <v>9</v>
      </c>
      <c r="J203" s="37">
        <v>232.11</v>
      </c>
      <c r="N203"/>
      <c r="O203"/>
    </row>
    <row r="204" spans="1:15" x14ac:dyDescent="0.35">
      <c r="A204" s="5">
        <v>202</v>
      </c>
      <c r="B204" s="5" t="str">
        <f t="shared" si="12"/>
        <v>GA9</v>
      </c>
      <c r="C204" t="s">
        <v>219</v>
      </c>
      <c r="D204" t="s">
        <v>304</v>
      </c>
      <c r="E204" t="s">
        <v>902</v>
      </c>
      <c r="F204" t="s">
        <v>903</v>
      </c>
      <c r="G204">
        <v>1</v>
      </c>
      <c r="H204" t="s">
        <v>310</v>
      </c>
      <c r="I204">
        <v>9</v>
      </c>
      <c r="J204" s="37">
        <v>232.18</v>
      </c>
      <c r="N204"/>
      <c r="O204"/>
    </row>
    <row r="205" spans="1:15" x14ac:dyDescent="0.35">
      <c r="A205" s="5">
        <v>203</v>
      </c>
      <c r="B205" s="5" t="str">
        <f t="shared" si="12"/>
        <v>GA9</v>
      </c>
      <c r="C205" t="s">
        <v>219</v>
      </c>
      <c r="D205" t="s">
        <v>304</v>
      </c>
      <c r="E205" t="s">
        <v>305</v>
      </c>
      <c r="F205" t="s">
        <v>913</v>
      </c>
      <c r="G205">
        <v>1</v>
      </c>
      <c r="H205" t="s">
        <v>310</v>
      </c>
      <c r="I205">
        <v>9</v>
      </c>
      <c r="J205" s="37">
        <v>232.26</v>
      </c>
      <c r="N205"/>
      <c r="O205"/>
    </row>
    <row r="206" spans="1:15" x14ac:dyDescent="0.35">
      <c r="A206" s="5">
        <v>204</v>
      </c>
      <c r="B206" s="5" t="str">
        <f t="shared" si="12"/>
        <v>GA9</v>
      </c>
      <c r="C206" t="s">
        <v>219</v>
      </c>
      <c r="D206" t="s">
        <v>304</v>
      </c>
      <c r="E206" t="s">
        <v>911</v>
      </c>
      <c r="F206" t="s">
        <v>912</v>
      </c>
      <c r="G206">
        <v>1</v>
      </c>
      <c r="H206" t="s">
        <v>310</v>
      </c>
      <c r="I206">
        <v>9</v>
      </c>
      <c r="J206" s="37">
        <v>232.29</v>
      </c>
      <c r="N206"/>
      <c r="O206"/>
    </row>
    <row r="207" spans="1:15" x14ac:dyDescent="0.35">
      <c r="A207" s="5">
        <v>205</v>
      </c>
      <c r="B207" s="5" t="str">
        <f t="shared" si="12"/>
        <v>GA9</v>
      </c>
      <c r="C207" t="s">
        <v>219</v>
      </c>
      <c r="D207" t="s">
        <v>304</v>
      </c>
      <c r="E207" t="s">
        <v>914</v>
      </c>
      <c r="F207" t="s">
        <v>915</v>
      </c>
      <c r="G207">
        <v>1</v>
      </c>
      <c r="H207" t="s">
        <v>310</v>
      </c>
      <c r="I207">
        <v>9</v>
      </c>
      <c r="J207" s="37">
        <v>232.5</v>
      </c>
      <c r="N207"/>
      <c r="O207"/>
    </row>
    <row r="208" spans="1:15" x14ac:dyDescent="0.35">
      <c r="A208" s="5">
        <v>206</v>
      </c>
      <c r="B208" s="5" t="str">
        <f t="shared" si="12"/>
        <v>GA9</v>
      </c>
      <c r="C208" t="s">
        <v>219</v>
      </c>
      <c r="D208" t="s">
        <v>304</v>
      </c>
      <c r="E208" t="s">
        <v>909</v>
      </c>
      <c r="F208" t="s">
        <v>910</v>
      </c>
      <c r="G208">
        <v>1</v>
      </c>
      <c r="H208" t="s">
        <v>310</v>
      </c>
      <c r="I208">
        <v>9</v>
      </c>
      <c r="J208" s="37">
        <v>232.58</v>
      </c>
      <c r="N208"/>
      <c r="O208"/>
    </row>
    <row r="209" spans="1:15" x14ac:dyDescent="0.35">
      <c r="A209" s="5">
        <v>207</v>
      </c>
      <c r="B209" s="5" t="str">
        <f t="shared" si="12"/>
        <v>GA9</v>
      </c>
      <c r="C209" t="s">
        <v>219</v>
      </c>
      <c r="D209" t="s">
        <v>304</v>
      </c>
      <c r="E209" t="s">
        <v>900</v>
      </c>
      <c r="F209" t="s">
        <v>901</v>
      </c>
      <c r="G209">
        <v>1</v>
      </c>
      <c r="H209" t="s">
        <v>310</v>
      </c>
      <c r="I209">
        <v>9</v>
      </c>
      <c r="J209" s="37">
        <v>234.09</v>
      </c>
      <c r="N209"/>
      <c r="O209"/>
    </row>
    <row r="210" spans="1:15" x14ac:dyDescent="0.35">
      <c r="A210" s="5">
        <v>208</v>
      </c>
      <c r="B210" s="5" t="str">
        <f t="shared" si="12"/>
        <v>GA9</v>
      </c>
      <c r="C210" t="s">
        <v>219</v>
      </c>
      <c r="D210" t="s">
        <v>304</v>
      </c>
      <c r="E210" t="s">
        <v>898</v>
      </c>
      <c r="F210" t="s">
        <v>899</v>
      </c>
      <c r="G210">
        <v>1</v>
      </c>
      <c r="H210" t="s">
        <v>310</v>
      </c>
      <c r="I210">
        <v>9</v>
      </c>
      <c r="J210" s="37">
        <v>234.63</v>
      </c>
      <c r="N210"/>
      <c r="O210"/>
    </row>
    <row r="211" spans="1:15" x14ac:dyDescent="0.35">
      <c r="A211" s="5">
        <v>209</v>
      </c>
      <c r="B211" s="5" t="str">
        <f t="shared" si="12"/>
        <v>GA9</v>
      </c>
      <c r="C211" t="s">
        <v>219</v>
      </c>
      <c r="D211" t="s">
        <v>304</v>
      </c>
      <c r="E211" t="s">
        <v>907</v>
      </c>
      <c r="F211" t="s">
        <v>908</v>
      </c>
      <c r="G211">
        <v>1</v>
      </c>
      <c r="H211" t="s">
        <v>310</v>
      </c>
      <c r="I211">
        <v>9</v>
      </c>
      <c r="J211" s="37">
        <v>239.77</v>
      </c>
      <c r="N211"/>
      <c r="O211"/>
    </row>
    <row r="212" spans="1:15" x14ac:dyDescent="0.35">
      <c r="A212" s="5">
        <v>210</v>
      </c>
      <c r="B212" s="5" t="str">
        <f t="shared" si="12"/>
        <v>GA9</v>
      </c>
      <c r="C212" t="s">
        <v>219</v>
      </c>
      <c r="D212" t="s">
        <v>951</v>
      </c>
      <c r="E212" t="s">
        <v>963</v>
      </c>
      <c r="F212" t="s">
        <v>964</v>
      </c>
      <c r="G212">
        <v>2</v>
      </c>
      <c r="H212" t="s">
        <v>310</v>
      </c>
      <c r="I212">
        <v>9</v>
      </c>
      <c r="J212" s="37">
        <v>241.32</v>
      </c>
      <c r="N212"/>
      <c r="O212"/>
    </row>
    <row r="213" spans="1:15" x14ac:dyDescent="0.35">
      <c r="A213" s="5">
        <v>211</v>
      </c>
      <c r="B213" s="5" t="str">
        <f t="shared" si="12"/>
        <v>GA9</v>
      </c>
      <c r="C213" t="s">
        <v>219</v>
      </c>
      <c r="D213" t="s">
        <v>951</v>
      </c>
      <c r="E213" t="s">
        <v>965</v>
      </c>
      <c r="F213" t="s">
        <v>966</v>
      </c>
      <c r="G213">
        <v>2</v>
      </c>
      <c r="H213" t="s">
        <v>310</v>
      </c>
      <c r="I213">
        <v>9</v>
      </c>
      <c r="J213" s="37">
        <v>243.34</v>
      </c>
      <c r="N213"/>
      <c r="O213"/>
    </row>
    <row r="214" spans="1:15" x14ac:dyDescent="0.35">
      <c r="A214" s="5">
        <v>212</v>
      </c>
      <c r="B214" s="5" t="str">
        <f t="shared" si="12"/>
        <v>GA9</v>
      </c>
      <c r="C214" t="s">
        <v>219</v>
      </c>
      <c r="D214" t="s">
        <v>304</v>
      </c>
      <c r="E214" t="s">
        <v>905</v>
      </c>
      <c r="F214" t="s">
        <v>906</v>
      </c>
      <c r="G214">
        <v>1</v>
      </c>
      <c r="H214" t="s">
        <v>310</v>
      </c>
      <c r="I214">
        <v>9</v>
      </c>
      <c r="J214" s="37">
        <v>244.8</v>
      </c>
      <c r="N214"/>
      <c r="O214"/>
    </row>
    <row r="215" spans="1:15" x14ac:dyDescent="0.35">
      <c r="A215" s="5">
        <v>213</v>
      </c>
      <c r="B215" s="5" t="str">
        <f t="shared" si="12"/>
        <v>GA9</v>
      </c>
      <c r="C215" t="s">
        <v>219</v>
      </c>
      <c r="D215" t="s">
        <v>951</v>
      </c>
      <c r="E215" t="s">
        <v>967</v>
      </c>
      <c r="F215" t="s">
        <v>968</v>
      </c>
      <c r="G215">
        <v>2</v>
      </c>
      <c r="H215" t="s">
        <v>310</v>
      </c>
      <c r="I215">
        <v>9</v>
      </c>
      <c r="J215" s="37">
        <v>250.67</v>
      </c>
      <c r="N215"/>
      <c r="O215"/>
    </row>
    <row r="216" spans="1:15" x14ac:dyDescent="0.35">
      <c r="A216" s="5">
        <v>214</v>
      </c>
      <c r="B216" s="5" t="str">
        <f t="shared" si="12"/>
        <v>GA9</v>
      </c>
      <c r="C216" t="s">
        <v>219</v>
      </c>
      <c r="D216" t="s">
        <v>951</v>
      </c>
      <c r="E216" t="s">
        <v>973</v>
      </c>
      <c r="F216" t="s">
        <v>278</v>
      </c>
      <c r="G216">
        <v>2</v>
      </c>
      <c r="H216" t="s">
        <v>310</v>
      </c>
      <c r="I216">
        <v>9</v>
      </c>
      <c r="J216" s="37">
        <v>254.19</v>
      </c>
      <c r="N216"/>
      <c r="O216"/>
    </row>
    <row r="217" spans="1:15" x14ac:dyDescent="0.35">
      <c r="A217" s="5">
        <v>215</v>
      </c>
      <c r="B217" s="5" t="str">
        <f t="shared" si="12"/>
        <v>GA9</v>
      </c>
      <c r="C217" t="s">
        <v>219</v>
      </c>
      <c r="D217" t="s">
        <v>260</v>
      </c>
      <c r="E217" t="s">
        <v>1115</v>
      </c>
      <c r="F217" t="s">
        <v>851</v>
      </c>
      <c r="G217">
        <v>2</v>
      </c>
      <c r="H217" t="s">
        <v>310</v>
      </c>
      <c r="I217">
        <v>9</v>
      </c>
      <c r="J217" s="37">
        <v>288.14</v>
      </c>
      <c r="N217"/>
      <c r="O217"/>
    </row>
    <row r="218" spans="1:15" x14ac:dyDescent="0.35">
      <c r="A218" s="5">
        <v>216</v>
      </c>
      <c r="B218" s="5" t="str">
        <f t="shared" si="12"/>
        <v>GA9</v>
      </c>
      <c r="C218" t="s">
        <v>219</v>
      </c>
      <c r="D218" t="s">
        <v>260</v>
      </c>
      <c r="E218" t="s">
        <v>1114</v>
      </c>
      <c r="F218" t="s">
        <v>850</v>
      </c>
      <c r="G218">
        <v>2</v>
      </c>
      <c r="H218" t="s">
        <v>310</v>
      </c>
      <c r="I218">
        <v>9</v>
      </c>
      <c r="J218" s="37">
        <v>303.98</v>
      </c>
      <c r="N218"/>
      <c r="O218"/>
    </row>
    <row r="219" spans="1:15" x14ac:dyDescent="0.35">
      <c r="A219" s="5">
        <v>217</v>
      </c>
      <c r="B219" s="5" t="str">
        <f t="shared" si="12"/>
        <v>GA9</v>
      </c>
      <c r="C219" t="s">
        <v>219</v>
      </c>
      <c r="D219" t="s">
        <v>260</v>
      </c>
      <c r="E219" t="s">
        <v>1113</v>
      </c>
      <c r="F219" t="s">
        <v>849</v>
      </c>
      <c r="G219">
        <v>2</v>
      </c>
      <c r="H219" t="s">
        <v>310</v>
      </c>
      <c r="I219">
        <v>9</v>
      </c>
      <c r="J219" s="37">
        <v>305.70999999999998</v>
      </c>
      <c r="N219"/>
      <c r="O219"/>
    </row>
    <row r="220" spans="1:15" x14ac:dyDescent="0.35">
      <c r="A220" s="5">
        <v>218</v>
      </c>
      <c r="B220" s="5" t="str">
        <f t="shared" si="12"/>
        <v>GA10</v>
      </c>
      <c r="C220" t="s">
        <v>219</v>
      </c>
      <c r="D220" t="s">
        <v>844</v>
      </c>
      <c r="E220" t="s">
        <v>308</v>
      </c>
      <c r="F220" t="s">
        <v>1089</v>
      </c>
      <c r="G220">
        <v>2</v>
      </c>
      <c r="H220" t="s">
        <v>310</v>
      </c>
      <c r="I220">
        <v>10</v>
      </c>
      <c r="J220" s="37">
        <v>212.29</v>
      </c>
      <c r="N220"/>
      <c r="O220"/>
    </row>
    <row r="221" spans="1:15" x14ac:dyDescent="0.35">
      <c r="A221" s="5">
        <v>219</v>
      </c>
      <c r="B221" s="5" t="str">
        <f t="shared" si="12"/>
        <v>GA10</v>
      </c>
      <c r="C221" t="s">
        <v>219</v>
      </c>
      <c r="D221" t="s">
        <v>984</v>
      </c>
      <c r="E221" t="s">
        <v>1034</v>
      </c>
      <c r="F221" t="s">
        <v>1035</v>
      </c>
      <c r="G221">
        <v>2</v>
      </c>
      <c r="H221" t="s">
        <v>310</v>
      </c>
      <c r="I221">
        <v>10</v>
      </c>
      <c r="J221" s="37">
        <v>217.73</v>
      </c>
      <c r="N221"/>
      <c r="O221"/>
    </row>
    <row r="222" spans="1:15" x14ac:dyDescent="0.35">
      <c r="A222" s="5">
        <v>220</v>
      </c>
      <c r="B222" s="5" t="str">
        <f t="shared" si="12"/>
        <v>GA10</v>
      </c>
      <c r="C222" t="s">
        <v>219</v>
      </c>
      <c r="D222" t="s">
        <v>951</v>
      </c>
      <c r="E222" t="s">
        <v>969</v>
      </c>
      <c r="F222" t="s">
        <v>970</v>
      </c>
      <c r="G222">
        <v>2</v>
      </c>
      <c r="H222" t="s">
        <v>310</v>
      </c>
      <c r="I222">
        <v>10</v>
      </c>
      <c r="J222" s="37">
        <v>220.71</v>
      </c>
      <c r="N222"/>
      <c r="O222"/>
    </row>
    <row r="223" spans="1:15" x14ac:dyDescent="0.35">
      <c r="A223" s="5">
        <v>221</v>
      </c>
      <c r="B223" s="5" t="str">
        <f t="shared" si="12"/>
        <v>GA10</v>
      </c>
      <c r="C223" t="s">
        <v>219</v>
      </c>
      <c r="D223" t="s">
        <v>844</v>
      </c>
      <c r="E223" t="s">
        <v>295</v>
      </c>
      <c r="F223" t="s">
        <v>1088</v>
      </c>
      <c r="G223">
        <v>3</v>
      </c>
      <c r="H223" t="s">
        <v>310</v>
      </c>
      <c r="I223">
        <v>10</v>
      </c>
      <c r="J223" s="37">
        <v>222.23</v>
      </c>
      <c r="N223"/>
      <c r="O223"/>
    </row>
    <row r="224" spans="1:15" x14ac:dyDescent="0.35">
      <c r="A224" s="5">
        <v>222</v>
      </c>
      <c r="B224" s="5" t="str">
        <f t="shared" si="12"/>
        <v>GA10</v>
      </c>
      <c r="C224" t="s">
        <v>219</v>
      </c>
      <c r="D224" t="s">
        <v>951</v>
      </c>
      <c r="E224" t="s">
        <v>961</v>
      </c>
      <c r="F224" t="s">
        <v>962</v>
      </c>
      <c r="G224">
        <v>2</v>
      </c>
      <c r="H224" t="s">
        <v>310</v>
      </c>
      <c r="I224">
        <v>10</v>
      </c>
      <c r="J224" s="37">
        <v>222.53</v>
      </c>
      <c r="N224"/>
      <c r="O224"/>
    </row>
    <row r="225" spans="1:15" x14ac:dyDescent="0.35">
      <c r="A225" s="5">
        <v>223</v>
      </c>
      <c r="B225" s="5" t="str">
        <f t="shared" si="12"/>
        <v>GA10</v>
      </c>
      <c r="C225" t="s">
        <v>219</v>
      </c>
      <c r="D225" t="s">
        <v>984</v>
      </c>
      <c r="E225" t="s">
        <v>1050</v>
      </c>
      <c r="F225" t="s">
        <v>1051</v>
      </c>
      <c r="G225">
        <v>2</v>
      </c>
      <c r="H225" t="s">
        <v>310</v>
      </c>
      <c r="I225">
        <v>10</v>
      </c>
      <c r="J225" s="37">
        <v>224.57</v>
      </c>
      <c r="N225"/>
      <c r="O225"/>
    </row>
    <row r="226" spans="1:15" x14ac:dyDescent="0.35">
      <c r="A226" s="5">
        <v>224</v>
      </c>
      <c r="B226" s="5" t="str">
        <f t="shared" si="12"/>
        <v>GA10</v>
      </c>
      <c r="C226" t="s">
        <v>219</v>
      </c>
      <c r="D226" t="s">
        <v>984</v>
      </c>
      <c r="E226" t="s">
        <v>1038</v>
      </c>
      <c r="F226" t="s">
        <v>1039</v>
      </c>
      <c r="G226">
        <v>2</v>
      </c>
      <c r="H226" t="s">
        <v>310</v>
      </c>
      <c r="I226">
        <v>10</v>
      </c>
      <c r="J226" s="37">
        <v>233.13</v>
      </c>
      <c r="N226"/>
      <c r="O226"/>
    </row>
    <row r="227" spans="1:15" x14ac:dyDescent="0.35">
      <c r="A227" s="5">
        <v>225</v>
      </c>
      <c r="B227" s="5" t="str">
        <f t="shared" si="12"/>
        <v>GA10</v>
      </c>
      <c r="C227" t="s">
        <v>219</v>
      </c>
      <c r="D227" t="s">
        <v>951</v>
      </c>
      <c r="E227" t="s">
        <v>963</v>
      </c>
      <c r="F227" t="s">
        <v>964</v>
      </c>
      <c r="G227">
        <v>2</v>
      </c>
      <c r="H227" t="s">
        <v>310</v>
      </c>
      <c r="I227">
        <v>10</v>
      </c>
      <c r="J227" s="37">
        <v>234.97</v>
      </c>
      <c r="N227"/>
      <c r="O227"/>
    </row>
    <row r="228" spans="1:15" x14ac:dyDescent="0.35">
      <c r="A228" s="5">
        <v>226</v>
      </c>
      <c r="B228" s="5" t="str">
        <f t="shared" si="12"/>
        <v>GA10</v>
      </c>
      <c r="C228" t="s">
        <v>219</v>
      </c>
      <c r="D228" t="s">
        <v>951</v>
      </c>
      <c r="E228" t="s">
        <v>965</v>
      </c>
      <c r="F228" t="s">
        <v>966</v>
      </c>
      <c r="G228">
        <v>2</v>
      </c>
      <c r="H228" t="s">
        <v>310</v>
      </c>
      <c r="I228">
        <v>10</v>
      </c>
      <c r="J228" s="37">
        <v>236.93</v>
      </c>
      <c r="N228"/>
      <c r="O228"/>
    </row>
    <row r="229" spans="1:15" x14ac:dyDescent="0.35">
      <c r="A229" s="5">
        <v>227</v>
      </c>
      <c r="B229" s="5" t="str">
        <f t="shared" si="12"/>
        <v>GA10</v>
      </c>
      <c r="C229" t="s">
        <v>219</v>
      </c>
      <c r="D229" t="s">
        <v>984</v>
      </c>
      <c r="E229" t="s">
        <v>1054</v>
      </c>
      <c r="F229" t="s">
        <v>1055</v>
      </c>
      <c r="G229">
        <v>2</v>
      </c>
      <c r="H229" t="s">
        <v>310</v>
      </c>
      <c r="I229">
        <v>10</v>
      </c>
      <c r="J229" s="37">
        <v>240.47</v>
      </c>
      <c r="N229"/>
      <c r="O229"/>
    </row>
    <row r="230" spans="1:15" x14ac:dyDescent="0.35">
      <c r="A230" s="5">
        <v>228</v>
      </c>
      <c r="B230" s="5" t="str">
        <f t="shared" si="12"/>
        <v>GA10</v>
      </c>
      <c r="C230" t="s">
        <v>219</v>
      </c>
      <c r="D230" t="s">
        <v>304</v>
      </c>
      <c r="E230" t="s">
        <v>307</v>
      </c>
      <c r="F230" t="s">
        <v>904</v>
      </c>
      <c r="G230">
        <v>1</v>
      </c>
      <c r="H230" t="s">
        <v>310</v>
      </c>
      <c r="I230">
        <v>10</v>
      </c>
      <c r="J230" s="37">
        <v>241.89</v>
      </c>
      <c r="N230"/>
      <c r="O230"/>
    </row>
    <row r="231" spans="1:15" x14ac:dyDescent="0.35">
      <c r="A231" s="5">
        <v>229</v>
      </c>
      <c r="B231" s="5" t="str">
        <f t="shared" si="12"/>
        <v>GA10</v>
      </c>
      <c r="C231" t="s">
        <v>219</v>
      </c>
      <c r="D231" t="s">
        <v>304</v>
      </c>
      <c r="E231" t="s">
        <v>916</v>
      </c>
      <c r="F231" t="s">
        <v>917</v>
      </c>
      <c r="G231">
        <v>1</v>
      </c>
      <c r="H231" t="s">
        <v>310</v>
      </c>
      <c r="I231">
        <v>10</v>
      </c>
      <c r="J231" s="37">
        <v>241.89</v>
      </c>
      <c r="N231"/>
      <c r="O231"/>
    </row>
    <row r="232" spans="1:15" x14ac:dyDescent="0.35">
      <c r="A232" s="5">
        <v>230</v>
      </c>
      <c r="B232" s="5" t="str">
        <f t="shared" si="12"/>
        <v>GA10</v>
      </c>
      <c r="C232" t="s">
        <v>219</v>
      </c>
      <c r="D232" t="s">
        <v>304</v>
      </c>
      <c r="E232" t="s">
        <v>902</v>
      </c>
      <c r="F232" t="s">
        <v>903</v>
      </c>
      <c r="G232">
        <v>1</v>
      </c>
      <c r="H232" t="s">
        <v>310</v>
      </c>
      <c r="I232">
        <v>10</v>
      </c>
      <c r="J232" s="37">
        <v>241.96</v>
      </c>
      <c r="N232"/>
      <c r="O232"/>
    </row>
    <row r="233" spans="1:15" x14ac:dyDescent="0.35">
      <c r="A233" s="5">
        <v>231</v>
      </c>
      <c r="B233" s="5" t="str">
        <f t="shared" si="12"/>
        <v>GA10</v>
      </c>
      <c r="C233" t="s">
        <v>219</v>
      </c>
      <c r="D233" t="s">
        <v>304</v>
      </c>
      <c r="E233" t="s">
        <v>305</v>
      </c>
      <c r="F233" t="s">
        <v>913</v>
      </c>
      <c r="G233">
        <v>1</v>
      </c>
      <c r="H233" t="s">
        <v>310</v>
      </c>
      <c r="I233">
        <v>10</v>
      </c>
      <c r="J233" s="37">
        <v>242.04</v>
      </c>
      <c r="N233"/>
      <c r="O233"/>
    </row>
    <row r="234" spans="1:15" x14ac:dyDescent="0.35">
      <c r="A234" s="5">
        <v>232</v>
      </c>
      <c r="B234" s="5" t="str">
        <f t="shared" si="12"/>
        <v>GA10</v>
      </c>
      <c r="C234" t="s">
        <v>219</v>
      </c>
      <c r="D234" t="s">
        <v>304</v>
      </c>
      <c r="E234" t="s">
        <v>911</v>
      </c>
      <c r="F234" t="s">
        <v>912</v>
      </c>
      <c r="G234">
        <v>1</v>
      </c>
      <c r="H234" t="s">
        <v>310</v>
      </c>
      <c r="I234">
        <v>10</v>
      </c>
      <c r="J234" s="37">
        <v>242.07</v>
      </c>
      <c r="N234"/>
      <c r="O234"/>
    </row>
    <row r="235" spans="1:15" x14ac:dyDescent="0.35">
      <c r="A235" s="5">
        <v>233</v>
      </c>
      <c r="B235" s="5" t="str">
        <f t="shared" si="12"/>
        <v>GA10</v>
      </c>
      <c r="C235" t="s">
        <v>219</v>
      </c>
      <c r="D235" t="s">
        <v>304</v>
      </c>
      <c r="E235" t="s">
        <v>914</v>
      </c>
      <c r="F235" t="s">
        <v>915</v>
      </c>
      <c r="G235">
        <v>1</v>
      </c>
      <c r="H235" t="s">
        <v>310</v>
      </c>
      <c r="I235">
        <v>10</v>
      </c>
      <c r="J235" s="37">
        <v>242.29</v>
      </c>
      <c r="N235"/>
      <c r="O235"/>
    </row>
    <row r="236" spans="1:15" x14ac:dyDescent="0.35">
      <c r="A236" s="5">
        <v>234</v>
      </c>
      <c r="B236" s="5" t="str">
        <f t="shared" si="12"/>
        <v>GA10</v>
      </c>
      <c r="C236" t="s">
        <v>219</v>
      </c>
      <c r="D236" t="s">
        <v>304</v>
      </c>
      <c r="E236" t="s">
        <v>909</v>
      </c>
      <c r="F236" t="s">
        <v>910</v>
      </c>
      <c r="G236">
        <v>1</v>
      </c>
      <c r="H236" t="s">
        <v>310</v>
      </c>
      <c r="I236">
        <v>10</v>
      </c>
      <c r="J236" s="37">
        <v>242.37</v>
      </c>
      <c r="N236"/>
      <c r="O236"/>
    </row>
    <row r="237" spans="1:15" x14ac:dyDescent="0.35">
      <c r="A237" s="5">
        <v>235</v>
      </c>
      <c r="B237" s="5" t="str">
        <f t="shared" si="12"/>
        <v>GA10</v>
      </c>
      <c r="C237" t="s">
        <v>219</v>
      </c>
      <c r="D237" t="s">
        <v>304</v>
      </c>
      <c r="E237" t="s">
        <v>900</v>
      </c>
      <c r="F237" t="s">
        <v>901</v>
      </c>
      <c r="G237">
        <v>1</v>
      </c>
      <c r="H237" t="s">
        <v>310</v>
      </c>
      <c r="I237">
        <v>10</v>
      </c>
      <c r="J237" s="37">
        <v>243.94</v>
      </c>
      <c r="N237"/>
      <c r="O237"/>
    </row>
    <row r="238" spans="1:15" x14ac:dyDescent="0.35">
      <c r="A238" s="5">
        <v>236</v>
      </c>
      <c r="B238" s="5" t="str">
        <f t="shared" si="12"/>
        <v>GA10</v>
      </c>
      <c r="C238" t="s">
        <v>219</v>
      </c>
      <c r="D238" t="s">
        <v>951</v>
      </c>
      <c r="E238" t="s">
        <v>967</v>
      </c>
      <c r="F238" t="s">
        <v>968</v>
      </c>
      <c r="G238">
        <v>2</v>
      </c>
      <c r="H238" t="s">
        <v>310</v>
      </c>
      <c r="I238">
        <v>10</v>
      </c>
      <c r="J238" s="37">
        <v>244.08</v>
      </c>
      <c r="N238"/>
      <c r="O238"/>
    </row>
    <row r="239" spans="1:15" x14ac:dyDescent="0.35">
      <c r="A239" s="5">
        <v>237</v>
      </c>
      <c r="B239" s="5" t="str">
        <f t="shared" si="12"/>
        <v>GA10</v>
      </c>
      <c r="C239" t="s">
        <v>219</v>
      </c>
      <c r="D239" t="s">
        <v>304</v>
      </c>
      <c r="E239" t="s">
        <v>898</v>
      </c>
      <c r="F239" t="s">
        <v>899</v>
      </c>
      <c r="G239">
        <v>1</v>
      </c>
      <c r="H239" t="s">
        <v>310</v>
      </c>
      <c r="I239">
        <v>10</v>
      </c>
      <c r="J239" s="37">
        <v>244.51</v>
      </c>
      <c r="N239"/>
      <c r="O239"/>
    </row>
    <row r="240" spans="1:15" x14ac:dyDescent="0.35">
      <c r="A240" s="5">
        <v>238</v>
      </c>
      <c r="B240" s="5" t="str">
        <f t="shared" si="12"/>
        <v>GA10</v>
      </c>
      <c r="C240" t="s">
        <v>219</v>
      </c>
      <c r="D240" t="s">
        <v>951</v>
      </c>
      <c r="E240" t="s">
        <v>973</v>
      </c>
      <c r="F240" t="s">
        <v>278</v>
      </c>
      <c r="G240">
        <v>2</v>
      </c>
      <c r="H240" t="s">
        <v>310</v>
      </c>
      <c r="I240">
        <v>10</v>
      </c>
      <c r="J240" s="37">
        <v>247.51</v>
      </c>
      <c r="N240"/>
      <c r="O240"/>
    </row>
    <row r="241" spans="1:15" x14ac:dyDescent="0.35">
      <c r="A241" s="5">
        <v>239</v>
      </c>
      <c r="B241" s="5" t="str">
        <f t="shared" si="12"/>
        <v>GA10</v>
      </c>
      <c r="C241" t="s">
        <v>219</v>
      </c>
      <c r="D241" t="s">
        <v>304</v>
      </c>
      <c r="E241" t="s">
        <v>907</v>
      </c>
      <c r="F241" t="s">
        <v>908</v>
      </c>
      <c r="G241">
        <v>1</v>
      </c>
      <c r="H241" t="s">
        <v>310</v>
      </c>
      <c r="I241">
        <v>10</v>
      </c>
      <c r="J241" s="37">
        <v>249.86</v>
      </c>
      <c r="N241"/>
      <c r="O241"/>
    </row>
    <row r="242" spans="1:15" x14ac:dyDescent="0.35">
      <c r="A242" s="5">
        <v>240</v>
      </c>
      <c r="B242" s="5" t="str">
        <f t="shared" si="12"/>
        <v>GA10</v>
      </c>
      <c r="C242" t="s">
        <v>219</v>
      </c>
      <c r="D242" t="s">
        <v>304</v>
      </c>
      <c r="E242" t="s">
        <v>905</v>
      </c>
      <c r="F242" t="s">
        <v>906</v>
      </c>
      <c r="G242">
        <v>1</v>
      </c>
      <c r="H242" t="s">
        <v>310</v>
      </c>
      <c r="I242">
        <v>10</v>
      </c>
      <c r="J242" s="37">
        <v>255.11</v>
      </c>
      <c r="N242"/>
      <c r="O242"/>
    </row>
    <row r="243" spans="1:15" x14ac:dyDescent="0.35">
      <c r="A243" s="5">
        <v>241</v>
      </c>
      <c r="B243" s="5" t="str">
        <f t="shared" si="12"/>
        <v>GA10</v>
      </c>
      <c r="C243" t="s">
        <v>219</v>
      </c>
      <c r="D243" t="s">
        <v>245</v>
      </c>
      <c r="E243" t="s">
        <v>300</v>
      </c>
      <c r="F243" t="s">
        <v>301</v>
      </c>
      <c r="G243">
        <v>2</v>
      </c>
      <c r="H243" t="s">
        <v>310</v>
      </c>
      <c r="I243">
        <v>10</v>
      </c>
      <c r="J243" s="37">
        <v>265</v>
      </c>
      <c r="N243"/>
      <c r="O243"/>
    </row>
    <row r="244" spans="1:15" x14ac:dyDescent="0.35">
      <c r="A244" s="5">
        <v>242</v>
      </c>
      <c r="B244" s="5" t="str">
        <f t="shared" si="12"/>
        <v>GA10</v>
      </c>
      <c r="C244" t="s">
        <v>219</v>
      </c>
      <c r="D244" t="s">
        <v>245</v>
      </c>
      <c r="E244" t="s">
        <v>302</v>
      </c>
      <c r="F244" t="s">
        <v>303</v>
      </c>
      <c r="G244">
        <v>2</v>
      </c>
      <c r="H244" t="s">
        <v>310</v>
      </c>
      <c r="I244">
        <v>10</v>
      </c>
      <c r="J244" s="37">
        <v>274</v>
      </c>
      <c r="N244"/>
      <c r="O244"/>
    </row>
    <row r="245" spans="1:15" x14ac:dyDescent="0.35">
      <c r="A245" s="5">
        <v>243</v>
      </c>
      <c r="B245" s="5" t="str">
        <f t="shared" si="12"/>
        <v>GA10</v>
      </c>
      <c r="C245" t="s">
        <v>219</v>
      </c>
      <c r="D245" t="s">
        <v>260</v>
      </c>
      <c r="E245" t="s">
        <v>1115</v>
      </c>
      <c r="F245" t="s">
        <v>851</v>
      </c>
      <c r="G245">
        <v>2</v>
      </c>
      <c r="H245" t="s">
        <v>310</v>
      </c>
      <c r="I245">
        <v>10</v>
      </c>
      <c r="J245" s="37">
        <v>278.83999999999997</v>
      </c>
      <c r="N245"/>
      <c r="O245"/>
    </row>
    <row r="246" spans="1:15" x14ac:dyDescent="0.35">
      <c r="A246" s="5">
        <v>244</v>
      </c>
      <c r="B246" s="5" t="str">
        <f t="shared" si="12"/>
        <v>GA10</v>
      </c>
      <c r="C246" t="s">
        <v>219</v>
      </c>
      <c r="D246" t="s">
        <v>245</v>
      </c>
      <c r="E246" t="s">
        <v>298</v>
      </c>
      <c r="F246" t="s">
        <v>299</v>
      </c>
      <c r="G246">
        <v>2</v>
      </c>
      <c r="H246" t="s">
        <v>310</v>
      </c>
      <c r="I246">
        <v>10</v>
      </c>
      <c r="J246" s="37">
        <v>285</v>
      </c>
      <c r="N246"/>
      <c r="O246"/>
    </row>
    <row r="247" spans="1:15" x14ac:dyDescent="0.35">
      <c r="A247" s="5">
        <v>245</v>
      </c>
      <c r="B247" s="5" t="str">
        <f t="shared" si="12"/>
        <v>GA10</v>
      </c>
      <c r="C247" t="s">
        <v>219</v>
      </c>
      <c r="D247" t="s">
        <v>260</v>
      </c>
      <c r="E247" t="s">
        <v>1114</v>
      </c>
      <c r="F247" t="s">
        <v>850</v>
      </c>
      <c r="G247">
        <v>2</v>
      </c>
      <c r="H247" t="s">
        <v>310</v>
      </c>
      <c r="I247">
        <v>10</v>
      </c>
      <c r="J247" s="37">
        <v>294.18</v>
      </c>
      <c r="N247"/>
      <c r="O247"/>
    </row>
    <row r="248" spans="1:15" x14ac:dyDescent="0.35">
      <c r="A248" s="5">
        <v>246</v>
      </c>
      <c r="B248" s="5" t="str">
        <f t="shared" si="12"/>
        <v>GA10</v>
      </c>
      <c r="C248" t="s">
        <v>219</v>
      </c>
      <c r="D248" t="s">
        <v>260</v>
      </c>
      <c r="E248" t="s">
        <v>1113</v>
      </c>
      <c r="F248" t="s">
        <v>849</v>
      </c>
      <c r="G248">
        <v>2</v>
      </c>
      <c r="H248" t="s">
        <v>310</v>
      </c>
      <c r="I248">
        <v>10</v>
      </c>
      <c r="J248" s="37">
        <v>295.85000000000002</v>
      </c>
      <c r="N248"/>
      <c r="O248"/>
    </row>
    <row r="249" spans="1:15" x14ac:dyDescent="0.35">
      <c r="A249" s="5">
        <v>247</v>
      </c>
      <c r="B249" s="5" t="str">
        <f t="shared" si="12"/>
        <v>GA11</v>
      </c>
      <c r="C249" t="s">
        <v>219</v>
      </c>
      <c r="D249" t="s">
        <v>984</v>
      </c>
      <c r="E249" t="s">
        <v>1044</v>
      </c>
      <c r="F249" t="s">
        <v>1045</v>
      </c>
      <c r="G249">
        <v>2</v>
      </c>
      <c r="H249" t="s">
        <v>310</v>
      </c>
      <c r="I249">
        <v>11</v>
      </c>
      <c r="J249" s="37">
        <v>237.69</v>
      </c>
      <c r="N249"/>
      <c r="O249"/>
    </row>
    <row r="250" spans="1:15" x14ac:dyDescent="0.35">
      <c r="A250" s="5">
        <v>248</v>
      </c>
      <c r="B250" s="5" t="str">
        <f t="shared" si="12"/>
        <v>GA11</v>
      </c>
      <c r="C250" t="s">
        <v>219</v>
      </c>
      <c r="D250" t="s">
        <v>844</v>
      </c>
      <c r="E250" t="s">
        <v>295</v>
      </c>
      <c r="F250" t="s">
        <v>1088</v>
      </c>
      <c r="G250">
        <v>3</v>
      </c>
      <c r="H250" t="s">
        <v>310</v>
      </c>
      <c r="I250">
        <v>11</v>
      </c>
      <c r="J250" s="37">
        <v>244.43</v>
      </c>
      <c r="N250"/>
      <c r="O250"/>
    </row>
    <row r="251" spans="1:15" x14ac:dyDescent="0.35">
      <c r="A251" s="5">
        <v>249</v>
      </c>
      <c r="B251" s="5" t="str">
        <f t="shared" si="12"/>
        <v>GA11</v>
      </c>
      <c r="C251" t="s">
        <v>219</v>
      </c>
      <c r="D251" t="s">
        <v>984</v>
      </c>
      <c r="E251" t="s">
        <v>1060</v>
      </c>
      <c r="F251" t="s">
        <v>1061</v>
      </c>
      <c r="G251">
        <v>2</v>
      </c>
      <c r="H251" t="s">
        <v>310</v>
      </c>
      <c r="I251">
        <v>11</v>
      </c>
      <c r="J251" s="37">
        <v>245.16</v>
      </c>
      <c r="N251"/>
      <c r="O251"/>
    </row>
    <row r="252" spans="1:15" x14ac:dyDescent="0.35">
      <c r="A252" s="5">
        <v>250</v>
      </c>
      <c r="B252" s="5" t="str">
        <f t="shared" si="12"/>
        <v>GA11</v>
      </c>
      <c r="C252" t="s">
        <v>219</v>
      </c>
      <c r="D252" t="s">
        <v>951</v>
      </c>
      <c r="E252" t="s">
        <v>969</v>
      </c>
      <c r="F252" t="s">
        <v>970</v>
      </c>
      <c r="G252">
        <v>2</v>
      </c>
      <c r="H252" t="s">
        <v>310</v>
      </c>
      <c r="I252">
        <v>11</v>
      </c>
      <c r="J252" s="37">
        <v>266.83</v>
      </c>
      <c r="N252"/>
      <c r="O252"/>
    </row>
    <row r="253" spans="1:15" x14ac:dyDescent="0.35">
      <c r="A253" s="5">
        <v>251</v>
      </c>
      <c r="B253" s="5" t="str">
        <f t="shared" si="12"/>
        <v>GA11</v>
      </c>
      <c r="C253" t="s">
        <v>219</v>
      </c>
      <c r="D253" t="s">
        <v>951</v>
      </c>
      <c r="E253" t="s">
        <v>961</v>
      </c>
      <c r="F253" t="s">
        <v>962</v>
      </c>
      <c r="G253">
        <v>2</v>
      </c>
      <c r="H253" t="s">
        <v>310</v>
      </c>
      <c r="I253">
        <v>11</v>
      </c>
      <c r="J253" s="37">
        <v>269.02999999999997</v>
      </c>
      <c r="N253"/>
      <c r="O253"/>
    </row>
    <row r="254" spans="1:15" x14ac:dyDescent="0.35">
      <c r="A254" s="5">
        <v>252</v>
      </c>
      <c r="B254" s="5" t="str">
        <f t="shared" si="12"/>
        <v>GA11</v>
      </c>
      <c r="C254" t="s">
        <v>219</v>
      </c>
      <c r="D254" t="s">
        <v>951</v>
      </c>
      <c r="E254" t="s">
        <v>963</v>
      </c>
      <c r="F254" t="s">
        <v>964</v>
      </c>
      <c r="G254">
        <v>2</v>
      </c>
      <c r="H254" t="s">
        <v>310</v>
      </c>
      <c r="I254">
        <v>11</v>
      </c>
      <c r="J254" s="37">
        <v>284.07</v>
      </c>
      <c r="N254"/>
      <c r="O254"/>
    </row>
    <row r="255" spans="1:15" x14ac:dyDescent="0.35">
      <c r="A255" s="5">
        <v>253</v>
      </c>
      <c r="B255" s="5" t="str">
        <f t="shared" si="12"/>
        <v>GA11</v>
      </c>
      <c r="C255" t="s">
        <v>219</v>
      </c>
      <c r="D255" t="s">
        <v>951</v>
      </c>
      <c r="E255" t="s">
        <v>965</v>
      </c>
      <c r="F255" t="s">
        <v>966</v>
      </c>
      <c r="G255">
        <v>2</v>
      </c>
      <c r="H255" t="s">
        <v>310</v>
      </c>
      <c r="I255">
        <v>11</v>
      </c>
      <c r="J255" s="37">
        <v>286.44</v>
      </c>
      <c r="N255"/>
      <c r="O255"/>
    </row>
    <row r="256" spans="1:15" x14ac:dyDescent="0.35">
      <c r="A256" s="5">
        <v>254</v>
      </c>
      <c r="B256" s="5" t="str">
        <f t="shared" si="12"/>
        <v>GA11</v>
      </c>
      <c r="C256" t="s">
        <v>219</v>
      </c>
      <c r="D256" t="s">
        <v>951</v>
      </c>
      <c r="E256" t="s">
        <v>967</v>
      </c>
      <c r="F256" t="s">
        <v>968</v>
      </c>
      <c r="G256">
        <v>2</v>
      </c>
      <c r="H256" t="s">
        <v>310</v>
      </c>
      <c r="I256">
        <v>11</v>
      </c>
      <c r="J256" s="37">
        <v>295.07</v>
      </c>
      <c r="N256"/>
      <c r="O256"/>
    </row>
    <row r="257" spans="1:15" x14ac:dyDescent="0.35">
      <c r="A257" s="5">
        <v>255</v>
      </c>
      <c r="B257" s="5" t="str">
        <f t="shared" si="12"/>
        <v>GA11</v>
      </c>
      <c r="C257" t="s">
        <v>219</v>
      </c>
      <c r="D257" t="s">
        <v>951</v>
      </c>
      <c r="E257" t="s">
        <v>973</v>
      </c>
      <c r="F257" t="s">
        <v>278</v>
      </c>
      <c r="G257">
        <v>2</v>
      </c>
      <c r="H257" t="s">
        <v>310</v>
      </c>
      <c r="I257">
        <v>11</v>
      </c>
      <c r="J257" s="37">
        <v>299.20999999999998</v>
      </c>
      <c r="N257"/>
      <c r="O257"/>
    </row>
    <row r="258" spans="1:15" x14ac:dyDescent="0.35">
      <c r="A258" s="5">
        <v>256</v>
      </c>
      <c r="B258" s="5" t="str">
        <f t="shared" si="12"/>
        <v>GA11</v>
      </c>
      <c r="C258" t="s">
        <v>219</v>
      </c>
      <c r="D258" t="s">
        <v>861</v>
      </c>
      <c r="E258" t="s">
        <v>977</v>
      </c>
      <c r="F258" t="s">
        <v>978</v>
      </c>
      <c r="G258">
        <v>1</v>
      </c>
      <c r="H258" t="s">
        <v>310</v>
      </c>
      <c r="I258">
        <v>11</v>
      </c>
      <c r="J258" s="37">
        <v>299.72000000000003</v>
      </c>
      <c r="N258"/>
      <c r="O258"/>
    </row>
    <row r="259" spans="1:15" x14ac:dyDescent="0.35">
      <c r="A259" s="5">
        <v>257</v>
      </c>
      <c r="B259" s="5" t="str">
        <f t="shared" ref="B259:B322" si="13">CONCATENATE(C259,I259)</f>
        <v>GA11</v>
      </c>
      <c r="C259" t="s">
        <v>219</v>
      </c>
      <c r="D259" t="s">
        <v>260</v>
      </c>
      <c r="E259" t="s">
        <v>1115</v>
      </c>
      <c r="F259" t="s">
        <v>851</v>
      </c>
      <c r="G259">
        <v>2</v>
      </c>
      <c r="H259" t="s">
        <v>310</v>
      </c>
      <c r="I259">
        <v>11</v>
      </c>
      <c r="J259" s="37">
        <v>302.23</v>
      </c>
      <c r="N259"/>
      <c r="O259"/>
    </row>
    <row r="260" spans="1:15" x14ac:dyDescent="0.35">
      <c r="A260" s="5">
        <v>258</v>
      </c>
      <c r="B260" s="5" t="str">
        <f t="shared" si="13"/>
        <v>GA11</v>
      </c>
      <c r="C260" t="s">
        <v>219</v>
      </c>
      <c r="D260" t="s">
        <v>861</v>
      </c>
      <c r="E260" t="s">
        <v>980</v>
      </c>
      <c r="F260" t="s">
        <v>218</v>
      </c>
      <c r="G260">
        <v>1</v>
      </c>
      <c r="H260" t="s">
        <v>310</v>
      </c>
      <c r="I260">
        <v>11</v>
      </c>
      <c r="J260" s="37">
        <v>312.13</v>
      </c>
      <c r="N260"/>
      <c r="O260"/>
    </row>
    <row r="261" spans="1:15" x14ac:dyDescent="0.35">
      <c r="A261" s="5">
        <v>259</v>
      </c>
      <c r="B261" s="5" t="str">
        <f t="shared" si="13"/>
        <v>GA11</v>
      </c>
      <c r="C261" t="s">
        <v>219</v>
      </c>
      <c r="D261" t="s">
        <v>861</v>
      </c>
      <c r="E261" t="s">
        <v>975</v>
      </c>
      <c r="F261" t="s">
        <v>976</v>
      </c>
      <c r="G261">
        <v>1</v>
      </c>
      <c r="H261" t="s">
        <v>310</v>
      </c>
      <c r="I261">
        <v>11</v>
      </c>
      <c r="J261" s="37">
        <v>314.58999999999997</v>
      </c>
      <c r="N261"/>
      <c r="O261"/>
    </row>
    <row r="262" spans="1:15" x14ac:dyDescent="0.35">
      <c r="A262" s="5">
        <v>260</v>
      </c>
      <c r="B262" s="5" t="str">
        <f t="shared" si="13"/>
        <v>GA11</v>
      </c>
      <c r="C262" t="s">
        <v>219</v>
      </c>
      <c r="D262" t="s">
        <v>260</v>
      </c>
      <c r="E262" t="s">
        <v>1114</v>
      </c>
      <c r="F262" t="s">
        <v>850</v>
      </c>
      <c r="G262">
        <v>2</v>
      </c>
      <c r="H262" t="s">
        <v>310</v>
      </c>
      <c r="I262">
        <v>11</v>
      </c>
      <c r="J262" s="37">
        <v>318.85000000000002</v>
      </c>
      <c r="N262"/>
      <c r="O262"/>
    </row>
    <row r="263" spans="1:15" x14ac:dyDescent="0.35">
      <c r="A263" s="5">
        <v>261</v>
      </c>
      <c r="B263" s="5" t="str">
        <f t="shared" si="13"/>
        <v>GA11</v>
      </c>
      <c r="C263" t="s">
        <v>219</v>
      </c>
      <c r="D263" t="s">
        <v>260</v>
      </c>
      <c r="E263" t="s">
        <v>1113</v>
      </c>
      <c r="F263" t="s">
        <v>849</v>
      </c>
      <c r="G263">
        <v>2</v>
      </c>
      <c r="H263" t="s">
        <v>310</v>
      </c>
      <c r="I263">
        <v>11</v>
      </c>
      <c r="J263" s="37">
        <v>320.67</v>
      </c>
      <c r="N263"/>
      <c r="O263"/>
    </row>
    <row r="264" spans="1:15" x14ac:dyDescent="0.35">
      <c r="A264" s="5">
        <v>262</v>
      </c>
      <c r="B264" s="5" t="str">
        <f t="shared" si="13"/>
        <v>GA12</v>
      </c>
      <c r="C264" t="s">
        <v>219</v>
      </c>
      <c r="D264" t="s">
        <v>984</v>
      </c>
      <c r="E264" t="s">
        <v>1040</v>
      </c>
      <c r="F264" t="s">
        <v>1041</v>
      </c>
      <c r="G264">
        <v>2</v>
      </c>
      <c r="H264" t="s">
        <v>310</v>
      </c>
      <c r="I264">
        <v>12</v>
      </c>
      <c r="J264" s="37">
        <v>226.43</v>
      </c>
      <c r="N264"/>
      <c r="O264"/>
    </row>
    <row r="265" spans="1:15" x14ac:dyDescent="0.35">
      <c r="A265" s="5">
        <v>263</v>
      </c>
      <c r="B265" s="5" t="str">
        <f t="shared" si="13"/>
        <v>GA12</v>
      </c>
      <c r="C265" t="s">
        <v>219</v>
      </c>
      <c r="D265" t="s">
        <v>951</v>
      </c>
      <c r="E265" t="s">
        <v>969</v>
      </c>
      <c r="F265" t="s">
        <v>970</v>
      </c>
      <c r="G265">
        <v>2</v>
      </c>
      <c r="H265" t="s">
        <v>310</v>
      </c>
      <c r="I265">
        <v>12</v>
      </c>
      <c r="J265" s="37">
        <v>229.63</v>
      </c>
      <c r="N265"/>
      <c r="O265"/>
    </row>
    <row r="266" spans="1:15" x14ac:dyDescent="0.35">
      <c r="A266" s="5">
        <v>264</v>
      </c>
      <c r="B266" s="5" t="str">
        <f t="shared" si="13"/>
        <v>GA12</v>
      </c>
      <c r="C266" t="s">
        <v>219</v>
      </c>
      <c r="D266" t="s">
        <v>951</v>
      </c>
      <c r="E266" t="s">
        <v>961</v>
      </c>
      <c r="F266" t="s">
        <v>962</v>
      </c>
      <c r="G266">
        <v>2</v>
      </c>
      <c r="H266" t="s">
        <v>310</v>
      </c>
      <c r="I266">
        <v>12</v>
      </c>
      <c r="J266" s="37">
        <v>231.52</v>
      </c>
      <c r="N266"/>
      <c r="O266"/>
    </row>
    <row r="267" spans="1:15" x14ac:dyDescent="0.35">
      <c r="A267" s="5">
        <v>265</v>
      </c>
      <c r="B267" s="5" t="str">
        <f t="shared" si="13"/>
        <v>GA12</v>
      </c>
      <c r="C267" t="s">
        <v>219</v>
      </c>
      <c r="D267" t="s">
        <v>984</v>
      </c>
      <c r="E267" t="s">
        <v>1056</v>
      </c>
      <c r="F267" t="s">
        <v>1057</v>
      </c>
      <c r="G267">
        <v>2</v>
      </c>
      <c r="H267" t="s">
        <v>310</v>
      </c>
      <c r="I267">
        <v>12</v>
      </c>
      <c r="J267" s="37">
        <v>233.54</v>
      </c>
      <c r="N267"/>
      <c r="O267"/>
    </row>
    <row r="268" spans="1:15" x14ac:dyDescent="0.35">
      <c r="A268" s="5">
        <v>266</v>
      </c>
      <c r="B268" s="5" t="str">
        <f t="shared" si="13"/>
        <v>GA12</v>
      </c>
      <c r="C268" t="s">
        <v>219</v>
      </c>
      <c r="D268" t="s">
        <v>951</v>
      </c>
      <c r="E268" t="s">
        <v>963</v>
      </c>
      <c r="F268" t="s">
        <v>964</v>
      </c>
      <c r="G268">
        <v>2</v>
      </c>
      <c r="H268" t="s">
        <v>310</v>
      </c>
      <c r="I268">
        <v>12</v>
      </c>
      <c r="J268" s="37">
        <v>244.47</v>
      </c>
      <c r="N268"/>
      <c r="O268"/>
    </row>
    <row r="269" spans="1:15" x14ac:dyDescent="0.35">
      <c r="A269" s="5">
        <v>267</v>
      </c>
      <c r="B269" s="5" t="str">
        <f t="shared" si="13"/>
        <v>GA12</v>
      </c>
      <c r="C269" t="s">
        <v>219</v>
      </c>
      <c r="D269" t="s">
        <v>951</v>
      </c>
      <c r="E269" t="s">
        <v>965</v>
      </c>
      <c r="F269" t="s">
        <v>966</v>
      </c>
      <c r="G269">
        <v>2</v>
      </c>
      <c r="H269" t="s">
        <v>310</v>
      </c>
      <c r="I269">
        <v>12</v>
      </c>
      <c r="J269" s="37">
        <v>246.5</v>
      </c>
      <c r="N269"/>
      <c r="O269"/>
    </row>
    <row r="270" spans="1:15" x14ac:dyDescent="0.35">
      <c r="A270" s="5">
        <v>268</v>
      </c>
      <c r="B270" s="5" t="str">
        <f t="shared" si="13"/>
        <v>GA12</v>
      </c>
      <c r="C270" t="s">
        <v>219</v>
      </c>
      <c r="D270" t="s">
        <v>844</v>
      </c>
      <c r="E270" t="s">
        <v>1091</v>
      </c>
      <c r="F270" t="s">
        <v>1092</v>
      </c>
      <c r="G270">
        <v>2</v>
      </c>
      <c r="H270" t="s">
        <v>310</v>
      </c>
      <c r="I270">
        <v>12</v>
      </c>
      <c r="J270" s="37">
        <v>252.98</v>
      </c>
      <c r="N270"/>
      <c r="O270"/>
    </row>
    <row r="271" spans="1:15" x14ac:dyDescent="0.35">
      <c r="A271" s="5">
        <v>269</v>
      </c>
      <c r="B271" s="5" t="str">
        <f t="shared" si="13"/>
        <v>GA12</v>
      </c>
      <c r="C271" t="s">
        <v>219</v>
      </c>
      <c r="D271" t="s">
        <v>951</v>
      </c>
      <c r="E271" t="s">
        <v>967</v>
      </c>
      <c r="F271" t="s">
        <v>968</v>
      </c>
      <c r="G271">
        <v>2</v>
      </c>
      <c r="H271" t="s">
        <v>310</v>
      </c>
      <c r="I271">
        <v>12</v>
      </c>
      <c r="J271" s="37">
        <v>253.94</v>
      </c>
      <c r="N271"/>
      <c r="O271"/>
    </row>
    <row r="272" spans="1:15" x14ac:dyDescent="0.35">
      <c r="A272" s="5">
        <v>270</v>
      </c>
      <c r="B272" s="5" t="str">
        <f t="shared" si="13"/>
        <v>GA12</v>
      </c>
      <c r="C272" t="s">
        <v>219</v>
      </c>
      <c r="D272" t="s">
        <v>951</v>
      </c>
      <c r="E272" t="s">
        <v>973</v>
      </c>
      <c r="F272" t="s">
        <v>278</v>
      </c>
      <c r="G272">
        <v>2</v>
      </c>
      <c r="H272" t="s">
        <v>310</v>
      </c>
      <c r="I272">
        <v>12</v>
      </c>
      <c r="J272" s="37">
        <v>257.5</v>
      </c>
      <c r="N272"/>
      <c r="O272"/>
    </row>
    <row r="273" spans="1:15" x14ac:dyDescent="0.35">
      <c r="A273" s="5">
        <v>271</v>
      </c>
      <c r="B273" s="5" t="str">
        <f t="shared" si="13"/>
        <v>GA12</v>
      </c>
      <c r="C273" t="s">
        <v>219</v>
      </c>
      <c r="D273" t="s">
        <v>844</v>
      </c>
      <c r="E273" t="s">
        <v>295</v>
      </c>
      <c r="F273" t="s">
        <v>1088</v>
      </c>
      <c r="G273">
        <v>3</v>
      </c>
      <c r="H273" t="s">
        <v>310</v>
      </c>
      <c r="I273">
        <v>12</v>
      </c>
      <c r="J273" s="37">
        <v>267.37</v>
      </c>
      <c r="N273"/>
      <c r="O273"/>
    </row>
    <row r="274" spans="1:15" x14ac:dyDescent="0.35">
      <c r="A274" s="5">
        <v>272</v>
      </c>
      <c r="B274" s="5" t="str">
        <f t="shared" si="13"/>
        <v>GA12</v>
      </c>
      <c r="C274" t="s">
        <v>219</v>
      </c>
      <c r="D274" t="s">
        <v>260</v>
      </c>
      <c r="E274" t="s">
        <v>1115</v>
      </c>
      <c r="F274" t="s">
        <v>851</v>
      </c>
      <c r="G274">
        <v>2</v>
      </c>
      <c r="H274" t="s">
        <v>310</v>
      </c>
      <c r="I274">
        <v>12</v>
      </c>
      <c r="J274" s="37">
        <v>268.35000000000002</v>
      </c>
      <c r="N274"/>
      <c r="O274"/>
    </row>
    <row r="275" spans="1:15" x14ac:dyDescent="0.35">
      <c r="A275" s="5">
        <v>273</v>
      </c>
      <c r="B275" s="5" t="str">
        <f t="shared" si="13"/>
        <v>GA12</v>
      </c>
      <c r="C275" t="s">
        <v>219</v>
      </c>
      <c r="D275" t="s">
        <v>260</v>
      </c>
      <c r="E275" t="s">
        <v>1114</v>
      </c>
      <c r="F275" t="s">
        <v>850</v>
      </c>
      <c r="G275">
        <v>2</v>
      </c>
      <c r="H275" t="s">
        <v>310</v>
      </c>
      <c r="I275">
        <v>12</v>
      </c>
      <c r="J275" s="37">
        <v>283.11</v>
      </c>
      <c r="N275"/>
      <c r="O275"/>
    </row>
    <row r="276" spans="1:15" x14ac:dyDescent="0.35">
      <c r="A276" s="5">
        <v>274</v>
      </c>
      <c r="B276" s="5" t="str">
        <f t="shared" si="13"/>
        <v>GA12</v>
      </c>
      <c r="C276" t="s">
        <v>219</v>
      </c>
      <c r="D276" t="s">
        <v>260</v>
      </c>
      <c r="E276" t="s">
        <v>1113</v>
      </c>
      <c r="F276" t="s">
        <v>849</v>
      </c>
      <c r="G276">
        <v>2</v>
      </c>
      <c r="H276" t="s">
        <v>310</v>
      </c>
      <c r="I276">
        <v>12</v>
      </c>
      <c r="J276" s="37">
        <v>284.72000000000003</v>
      </c>
      <c r="N276"/>
      <c r="O276"/>
    </row>
    <row r="277" spans="1:15" x14ac:dyDescent="0.35">
      <c r="A277" s="5">
        <v>275</v>
      </c>
      <c r="B277" s="5" t="str">
        <f t="shared" si="13"/>
        <v>GA12</v>
      </c>
      <c r="C277" t="s">
        <v>219</v>
      </c>
      <c r="D277" t="s">
        <v>861</v>
      </c>
      <c r="E277" t="s">
        <v>977</v>
      </c>
      <c r="F277" t="s">
        <v>978</v>
      </c>
      <c r="G277">
        <v>1</v>
      </c>
      <c r="H277" t="s">
        <v>310</v>
      </c>
      <c r="I277">
        <v>12</v>
      </c>
      <c r="J277" s="37">
        <v>287.77999999999997</v>
      </c>
      <c r="N277"/>
      <c r="O277"/>
    </row>
    <row r="278" spans="1:15" x14ac:dyDescent="0.35">
      <c r="A278" s="5">
        <v>276</v>
      </c>
      <c r="B278" s="5" t="str">
        <f t="shared" si="13"/>
        <v>GA12</v>
      </c>
      <c r="C278" t="s">
        <v>219</v>
      </c>
      <c r="D278" t="s">
        <v>861</v>
      </c>
      <c r="E278" t="s">
        <v>980</v>
      </c>
      <c r="F278" t="s">
        <v>218</v>
      </c>
      <c r="G278">
        <v>1</v>
      </c>
      <c r="H278" t="s">
        <v>310</v>
      </c>
      <c r="I278">
        <v>12</v>
      </c>
      <c r="J278" s="37">
        <v>299.7</v>
      </c>
      <c r="N278"/>
      <c r="O278"/>
    </row>
    <row r="279" spans="1:15" x14ac:dyDescent="0.35">
      <c r="A279" s="5">
        <v>277</v>
      </c>
      <c r="B279" s="5" t="str">
        <f t="shared" si="13"/>
        <v>GA12</v>
      </c>
      <c r="C279" t="s">
        <v>219</v>
      </c>
      <c r="D279" t="s">
        <v>861</v>
      </c>
      <c r="E279" t="s">
        <v>975</v>
      </c>
      <c r="F279" t="s">
        <v>976</v>
      </c>
      <c r="G279">
        <v>1</v>
      </c>
      <c r="H279" t="s">
        <v>310</v>
      </c>
      <c r="I279">
        <v>12</v>
      </c>
      <c r="J279" s="37">
        <v>302.06</v>
      </c>
      <c r="N279"/>
      <c r="O279"/>
    </row>
    <row r="280" spans="1:15" x14ac:dyDescent="0.35">
      <c r="A280" s="5">
        <v>278</v>
      </c>
      <c r="B280" s="5" t="str">
        <f t="shared" si="13"/>
        <v>GA13</v>
      </c>
      <c r="C280" t="s">
        <v>219</v>
      </c>
      <c r="D280" t="s">
        <v>844</v>
      </c>
      <c r="E280" t="s">
        <v>308</v>
      </c>
      <c r="F280" t="s">
        <v>1089</v>
      </c>
      <c r="G280">
        <v>2</v>
      </c>
      <c r="H280" t="s">
        <v>310</v>
      </c>
      <c r="I280">
        <v>13</v>
      </c>
      <c r="J280" s="37">
        <v>229.61</v>
      </c>
      <c r="N280"/>
      <c r="O280"/>
    </row>
    <row r="281" spans="1:15" x14ac:dyDescent="0.35">
      <c r="A281" s="5">
        <v>279</v>
      </c>
      <c r="B281" s="5" t="str">
        <f t="shared" si="13"/>
        <v>GA13</v>
      </c>
      <c r="C281" t="s">
        <v>219</v>
      </c>
      <c r="D281" t="s">
        <v>844</v>
      </c>
      <c r="E281" t="s">
        <v>295</v>
      </c>
      <c r="F281" t="s">
        <v>1088</v>
      </c>
      <c r="G281">
        <v>3</v>
      </c>
      <c r="H281" t="s">
        <v>310</v>
      </c>
      <c r="I281">
        <v>13</v>
      </c>
      <c r="J281" s="37">
        <v>240.35</v>
      </c>
      <c r="N281"/>
      <c r="O281"/>
    </row>
    <row r="282" spans="1:15" x14ac:dyDescent="0.35">
      <c r="A282" s="5">
        <v>280</v>
      </c>
      <c r="B282" s="5" t="str">
        <f t="shared" si="13"/>
        <v>GA13</v>
      </c>
      <c r="C282" t="s">
        <v>219</v>
      </c>
      <c r="D282" t="s">
        <v>951</v>
      </c>
      <c r="E282" t="s">
        <v>969</v>
      </c>
      <c r="F282" t="s">
        <v>970</v>
      </c>
      <c r="G282">
        <v>2</v>
      </c>
      <c r="H282" t="s">
        <v>310</v>
      </c>
      <c r="I282">
        <v>13</v>
      </c>
      <c r="J282" s="37">
        <v>255.68</v>
      </c>
      <c r="N282"/>
      <c r="O282"/>
    </row>
    <row r="283" spans="1:15" x14ac:dyDescent="0.35">
      <c r="A283" s="5">
        <v>281</v>
      </c>
      <c r="B283" s="5" t="str">
        <f t="shared" si="13"/>
        <v>GA13</v>
      </c>
      <c r="C283" t="s">
        <v>219</v>
      </c>
      <c r="D283" t="s">
        <v>951</v>
      </c>
      <c r="E283" t="s">
        <v>961</v>
      </c>
      <c r="F283" t="s">
        <v>962</v>
      </c>
      <c r="G283">
        <v>2</v>
      </c>
      <c r="H283" t="s">
        <v>310</v>
      </c>
      <c r="I283">
        <v>13</v>
      </c>
      <c r="J283" s="37">
        <v>257.8</v>
      </c>
      <c r="N283"/>
      <c r="O283"/>
    </row>
    <row r="284" spans="1:15" x14ac:dyDescent="0.35">
      <c r="A284" s="5">
        <v>282</v>
      </c>
      <c r="B284" s="5" t="str">
        <f t="shared" si="13"/>
        <v>GA13</v>
      </c>
      <c r="C284" t="s">
        <v>219</v>
      </c>
      <c r="D284" t="s">
        <v>245</v>
      </c>
      <c r="E284" t="s">
        <v>300</v>
      </c>
      <c r="F284" t="s">
        <v>301</v>
      </c>
      <c r="G284">
        <v>2</v>
      </c>
      <c r="H284" t="s">
        <v>310</v>
      </c>
      <c r="I284">
        <v>13</v>
      </c>
      <c r="J284" s="37">
        <v>265</v>
      </c>
      <c r="N284"/>
      <c r="O284"/>
    </row>
    <row r="285" spans="1:15" x14ac:dyDescent="0.35">
      <c r="A285" s="5">
        <v>283</v>
      </c>
      <c r="B285" s="5" t="str">
        <f t="shared" si="13"/>
        <v>GA13</v>
      </c>
      <c r="C285" t="s">
        <v>219</v>
      </c>
      <c r="D285" t="s">
        <v>304</v>
      </c>
      <c r="E285" t="s">
        <v>307</v>
      </c>
      <c r="F285" t="s">
        <v>904</v>
      </c>
      <c r="G285">
        <v>1</v>
      </c>
      <c r="H285" t="s">
        <v>310</v>
      </c>
      <c r="I285">
        <v>13</v>
      </c>
      <c r="J285" s="37">
        <v>268.76</v>
      </c>
      <c r="N285"/>
      <c r="O285"/>
    </row>
    <row r="286" spans="1:15" x14ac:dyDescent="0.35">
      <c r="A286" s="5">
        <v>284</v>
      </c>
      <c r="B286" s="5" t="str">
        <f t="shared" si="13"/>
        <v>GA13</v>
      </c>
      <c r="C286" t="s">
        <v>219</v>
      </c>
      <c r="D286" t="s">
        <v>304</v>
      </c>
      <c r="E286" t="s">
        <v>916</v>
      </c>
      <c r="F286" t="s">
        <v>917</v>
      </c>
      <c r="G286">
        <v>1</v>
      </c>
      <c r="H286" t="s">
        <v>310</v>
      </c>
      <c r="I286">
        <v>13</v>
      </c>
      <c r="J286" s="37">
        <v>268.76</v>
      </c>
      <c r="N286"/>
      <c r="O286"/>
    </row>
    <row r="287" spans="1:15" x14ac:dyDescent="0.35">
      <c r="A287" s="5">
        <v>285</v>
      </c>
      <c r="B287" s="5" t="str">
        <f t="shared" si="13"/>
        <v>GA13</v>
      </c>
      <c r="C287" t="s">
        <v>219</v>
      </c>
      <c r="D287" t="s">
        <v>304</v>
      </c>
      <c r="E287" t="s">
        <v>902</v>
      </c>
      <c r="F287" t="s">
        <v>903</v>
      </c>
      <c r="G287">
        <v>1</v>
      </c>
      <c r="H287" t="s">
        <v>310</v>
      </c>
      <c r="I287">
        <v>13</v>
      </c>
      <c r="J287" s="37">
        <v>268.83999999999997</v>
      </c>
      <c r="N287"/>
      <c r="O287"/>
    </row>
    <row r="288" spans="1:15" x14ac:dyDescent="0.35">
      <c r="A288" s="5">
        <v>286</v>
      </c>
      <c r="B288" s="5" t="str">
        <f t="shared" si="13"/>
        <v>GA13</v>
      </c>
      <c r="C288" t="s">
        <v>219</v>
      </c>
      <c r="D288" t="s">
        <v>304</v>
      </c>
      <c r="E288" t="s">
        <v>305</v>
      </c>
      <c r="F288" t="s">
        <v>913</v>
      </c>
      <c r="G288">
        <v>1</v>
      </c>
      <c r="H288" t="s">
        <v>310</v>
      </c>
      <c r="I288">
        <v>13</v>
      </c>
      <c r="J288" s="37">
        <v>268.93</v>
      </c>
      <c r="N288"/>
      <c r="O288"/>
    </row>
    <row r="289" spans="1:15" x14ac:dyDescent="0.35">
      <c r="A289" s="5">
        <v>287</v>
      </c>
      <c r="B289" s="5" t="str">
        <f t="shared" si="13"/>
        <v>GA13</v>
      </c>
      <c r="C289" t="s">
        <v>219</v>
      </c>
      <c r="D289" t="s">
        <v>304</v>
      </c>
      <c r="E289" t="s">
        <v>911</v>
      </c>
      <c r="F289" t="s">
        <v>912</v>
      </c>
      <c r="G289">
        <v>1</v>
      </c>
      <c r="H289" t="s">
        <v>310</v>
      </c>
      <c r="I289">
        <v>13</v>
      </c>
      <c r="J289" s="37">
        <v>268.97000000000003</v>
      </c>
      <c r="N289"/>
      <c r="O289"/>
    </row>
    <row r="290" spans="1:15" x14ac:dyDescent="0.35">
      <c r="A290" s="5">
        <v>288</v>
      </c>
      <c r="B290" s="5" t="str">
        <f t="shared" si="13"/>
        <v>GA13</v>
      </c>
      <c r="C290" t="s">
        <v>219</v>
      </c>
      <c r="D290" t="s">
        <v>304</v>
      </c>
      <c r="E290" t="s">
        <v>914</v>
      </c>
      <c r="F290" t="s">
        <v>915</v>
      </c>
      <c r="G290">
        <v>1</v>
      </c>
      <c r="H290" t="s">
        <v>310</v>
      </c>
      <c r="I290">
        <v>13</v>
      </c>
      <c r="J290" s="37">
        <v>269.20999999999998</v>
      </c>
      <c r="N290"/>
      <c r="O290"/>
    </row>
    <row r="291" spans="1:15" x14ac:dyDescent="0.35">
      <c r="A291" s="5">
        <v>289</v>
      </c>
      <c r="B291" s="5" t="str">
        <f t="shared" si="13"/>
        <v>GA13</v>
      </c>
      <c r="C291" t="s">
        <v>219</v>
      </c>
      <c r="D291" t="s">
        <v>304</v>
      </c>
      <c r="E291" t="s">
        <v>909</v>
      </c>
      <c r="F291" t="s">
        <v>910</v>
      </c>
      <c r="G291">
        <v>1</v>
      </c>
      <c r="H291" t="s">
        <v>310</v>
      </c>
      <c r="I291">
        <v>13</v>
      </c>
      <c r="J291" s="37">
        <v>269.3</v>
      </c>
      <c r="N291"/>
      <c r="O291"/>
    </row>
    <row r="292" spans="1:15" x14ac:dyDescent="0.35">
      <c r="A292" s="5">
        <v>290</v>
      </c>
      <c r="B292" s="5" t="str">
        <f t="shared" si="13"/>
        <v>GA13</v>
      </c>
      <c r="C292" t="s">
        <v>219</v>
      </c>
      <c r="D292" t="s">
        <v>304</v>
      </c>
      <c r="E292" t="s">
        <v>900</v>
      </c>
      <c r="F292" t="s">
        <v>901</v>
      </c>
      <c r="G292">
        <v>1</v>
      </c>
      <c r="H292" t="s">
        <v>310</v>
      </c>
      <c r="I292">
        <v>13</v>
      </c>
      <c r="J292" s="37">
        <v>271.05</v>
      </c>
      <c r="N292"/>
      <c r="O292"/>
    </row>
    <row r="293" spans="1:15" x14ac:dyDescent="0.35">
      <c r="A293" s="5">
        <v>291</v>
      </c>
      <c r="B293" s="5" t="str">
        <f t="shared" si="13"/>
        <v>GA13</v>
      </c>
      <c r="C293" t="s">
        <v>219</v>
      </c>
      <c r="D293" t="s">
        <v>304</v>
      </c>
      <c r="E293" t="s">
        <v>898</v>
      </c>
      <c r="F293" t="s">
        <v>899</v>
      </c>
      <c r="G293">
        <v>1</v>
      </c>
      <c r="H293" t="s">
        <v>310</v>
      </c>
      <c r="I293">
        <v>13</v>
      </c>
      <c r="J293" s="37">
        <v>271.68</v>
      </c>
      <c r="N293"/>
      <c r="O293"/>
    </row>
    <row r="294" spans="1:15" x14ac:dyDescent="0.35">
      <c r="A294" s="5">
        <v>292</v>
      </c>
      <c r="B294" s="5" t="str">
        <f t="shared" si="13"/>
        <v>GA13</v>
      </c>
      <c r="C294" t="s">
        <v>219</v>
      </c>
      <c r="D294" t="s">
        <v>951</v>
      </c>
      <c r="E294" t="s">
        <v>963</v>
      </c>
      <c r="F294" t="s">
        <v>964</v>
      </c>
      <c r="G294">
        <v>2</v>
      </c>
      <c r="H294" t="s">
        <v>310</v>
      </c>
      <c r="I294">
        <v>13</v>
      </c>
      <c r="J294" s="37">
        <v>272.20999999999998</v>
      </c>
      <c r="N294"/>
      <c r="O294"/>
    </row>
    <row r="295" spans="1:15" x14ac:dyDescent="0.35">
      <c r="A295" s="5">
        <v>293</v>
      </c>
      <c r="B295" s="5" t="str">
        <f t="shared" si="13"/>
        <v>GA13</v>
      </c>
      <c r="C295" t="s">
        <v>219</v>
      </c>
      <c r="D295" t="s">
        <v>245</v>
      </c>
      <c r="E295" t="s">
        <v>302</v>
      </c>
      <c r="F295" t="s">
        <v>303</v>
      </c>
      <c r="G295">
        <v>2</v>
      </c>
      <c r="H295" t="s">
        <v>310</v>
      </c>
      <c r="I295">
        <v>13</v>
      </c>
      <c r="J295" s="37">
        <v>274</v>
      </c>
      <c r="N295"/>
      <c r="O295"/>
    </row>
    <row r="296" spans="1:15" x14ac:dyDescent="0.35">
      <c r="A296" s="5">
        <v>294</v>
      </c>
      <c r="B296" s="5" t="str">
        <f t="shared" si="13"/>
        <v>GA13</v>
      </c>
      <c r="C296" t="s">
        <v>219</v>
      </c>
      <c r="D296" t="s">
        <v>951</v>
      </c>
      <c r="E296" t="s">
        <v>965</v>
      </c>
      <c r="F296" t="s">
        <v>966</v>
      </c>
      <c r="G296">
        <v>2</v>
      </c>
      <c r="H296" t="s">
        <v>310</v>
      </c>
      <c r="I296">
        <v>13</v>
      </c>
      <c r="J296" s="37">
        <v>274.47000000000003</v>
      </c>
      <c r="N296"/>
      <c r="O296"/>
    </row>
    <row r="297" spans="1:15" x14ac:dyDescent="0.35">
      <c r="A297" s="5">
        <v>295</v>
      </c>
      <c r="B297" s="5" t="str">
        <f t="shared" si="13"/>
        <v>GA13</v>
      </c>
      <c r="C297" t="s">
        <v>219</v>
      </c>
      <c r="D297" t="s">
        <v>304</v>
      </c>
      <c r="E297" t="s">
        <v>907</v>
      </c>
      <c r="F297" t="s">
        <v>908</v>
      </c>
      <c r="G297">
        <v>1</v>
      </c>
      <c r="H297" t="s">
        <v>310</v>
      </c>
      <c r="I297">
        <v>13</v>
      </c>
      <c r="J297" s="37">
        <v>277.62</v>
      </c>
      <c r="N297"/>
      <c r="O297"/>
    </row>
    <row r="298" spans="1:15" x14ac:dyDescent="0.35">
      <c r="A298" s="5">
        <v>296</v>
      </c>
      <c r="B298" s="5" t="str">
        <f t="shared" si="13"/>
        <v>GA13</v>
      </c>
      <c r="C298" t="s">
        <v>219</v>
      </c>
      <c r="D298" t="s">
        <v>951</v>
      </c>
      <c r="E298" t="s">
        <v>967</v>
      </c>
      <c r="F298" t="s">
        <v>968</v>
      </c>
      <c r="G298">
        <v>2</v>
      </c>
      <c r="H298" t="s">
        <v>310</v>
      </c>
      <c r="I298">
        <v>13</v>
      </c>
      <c r="J298" s="37">
        <v>282.74</v>
      </c>
      <c r="N298"/>
      <c r="O298"/>
    </row>
    <row r="299" spans="1:15" x14ac:dyDescent="0.35">
      <c r="A299" s="5">
        <v>297</v>
      </c>
      <c r="B299" s="5" t="str">
        <f t="shared" si="13"/>
        <v>GA13</v>
      </c>
      <c r="C299" t="s">
        <v>219</v>
      </c>
      <c r="D299" t="s">
        <v>304</v>
      </c>
      <c r="E299" t="s">
        <v>905</v>
      </c>
      <c r="F299" t="s">
        <v>906</v>
      </c>
      <c r="G299">
        <v>1</v>
      </c>
      <c r="H299" t="s">
        <v>310</v>
      </c>
      <c r="I299">
        <v>13</v>
      </c>
      <c r="J299" s="37">
        <v>283.45</v>
      </c>
      <c r="N299"/>
      <c r="O299"/>
    </row>
    <row r="300" spans="1:15" x14ac:dyDescent="0.35">
      <c r="A300" s="5">
        <v>298</v>
      </c>
      <c r="B300" s="5" t="str">
        <f t="shared" si="13"/>
        <v>GA13</v>
      </c>
      <c r="C300" t="s">
        <v>219</v>
      </c>
      <c r="D300" t="s">
        <v>245</v>
      </c>
      <c r="E300" t="s">
        <v>298</v>
      </c>
      <c r="F300" t="s">
        <v>299</v>
      </c>
      <c r="G300">
        <v>2</v>
      </c>
      <c r="H300" t="s">
        <v>310</v>
      </c>
      <c r="I300">
        <v>13</v>
      </c>
      <c r="J300" s="37">
        <v>285</v>
      </c>
      <c r="N300"/>
      <c r="O300"/>
    </row>
    <row r="301" spans="1:15" x14ac:dyDescent="0.35">
      <c r="A301" s="5">
        <v>299</v>
      </c>
      <c r="B301" s="5" t="str">
        <f t="shared" si="13"/>
        <v>GA13</v>
      </c>
      <c r="C301" t="s">
        <v>219</v>
      </c>
      <c r="D301" t="s">
        <v>951</v>
      </c>
      <c r="E301" t="s">
        <v>973</v>
      </c>
      <c r="F301" t="s">
        <v>278</v>
      </c>
      <c r="G301">
        <v>2</v>
      </c>
      <c r="H301" t="s">
        <v>310</v>
      </c>
      <c r="I301">
        <v>13</v>
      </c>
      <c r="J301" s="37">
        <v>286.70999999999998</v>
      </c>
      <c r="N301"/>
      <c r="O301"/>
    </row>
    <row r="302" spans="1:15" x14ac:dyDescent="0.35">
      <c r="A302" s="5">
        <v>300</v>
      </c>
      <c r="B302" s="5" t="str">
        <f t="shared" si="13"/>
        <v>GA13</v>
      </c>
      <c r="C302" t="s">
        <v>219</v>
      </c>
      <c r="D302" t="s">
        <v>260</v>
      </c>
      <c r="E302" t="s">
        <v>1115</v>
      </c>
      <c r="F302" t="s">
        <v>851</v>
      </c>
      <c r="G302">
        <v>2</v>
      </c>
      <c r="H302" t="s">
        <v>310</v>
      </c>
      <c r="I302">
        <v>13</v>
      </c>
      <c r="J302" s="37">
        <v>295.33999999999997</v>
      </c>
      <c r="N302"/>
      <c r="O302"/>
    </row>
    <row r="303" spans="1:15" x14ac:dyDescent="0.35">
      <c r="A303" s="5">
        <v>301</v>
      </c>
      <c r="B303" s="5" t="str">
        <f t="shared" si="13"/>
        <v>GA13</v>
      </c>
      <c r="C303" t="s">
        <v>219</v>
      </c>
      <c r="D303" t="s">
        <v>861</v>
      </c>
      <c r="E303" t="s">
        <v>977</v>
      </c>
      <c r="F303" t="s">
        <v>978</v>
      </c>
      <c r="G303">
        <v>1</v>
      </c>
      <c r="H303" t="s">
        <v>310</v>
      </c>
      <c r="I303">
        <v>13</v>
      </c>
      <c r="J303" s="37">
        <v>304.97000000000003</v>
      </c>
      <c r="N303"/>
      <c r="O303"/>
    </row>
    <row r="304" spans="1:15" x14ac:dyDescent="0.35">
      <c r="A304" s="5">
        <v>302</v>
      </c>
      <c r="B304" s="5" t="str">
        <f t="shared" si="13"/>
        <v>GA13</v>
      </c>
      <c r="C304" t="s">
        <v>219</v>
      </c>
      <c r="D304" t="s">
        <v>260</v>
      </c>
      <c r="E304" t="s">
        <v>1114</v>
      </c>
      <c r="F304" t="s">
        <v>850</v>
      </c>
      <c r="G304">
        <v>2</v>
      </c>
      <c r="H304" t="s">
        <v>310</v>
      </c>
      <c r="I304">
        <v>13</v>
      </c>
      <c r="J304" s="37">
        <v>311.58</v>
      </c>
      <c r="N304"/>
      <c r="O304"/>
    </row>
    <row r="305" spans="1:15" x14ac:dyDescent="0.35">
      <c r="A305" s="5">
        <v>303</v>
      </c>
      <c r="B305" s="5" t="str">
        <f t="shared" si="13"/>
        <v>GA13</v>
      </c>
      <c r="C305" t="s">
        <v>219</v>
      </c>
      <c r="D305" t="s">
        <v>260</v>
      </c>
      <c r="E305" t="s">
        <v>1113</v>
      </c>
      <c r="F305" t="s">
        <v>849</v>
      </c>
      <c r="G305">
        <v>2</v>
      </c>
      <c r="H305" t="s">
        <v>310</v>
      </c>
      <c r="I305">
        <v>13</v>
      </c>
      <c r="J305" s="37">
        <v>313.35000000000002</v>
      </c>
      <c r="N305"/>
      <c r="O305"/>
    </row>
    <row r="306" spans="1:15" x14ac:dyDescent="0.35">
      <c r="A306" s="5">
        <v>304</v>
      </c>
      <c r="B306" s="5" t="str">
        <f t="shared" si="13"/>
        <v>GA13</v>
      </c>
      <c r="C306" t="s">
        <v>219</v>
      </c>
      <c r="D306" t="s">
        <v>861</v>
      </c>
      <c r="E306" t="s">
        <v>980</v>
      </c>
      <c r="F306" t="s">
        <v>218</v>
      </c>
      <c r="G306">
        <v>1</v>
      </c>
      <c r="H306" t="s">
        <v>310</v>
      </c>
      <c r="I306">
        <v>13</v>
      </c>
      <c r="J306" s="37">
        <v>317.60000000000002</v>
      </c>
      <c r="N306"/>
      <c r="O306"/>
    </row>
    <row r="307" spans="1:15" x14ac:dyDescent="0.35">
      <c r="A307" s="5">
        <v>305</v>
      </c>
      <c r="B307" s="5" t="str">
        <f t="shared" si="13"/>
        <v>GA13</v>
      </c>
      <c r="C307" t="s">
        <v>219</v>
      </c>
      <c r="D307" t="s">
        <v>861</v>
      </c>
      <c r="E307" t="s">
        <v>975</v>
      </c>
      <c r="F307" t="s">
        <v>976</v>
      </c>
      <c r="G307">
        <v>1</v>
      </c>
      <c r="H307" t="s">
        <v>310</v>
      </c>
      <c r="I307">
        <v>13</v>
      </c>
      <c r="J307" s="37">
        <v>320.10000000000002</v>
      </c>
      <c r="N307"/>
      <c r="O307"/>
    </row>
    <row r="308" spans="1:15" x14ac:dyDescent="0.35">
      <c r="A308" s="5">
        <v>306</v>
      </c>
      <c r="B308" s="5" t="str">
        <f t="shared" si="13"/>
        <v>GA14</v>
      </c>
      <c r="C308" t="s">
        <v>219</v>
      </c>
      <c r="D308" t="s">
        <v>984</v>
      </c>
      <c r="E308" t="s">
        <v>1042</v>
      </c>
      <c r="F308" t="s">
        <v>1043</v>
      </c>
      <c r="G308">
        <v>2</v>
      </c>
      <c r="H308" t="s">
        <v>310</v>
      </c>
      <c r="I308">
        <v>14</v>
      </c>
      <c r="J308" s="37">
        <v>190.6</v>
      </c>
      <c r="N308"/>
      <c r="O308"/>
    </row>
    <row r="309" spans="1:15" x14ac:dyDescent="0.35">
      <c r="A309" s="5">
        <v>307</v>
      </c>
      <c r="B309" s="5" t="str">
        <f t="shared" si="13"/>
        <v>GA14</v>
      </c>
      <c r="C309" t="s">
        <v>219</v>
      </c>
      <c r="D309" t="s">
        <v>844</v>
      </c>
      <c r="E309" t="s">
        <v>1093</v>
      </c>
      <c r="F309" t="s">
        <v>1094</v>
      </c>
      <c r="G309">
        <v>2</v>
      </c>
      <c r="H309" t="s">
        <v>310</v>
      </c>
      <c r="I309">
        <v>14</v>
      </c>
      <c r="J309" s="37">
        <v>195.44</v>
      </c>
      <c r="N309"/>
      <c r="O309"/>
    </row>
    <row r="310" spans="1:15" x14ac:dyDescent="0.35">
      <c r="A310" s="5">
        <v>308</v>
      </c>
      <c r="B310" s="5" t="str">
        <f t="shared" si="13"/>
        <v>GA14</v>
      </c>
      <c r="C310" t="s">
        <v>219</v>
      </c>
      <c r="D310" t="s">
        <v>984</v>
      </c>
      <c r="E310" t="s">
        <v>1058</v>
      </c>
      <c r="F310" t="s">
        <v>1059</v>
      </c>
      <c r="G310">
        <v>2</v>
      </c>
      <c r="H310" t="s">
        <v>310</v>
      </c>
      <c r="I310">
        <v>14</v>
      </c>
      <c r="J310" s="37">
        <v>196.58</v>
      </c>
      <c r="N310"/>
      <c r="O310"/>
    </row>
    <row r="311" spans="1:15" x14ac:dyDescent="0.35">
      <c r="A311" s="5">
        <v>309</v>
      </c>
      <c r="B311" s="5" t="str">
        <f t="shared" si="13"/>
        <v>GA14</v>
      </c>
      <c r="C311" t="s">
        <v>219</v>
      </c>
      <c r="D311" t="s">
        <v>984</v>
      </c>
      <c r="E311" t="s">
        <v>1044</v>
      </c>
      <c r="F311" t="s">
        <v>1045</v>
      </c>
      <c r="G311">
        <v>2</v>
      </c>
      <c r="H311" t="s">
        <v>310</v>
      </c>
      <c r="I311">
        <v>14</v>
      </c>
      <c r="J311" s="37">
        <v>214.87</v>
      </c>
      <c r="N311"/>
      <c r="O311"/>
    </row>
    <row r="312" spans="1:15" x14ac:dyDescent="0.35">
      <c r="A312" s="5">
        <v>310</v>
      </c>
      <c r="B312" s="5" t="str">
        <f t="shared" si="13"/>
        <v>GA14</v>
      </c>
      <c r="C312" t="s">
        <v>219</v>
      </c>
      <c r="D312" t="s">
        <v>844</v>
      </c>
      <c r="E312" t="s">
        <v>295</v>
      </c>
      <c r="F312" t="s">
        <v>1088</v>
      </c>
      <c r="G312">
        <v>3</v>
      </c>
      <c r="H312" t="s">
        <v>310</v>
      </c>
      <c r="I312">
        <v>14</v>
      </c>
      <c r="J312" s="37">
        <v>216.93</v>
      </c>
      <c r="N312"/>
      <c r="O312"/>
    </row>
    <row r="313" spans="1:15" x14ac:dyDescent="0.35">
      <c r="A313" s="5">
        <v>311</v>
      </c>
      <c r="B313" s="5" t="str">
        <f t="shared" si="13"/>
        <v>GA14</v>
      </c>
      <c r="C313" t="s">
        <v>219</v>
      </c>
      <c r="D313" t="s">
        <v>984</v>
      </c>
      <c r="E313" t="s">
        <v>1060</v>
      </c>
      <c r="F313" t="s">
        <v>1061</v>
      </c>
      <c r="G313">
        <v>2</v>
      </c>
      <c r="H313" t="s">
        <v>310</v>
      </c>
      <c r="I313">
        <v>14</v>
      </c>
      <c r="J313" s="37">
        <v>221.62</v>
      </c>
      <c r="N313"/>
      <c r="O313"/>
    </row>
    <row r="314" spans="1:15" x14ac:dyDescent="0.35">
      <c r="A314" s="5">
        <v>312</v>
      </c>
      <c r="B314" s="5" t="str">
        <f t="shared" si="13"/>
        <v>GA14</v>
      </c>
      <c r="C314" t="s">
        <v>219</v>
      </c>
      <c r="D314" t="s">
        <v>260</v>
      </c>
      <c r="E314" t="s">
        <v>1115</v>
      </c>
      <c r="F314" t="s">
        <v>851</v>
      </c>
      <c r="G314">
        <v>2</v>
      </c>
      <c r="H314" t="s">
        <v>310</v>
      </c>
      <c r="I314">
        <v>14</v>
      </c>
      <c r="J314" s="37">
        <v>225.17</v>
      </c>
      <c r="N314"/>
      <c r="O314"/>
    </row>
    <row r="315" spans="1:15" x14ac:dyDescent="0.35">
      <c r="A315" s="5">
        <v>313</v>
      </c>
      <c r="B315" s="5" t="str">
        <f t="shared" si="13"/>
        <v>GA14</v>
      </c>
      <c r="C315" t="s">
        <v>219</v>
      </c>
      <c r="D315" t="s">
        <v>951</v>
      </c>
      <c r="E315" t="s">
        <v>969</v>
      </c>
      <c r="F315" t="s">
        <v>970</v>
      </c>
      <c r="G315">
        <v>2</v>
      </c>
      <c r="H315" t="s">
        <v>310</v>
      </c>
      <c r="I315">
        <v>14</v>
      </c>
      <c r="J315" s="37">
        <v>235.98</v>
      </c>
      <c r="N315"/>
      <c r="O315"/>
    </row>
    <row r="316" spans="1:15" x14ac:dyDescent="0.35">
      <c r="A316" s="5">
        <v>314</v>
      </c>
      <c r="B316" s="5" t="str">
        <f t="shared" si="13"/>
        <v>GA14</v>
      </c>
      <c r="C316" t="s">
        <v>219</v>
      </c>
      <c r="D316" t="s">
        <v>260</v>
      </c>
      <c r="E316" t="s">
        <v>1114</v>
      </c>
      <c r="F316" t="s">
        <v>850</v>
      </c>
      <c r="G316">
        <v>2</v>
      </c>
      <c r="H316" t="s">
        <v>310</v>
      </c>
      <c r="I316">
        <v>14</v>
      </c>
      <c r="J316" s="37">
        <v>237.56</v>
      </c>
      <c r="N316"/>
      <c r="O316"/>
    </row>
    <row r="317" spans="1:15" x14ac:dyDescent="0.35">
      <c r="A317" s="5">
        <v>315</v>
      </c>
      <c r="B317" s="5" t="str">
        <f t="shared" si="13"/>
        <v>GA14</v>
      </c>
      <c r="C317" t="s">
        <v>219</v>
      </c>
      <c r="D317" t="s">
        <v>951</v>
      </c>
      <c r="E317" t="s">
        <v>961</v>
      </c>
      <c r="F317" t="s">
        <v>962</v>
      </c>
      <c r="G317">
        <v>2</v>
      </c>
      <c r="H317" t="s">
        <v>310</v>
      </c>
      <c r="I317">
        <v>14</v>
      </c>
      <c r="J317" s="37">
        <v>237.93</v>
      </c>
      <c r="N317"/>
      <c r="O317"/>
    </row>
    <row r="318" spans="1:15" x14ac:dyDescent="0.35">
      <c r="A318" s="5">
        <v>316</v>
      </c>
      <c r="B318" s="5" t="str">
        <f t="shared" si="13"/>
        <v>GA14</v>
      </c>
      <c r="C318" t="s">
        <v>219</v>
      </c>
      <c r="D318" t="s">
        <v>260</v>
      </c>
      <c r="E318" t="s">
        <v>1113</v>
      </c>
      <c r="F318" t="s">
        <v>849</v>
      </c>
      <c r="G318">
        <v>2</v>
      </c>
      <c r="H318" t="s">
        <v>310</v>
      </c>
      <c r="I318">
        <v>14</v>
      </c>
      <c r="J318" s="37">
        <v>238.91</v>
      </c>
      <c r="N318"/>
      <c r="O318"/>
    </row>
    <row r="319" spans="1:15" x14ac:dyDescent="0.35">
      <c r="A319" s="5">
        <v>317</v>
      </c>
      <c r="B319" s="5" t="str">
        <f t="shared" si="13"/>
        <v>GA14</v>
      </c>
      <c r="C319" t="s">
        <v>219</v>
      </c>
      <c r="D319" t="s">
        <v>951</v>
      </c>
      <c r="E319" t="s">
        <v>963</v>
      </c>
      <c r="F319" t="s">
        <v>964</v>
      </c>
      <c r="G319">
        <v>2</v>
      </c>
      <c r="H319" t="s">
        <v>310</v>
      </c>
      <c r="I319">
        <v>14</v>
      </c>
      <c r="J319" s="37">
        <v>251.23</v>
      </c>
      <c r="N319"/>
      <c r="O319"/>
    </row>
    <row r="320" spans="1:15" x14ac:dyDescent="0.35">
      <c r="A320" s="5">
        <v>318</v>
      </c>
      <c r="B320" s="5" t="str">
        <f t="shared" si="13"/>
        <v>GA14</v>
      </c>
      <c r="C320" t="s">
        <v>219</v>
      </c>
      <c r="D320" t="s">
        <v>951</v>
      </c>
      <c r="E320" t="s">
        <v>965</v>
      </c>
      <c r="F320" t="s">
        <v>966</v>
      </c>
      <c r="G320">
        <v>2</v>
      </c>
      <c r="H320" t="s">
        <v>310</v>
      </c>
      <c r="I320">
        <v>14</v>
      </c>
      <c r="J320" s="37">
        <v>253.32</v>
      </c>
      <c r="N320"/>
      <c r="O320"/>
    </row>
    <row r="321" spans="1:15" x14ac:dyDescent="0.35">
      <c r="A321" s="5">
        <v>319</v>
      </c>
      <c r="B321" s="5" t="str">
        <f t="shared" si="13"/>
        <v>GA14</v>
      </c>
      <c r="C321" t="s">
        <v>219</v>
      </c>
      <c r="D321" t="s">
        <v>951</v>
      </c>
      <c r="E321" t="s">
        <v>967</v>
      </c>
      <c r="F321" t="s">
        <v>968</v>
      </c>
      <c r="G321">
        <v>2</v>
      </c>
      <c r="H321" t="s">
        <v>310</v>
      </c>
      <c r="I321">
        <v>14</v>
      </c>
      <c r="J321" s="37">
        <v>260.95999999999998</v>
      </c>
      <c r="N321"/>
      <c r="O321"/>
    </row>
    <row r="322" spans="1:15" x14ac:dyDescent="0.35">
      <c r="A322" s="5">
        <v>320</v>
      </c>
      <c r="B322" s="5" t="str">
        <f t="shared" si="13"/>
        <v>GA14</v>
      </c>
      <c r="C322" t="s">
        <v>219</v>
      </c>
      <c r="D322" t="s">
        <v>951</v>
      </c>
      <c r="E322" t="s">
        <v>973</v>
      </c>
      <c r="F322" t="s">
        <v>278</v>
      </c>
      <c r="G322">
        <v>2</v>
      </c>
      <c r="H322" t="s">
        <v>310</v>
      </c>
      <c r="I322">
        <v>14</v>
      </c>
      <c r="J322" s="37">
        <v>264.62</v>
      </c>
      <c r="N322"/>
      <c r="O322"/>
    </row>
    <row r="323" spans="1:15" x14ac:dyDescent="0.35">
      <c r="A323" s="5">
        <v>321</v>
      </c>
      <c r="B323" s="5" t="str">
        <f t="shared" ref="B323:B343" si="14">CONCATENATE(C323,I323)</f>
        <v>GA15</v>
      </c>
      <c r="C323" t="s">
        <v>219</v>
      </c>
      <c r="D323" t="s">
        <v>984</v>
      </c>
      <c r="E323" t="s">
        <v>1046</v>
      </c>
      <c r="F323" t="s">
        <v>1047</v>
      </c>
      <c r="G323">
        <v>2</v>
      </c>
      <c r="H323" t="s">
        <v>310</v>
      </c>
      <c r="I323">
        <v>15</v>
      </c>
      <c r="J323" s="37">
        <v>265.57</v>
      </c>
      <c r="N323"/>
      <c r="O323"/>
    </row>
    <row r="324" spans="1:15" x14ac:dyDescent="0.35">
      <c r="A324" s="5">
        <v>322</v>
      </c>
      <c r="B324" s="5" t="str">
        <f t="shared" si="14"/>
        <v>GA15</v>
      </c>
      <c r="C324" t="s">
        <v>219</v>
      </c>
      <c r="D324" t="s">
        <v>984</v>
      </c>
      <c r="E324" t="s">
        <v>1062</v>
      </c>
      <c r="F324" t="s">
        <v>1063</v>
      </c>
      <c r="G324">
        <v>2</v>
      </c>
      <c r="H324" t="s">
        <v>310</v>
      </c>
      <c r="I324">
        <v>15</v>
      </c>
      <c r="J324" s="37">
        <v>273.89999999999998</v>
      </c>
      <c r="N324"/>
      <c r="O324"/>
    </row>
    <row r="325" spans="1:15" x14ac:dyDescent="0.35">
      <c r="A325" s="5">
        <v>323</v>
      </c>
      <c r="B325" s="5" t="str">
        <f t="shared" si="14"/>
        <v>GA15</v>
      </c>
      <c r="C325" t="s">
        <v>219</v>
      </c>
      <c r="D325" t="s">
        <v>951</v>
      </c>
      <c r="E325" t="s">
        <v>969</v>
      </c>
      <c r="F325" t="s">
        <v>970</v>
      </c>
      <c r="G325">
        <v>2</v>
      </c>
      <c r="H325" t="s">
        <v>310</v>
      </c>
      <c r="I325">
        <v>15</v>
      </c>
      <c r="J325" s="37">
        <v>314.58999999999997</v>
      </c>
      <c r="N325"/>
      <c r="O325"/>
    </row>
    <row r="326" spans="1:15" x14ac:dyDescent="0.35">
      <c r="A326" s="5">
        <v>324</v>
      </c>
      <c r="B326" s="5" t="str">
        <f t="shared" si="14"/>
        <v>GA15</v>
      </c>
      <c r="C326" t="s">
        <v>219</v>
      </c>
      <c r="D326" t="s">
        <v>951</v>
      </c>
      <c r="E326" t="s">
        <v>961</v>
      </c>
      <c r="F326" t="s">
        <v>962</v>
      </c>
      <c r="G326">
        <v>2</v>
      </c>
      <c r="H326" t="s">
        <v>310</v>
      </c>
      <c r="I326">
        <v>15</v>
      </c>
      <c r="J326" s="37">
        <v>317.19</v>
      </c>
      <c r="N326"/>
      <c r="O326"/>
    </row>
    <row r="327" spans="1:15" x14ac:dyDescent="0.35">
      <c r="A327" s="5">
        <v>325</v>
      </c>
      <c r="B327" s="5" t="str">
        <f t="shared" si="14"/>
        <v>GA15</v>
      </c>
      <c r="C327" t="s">
        <v>219</v>
      </c>
      <c r="D327" t="s">
        <v>260</v>
      </c>
      <c r="E327" t="s">
        <v>1115</v>
      </c>
      <c r="F327" t="s">
        <v>851</v>
      </c>
      <c r="G327">
        <v>2</v>
      </c>
      <c r="H327" t="s">
        <v>310</v>
      </c>
      <c r="I327">
        <v>15</v>
      </c>
      <c r="J327" s="37">
        <v>318.72000000000003</v>
      </c>
      <c r="N327"/>
      <c r="O327"/>
    </row>
    <row r="328" spans="1:15" x14ac:dyDescent="0.35">
      <c r="A328" s="5">
        <v>326</v>
      </c>
      <c r="B328" s="5" t="str">
        <f t="shared" si="14"/>
        <v>GA15</v>
      </c>
      <c r="C328" t="s">
        <v>219</v>
      </c>
      <c r="D328" t="s">
        <v>951</v>
      </c>
      <c r="E328" t="s">
        <v>963</v>
      </c>
      <c r="F328" t="s">
        <v>964</v>
      </c>
      <c r="G328">
        <v>2</v>
      </c>
      <c r="H328" t="s">
        <v>310</v>
      </c>
      <c r="I328">
        <v>15</v>
      </c>
      <c r="J328" s="37">
        <v>334.92</v>
      </c>
      <c r="N328"/>
      <c r="O328"/>
    </row>
    <row r="329" spans="1:15" x14ac:dyDescent="0.35">
      <c r="A329" s="5">
        <v>327</v>
      </c>
      <c r="B329" s="5" t="str">
        <f t="shared" si="14"/>
        <v>GA15</v>
      </c>
      <c r="C329" t="s">
        <v>219</v>
      </c>
      <c r="D329" t="s">
        <v>260</v>
      </c>
      <c r="E329" t="s">
        <v>1114</v>
      </c>
      <c r="F329" t="s">
        <v>850</v>
      </c>
      <c r="G329">
        <v>2</v>
      </c>
      <c r="H329" t="s">
        <v>310</v>
      </c>
      <c r="I329">
        <v>15</v>
      </c>
      <c r="J329" s="37">
        <v>336.25</v>
      </c>
      <c r="N329"/>
      <c r="O329"/>
    </row>
    <row r="330" spans="1:15" x14ac:dyDescent="0.35">
      <c r="A330" s="5">
        <v>328</v>
      </c>
      <c r="B330" s="5" t="str">
        <f t="shared" si="14"/>
        <v>GA15</v>
      </c>
      <c r="C330" t="s">
        <v>219</v>
      </c>
      <c r="D330" t="s">
        <v>951</v>
      </c>
      <c r="E330" t="s">
        <v>965</v>
      </c>
      <c r="F330" t="s">
        <v>966</v>
      </c>
      <c r="G330">
        <v>2</v>
      </c>
      <c r="H330" t="s">
        <v>310</v>
      </c>
      <c r="I330">
        <v>15</v>
      </c>
      <c r="J330" s="37">
        <v>337.71</v>
      </c>
      <c r="N330"/>
      <c r="O330"/>
    </row>
    <row r="331" spans="1:15" x14ac:dyDescent="0.35">
      <c r="A331" s="5">
        <v>329</v>
      </c>
      <c r="B331" s="5" t="str">
        <f t="shared" si="14"/>
        <v>GA15</v>
      </c>
      <c r="C331" t="s">
        <v>219</v>
      </c>
      <c r="D331" t="s">
        <v>260</v>
      </c>
      <c r="E331" t="s">
        <v>1113</v>
      </c>
      <c r="F331" t="s">
        <v>849</v>
      </c>
      <c r="G331">
        <v>2</v>
      </c>
      <c r="H331" t="s">
        <v>310</v>
      </c>
      <c r="I331">
        <v>15</v>
      </c>
      <c r="J331" s="37">
        <v>338.17</v>
      </c>
      <c r="N331"/>
      <c r="O331"/>
    </row>
    <row r="332" spans="1:15" x14ac:dyDescent="0.35">
      <c r="A332" s="5">
        <v>330</v>
      </c>
      <c r="B332" s="5" t="str">
        <f t="shared" si="14"/>
        <v>GA15</v>
      </c>
      <c r="C332" t="s">
        <v>219</v>
      </c>
      <c r="D332" t="s">
        <v>951</v>
      </c>
      <c r="E332" t="s">
        <v>967</v>
      </c>
      <c r="F332" t="s">
        <v>968</v>
      </c>
      <c r="G332">
        <v>2</v>
      </c>
      <c r="H332" t="s">
        <v>310</v>
      </c>
      <c r="I332">
        <v>15</v>
      </c>
      <c r="J332" s="37">
        <v>347.89</v>
      </c>
      <c r="N332"/>
      <c r="O332"/>
    </row>
    <row r="333" spans="1:15" x14ac:dyDescent="0.35">
      <c r="A333" s="5">
        <v>331</v>
      </c>
      <c r="B333" s="5" t="str">
        <f t="shared" si="14"/>
        <v>GA15</v>
      </c>
      <c r="C333" t="s">
        <v>219</v>
      </c>
      <c r="D333" t="s">
        <v>951</v>
      </c>
      <c r="E333" t="s">
        <v>973</v>
      </c>
      <c r="F333" t="s">
        <v>278</v>
      </c>
      <c r="G333">
        <v>2</v>
      </c>
      <c r="H333" t="s">
        <v>310</v>
      </c>
      <c r="I333">
        <v>15</v>
      </c>
      <c r="J333" s="37">
        <v>352.78</v>
      </c>
      <c r="N333"/>
      <c r="O333"/>
    </row>
    <row r="334" spans="1:15" x14ac:dyDescent="0.35">
      <c r="A334" s="5">
        <v>332</v>
      </c>
      <c r="B334" s="5" t="str">
        <f t="shared" si="14"/>
        <v>GA16</v>
      </c>
      <c r="C334" t="s">
        <v>219</v>
      </c>
      <c r="D334" t="s">
        <v>951</v>
      </c>
      <c r="E334" t="s">
        <v>969</v>
      </c>
      <c r="F334" t="s">
        <v>970</v>
      </c>
      <c r="G334">
        <v>2</v>
      </c>
      <c r="H334" t="s">
        <v>310</v>
      </c>
      <c r="I334">
        <v>16</v>
      </c>
      <c r="J334" s="37">
        <v>218.97</v>
      </c>
      <c r="N334"/>
      <c r="O334"/>
    </row>
    <row r="335" spans="1:15" x14ac:dyDescent="0.35">
      <c r="A335" s="5">
        <v>333</v>
      </c>
      <c r="B335" s="5" t="str">
        <f t="shared" si="14"/>
        <v>GA16</v>
      </c>
      <c r="C335" t="s">
        <v>219</v>
      </c>
      <c r="D335" t="s">
        <v>951</v>
      </c>
      <c r="E335" t="s">
        <v>961</v>
      </c>
      <c r="F335" t="s">
        <v>962</v>
      </c>
      <c r="G335">
        <v>2</v>
      </c>
      <c r="H335" t="s">
        <v>310</v>
      </c>
      <c r="I335">
        <v>16</v>
      </c>
      <c r="J335" s="37">
        <v>220.78</v>
      </c>
      <c r="N335"/>
      <c r="O335"/>
    </row>
    <row r="336" spans="1:15" x14ac:dyDescent="0.35">
      <c r="A336" s="5">
        <v>334</v>
      </c>
      <c r="B336" s="5" t="str">
        <f t="shared" si="14"/>
        <v>GA16</v>
      </c>
      <c r="C336" t="s">
        <v>219</v>
      </c>
      <c r="D336" t="s">
        <v>951</v>
      </c>
      <c r="E336" t="s">
        <v>963</v>
      </c>
      <c r="F336" t="s">
        <v>964</v>
      </c>
      <c r="G336">
        <v>2</v>
      </c>
      <c r="H336" t="s">
        <v>310</v>
      </c>
      <c r="I336">
        <v>16</v>
      </c>
      <c r="J336" s="37">
        <v>233.12</v>
      </c>
      <c r="N336"/>
      <c r="O336"/>
    </row>
    <row r="337" spans="1:15" x14ac:dyDescent="0.35">
      <c r="A337" s="5">
        <v>335</v>
      </c>
      <c r="B337" s="5" t="str">
        <f t="shared" si="14"/>
        <v>GA16</v>
      </c>
      <c r="C337" t="s">
        <v>219</v>
      </c>
      <c r="D337" t="s">
        <v>951</v>
      </c>
      <c r="E337" t="s">
        <v>965</v>
      </c>
      <c r="F337" t="s">
        <v>966</v>
      </c>
      <c r="G337">
        <v>2</v>
      </c>
      <c r="H337" t="s">
        <v>310</v>
      </c>
      <c r="I337">
        <v>16</v>
      </c>
      <c r="J337" s="37">
        <v>235.06</v>
      </c>
      <c r="N337"/>
      <c r="O337"/>
    </row>
    <row r="338" spans="1:15" x14ac:dyDescent="0.35">
      <c r="A338" s="5">
        <v>336</v>
      </c>
      <c r="B338" s="5" t="str">
        <f t="shared" si="14"/>
        <v>GA16</v>
      </c>
      <c r="C338" t="s">
        <v>219</v>
      </c>
      <c r="D338" t="s">
        <v>951</v>
      </c>
      <c r="E338" t="s">
        <v>967</v>
      </c>
      <c r="F338" t="s">
        <v>968</v>
      </c>
      <c r="G338">
        <v>2</v>
      </c>
      <c r="H338" t="s">
        <v>310</v>
      </c>
      <c r="I338">
        <v>16</v>
      </c>
      <c r="J338" s="37">
        <v>242.14</v>
      </c>
      <c r="N338"/>
      <c r="O338"/>
    </row>
    <row r="339" spans="1:15" x14ac:dyDescent="0.35">
      <c r="A339" s="5">
        <v>337</v>
      </c>
      <c r="B339" s="5" t="str">
        <f t="shared" si="14"/>
        <v>GA16</v>
      </c>
      <c r="C339" t="s">
        <v>219</v>
      </c>
      <c r="D339" t="s">
        <v>844</v>
      </c>
      <c r="E339" t="s">
        <v>295</v>
      </c>
      <c r="F339" t="s">
        <v>1088</v>
      </c>
      <c r="G339">
        <v>3</v>
      </c>
      <c r="H339" t="s">
        <v>310</v>
      </c>
      <c r="I339">
        <v>16</v>
      </c>
      <c r="J339" s="37">
        <v>244.71</v>
      </c>
      <c r="N339"/>
      <c r="O339"/>
    </row>
    <row r="340" spans="1:15" x14ac:dyDescent="0.35">
      <c r="A340" s="5">
        <v>338</v>
      </c>
      <c r="B340" s="5" t="str">
        <f t="shared" si="14"/>
        <v>GA16</v>
      </c>
      <c r="C340" t="s">
        <v>219</v>
      </c>
      <c r="D340" t="s">
        <v>951</v>
      </c>
      <c r="E340" t="s">
        <v>973</v>
      </c>
      <c r="F340" t="s">
        <v>278</v>
      </c>
      <c r="G340">
        <v>2</v>
      </c>
      <c r="H340" t="s">
        <v>310</v>
      </c>
      <c r="I340">
        <v>16</v>
      </c>
      <c r="J340" s="37">
        <v>245.55</v>
      </c>
      <c r="N340"/>
      <c r="O340"/>
    </row>
    <row r="341" spans="1:15" x14ac:dyDescent="0.35">
      <c r="A341" s="5">
        <v>339</v>
      </c>
      <c r="B341" s="5" t="str">
        <f t="shared" si="14"/>
        <v>GA16</v>
      </c>
      <c r="C341" t="s">
        <v>219</v>
      </c>
      <c r="D341" t="s">
        <v>260</v>
      </c>
      <c r="E341" t="s">
        <v>1115</v>
      </c>
      <c r="F341" t="s">
        <v>851</v>
      </c>
      <c r="G341">
        <v>2</v>
      </c>
      <c r="H341" t="s">
        <v>310</v>
      </c>
      <c r="I341">
        <v>16</v>
      </c>
      <c r="J341" s="37">
        <v>254.56</v>
      </c>
      <c r="N341"/>
      <c r="O341"/>
    </row>
    <row r="342" spans="1:15" x14ac:dyDescent="0.35">
      <c r="A342" s="5">
        <v>340</v>
      </c>
      <c r="B342" s="5" t="str">
        <f t="shared" si="14"/>
        <v>GA16</v>
      </c>
      <c r="C342" t="s">
        <v>219</v>
      </c>
      <c r="D342" t="s">
        <v>260</v>
      </c>
      <c r="E342" t="s">
        <v>1114</v>
      </c>
      <c r="F342" t="s">
        <v>850</v>
      </c>
      <c r="G342">
        <v>2</v>
      </c>
      <c r="H342" t="s">
        <v>310</v>
      </c>
      <c r="I342">
        <v>16</v>
      </c>
      <c r="J342" s="37">
        <v>268.56</v>
      </c>
      <c r="N342"/>
      <c r="O342"/>
    </row>
    <row r="343" spans="1:15" x14ac:dyDescent="0.35">
      <c r="A343" s="5">
        <v>341</v>
      </c>
      <c r="B343" s="5" t="str">
        <f t="shared" si="14"/>
        <v>GA16</v>
      </c>
      <c r="C343" t="s">
        <v>219</v>
      </c>
      <c r="D343" t="s">
        <v>260</v>
      </c>
      <c r="E343" t="s">
        <v>1113</v>
      </c>
      <c r="F343" t="s">
        <v>849</v>
      </c>
      <c r="G343">
        <v>2</v>
      </c>
      <c r="H343" t="s">
        <v>310</v>
      </c>
      <c r="I343">
        <v>16</v>
      </c>
      <c r="J343" s="37">
        <v>270.08999999999997</v>
      </c>
      <c r="N343"/>
      <c r="O343"/>
    </row>
    <row r="344" spans="1:15" x14ac:dyDescent="0.35">
      <c r="N344"/>
      <c r="O344"/>
    </row>
    <row r="345" spans="1:15" x14ac:dyDescent="0.35">
      <c r="N345"/>
      <c r="O345"/>
    </row>
    <row r="346" spans="1:15" x14ac:dyDescent="0.35">
      <c r="N346"/>
      <c r="O346"/>
    </row>
    <row r="347" spans="1:15" x14ac:dyDescent="0.35">
      <c r="N347"/>
      <c r="O347"/>
    </row>
    <row r="348" spans="1:15" x14ac:dyDescent="0.35">
      <c r="N348"/>
      <c r="O348"/>
    </row>
    <row r="349" spans="1:15" x14ac:dyDescent="0.35">
      <c r="N349"/>
      <c r="O349"/>
    </row>
    <row r="350" spans="1:15" x14ac:dyDescent="0.35">
      <c r="N350"/>
      <c r="O350"/>
    </row>
    <row r="351" spans="1:15" x14ac:dyDescent="0.35">
      <c r="N351"/>
      <c r="O351"/>
    </row>
    <row r="352" spans="1:15" x14ac:dyDescent="0.35">
      <c r="N352"/>
      <c r="O352"/>
    </row>
    <row r="353" spans="14:15" x14ac:dyDescent="0.35">
      <c r="N353"/>
      <c r="O353"/>
    </row>
    <row r="354" spans="14:15" x14ac:dyDescent="0.35">
      <c r="N354"/>
      <c r="O354"/>
    </row>
    <row r="355" spans="14:15" x14ac:dyDescent="0.35">
      <c r="N355"/>
      <c r="O355"/>
    </row>
    <row r="356" spans="14:15" x14ac:dyDescent="0.35">
      <c r="N356"/>
      <c r="O356"/>
    </row>
    <row r="357" spans="14:15" x14ac:dyDescent="0.35">
      <c r="N357"/>
      <c r="O357"/>
    </row>
    <row r="358" spans="14:15" x14ac:dyDescent="0.35">
      <c r="N358"/>
      <c r="O358"/>
    </row>
    <row r="359" spans="14:15" x14ac:dyDescent="0.35">
      <c r="N359"/>
      <c r="O359"/>
    </row>
    <row r="360" spans="14:15" x14ac:dyDescent="0.35">
      <c r="N360"/>
      <c r="O360"/>
    </row>
    <row r="361" spans="14:15" x14ac:dyDescent="0.35">
      <c r="N361"/>
      <c r="O361"/>
    </row>
    <row r="362" spans="14:15" x14ac:dyDescent="0.35">
      <c r="N362"/>
      <c r="O362"/>
    </row>
    <row r="363" spans="14:15" x14ac:dyDescent="0.35">
      <c r="N363"/>
      <c r="O363"/>
    </row>
    <row r="364" spans="14:15" x14ac:dyDescent="0.35">
      <c r="N364"/>
      <c r="O364"/>
    </row>
    <row r="365" spans="14:15" x14ac:dyDescent="0.35">
      <c r="N365"/>
      <c r="O365"/>
    </row>
    <row r="366" spans="14:15" x14ac:dyDescent="0.35">
      <c r="N366"/>
      <c r="O366"/>
    </row>
    <row r="367" spans="14:15" x14ac:dyDescent="0.35">
      <c r="N367"/>
      <c r="O367"/>
    </row>
    <row r="368" spans="14:15" x14ac:dyDescent="0.35">
      <c r="N368"/>
      <c r="O368"/>
    </row>
    <row r="369" spans="14:15" x14ac:dyDescent="0.35">
      <c r="N369"/>
      <c r="O369"/>
    </row>
    <row r="370" spans="14:15" x14ac:dyDescent="0.35">
      <c r="N370"/>
      <c r="O370"/>
    </row>
    <row r="371" spans="14:15" x14ac:dyDescent="0.35">
      <c r="N371"/>
      <c r="O371"/>
    </row>
    <row r="372" spans="14:15" x14ac:dyDescent="0.35">
      <c r="N372"/>
      <c r="O372"/>
    </row>
    <row r="373" spans="14:15" x14ac:dyDescent="0.35">
      <c r="N373"/>
      <c r="O373"/>
    </row>
    <row r="374" spans="14:15" x14ac:dyDescent="0.35">
      <c r="N374"/>
      <c r="O374"/>
    </row>
    <row r="375" spans="14:15" x14ac:dyDescent="0.35">
      <c r="N375"/>
      <c r="O375"/>
    </row>
    <row r="376" spans="14:15" x14ac:dyDescent="0.35">
      <c r="N376"/>
      <c r="O376"/>
    </row>
    <row r="377" spans="14:15" x14ac:dyDescent="0.35">
      <c r="N377"/>
      <c r="O377"/>
    </row>
    <row r="378" spans="14:15" x14ac:dyDescent="0.35">
      <c r="N378"/>
      <c r="O378"/>
    </row>
    <row r="379" spans="14:15" x14ac:dyDescent="0.35">
      <c r="N379"/>
      <c r="O379"/>
    </row>
    <row r="380" spans="14:15" x14ac:dyDescent="0.35">
      <c r="N380"/>
      <c r="O380"/>
    </row>
    <row r="381" spans="14:15" x14ac:dyDescent="0.35">
      <c r="N381"/>
      <c r="O381"/>
    </row>
    <row r="382" spans="14:15" x14ac:dyDescent="0.35">
      <c r="N382"/>
      <c r="O382"/>
    </row>
    <row r="383" spans="14:15" x14ac:dyDescent="0.35">
      <c r="N383"/>
      <c r="O383"/>
    </row>
    <row r="384" spans="14:15" x14ac:dyDescent="0.35">
      <c r="N384"/>
      <c r="O384"/>
    </row>
    <row r="385" spans="14:15" x14ac:dyDescent="0.35">
      <c r="N385"/>
      <c r="O385"/>
    </row>
    <row r="386" spans="14:15" x14ac:dyDescent="0.35">
      <c r="N386"/>
      <c r="O386"/>
    </row>
    <row r="387" spans="14:15" x14ac:dyDescent="0.35">
      <c r="N387"/>
      <c r="O387"/>
    </row>
    <row r="388" spans="14:15" x14ac:dyDescent="0.35">
      <c r="N388"/>
      <c r="O388"/>
    </row>
    <row r="389" spans="14:15" x14ac:dyDescent="0.35">
      <c r="N389"/>
      <c r="O389"/>
    </row>
    <row r="390" spans="14:15" x14ac:dyDescent="0.35">
      <c r="N390"/>
      <c r="O390"/>
    </row>
    <row r="391" spans="14:15" x14ac:dyDescent="0.35">
      <c r="N391"/>
      <c r="O391"/>
    </row>
    <row r="392" spans="14:15" x14ac:dyDescent="0.35">
      <c r="N392"/>
      <c r="O392"/>
    </row>
    <row r="393" spans="14:15" x14ac:dyDescent="0.35">
      <c r="N393"/>
      <c r="O393"/>
    </row>
    <row r="394" spans="14:15" x14ac:dyDescent="0.35">
      <c r="N394"/>
      <c r="O394"/>
    </row>
    <row r="395" spans="14:15" x14ac:dyDescent="0.35">
      <c r="N395"/>
      <c r="O395"/>
    </row>
    <row r="396" spans="14:15" x14ac:dyDescent="0.35">
      <c r="N396"/>
      <c r="O396"/>
    </row>
    <row r="397" spans="14:15" x14ac:dyDescent="0.35">
      <c r="N397"/>
      <c r="O397"/>
    </row>
    <row r="398" spans="14:15" x14ac:dyDescent="0.35">
      <c r="N398"/>
      <c r="O398"/>
    </row>
    <row r="399" spans="14:15" x14ac:dyDescent="0.35">
      <c r="N399"/>
      <c r="O399"/>
    </row>
    <row r="400" spans="14:15" x14ac:dyDescent="0.35">
      <c r="N400"/>
      <c r="O400"/>
    </row>
    <row r="401" spans="14:15" x14ac:dyDescent="0.35">
      <c r="N401"/>
      <c r="O401"/>
    </row>
    <row r="402" spans="14:15" x14ac:dyDescent="0.35">
      <c r="N402"/>
      <c r="O402"/>
    </row>
    <row r="403" spans="14:15" x14ac:dyDescent="0.35">
      <c r="N403"/>
      <c r="O403"/>
    </row>
    <row r="404" spans="14:15" x14ac:dyDescent="0.35">
      <c r="N404"/>
      <c r="O404"/>
    </row>
    <row r="405" spans="14:15" x14ac:dyDescent="0.35">
      <c r="N405"/>
      <c r="O405"/>
    </row>
    <row r="406" spans="14:15" x14ac:dyDescent="0.35">
      <c r="N406"/>
      <c r="O406"/>
    </row>
    <row r="407" spans="14:15" x14ac:dyDescent="0.35">
      <c r="N407"/>
      <c r="O407"/>
    </row>
    <row r="408" spans="14:15" x14ac:dyDescent="0.35">
      <c r="N408"/>
      <c r="O408"/>
    </row>
    <row r="409" spans="14:15" x14ac:dyDescent="0.35">
      <c r="N409"/>
      <c r="O409"/>
    </row>
    <row r="410" spans="14:15" x14ac:dyDescent="0.35">
      <c r="N410"/>
      <c r="O410"/>
    </row>
    <row r="411" spans="14:15" x14ac:dyDescent="0.35">
      <c r="N411"/>
      <c r="O411"/>
    </row>
    <row r="412" spans="14:15" x14ac:dyDescent="0.35">
      <c r="N412"/>
      <c r="O412"/>
    </row>
    <row r="413" spans="14:15" x14ac:dyDescent="0.35">
      <c r="N413"/>
      <c r="O413"/>
    </row>
    <row r="414" spans="14:15" x14ac:dyDescent="0.35">
      <c r="N414"/>
      <c r="O414"/>
    </row>
    <row r="415" spans="14:15" x14ac:dyDescent="0.35">
      <c r="N415"/>
      <c r="O415"/>
    </row>
    <row r="416" spans="14:15" x14ac:dyDescent="0.35">
      <c r="N416"/>
      <c r="O416"/>
    </row>
    <row r="417" spans="14:15" x14ac:dyDescent="0.35">
      <c r="N417"/>
      <c r="O417"/>
    </row>
    <row r="418" spans="14:15" x14ac:dyDescent="0.35">
      <c r="N418"/>
      <c r="O418"/>
    </row>
    <row r="419" spans="14:15" x14ac:dyDescent="0.35">
      <c r="N419"/>
      <c r="O419"/>
    </row>
    <row r="420" spans="14:15" x14ac:dyDescent="0.35">
      <c r="N420"/>
      <c r="O420"/>
    </row>
    <row r="421" spans="14:15" x14ac:dyDescent="0.35">
      <c r="N421"/>
      <c r="O421"/>
    </row>
    <row r="422" spans="14:15" x14ac:dyDescent="0.35">
      <c r="N422"/>
      <c r="O422"/>
    </row>
    <row r="423" spans="14:15" x14ac:dyDescent="0.35">
      <c r="N423"/>
      <c r="O423"/>
    </row>
    <row r="424" spans="14:15" x14ac:dyDescent="0.35">
      <c r="N424"/>
      <c r="O424"/>
    </row>
    <row r="425" spans="14:15" x14ac:dyDescent="0.35">
      <c r="N425"/>
      <c r="O425"/>
    </row>
    <row r="426" spans="14:15" x14ac:dyDescent="0.35">
      <c r="N426"/>
      <c r="O426"/>
    </row>
    <row r="427" spans="14:15" x14ac:dyDescent="0.35">
      <c r="N427"/>
      <c r="O427"/>
    </row>
    <row r="428" spans="14:15" x14ac:dyDescent="0.35">
      <c r="N428"/>
      <c r="O428"/>
    </row>
    <row r="429" spans="14:15" x14ac:dyDescent="0.35">
      <c r="N429"/>
      <c r="O429"/>
    </row>
    <row r="430" spans="14:15" x14ac:dyDescent="0.35">
      <c r="N430"/>
      <c r="O430"/>
    </row>
    <row r="431" spans="14:15" x14ac:dyDescent="0.35">
      <c r="N431"/>
      <c r="O431"/>
    </row>
    <row r="432" spans="14:15" x14ac:dyDescent="0.35">
      <c r="N432"/>
      <c r="O432"/>
    </row>
    <row r="433" spans="14:15" x14ac:dyDescent="0.35">
      <c r="N433"/>
      <c r="O433"/>
    </row>
    <row r="434" spans="14:15" x14ac:dyDescent="0.35">
      <c r="N434"/>
      <c r="O434"/>
    </row>
    <row r="435" spans="14:15" x14ac:dyDescent="0.35">
      <c r="N435"/>
      <c r="O435"/>
    </row>
    <row r="436" spans="14:15" x14ac:dyDescent="0.35">
      <c r="N436"/>
      <c r="O436"/>
    </row>
    <row r="437" spans="14:15" x14ac:dyDescent="0.35">
      <c r="N437"/>
      <c r="O437"/>
    </row>
    <row r="438" spans="14:15" x14ac:dyDescent="0.35">
      <c r="N438"/>
      <c r="O438"/>
    </row>
    <row r="439" spans="14:15" x14ac:dyDescent="0.35">
      <c r="N439"/>
      <c r="O439"/>
    </row>
    <row r="440" spans="14:15" x14ac:dyDescent="0.35">
      <c r="N440"/>
      <c r="O440"/>
    </row>
    <row r="441" spans="14:15" x14ac:dyDescent="0.35">
      <c r="N441"/>
      <c r="O441"/>
    </row>
    <row r="442" spans="14:15" x14ac:dyDescent="0.35">
      <c r="N442"/>
      <c r="O442"/>
    </row>
    <row r="443" spans="14:15" x14ac:dyDescent="0.35">
      <c r="N443"/>
      <c r="O443"/>
    </row>
    <row r="444" spans="14:15" x14ac:dyDescent="0.35">
      <c r="N444"/>
      <c r="O444"/>
    </row>
    <row r="445" spans="14:15" x14ac:dyDescent="0.35">
      <c r="N445"/>
      <c r="O445"/>
    </row>
    <row r="446" spans="14:15" x14ac:dyDescent="0.35">
      <c r="N446"/>
      <c r="O446"/>
    </row>
    <row r="447" spans="14:15" x14ac:dyDescent="0.35">
      <c r="N447"/>
      <c r="O447"/>
    </row>
    <row r="448" spans="14:15" x14ac:dyDescent="0.35">
      <c r="N448"/>
      <c r="O448"/>
    </row>
    <row r="449" spans="14:15" x14ac:dyDescent="0.35">
      <c r="N449"/>
      <c r="O449"/>
    </row>
    <row r="450" spans="14:15" x14ac:dyDescent="0.35">
      <c r="N450"/>
      <c r="O450"/>
    </row>
    <row r="451" spans="14:15" x14ac:dyDescent="0.35">
      <c r="N451"/>
      <c r="O451"/>
    </row>
    <row r="452" spans="14:15" x14ac:dyDescent="0.35">
      <c r="N452"/>
      <c r="O452"/>
    </row>
    <row r="453" spans="14:15" x14ac:dyDescent="0.35">
      <c r="N453"/>
      <c r="O453"/>
    </row>
    <row r="454" spans="14:15" x14ac:dyDescent="0.35">
      <c r="N454"/>
      <c r="O454"/>
    </row>
    <row r="455" spans="14:15" x14ac:dyDescent="0.35">
      <c r="N455"/>
      <c r="O455"/>
    </row>
    <row r="456" spans="14:15" x14ac:dyDescent="0.35">
      <c r="N456"/>
      <c r="O456"/>
    </row>
    <row r="457" spans="14:15" x14ac:dyDescent="0.35">
      <c r="N457"/>
      <c r="O457"/>
    </row>
    <row r="458" spans="14:15" x14ac:dyDescent="0.35">
      <c r="N458"/>
      <c r="O458"/>
    </row>
    <row r="459" spans="14:15" x14ac:dyDescent="0.35">
      <c r="N459"/>
      <c r="O459"/>
    </row>
    <row r="460" spans="14:15" x14ac:dyDescent="0.35">
      <c r="N460"/>
      <c r="O460"/>
    </row>
    <row r="461" spans="14:15" x14ac:dyDescent="0.35">
      <c r="N461"/>
      <c r="O461"/>
    </row>
    <row r="462" spans="14:15" x14ac:dyDescent="0.35">
      <c r="N462"/>
      <c r="O462"/>
    </row>
    <row r="463" spans="14:15" x14ac:dyDescent="0.35">
      <c r="N463"/>
      <c r="O463"/>
    </row>
    <row r="464" spans="14:15" x14ac:dyDescent="0.35">
      <c r="N464"/>
      <c r="O464"/>
    </row>
    <row r="465" spans="14:15" x14ac:dyDescent="0.35">
      <c r="N465"/>
      <c r="O465"/>
    </row>
    <row r="466" spans="14:15" x14ac:dyDescent="0.35">
      <c r="N466"/>
      <c r="O466"/>
    </row>
    <row r="467" spans="14:15" x14ac:dyDescent="0.35">
      <c r="N467"/>
      <c r="O467"/>
    </row>
    <row r="468" spans="14:15" x14ac:dyDescent="0.35">
      <c r="N468"/>
      <c r="O468"/>
    </row>
    <row r="469" spans="14:15" x14ac:dyDescent="0.35">
      <c r="N469"/>
      <c r="O469"/>
    </row>
    <row r="470" spans="14:15" x14ac:dyDescent="0.35">
      <c r="N470"/>
      <c r="O470"/>
    </row>
    <row r="471" spans="14:15" x14ac:dyDescent="0.35">
      <c r="N471"/>
      <c r="O471"/>
    </row>
    <row r="472" spans="14:15" x14ac:dyDescent="0.35">
      <c r="N472"/>
      <c r="O472"/>
    </row>
    <row r="473" spans="14:15" x14ac:dyDescent="0.35">
      <c r="N473"/>
      <c r="O473"/>
    </row>
    <row r="474" spans="14:15" x14ac:dyDescent="0.35">
      <c r="N474"/>
      <c r="O474"/>
    </row>
    <row r="475" spans="14:15" x14ac:dyDescent="0.35">
      <c r="N475"/>
      <c r="O475"/>
    </row>
    <row r="476" spans="14:15" x14ac:dyDescent="0.35">
      <c r="N476"/>
      <c r="O476"/>
    </row>
    <row r="477" spans="14:15" x14ac:dyDescent="0.35">
      <c r="N477"/>
      <c r="O477"/>
    </row>
    <row r="478" spans="14:15" x14ac:dyDescent="0.35">
      <c r="N478"/>
      <c r="O478"/>
    </row>
    <row r="479" spans="14:15" x14ac:dyDescent="0.35">
      <c r="N479"/>
      <c r="O479"/>
    </row>
    <row r="480" spans="14:15" x14ac:dyDescent="0.35">
      <c r="N480"/>
      <c r="O480"/>
    </row>
    <row r="481" spans="14:15" x14ac:dyDescent="0.35">
      <c r="N481"/>
      <c r="O481"/>
    </row>
    <row r="482" spans="14:15" x14ac:dyDescent="0.35">
      <c r="N482"/>
      <c r="O482"/>
    </row>
    <row r="483" spans="14:15" x14ac:dyDescent="0.35">
      <c r="N483"/>
      <c r="O483"/>
    </row>
    <row r="484" spans="14:15" x14ac:dyDescent="0.35">
      <c r="N484"/>
      <c r="O484"/>
    </row>
    <row r="485" spans="14:15" x14ac:dyDescent="0.35">
      <c r="N485"/>
      <c r="O485"/>
    </row>
    <row r="486" spans="14:15" x14ac:dyDescent="0.35">
      <c r="N486"/>
      <c r="O486"/>
    </row>
    <row r="487" spans="14:15" x14ac:dyDescent="0.35">
      <c r="N487"/>
      <c r="O487"/>
    </row>
    <row r="488" spans="14:15" x14ac:dyDescent="0.35">
      <c r="N488"/>
      <c r="O488"/>
    </row>
    <row r="489" spans="14:15" x14ac:dyDescent="0.35">
      <c r="N489"/>
      <c r="O489"/>
    </row>
    <row r="490" spans="14:15" x14ac:dyDescent="0.35">
      <c r="N490"/>
      <c r="O490"/>
    </row>
    <row r="491" spans="14:15" x14ac:dyDescent="0.35">
      <c r="N491"/>
      <c r="O491"/>
    </row>
    <row r="492" spans="14:15" x14ac:dyDescent="0.35">
      <c r="N492"/>
      <c r="O492"/>
    </row>
    <row r="493" spans="14:15" x14ac:dyDescent="0.35">
      <c r="N493"/>
      <c r="O493"/>
    </row>
    <row r="494" spans="14:15" x14ac:dyDescent="0.35">
      <c r="N494"/>
      <c r="O494"/>
    </row>
    <row r="495" spans="14:15" x14ac:dyDescent="0.35">
      <c r="N495"/>
      <c r="O495"/>
    </row>
    <row r="496" spans="14:15" x14ac:dyDescent="0.35">
      <c r="N496"/>
      <c r="O496"/>
    </row>
    <row r="497" spans="14:15" x14ac:dyDescent="0.35">
      <c r="N497"/>
      <c r="O497"/>
    </row>
    <row r="498" spans="14:15" x14ac:dyDescent="0.35">
      <c r="N498"/>
      <c r="O498"/>
    </row>
    <row r="499" spans="14:15" x14ac:dyDescent="0.35">
      <c r="N499"/>
      <c r="O499"/>
    </row>
    <row r="500" spans="14:15" x14ac:dyDescent="0.35">
      <c r="N500"/>
      <c r="O500"/>
    </row>
    <row r="501" spans="14:15" x14ac:dyDescent="0.35">
      <c r="N501"/>
      <c r="O501"/>
    </row>
    <row r="502" spans="14:15" x14ac:dyDescent="0.35">
      <c r="N502"/>
      <c r="O502"/>
    </row>
    <row r="503" spans="14:15" x14ac:dyDescent="0.35">
      <c r="N503"/>
      <c r="O503"/>
    </row>
    <row r="504" spans="14:15" x14ac:dyDescent="0.35">
      <c r="N504"/>
      <c r="O504"/>
    </row>
    <row r="505" spans="14:15" x14ac:dyDescent="0.35">
      <c r="N505"/>
      <c r="O505"/>
    </row>
    <row r="506" spans="14:15" x14ac:dyDescent="0.35">
      <c r="N506"/>
      <c r="O506"/>
    </row>
    <row r="507" spans="14:15" x14ac:dyDescent="0.35">
      <c r="N507"/>
      <c r="O507"/>
    </row>
    <row r="508" spans="14:15" x14ac:dyDescent="0.35">
      <c r="N508"/>
      <c r="O508"/>
    </row>
    <row r="509" spans="14:15" x14ac:dyDescent="0.35">
      <c r="N509"/>
      <c r="O509"/>
    </row>
    <row r="510" spans="14:15" x14ac:dyDescent="0.35">
      <c r="N510"/>
      <c r="O510"/>
    </row>
    <row r="511" spans="14:15" x14ac:dyDescent="0.35">
      <c r="N511"/>
      <c r="O511"/>
    </row>
    <row r="512" spans="14:15" x14ac:dyDescent="0.35">
      <c r="N512"/>
      <c r="O512"/>
    </row>
    <row r="513" spans="14:15" x14ac:dyDescent="0.35">
      <c r="N513"/>
      <c r="O513"/>
    </row>
    <row r="514" spans="14:15" x14ac:dyDescent="0.35">
      <c r="N514"/>
      <c r="O514"/>
    </row>
    <row r="515" spans="14:15" x14ac:dyDescent="0.35">
      <c r="N515"/>
      <c r="O515"/>
    </row>
    <row r="516" spans="14:15" x14ac:dyDescent="0.35">
      <c r="N516"/>
      <c r="O516"/>
    </row>
    <row r="517" spans="14:15" x14ac:dyDescent="0.35">
      <c r="N517"/>
      <c r="O517"/>
    </row>
    <row r="518" spans="14:15" x14ac:dyDescent="0.35">
      <c r="N518"/>
      <c r="O518"/>
    </row>
    <row r="519" spans="14:15" x14ac:dyDescent="0.35">
      <c r="N519"/>
      <c r="O519"/>
    </row>
    <row r="520" spans="14:15" x14ac:dyDescent="0.35">
      <c r="N520"/>
      <c r="O520"/>
    </row>
    <row r="521" spans="14:15" x14ac:dyDescent="0.35">
      <c r="N521"/>
      <c r="O521"/>
    </row>
    <row r="522" spans="14:15" x14ac:dyDescent="0.35">
      <c r="N522"/>
      <c r="O522"/>
    </row>
    <row r="523" spans="14:15" x14ac:dyDescent="0.35">
      <c r="N523"/>
      <c r="O523"/>
    </row>
    <row r="524" spans="14:15" x14ac:dyDescent="0.35">
      <c r="N524"/>
      <c r="O524"/>
    </row>
    <row r="525" spans="14:15" x14ac:dyDescent="0.35">
      <c r="N525"/>
      <c r="O525"/>
    </row>
    <row r="526" spans="14:15" x14ac:dyDescent="0.35">
      <c r="N526"/>
      <c r="O526"/>
    </row>
    <row r="527" spans="14:15" x14ac:dyDescent="0.35">
      <c r="N527"/>
      <c r="O527"/>
    </row>
    <row r="528" spans="14:15" x14ac:dyDescent="0.35">
      <c r="N528"/>
      <c r="O528"/>
    </row>
    <row r="529" spans="14:15" x14ac:dyDescent="0.35">
      <c r="N529"/>
      <c r="O529"/>
    </row>
    <row r="530" spans="14:15" x14ac:dyDescent="0.35">
      <c r="N530"/>
      <c r="O530"/>
    </row>
    <row r="531" spans="14:15" x14ac:dyDescent="0.35">
      <c r="N531"/>
      <c r="O531"/>
    </row>
    <row r="532" spans="14:15" x14ac:dyDescent="0.35">
      <c r="N532"/>
      <c r="O532"/>
    </row>
    <row r="533" spans="14:15" x14ac:dyDescent="0.35">
      <c r="N533"/>
      <c r="O533"/>
    </row>
    <row r="534" spans="14:15" x14ac:dyDescent="0.35">
      <c r="N534"/>
      <c r="O534"/>
    </row>
    <row r="535" spans="14:15" x14ac:dyDescent="0.35">
      <c r="N535"/>
      <c r="O535"/>
    </row>
    <row r="536" spans="14:15" x14ac:dyDescent="0.35">
      <c r="N536"/>
      <c r="O536"/>
    </row>
    <row r="537" spans="14:15" x14ac:dyDescent="0.35">
      <c r="N537"/>
      <c r="O537"/>
    </row>
    <row r="538" spans="14:15" x14ac:dyDescent="0.35">
      <c r="N538"/>
      <c r="O538"/>
    </row>
    <row r="539" spans="14:15" x14ac:dyDescent="0.35">
      <c r="N539"/>
      <c r="O539"/>
    </row>
    <row r="540" spans="14:15" x14ac:dyDescent="0.35">
      <c r="N540"/>
      <c r="O540"/>
    </row>
    <row r="541" spans="14:15" x14ac:dyDescent="0.35">
      <c r="N541"/>
      <c r="O541"/>
    </row>
    <row r="542" spans="14:15" x14ac:dyDescent="0.35">
      <c r="N542"/>
      <c r="O542"/>
    </row>
    <row r="543" spans="14:15" x14ac:dyDescent="0.35">
      <c r="N543"/>
      <c r="O543"/>
    </row>
    <row r="544" spans="14:15" x14ac:dyDescent="0.35">
      <c r="N544"/>
      <c r="O544"/>
    </row>
    <row r="545" spans="14:15" x14ac:dyDescent="0.35">
      <c r="N545"/>
      <c r="O545"/>
    </row>
    <row r="546" spans="14:15" x14ac:dyDescent="0.35">
      <c r="N546"/>
      <c r="O546"/>
    </row>
    <row r="547" spans="14:15" x14ac:dyDescent="0.35">
      <c r="N547"/>
      <c r="O547"/>
    </row>
    <row r="548" spans="14:15" x14ac:dyDescent="0.35">
      <c r="N548"/>
      <c r="O548"/>
    </row>
    <row r="549" spans="14:15" x14ac:dyDescent="0.35">
      <c r="N549"/>
      <c r="O549"/>
    </row>
    <row r="550" spans="14:15" x14ac:dyDescent="0.35">
      <c r="N550"/>
      <c r="O550"/>
    </row>
    <row r="551" spans="14:15" x14ac:dyDescent="0.35">
      <c r="N551"/>
      <c r="O551"/>
    </row>
    <row r="552" spans="14:15" x14ac:dyDescent="0.35">
      <c r="N552"/>
      <c r="O552"/>
    </row>
    <row r="553" spans="14:15" x14ac:dyDescent="0.35">
      <c r="N553"/>
      <c r="O553"/>
    </row>
    <row r="554" spans="14:15" x14ac:dyDescent="0.35">
      <c r="N554"/>
      <c r="O554"/>
    </row>
    <row r="555" spans="14:15" x14ac:dyDescent="0.35">
      <c r="N555"/>
      <c r="O555"/>
    </row>
    <row r="556" spans="14:15" x14ac:dyDescent="0.35">
      <c r="N556"/>
      <c r="O556"/>
    </row>
    <row r="557" spans="14:15" x14ac:dyDescent="0.35">
      <c r="N557"/>
      <c r="O557"/>
    </row>
    <row r="558" spans="14:15" x14ac:dyDescent="0.35">
      <c r="N558"/>
      <c r="O558"/>
    </row>
    <row r="559" spans="14:15" x14ac:dyDescent="0.35">
      <c r="N559"/>
      <c r="O559"/>
    </row>
    <row r="560" spans="14:15" x14ac:dyDescent="0.35">
      <c r="N560"/>
      <c r="O560"/>
    </row>
    <row r="561" spans="14:15" x14ac:dyDescent="0.35">
      <c r="N561"/>
      <c r="O561"/>
    </row>
    <row r="562" spans="14:15" x14ac:dyDescent="0.35">
      <c r="N562"/>
      <c r="O562"/>
    </row>
    <row r="563" spans="14:15" x14ac:dyDescent="0.35">
      <c r="N563"/>
      <c r="O563"/>
    </row>
    <row r="564" spans="14:15" x14ac:dyDescent="0.35">
      <c r="N564"/>
      <c r="O564"/>
    </row>
    <row r="565" spans="14:15" x14ac:dyDescent="0.35">
      <c r="N565"/>
      <c r="O565"/>
    </row>
    <row r="566" spans="14:15" x14ac:dyDescent="0.35">
      <c r="N566"/>
      <c r="O566"/>
    </row>
    <row r="567" spans="14:15" x14ac:dyDescent="0.35">
      <c r="N567"/>
      <c r="O567"/>
    </row>
    <row r="568" spans="14:15" x14ac:dyDescent="0.35">
      <c r="N568"/>
      <c r="O568"/>
    </row>
    <row r="569" spans="14:15" x14ac:dyDescent="0.35">
      <c r="N569"/>
      <c r="O569"/>
    </row>
    <row r="570" spans="14:15" x14ac:dyDescent="0.35">
      <c r="N570"/>
      <c r="O570"/>
    </row>
    <row r="571" spans="14:15" x14ac:dyDescent="0.35">
      <c r="N571"/>
      <c r="O571"/>
    </row>
    <row r="572" spans="14:15" x14ac:dyDescent="0.35">
      <c r="N572"/>
      <c r="O572"/>
    </row>
    <row r="573" spans="14:15" x14ac:dyDescent="0.35">
      <c r="N573"/>
      <c r="O573"/>
    </row>
    <row r="574" spans="14:15" x14ac:dyDescent="0.35">
      <c r="N574"/>
      <c r="O574"/>
    </row>
    <row r="575" spans="14:15" x14ac:dyDescent="0.35">
      <c r="N575"/>
      <c r="O575"/>
    </row>
    <row r="576" spans="14:15" x14ac:dyDescent="0.35">
      <c r="N576"/>
      <c r="O576"/>
    </row>
    <row r="577" spans="14:15" x14ac:dyDescent="0.35">
      <c r="N577"/>
      <c r="O577"/>
    </row>
    <row r="578" spans="14:15" x14ac:dyDescent="0.35">
      <c r="N578"/>
      <c r="O578"/>
    </row>
    <row r="579" spans="14:15" x14ac:dyDescent="0.35">
      <c r="N579"/>
      <c r="O579"/>
    </row>
    <row r="580" spans="14:15" x14ac:dyDescent="0.35">
      <c r="N580"/>
      <c r="O580"/>
    </row>
    <row r="581" spans="14:15" x14ac:dyDescent="0.35">
      <c r="N581"/>
      <c r="O581"/>
    </row>
    <row r="582" spans="14:15" x14ac:dyDescent="0.35">
      <c r="N582"/>
      <c r="O582"/>
    </row>
    <row r="583" spans="14:15" x14ac:dyDescent="0.35">
      <c r="N583"/>
      <c r="O583"/>
    </row>
    <row r="584" spans="14:15" x14ac:dyDescent="0.35">
      <c r="N584"/>
      <c r="O584"/>
    </row>
    <row r="585" spans="14:15" x14ac:dyDescent="0.35">
      <c r="N585"/>
      <c r="O585"/>
    </row>
    <row r="586" spans="14:15" x14ac:dyDescent="0.35">
      <c r="N586"/>
      <c r="O586"/>
    </row>
    <row r="587" spans="14:15" x14ac:dyDescent="0.35">
      <c r="N587"/>
      <c r="O587"/>
    </row>
    <row r="588" spans="14:15" x14ac:dyDescent="0.35">
      <c r="N588"/>
      <c r="O588"/>
    </row>
    <row r="589" spans="14:15" x14ac:dyDescent="0.35">
      <c r="N589"/>
      <c r="O589"/>
    </row>
    <row r="590" spans="14:15" x14ac:dyDescent="0.35">
      <c r="N590"/>
      <c r="O590"/>
    </row>
    <row r="591" spans="14:15" x14ac:dyDescent="0.35">
      <c r="N591"/>
      <c r="O591"/>
    </row>
    <row r="592" spans="14:15" x14ac:dyDescent="0.35">
      <c r="N592"/>
      <c r="O592"/>
    </row>
    <row r="593" spans="14:15" x14ac:dyDescent="0.35">
      <c r="N593"/>
      <c r="O593"/>
    </row>
    <row r="594" spans="14:15" x14ac:dyDescent="0.35">
      <c r="N594"/>
      <c r="O594"/>
    </row>
    <row r="595" spans="14:15" x14ac:dyDescent="0.35">
      <c r="N595"/>
      <c r="O595"/>
    </row>
    <row r="596" spans="14:15" x14ac:dyDescent="0.35">
      <c r="N596"/>
      <c r="O596"/>
    </row>
    <row r="597" spans="14:15" x14ac:dyDescent="0.35">
      <c r="N597"/>
      <c r="O597"/>
    </row>
    <row r="598" spans="14:15" x14ac:dyDescent="0.35">
      <c r="N598"/>
      <c r="O598"/>
    </row>
    <row r="599" spans="14:15" x14ac:dyDescent="0.35">
      <c r="N599"/>
      <c r="O599"/>
    </row>
    <row r="600" spans="14:15" x14ac:dyDescent="0.35">
      <c r="N600"/>
      <c r="O600"/>
    </row>
    <row r="601" spans="14:15" x14ac:dyDescent="0.35">
      <c r="N601"/>
      <c r="O601"/>
    </row>
    <row r="602" spans="14:15" x14ac:dyDescent="0.35">
      <c r="N602"/>
      <c r="O602"/>
    </row>
    <row r="603" spans="14:15" x14ac:dyDescent="0.35">
      <c r="N603"/>
      <c r="O603"/>
    </row>
    <row r="604" spans="14:15" x14ac:dyDescent="0.35">
      <c r="N604"/>
      <c r="O604"/>
    </row>
    <row r="605" spans="14:15" x14ac:dyDescent="0.35">
      <c r="N605"/>
      <c r="O605"/>
    </row>
    <row r="606" spans="14:15" x14ac:dyDescent="0.35">
      <c r="N606"/>
      <c r="O606"/>
    </row>
    <row r="607" spans="14:15" x14ac:dyDescent="0.35">
      <c r="N607"/>
      <c r="O607"/>
    </row>
    <row r="608" spans="14:15" x14ac:dyDescent="0.35">
      <c r="N608"/>
      <c r="O608"/>
    </row>
    <row r="609" spans="14:15" x14ac:dyDescent="0.35">
      <c r="N609"/>
      <c r="O609"/>
    </row>
    <row r="610" spans="14:15" x14ac:dyDescent="0.35">
      <c r="N610"/>
      <c r="O610"/>
    </row>
    <row r="611" spans="14:15" x14ac:dyDescent="0.35">
      <c r="N611"/>
      <c r="O611"/>
    </row>
    <row r="612" spans="14:15" x14ac:dyDescent="0.35">
      <c r="N612"/>
      <c r="O612"/>
    </row>
    <row r="613" spans="14:15" x14ac:dyDescent="0.35">
      <c r="N613"/>
      <c r="O613"/>
    </row>
    <row r="614" spans="14:15" x14ac:dyDescent="0.35">
      <c r="N614"/>
      <c r="O614"/>
    </row>
    <row r="615" spans="14:15" x14ac:dyDescent="0.35">
      <c r="N615"/>
      <c r="O615"/>
    </row>
    <row r="616" spans="14:15" x14ac:dyDescent="0.35">
      <c r="N616"/>
      <c r="O616"/>
    </row>
    <row r="617" spans="14:15" x14ac:dyDescent="0.35">
      <c r="N617"/>
      <c r="O617"/>
    </row>
    <row r="618" spans="14:15" x14ac:dyDescent="0.35">
      <c r="N618"/>
      <c r="O618"/>
    </row>
    <row r="619" spans="14:15" x14ac:dyDescent="0.35">
      <c r="N619"/>
      <c r="O619"/>
    </row>
    <row r="620" spans="14:15" x14ac:dyDescent="0.35">
      <c r="N620"/>
      <c r="O620"/>
    </row>
    <row r="621" spans="14:15" x14ac:dyDescent="0.35">
      <c r="N621"/>
      <c r="O621"/>
    </row>
    <row r="622" spans="14:15" x14ac:dyDescent="0.35">
      <c r="N622"/>
      <c r="O622"/>
    </row>
    <row r="623" spans="14:15" x14ac:dyDescent="0.35">
      <c r="N623"/>
      <c r="O623"/>
    </row>
    <row r="624" spans="14:15" x14ac:dyDescent="0.35">
      <c r="N624"/>
      <c r="O624"/>
    </row>
    <row r="625" spans="14:15" x14ac:dyDescent="0.35">
      <c r="N625"/>
      <c r="O625"/>
    </row>
    <row r="626" spans="14:15" x14ac:dyDescent="0.35">
      <c r="N626"/>
      <c r="O626"/>
    </row>
    <row r="627" spans="14:15" x14ac:dyDescent="0.35">
      <c r="N627"/>
      <c r="O627"/>
    </row>
    <row r="628" spans="14:15" x14ac:dyDescent="0.35">
      <c r="N628"/>
      <c r="O628"/>
    </row>
    <row r="629" spans="14:15" x14ac:dyDescent="0.35">
      <c r="N629"/>
      <c r="O629"/>
    </row>
    <row r="630" spans="14:15" x14ac:dyDescent="0.35">
      <c r="N630"/>
      <c r="O630"/>
    </row>
    <row r="631" spans="14:15" x14ac:dyDescent="0.35">
      <c r="N631"/>
      <c r="O631"/>
    </row>
    <row r="632" spans="14:15" x14ac:dyDescent="0.35">
      <c r="N632"/>
      <c r="O632"/>
    </row>
    <row r="633" spans="14:15" x14ac:dyDescent="0.35">
      <c r="N633"/>
      <c r="O633"/>
    </row>
    <row r="634" spans="14:15" x14ac:dyDescent="0.35">
      <c r="N634"/>
      <c r="O634"/>
    </row>
    <row r="635" spans="14:15" x14ac:dyDescent="0.35">
      <c r="N635"/>
      <c r="O635"/>
    </row>
    <row r="636" spans="14:15" x14ac:dyDescent="0.35">
      <c r="N636"/>
      <c r="O636"/>
    </row>
    <row r="637" spans="14:15" x14ac:dyDescent="0.35">
      <c r="N637"/>
      <c r="O637"/>
    </row>
    <row r="638" spans="14:15" x14ac:dyDescent="0.35">
      <c r="N638"/>
      <c r="O638"/>
    </row>
    <row r="639" spans="14:15" x14ac:dyDescent="0.35">
      <c r="N639"/>
      <c r="O639"/>
    </row>
    <row r="640" spans="14:15" x14ac:dyDescent="0.35">
      <c r="N640"/>
      <c r="O640"/>
    </row>
    <row r="641" spans="14:15" x14ac:dyDescent="0.35">
      <c r="N641"/>
      <c r="O641"/>
    </row>
    <row r="642" spans="14:15" x14ac:dyDescent="0.35">
      <c r="N642"/>
      <c r="O642"/>
    </row>
    <row r="643" spans="14:15" x14ac:dyDescent="0.35">
      <c r="N643"/>
      <c r="O643"/>
    </row>
    <row r="644" spans="14:15" x14ac:dyDescent="0.35">
      <c r="N644"/>
      <c r="O644"/>
    </row>
    <row r="645" spans="14:15" x14ac:dyDescent="0.35">
      <c r="N645"/>
      <c r="O645"/>
    </row>
    <row r="646" spans="14:15" x14ac:dyDescent="0.35">
      <c r="N646"/>
      <c r="O646"/>
    </row>
    <row r="647" spans="14:15" x14ac:dyDescent="0.35">
      <c r="N647"/>
      <c r="O647"/>
    </row>
    <row r="648" spans="14:15" x14ac:dyDescent="0.35">
      <c r="N648"/>
      <c r="O648"/>
    </row>
    <row r="649" spans="14:15" x14ac:dyDescent="0.35">
      <c r="N649"/>
      <c r="O649"/>
    </row>
    <row r="650" spans="14:15" x14ac:dyDescent="0.35">
      <c r="N650"/>
      <c r="O650"/>
    </row>
    <row r="651" spans="14:15" x14ac:dyDescent="0.35">
      <c r="N651"/>
      <c r="O651"/>
    </row>
    <row r="652" spans="14:15" x14ac:dyDescent="0.35">
      <c r="N652"/>
      <c r="O652"/>
    </row>
    <row r="653" spans="14:15" x14ac:dyDescent="0.35">
      <c r="N653"/>
      <c r="O653"/>
    </row>
    <row r="654" spans="14:15" x14ac:dyDescent="0.35">
      <c r="N654"/>
      <c r="O654"/>
    </row>
    <row r="655" spans="14:15" x14ac:dyDescent="0.35">
      <c r="N655"/>
      <c r="O655"/>
    </row>
    <row r="656" spans="14:15" x14ac:dyDescent="0.35">
      <c r="N656"/>
      <c r="O656"/>
    </row>
    <row r="657" spans="14:15" x14ac:dyDescent="0.35">
      <c r="N657"/>
      <c r="O657"/>
    </row>
    <row r="658" spans="14:15" x14ac:dyDescent="0.35">
      <c r="N658"/>
      <c r="O658"/>
    </row>
    <row r="659" spans="14:15" x14ac:dyDescent="0.35">
      <c r="N659"/>
      <c r="O659"/>
    </row>
    <row r="660" spans="14:15" x14ac:dyDescent="0.35">
      <c r="N660"/>
      <c r="O660"/>
    </row>
    <row r="661" spans="14:15" x14ac:dyDescent="0.35">
      <c r="N661"/>
      <c r="O661"/>
    </row>
    <row r="662" spans="14:15" x14ac:dyDescent="0.35">
      <c r="N662"/>
      <c r="O662"/>
    </row>
    <row r="663" spans="14:15" x14ac:dyDescent="0.35">
      <c r="N663"/>
      <c r="O663"/>
    </row>
    <row r="664" spans="14:15" x14ac:dyDescent="0.35">
      <c r="N664"/>
      <c r="O664"/>
    </row>
    <row r="665" spans="14:15" x14ac:dyDescent="0.35">
      <c r="N665"/>
      <c r="O665"/>
    </row>
    <row r="666" spans="14:15" x14ac:dyDescent="0.35">
      <c r="N666"/>
      <c r="O666"/>
    </row>
    <row r="667" spans="14:15" x14ac:dyDescent="0.35">
      <c r="N667"/>
      <c r="O667"/>
    </row>
    <row r="668" spans="14:15" x14ac:dyDescent="0.35">
      <c r="N668"/>
      <c r="O668"/>
    </row>
    <row r="669" spans="14:15" x14ac:dyDescent="0.35">
      <c r="N669"/>
      <c r="O669"/>
    </row>
    <row r="670" spans="14:15" x14ac:dyDescent="0.35">
      <c r="N670"/>
      <c r="O670"/>
    </row>
    <row r="671" spans="14:15" x14ac:dyDescent="0.35">
      <c r="N671"/>
      <c r="O671"/>
    </row>
    <row r="672" spans="14:15" x14ac:dyDescent="0.35">
      <c r="N672"/>
      <c r="O672"/>
    </row>
    <row r="673" spans="14:15" x14ac:dyDescent="0.35">
      <c r="N673"/>
      <c r="O673"/>
    </row>
    <row r="674" spans="14:15" x14ac:dyDescent="0.35">
      <c r="N674"/>
      <c r="O674"/>
    </row>
    <row r="675" spans="14:15" x14ac:dyDescent="0.35">
      <c r="N675"/>
      <c r="O675"/>
    </row>
    <row r="676" spans="14:15" x14ac:dyDescent="0.35">
      <c r="N676"/>
      <c r="O676"/>
    </row>
    <row r="677" spans="14:15" x14ac:dyDescent="0.35">
      <c r="N677"/>
      <c r="O677"/>
    </row>
    <row r="678" spans="14:15" x14ac:dyDescent="0.35">
      <c r="N678"/>
      <c r="O678"/>
    </row>
    <row r="679" spans="14:15" x14ac:dyDescent="0.35">
      <c r="N679"/>
      <c r="O679"/>
    </row>
    <row r="680" spans="14:15" x14ac:dyDescent="0.35">
      <c r="N680"/>
      <c r="O680"/>
    </row>
    <row r="681" spans="14:15" x14ac:dyDescent="0.35">
      <c r="N681"/>
      <c r="O681"/>
    </row>
    <row r="682" spans="14:15" x14ac:dyDescent="0.35">
      <c r="N682"/>
      <c r="O682"/>
    </row>
    <row r="683" spans="14:15" x14ac:dyDescent="0.35">
      <c r="N683"/>
      <c r="O683"/>
    </row>
    <row r="684" spans="14:15" x14ac:dyDescent="0.35">
      <c r="N684"/>
      <c r="O684"/>
    </row>
    <row r="685" spans="14:15" x14ac:dyDescent="0.35">
      <c r="N685"/>
      <c r="O685"/>
    </row>
    <row r="686" spans="14:15" x14ac:dyDescent="0.35">
      <c r="N686"/>
      <c r="O686"/>
    </row>
    <row r="687" spans="14:15" x14ac:dyDescent="0.35">
      <c r="N687"/>
      <c r="O687"/>
    </row>
    <row r="688" spans="14:15" x14ac:dyDescent="0.35">
      <c r="N688"/>
      <c r="O688"/>
    </row>
    <row r="689" spans="14:15" x14ac:dyDescent="0.35">
      <c r="N689"/>
      <c r="O689"/>
    </row>
    <row r="690" spans="14:15" x14ac:dyDescent="0.35">
      <c r="N690"/>
      <c r="O690"/>
    </row>
    <row r="691" spans="14:15" x14ac:dyDescent="0.35">
      <c r="N691"/>
      <c r="O691"/>
    </row>
    <row r="692" spans="14:15" x14ac:dyDescent="0.35">
      <c r="N692"/>
      <c r="O692"/>
    </row>
    <row r="693" spans="14:15" x14ac:dyDescent="0.35">
      <c r="N693"/>
      <c r="O693"/>
    </row>
    <row r="694" spans="14:15" x14ac:dyDescent="0.35">
      <c r="N694"/>
      <c r="O694"/>
    </row>
    <row r="695" spans="14:15" x14ac:dyDescent="0.35">
      <c r="N695"/>
      <c r="O695"/>
    </row>
    <row r="696" spans="14:15" x14ac:dyDescent="0.35">
      <c r="N696"/>
      <c r="O696"/>
    </row>
    <row r="697" spans="14:15" x14ac:dyDescent="0.35">
      <c r="N697"/>
      <c r="O697"/>
    </row>
    <row r="698" spans="14:15" x14ac:dyDescent="0.35">
      <c r="N698"/>
      <c r="O698"/>
    </row>
    <row r="699" spans="14:15" x14ac:dyDescent="0.35">
      <c r="N699"/>
      <c r="O699"/>
    </row>
    <row r="700" spans="14:15" x14ac:dyDescent="0.35">
      <c r="N700"/>
      <c r="O700"/>
    </row>
    <row r="701" spans="14:15" x14ac:dyDescent="0.35">
      <c r="N701"/>
      <c r="O701"/>
    </row>
    <row r="702" spans="14:15" x14ac:dyDescent="0.35">
      <c r="N702"/>
      <c r="O702"/>
    </row>
    <row r="703" spans="14:15" x14ac:dyDescent="0.35">
      <c r="N703"/>
      <c r="O703"/>
    </row>
    <row r="704" spans="14:15" x14ac:dyDescent="0.35">
      <c r="N704"/>
      <c r="O704"/>
    </row>
    <row r="705" spans="14:15" x14ac:dyDescent="0.35">
      <c r="N705"/>
      <c r="O705"/>
    </row>
    <row r="706" spans="14:15" x14ac:dyDescent="0.35">
      <c r="N706"/>
      <c r="O706"/>
    </row>
    <row r="707" spans="14:15" x14ac:dyDescent="0.35">
      <c r="N707"/>
      <c r="O707"/>
    </row>
    <row r="708" spans="14:15" x14ac:dyDescent="0.35">
      <c r="N708"/>
      <c r="O708"/>
    </row>
    <row r="709" spans="14:15" x14ac:dyDescent="0.35">
      <c r="N709"/>
      <c r="O709"/>
    </row>
    <row r="710" spans="14:15" x14ac:dyDescent="0.35">
      <c r="N710"/>
      <c r="O710"/>
    </row>
    <row r="711" spans="14:15" x14ac:dyDescent="0.35">
      <c r="N711"/>
      <c r="O711"/>
    </row>
    <row r="712" spans="14:15" x14ac:dyDescent="0.35">
      <c r="N712"/>
      <c r="O712"/>
    </row>
    <row r="713" spans="14:15" x14ac:dyDescent="0.35">
      <c r="N713"/>
      <c r="O713"/>
    </row>
    <row r="714" spans="14:15" x14ac:dyDescent="0.35">
      <c r="N714"/>
      <c r="O714"/>
    </row>
    <row r="715" spans="14:15" x14ac:dyDescent="0.35">
      <c r="N715"/>
      <c r="O715"/>
    </row>
    <row r="716" spans="14:15" x14ac:dyDescent="0.35">
      <c r="N716"/>
      <c r="O716"/>
    </row>
    <row r="717" spans="14:15" x14ac:dyDescent="0.35">
      <c r="N717"/>
      <c r="O717"/>
    </row>
    <row r="718" spans="14:15" x14ac:dyDescent="0.35">
      <c r="N718"/>
      <c r="O718"/>
    </row>
    <row r="719" spans="14:15" x14ac:dyDescent="0.35">
      <c r="N719"/>
      <c r="O719"/>
    </row>
    <row r="720" spans="14:15" x14ac:dyDescent="0.35">
      <c r="N720"/>
      <c r="O720"/>
    </row>
    <row r="721" spans="14:15" x14ac:dyDescent="0.35">
      <c r="N721"/>
      <c r="O721"/>
    </row>
    <row r="722" spans="14:15" x14ac:dyDescent="0.35">
      <c r="N722"/>
      <c r="O722"/>
    </row>
    <row r="723" spans="14:15" x14ac:dyDescent="0.35">
      <c r="N723"/>
      <c r="O723"/>
    </row>
    <row r="724" spans="14:15" x14ac:dyDescent="0.35">
      <c r="N724"/>
      <c r="O724"/>
    </row>
    <row r="725" spans="14:15" x14ac:dyDescent="0.35">
      <c r="N725"/>
      <c r="O725"/>
    </row>
    <row r="726" spans="14:15" x14ac:dyDescent="0.35">
      <c r="N726"/>
      <c r="O726"/>
    </row>
    <row r="727" spans="14:15" x14ac:dyDescent="0.35">
      <c r="N727"/>
      <c r="O727"/>
    </row>
    <row r="728" spans="14:15" x14ac:dyDescent="0.35">
      <c r="N728"/>
      <c r="O728"/>
    </row>
    <row r="729" spans="14:15" x14ac:dyDescent="0.35">
      <c r="N729"/>
      <c r="O729"/>
    </row>
    <row r="730" spans="14:15" x14ac:dyDescent="0.35">
      <c r="N730"/>
      <c r="O730"/>
    </row>
    <row r="731" spans="14:15" x14ac:dyDescent="0.35">
      <c r="N731"/>
      <c r="O731"/>
    </row>
    <row r="732" spans="14:15" x14ac:dyDescent="0.35">
      <c r="N732"/>
      <c r="O732"/>
    </row>
    <row r="733" spans="14:15" x14ac:dyDescent="0.35">
      <c r="N733"/>
      <c r="O733"/>
    </row>
    <row r="734" spans="14:15" x14ac:dyDescent="0.35">
      <c r="N734"/>
      <c r="O734"/>
    </row>
    <row r="735" spans="14:15" x14ac:dyDescent="0.35">
      <c r="N735"/>
      <c r="O735"/>
    </row>
    <row r="736" spans="14:15" x14ac:dyDescent="0.35">
      <c r="N736"/>
      <c r="O736"/>
    </row>
    <row r="737" spans="14:15" x14ac:dyDescent="0.35">
      <c r="N737"/>
      <c r="O737"/>
    </row>
    <row r="738" spans="14:15" x14ac:dyDescent="0.35">
      <c r="N738"/>
      <c r="O738"/>
    </row>
    <row r="739" spans="14:15" x14ac:dyDescent="0.35">
      <c r="N739"/>
      <c r="O739"/>
    </row>
    <row r="740" spans="14:15" x14ac:dyDescent="0.35">
      <c r="N740"/>
      <c r="O740"/>
    </row>
    <row r="741" spans="14:15" x14ac:dyDescent="0.35">
      <c r="N741"/>
      <c r="O741"/>
    </row>
    <row r="742" spans="14:15" x14ac:dyDescent="0.35">
      <c r="N742"/>
      <c r="O742"/>
    </row>
    <row r="743" spans="14:15" x14ac:dyDescent="0.35">
      <c r="N743"/>
      <c r="O743"/>
    </row>
    <row r="744" spans="14:15" x14ac:dyDescent="0.35">
      <c r="N744"/>
      <c r="O744"/>
    </row>
    <row r="745" spans="14:15" x14ac:dyDescent="0.35">
      <c r="N745"/>
      <c r="O745"/>
    </row>
    <row r="746" spans="14:15" x14ac:dyDescent="0.35">
      <c r="N746"/>
      <c r="O746"/>
    </row>
    <row r="747" spans="14:15" x14ac:dyDescent="0.35">
      <c r="N747"/>
      <c r="O747"/>
    </row>
    <row r="748" spans="14:15" x14ac:dyDescent="0.35">
      <c r="N748"/>
      <c r="O748"/>
    </row>
    <row r="749" spans="14:15" x14ac:dyDescent="0.35">
      <c r="N749"/>
      <c r="O749"/>
    </row>
    <row r="750" spans="14:15" x14ac:dyDescent="0.35">
      <c r="N750"/>
      <c r="O750"/>
    </row>
    <row r="751" spans="14:15" x14ac:dyDescent="0.35">
      <c r="N751"/>
      <c r="O751"/>
    </row>
    <row r="752" spans="14:15" x14ac:dyDescent="0.35">
      <c r="N752"/>
      <c r="O752"/>
    </row>
    <row r="753" spans="14:15" x14ac:dyDescent="0.35">
      <c r="N753"/>
      <c r="O753"/>
    </row>
    <row r="754" spans="14:15" x14ac:dyDescent="0.35">
      <c r="N754"/>
      <c r="O754"/>
    </row>
    <row r="755" spans="14:15" x14ac:dyDescent="0.35">
      <c r="N755"/>
      <c r="O755"/>
    </row>
    <row r="756" spans="14:15" x14ac:dyDescent="0.35">
      <c r="N756"/>
      <c r="O756"/>
    </row>
    <row r="757" spans="14:15" x14ac:dyDescent="0.35">
      <c r="N757"/>
      <c r="O757"/>
    </row>
    <row r="758" spans="14:15" x14ac:dyDescent="0.35">
      <c r="N758"/>
      <c r="O758"/>
    </row>
    <row r="759" spans="14:15" x14ac:dyDescent="0.35">
      <c r="N759"/>
      <c r="O759"/>
    </row>
    <row r="760" spans="14:15" x14ac:dyDescent="0.35">
      <c r="N760"/>
      <c r="O760"/>
    </row>
    <row r="761" spans="14:15" x14ac:dyDescent="0.35">
      <c r="N761"/>
      <c r="O761"/>
    </row>
    <row r="762" spans="14:15" x14ac:dyDescent="0.35">
      <c r="N762"/>
      <c r="O762"/>
    </row>
    <row r="763" spans="14:15" x14ac:dyDescent="0.35">
      <c r="N763"/>
      <c r="O763"/>
    </row>
    <row r="764" spans="14:15" x14ac:dyDescent="0.35">
      <c r="N764"/>
      <c r="O764"/>
    </row>
    <row r="765" spans="14:15" x14ac:dyDescent="0.35">
      <c r="N765"/>
      <c r="O765"/>
    </row>
    <row r="766" spans="14:15" x14ac:dyDescent="0.35">
      <c r="N766"/>
      <c r="O766"/>
    </row>
    <row r="767" spans="14:15" x14ac:dyDescent="0.35">
      <c r="N767"/>
      <c r="O767"/>
    </row>
    <row r="768" spans="14:15" x14ac:dyDescent="0.35">
      <c r="N768"/>
      <c r="O768"/>
    </row>
    <row r="769" spans="14:15" x14ac:dyDescent="0.35">
      <c r="N769"/>
      <c r="O769"/>
    </row>
    <row r="770" spans="14:15" x14ac:dyDescent="0.35">
      <c r="N770"/>
      <c r="O770"/>
    </row>
    <row r="771" spans="14:15" x14ac:dyDescent="0.35">
      <c r="N771"/>
      <c r="O771"/>
    </row>
    <row r="772" spans="14:15" x14ac:dyDescent="0.35">
      <c r="N772"/>
      <c r="O772"/>
    </row>
    <row r="773" spans="14:15" x14ac:dyDescent="0.35">
      <c r="N773"/>
      <c r="O773"/>
    </row>
    <row r="774" spans="14:15" x14ac:dyDescent="0.35">
      <c r="N774"/>
      <c r="O774"/>
    </row>
    <row r="775" spans="14:15" x14ac:dyDescent="0.35">
      <c r="N775"/>
      <c r="O775"/>
    </row>
    <row r="776" spans="14:15" x14ac:dyDescent="0.35">
      <c r="N776"/>
      <c r="O776"/>
    </row>
    <row r="777" spans="14:15" x14ac:dyDescent="0.35">
      <c r="N777"/>
      <c r="O777"/>
    </row>
    <row r="778" spans="14:15" x14ac:dyDescent="0.35">
      <c r="N778"/>
      <c r="O778"/>
    </row>
    <row r="779" spans="14:15" x14ac:dyDescent="0.35">
      <c r="N779"/>
      <c r="O779"/>
    </row>
    <row r="780" spans="14:15" x14ac:dyDescent="0.35">
      <c r="N780"/>
      <c r="O780"/>
    </row>
    <row r="781" spans="14:15" x14ac:dyDescent="0.35">
      <c r="N781"/>
      <c r="O781"/>
    </row>
    <row r="782" spans="14:15" x14ac:dyDescent="0.35">
      <c r="N782"/>
      <c r="O782"/>
    </row>
    <row r="783" spans="14:15" x14ac:dyDescent="0.35">
      <c r="N783"/>
      <c r="O783"/>
    </row>
    <row r="784" spans="14:15" x14ac:dyDescent="0.35">
      <c r="N784"/>
      <c r="O784"/>
    </row>
    <row r="785" spans="14:15" x14ac:dyDescent="0.35">
      <c r="N785"/>
      <c r="O785"/>
    </row>
    <row r="786" spans="14:15" x14ac:dyDescent="0.35">
      <c r="N786"/>
      <c r="O786"/>
    </row>
    <row r="787" spans="14:15" x14ac:dyDescent="0.35">
      <c r="N787"/>
      <c r="O787"/>
    </row>
    <row r="788" spans="14:15" x14ac:dyDescent="0.35">
      <c r="N788"/>
      <c r="O788"/>
    </row>
    <row r="789" spans="14:15" x14ac:dyDescent="0.35">
      <c r="N789"/>
      <c r="O789"/>
    </row>
    <row r="790" spans="14:15" x14ac:dyDescent="0.35">
      <c r="N790"/>
      <c r="O790"/>
    </row>
    <row r="791" spans="14:15" x14ac:dyDescent="0.35">
      <c r="N791"/>
      <c r="O791"/>
    </row>
    <row r="792" spans="14:15" x14ac:dyDescent="0.35">
      <c r="N792"/>
      <c r="O792"/>
    </row>
    <row r="793" spans="14:15" x14ac:dyDescent="0.35">
      <c r="N793"/>
      <c r="O793"/>
    </row>
    <row r="794" spans="14:15" x14ac:dyDescent="0.35">
      <c r="N794"/>
      <c r="O794"/>
    </row>
    <row r="795" spans="14:15" x14ac:dyDescent="0.35">
      <c r="N795"/>
      <c r="O795"/>
    </row>
    <row r="796" spans="14:15" x14ac:dyDescent="0.35">
      <c r="N796"/>
      <c r="O796"/>
    </row>
    <row r="797" spans="14:15" x14ac:dyDescent="0.35">
      <c r="N797"/>
      <c r="O797"/>
    </row>
    <row r="798" spans="14:15" x14ac:dyDescent="0.35">
      <c r="N798"/>
      <c r="O798"/>
    </row>
    <row r="799" spans="14:15" x14ac:dyDescent="0.35">
      <c r="N799"/>
      <c r="O799"/>
    </row>
    <row r="800" spans="14:15" x14ac:dyDescent="0.35">
      <c r="N800"/>
      <c r="O800"/>
    </row>
    <row r="801" spans="14:15" x14ac:dyDescent="0.35">
      <c r="N801"/>
      <c r="O801"/>
    </row>
    <row r="802" spans="14:15" x14ac:dyDescent="0.35">
      <c r="N802"/>
      <c r="O802"/>
    </row>
    <row r="803" spans="14:15" x14ac:dyDescent="0.35">
      <c r="N803"/>
      <c r="O803"/>
    </row>
    <row r="804" spans="14:15" x14ac:dyDescent="0.35">
      <c r="N804"/>
      <c r="O804"/>
    </row>
    <row r="805" spans="14:15" x14ac:dyDescent="0.35">
      <c r="N805"/>
      <c r="O805"/>
    </row>
    <row r="806" spans="14:15" x14ac:dyDescent="0.35">
      <c r="N806"/>
      <c r="O806"/>
    </row>
    <row r="807" spans="14:15" x14ac:dyDescent="0.35">
      <c r="N807"/>
      <c r="O807"/>
    </row>
    <row r="808" spans="14:15" x14ac:dyDescent="0.35">
      <c r="N808"/>
      <c r="O808"/>
    </row>
    <row r="809" spans="14:15" x14ac:dyDescent="0.35">
      <c r="N809"/>
      <c r="O809"/>
    </row>
    <row r="810" spans="14:15" x14ac:dyDescent="0.35">
      <c r="N810"/>
      <c r="O810"/>
    </row>
    <row r="811" spans="14:15" x14ac:dyDescent="0.35">
      <c r="N811"/>
      <c r="O811"/>
    </row>
    <row r="812" spans="14:15" x14ac:dyDescent="0.35">
      <c r="N812"/>
      <c r="O812"/>
    </row>
    <row r="813" spans="14:15" x14ac:dyDescent="0.35">
      <c r="N813"/>
      <c r="O813"/>
    </row>
    <row r="814" spans="14:15" x14ac:dyDescent="0.35">
      <c r="N814"/>
      <c r="O814"/>
    </row>
    <row r="815" spans="14:15" x14ac:dyDescent="0.35">
      <c r="N815"/>
      <c r="O815"/>
    </row>
    <row r="816" spans="14:15" x14ac:dyDescent="0.35">
      <c r="N816"/>
      <c r="O816"/>
    </row>
    <row r="817" spans="14:15" x14ac:dyDescent="0.35">
      <c r="N817"/>
      <c r="O817"/>
    </row>
    <row r="818" spans="14:15" x14ac:dyDescent="0.35">
      <c r="N818"/>
      <c r="O818"/>
    </row>
    <row r="819" spans="14:15" x14ac:dyDescent="0.35">
      <c r="N819"/>
      <c r="O819"/>
    </row>
    <row r="820" spans="14:15" x14ac:dyDescent="0.35">
      <c r="N820"/>
      <c r="O820"/>
    </row>
    <row r="821" spans="14:15" x14ac:dyDescent="0.35">
      <c r="N821"/>
      <c r="O821"/>
    </row>
    <row r="822" spans="14:15" x14ac:dyDescent="0.35">
      <c r="N822"/>
      <c r="O822"/>
    </row>
    <row r="823" spans="14:15" x14ac:dyDescent="0.35">
      <c r="N823"/>
      <c r="O823"/>
    </row>
    <row r="824" spans="14:15" x14ac:dyDescent="0.35">
      <c r="N824"/>
      <c r="O824"/>
    </row>
    <row r="825" spans="14:15" x14ac:dyDescent="0.35">
      <c r="N825"/>
      <c r="O825"/>
    </row>
    <row r="826" spans="14:15" x14ac:dyDescent="0.35">
      <c r="N826"/>
      <c r="O826"/>
    </row>
    <row r="827" spans="14:15" x14ac:dyDescent="0.35">
      <c r="N827"/>
      <c r="O827"/>
    </row>
    <row r="828" spans="14:15" x14ac:dyDescent="0.35">
      <c r="N828"/>
      <c r="O828"/>
    </row>
    <row r="829" spans="14:15" x14ac:dyDescent="0.35">
      <c r="N829"/>
      <c r="O829"/>
    </row>
    <row r="830" spans="14:15" x14ac:dyDescent="0.35">
      <c r="N830"/>
      <c r="O830"/>
    </row>
    <row r="831" spans="14:15" x14ac:dyDescent="0.35">
      <c r="N831"/>
      <c r="O831"/>
    </row>
    <row r="832" spans="14:15" x14ac:dyDescent="0.35">
      <c r="N832"/>
      <c r="O832"/>
    </row>
    <row r="833" spans="14:15" x14ac:dyDescent="0.35">
      <c r="N833"/>
      <c r="O833"/>
    </row>
    <row r="834" spans="14:15" x14ac:dyDescent="0.35">
      <c r="N834"/>
      <c r="O834"/>
    </row>
    <row r="835" spans="14:15" x14ac:dyDescent="0.35">
      <c r="N835"/>
      <c r="O835"/>
    </row>
    <row r="836" spans="14:15" x14ac:dyDescent="0.35">
      <c r="N836"/>
      <c r="O836"/>
    </row>
    <row r="837" spans="14:15" x14ac:dyDescent="0.35">
      <c r="N837"/>
      <c r="O837"/>
    </row>
    <row r="838" spans="14:15" x14ac:dyDescent="0.35">
      <c r="N838"/>
      <c r="O838"/>
    </row>
    <row r="839" spans="14:15" x14ac:dyDescent="0.35">
      <c r="N839"/>
      <c r="O839"/>
    </row>
    <row r="840" spans="14:15" x14ac:dyDescent="0.35">
      <c r="N840"/>
      <c r="O840"/>
    </row>
    <row r="841" spans="14:15" x14ac:dyDescent="0.35">
      <c r="N841"/>
      <c r="O841"/>
    </row>
    <row r="842" spans="14:15" x14ac:dyDescent="0.35">
      <c r="N842"/>
      <c r="O842"/>
    </row>
    <row r="843" spans="14:15" x14ac:dyDescent="0.35">
      <c r="N843"/>
      <c r="O843"/>
    </row>
    <row r="844" spans="14:15" x14ac:dyDescent="0.35">
      <c r="N844"/>
      <c r="O844"/>
    </row>
    <row r="845" spans="14:15" x14ac:dyDescent="0.35">
      <c r="N845"/>
      <c r="O845"/>
    </row>
    <row r="846" spans="14:15" x14ac:dyDescent="0.35">
      <c r="N846"/>
      <c r="O846"/>
    </row>
    <row r="847" spans="14:15" x14ac:dyDescent="0.35">
      <c r="N847"/>
      <c r="O847"/>
    </row>
    <row r="848" spans="14:15" x14ac:dyDescent="0.35">
      <c r="N848"/>
      <c r="O848"/>
    </row>
    <row r="849" spans="14:15" x14ac:dyDescent="0.35">
      <c r="N849"/>
      <c r="O849"/>
    </row>
    <row r="850" spans="14:15" x14ac:dyDescent="0.35">
      <c r="N850"/>
      <c r="O850"/>
    </row>
    <row r="851" spans="14:15" x14ac:dyDescent="0.35">
      <c r="N851"/>
      <c r="O851"/>
    </row>
    <row r="852" spans="14:15" x14ac:dyDescent="0.35">
      <c r="N852"/>
      <c r="O852"/>
    </row>
    <row r="853" spans="14:15" x14ac:dyDescent="0.35">
      <c r="N853"/>
      <c r="O853"/>
    </row>
    <row r="854" spans="14:15" x14ac:dyDescent="0.35">
      <c r="N854"/>
      <c r="O854"/>
    </row>
    <row r="855" spans="14:15" x14ac:dyDescent="0.35">
      <c r="N855"/>
      <c r="O855"/>
    </row>
    <row r="856" spans="14:15" x14ac:dyDescent="0.35">
      <c r="N856"/>
      <c r="O856"/>
    </row>
    <row r="857" spans="14:15" x14ac:dyDescent="0.35">
      <c r="N857"/>
      <c r="O857"/>
    </row>
    <row r="858" spans="14:15" x14ac:dyDescent="0.35">
      <c r="N858"/>
      <c r="O858"/>
    </row>
    <row r="859" spans="14:15" x14ac:dyDescent="0.35">
      <c r="N859"/>
      <c r="O859"/>
    </row>
    <row r="860" spans="14:15" x14ac:dyDescent="0.35">
      <c r="N860"/>
      <c r="O860"/>
    </row>
    <row r="861" spans="14:15" x14ac:dyDescent="0.35">
      <c r="N861"/>
      <c r="O861"/>
    </row>
    <row r="862" spans="14:15" x14ac:dyDescent="0.35">
      <c r="N862"/>
      <c r="O862"/>
    </row>
    <row r="863" spans="14:15" x14ac:dyDescent="0.35">
      <c r="N863"/>
      <c r="O863"/>
    </row>
    <row r="864" spans="14:15" x14ac:dyDescent="0.35">
      <c r="N864"/>
      <c r="O864"/>
    </row>
    <row r="865" spans="14:15" x14ac:dyDescent="0.35">
      <c r="N865"/>
      <c r="O865"/>
    </row>
    <row r="866" spans="14:15" x14ac:dyDescent="0.35">
      <c r="N866"/>
      <c r="O866"/>
    </row>
    <row r="867" spans="14:15" x14ac:dyDescent="0.35">
      <c r="N867"/>
      <c r="O867"/>
    </row>
    <row r="868" spans="14:15" x14ac:dyDescent="0.35">
      <c r="N868"/>
      <c r="O868"/>
    </row>
    <row r="869" spans="14:15" x14ac:dyDescent="0.35">
      <c r="N869"/>
      <c r="O869"/>
    </row>
    <row r="870" spans="14:15" x14ac:dyDescent="0.35">
      <c r="N870"/>
      <c r="O870"/>
    </row>
    <row r="871" spans="14:15" x14ac:dyDescent="0.35">
      <c r="N871"/>
      <c r="O871"/>
    </row>
    <row r="872" spans="14:15" x14ac:dyDescent="0.35">
      <c r="N872"/>
      <c r="O872"/>
    </row>
    <row r="873" spans="14:15" x14ac:dyDescent="0.35">
      <c r="N873"/>
      <c r="O873"/>
    </row>
    <row r="874" spans="14:15" x14ac:dyDescent="0.35">
      <c r="N874"/>
      <c r="O874"/>
    </row>
    <row r="875" spans="14:15" x14ac:dyDescent="0.35">
      <c r="N875"/>
      <c r="O875"/>
    </row>
    <row r="876" spans="14:15" x14ac:dyDescent="0.35">
      <c r="N876"/>
      <c r="O876"/>
    </row>
    <row r="877" spans="14:15" x14ac:dyDescent="0.35">
      <c r="N877"/>
      <c r="O877"/>
    </row>
    <row r="878" spans="14:15" x14ac:dyDescent="0.35">
      <c r="N878"/>
      <c r="O878"/>
    </row>
    <row r="879" spans="14:15" x14ac:dyDescent="0.35">
      <c r="N879"/>
      <c r="O879"/>
    </row>
    <row r="880" spans="14:15" x14ac:dyDescent="0.35">
      <c r="N880"/>
      <c r="O880"/>
    </row>
    <row r="881" spans="14:15" x14ac:dyDescent="0.35">
      <c r="N881"/>
      <c r="O881"/>
    </row>
    <row r="882" spans="14:15" x14ac:dyDescent="0.35">
      <c r="N882"/>
      <c r="O882"/>
    </row>
    <row r="883" spans="14:15" x14ac:dyDescent="0.35">
      <c r="N883"/>
      <c r="O883"/>
    </row>
    <row r="884" spans="14:15" x14ac:dyDescent="0.35">
      <c r="N884"/>
      <c r="O884"/>
    </row>
    <row r="885" spans="14:15" x14ac:dyDescent="0.35">
      <c r="N885"/>
      <c r="O885"/>
    </row>
    <row r="886" spans="14:15" x14ac:dyDescent="0.35">
      <c r="N886"/>
      <c r="O886"/>
    </row>
    <row r="887" spans="14:15" x14ac:dyDescent="0.35">
      <c r="N887"/>
      <c r="O887"/>
    </row>
    <row r="888" spans="14:15" x14ac:dyDescent="0.35">
      <c r="N888"/>
      <c r="O888"/>
    </row>
    <row r="889" spans="14:15" x14ac:dyDescent="0.35">
      <c r="N889"/>
      <c r="O889"/>
    </row>
    <row r="890" spans="14:15" x14ac:dyDescent="0.35">
      <c r="N890"/>
      <c r="O890"/>
    </row>
    <row r="891" spans="14:15" x14ac:dyDescent="0.35">
      <c r="N891"/>
      <c r="O891"/>
    </row>
    <row r="892" spans="14:15" x14ac:dyDescent="0.35">
      <c r="N892"/>
      <c r="O892"/>
    </row>
    <row r="893" spans="14:15" x14ac:dyDescent="0.35">
      <c r="N893"/>
      <c r="O893"/>
    </row>
    <row r="894" spans="14:15" x14ac:dyDescent="0.35">
      <c r="N894"/>
      <c r="O894"/>
    </row>
    <row r="895" spans="14:15" x14ac:dyDescent="0.35">
      <c r="N895"/>
      <c r="O895"/>
    </row>
    <row r="896" spans="14:15" x14ac:dyDescent="0.35">
      <c r="N896"/>
      <c r="O896"/>
    </row>
    <row r="897" spans="14:15" x14ac:dyDescent="0.35">
      <c r="N897"/>
      <c r="O897"/>
    </row>
    <row r="898" spans="14:15" x14ac:dyDescent="0.35">
      <c r="N898"/>
      <c r="O898"/>
    </row>
    <row r="899" spans="14:15" x14ac:dyDescent="0.35">
      <c r="N899"/>
      <c r="O899"/>
    </row>
    <row r="900" spans="14:15" x14ac:dyDescent="0.35">
      <c r="N900"/>
      <c r="O900"/>
    </row>
    <row r="901" spans="14:15" x14ac:dyDescent="0.35">
      <c r="N901"/>
      <c r="O901"/>
    </row>
    <row r="902" spans="14:15" x14ac:dyDescent="0.35">
      <c r="N902"/>
      <c r="O902"/>
    </row>
    <row r="903" spans="14:15" x14ac:dyDescent="0.35">
      <c r="N903"/>
      <c r="O903"/>
    </row>
    <row r="904" spans="14:15" x14ac:dyDescent="0.35">
      <c r="N904"/>
      <c r="O904"/>
    </row>
    <row r="905" spans="14:15" x14ac:dyDescent="0.35">
      <c r="N905"/>
      <c r="O905"/>
    </row>
    <row r="906" spans="14:15" x14ac:dyDescent="0.35">
      <c r="N906"/>
      <c r="O906"/>
    </row>
    <row r="907" spans="14:15" x14ac:dyDescent="0.35">
      <c r="N907"/>
      <c r="O907"/>
    </row>
    <row r="908" spans="14:15" x14ac:dyDescent="0.35">
      <c r="N908"/>
      <c r="O908"/>
    </row>
    <row r="909" spans="14:15" x14ac:dyDescent="0.35">
      <c r="N909"/>
      <c r="O909"/>
    </row>
    <row r="910" spans="14:15" x14ac:dyDescent="0.35">
      <c r="N910"/>
      <c r="O910"/>
    </row>
    <row r="911" spans="14:15" x14ac:dyDescent="0.35">
      <c r="N911"/>
      <c r="O911"/>
    </row>
    <row r="912" spans="14:15" x14ac:dyDescent="0.35">
      <c r="N912"/>
      <c r="O912"/>
    </row>
    <row r="913" spans="14:15" x14ac:dyDescent="0.35">
      <c r="N913"/>
      <c r="O913"/>
    </row>
    <row r="914" spans="14:15" x14ac:dyDescent="0.35">
      <c r="N914"/>
      <c r="O914"/>
    </row>
    <row r="915" spans="14:15" x14ac:dyDescent="0.35">
      <c r="N915"/>
      <c r="O915"/>
    </row>
    <row r="916" spans="14:15" x14ac:dyDescent="0.35">
      <c r="N916"/>
      <c r="O916"/>
    </row>
    <row r="917" spans="14:15" x14ac:dyDescent="0.35">
      <c r="N917"/>
      <c r="O917"/>
    </row>
    <row r="918" spans="14:15" x14ac:dyDescent="0.35">
      <c r="N918"/>
      <c r="O918"/>
    </row>
    <row r="919" spans="14:15" x14ac:dyDescent="0.35">
      <c r="N919"/>
      <c r="O919"/>
    </row>
    <row r="920" spans="14:15" x14ac:dyDescent="0.35">
      <c r="N920"/>
      <c r="O920"/>
    </row>
    <row r="921" spans="14:15" x14ac:dyDescent="0.35">
      <c r="N921"/>
      <c r="O921"/>
    </row>
    <row r="922" spans="14:15" x14ac:dyDescent="0.35">
      <c r="N922"/>
      <c r="O922"/>
    </row>
    <row r="923" spans="14:15" x14ac:dyDescent="0.35">
      <c r="N923"/>
      <c r="O923"/>
    </row>
    <row r="924" spans="14:15" x14ac:dyDescent="0.35">
      <c r="N924"/>
      <c r="O924"/>
    </row>
    <row r="925" spans="14:15" x14ac:dyDescent="0.35">
      <c r="N925"/>
      <c r="O925"/>
    </row>
    <row r="926" spans="14:15" x14ac:dyDescent="0.35">
      <c r="N926"/>
      <c r="O926"/>
    </row>
    <row r="927" spans="14:15" x14ac:dyDescent="0.35">
      <c r="N927"/>
      <c r="O927"/>
    </row>
    <row r="928" spans="14:15" x14ac:dyDescent="0.35">
      <c r="N928"/>
      <c r="O928"/>
    </row>
    <row r="929" spans="14:15" x14ac:dyDescent="0.35">
      <c r="N929"/>
      <c r="O929"/>
    </row>
    <row r="930" spans="14:15" x14ac:dyDescent="0.35">
      <c r="N930"/>
      <c r="O930"/>
    </row>
    <row r="931" spans="14:15" x14ac:dyDescent="0.35">
      <c r="N931"/>
      <c r="O931"/>
    </row>
    <row r="932" spans="14:15" x14ac:dyDescent="0.35">
      <c r="N932"/>
      <c r="O932"/>
    </row>
    <row r="933" spans="14:15" x14ac:dyDescent="0.35">
      <c r="N933"/>
      <c r="O933"/>
    </row>
    <row r="934" spans="14:15" x14ac:dyDescent="0.35">
      <c r="N934"/>
      <c r="O934"/>
    </row>
    <row r="935" spans="14:15" x14ac:dyDescent="0.35">
      <c r="N935"/>
      <c r="O935"/>
    </row>
    <row r="936" spans="14:15" x14ac:dyDescent="0.35">
      <c r="N936"/>
      <c r="O936"/>
    </row>
    <row r="937" spans="14:15" x14ac:dyDescent="0.35">
      <c r="N937"/>
      <c r="O937"/>
    </row>
    <row r="938" spans="14:15" x14ac:dyDescent="0.35">
      <c r="N938"/>
      <c r="O938"/>
    </row>
    <row r="939" spans="14:15" x14ac:dyDescent="0.35">
      <c r="N939"/>
      <c r="O939"/>
    </row>
    <row r="940" spans="14:15" x14ac:dyDescent="0.35">
      <c r="N940"/>
      <c r="O940"/>
    </row>
    <row r="941" spans="14:15" x14ac:dyDescent="0.35">
      <c r="N941"/>
      <c r="O941"/>
    </row>
    <row r="942" spans="14:15" x14ac:dyDescent="0.35">
      <c r="N942"/>
      <c r="O942"/>
    </row>
    <row r="943" spans="14:15" x14ac:dyDescent="0.35">
      <c r="N943"/>
      <c r="O943"/>
    </row>
    <row r="944" spans="14:15" x14ac:dyDescent="0.35">
      <c r="N944"/>
      <c r="O944"/>
    </row>
    <row r="945" spans="14:15" x14ac:dyDescent="0.35">
      <c r="N945"/>
      <c r="O945"/>
    </row>
    <row r="946" spans="14:15" x14ac:dyDescent="0.35">
      <c r="N946"/>
      <c r="O946"/>
    </row>
    <row r="947" spans="14:15" x14ac:dyDescent="0.35">
      <c r="N947"/>
      <c r="O947"/>
    </row>
    <row r="948" spans="14:15" x14ac:dyDescent="0.35">
      <c r="N948"/>
      <c r="O948"/>
    </row>
    <row r="949" spans="14:15" x14ac:dyDescent="0.35">
      <c r="N949"/>
      <c r="O949"/>
    </row>
    <row r="950" spans="14:15" x14ac:dyDescent="0.35">
      <c r="N950"/>
      <c r="O950"/>
    </row>
    <row r="951" spans="14:15" x14ac:dyDescent="0.35">
      <c r="N951"/>
      <c r="O951"/>
    </row>
    <row r="952" spans="14:15" x14ac:dyDescent="0.35">
      <c r="N952"/>
      <c r="O952"/>
    </row>
    <row r="953" spans="14:15" x14ac:dyDescent="0.35">
      <c r="N953"/>
      <c r="O953"/>
    </row>
    <row r="954" spans="14:15" x14ac:dyDescent="0.35">
      <c r="N954"/>
      <c r="O954"/>
    </row>
    <row r="955" spans="14:15" x14ac:dyDescent="0.35">
      <c r="N955"/>
      <c r="O955"/>
    </row>
    <row r="956" spans="14:15" x14ac:dyDescent="0.35">
      <c r="N956"/>
      <c r="O956"/>
    </row>
    <row r="957" spans="14:15" x14ac:dyDescent="0.35">
      <c r="N957"/>
      <c r="O957"/>
    </row>
    <row r="958" spans="14:15" x14ac:dyDescent="0.35">
      <c r="N958"/>
      <c r="O958"/>
    </row>
    <row r="959" spans="14:15" x14ac:dyDescent="0.35">
      <c r="N959"/>
      <c r="O959"/>
    </row>
    <row r="960" spans="14:15" x14ac:dyDescent="0.35">
      <c r="N960"/>
      <c r="O960"/>
    </row>
    <row r="961" spans="14:15" x14ac:dyDescent="0.35">
      <c r="N961"/>
      <c r="O961"/>
    </row>
    <row r="962" spans="14:15" x14ac:dyDescent="0.35">
      <c r="N962"/>
      <c r="O962"/>
    </row>
    <row r="963" spans="14:15" x14ac:dyDescent="0.35">
      <c r="N963"/>
      <c r="O963"/>
    </row>
    <row r="964" spans="14:15" x14ac:dyDescent="0.35">
      <c r="N964"/>
      <c r="O964"/>
    </row>
    <row r="965" spans="14:15" x14ac:dyDescent="0.35">
      <c r="N965"/>
      <c r="O965"/>
    </row>
    <row r="966" spans="14:15" x14ac:dyDescent="0.35">
      <c r="N966"/>
      <c r="O966"/>
    </row>
    <row r="967" spans="14:15" x14ac:dyDescent="0.35">
      <c r="N967"/>
      <c r="O967"/>
    </row>
    <row r="968" spans="14:15" x14ac:dyDescent="0.35">
      <c r="N968"/>
      <c r="O968"/>
    </row>
    <row r="969" spans="14:15" x14ac:dyDescent="0.35">
      <c r="N969"/>
      <c r="O969"/>
    </row>
    <row r="970" spans="14:15" x14ac:dyDescent="0.35">
      <c r="N970"/>
      <c r="O970"/>
    </row>
    <row r="971" spans="14:15" x14ac:dyDescent="0.35">
      <c r="N971"/>
      <c r="O971"/>
    </row>
    <row r="972" spans="14:15" x14ac:dyDescent="0.35">
      <c r="N972"/>
      <c r="O972"/>
    </row>
    <row r="973" spans="14:15" x14ac:dyDescent="0.35">
      <c r="N973"/>
      <c r="O973"/>
    </row>
    <row r="974" spans="14:15" x14ac:dyDescent="0.35">
      <c r="N974"/>
      <c r="O974"/>
    </row>
    <row r="975" spans="14:15" x14ac:dyDescent="0.35">
      <c r="N975"/>
      <c r="O975"/>
    </row>
    <row r="976" spans="14:15" x14ac:dyDescent="0.35">
      <c r="N976"/>
      <c r="O976"/>
    </row>
    <row r="977" spans="14:15" x14ac:dyDescent="0.35">
      <c r="N977"/>
      <c r="O977"/>
    </row>
    <row r="978" spans="14:15" x14ac:dyDescent="0.35">
      <c r="N978"/>
      <c r="O978"/>
    </row>
    <row r="979" spans="14:15" x14ac:dyDescent="0.35">
      <c r="N979"/>
      <c r="O979"/>
    </row>
    <row r="980" spans="14:15" x14ac:dyDescent="0.35">
      <c r="N980"/>
      <c r="O980"/>
    </row>
    <row r="981" spans="14:15" x14ac:dyDescent="0.35">
      <c r="N981"/>
      <c r="O981"/>
    </row>
    <row r="982" spans="14:15" x14ac:dyDescent="0.35">
      <c r="N982"/>
      <c r="O982"/>
    </row>
    <row r="983" spans="14:15" x14ac:dyDescent="0.35">
      <c r="N983"/>
      <c r="O983"/>
    </row>
    <row r="984" spans="14:15" x14ac:dyDescent="0.35">
      <c r="N984"/>
      <c r="O984"/>
    </row>
    <row r="985" spans="14:15" x14ac:dyDescent="0.35">
      <c r="N985"/>
      <c r="O985"/>
    </row>
    <row r="986" spans="14:15" x14ac:dyDescent="0.35">
      <c r="N986"/>
      <c r="O986"/>
    </row>
    <row r="987" spans="14:15" x14ac:dyDescent="0.35">
      <c r="N987"/>
      <c r="O987"/>
    </row>
    <row r="988" spans="14:15" x14ac:dyDescent="0.35">
      <c r="N988"/>
      <c r="O988"/>
    </row>
    <row r="989" spans="14:15" x14ac:dyDescent="0.35">
      <c r="N989"/>
      <c r="O989"/>
    </row>
    <row r="990" spans="14:15" x14ac:dyDescent="0.35">
      <c r="N990"/>
      <c r="O990"/>
    </row>
    <row r="991" spans="14:15" x14ac:dyDescent="0.35">
      <c r="N991"/>
      <c r="O991"/>
    </row>
    <row r="992" spans="14:15" x14ac:dyDescent="0.35">
      <c r="N992"/>
      <c r="O992"/>
    </row>
    <row r="993" spans="14:15" x14ac:dyDescent="0.35">
      <c r="N993"/>
      <c r="O993"/>
    </row>
    <row r="994" spans="14:15" x14ac:dyDescent="0.35">
      <c r="N994"/>
      <c r="O994"/>
    </row>
    <row r="995" spans="14:15" x14ac:dyDescent="0.35">
      <c r="N995"/>
      <c r="O995"/>
    </row>
    <row r="996" spans="14:15" x14ac:dyDescent="0.35">
      <c r="N996"/>
      <c r="O996"/>
    </row>
    <row r="997" spans="14:15" x14ac:dyDescent="0.35">
      <c r="N997"/>
      <c r="O997"/>
    </row>
    <row r="998" spans="14:15" x14ac:dyDescent="0.35">
      <c r="N998"/>
      <c r="O998"/>
    </row>
    <row r="999" spans="14:15" x14ac:dyDescent="0.35">
      <c r="N999"/>
      <c r="O999"/>
    </row>
    <row r="1000" spans="14:15" x14ac:dyDescent="0.35">
      <c r="N1000"/>
      <c r="O1000"/>
    </row>
    <row r="1001" spans="14:15" x14ac:dyDescent="0.35">
      <c r="N1001"/>
      <c r="O1001"/>
    </row>
    <row r="1002" spans="14:15" x14ac:dyDescent="0.35">
      <c r="N1002"/>
      <c r="O1002"/>
    </row>
    <row r="1003" spans="14:15" x14ac:dyDescent="0.35">
      <c r="N1003"/>
      <c r="O1003"/>
    </row>
    <row r="1004" spans="14:15" x14ac:dyDescent="0.35">
      <c r="N1004"/>
      <c r="O1004"/>
    </row>
    <row r="1005" spans="14:15" x14ac:dyDescent="0.35">
      <c r="N1005"/>
      <c r="O1005"/>
    </row>
    <row r="1006" spans="14:15" x14ac:dyDescent="0.35">
      <c r="N1006"/>
      <c r="O1006"/>
    </row>
    <row r="1007" spans="14:15" x14ac:dyDescent="0.35">
      <c r="N1007"/>
      <c r="O1007"/>
    </row>
    <row r="1008" spans="14:15" x14ac:dyDescent="0.35">
      <c r="N1008"/>
      <c r="O1008"/>
    </row>
    <row r="1009" spans="14:15" x14ac:dyDescent="0.35">
      <c r="N1009"/>
      <c r="O1009"/>
    </row>
    <row r="1010" spans="14:15" x14ac:dyDescent="0.35">
      <c r="N1010"/>
      <c r="O1010"/>
    </row>
    <row r="1011" spans="14:15" x14ac:dyDescent="0.35">
      <c r="N1011"/>
      <c r="O1011"/>
    </row>
    <row r="1012" spans="14:15" x14ac:dyDescent="0.35">
      <c r="N1012"/>
      <c r="O1012"/>
    </row>
    <row r="1013" spans="14:15" x14ac:dyDescent="0.35">
      <c r="N1013"/>
      <c r="O1013"/>
    </row>
    <row r="1014" spans="14:15" x14ac:dyDescent="0.35">
      <c r="N1014"/>
      <c r="O1014"/>
    </row>
    <row r="1015" spans="14:15" x14ac:dyDescent="0.35">
      <c r="N1015"/>
      <c r="O1015"/>
    </row>
    <row r="1016" spans="14:15" x14ac:dyDescent="0.35">
      <c r="N1016"/>
      <c r="O1016"/>
    </row>
    <row r="1017" spans="14:15" x14ac:dyDescent="0.35">
      <c r="N1017"/>
      <c r="O1017"/>
    </row>
    <row r="1018" spans="14:15" x14ac:dyDescent="0.35">
      <c r="N1018"/>
      <c r="O1018"/>
    </row>
    <row r="1019" spans="14:15" x14ac:dyDescent="0.35">
      <c r="N1019"/>
      <c r="O1019"/>
    </row>
    <row r="1020" spans="14:15" x14ac:dyDescent="0.35">
      <c r="N1020"/>
      <c r="O1020"/>
    </row>
    <row r="1021" spans="14:15" x14ac:dyDescent="0.35">
      <c r="N1021"/>
      <c r="O1021"/>
    </row>
    <row r="1022" spans="14:15" x14ac:dyDescent="0.35">
      <c r="N1022"/>
      <c r="O1022"/>
    </row>
    <row r="1023" spans="14:15" x14ac:dyDescent="0.35">
      <c r="N1023"/>
      <c r="O1023"/>
    </row>
    <row r="1024" spans="14:15" x14ac:dyDescent="0.35">
      <c r="N1024"/>
      <c r="O1024"/>
    </row>
    <row r="1025" spans="14:15" x14ac:dyDescent="0.35">
      <c r="N1025"/>
      <c r="O1025"/>
    </row>
    <row r="1026" spans="14:15" x14ac:dyDescent="0.35">
      <c r="N1026"/>
      <c r="O1026"/>
    </row>
    <row r="1027" spans="14:15" x14ac:dyDescent="0.35">
      <c r="N1027"/>
      <c r="O1027"/>
    </row>
    <row r="1028" spans="14:15" x14ac:dyDescent="0.35">
      <c r="N1028"/>
      <c r="O1028"/>
    </row>
    <row r="1029" spans="14:15" x14ac:dyDescent="0.35">
      <c r="N1029"/>
      <c r="O1029"/>
    </row>
    <row r="1030" spans="14:15" x14ac:dyDescent="0.35">
      <c r="N1030"/>
      <c r="O1030"/>
    </row>
    <row r="1031" spans="14:15" x14ac:dyDescent="0.35">
      <c r="N1031"/>
      <c r="O1031"/>
    </row>
    <row r="1032" spans="14:15" x14ac:dyDescent="0.35">
      <c r="N1032"/>
      <c r="O1032"/>
    </row>
    <row r="1033" spans="14:15" x14ac:dyDescent="0.35">
      <c r="N1033"/>
      <c r="O1033"/>
    </row>
    <row r="1034" spans="14:15" x14ac:dyDescent="0.35">
      <c r="N1034"/>
      <c r="O1034"/>
    </row>
    <row r="1035" spans="14:15" x14ac:dyDescent="0.35">
      <c r="N1035"/>
      <c r="O1035"/>
    </row>
    <row r="1036" spans="14:15" x14ac:dyDescent="0.35">
      <c r="N1036"/>
      <c r="O1036"/>
    </row>
    <row r="1037" spans="14:15" x14ac:dyDescent="0.35">
      <c r="N1037"/>
      <c r="O1037"/>
    </row>
    <row r="1038" spans="14:15" x14ac:dyDescent="0.35">
      <c r="N1038"/>
      <c r="O1038"/>
    </row>
    <row r="1039" spans="14:15" x14ac:dyDescent="0.35">
      <c r="N1039"/>
      <c r="O1039"/>
    </row>
    <row r="1040" spans="14:15" x14ac:dyDescent="0.35">
      <c r="N1040"/>
      <c r="O1040"/>
    </row>
    <row r="1041" spans="14:15" x14ac:dyDescent="0.35">
      <c r="N1041"/>
      <c r="O1041"/>
    </row>
    <row r="1042" spans="14:15" x14ac:dyDescent="0.35">
      <c r="N1042"/>
      <c r="O1042"/>
    </row>
    <row r="1043" spans="14:15" x14ac:dyDescent="0.35">
      <c r="N1043"/>
      <c r="O1043"/>
    </row>
    <row r="1044" spans="14:15" x14ac:dyDescent="0.35">
      <c r="N1044"/>
      <c r="O1044"/>
    </row>
    <row r="1045" spans="14:15" x14ac:dyDescent="0.35">
      <c r="N1045"/>
      <c r="O1045"/>
    </row>
    <row r="1046" spans="14:15" x14ac:dyDescent="0.35">
      <c r="N1046"/>
      <c r="O1046"/>
    </row>
    <row r="1047" spans="14:15" x14ac:dyDescent="0.35">
      <c r="N1047"/>
      <c r="O1047"/>
    </row>
    <row r="1048" spans="14:15" x14ac:dyDescent="0.35">
      <c r="N1048"/>
      <c r="O1048"/>
    </row>
    <row r="1049" spans="14:15" x14ac:dyDescent="0.35">
      <c r="N1049"/>
      <c r="O1049"/>
    </row>
    <row r="1050" spans="14:15" x14ac:dyDescent="0.35">
      <c r="N1050"/>
      <c r="O1050"/>
    </row>
    <row r="1051" spans="14:15" x14ac:dyDescent="0.35">
      <c r="N1051"/>
      <c r="O1051"/>
    </row>
    <row r="1052" spans="14:15" x14ac:dyDescent="0.35">
      <c r="N1052"/>
      <c r="O1052"/>
    </row>
    <row r="1053" spans="14:15" x14ac:dyDescent="0.35">
      <c r="N1053"/>
      <c r="O1053"/>
    </row>
    <row r="1054" spans="14:15" x14ac:dyDescent="0.35">
      <c r="N1054"/>
      <c r="O1054"/>
    </row>
    <row r="1055" spans="14:15" x14ac:dyDescent="0.35">
      <c r="N1055"/>
      <c r="O1055"/>
    </row>
    <row r="1056" spans="14:15" x14ac:dyDescent="0.35">
      <c r="N1056"/>
      <c r="O1056"/>
    </row>
    <row r="1057" spans="14:15" x14ac:dyDescent="0.35">
      <c r="N1057"/>
      <c r="O1057"/>
    </row>
    <row r="1058" spans="14:15" x14ac:dyDescent="0.35">
      <c r="N1058"/>
      <c r="O1058"/>
    </row>
    <row r="1059" spans="14:15" x14ac:dyDescent="0.35">
      <c r="N1059"/>
      <c r="O1059"/>
    </row>
    <row r="1060" spans="14:15" x14ac:dyDescent="0.35">
      <c r="N1060"/>
      <c r="O1060"/>
    </row>
    <row r="1061" spans="14:15" x14ac:dyDescent="0.35">
      <c r="N1061"/>
      <c r="O1061"/>
    </row>
    <row r="1062" spans="14:15" x14ac:dyDescent="0.35">
      <c r="N1062"/>
      <c r="O1062"/>
    </row>
    <row r="1063" spans="14:15" x14ac:dyDescent="0.35">
      <c r="N1063"/>
      <c r="O1063"/>
    </row>
    <row r="1064" spans="14:15" x14ac:dyDescent="0.35">
      <c r="N1064"/>
      <c r="O1064"/>
    </row>
    <row r="1065" spans="14:15" x14ac:dyDescent="0.35">
      <c r="N1065"/>
      <c r="O1065"/>
    </row>
    <row r="1066" spans="14:15" x14ac:dyDescent="0.35">
      <c r="N1066"/>
      <c r="O1066"/>
    </row>
    <row r="1067" spans="14:15" x14ac:dyDescent="0.35">
      <c r="N1067"/>
      <c r="O1067"/>
    </row>
    <row r="1068" spans="14:15" x14ac:dyDescent="0.35">
      <c r="N1068"/>
      <c r="O1068"/>
    </row>
    <row r="1069" spans="14:15" x14ac:dyDescent="0.35">
      <c r="N1069"/>
      <c r="O1069"/>
    </row>
    <row r="1070" spans="14:15" x14ac:dyDescent="0.35">
      <c r="N1070"/>
      <c r="O1070"/>
    </row>
    <row r="1071" spans="14:15" x14ac:dyDescent="0.35">
      <c r="N1071"/>
      <c r="O1071"/>
    </row>
    <row r="1072" spans="14:15" x14ac:dyDescent="0.35">
      <c r="N1072"/>
      <c r="O1072"/>
    </row>
    <row r="1073" spans="14:15" x14ac:dyDescent="0.35">
      <c r="N1073"/>
      <c r="O1073"/>
    </row>
    <row r="1074" spans="14:15" x14ac:dyDescent="0.35">
      <c r="N1074"/>
      <c r="O1074"/>
    </row>
    <row r="1075" spans="14:15" x14ac:dyDescent="0.35">
      <c r="N1075"/>
      <c r="O1075"/>
    </row>
    <row r="1076" spans="14:15" x14ac:dyDescent="0.35">
      <c r="N1076"/>
      <c r="O1076"/>
    </row>
    <row r="1077" spans="14:15" x14ac:dyDescent="0.35">
      <c r="N1077"/>
      <c r="O1077"/>
    </row>
    <row r="1078" spans="14:15" x14ac:dyDescent="0.35">
      <c r="N1078"/>
      <c r="O1078"/>
    </row>
    <row r="1079" spans="14:15" x14ac:dyDescent="0.35">
      <c r="N1079"/>
      <c r="O1079"/>
    </row>
    <row r="1080" spans="14:15" x14ac:dyDescent="0.35">
      <c r="N1080"/>
      <c r="O1080"/>
    </row>
    <row r="1081" spans="14:15" x14ac:dyDescent="0.35">
      <c r="N1081"/>
      <c r="O1081"/>
    </row>
    <row r="1082" spans="14:15" x14ac:dyDescent="0.35">
      <c r="N1082"/>
      <c r="O1082"/>
    </row>
    <row r="1083" spans="14:15" x14ac:dyDescent="0.35">
      <c r="N1083"/>
      <c r="O1083"/>
    </row>
    <row r="1084" spans="14:15" x14ac:dyDescent="0.35">
      <c r="N1084"/>
      <c r="O1084"/>
    </row>
    <row r="1085" spans="14:15" x14ac:dyDescent="0.35">
      <c r="N1085"/>
      <c r="O1085"/>
    </row>
    <row r="1086" spans="14:15" x14ac:dyDescent="0.35">
      <c r="N1086"/>
      <c r="O1086"/>
    </row>
    <row r="1087" spans="14:15" x14ac:dyDescent="0.35">
      <c r="N1087"/>
      <c r="O1087"/>
    </row>
    <row r="1088" spans="14:15" x14ac:dyDescent="0.35">
      <c r="N1088"/>
      <c r="O1088"/>
    </row>
    <row r="1089" spans="14:15" x14ac:dyDescent="0.35">
      <c r="N1089"/>
      <c r="O1089"/>
    </row>
    <row r="1090" spans="14:15" x14ac:dyDescent="0.35">
      <c r="N1090"/>
      <c r="O1090"/>
    </row>
    <row r="1091" spans="14:15" x14ac:dyDescent="0.35">
      <c r="N1091"/>
      <c r="O1091"/>
    </row>
    <row r="1092" spans="14:15" x14ac:dyDescent="0.35">
      <c r="N1092"/>
      <c r="O1092"/>
    </row>
    <row r="1093" spans="14:15" x14ac:dyDescent="0.35">
      <c r="N1093"/>
      <c r="O1093"/>
    </row>
    <row r="1094" spans="14:15" x14ac:dyDescent="0.35">
      <c r="N1094"/>
      <c r="O1094"/>
    </row>
    <row r="1095" spans="14:15" x14ac:dyDescent="0.35">
      <c r="N1095"/>
      <c r="O1095"/>
    </row>
    <row r="1096" spans="14:15" x14ac:dyDescent="0.35">
      <c r="N1096"/>
      <c r="O1096"/>
    </row>
    <row r="1097" spans="14:15" x14ac:dyDescent="0.35">
      <c r="N1097"/>
      <c r="O1097"/>
    </row>
    <row r="1098" spans="14:15" x14ac:dyDescent="0.35">
      <c r="N1098"/>
      <c r="O1098"/>
    </row>
    <row r="1099" spans="14:15" x14ac:dyDescent="0.35">
      <c r="N1099"/>
      <c r="O1099"/>
    </row>
    <row r="1100" spans="14:15" x14ac:dyDescent="0.35">
      <c r="N1100"/>
      <c r="O1100"/>
    </row>
    <row r="1101" spans="14:15" x14ac:dyDescent="0.35">
      <c r="N1101"/>
      <c r="O1101"/>
    </row>
    <row r="1102" spans="14:15" x14ac:dyDescent="0.35">
      <c r="N1102"/>
      <c r="O1102"/>
    </row>
    <row r="1103" spans="14:15" x14ac:dyDescent="0.35">
      <c r="N1103"/>
      <c r="O1103"/>
    </row>
    <row r="1104" spans="14:15" x14ac:dyDescent="0.35">
      <c r="N1104"/>
      <c r="O1104"/>
    </row>
    <row r="1105" spans="14:15" x14ac:dyDescent="0.35">
      <c r="N1105"/>
      <c r="O1105"/>
    </row>
    <row r="1106" spans="14:15" x14ac:dyDescent="0.35">
      <c r="N1106"/>
      <c r="O1106"/>
    </row>
    <row r="1107" spans="14:15" x14ac:dyDescent="0.35">
      <c r="N1107"/>
      <c r="O1107"/>
    </row>
    <row r="1108" spans="14:15" x14ac:dyDescent="0.35">
      <c r="N1108"/>
      <c r="O1108"/>
    </row>
    <row r="1109" spans="14:15" x14ac:dyDescent="0.35">
      <c r="N1109"/>
      <c r="O1109"/>
    </row>
    <row r="1110" spans="14:15" x14ac:dyDescent="0.35">
      <c r="N1110"/>
      <c r="O1110"/>
    </row>
    <row r="1111" spans="14:15" x14ac:dyDescent="0.35">
      <c r="N1111"/>
      <c r="O1111"/>
    </row>
    <row r="1112" spans="14:15" x14ac:dyDescent="0.35">
      <c r="N1112"/>
      <c r="O1112"/>
    </row>
    <row r="1113" spans="14:15" x14ac:dyDescent="0.35">
      <c r="N1113"/>
      <c r="O1113"/>
    </row>
    <row r="1114" spans="14:15" x14ac:dyDescent="0.35">
      <c r="N1114"/>
      <c r="O1114"/>
    </row>
    <row r="1115" spans="14:15" x14ac:dyDescent="0.35">
      <c r="N1115"/>
      <c r="O1115"/>
    </row>
    <row r="1116" spans="14:15" x14ac:dyDescent="0.35">
      <c r="N1116"/>
      <c r="O1116"/>
    </row>
    <row r="1117" spans="14:15" x14ac:dyDescent="0.35">
      <c r="N1117"/>
      <c r="O1117"/>
    </row>
    <row r="1118" spans="14:15" x14ac:dyDescent="0.35">
      <c r="N1118"/>
      <c r="O1118"/>
    </row>
    <row r="1119" spans="14:15" x14ac:dyDescent="0.35">
      <c r="N1119"/>
      <c r="O1119"/>
    </row>
    <row r="1120" spans="14:15" x14ac:dyDescent="0.35">
      <c r="N1120"/>
      <c r="O1120"/>
    </row>
    <row r="1121" spans="14:15" x14ac:dyDescent="0.35">
      <c r="N1121"/>
      <c r="O1121"/>
    </row>
    <row r="1122" spans="14:15" x14ac:dyDescent="0.35">
      <c r="N1122"/>
      <c r="O1122"/>
    </row>
    <row r="1123" spans="14:15" x14ac:dyDescent="0.35">
      <c r="N1123"/>
      <c r="O1123"/>
    </row>
    <row r="1124" spans="14:15" x14ac:dyDescent="0.35">
      <c r="N1124"/>
      <c r="O1124"/>
    </row>
    <row r="1125" spans="14:15" x14ac:dyDescent="0.35">
      <c r="N1125"/>
      <c r="O1125"/>
    </row>
    <row r="1126" spans="14:15" x14ac:dyDescent="0.35">
      <c r="N1126"/>
      <c r="O1126"/>
    </row>
    <row r="1127" spans="14:15" x14ac:dyDescent="0.35">
      <c r="N1127"/>
      <c r="O1127"/>
    </row>
    <row r="1128" spans="14:15" x14ac:dyDescent="0.35">
      <c r="N1128"/>
      <c r="O1128"/>
    </row>
    <row r="1129" spans="14:15" x14ac:dyDescent="0.35">
      <c r="N1129"/>
      <c r="O1129"/>
    </row>
    <row r="1130" spans="14:15" x14ac:dyDescent="0.35">
      <c r="N1130"/>
      <c r="O1130"/>
    </row>
    <row r="1131" spans="14:15" x14ac:dyDescent="0.35">
      <c r="N1131"/>
      <c r="O1131"/>
    </row>
    <row r="1132" spans="14:15" x14ac:dyDescent="0.35">
      <c r="N1132"/>
      <c r="O1132"/>
    </row>
    <row r="1133" spans="14:15" x14ac:dyDescent="0.35">
      <c r="N1133"/>
      <c r="O1133"/>
    </row>
    <row r="1134" spans="14:15" x14ac:dyDescent="0.35">
      <c r="N1134"/>
      <c r="O1134"/>
    </row>
    <row r="1135" spans="14:15" x14ac:dyDescent="0.35">
      <c r="N1135"/>
      <c r="O1135"/>
    </row>
    <row r="1136" spans="14:15" x14ac:dyDescent="0.35">
      <c r="N1136"/>
      <c r="O1136"/>
    </row>
    <row r="1137" spans="14:15" x14ac:dyDescent="0.35">
      <c r="N1137"/>
      <c r="O1137"/>
    </row>
    <row r="1138" spans="14:15" x14ac:dyDescent="0.35">
      <c r="N1138"/>
      <c r="O1138"/>
    </row>
    <row r="1139" spans="14:15" x14ac:dyDescent="0.35">
      <c r="N1139"/>
      <c r="O1139"/>
    </row>
    <row r="1140" spans="14:15" x14ac:dyDescent="0.35">
      <c r="N1140"/>
      <c r="O1140"/>
    </row>
    <row r="1141" spans="14:15" x14ac:dyDescent="0.35">
      <c r="N1141"/>
      <c r="O1141"/>
    </row>
    <row r="1142" spans="14:15" x14ac:dyDescent="0.35">
      <c r="N1142"/>
      <c r="O1142"/>
    </row>
    <row r="1143" spans="14:15" x14ac:dyDescent="0.35">
      <c r="N1143"/>
      <c r="O1143"/>
    </row>
    <row r="1144" spans="14:15" x14ac:dyDescent="0.35">
      <c r="N1144"/>
      <c r="O1144"/>
    </row>
    <row r="1145" spans="14:15" x14ac:dyDescent="0.35">
      <c r="N1145"/>
      <c r="O1145"/>
    </row>
    <row r="1146" spans="14:15" x14ac:dyDescent="0.35">
      <c r="N1146"/>
      <c r="O1146"/>
    </row>
    <row r="1147" spans="14:15" x14ac:dyDescent="0.35">
      <c r="N1147"/>
      <c r="O1147"/>
    </row>
    <row r="1148" spans="14:15" x14ac:dyDescent="0.35">
      <c r="N1148"/>
      <c r="O1148"/>
    </row>
    <row r="1149" spans="14:15" x14ac:dyDescent="0.35">
      <c r="N1149"/>
      <c r="O1149"/>
    </row>
    <row r="1150" spans="14:15" x14ac:dyDescent="0.35">
      <c r="N1150"/>
      <c r="O1150"/>
    </row>
    <row r="1151" spans="14:15" x14ac:dyDescent="0.35">
      <c r="N1151"/>
      <c r="O1151"/>
    </row>
    <row r="1152" spans="14:15" x14ac:dyDescent="0.35">
      <c r="N1152"/>
      <c r="O1152"/>
    </row>
    <row r="1153" spans="14:15" x14ac:dyDescent="0.35">
      <c r="N1153"/>
      <c r="O1153"/>
    </row>
    <row r="1154" spans="14:15" x14ac:dyDescent="0.35">
      <c r="N1154"/>
      <c r="O1154"/>
    </row>
    <row r="1155" spans="14:15" x14ac:dyDescent="0.35">
      <c r="N1155"/>
      <c r="O1155"/>
    </row>
    <row r="1156" spans="14:15" x14ac:dyDescent="0.35">
      <c r="N1156"/>
      <c r="O1156"/>
    </row>
    <row r="1157" spans="14:15" x14ac:dyDescent="0.35">
      <c r="N1157"/>
      <c r="O1157"/>
    </row>
    <row r="1158" spans="14:15" x14ac:dyDescent="0.35">
      <c r="N1158"/>
      <c r="O1158"/>
    </row>
    <row r="1159" spans="14:15" x14ac:dyDescent="0.35">
      <c r="N1159"/>
      <c r="O1159"/>
    </row>
    <row r="1160" spans="14:15" x14ac:dyDescent="0.35">
      <c r="N1160"/>
      <c r="O1160"/>
    </row>
    <row r="1161" spans="14:15" x14ac:dyDescent="0.35">
      <c r="N1161"/>
      <c r="O1161"/>
    </row>
    <row r="1162" spans="14:15" x14ac:dyDescent="0.35">
      <c r="N1162"/>
      <c r="O1162"/>
    </row>
    <row r="1163" spans="14:15" x14ac:dyDescent="0.35">
      <c r="N1163"/>
      <c r="O1163"/>
    </row>
    <row r="1164" spans="14:15" x14ac:dyDescent="0.35">
      <c r="N1164"/>
      <c r="O1164"/>
    </row>
    <row r="1165" spans="14:15" x14ac:dyDescent="0.35">
      <c r="N1165"/>
      <c r="O1165"/>
    </row>
    <row r="1166" spans="14:15" x14ac:dyDescent="0.35">
      <c r="N1166"/>
      <c r="O1166"/>
    </row>
    <row r="1167" spans="14:15" x14ac:dyDescent="0.35">
      <c r="N1167"/>
      <c r="O1167"/>
    </row>
    <row r="1168" spans="14:15" x14ac:dyDescent="0.35">
      <c r="N1168"/>
      <c r="O1168"/>
    </row>
    <row r="1169" spans="14:15" x14ac:dyDescent="0.35">
      <c r="N1169"/>
      <c r="O1169"/>
    </row>
    <row r="1170" spans="14:15" x14ac:dyDescent="0.35">
      <c r="N1170"/>
      <c r="O1170"/>
    </row>
    <row r="1171" spans="14:15" x14ac:dyDescent="0.35">
      <c r="N1171"/>
      <c r="O1171"/>
    </row>
    <row r="1172" spans="14:15" x14ac:dyDescent="0.35">
      <c r="N1172"/>
      <c r="O1172"/>
    </row>
    <row r="1173" spans="14:15" x14ac:dyDescent="0.35">
      <c r="N1173"/>
      <c r="O1173"/>
    </row>
    <row r="1174" spans="14:15" x14ac:dyDescent="0.35">
      <c r="N1174"/>
      <c r="O1174"/>
    </row>
    <row r="1175" spans="14:15" x14ac:dyDescent="0.35">
      <c r="N1175"/>
      <c r="O1175"/>
    </row>
    <row r="1176" spans="14:15" x14ac:dyDescent="0.35">
      <c r="N1176"/>
      <c r="O1176"/>
    </row>
    <row r="1177" spans="14:15" x14ac:dyDescent="0.35">
      <c r="N1177"/>
      <c r="O1177"/>
    </row>
    <row r="1178" spans="14:15" x14ac:dyDescent="0.35">
      <c r="N1178"/>
      <c r="O1178"/>
    </row>
    <row r="1179" spans="14:15" x14ac:dyDescent="0.35">
      <c r="N1179"/>
      <c r="O1179"/>
    </row>
    <row r="1180" spans="14:15" x14ac:dyDescent="0.35">
      <c r="N1180"/>
      <c r="O1180"/>
    </row>
    <row r="1181" spans="14:15" x14ac:dyDescent="0.35">
      <c r="N1181"/>
      <c r="O1181"/>
    </row>
    <row r="1182" spans="14:15" x14ac:dyDescent="0.35">
      <c r="N1182"/>
      <c r="O1182"/>
    </row>
    <row r="1183" spans="14:15" x14ac:dyDescent="0.35">
      <c r="N1183"/>
      <c r="O1183"/>
    </row>
    <row r="1184" spans="14:15" x14ac:dyDescent="0.35">
      <c r="N1184"/>
      <c r="O1184"/>
    </row>
    <row r="1185" spans="14:15" x14ac:dyDescent="0.35">
      <c r="N1185"/>
      <c r="O1185"/>
    </row>
    <row r="1186" spans="14:15" x14ac:dyDescent="0.35">
      <c r="N1186"/>
      <c r="O1186"/>
    </row>
    <row r="1187" spans="14:15" x14ac:dyDescent="0.35">
      <c r="N1187"/>
      <c r="O1187"/>
    </row>
    <row r="1188" spans="14:15" x14ac:dyDescent="0.35">
      <c r="N1188"/>
      <c r="O1188"/>
    </row>
    <row r="1189" spans="14:15" x14ac:dyDescent="0.35">
      <c r="N1189"/>
      <c r="O1189"/>
    </row>
    <row r="1190" spans="14:15" x14ac:dyDescent="0.35">
      <c r="N1190"/>
      <c r="O1190"/>
    </row>
    <row r="1191" spans="14:15" x14ac:dyDescent="0.35">
      <c r="N1191"/>
      <c r="O1191"/>
    </row>
    <row r="1192" spans="14:15" x14ac:dyDescent="0.35">
      <c r="N1192"/>
      <c r="O1192"/>
    </row>
    <row r="1193" spans="14:15" x14ac:dyDescent="0.35">
      <c r="N1193"/>
      <c r="O1193"/>
    </row>
    <row r="1194" spans="14:15" x14ac:dyDescent="0.35">
      <c r="N1194"/>
      <c r="O1194"/>
    </row>
    <row r="1195" spans="14:15" x14ac:dyDescent="0.35">
      <c r="N1195"/>
      <c r="O1195"/>
    </row>
    <row r="1196" spans="14:15" x14ac:dyDescent="0.35">
      <c r="N1196"/>
      <c r="O1196"/>
    </row>
    <row r="1197" spans="14:15" x14ac:dyDescent="0.35">
      <c r="N1197"/>
      <c r="O1197"/>
    </row>
    <row r="1198" spans="14:15" x14ac:dyDescent="0.35">
      <c r="N1198"/>
      <c r="O1198"/>
    </row>
    <row r="1199" spans="14:15" x14ac:dyDescent="0.35">
      <c r="N1199"/>
      <c r="O1199"/>
    </row>
    <row r="1200" spans="14:15" x14ac:dyDescent="0.35">
      <c r="N1200"/>
      <c r="O1200"/>
    </row>
    <row r="1201" spans="14:15" x14ac:dyDescent="0.35">
      <c r="N1201"/>
      <c r="O1201"/>
    </row>
    <row r="1202" spans="14:15" x14ac:dyDescent="0.35">
      <c r="N1202"/>
      <c r="O1202"/>
    </row>
    <row r="1203" spans="14:15" x14ac:dyDescent="0.35">
      <c r="N1203"/>
      <c r="O1203"/>
    </row>
    <row r="1204" spans="14:15" x14ac:dyDescent="0.35">
      <c r="N1204"/>
      <c r="O1204"/>
    </row>
    <row r="1205" spans="14:15" x14ac:dyDescent="0.35">
      <c r="N1205"/>
      <c r="O1205"/>
    </row>
    <row r="1206" spans="14:15" x14ac:dyDescent="0.35">
      <c r="N1206"/>
      <c r="O1206"/>
    </row>
    <row r="1207" spans="14:15" x14ac:dyDescent="0.35">
      <c r="N1207"/>
      <c r="O1207"/>
    </row>
    <row r="1208" spans="14:15" x14ac:dyDescent="0.35">
      <c r="N1208"/>
      <c r="O1208"/>
    </row>
    <row r="1209" spans="14:15" x14ac:dyDescent="0.35">
      <c r="N1209"/>
      <c r="O1209"/>
    </row>
    <row r="1210" spans="14:15" x14ac:dyDescent="0.35">
      <c r="N1210"/>
      <c r="O1210"/>
    </row>
    <row r="1211" spans="14:15" x14ac:dyDescent="0.35">
      <c r="N1211"/>
      <c r="O1211"/>
    </row>
    <row r="1212" spans="14:15" x14ac:dyDescent="0.35">
      <c r="N1212"/>
      <c r="O1212"/>
    </row>
    <row r="1213" spans="14:15" x14ac:dyDescent="0.35">
      <c r="N1213"/>
      <c r="O1213"/>
    </row>
    <row r="1214" spans="14:15" x14ac:dyDescent="0.35">
      <c r="N1214"/>
      <c r="O1214"/>
    </row>
    <row r="1215" spans="14:15" x14ac:dyDescent="0.35">
      <c r="N1215"/>
      <c r="O1215"/>
    </row>
    <row r="1216" spans="14:15" x14ac:dyDescent="0.35">
      <c r="N1216"/>
      <c r="O1216"/>
    </row>
    <row r="1217" spans="14:15" x14ac:dyDescent="0.35">
      <c r="N1217"/>
      <c r="O1217"/>
    </row>
    <row r="1218" spans="14:15" x14ac:dyDescent="0.35">
      <c r="N1218"/>
      <c r="O1218"/>
    </row>
    <row r="1219" spans="14:15" x14ac:dyDescent="0.35">
      <c r="N1219"/>
      <c r="O1219"/>
    </row>
    <row r="1220" spans="14:15" x14ac:dyDescent="0.35">
      <c r="N1220"/>
      <c r="O1220"/>
    </row>
    <row r="1221" spans="14:15" x14ac:dyDescent="0.35">
      <c r="N1221"/>
      <c r="O1221"/>
    </row>
    <row r="1222" spans="14:15" x14ac:dyDescent="0.35">
      <c r="N1222"/>
      <c r="O1222"/>
    </row>
    <row r="1223" spans="14:15" x14ac:dyDescent="0.35">
      <c r="N1223"/>
      <c r="O1223"/>
    </row>
    <row r="1224" spans="14:15" x14ac:dyDescent="0.35">
      <c r="N1224"/>
      <c r="O1224"/>
    </row>
    <row r="1225" spans="14:15" x14ac:dyDescent="0.35">
      <c r="N1225"/>
      <c r="O1225"/>
    </row>
    <row r="1226" spans="14:15" x14ac:dyDescent="0.35">
      <c r="N1226"/>
      <c r="O1226"/>
    </row>
    <row r="1227" spans="14:15" x14ac:dyDescent="0.35">
      <c r="N1227"/>
      <c r="O1227"/>
    </row>
    <row r="1228" spans="14:15" x14ac:dyDescent="0.35">
      <c r="N1228"/>
      <c r="O1228"/>
    </row>
    <row r="1229" spans="14:15" x14ac:dyDescent="0.35">
      <c r="N1229"/>
      <c r="O1229"/>
    </row>
    <row r="1230" spans="14:15" x14ac:dyDescent="0.35">
      <c r="N1230"/>
      <c r="O1230"/>
    </row>
    <row r="1231" spans="14:15" x14ac:dyDescent="0.35">
      <c r="N1231"/>
      <c r="O1231"/>
    </row>
    <row r="1232" spans="14:15" x14ac:dyDescent="0.35">
      <c r="N1232"/>
      <c r="O1232"/>
    </row>
    <row r="1233" spans="14:15" x14ac:dyDescent="0.35">
      <c r="N1233"/>
      <c r="O1233"/>
    </row>
    <row r="1234" spans="14:15" x14ac:dyDescent="0.35">
      <c r="N1234"/>
      <c r="O1234"/>
    </row>
    <row r="1235" spans="14:15" x14ac:dyDescent="0.35">
      <c r="N1235"/>
      <c r="O1235"/>
    </row>
    <row r="1236" spans="14:15" x14ac:dyDescent="0.35">
      <c r="N1236"/>
      <c r="O1236"/>
    </row>
    <row r="1237" spans="14:15" x14ac:dyDescent="0.35">
      <c r="N1237"/>
      <c r="O1237"/>
    </row>
    <row r="1238" spans="14:15" x14ac:dyDescent="0.35">
      <c r="N1238"/>
      <c r="O1238"/>
    </row>
    <row r="1239" spans="14:15" x14ac:dyDescent="0.35">
      <c r="N1239"/>
      <c r="O1239"/>
    </row>
    <row r="1240" spans="14:15" x14ac:dyDescent="0.35">
      <c r="N1240"/>
      <c r="O1240"/>
    </row>
    <row r="1241" spans="14:15" x14ac:dyDescent="0.35">
      <c r="N1241"/>
      <c r="O1241"/>
    </row>
    <row r="1242" spans="14:15" x14ac:dyDescent="0.35">
      <c r="N1242"/>
      <c r="O1242"/>
    </row>
    <row r="1243" spans="14:15" x14ac:dyDescent="0.35">
      <c r="N1243"/>
      <c r="O1243"/>
    </row>
    <row r="1244" spans="14:15" x14ac:dyDescent="0.35">
      <c r="N1244"/>
      <c r="O1244"/>
    </row>
    <row r="1245" spans="14:15" x14ac:dyDescent="0.35">
      <c r="N1245"/>
      <c r="O1245"/>
    </row>
    <row r="1246" spans="14:15" x14ac:dyDescent="0.35">
      <c r="N1246"/>
      <c r="O1246"/>
    </row>
    <row r="1247" spans="14:15" x14ac:dyDescent="0.35">
      <c r="N1247"/>
      <c r="O1247"/>
    </row>
    <row r="1248" spans="14:15" x14ac:dyDescent="0.35">
      <c r="N1248"/>
      <c r="O1248"/>
    </row>
    <row r="1249" spans="14:15" x14ac:dyDescent="0.35">
      <c r="N1249"/>
      <c r="O1249"/>
    </row>
    <row r="1250" spans="14:15" x14ac:dyDescent="0.35">
      <c r="N1250"/>
      <c r="O1250"/>
    </row>
    <row r="1251" spans="14:15" x14ac:dyDescent="0.35">
      <c r="N1251"/>
      <c r="O1251"/>
    </row>
    <row r="1252" spans="14:15" x14ac:dyDescent="0.35">
      <c r="N1252"/>
      <c r="O1252"/>
    </row>
    <row r="1253" spans="14:15" x14ac:dyDescent="0.35">
      <c r="N1253"/>
      <c r="O1253"/>
    </row>
    <row r="1254" spans="14:15" x14ac:dyDescent="0.35">
      <c r="N1254"/>
      <c r="O1254"/>
    </row>
    <row r="1255" spans="14:15" x14ac:dyDescent="0.35">
      <c r="N1255"/>
      <c r="O1255"/>
    </row>
    <row r="1256" spans="14:15" x14ac:dyDescent="0.35">
      <c r="N1256"/>
      <c r="O1256"/>
    </row>
    <row r="1257" spans="14:15" x14ac:dyDescent="0.35">
      <c r="N1257"/>
      <c r="O1257"/>
    </row>
    <row r="1258" spans="14:15" x14ac:dyDescent="0.35">
      <c r="N1258"/>
      <c r="O1258"/>
    </row>
    <row r="1259" spans="14:15" x14ac:dyDescent="0.35">
      <c r="N1259"/>
      <c r="O1259"/>
    </row>
    <row r="1260" spans="14:15" x14ac:dyDescent="0.35">
      <c r="N1260"/>
      <c r="O1260"/>
    </row>
    <row r="1261" spans="14:15" x14ac:dyDescent="0.35">
      <c r="N1261"/>
      <c r="O1261"/>
    </row>
    <row r="1262" spans="14:15" x14ac:dyDescent="0.35">
      <c r="N1262"/>
      <c r="O1262"/>
    </row>
    <row r="1263" spans="14:15" x14ac:dyDescent="0.35">
      <c r="N1263"/>
      <c r="O1263"/>
    </row>
    <row r="1264" spans="14:15" x14ac:dyDescent="0.35">
      <c r="N1264"/>
      <c r="O1264"/>
    </row>
    <row r="1265" spans="14:15" x14ac:dyDescent="0.35">
      <c r="N1265"/>
      <c r="O1265"/>
    </row>
    <row r="1266" spans="14:15" x14ac:dyDescent="0.35">
      <c r="N1266"/>
      <c r="O1266"/>
    </row>
    <row r="1267" spans="14:15" x14ac:dyDescent="0.35">
      <c r="N1267"/>
      <c r="O1267"/>
    </row>
    <row r="1268" spans="14:15" x14ac:dyDescent="0.35">
      <c r="N1268"/>
      <c r="O1268"/>
    </row>
    <row r="1269" spans="14:15" x14ac:dyDescent="0.35">
      <c r="N1269"/>
      <c r="O1269"/>
    </row>
    <row r="1270" spans="14:15" x14ac:dyDescent="0.35">
      <c r="N1270"/>
      <c r="O1270"/>
    </row>
    <row r="1271" spans="14:15" x14ac:dyDescent="0.35">
      <c r="N1271"/>
      <c r="O1271"/>
    </row>
    <row r="1272" spans="14:15" x14ac:dyDescent="0.35">
      <c r="N1272"/>
      <c r="O1272"/>
    </row>
    <row r="1273" spans="14:15" x14ac:dyDescent="0.35">
      <c r="N1273"/>
      <c r="O1273"/>
    </row>
    <row r="1274" spans="14:15" x14ac:dyDescent="0.35">
      <c r="N1274"/>
      <c r="O1274"/>
    </row>
    <row r="1275" spans="14:15" x14ac:dyDescent="0.35">
      <c r="N1275"/>
      <c r="O1275"/>
    </row>
    <row r="1276" spans="14:15" x14ac:dyDescent="0.35">
      <c r="N1276"/>
      <c r="O1276"/>
    </row>
    <row r="1277" spans="14:15" x14ac:dyDescent="0.35">
      <c r="N1277"/>
      <c r="O1277"/>
    </row>
    <row r="1278" spans="14:15" x14ac:dyDescent="0.35">
      <c r="N1278"/>
      <c r="O1278"/>
    </row>
    <row r="1279" spans="14:15" x14ac:dyDescent="0.35">
      <c r="N1279"/>
      <c r="O1279"/>
    </row>
    <row r="1280" spans="14:15" x14ac:dyDescent="0.35">
      <c r="N1280"/>
      <c r="O1280"/>
    </row>
    <row r="1281" spans="14:15" x14ac:dyDescent="0.35">
      <c r="N1281"/>
      <c r="O1281"/>
    </row>
    <row r="1282" spans="14:15" x14ac:dyDescent="0.35">
      <c r="N1282"/>
      <c r="O1282"/>
    </row>
    <row r="1283" spans="14:15" x14ac:dyDescent="0.35">
      <c r="N1283"/>
      <c r="O1283"/>
    </row>
    <row r="1284" spans="14:15" x14ac:dyDescent="0.35">
      <c r="N1284"/>
      <c r="O1284"/>
    </row>
    <row r="1285" spans="14:15" x14ac:dyDescent="0.35">
      <c r="N1285"/>
      <c r="O1285"/>
    </row>
    <row r="1286" spans="14:15" x14ac:dyDescent="0.35">
      <c r="N1286"/>
      <c r="O1286"/>
    </row>
    <row r="1287" spans="14:15" x14ac:dyDescent="0.35">
      <c r="N1287"/>
      <c r="O1287"/>
    </row>
    <row r="1288" spans="14:15" x14ac:dyDescent="0.35">
      <c r="N1288"/>
      <c r="O1288"/>
    </row>
    <row r="1289" spans="14:15" x14ac:dyDescent="0.35">
      <c r="N1289"/>
      <c r="O1289"/>
    </row>
    <row r="1290" spans="14:15" x14ac:dyDescent="0.35">
      <c r="N1290"/>
      <c r="O1290"/>
    </row>
    <row r="1291" spans="14:15" x14ac:dyDescent="0.35">
      <c r="N1291"/>
      <c r="O1291"/>
    </row>
    <row r="1292" spans="14:15" x14ac:dyDescent="0.35">
      <c r="N1292"/>
      <c r="O1292"/>
    </row>
    <row r="1293" spans="14:15" x14ac:dyDescent="0.35">
      <c r="N1293"/>
      <c r="O1293"/>
    </row>
    <row r="1294" spans="14:15" x14ac:dyDescent="0.35">
      <c r="N1294"/>
      <c r="O1294"/>
    </row>
    <row r="1295" spans="14:15" x14ac:dyDescent="0.35">
      <c r="N1295"/>
      <c r="O1295"/>
    </row>
    <row r="1296" spans="14:15" x14ac:dyDescent="0.35">
      <c r="N1296"/>
      <c r="O1296"/>
    </row>
    <row r="1297" spans="14:15" x14ac:dyDescent="0.35">
      <c r="N1297"/>
      <c r="O1297"/>
    </row>
    <row r="1298" spans="14:15" x14ac:dyDescent="0.35">
      <c r="N1298"/>
      <c r="O1298"/>
    </row>
    <row r="1299" spans="14:15" x14ac:dyDescent="0.35">
      <c r="N1299"/>
      <c r="O1299"/>
    </row>
    <row r="1300" spans="14:15" x14ac:dyDescent="0.35">
      <c r="N1300"/>
      <c r="O1300"/>
    </row>
    <row r="1301" spans="14:15" x14ac:dyDescent="0.35">
      <c r="N1301"/>
      <c r="O1301"/>
    </row>
    <row r="1302" spans="14:15" x14ac:dyDescent="0.35">
      <c r="N1302"/>
      <c r="O1302"/>
    </row>
    <row r="1303" spans="14:15" x14ac:dyDescent="0.35">
      <c r="N1303"/>
      <c r="O1303"/>
    </row>
    <row r="1304" spans="14:15" x14ac:dyDescent="0.35">
      <c r="N1304"/>
      <c r="O1304"/>
    </row>
    <row r="1305" spans="14:15" x14ac:dyDescent="0.35">
      <c r="N1305"/>
      <c r="O1305"/>
    </row>
    <row r="1306" spans="14:15" x14ac:dyDescent="0.35">
      <c r="N1306"/>
      <c r="O1306"/>
    </row>
    <row r="1307" spans="14:15" x14ac:dyDescent="0.35">
      <c r="N1307"/>
      <c r="O1307"/>
    </row>
    <row r="1308" spans="14:15" x14ac:dyDescent="0.35">
      <c r="N1308"/>
      <c r="O1308"/>
    </row>
    <row r="1309" spans="14:15" x14ac:dyDescent="0.35">
      <c r="N1309"/>
      <c r="O1309"/>
    </row>
    <row r="1310" spans="14:15" x14ac:dyDescent="0.35">
      <c r="N1310"/>
      <c r="O1310"/>
    </row>
    <row r="1311" spans="14:15" x14ac:dyDescent="0.35">
      <c r="N1311"/>
      <c r="O1311"/>
    </row>
    <row r="1312" spans="14:15" x14ac:dyDescent="0.35">
      <c r="N1312"/>
      <c r="O1312"/>
    </row>
    <row r="1313" spans="14:15" x14ac:dyDescent="0.35">
      <c r="N1313"/>
      <c r="O1313"/>
    </row>
    <row r="1314" spans="14:15" x14ac:dyDescent="0.35">
      <c r="N1314"/>
      <c r="O1314"/>
    </row>
    <row r="1315" spans="14:15" x14ac:dyDescent="0.35">
      <c r="N1315"/>
      <c r="O1315"/>
    </row>
    <row r="1316" spans="14:15" x14ac:dyDescent="0.35">
      <c r="N1316"/>
      <c r="O1316"/>
    </row>
    <row r="1317" spans="14:15" x14ac:dyDescent="0.35">
      <c r="N1317"/>
      <c r="O1317"/>
    </row>
    <row r="1318" spans="14:15" x14ac:dyDescent="0.35">
      <c r="N1318"/>
      <c r="O1318"/>
    </row>
    <row r="1319" spans="14:15" x14ac:dyDescent="0.35">
      <c r="N1319"/>
      <c r="O1319"/>
    </row>
    <row r="1320" spans="14:15" x14ac:dyDescent="0.35">
      <c r="N1320"/>
      <c r="O1320"/>
    </row>
    <row r="1321" spans="14:15" x14ac:dyDescent="0.35">
      <c r="N1321"/>
      <c r="O1321"/>
    </row>
    <row r="1322" spans="14:15" x14ac:dyDescent="0.35">
      <c r="N1322"/>
      <c r="O1322"/>
    </row>
    <row r="1323" spans="14:15" x14ac:dyDescent="0.35">
      <c r="N1323"/>
      <c r="O1323"/>
    </row>
    <row r="1324" spans="14:15" x14ac:dyDescent="0.35">
      <c r="N1324"/>
      <c r="O1324"/>
    </row>
    <row r="1325" spans="14:15" x14ac:dyDescent="0.35">
      <c r="N1325"/>
      <c r="O1325"/>
    </row>
    <row r="1326" spans="14:15" x14ac:dyDescent="0.35">
      <c r="N1326"/>
      <c r="O1326"/>
    </row>
    <row r="1327" spans="14:15" x14ac:dyDescent="0.35">
      <c r="N1327"/>
      <c r="O1327"/>
    </row>
    <row r="1328" spans="14:15" x14ac:dyDescent="0.35">
      <c r="N1328"/>
      <c r="O1328"/>
    </row>
    <row r="1329" spans="14:15" x14ac:dyDescent="0.35">
      <c r="N1329"/>
      <c r="O1329"/>
    </row>
    <row r="1330" spans="14:15" x14ac:dyDescent="0.35">
      <c r="N1330"/>
      <c r="O1330"/>
    </row>
    <row r="1331" spans="14:15" x14ac:dyDescent="0.35">
      <c r="N1331"/>
      <c r="O1331"/>
    </row>
    <row r="1332" spans="14:15" x14ac:dyDescent="0.35">
      <c r="N1332"/>
      <c r="O1332"/>
    </row>
    <row r="1333" spans="14:15" x14ac:dyDescent="0.35">
      <c r="N1333"/>
      <c r="O1333"/>
    </row>
    <row r="1334" spans="14:15" x14ac:dyDescent="0.35">
      <c r="N1334"/>
      <c r="O1334"/>
    </row>
    <row r="1335" spans="14:15" x14ac:dyDescent="0.35">
      <c r="N1335"/>
      <c r="O1335"/>
    </row>
    <row r="1336" spans="14:15" x14ac:dyDescent="0.35">
      <c r="N1336"/>
      <c r="O1336"/>
    </row>
    <row r="1337" spans="14:15" x14ac:dyDescent="0.35">
      <c r="N1337"/>
      <c r="O1337"/>
    </row>
    <row r="1338" spans="14:15" x14ac:dyDescent="0.35">
      <c r="N1338"/>
      <c r="O1338"/>
    </row>
    <row r="1339" spans="14:15" x14ac:dyDescent="0.35">
      <c r="N1339"/>
      <c r="O1339"/>
    </row>
    <row r="1340" spans="14:15" x14ac:dyDescent="0.35">
      <c r="N1340"/>
      <c r="O1340"/>
    </row>
    <row r="1341" spans="14:15" x14ac:dyDescent="0.35">
      <c r="N1341"/>
      <c r="O1341"/>
    </row>
    <row r="1342" spans="14:15" x14ac:dyDescent="0.35">
      <c r="N1342"/>
      <c r="O1342"/>
    </row>
    <row r="1343" spans="14:15" x14ac:dyDescent="0.35">
      <c r="N1343"/>
      <c r="O1343"/>
    </row>
    <row r="1344" spans="14:15" x14ac:dyDescent="0.35">
      <c r="N1344"/>
      <c r="O1344"/>
    </row>
    <row r="1345" spans="14:15" x14ac:dyDescent="0.35">
      <c r="N1345"/>
      <c r="O1345"/>
    </row>
    <row r="1346" spans="14:15" x14ac:dyDescent="0.35">
      <c r="N1346"/>
      <c r="O1346"/>
    </row>
    <row r="1347" spans="14:15" x14ac:dyDescent="0.35">
      <c r="N1347"/>
      <c r="O1347"/>
    </row>
    <row r="1348" spans="14:15" x14ac:dyDescent="0.35">
      <c r="N1348"/>
      <c r="O1348"/>
    </row>
    <row r="1349" spans="14:15" x14ac:dyDescent="0.35">
      <c r="N1349"/>
      <c r="O1349"/>
    </row>
    <row r="1350" spans="14:15" x14ac:dyDescent="0.35">
      <c r="N1350"/>
      <c r="O1350"/>
    </row>
    <row r="1351" spans="14:15" x14ac:dyDescent="0.35">
      <c r="N1351"/>
      <c r="O1351"/>
    </row>
    <row r="1352" spans="14:15" x14ac:dyDescent="0.35">
      <c r="N1352"/>
      <c r="O1352"/>
    </row>
    <row r="1353" spans="14:15" x14ac:dyDescent="0.35">
      <c r="N1353"/>
      <c r="O1353"/>
    </row>
    <row r="1354" spans="14:15" x14ac:dyDescent="0.35">
      <c r="N1354"/>
      <c r="O1354"/>
    </row>
    <row r="1355" spans="14:15" x14ac:dyDescent="0.35">
      <c r="N1355"/>
      <c r="O1355"/>
    </row>
    <row r="1356" spans="14:15" x14ac:dyDescent="0.35">
      <c r="N1356"/>
      <c r="O1356"/>
    </row>
    <row r="1357" spans="14:15" x14ac:dyDescent="0.35">
      <c r="N1357"/>
      <c r="O1357"/>
    </row>
    <row r="1358" spans="14:15" x14ac:dyDescent="0.35">
      <c r="N1358"/>
      <c r="O1358"/>
    </row>
    <row r="1359" spans="14:15" x14ac:dyDescent="0.35">
      <c r="N1359"/>
      <c r="O1359"/>
    </row>
    <row r="1360" spans="14:15" x14ac:dyDescent="0.35">
      <c r="N1360"/>
      <c r="O1360"/>
    </row>
    <row r="1361" spans="14:15" x14ac:dyDescent="0.35">
      <c r="N1361"/>
      <c r="O1361"/>
    </row>
    <row r="1362" spans="14:15" x14ac:dyDescent="0.35">
      <c r="N1362"/>
      <c r="O1362"/>
    </row>
    <row r="1363" spans="14:15" x14ac:dyDescent="0.35">
      <c r="N1363"/>
      <c r="O1363"/>
    </row>
    <row r="1364" spans="14:15" x14ac:dyDescent="0.35">
      <c r="N1364"/>
      <c r="O1364"/>
    </row>
    <row r="1365" spans="14:15" x14ac:dyDescent="0.35">
      <c r="N1365"/>
      <c r="O1365"/>
    </row>
    <row r="1366" spans="14:15" x14ac:dyDescent="0.35">
      <c r="N1366"/>
      <c r="O1366"/>
    </row>
    <row r="1367" spans="14:15" x14ac:dyDescent="0.35">
      <c r="N1367"/>
      <c r="O1367"/>
    </row>
    <row r="1368" spans="14:15" x14ac:dyDescent="0.35">
      <c r="N1368"/>
      <c r="O1368"/>
    </row>
    <row r="1369" spans="14:15" x14ac:dyDescent="0.35">
      <c r="N1369"/>
      <c r="O1369"/>
    </row>
    <row r="1370" spans="14:15" x14ac:dyDescent="0.35">
      <c r="N1370"/>
      <c r="O1370"/>
    </row>
    <row r="1371" spans="14:15" x14ac:dyDescent="0.35">
      <c r="N1371"/>
      <c r="O1371"/>
    </row>
    <row r="1372" spans="14:15" x14ac:dyDescent="0.35">
      <c r="N1372"/>
      <c r="O1372"/>
    </row>
    <row r="1373" spans="14:15" x14ac:dyDescent="0.35">
      <c r="N1373"/>
      <c r="O1373"/>
    </row>
    <row r="1374" spans="14:15" x14ac:dyDescent="0.35">
      <c r="N1374"/>
      <c r="O1374"/>
    </row>
    <row r="1375" spans="14:15" x14ac:dyDescent="0.35">
      <c r="N1375"/>
      <c r="O1375"/>
    </row>
    <row r="1376" spans="14:15" x14ac:dyDescent="0.35">
      <c r="N1376"/>
      <c r="O1376"/>
    </row>
    <row r="1377" spans="14:15" x14ac:dyDescent="0.35">
      <c r="N1377"/>
      <c r="O1377"/>
    </row>
    <row r="1378" spans="14:15" x14ac:dyDescent="0.35">
      <c r="N1378"/>
      <c r="O1378"/>
    </row>
    <row r="1379" spans="14:15" x14ac:dyDescent="0.35">
      <c r="N1379"/>
      <c r="O1379"/>
    </row>
    <row r="1380" spans="14:15" x14ac:dyDescent="0.35">
      <c r="N1380"/>
      <c r="O1380"/>
    </row>
    <row r="1381" spans="14:15" x14ac:dyDescent="0.35">
      <c r="N1381"/>
      <c r="O1381"/>
    </row>
    <row r="1382" spans="14:15" x14ac:dyDescent="0.35">
      <c r="N1382"/>
      <c r="O1382"/>
    </row>
    <row r="1383" spans="14:15" x14ac:dyDescent="0.35">
      <c r="N1383"/>
      <c r="O1383"/>
    </row>
    <row r="1384" spans="14:15" x14ac:dyDescent="0.35">
      <c r="N1384"/>
      <c r="O1384"/>
    </row>
    <row r="1385" spans="14:15" x14ac:dyDescent="0.35">
      <c r="N1385"/>
      <c r="O1385"/>
    </row>
    <row r="1386" spans="14:15" x14ac:dyDescent="0.35">
      <c r="N1386"/>
      <c r="O1386"/>
    </row>
    <row r="1387" spans="14:15" x14ac:dyDescent="0.35">
      <c r="N1387"/>
      <c r="O1387"/>
    </row>
    <row r="1388" spans="14:15" x14ac:dyDescent="0.35">
      <c r="N1388"/>
      <c r="O1388"/>
    </row>
    <row r="1389" spans="14:15" x14ac:dyDescent="0.35">
      <c r="N1389"/>
      <c r="O1389"/>
    </row>
    <row r="1390" spans="14:15" x14ac:dyDescent="0.35">
      <c r="N1390"/>
      <c r="O1390"/>
    </row>
    <row r="1391" spans="14:15" x14ac:dyDescent="0.35">
      <c r="N1391"/>
      <c r="O1391"/>
    </row>
    <row r="1392" spans="14:15" x14ac:dyDescent="0.35">
      <c r="N1392"/>
      <c r="O1392"/>
    </row>
    <row r="1393" spans="14:15" x14ac:dyDescent="0.35">
      <c r="N1393"/>
      <c r="O1393"/>
    </row>
    <row r="1394" spans="14:15" x14ac:dyDescent="0.35">
      <c r="N1394"/>
      <c r="O1394"/>
    </row>
    <row r="1395" spans="14:15" x14ac:dyDescent="0.35">
      <c r="N1395"/>
      <c r="O1395"/>
    </row>
    <row r="1396" spans="14:15" x14ac:dyDescent="0.35">
      <c r="N1396"/>
      <c r="O1396"/>
    </row>
    <row r="1397" spans="14:15" x14ac:dyDescent="0.35">
      <c r="N1397"/>
      <c r="O1397"/>
    </row>
    <row r="1398" spans="14:15" x14ac:dyDescent="0.35">
      <c r="N1398"/>
      <c r="O1398"/>
    </row>
    <row r="1399" spans="14:15" x14ac:dyDescent="0.35">
      <c r="N1399"/>
      <c r="O1399"/>
    </row>
    <row r="1400" spans="14:15" x14ac:dyDescent="0.35">
      <c r="N1400"/>
      <c r="O1400"/>
    </row>
    <row r="1401" spans="14:15" x14ac:dyDescent="0.35">
      <c r="N1401"/>
      <c r="O1401"/>
    </row>
    <row r="1402" spans="14:15" x14ac:dyDescent="0.35">
      <c r="N1402"/>
      <c r="O1402"/>
    </row>
    <row r="1403" spans="14:15" x14ac:dyDescent="0.35">
      <c r="N1403"/>
      <c r="O1403"/>
    </row>
    <row r="1404" spans="14:15" x14ac:dyDescent="0.35">
      <c r="N1404"/>
      <c r="O1404"/>
    </row>
    <row r="1405" spans="14:15" x14ac:dyDescent="0.35">
      <c r="N1405"/>
      <c r="O1405"/>
    </row>
    <row r="1406" spans="14:15" x14ac:dyDescent="0.35">
      <c r="N1406"/>
      <c r="O1406"/>
    </row>
    <row r="1407" spans="14:15" x14ac:dyDescent="0.35">
      <c r="N1407"/>
      <c r="O1407"/>
    </row>
    <row r="1408" spans="14:15" x14ac:dyDescent="0.35">
      <c r="N1408"/>
      <c r="O1408"/>
    </row>
    <row r="1409" spans="14:15" x14ac:dyDescent="0.35">
      <c r="N1409"/>
      <c r="O1409"/>
    </row>
    <row r="1410" spans="14:15" x14ac:dyDescent="0.35">
      <c r="N1410"/>
      <c r="O1410"/>
    </row>
    <row r="1411" spans="14:15" x14ac:dyDescent="0.35">
      <c r="N1411"/>
      <c r="O1411"/>
    </row>
    <row r="1412" spans="14:15" x14ac:dyDescent="0.35">
      <c r="N1412"/>
      <c r="O1412"/>
    </row>
    <row r="1413" spans="14:15" x14ac:dyDescent="0.35">
      <c r="N1413"/>
      <c r="O1413"/>
    </row>
    <row r="1414" spans="14:15" x14ac:dyDescent="0.35">
      <c r="N1414"/>
      <c r="O1414"/>
    </row>
    <row r="1415" spans="14:15" x14ac:dyDescent="0.35">
      <c r="N1415"/>
      <c r="O1415"/>
    </row>
    <row r="1416" spans="14:15" x14ac:dyDescent="0.35">
      <c r="N1416"/>
      <c r="O1416"/>
    </row>
    <row r="1417" spans="14:15" x14ac:dyDescent="0.35">
      <c r="N1417"/>
      <c r="O1417"/>
    </row>
    <row r="1418" spans="14:15" x14ac:dyDescent="0.35">
      <c r="N1418"/>
      <c r="O1418"/>
    </row>
    <row r="1419" spans="14:15" x14ac:dyDescent="0.35">
      <c r="N1419"/>
      <c r="O1419"/>
    </row>
    <row r="1420" spans="14:15" x14ac:dyDescent="0.35">
      <c r="N1420"/>
      <c r="O1420"/>
    </row>
    <row r="1421" spans="14:15" x14ac:dyDescent="0.35">
      <c r="N1421"/>
      <c r="O1421"/>
    </row>
    <row r="1422" spans="14:15" x14ac:dyDescent="0.35">
      <c r="N1422"/>
      <c r="O1422"/>
    </row>
    <row r="1423" spans="14:15" x14ac:dyDescent="0.35">
      <c r="N1423"/>
      <c r="O1423"/>
    </row>
    <row r="1424" spans="14:15" x14ac:dyDescent="0.35">
      <c r="N1424"/>
      <c r="O1424"/>
    </row>
    <row r="1425" spans="14:15" x14ac:dyDescent="0.35">
      <c r="N1425"/>
      <c r="O1425"/>
    </row>
    <row r="1426" spans="14:15" x14ac:dyDescent="0.35">
      <c r="N1426"/>
      <c r="O1426"/>
    </row>
    <row r="1427" spans="14:15" x14ac:dyDescent="0.35">
      <c r="N1427"/>
      <c r="O1427"/>
    </row>
    <row r="1428" spans="14:15" x14ac:dyDescent="0.35">
      <c r="N1428"/>
      <c r="O1428"/>
    </row>
    <row r="1429" spans="14:15" x14ac:dyDescent="0.35">
      <c r="N1429"/>
      <c r="O1429"/>
    </row>
    <row r="1430" spans="14:15" x14ac:dyDescent="0.35">
      <c r="N1430"/>
      <c r="O1430"/>
    </row>
    <row r="1431" spans="14:15" x14ac:dyDescent="0.35">
      <c r="N1431"/>
      <c r="O1431"/>
    </row>
    <row r="1432" spans="14:15" x14ac:dyDescent="0.35">
      <c r="N1432"/>
      <c r="O1432"/>
    </row>
    <row r="1433" spans="14:15" x14ac:dyDescent="0.35">
      <c r="N1433"/>
      <c r="O1433"/>
    </row>
    <row r="1434" spans="14:15" x14ac:dyDescent="0.35">
      <c r="N1434"/>
      <c r="O1434"/>
    </row>
    <row r="1435" spans="14:15" x14ac:dyDescent="0.35">
      <c r="N1435"/>
      <c r="O1435"/>
    </row>
    <row r="1436" spans="14:15" x14ac:dyDescent="0.35">
      <c r="N1436"/>
      <c r="O1436"/>
    </row>
    <row r="1437" spans="14:15" x14ac:dyDescent="0.35">
      <c r="N1437"/>
      <c r="O1437"/>
    </row>
    <row r="1438" spans="14:15" x14ac:dyDescent="0.35">
      <c r="N1438"/>
      <c r="O1438"/>
    </row>
    <row r="1439" spans="14:15" x14ac:dyDescent="0.35">
      <c r="N1439"/>
      <c r="O1439"/>
    </row>
    <row r="1440" spans="14:15" x14ac:dyDescent="0.35">
      <c r="N1440"/>
      <c r="O1440"/>
    </row>
    <row r="1441" spans="14:15" x14ac:dyDescent="0.35">
      <c r="N1441"/>
      <c r="O1441"/>
    </row>
    <row r="1442" spans="14:15" x14ac:dyDescent="0.35">
      <c r="N1442"/>
      <c r="O1442"/>
    </row>
    <row r="1443" spans="14:15" x14ac:dyDescent="0.35">
      <c r="N1443"/>
      <c r="O1443"/>
    </row>
    <row r="1444" spans="14:15" x14ac:dyDescent="0.35">
      <c r="N1444"/>
      <c r="O1444"/>
    </row>
    <row r="1445" spans="14:15" x14ac:dyDescent="0.35">
      <c r="N1445"/>
      <c r="O1445"/>
    </row>
    <row r="1446" spans="14:15" x14ac:dyDescent="0.35">
      <c r="N1446"/>
      <c r="O1446"/>
    </row>
    <row r="1447" spans="14:15" x14ac:dyDescent="0.35">
      <c r="N1447"/>
      <c r="O1447"/>
    </row>
    <row r="1448" spans="14:15" x14ac:dyDescent="0.35">
      <c r="N1448"/>
      <c r="O1448"/>
    </row>
    <row r="1449" spans="14:15" x14ac:dyDescent="0.35">
      <c r="N1449"/>
      <c r="O1449"/>
    </row>
    <row r="1450" spans="14:15" x14ac:dyDescent="0.35">
      <c r="N1450"/>
      <c r="O1450"/>
    </row>
    <row r="1451" spans="14:15" x14ac:dyDescent="0.35">
      <c r="N1451"/>
      <c r="O1451"/>
    </row>
    <row r="1452" spans="14:15" x14ac:dyDescent="0.35">
      <c r="N1452"/>
      <c r="O1452"/>
    </row>
    <row r="1453" spans="14:15" x14ac:dyDescent="0.35">
      <c r="N1453"/>
      <c r="O1453"/>
    </row>
    <row r="1454" spans="14:15" x14ac:dyDescent="0.35">
      <c r="N1454"/>
      <c r="O1454"/>
    </row>
    <row r="1455" spans="14:15" x14ac:dyDescent="0.35">
      <c r="N1455"/>
      <c r="O1455"/>
    </row>
    <row r="1456" spans="14:15" x14ac:dyDescent="0.35">
      <c r="N1456"/>
      <c r="O1456"/>
    </row>
    <row r="1457" spans="14:15" x14ac:dyDescent="0.35">
      <c r="N1457"/>
      <c r="O1457"/>
    </row>
    <row r="1458" spans="14:15" x14ac:dyDescent="0.35">
      <c r="N1458"/>
      <c r="O1458"/>
    </row>
    <row r="1459" spans="14:15" x14ac:dyDescent="0.35">
      <c r="N1459"/>
      <c r="O1459"/>
    </row>
    <row r="1460" spans="14:15" x14ac:dyDescent="0.35">
      <c r="N1460"/>
      <c r="O1460"/>
    </row>
    <row r="1461" spans="14:15" x14ac:dyDescent="0.35">
      <c r="N1461"/>
      <c r="O1461"/>
    </row>
    <row r="1462" spans="14:15" x14ac:dyDescent="0.35">
      <c r="N1462"/>
      <c r="O1462"/>
    </row>
    <row r="1463" spans="14:15" x14ac:dyDescent="0.35">
      <c r="N1463"/>
      <c r="O1463"/>
    </row>
    <row r="1464" spans="14:15" x14ac:dyDescent="0.35">
      <c r="N1464"/>
      <c r="O1464"/>
    </row>
    <row r="1465" spans="14:15" x14ac:dyDescent="0.35">
      <c r="N1465"/>
      <c r="O1465"/>
    </row>
    <row r="1466" spans="14:15" x14ac:dyDescent="0.35">
      <c r="N1466"/>
      <c r="O1466"/>
    </row>
    <row r="1467" spans="14:15" x14ac:dyDescent="0.35">
      <c r="N1467"/>
      <c r="O1467"/>
    </row>
    <row r="1468" spans="14:15" x14ac:dyDescent="0.35">
      <c r="N1468"/>
      <c r="O1468"/>
    </row>
    <row r="1469" spans="14:15" x14ac:dyDescent="0.35">
      <c r="N1469"/>
      <c r="O1469"/>
    </row>
    <row r="1470" spans="14:15" x14ac:dyDescent="0.35">
      <c r="N1470"/>
      <c r="O1470"/>
    </row>
    <row r="1471" spans="14:15" x14ac:dyDescent="0.35">
      <c r="N1471"/>
      <c r="O1471"/>
    </row>
    <row r="1472" spans="14:15" x14ac:dyDescent="0.35">
      <c r="N1472"/>
      <c r="O1472"/>
    </row>
    <row r="1473" spans="14:15" x14ac:dyDescent="0.35">
      <c r="N1473"/>
      <c r="O1473"/>
    </row>
    <row r="1474" spans="14:15" x14ac:dyDescent="0.35">
      <c r="N1474"/>
      <c r="O1474"/>
    </row>
    <row r="1475" spans="14:15" x14ac:dyDescent="0.35">
      <c r="N1475"/>
      <c r="O1475"/>
    </row>
    <row r="1476" spans="14:15" x14ac:dyDescent="0.35">
      <c r="N1476"/>
      <c r="O1476"/>
    </row>
    <row r="1477" spans="14:15" x14ac:dyDescent="0.35">
      <c r="N1477"/>
      <c r="O1477"/>
    </row>
    <row r="1478" spans="14:15" x14ac:dyDescent="0.35">
      <c r="N1478"/>
      <c r="O1478"/>
    </row>
    <row r="1479" spans="14:15" x14ac:dyDescent="0.35">
      <c r="N1479"/>
      <c r="O1479"/>
    </row>
    <row r="1480" spans="14:15" x14ac:dyDescent="0.35">
      <c r="N1480"/>
      <c r="O1480"/>
    </row>
    <row r="1481" spans="14:15" x14ac:dyDescent="0.35">
      <c r="N1481"/>
      <c r="O1481"/>
    </row>
    <row r="1482" spans="14:15" x14ac:dyDescent="0.35">
      <c r="N1482"/>
      <c r="O1482"/>
    </row>
    <row r="1483" spans="14:15" x14ac:dyDescent="0.35">
      <c r="N1483"/>
      <c r="O1483"/>
    </row>
    <row r="1484" spans="14:15" x14ac:dyDescent="0.35">
      <c r="N1484"/>
      <c r="O1484"/>
    </row>
    <row r="1485" spans="14:15" x14ac:dyDescent="0.35">
      <c r="N1485"/>
      <c r="O1485"/>
    </row>
    <row r="1486" spans="14:15" x14ac:dyDescent="0.35">
      <c r="N1486"/>
      <c r="O1486"/>
    </row>
    <row r="1487" spans="14:15" x14ac:dyDescent="0.35">
      <c r="N1487"/>
      <c r="O1487"/>
    </row>
    <row r="1488" spans="14:15" x14ac:dyDescent="0.35">
      <c r="N1488"/>
      <c r="O1488"/>
    </row>
    <row r="1489" spans="14:15" x14ac:dyDescent="0.35">
      <c r="N1489"/>
      <c r="O1489"/>
    </row>
    <row r="1490" spans="14:15" x14ac:dyDescent="0.35">
      <c r="N1490"/>
      <c r="O1490"/>
    </row>
    <row r="1491" spans="14:15" x14ac:dyDescent="0.35">
      <c r="N1491"/>
      <c r="O1491"/>
    </row>
    <row r="1492" spans="14:15" x14ac:dyDescent="0.35">
      <c r="N1492"/>
      <c r="O1492"/>
    </row>
    <row r="1493" spans="14:15" x14ac:dyDescent="0.35">
      <c r="N1493"/>
      <c r="O1493"/>
    </row>
    <row r="1494" spans="14:15" x14ac:dyDescent="0.35">
      <c r="N1494"/>
      <c r="O1494"/>
    </row>
    <row r="1495" spans="14:15" x14ac:dyDescent="0.35">
      <c r="N1495"/>
      <c r="O1495"/>
    </row>
    <row r="1496" spans="14:15" x14ac:dyDescent="0.35">
      <c r="N1496"/>
      <c r="O1496"/>
    </row>
    <row r="1497" spans="14:15" x14ac:dyDescent="0.35">
      <c r="N1497"/>
      <c r="O1497"/>
    </row>
    <row r="1498" spans="14:15" x14ac:dyDescent="0.35">
      <c r="N1498"/>
      <c r="O1498"/>
    </row>
    <row r="1499" spans="14:15" x14ac:dyDescent="0.35">
      <c r="N1499"/>
      <c r="O1499"/>
    </row>
    <row r="1500" spans="14:15" x14ac:dyDescent="0.35">
      <c r="N1500"/>
      <c r="O1500"/>
    </row>
    <row r="1501" spans="14:15" x14ac:dyDescent="0.35">
      <c r="N1501"/>
      <c r="O1501"/>
    </row>
    <row r="1502" spans="14:15" x14ac:dyDescent="0.35">
      <c r="N1502"/>
      <c r="O1502"/>
    </row>
    <row r="1503" spans="14:15" x14ac:dyDescent="0.35">
      <c r="N1503"/>
      <c r="O1503"/>
    </row>
    <row r="1504" spans="14:15" x14ac:dyDescent="0.35">
      <c r="N1504"/>
      <c r="O1504"/>
    </row>
    <row r="1505" spans="14:15" x14ac:dyDescent="0.35">
      <c r="N1505"/>
      <c r="O1505"/>
    </row>
    <row r="1506" spans="14:15" x14ac:dyDescent="0.35">
      <c r="N1506"/>
      <c r="O1506"/>
    </row>
    <row r="1507" spans="14:15" x14ac:dyDescent="0.35">
      <c r="N1507"/>
      <c r="O1507"/>
    </row>
    <row r="1508" spans="14:15" x14ac:dyDescent="0.35">
      <c r="N1508"/>
      <c r="O1508"/>
    </row>
    <row r="1509" spans="14:15" x14ac:dyDescent="0.35">
      <c r="N1509"/>
      <c r="O1509"/>
    </row>
    <row r="1510" spans="14:15" x14ac:dyDescent="0.35">
      <c r="N1510"/>
      <c r="O1510"/>
    </row>
    <row r="1511" spans="14:15" x14ac:dyDescent="0.35">
      <c r="N1511"/>
      <c r="O1511"/>
    </row>
    <row r="1512" spans="14:15" x14ac:dyDescent="0.35">
      <c r="N1512"/>
      <c r="O1512"/>
    </row>
    <row r="1513" spans="14:15" x14ac:dyDescent="0.35">
      <c r="N1513"/>
      <c r="O1513"/>
    </row>
    <row r="1514" spans="14:15" x14ac:dyDescent="0.35">
      <c r="N1514"/>
      <c r="O1514"/>
    </row>
    <row r="1515" spans="14:15" x14ac:dyDescent="0.35">
      <c r="N1515"/>
      <c r="O1515"/>
    </row>
    <row r="1516" spans="14:15" x14ac:dyDescent="0.35">
      <c r="N1516"/>
      <c r="O1516"/>
    </row>
    <row r="1517" spans="14:15" x14ac:dyDescent="0.35">
      <c r="N1517"/>
      <c r="O1517"/>
    </row>
    <row r="1518" spans="14:15" x14ac:dyDescent="0.35">
      <c r="N1518"/>
      <c r="O1518"/>
    </row>
    <row r="1519" spans="14:15" x14ac:dyDescent="0.35">
      <c r="N1519"/>
      <c r="O1519"/>
    </row>
    <row r="1520" spans="14:15" x14ac:dyDescent="0.35">
      <c r="N1520"/>
      <c r="O1520"/>
    </row>
    <row r="1521" spans="14:15" x14ac:dyDescent="0.35">
      <c r="N1521"/>
      <c r="O1521"/>
    </row>
    <row r="1522" spans="14:15" x14ac:dyDescent="0.35">
      <c r="N1522"/>
      <c r="O1522"/>
    </row>
    <row r="1523" spans="14:15" x14ac:dyDescent="0.35">
      <c r="N1523"/>
      <c r="O1523"/>
    </row>
    <row r="1524" spans="14:15" x14ac:dyDescent="0.35">
      <c r="N1524"/>
      <c r="O1524"/>
    </row>
    <row r="1525" spans="14:15" x14ac:dyDescent="0.35">
      <c r="N1525"/>
      <c r="O1525"/>
    </row>
    <row r="1526" spans="14:15" x14ac:dyDescent="0.35">
      <c r="N1526"/>
      <c r="O1526"/>
    </row>
    <row r="1527" spans="14:15" x14ac:dyDescent="0.35">
      <c r="N1527"/>
      <c r="O1527"/>
    </row>
    <row r="1528" spans="14:15" x14ac:dyDescent="0.35">
      <c r="N1528"/>
      <c r="O1528"/>
    </row>
    <row r="1529" spans="14:15" x14ac:dyDescent="0.35">
      <c r="N1529"/>
      <c r="O1529"/>
    </row>
    <row r="1530" spans="14:15" x14ac:dyDescent="0.35">
      <c r="N1530"/>
      <c r="O1530"/>
    </row>
    <row r="1531" spans="14:15" x14ac:dyDescent="0.35">
      <c r="N1531"/>
      <c r="O1531"/>
    </row>
    <row r="1532" spans="14:15" x14ac:dyDescent="0.35">
      <c r="N1532"/>
      <c r="O1532"/>
    </row>
    <row r="1533" spans="14:15" x14ac:dyDescent="0.35">
      <c r="N1533"/>
      <c r="O1533"/>
    </row>
    <row r="1534" spans="14:15" x14ac:dyDescent="0.35">
      <c r="N1534"/>
      <c r="O1534"/>
    </row>
    <row r="1535" spans="14:15" x14ac:dyDescent="0.35">
      <c r="N1535"/>
      <c r="O1535"/>
    </row>
    <row r="1536" spans="14:15" x14ac:dyDescent="0.35">
      <c r="N1536"/>
      <c r="O1536"/>
    </row>
    <row r="1537" spans="14:15" x14ac:dyDescent="0.35">
      <c r="N1537"/>
      <c r="O1537"/>
    </row>
    <row r="1538" spans="14:15" x14ac:dyDescent="0.35">
      <c r="N1538"/>
      <c r="O1538"/>
    </row>
    <row r="1539" spans="14:15" x14ac:dyDescent="0.35">
      <c r="N1539"/>
      <c r="O1539"/>
    </row>
    <row r="1540" spans="14:15" x14ac:dyDescent="0.35">
      <c r="N1540"/>
      <c r="O1540"/>
    </row>
    <row r="1541" spans="14:15" x14ac:dyDescent="0.35">
      <c r="N1541"/>
      <c r="O1541"/>
    </row>
    <row r="1542" spans="14:15" x14ac:dyDescent="0.35">
      <c r="N1542"/>
      <c r="O1542"/>
    </row>
    <row r="1543" spans="14:15" x14ac:dyDescent="0.35">
      <c r="N1543"/>
      <c r="O1543"/>
    </row>
    <row r="1544" spans="14:15" x14ac:dyDescent="0.35">
      <c r="N1544"/>
      <c r="O1544"/>
    </row>
    <row r="1545" spans="14:15" x14ac:dyDescent="0.35">
      <c r="N1545"/>
      <c r="O1545"/>
    </row>
    <row r="1546" spans="14:15" x14ac:dyDescent="0.35">
      <c r="N1546"/>
      <c r="O1546"/>
    </row>
    <row r="1547" spans="14:15" x14ac:dyDescent="0.35">
      <c r="N1547"/>
      <c r="O1547"/>
    </row>
    <row r="1548" spans="14:15" x14ac:dyDescent="0.35">
      <c r="N1548"/>
      <c r="O1548"/>
    </row>
    <row r="1549" spans="14:15" x14ac:dyDescent="0.35">
      <c r="N1549"/>
      <c r="O1549"/>
    </row>
    <row r="1550" spans="14:15" x14ac:dyDescent="0.35">
      <c r="N1550"/>
      <c r="O1550"/>
    </row>
    <row r="1551" spans="14:15" x14ac:dyDescent="0.35">
      <c r="N1551"/>
      <c r="O1551"/>
    </row>
    <row r="1552" spans="14:15" x14ac:dyDescent="0.35">
      <c r="N1552"/>
      <c r="O1552"/>
    </row>
    <row r="1553" spans="14:15" x14ac:dyDescent="0.35">
      <c r="N1553"/>
      <c r="O1553"/>
    </row>
    <row r="1554" spans="14:15" x14ac:dyDescent="0.35">
      <c r="N1554"/>
      <c r="O1554"/>
    </row>
    <row r="1555" spans="14:15" x14ac:dyDescent="0.35">
      <c r="N1555"/>
      <c r="O1555"/>
    </row>
    <row r="1556" spans="14:15" x14ac:dyDescent="0.35">
      <c r="N1556"/>
      <c r="O1556"/>
    </row>
    <row r="1557" spans="14:15" x14ac:dyDescent="0.35">
      <c r="N1557"/>
      <c r="O1557"/>
    </row>
    <row r="1558" spans="14:15" x14ac:dyDescent="0.35">
      <c r="N1558"/>
      <c r="O1558"/>
    </row>
    <row r="1559" spans="14:15" x14ac:dyDescent="0.35">
      <c r="N1559"/>
      <c r="O1559"/>
    </row>
    <row r="1560" spans="14:15" x14ac:dyDescent="0.35">
      <c r="N1560"/>
      <c r="O1560"/>
    </row>
    <row r="1561" spans="14:15" x14ac:dyDescent="0.35">
      <c r="N1561"/>
      <c r="O1561"/>
    </row>
    <row r="1562" spans="14:15" x14ac:dyDescent="0.35">
      <c r="N1562"/>
      <c r="O1562"/>
    </row>
    <row r="1563" spans="14:15" x14ac:dyDescent="0.35">
      <c r="N1563"/>
      <c r="O1563"/>
    </row>
    <row r="1564" spans="14:15" x14ac:dyDescent="0.35">
      <c r="N1564"/>
      <c r="O1564"/>
    </row>
    <row r="1565" spans="14:15" x14ac:dyDescent="0.35">
      <c r="N1565"/>
      <c r="O1565"/>
    </row>
    <row r="1566" spans="14:15" x14ac:dyDescent="0.35">
      <c r="N1566"/>
      <c r="O1566"/>
    </row>
    <row r="1567" spans="14:15" x14ac:dyDescent="0.35">
      <c r="N1567"/>
      <c r="O1567"/>
    </row>
    <row r="1568" spans="14:15" x14ac:dyDescent="0.35">
      <c r="N1568"/>
      <c r="O1568"/>
    </row>
    <row r="1569" spans="14:15" x14ac:dyDescent="0.35">
      <c r="N1569"/>
      <c r="O1569"/>
    </row>
    <row r="1570" spans="14:15" x14ac:dyDescent="0.35">
      <c r="N1570"/>
      <c r="O1570"/>
    </row>
    <row r="1571" spans="14:15" x14ac:dyDescent="0.35">
      <c r="N1571"/>
      <c r="O1571"/>
    </row>
    <row r="1572" spans="14:15" x14ac:dyDescent="0.35">
      <c r="N1572"/>
      <c r="O1572"/>
    </row>
    <row r="1573" spans="14:15" x14ac:dyDescent="0.35">
      <c r="N1573"/>
      <c r="O1573"/>
    </row>
    <row r="1574" spans="14:15" x14ac:dyDescent="0.35">
      <c r="N1574"/>
      <c r="O1574"/>
    </row>
    <row r="1575" spans="14:15" x14ac:dyDescent="0.35">
      <c r="N1575"/>
      <c r="O1575"/>
    </row>
    <row r="1576" spans="14:15" x14ac:dyDescent="0.35">
      <c r="N1576"/>
      <c r="O1576"/>
    </row>
    <row r="1577" spans="14:15" x14ac:dyDescent="0.35">
      <c r="N1577"/>
      <c r="O1577"/>
    </row>
    <row r="1578" spans="14:15" x14ac:dyDescent="0.35">
      <c r="N1578"/>
      <c r="O1578"/>
    </row>
    <row r="1579" spans="14:15" x14ac:dyDescent="0.35">
      <c r="N1579"/>
      <c r="O1579"/>
    </row>
    <row r="1580" spans="14:15" x14ac:dyDescent="0.35">
      <c r="N1580"/>
      <c r="O1580"/>
    </row>
    <row r="1581" spans="14:15" x14ac:dyDescent="0.35">
      <c r="N1581"/>
      <c r="O1581"/>
    </row>
    <row r="1582" spans="14:15" x14ac:dyDescent="0.35">
      <c r="N1582"/>
      <c r="O1582"/>
    </row>
    <row r="1583" spans="14:15" x14ac:dyDescent="0.35">
      <c r="N1583"/>
      <c r="O1583"/>
    </row>
    <row r="1584" spans="14:15" x14ac:dyDescent="0.35">
      <c r="N1584"/>
      <c r="O1584"/>
    </row>
    <row r="1585" spans="14:15" x14ac:dyDescent="0.35">
      <c r="N1585"/>
      <c r="O1585"/>
    </row>
    <row r="1586" spans="14:15" x14ac:dyDescent="0.35">
      <c r="N1586"/>
      <c r="O1586"/>
    </row>
    <row r="1587" spans="14:15" x14ac:dyDescent="0.35">
      <c r="N1587"/>
      <c r="O1587"/>
    </row>
    <row r="1588" spans="14:15" x14ac:dyDescent="0.35">
      <c r="N1588"/>
      <c r="O1588"/>
    </row>
    <row r="1589" spans="14:15" x14ac:dyDescent="0.35">
      <c r="N1589"/>
      <c r="O1589"/>
    </row>
    <row r="1590" spans="14:15" x14ac:dyDescent="0.35">
      <c r="N1590"/>
      <c r="O1590"/>
    </row>
    <row r="1591" spans="14:15" x14ac:dyDescent="0.35">
      <c r="N1591"/>
      <c r="O1591"/>
    </row>
    <row r="1592" spans="14:15" x14ac:dyDescent="0.35">
      <c r="N1592"/>
      <c r="O1592"/>
    </row>
    <row r="1593" spans="14:15" x14ac:dyDescent="0.35">
      <c r="N1593"/>
      <c r="O1593"/>
    </row>
    <row r="1594" spans="14:15" x14ac:dyDescent="0.35">
      <c r="N1594"/>
      <c r="O1594"/>
    </row>
    <row r="1595" spans="14:15" x14ac:dyDescent="0.35">
      <c r="N1595"/>
      <c r="O1595"/>
    </row>
    <row r="1596" spans="14:15" x14ac:dyDescent="0.35">
      <c r="N1596"/>
      <c r="O1596"/>
    </row>
    <row r="1597" spans="14:15" x14ac:dyDescent="0.35">
      <c r="N1597"/>
      <c r="O1597"/>
    </row>
    <row r="1598" spans="14:15" x14ac:dyDescent="0.35">
      <c r="N1598"/>
      <c r="O1598"/>
    </row>
    <row r="1599" spans="14:15" x14ac:dyDescent="0.35">
      <c r="N1599"/>
      <c r="O1599"/>
    </row>
    <row r="1600" spans="14:15" x14ac:dyDescent="0.35">
      <c r="N1600"/>
      <c r="O1600"/>
    </row>
    <row r="1601" spans="14:15" x14ac:dyDescent="0.35">
      <c r="N1601"/>
      <c r="O1601"/>
    </row>
    <row r="1602" spans="14:15" x14ac:dyDescent="0.35">
      <c r="N1602"/>
      <c r="O1602"/>
    </row>
    <row r="1603" spans="14:15" x14ac:dyDescent="0.35">
      <c r="N1603"/>
      <c r="O1603"/>
    </row>
    <row r="1604" spans="14:15" x14ac:dyDescent="0.35">
      <c r="N1604"/>
      <c r="O1604"/>
    </row>
    <row r="1605" spans="14:15" x14ac:dyDescent="0.35">
      <c r="N1605"/>
      <c r="O1605"/>
    </row>
    <row r="1606" spans="14:15" x14ac:dyDescent="0.35">
      <c r="N1606"/>
      <c r="O1606"/>
    </row>
    <row r="1607" spans="14:15" x14ac:dyDescent="0.35">
      <c r="N1607"/>
      <c r="O1607"/>
    </row>
    <row r="1608" spans="14:15" x14ac:dyDescent="0.35">
      <c r="N1608"/>
      <c r="O1608"/>
    </row>
    <row r="1609" spans="14:15" x14ac:dyDescent="0.35">
      <c r="N1609"/>
      <c r="O1609"/>
    </row>
    <row r="1610" spans="14:15" x14ac:dyDescent="0.35">
      <c r="N1610"/>
      <c r="O1610"/>
    </row>
    <row r="1611" spans="14:15" x14ac:dyDescent="0.35">
      <c r="N1611"/>
      <c r="O1611"/>
    </row>
    <row r="1612" spans="14:15" x14ac:dyDescent="0.35">
      <c r="N1612"/>
      <c r="O1612"/>
    </row>
    <row r="1613" spans="14:15" x14ac:dyDescent="0.35">
      <c r="N1613"/>
      <c r="O1613"/>
    </row>
    <row r="1614" spans="14:15" x14ac:dyDescent="0.35">
      <c r="N1614"/>
      <c r="O1614"/>
    </row>
    <row r="1615" spans="14:15" x14ac:dyDescent="0.35">
      <c r="N1615"/>
      <c r="O1615"/>
    </row>
    <row r="1616" spans="14:15" x14ac:dyDescent="0.35">
      <c r="N1616"/>
      <c r="O1616"/>
    </row>
    <row r="1617" spans="14:15" x14ac:dyDescent="0.35">
      <c r="N1617"/>
      <c r="O1617"/>
    </row>
    <row r="1618" spans="14:15" x14ac:dyDescent="0.35">
      <c r="N1618"/>
      <c r="O1618"/>
    </row>
    <row r="1619" spans="14:15" x14ac:dyDescent="0.35">
      <c r="N1619"/>
      <c r="O1619"/>
    </row>
    <row r="1620" spans="14:15" x14ac:dyDescent="0.35">
      <c r="N1620"/>
      <c r="O1620"/>
    </row>
    <row r="1621" spans="14:15" x14ac:dyDescent="0.35">
      <c r="N1621"/>
      <c r="O1621"/>
    </row>
    <row r="1622" spans="14:15" x14ac:dyDescent="0.35">
      <c r="N1622"/>
      <c r="O1622"/>
    </row>
    <row r="1623" spans="14:15" x14ac:dyDescent="0.35">
      <c r="N1623"/>
      <c r="O1623"/>
    </row>
    <row r="1624" spans="14:15" x14ac:dyDescent="0.35">
      <c r="N1624"/>
      <c r="O1624"/>
    </row>
    <row r="1625" spans="14:15" x14ac:dyDescent="0.35">
      <c r="N1625"/>
      <c r="O1625"/>
    </row>
    <row r="1626" spans="14:15" x14ac:dyDescent="0.35">
      <c r="N1626"/>
      <c r="O1626"/>
    </row>
    <row r="1627" spans="14:15" x14ac:dyDescent="0.35">
      <c r="N1627"/>
      <c r="O1627"/>
    </row>
    <row r="1628" spans="14:15" x14ac:dyDescent="0.35">
      <c r="N1628"/>
      <c r="O1628"/>
    </row>
    <row r="1629" spans="14:15" x14ac:dyDescent="0.35">
      <c r="N1629"/>
      <c r="O1629"/>
    </row>
    <row r="1630" spans="14:15" x14ac:dyDescent="0.35">
      <c r="N1630"/>
      <c r="O1630"/>
    </row>
    <row r="1631" spans="14:15" x14ac:dyDescent="0.35">
      <c r="N1631"/>
      <c r="O1631"/>
    </row>
    <row r="1632" spans="14:15" x14ac:dyDescent="0.35">
      <c r="N1632"/>
      <c r="O1632"/>
    </row>
    <row r="1633" spans="14:15" x14ac:dyDescent="0.35">
      <c r="N1633"/>
      <c r="O1633"/>
    </row>
    <row r="1634" spans="14:15" x14ac:dyDescent="0.35">
      <c r="N1634"/>
      <c r="O1634"/>
    </row>
    <row r="1635" spans="14:15" x14ac:dyDescent="0.35">
      <c r="N1635"/>
      <c r="O1635"/>
    </row>
    <row r="1636" spans="14:15" x14ac:dyDescent="0.35">
      <c r="N1636"/>
      <c r="O1636"/>
    </row>
    <row r="1637" spans="14:15" x14ac:dyDescent="0.35">
      <c r="N1637"/>
      <c r="O1637"/>
    </row>
    <row r="1638" spans="14:15" x14ac:dyDescent="0.35">
      <c r="N1638"/>
      <c r="O1638"/>
    </row>
    <row r="1639" spans="14:15" x14ac:dyDescent="0.35">
      <c r="N1639"/>
      <c r="O1639"/>
    </row>
    <row r="1640" spans="14:15" x14ac:dyDescent="0.35">
      <c r="N1640"/>
      <c r="O1640"/>
    </row>
    <row r="1641" spans="14:15" x14ac:dyDescent="0.35">
      <c r="N1641"/>
      <c r="O1641"/>
    </row>
    <row r="1642" spans="14:15" x14ac:dyDescent="0.35">
      <c r="N1642"/>
      <c r="O1642"/>
    </row>
    <row r="1643" spans="14:15" x14ac:dyDescent="0.35">
      <c r="N1643"/>
      <c r="O1643"/>
    </row>
    <row r="1644" spans="14:15" x14ac:dyDescent="0.35">
      <c r="N1644"/>
      <c r="O1644"/>
    </row>
    <row r="1645" spans="14:15" x14ac:dyDescent="0.35">
      <c r="N1645"/>
      <c r="O1645"/>
    </row>
    <row r="1646" spans="14:15" x14ac:dyDescent="0.35">
      <c r="N1646"/>
      <c r="O1646"/>
    </row>
    <row r="1647" spans="14:15" x14ac:dyDescent="0.35">
      <c r="N1647"/>
      <c r="O1647"/>
    </row>
    <row r="1648" spans="14:15" x14ac:dyDescent="0.35">
      <c r="N1648"/>
      <c r="O1648"/>
    </row>
    <row r="1649" spans="14:15" x14ac:dyDescent="0.35">
      <c r="N1649"/>
      <c r="O1649"/>
    </row>
    <row r="1650" spans="14:15" x14ac:dyDescent="0.35">
      <c r="N1650"/>
      <c r="O1650"/>
    </row>
    <row r="1651" spans="14:15" x14ac:dyDescent="0.35">
      <c r="N1651"/>
      <c r="O1651"/>
    </row>
    <row r="1652" spans="14:15" x14ac:dyDescent="0.35">
      <c r="N1652"/>
      <c r="O1652"/>
    </row>
    <row r="1653" spans="14:15" x14ac:dyDescent="0.35">
      <c r="N1653"/>
      <c r="O1653"/>
    </row>
    <row r="1654" spans="14:15" x14ac:dyDescent="0.35">
      <c r="N1654"/>
      <c r="O1654"/>
    </row>
    <row r="1655" spans="14:15" x14ac:dyDescent="0.35">
      <c r="N1655"/>
      <c r="O1655"/>
    </row>
    <row r="1656" spans="14:15" x14ac:dyDescent="0.35">
      <c r="N1656"/>
      <c r="O1656"/>
    </row>
    <row r="1657" spans="14:15" x14ac:dyDescent="0.35">
      <c r="N1657"/>
      <c r="O1657"/>
    </row>
    <row r="1658" spans="14:15" x14ac:dyDescent="0.35">
      <c r="N1658"/>
      <c r="O1658"/>
    </row>
    <row r="1659" spans="14:15" x14ac:dyDescent="0.35">
      <c r="N1659"/>
      <c r="O1659"/>
    </row>
    <row r="1660" spans="14:15" x14ac:dyDescent="0.35">
      <c r="N1660"/>
      <c r="O1660"/>
    </row>
    <row r="1661" spans="14:15" x14ac:dyDescent="0.35">
      <c r="N1661"/>
      <c r="O1661"/>
    </row>
    <row r="1662" spans="14:15" x14ac:dyDescent="0.35">
      <c r="N1662"/>
      <c r="O1662"/>
    </row>
    <row r="1663" spans="14:15" x14ac:dyDescent="0.35">
      <c r="N1663"/>
      <c r="O1663"/>
    </row>
    <row r="1664" spans="14:15" x14ac:dyDescent="0.35">
      <c r="N1664"/>
      <c r="O1664"/>
    </row>
    <row r="1665" spans="14:15" x14ac:dyDescent="0.35">
      <c r="N1665"/>
      <c r="O1665"/>
    </row>
    <row r="1666" spans="14:15" x14ac:dyDescent="0.35">
      <c r="N1666"/>
      <c r="O1666"/>
    </row>
    <row r="1667" spans="14:15" x14ac:dyDescent="0.35">
      <c r="N1667"/>
      <c r="O1667"/>
    </row>
    <row r="1668" spans="14:15" x14ac:dyDescent="0.35">
      <c r="N1668"/>
      <c r="O1668"/>
    </row>
    <row r="1669" spans="14:15" x14ac:dyDescent="0.35">
      <c r="N1669"/>
      <c r="O1669"/>
    </row>
    <row r="1670" spans="14:15" x14ac:dyDescent="0.35">
      <c r="N1670"/>
      <c r="O1670"/>
    </row>
    <row r="1671" spans="14:15" x14ac:dyDescent="0.35">
      <c r="N1671"/>
      <c r="O1671"/>
    </row>
    <row r="1672" spans="14:15" x14ac:dyDescent="0.35">
      <c r="N1672"/>
      <c r="O1672"/>
    </row>
    <row r="1673" spans="14:15" x14ac:dyDescent="0.35">
      <c r="N1673"/>
      <c r="O1673"/>
    </row>
    <row r="1674" spans="14:15" x14ac:dyDescent="0.35">
      <c r="N1674"/>
      <c r="O1674"/>
    </row>
    <row r="1675" spans="14:15" x14ac:dyDescent="0.35">
      <c r="N1675"/>
      <c r="O1675"/>
    </row>
    <row r="1676" spans="14:15" x14ac:dyDescent="0.35">
      <c r="N1676"/>
      <c r="O1676"/>
    </row>
    <row r="1677" spans="14:15" x14ac:dyDescent="0.35">
      <c r="N1677"/>
      <c r="O1677"/>
    </row>
    <row r="1678" spans="14:15" x14ac:dyDescent="0.35">
      <c r="N1678"/>
      <c r="O1678"/>
    </row>
    <row r="1679" spans="14:15" x14ac:dyDescent="0.35">
      <c r="N1679"/>
      <c r="O1679"/>
    </row>
    <row r="1680" spans="14:15" x14ac:dyDescent="0.35">
      <c r="N1680"/>
      <c r="O1680"/>
    </row>
    <row r="1681" spans="14:15" x14ac:dyDescent="0.35">
      <c r="N1681"/>
      <c r="O1681"/>
    </row>
    <row r="1682" spans="14:15" x14ac:dyDescent="0.35">
      <c r="N1682"/>
      <c r="O1682"/>
    </row>
    <row r="1683" spans="14:15" x14ac:dyDescent="0.35">
      <c r="N1683"/>
      <c r="O1683"/>
    </row>
    <row r="1684" spans="14:15" x14ac:dyDescent="0.35">
      <c r="N1684"/>
      <c r="O1684"/>
    </row>
    <row r="1685" spans="14:15" x14ac:dyDescent="0.35">
      <c r="N1685"/>
      <c r="O1685"/>
    </row>
    <row r="1686" spans="14:15" x14ac:dyDescent="0.35">
      <c r="N1686"/>
      <c r="O1686"/>
    </row>
    <row r="1687" spans="14:15" x14ac:dyDescent="0.35">
      <c r="N1687"/>
      <c r="O1687"/>
    </row>
    <row r="1688" spans="14:15" x14ac:dyDescent="0.35">
      <c r="N1688"/>
      <c r="O1688"/>
    </row>
    <row r="1689" spans="14:15" x14ac:dyDescent="0.35">
      <c r="N1689"/>
      <c r="O1689"/>
    </row>
    <row r="1690" spans="14:15" x14ac:dyDescent="0.35">
      <c r="N1690"/>
      <c r="O1690"/>
    </row>
    <row r="1691" spans="14:15" x14ac:dyDescent="0.35">
      <c r="N1691"/>
      <c r="O1691"/>
    </row>
    <row r="1692" spans="14:15" x14ac:dyDescent="0.35">
      <c r="N1692"/>
      <c r="O1692"/>
    </row>
    <row r="1693" spans="14:15" x14ac:dyDescent="0.35">
      <c r="N1693"/>
      <c r="O1693"/>
    </row>
    <row r="1694" spans="14:15" x14ac:dyDescent="0.35">
      <c r="N1694"/>
      <c r="O1694"/>
    </row>
    <row r="1695" spans="14:15" x14ac:dyDescent="0.35">
      <c r="N1695"/>
      <c r="O1695"/>
    </row>
    <row r="1696" spans="14:15" x14ac:dyDescent="0.35">
      <c r="N1696"/>
      <c r="O1696"/>
    </row>
    <row r="1697" spans="14:15" x14ac:dyDescent="0.35">
      <c r="N1697"/>
      <c r="O1697"/>
    </row>
    <row r="1698" spans="14:15" x14ac:dyDescent="0.35">
      <c r="N1698"/>
      <c r="O1698"/>
    </row>
    <row r="1699" spans="14:15" x14ac:dyDescent="0.35">
      <c r="N1699"/>
      <c r="O1699"/>
    </row>
    <row r="1700" spans="14:15" x14ac:dyDescent="0.35">
      <c r="N1700"/>
      <c r="O1700"/>
    </row>
    <row r="1701" spans="14:15" x14ac:dyDescent="0.35">
      <c r="N1701"/>
      <c r="O1701"/>
    </row>
    <row r="1702" spans="14:15" x14ac:dyDescent="0.35">
      <c r="N1702"/>
      <c r="O1702"/>
    </row>
    <row r="1703" spans="14:15" x14ac:dyDescent="0.35">
      <c r="N1703"/>
      <c r="O1703"/>
    </row>
    <row r="1704" spans="14:15" x14ac:dyDescent="0.35">
      <c r="N1704"/>
      <c r="O1704"/>
    </row>
    <row r="1705" spans="14:15" x14ac:dyDescent="0.35">
      <c r="N1705"/>
      <c r="O1705"/>
    </row>
    <row r="1706" spans="14:15" x14ac:dyDescent="0.35">
      <c r="N1706"/>
      <c r="O1706"/>
    </row>
    <row r="1707" spans="14:15" x14ac:dyDescent="0.35">
      <c r="N1707"/>
      <c r="O1707"/>
    </row>
    <row r="1708" spans="14:15" x14ac:dyDescent="0.35">
      <c r="N1708"/>
      <c r="O1708"/>
    </row>
    <row r="1709" spans="14:15" x14ac:dyDescent="0.35">
      <c r="N1709"/>
      <c r="O1709"/>
    </row>
    <row r="1710" spans="14:15" x14ac:dyDescent="0.35">
      <c r="N1710"/>
      <c r="O1710"/>
    </row>
    <row r="1711" spans="14:15" x14ac:dyDescent="0.35">
      <c r="N1711"/>
      <c r="O1711"/>
    </row>
    <row r="1712" spans="14:15" x14ac:dyDescent="0.35">
      <c r="N1712"/>
      <c r="O1712"/>
    </row>
    <row r="1713" spans="14:15" x14ac:dyDescent="0.35">
      <c r="N1713"/>
      <c r="O1713"/>
    </row>
    <row r="1714" spans="14:15" x14ac:dyDescent="0.35">
      <c r="N1714"/>
      <c r="O1714"/>
    </row>
    <row r="1715" spans="14:15" x14ac:dyDescent="0.35">
      <c r="N1715"/>
      <c r="O1715"/>
    </row>
    <row r="1716" spans="14:15" x14ac:dyDescent="0.35">
      <c r="N1716"/>
      <c r="O1716"/>
    </row>
    <row r="1717" spans="14:15" x14ac:dyDescent="0.35">
      <c r="N1717"/>
      <c r="O1717"/>
    </row>
    <row r="1718" spans="14:15" x14ac:dyDescent="0.35">
      <c r="N1718"/>
      <c r="O1718"/>
    </row>
    <row r="1719" spans="14:15" x14ac:dyDescent="0.35">
      <c r="N1719"/>
      <c r="O1719"/>
    </row>
    <row r="1720" spans="14:15" x14ac:dyDescent="0.35">
      <c r="N1720"/>
      <c r="O1720"/>
    </row>
    <row r="1721" spans="14:15" x14ac:dyDescent="0.35">
      <c r="N1721"/>
      <c r="O1721"/>
    </row>
    <row r="1722" spans="14:15" x14ac:dyDescent="0.35">
      <c r="N1722"/>
      <c r="O1722"/>
    </row>
    <row r="1723" spans="14:15" x14ac:dyDescent="0.35">
      <c r="N1723"/>
      <c r="O1723"/>
    </row>
    <row r="1724" spans="14:15" x14ac:dyDescent="0.35">
      <c r="N1724"/>
      <c r="O1724"/>
    </row>
    <row r="1725" spans="14:15" x14ac:dyDescent="0.35">
      <c r="N1725"/>
      <c r="O1725"/>
    </row>
    <row r="1726" spans="14:15" x14ac:dyDescent="0.35">
      <c r="N1726"/>
      <c r="O1726"/>
    </row>
    <row r="1727" spans="14:15" x14ac:dyDescent="0.35">
      <c r="N1727"/>
      <c r="O1727"/>
    </row>
    <row r="1728" spans="14:15" x14ac:dyDescent="0.35">
      <c r="N1728"/>
      <c r="O1728"/>
    </row>
    <row r="1729" spans="14:15" x14ac:dyDescent="0.35">
      <c r="N1729"/>
      <c r="O1729"/>
    </row>
    <row r="1730" spans="14:15" x14ac:dyDescent="0.35">
      <c r="N1730"/>
      <c r="O1730"/>
    </row>
    <row r="1731" spans="14:15" x14ac:dyDescent="0.35">
      <c r="N1731"/>
      <c r="O1731"/>
    </row>
    <row r="1732" spans="14:15" x14ac:dyDescent="0.35">
      <c r="N1732"/>
      <c r="O1732"/>
    </row>
    <row r="1733" spans="14:15" x14ac:dyDescent="0.35">
      <c r="N1733"/>
      <c r="O1733"/>
    </row>
    <row r="1734" spans="14:15" x14ac:dyDescent="0.35">
      <c r="N1734"/>
      <c r="O1734"/>
    </row>
    <row r="1735" spans="14:15" x14ac:dyDescent="0.35">
      <c r="N1735"/>
      <c r="O1735"/>
    </row>
    <row r="1736" spans="14:15" x14ac:dyDescent="0.35">
      <c r="N1736"/>
      <c r="O1736"/>
    </row>
    <row r="1737" spans="14:15" x14ac:dyDescent="0.35">
      <c r="N1737"/>
      <c r="O1737"/>
    </row>
    <row r="1738" spans="14:15" x14ac:dyDescent="0.35">
      <c r="N1738"/>
      <c r="O1738"/>
    </row>
    <row r="1739" spans="14:15" x14ac:dyDescent="0.35">
      <c r="N1739"/>
      <c r="O1739"/>
    </row>
    <row r="1740" spans="14:15" x14ac:dyDescent="0.35">
      <c r="N1740"/>
      <c r="O1740"/>
    </row>
    <row r="1741" spans="14:15" x14ac:dyDescent="0.35">
      <c r="N1741"/>
      <c r="O1741"/>
    </row>
    <row r="1742" spans="14:15" x14ac:dyDescent="0.35">
      <c r="N1742"/>
      <c r="O1742"/>
    </row>
    <row r="1743" spans="14:15" x14ac:dyDescent="0.35">
      <c r="N1743"/>
      <c r="O1743"/>
    </row>
    <row r="1744" spans="14:15" x14ac:dyDescent="0.35">
      <c r="N1744"/>
      <c r="O1744"/>
    </row>
    <row r="1745" spans="14:15" x14ac:dyDescent="0.35">
      <c r="N1745"/>
      <c r="O1745"/>
    </row>
    <row r="1746" spans="14:15" x14ac:dyDescent="0.35">
      <c r="N1746"/>
      <c r="O1746"/>
    </row>
    <row r="1747" spans="14:15" x14ac:dyDescent="0.35">
      <c r="N1747"/>
      <c r="O1747"/>
    </row>
    <row r="1748" spans="14:15" x14ac:dyDescent="0.35">
      <c r="N1748"/>
      <c r="O1748"/>
    </row>
    <row r="1749" spans="14:15" x14ac:dyDescent="0.35">
      <c r="N1749"/>
      <c r="O1749"/>
    </row>
    <row r="1750" spans="14:15" x14ac:dyDescent="0.35">
      <c r="N1750"/>
      <c r="O1750"/>
    </row>
    <row r="1751" spans="14:15" x14ac:dyDescent="0.35">
      <c r="N1751"/>
      <c r="O1751"/>
    </row>
    <row r="1752" spans="14:15" x14ac:dyDescent="0.35">
      <c r="N1752"/>
      <c r="O1752"/>
    </row>
    <row r="1753" spans="14:15" x14ac:dyDescent="0.35">
      <c r="N1753"/>
      <c r="O1753"/>
    </row>
    <row r="1754" spans="14:15" x14ac:dyDescent="0.35">
      <c r="N1754"/>
      <c r="O1754"/>
    </row>
    <row r="1755" spans="14:15" x14ac:dyDescent="0.35">
      <c r="N1755"/>
      <c r="O1755"/>
    </row>
    <row r="1756" spans="14:15" x14ac:dyDescent="0.35">
      <c r="N1756"/>
      <c r="O1756"/>
    </row>
    <row r="1757" spans="14:15" x14ac:dyDescent="0.35">
      <c r="N1757"/>
      <c r="O1757"/>
    </row>
    <row r="1758" spans="14:15" x14ac:dyDescent="0.35">
      <c r="N1758"/>
      <c r="O1758"/>
    </row>
    <row r="1759" spans="14:15" x14ac:dyDescent="0.35">
      <c r="N1759"/>
      <c r="O1759"/>
    </row>
    <row r="1760" spans="14:15" x14ac:dyDescent="0.35">
      <c r="N1760"/>
      <c r="O1760"/>
    </row>
    <row r="1761" spans="14:15" x14ac:dyDescent="0.35">
      <c r="N1761"/>
      <c r="O1761"/>
    </row>
    <row r="1762" spans="14:15" x14ac:dyDescent="0.35">
      <c r="N1762"/>
      <c r="O1762"/>
    </row>
    <row r="1763" spans="14:15" x14ac:dyDescent="0.35">
      <c r="N1763"/>
      <c r="O1763"/>
    </row>
    <row r="1764" spans="14:15" x14ac:dyDescent="0.35">
      <c r="N1764"/>
      <c r="O1764"/>
    </row>
    <row r="1765" spans="14:15" x14ac:dyDescent="0.35">
      <c r="N1765"/>
      <c r="O1765"/>
    </row>
    <row r="1766" spans="14:15" x14ac:dyDescent="0.35">
      <c r="N1766"/>
      <c r="O1766"/>
    </row>
    <row r="1767" spans="14:15" x14ac:dyDescent="0.35">
      <c r="N1767"/>
      <c r="O1767"/>
    </row>
    <row r="1768" spans="14:15" x14ac:dyDescent="0.35">
      <c r="N1768"/>
      <c r="O1768"/>
    </row>
    <row r="1769" spans="14:15" x14ac:dyDescent="0.35">
      <c r="N1769"/>
      <c r="O1769"/>
    </row>
    <row r="1770" spans="14:15" x14ac:dyDescent="0.35">
      <c r="N1770"/>
      <c r="O1770"/>
    </row>
    <row r="1771" spans="14:15" x14ac:dyDescent="0.35">
      <c r="N1771"/>
      <c r="O1771"/>
    </row>
    <row r="1772" spans="14:15" x14ac:dyDescent="0.35">
      <c r="N1772"/>
      <c r="O1772"/>
    </row>
    <row r="1773" spans="14:15" x14ac:dyDescent="0.35">
      <c r="N1773"/>
      <c r="O1773"/>
    </row>
    <row r="1774" spans="14:15" x14ac:dyDescent="0.35">
      <c r="N1774"/>
      <c r="O1774"/>
    </row>
    <row r="1775" spans="14:15" x14ac:dyDescent="0.35">
      <c r="N1775"/>
      <c r="O1775"/>
    </row>
    <row r="1776" spans="14:15" x14ac:dyDescent="0.35">
      <c r="N1776"/>
      <c r="O1776"/>
    </row>
    <row r="1777" spans="14:15" x14ac:dyDescent="0.35">
      <c r="N1777"/>
      <c r="O1777"/>
    </row>
    <row r="1778" spans="14:15" x14ac:dyDescent="0.35">
      <c r="N1778"/>
      <c r="O1778"/>
    </row>
    <row r="1779" spans="14:15" x14ac:dyDescent="0.35">
      <c r="N1779"/>
      <c r="O1779"/>
    </row>
    <row r="1780" spans="14:15" x14ac:dyDescent="0.35">
      <c r="N1780"/>
      <c r="O1780"/>
    </row>
    <row r="1781" spans="14:15" x14ac:dyDescent="0.35">
      <c r="N1781"/>
      <c r="O1781"/>
    </row>
    <row r="1782" spans="14:15" x14ac:dyDescent="0.35">
      <c r="N1782"/>
      <c r="O1782"/>
    </row>
    <row r="1783" spans="14:15" x14ac:dyDescent="0.35">
      <c r="N1783"/>
      <c r="O1783"/>
    </row>
    <row r="1784" spans="14:15" x14ac:dyDescent="0.35">
      <c r="N1784"/>
      <c r="O1784"/>
    </row>
    <row r="1785" spans="14:15" x14ac:dyDescent="0.35">
      <c r="N1785"/>
      <c r="O1785"/>
    </row>
    <row r="1786" spans="14:15" x14ac:dyDescent="0.35">
      <c r="N1786"/>
      <c r="O1786"/>
    </row>
    <row r="1787" spans="14:15" x14ac:dyDescent="0.35">
      <c r="N1787"/>
      <c r="O1787"/>
    </row>
    <row r="1788" spans="14:15" x14ac:dyDescent="0.35">
      <c r="N1788"/>
      <c r="O1788"/>
    </row>
    <row r="1789" spans="14:15" x14ac:dyDescent="0.35">
      <c r="N1789"/>
      <c r="O1789"/>
    </row>
    <row r="1790" spans="14:15" x14ac:dyDescent="0.35">
      <c r="N1790"/>
      <c r="O1790"/>
    </row>
    <row r="1791" spans="14:15" x14ac:dyDescent="0.35">
      <c r="N1791"/>
      <c r="O1791"/>
    </row>
    <row r="1792" spans="14:15" x14ac:dyDescent="0.35">
      <c r="N1792"/>
      <c r="O1792"/>
    </row>
    <row r="1793" spans="14:15" x14ac:dyDescent="0.35">
      <c r="N1793"/>
      <c r="O1793"/>
    </row>
    <row r="1794" spans="14:15" x14ac:dyDescent="0.35">
      <c r="N1794"/>
      <c r="O1794"/>
    </row>
    <row r="1795" spans="14:15" x14ac:dyDescent="0.35">
      <c r="N1795"/>
      <c r="O1795"/>
    </row>
    <row r="1796" spans="14:15" x14ac:dyDescent="0.35">
      <c r="N1796"/>
      <c r="O1796"/>
    </row>
    <row r="1797" spans="14:15" x14ac:dyDescent="0.35">
      <c r="N1797"/>
      <c r="O1797"/>
    </row>
    <row r="1798" spans="14:15" x14ac:dyDescent="0.35">
      <c r="N1798"/>
      <c r="O1798"/>
    </row>
    <row r="1799" spans="14:15" x14ac:dyDescent="0.35">
      <c r="N1799"/>
      <c r="O1799"/>
    </row>
    <row r="1800" spans="14:15" x14ac:dyDescent="0.35">
      <c r="N1800"/>
      <c r="O1800"/>
    </row>
    <row r="1801" spans="14:15" x14ac:dyDescent="0.35">
      <c r="N1801"/>
      <c r="O1801"/>
    </row>
    <row r="1802" spans="14:15" x14ac:dyDescent="0.35">
      <c r="N1802"/>
      <c r="O1802"/>
    </row>
    <row r="1803" spans="14:15" x14ac:dyDescent="0.35">
      <c r="N1803"/>
      <c r="O1803"/>
    </row>
    <row r="1804" spans="14:15" x14ac:dyDescent="0.35">
      <c r="N1804"/>
      <c r="O1804"/>
    </row>
    <row r="1805" spans="14:15" x14ac:dyDescent="0.35">
      <c r="N1805"/>
      <c r="O1805"/>
    </row>
    <row r="1806" spans="14:15" x14ac:dyDescent="0.35">
      <c r="N1806"/>
      <c r="O1806"/>
    </row>
    <row r="1807" spans="14:15" x14ac:dyDescent="0.35">
      <c r="N1807"/>
      <c r="O1807"/>
    </row>
    <row r="1808" spans="14:15" x14ac:dyDescent="0.35">
      <c r="N1808"/>
      <c r="O1808"/>
    </row>
    <row r="1809" spans="14:15" x14ac:dyDescent="0.35">
      <c r="N1809"/>
      <c r="O1809"/>
    </row>
    <row r="1810" spans="14:15" x14ac:dyDescent="0.35">
      <c r="N1810"/>
      <c r="O1810"/>
    </row>
    <row r="1811" spans="14:15" x14ac:dyDescent="0.35">
      <c r="N1811"/>
      <c r="O1811"/>
    </row>
    <row r="1812" spans="14:15" x14ac:dyDescent="0.35">
      <c r="N1812"/>
      <c r="O1812"/>
    </row>
    <row r="1813" spans="14:15" x14ac:dyDescent="0.35">
      <c r="N1813"/>
      <c r="O1813"/>
    </row>
    <row r="1814" spans="14:15" x14ac:dyDescent="0.35">
      <c r="N1814"/>
      <c r="O1814"/>
    </row>
    <row r="1815" spans="14:15" x14ac:dyDescent="0.35">
      <c r="N1815"/>
      <c r="O1815"/>
    </row>
    <row r="1816" spans="14:15" x14ac:dyDescent="0.35">
      <c r="N1816"/>
      <c r="O1816"/>
    </row>
    <row r="1817" spans="14:15" x14ac:dyDescent="0.35">
      <c r="N1817"/>
      <c r="O1817"/>
    </row>
    <row r="1818" spans="14:15" x14ac:dyDescent="0.35">
      <c r="N1818"/>
      <c r="O1818"/>
    </row>
    <row r="1819" spans="14:15" x14ac:dyDescent="0.35">
      <c r="N1819"/>
      <c r="O1819"/>
    </row>
    <row r="1820" spans="14:15" x14ac:dyDescent="0.35">
      <c r="N1820"/>
      <c r="O1820"/>
    </row>
    <row r="1821" spans="14:15" x14ac:dyDescent="0.35">
      <c r="N1821"/>
      <c r="O1821"/>
    </row>
    <row r="1822" spans="14:15" x14ac:dyDescent="0.35">
      <c r="N1822"/>
      <c r="O1822"/>
    </row>
    <row r="1823" spans="14:15" x14ac:dyDescent="0.35">
      <c r="N1823"/>
      <c r="O1823"/>
    </row>
    <row r="1824" spans="14:15" x14ac:dyDescent="0.35">
      <c r="N1824"/>
      <c r="O1824"/>
    </row>
    <row r="1825" spans="14:15" x14ac:dyDescent="0.35">
      <c r="N1825"/>
      <c r="O1825"/>
    </row>
    <row r="1826" spans="14:15" x14ac:dyDescent="0.35">
      <c r="N1826"/>
      <c r="O1826"/>
    </row>
    <row r="1827" spans="14:15" x14ac:dyDescent="0.35">
      <c r="N1827"/>
      <c r="O1827"/>
    </row>
    <row r="1828" spans="14:15" x14ac:dyDescent="0.35">
      <c r="N1828"/>
      <c r="O1828"/>
    </row>
    <row r="1829" spans="14:15" x14ac:dyDescent="0.35">
      <c r="N1829"/>
      <c r="O1829"/>
    </row>
    <row r="1830" spans="14:15" x14ac:dyDescent="0.35">
      <c r="N1830"/>
      <c r="O1830"/>
    </row>
    <row r="1831" spans="14:15" x14ac:dyDescent="0.35">
      <c r="N1831"/>
      <c r="O1831"/>
    </row>
    <row r="1832" spans="14:15" x14ac:dyDescent="0.35">
      <c r="N1832"/>
      <c r="O1832"/>
    </row>
    <row r="1833" spans="14:15" x14ac:dyDescent="0.35">
      <c r="N1833"/>
      <c r="O1833"/>
    </row>
    <row r="1834" spans="14:15" x14ac:dyDescent="0.35">
      <c r="N1834"/>
      <c r="O1834"/>
    </row>
    <row r="1835" spans="14:15" x14ac:dyDescent="0.35">
      <c r="N1835"/>
      <c r="O1835"/>
    </row>
    <row r="1836" spans="14:15" x14ac:dyDescent="0.35">
      <c r="N1836"/>
      <c r="O1836"/>
    </row>
    <row r="1837" spans="14:15" x14ac:dyDescent="0.35">
      <c r="N1837"/>
      <c r="O1837"/>
    </row>
    <row r="1838" spans="14:15" x14ac:dyDescent="0.35">
      <c r="N1838"/>
      <c r="O1838"/>
    </row>
    <row r="1839" spans="14:15" x14ac:dyDescent="0.35">
      <c r="N1839"/>
      <c r="O1839"/>
    </row>
    <row r="1840" spans="14:15" x14ac:dyDescent="0.35">
      <c r="N1840"/>
      <c r="O1840"/>
    </row>
    <row r="1841" spans="14:15" x14ac:dyDescent="0.35">
      <c r="N1841"/>
      <c r="O1841"/>
    </row>
    <row r="1842" spans="14:15" x14ac:dyDescent="0.35">
      <c r="N1842"/>
      <c r="O1842"/>
    </row>
    <row r="1843" spans="14:15" x14ac:dyDescent="0.35">
      <c r="N1843"/>
      <c r="O1843"/>
    </row>
    <row r="1844" spans="14:15" x14ac:dyDescent="0.35">
      <c r="N1844"/>
      <c r="O1844"/>
    </row>
    <row r="1845" spans="14:15" x14ac:dyDescent="0.35">
      <c r="N1845"/>
      <c r="O1845"/>
    </row>
    <row r="1846" spans="14:15" x14ac:dyDescent="0.35">
      <c r="N1846"/>
      <c r="O1846"/>
    </row>
    <row r="1847" spans="14:15" x14ac:dyDescent="0.35">
      <c r="N1847"/>
      <c r="O1847"/>
    </row>
    <row r="1848" spans="14:15" x14ac:dyDescent="0.35">
      <c r="N1848"/>
      <c r="O1848"/>
    </row>
    <row r="1849" spans="14:15" x14ac:dyDescent="0.35">
      <c r="N1849"/>
      <c r="O1849"/>
    </row>
    <row r="1850" spans="14:15" x14ac:dyDescent="0.35">
      <c r="N1850"/>
      <c r="O1850"/>
    </row>
    <row r="1851" spans="14:15" x14ac:dyDescent="0.35">
      <c r="N1851"/>
      <c r="O1851"/>
    </row>
    <row r="1852" spans="14:15" x14ac:dyDescent="0.35">
      <c r="N1852"/>
      <c r="O1852"/>
    </row>
    <row r="1853" spans="14:15" x14ac:dyDescent="0.35">
      <c r="N1853"/>
      <c r="O1853"/>
    </row>
    <row r="1854" spans="14:15" x14ac:dyDescent="0.35">
      <c r="N1854"/>
      <c r="O1854"/>
    </row>
    <row r="1855" spans="14:15" x14ac:dyDescent="0.35">
      <c r="N1855"/>
      <c r="O1855"/>
    </row>
    <row r="1856" spans="14:15" x14ac:dyDescent="0.35">
      <c r="N1856"/>
      <c r="O1856"/>
    </row>
    <row r="1857" spans="14:15" x14ac:dyDescent="0.35">
      <c r="N1857"/>
      <c r="O1857"/>
    </row>
    <row r="1858" spans="14:15" x14ac:dyDescent="0.35">
      <c r="N1858"/>
      <c r="O1858"/>
    </row>
    <row r="1859" spans="14:15" x14ac:dyDescent="0.35">
      <c r="N1859"/>
      <c r="O1859"/>
    </row>
    <row r="1860" spans="14:15" x14ac:dyDescent="0.35">
      <c r="N1860"/>
      <c r="O1860"/>
    </row>
    <row r="1861" spans="14:15" x14ac:dyDescent="0.35">
      <c r="N1861"/>
      <c r="O1861"/>
    </row>
    <row r="1862" spans="14:15" x14ac:dyDescent="0.35">
      <c r="N1862"/>
      <c r="O1862"/>
    </row>
    <row r="1863" spans="14:15" x14ac:dyDescent="0.35">
      <c r="N1863"/>
      <c r="O1863"/>
    </row>
    <row r="1864" spans="14:15" x14ac:dyDescent="0.35">
      <c r="N1864"/>
      <c r="O1864"/>
    </row>
    <row r="1865" spans="14:15" x14ac:dyDescent="0.35">
      <c r="N1865"/>
      <c r="O1865"/>
    </row>
    <row r="1866" spans="14:15" x14ac:dyDescent="0.35">
      <c r="N1866"/>
      <c r="O1866"/>
    </row>
    <row r="1867" spans="14:15" x14ac:dyDescent="0.35">
      <c r="N1867"/>
      <c r="O1867"/>
    </row>
    <row r="1868" spans="14:15" x14ac:dyDescent="0.35">
      <c r="N1868"/>
      <c r="O1868"/>
    </row>
    <row r="1869" spans="14:15" x14ac:dyDescent="0.35">
      <c r="N1869"/>
      <c r="O1869"/>
    </row>
    <row r="1870" spans="14:15" x14ac:dyDescent="0.35">
      <c r="N1870"/>
      <c r="O1870"/>
    </row>
    <row r="1871" spans="14:15" x14ac:dyDescent="0.35">
      <c r="N1871"/>
      <c r="O1871"/>
    </row>
    <row r="1872" spans="14:15" x14ac:dyDescent="0.35">
      <c r="N1872"/>
      <c r="O1872"/>
    </row>
    <row r="1873" spans="14:15" x14ac:dyDescent="0.35">
      <c r="N1873"/>
      <c r="O1873"/>
    </row>
    <row r="1874" spans="14:15" x14ac:dyDescent="0.35">
      <c r="N1874"/>
      <c r="O1874"/>
    </row>
    <row r="1875" spans="14:15" x14ac:dyDescent="0.35">
      <c r="N1875"/>
      <c r="O1875"/>
    </row>
    <row r="1876" spans="14:15" x14ac:dyDescent="0.35">
      <c r="N1876"/>
      <c r="O1876"/>
    </row>
    <row r="1877" spans="14:15" x14ac:dyDescent="0.35">
      <c r="N1877"/>
      <c r="O1877"/>
    </row>
    <row r="1878" spans="14:15" x14ac:dyDescent="0.35">
      <c r="N1878"/>
      <c r="O1878"/>
    </row>
    <row r="1879" spans="14:15" x14ac:dyDescent="0.35">
      <c r="N1879"/>
      <c r="O1879"/>
    </row>
    <row r="1880" spans="14:15" x14ac:dyDescent="0.35">
      <c r="N1880"/>
      <c r="O1880"/>
    </row>
    <row r="1881" spans="14:15" x14ac:dyDescent="0.35">
      <c r="N1881"/>
      <c r="O1881"/>
    </row>
    <row r="1882" spans="14:15" x14ac:dyDescent="0.35">
      <c r="N1882"/>
      <c r="O1882"/>
    </row>
    <row r="1883" spans="14:15" x14ac:dyDescent="0.35">
      <c r="N1883"/>
      <c r="O1883"/>
    </row>
    <row r="1884" spans="14:15" x14ac:dyDescent="0.35">
      <c r="N1884"/>
      <c r="O1884"/>
    </row>
    <row r="1885" spans="14:15" x14ac:dyDescent="0.35">
      <c r="N1885"/>
      <c r="O1885"/>
    </row>
    <row r="1886" spans="14:15" x14ac:dyDescent="0.35">
      <c r="N1886"/>
      <c r="O1886"/>
    </row>
    <row r="1887" spans="14:15" x14ac:dyDescent="0.35">
      <c r="N1887"/>
      <c r="O1887"/>
    </row>
    <row r="1888" spans="14:15" x14ac:dyDescent="0.35">
      <c r="N1888"/>
      <c r="O1888"/>
    </row>
    <row r="1889" spans="14:15" x14ac:dyDescent="0.35">
      <c r="N1889"/>
      <c r="O1889"/>
    </row>
    <row r="1890" spans="14:15" x14ac:dyDescent="0.35">
      <c r="N1890"/>
      <c r="O1890"/>
    </row>
    <row r="1891" spans="14:15" x14ac:dyDescent="0.35">
      <c r="N1891"/>
      <c r="O1891"/>
    </row>
    <row r="1892" spans="14:15" x14ac:dyDescent="0.35">
      <c r="N1892"/>
      <c r="O1892"/>
    </row>
    <row r="1893" spans="14:15" x14ac:dyDescent="0.35">
      <c r="N1893"/>
      <c r="O1893"/>
    </row>
    <row r="1894" spans="14:15" x14ac:dyDescent="0.35">
      <c r="N1894"/>
      <c r="O1894"/>
    </row>
    <row r="1895" spans="14:15" x14ac:dyDescent="0.35">
      <c r="N1895"/>
      <c r="O1895"/>
    </row>
    <row r="1896" spans="14:15" x14ac:dyDescent="0.35">
      <c r="N1896"/>
      <c r="O1896"/>
    </row>
    <row r="1897" spans="14:15" x14ac:dyDescent="0.35">
      <c r="N1897"/>
      <c r="O1897"/>
    </row>
    <row r="1898" spans="14:15" x14ac:dyDescent="0.35">
      <c r="N1898"/>
      <c r="O1898"/>
    </row>
    <row r="1899" spans="14:15" x14ac:dyDescent="0.35">
      <c r="N1899"/>
      <c r="O1899"/>
    </row>
    <row r="1900" spans="14:15" x14ac:dyDescent="0.35">
      <c r="N1900"/>
      <c r="O1900"/>
    </row>
    <row r="1901" spans="14:15" x14ac:dyDescent="0.35">
      <c r="N1901"/>
      <c r="O1901"/>
    </row>
    <row r="1902" spans="14:15" x14ac:dyDescent="0.35">
      <c r="N1902"/>
      <c r="O1902"/>
    </row>
    <row r="1903" spans="14:15" x14ac:dyDescent="0.35">
      <c r="N1903"/>
      <c r="O1903"/>
    </row>
    <row r="1904" spans="14:15" x14ac:dyDescent="0.35">
      <c r="N1904"/>
      <c r="O1904"/>
    </row>
    <row r="1905" spans="14:15" x14ac:dyDescent="0.35">
      <c r="N1905"/>
      <c r="O1905"/>
    </row>
    <row r="1906" spans="14:15" x14ac:dyDescent="0.35">
      <c r="N1906"/>
      <c r="O1906"/>
    </row>
    <row r="1907" spans="14:15" x14ac:dyDescent="0.35">
      <c r="N1907"/>
      <c r="O1907"/>
    </row>
    <row r="1908" spans="14:15" x14ac:dyDescent="0.35">
      <c r="N1908"/>
      <c r="O1908"/>
    </row>
    <row r="1909" spans="14:15" x14ac:dyDescent="0.35">
      <c r="N1909"/>
      <c r="O1909"/>
    </row>
    <row r="1910" spans="14:15" x14ac:dyDescent="0.35">
      <c r="N1910"/>
      <c r="O1910"/>
    </row>
    <row r="1911" spans="14:15" x14ac:dyDescent="0.35">
      <c r="N1911"/>
      <c r="O1911"/>
    </row>
    <row r="1912" spans="14:15" x14ac:dyDescent="0.35">
      <c r="N1912"/>
      <c r="O1912"/>
    </row>
    <row r="1913" spans="14:15" x14ac:dyDescent="0.35">
      <c r="N1913"/>
      <c r="O1913"/>
    </row>
    <row r="1914" spans="14:15" x14ac:dyDescent="0.35">
      <c r="N1914"/>
      <c r="O1914"/>
    </row>
    <row r="1915" spans="14:15" x14ac:dyDescent="0.35">
      <c r="N1915"/>
      <c r="O1915"/>
    </row>
    <row r="1916" spans="14:15" x14ac:dyDescent="0.35">
      <c r="N1916"/>
      <c r="O1916"/>
    </row>
    <row r="1917" spans="14:15" x14ac:dyDescent="0.35">
      <c r="N1917"/>
      <c r="O1917"/>
    </row>
    <row r="1918" spans="14:15" x14ac:dyDescent="0.35">
      <c r="N1918"/>
      <c r="O1918"/>
    </row>
    <row r="1919" spans="14:15" x14ac:dyDescent="0.35">
      <c r="N1919"/>
      <c r="O1919"/>
    </row>
    <row r="1920" spans="14:15" x14ac:dyDescent="0.35">
      <c r="N1920"/>
      <c r="O1920"/>
    </row>
    <row r="1921" spans="14:15" x14ac:dyDescent="0.35">
      <c r="N1921"/>
      <c r="O1921"/>
    </row>
    <row r="1922" spans="14:15" x14ac:dyDescent="0.35">
      <c r="N1922"/>
      <c r="O1922"/>
    </row>
    <row r="1923" spans="14:15" x14ac:dyDescent="0.35">
      <c r="N1923"/>
      <c r="O1923"/>
    </row>
    <row r="1924" spans="14:15" x14ac:dyDescent="0.35">
      <c r="N1924"/>
      <c r="O1924"/>
    </row>
    <row r="1925" spans="14:15" x14ac:dyDescent="0.35">
      <c r="N1925"/>
      <c r="O1925"/>
    </row>
    <row r="1926" spans="14:15" x14ac:dyDescent="0.35">
      <c r="N1926"/>
      <c r="O1926"/>
    </row>
    <row r="1927" spans="14:15" x14ac:dyDescent="0.35">
      <c r="N1927"/>
      <c r="O1927"/>
    </row>
    <row r="1928" spans="14:15" x14ac:dyDescent="0.35">
      <c r="N1928"/>
      <c r="O1928"/>
    </row>
    <row r="1929" spans="14:15" x14ac:dyDescent="0.35">
      <c r="N1929"/>
      <c r="O1929"/>
    </row>
    <row r="1930" spans="14:15" x14ac:dyDescent="0.35">
      <c r="N1930"/>
      <c r="O1930"/>
    </row>
    <row r="1931" spans="14:15" x14ac:dyDescent="0.35">
      <c r="N1931"/>
      <c r="O1931"/>
    </row>
    <row r="1932" spans="14:15" x14ac:dyDescent="0.35">
      <c r="N1932"/>
      <c r="O1932"/>
    </row>
    <row r="1933" spans="14:15" x14ac:dyDescent="0.35">
      <c r="N1933"/>
      <c r="O1933"/>
    </row>
    <row r="1934" spans="14:15" x14ac:dyDescent="0.35">
      <c r="N1934"/>
      <c r="O1934"/>
    </row>
    <row r="1935" spans="14:15" x14ac:dyDescent="0.35">
      <c r="N1935"/>
      <c r="O1935"/>
    </row>
    <row r="1936" spans="14:15" x14ac:dyDescent="0.35">
      <c r="N1936"/>
      <c r="O1936"/>
    </row>
    <row r="1937" spans="14:15" x14ac:dyDescent="0.35">
      <c r="N1937"/>
      <c r="O1937"/>
    </row>
    <row r="1938" spans="14:15" x14ac:dyDescent="0.35">
      <c r="N1938"/>
      <c r="O1938"/>
    </row>
    <row r="1939" spans="14:15" x14ac:dyDescent="0.35">
      <c r="N1939"/>
      <c r="O1939"/>
    </row>
    <row r="1940" spans="14:15" x14ac:dyDescent="0.35">
      <c r="N1940"/>
      <c r="O1940"/>
    </row>
    <row r="1941" spans="14:15" x14ac:dyDescent="0.35">
      <c r="N1941"/>
      <c r="O1941"/>
    </row>
    <row r="1942" spans="14:15" x14ac:dyDescent="0.35">
      <c r="N1942"/>
      <c r="O1942"/>
    </row>
    <row r="1943" spans="14:15" x14ac:dyDescent="0.35">
      <c r="N1943"/>
      <c r="O1943"/>
    </row>
    <row r="1944" spans="14:15" x14ac:dyDescent="0.35">
      <c r="N1944"/>
      <c r="O1944"/>
    </row>
    <row r="1945" spans="14:15" x14ac:dyDescent="0.35">
      <c r="N1945"/>
      <c r="O1945"/>
    </row>
    <row r="1946" spans="14:15" x14ac:dyDescent="0.35">
      <c r="N1946"/>
      <c r="O1946"/>
    </row>
    <row r="1947" spans="14:15" x14ac:dyDescent="0.35">
      <c r="N1947"/>
      <c r="O1947"/>
    </row>
    <row r="1948" spans="14:15" x14ac:dyDescent="0.35">
      <c r="N1948"/>
      <c r="O1948"/>
    </row>
    <row r="1949" spans="14:15" x14ac:dyDescent="0.35">
      <c r="N1949"/>
      <c r="O1949"/>
    </row>
    <row r="1950" spans="14:15" x14ac:dyDescent="0.35">
      <c r="N1950"/>
      <c r="O1950"/>
    </row>
    <row r="1951" spans="14:15" x14ac:dyDescent="0.35">
      <c r="N1951"/>
      <c r="O1951"/>
    </row>
    <row r="1952" spans="14:15" x14ac:dyDescent="0.35">
      <c r="N1952"/>
      <c r="O1952"/>
    </row>
    <row r="1953" spans="14:15" x14ac:dyDescent="0.35">
      <c r="N1953"/>
      <c r="O1953"/>
    </row>
    <row r="1954" spans="14:15" x14ac:dyDescent="0.35">
      <c r="N1954"/>
      <c r="O1954"/>
    </row>
    <row r="1955" spans="14:15" x14ac:dyDescent="0.35">
      <c r="N1955"/>
      <c r="O1955"/>
    </row>
    <row r="1956" spans="14:15" x14ac:dyDescent="0.35">
      <c r="N1956"/>
      <c r="O1956"/>
    </row>
    <row r="1957" spans="14:15" x14ac:dyDescent="0.35">
      <c r="N1957"/>
      <c r="O1957"/>
    </row>
    <row r="1958" spans="14:15" x14ac:dyDescent="0.35">
      <c r="N1958"/>
      <c r="O1958"/>
    </row>
    <row r="1959" spans="14:15" x14ac:dyDescent="0.35">
      <c r="N1959"/>
      <c r="O1959"/>
    </row>
    <row r="1960" spans="14:15" x14ac:dyDescent="0.35">
      <c r="N1960"/>
      <c r="O1960"/>
    </row>
    <row r="1961" spans="14:15" x14ac:dyDescent="0.35">
      <c r="N1961"/>
      <c r="O1961"/>
    </row>
    <row r="1962" spans="14:15" x14ac:dyDescent="0.35">
      <c r="N1962"/>
      <c r="O1962"/>
    </row>
    <row r="1963" spans="14:15" x14ac:dyDescent="0.35">
      <c r="N1963"/>
      <c r="O1963"/>
    </row>
    <row r="1964" spans="14:15" x14ac:dyDescent="0.35">
      <c r="N1964"/>
      <c r="O1964"/>
    </row>
    <row r="1965" spans="14:15" x14ac:dyDescent="0.35">
      <c r="N1965"/>
      <c r="O1965"/>
    </row>
    <row r="1966" spans="14:15" x14ac:dyDescent="0.35">
      <c r="N1966"/>
      <c r="O1966"/>
    </row>
    <row r="1967" spans="14:15" x14ac:dyDescent="0.35">
      <c r="N1967"/>
      <c r="O1967"/>
    </row>
    <row r="1968" spans="14:15" x14ac:dyDescent="0.35">
      <c r="N1968"/>
      <c r="O1968"/>
    </row>
    <row r="1969" spans="14:15" x14ac:dyDescent="0.35">
      <c r="N1969"/>
      <c r="O1969"/>
    </row>
    <row r="1970" spans="14:15" x14ac:dyDescent="0.35">
      <c r="N1970"/>
      <c r="O1970"/>
    </row>
    <row r="1971" spans="14:15" x14ac:dyDescent="0.35">
      <c r="N1971"/>
      <c r="O1971"/>
    </row>
    <row r="1972" spans="14:15" x14ac:dyDescent="0.35">
      <c r="N1972"/>
      <c r="O1972"/>
    </row>
    <row r="1973" spans="14:15" x14ac:dyDescent="0.35">
      <c r="N1973"/>
      <c r="O1973"/>
    </row>
    <row r="1974" spans="14:15" x14ac:dyDescent="0.35">
      <c r="N1974"/>
      <c r="O1974"/>
    </row>
    <row r="1975" spans="14:15" x14ac:dyDescent="0.35">
      <c r="N1975"/>
      <c r="O1975"/>
    </row>
    <row r="1976" spans="14:15" x14ac:dyDescent="0.35">
      <c r="N1976"/>
      <c r="O1976"/>
    </row>
    <row r="1977" spans="14:15" x14ac:dyDescent="0.35">
      <c r="N1977"/>
      <c r="O1977"/>
    </row>
    <row r="1978" spans="14:15" x14ac:dyDescent="0.35">
      <c r="N1978"/>
      <c r="O1978"/>
    </row>
    <row r="1979" spans="14:15" x14ac:dyDescent="0.35">
      <c r="N1979"/>
      <c r="O1979"/>
    </row>
    <row r="1980" spans="14:15" x14ac:dyDescent="0.35">
      <c r="N1980"/>
      <c r="O1980"/>
    </row>
    <row r="1981" spans="14:15" x14ac:dyDescent="0.35">
      <c r="N1981"/>
      <c r="O1981"/>
    </row>
    <row r="1982" spans="14:15" x14ac:dyDescent="0.35">
      <c r="N1982"/>
      <c r="O1982"/>
    </row>
    <row r="1983" spans="14:15" x14ac:dyDescent="0.35">
      <c r="N1983"/>
      <c r="O1983"/>
    </row>
    <row r="1984" spans="14:15" x14ac:dyDescent="0.35">
      <c r="N1984"/>
      <c r="O1984"/>
    </row>
    <row r="1985" spans="14:15" x14ac:dyDescent="0.35">
      <c r="N1985"/>
      <c r="O1985"/>
    </row>
    <row r="1986" spans="14:15" x14ac:dyDescent="0.35">
      <c r="N1986"/>
      <c r="O1986"/>
    </row>
    <row r="1987" spans="14:15" x14ac:dyDescent="0.35">
      <c r="N1987"/>
      <c r="O1987"/>
    </row>
    <row r="1988" spans="14:15" x14ac:dyDescent="0.35">
      <c r="N1988"/>
      <c r="O1988"/>
    </row>
    <row r="1989" spans="14:15" x14ac:dyDescent="0.35">
      <c r="N1989"/>
      <c r="O1989"/>
    </row>
    <row r="1990" spans="14:15" x14ac:dyDescent="0.35">
      <c r="N1990"/>
      <c r="O1990"/>
    </row>
    <row r="1991" spans="14:15" x14ac:dyDescent="0.35">
      <c r="N1991"/>
      <c r="O1991"/>
    </row>
    <row r="1992" spans="14:15" x14ac:dyDescent="0.35">
      <c r="N1992"/>
      <c r="O1992"/>
    </row>
    <row r="1993" spans="14:15" x14ac:dyDescent="0.35">
      <c r="N1993"/>
      <c r="O1993"/>
    </row>
    <row r="1994" spans="14:15" x14ac:dyDescent="0.35">
      <c r="N1994"/>
      <c r="O1994"/>
    </row>
    <row r="1995" spans="14:15" x14ac:dyDescent="0.35">
      <c r="N1995"/>
      <c r="O1995"/>
    </row>
    <row r="1996" spans="14:15" x14ac:dyDescent="0.35">
      <c r="N1996"/>
      <c r="O1996"/>
    </row>
    <row r="1997" spans="14:15" x14ac:dyDescent="0.35">
      <c r="N1997"/>
      <c r="O1997"/>
    </row>
    <row r="1998" spans="14:15" x14ac:dyDescent="0.35">
      <c r="N1998"/>
      <c r="O1998"/>
    </row>
    <row r="1999" spans="14:15" x14ac:dyDescent="0.35">
      <c r="N1999"/>
      <c r="O1999"/>
    </row>
    <row r="2000" spans="14:15" x14ac:dyDescent="0.35">
      <c r="N2000"/>
      <c r="O2000"/>
    </row>
    <row r="2001" spans="14:15" x14ac:dyDescent="0.35">
      <c r="N2001"/>
      <c r="O2001"/>
    </row>
    <row r="2002" spans="14:15" x14ac:dyDescent="0.35">
      <c r="N2002"/>
      <c r="O2002"/>
    </row>
    <row r="2003" spans="14:15" x14ac:dyDescent="0.35">
      <c r="N2003"/>
      <c r="O2003"/>
    </row>
    <row r="2004" spans="14:15" x14ac:dyDescent="0.35">
      <c r="N2004"/>
      <c r="O2004"/>
    </row>
    <row r="2005" spans="14:15" x14ac:dyDescent="0.35">
      <c r="N2005"/>
      <c r="O2005"/>
    </row>
    <row r="2006" spans="14:15" x14ac:dyDescent="0.35">
      <c r="N2006"/>
      <c r="O2006"/>
    </row>
    <row r="2007" spans="14:15" x14ac:dyDescent="0.35">
      <c r="N2007"/>
      <c r="O2007"/>
    </row>
    <row r="2008" spans="14:15" x14ac:dyDescent="0.35">
      <c r="N2008"/>
      <c r="O2008"/>
    </row>
    <row r="2009" spans="14:15" x14ac:dyDescent="0.35">
      <c r="N2009"/>
      <c r="O2009"/>
    </row>
    <row r="2010" spans="14:15" x14ac:dyDescent="0.35">
      <c r="N2010"/>
      <c r="O2010"/>
    </row>
    <row r="2011" spans="14:15" x14ac:dyDescent="0.35">
      <c r="N2011"/>
      <c r="O2011"/>
    </row>
    <row r="2012" spans="14:15" x14ac:dyDescent="0.35">
      <c r="N2012"/>
      <c r="O2012"/>
    </row>
    <row r="2013" spans="14:15" x14ac:dyDescent="0.35">
      <c r="N2013"/>
      <c r="O2013"/>
    </row>
    <row r="2014" spans="14:15" x14ac:dyDescent="0.35">
      <c r="N2014"/>
      <c r="O2014"/>
    </row>
    <row r="2015" spans="14:15" x14ac:dyDescent="0.35">
      <c r="N2015"/>
      <c r="O2015"/>
    </row>
    <row r="2016" spans="14:15" x14ac:dyDescent="0.35">
      <c r="N2016"/>
      <c r="O2016"/>
    </row>
    <row r="2017" spans="14:15" x14ac:dyDescent="0.35">
      <c r="N2017"/>
      <c r="O2017"/>
    </row>
    <row r="2018" spans="14:15" x14ac:dyDescent="0.35">
      <c r="N2018"/>
      <c r="O2018"/>
    </row>
    <row r="2019" spans="14:15" x14ac:dyDescent="0.35">
      <c r="N2019"/>
      <c r="O2019"/>
    </row>
    <row r="2020" spans="14:15" x14ac:dyDescent="0.35">
      <c r="N2020"/>
      <c r="O2020"/>
    </row>
    <row r="2021" spans="14:15" x14ac:dyDescent="0.35">
      <c r="N2021"/>
      <c r="O2021"/>
    </row>
    <row r="2022" spans="14:15" x14ac:dyDescent="0.35">
      <c r="N2022"/>
      <c r="O2022"/>
    </row>
    <row r="2023" spans="14:15" x14ac:dyDescent="0.35">
      <c r="N2023"/>
      <c r="O2023"/>
    </row>
    <row r="2024" spans="14:15" x14ac:dyDescent="0.35">
      <c r="N2024"/>
      <c r="O2024"/>
    </row>
    <row r="2025" spans="14:15" x14ac:dyDescent="0.35">
      <c r="N2025"/>
      <c r="O2025"/>
    </row>
    <row r="2026" spans="14:15" x14ac:dyDescent="0.35">
      <c r="N2026"/>
      <c r="O2026"/>
    </row>
    <row r="2027" spans="14:15" x14ac:dyDescent="0.35">
      <c r="N2027"/>
      <c r="O2027"/>
    </row>
    <row r="2028" spans="14:15" x14ac:dyDescent="0.35">
      <c r="N2028"/>
      <c r="O2028"/>
    </row>
    <row r="2029" spans="14:15" x14ac:dyDescent="0.35">
      <c r="N2029"/>
      <c r="O2029"/>
    </row>
    <row r="2030" spans="14:15" x14ac:dyDescent="0.35">
      <c r="N2030"/>
      <c r="O2030"/>
    </row>
    <row r="2031" spans="14:15" x14ac:dyDescent="0.35">
      <c r="N2031"/>
      <c r="O2031"/>
    </row>
    <row r="2032" spans="14:15" x14ac:dyDescent="0.35">
      <c r="N2032"/>
      <c r="O2032"/>
    </row>
    <row r="2033" spans="14:15" x14ac:dyDescent="0.35">
      <c r="N2033"/>
      <c r="O2033"/>
    </row>
    <row r="2034" spans="14:15" x14ac:dyDescent="0.35">
      <c r="N2034"/>
      <c r="O2034"/>
    </row>
    <row r="2035" spans="14:15" x14ac:dyDescent="0.35">
      <c r="N2035"/>
      <c r="O2035"/>
    </row>
    <row r="2036" spans="14:15" x14ac:dyDescent="0.35">
      <c r="N2036"/>
      <c r="O2036"/>
    </row>
    <row r="2037" spans="14:15" x14ac:dyDescent="0.35">
      <c r="N2037"/>
      <c r="O2037"/>
    </row>
    <row r="2038" spans="14:15" x14ac:dyDescent="0.35">
      <c r="N2038"/>
      <c r="O2038"/>
    </row>
    <row r="2039" spans="14:15" x14ac:dyDescent="0.35">
      <c r="N2039"/>
      <c r="O2039"/>
    </row>
    <row r="2040" spans="14:15" x14ac:dyDescent="0.35">
      <c r="N2040"/>
      <c r="O2040"/>
    </row>
    <row r="2041" spans="14:15" x14ac:dyDescent="0.35">
      <c r="N2041"/>
      <c r="O2041"/>
    </row>
    <row r="2042" spans="14:15" x14ac:dyDescent="0.35">
      <c r="N2042"/>
      <c r="O2042"/>
    </row>
    <row r="2043" spans="14:15" x14ac:dyDescent="0.35">
      <c r="N2043"/>
      <c r="O2043"/>
    </row>
    <row r="2044" spans="14:15" x14ac:dyDescent="0.35">
      <c r="N2044"/>
      <c r="O2044"/>
    </row>
    <row r="2045" spans="14:15" x14ac:dyDescent="0.35">
      <c r="N2045"/>
      <c r="O2045"/>
    </row>
    <row r="2046" spans="14:15" x14ac:dyDescent="0.35">
      <c r="N2046"/>
      <c r="O2046"/>
    </row>
    <row r="2047" spans="14:15" x14ac:dyDescent="0.35">
      <c r="N2047"/>
      <c r="O2047"/>
    </row>
    <row r="2048" spans="14:15" x14ac:dyDescent="0.35">
      <c r="N2048"/>
      <c r="O2048"/>
    </row>
    <row r="2049" spans="14:15" x14ac:dyDescent="0.35">
      <c r="N2049"/>
      <c r="O2049"/>
    </row>
    <row r="2050" spans="14:15" x14ac:dyDescent="0.35">
      <c r="N2050"/>
      <c r="O2050"/>
    </row>
    <row r="2051" spans="14:15" x14ac:dyDescent="0.35">
      <c r="N2051"/>
      <c r="O2051"/>
    </row>
    <row r="2052" spans="14:15" x14ac:dyDescent="0.35">
      <c r="N2052"/>
      <c r="O2052"/>
    </row>
    <row r="2053" spans="14:15" x14ac:dyDescent="0.35">
      <c r="N2053"/>
      <c r="O2053"/>
    </row>
    <row r="2054" spans="14:15" x14ac:dyDescent="0.35">
      <c r="N2054"/>
      <c r="O2054"/>
    </row>
    <row r="2055" spans="14:15" x14ac:dyDescent="0.35">
      <c r="N2055"/>
      <c r="O2055"/>
    </row>
    <row r="2056" spans="14:15" x14ac:dyDescent="0.35">
      <c r="N2056"/>
      <c r="O2056"/>
    </row>
    <row r="2057" spans="14:15" x14ac:dyDescent="0.35">
      <c r="N2057"/>
      <c r="O2057"/>
    </row>
    <row r="2058" spans="14:15" x14ac:dyDescent="0.35">
      <c r="N2058"/>
      <c r="O2058"/>
    </row>
    <row r="2059" spans="14:15" x14ac:dyDescent="0.35">
      <c r="N2059"/>
      <c r="O2059"/>
    </row>
    <row r="2060" spans="14:15" x14ac:dyDescent="0.35">
      <c r="N2060"/>
      <c r="O2060"/>
    </row>
    <row r="2061" spans="14:15" x14ac:dyDescent="0.35">
      <c r="N2061"/>
      <c r="O2061"/>
    </row>
    <row r="2062" spans="14:15" x14ac:dyDescent="0.35">
      <c r="N2062"/>
      <c r="O2062"/>
    </row>
    <row r="2063" spans="14:15" x14ac:dyDescent="0.35">
      <c r="N2063"/>
      <c r="O2063"/>
    </row>
    <row r="2064" spans="14:15" x14ac:dyDescent="0.35">
      <c r="N2064"/>
      <c r="O2064"/>
    </row>
    <row r="2065" spans="14:15" x14ac:dyDescent="0.35">
      <c r="N2065"/>
      <c r="O2065"/>
    </row>
    <row r="2066" spans="14:15" x14ac:dyDescent="0.35">
      <c r="N2066"/>
      <c r="O2066"/>
    </row>
    <row r="2067" spans="14:15" x14ac:dyDescent="0.35">
      <c r="N2067"/>
      <c r="O2067"/>
    </row>
    <row r="2068" spans="14:15" x14ac:dyDescent="0.35">
      <c r="N2068"/>
      <c r="O2068"/>
    </row>
    <row r="2069" spans="14:15" x14ac:dyDescent="0.35">
      <c r="N2069"/>
      <c r="O2069"/>
    </row>
    <row r="2070" spans="14:15" x14ac:dyDescent="0.35">
      <c r="N2070"/>
      <c r="O2070"/>
    </row>
    <row r="2071" spans="14:15" x14ac:dyDescent="0.35">
      <c r="N2071"/>
      <c r="O2071"/>
    </row>
    <row r="2072" spans="14:15" x14ac:dyDescent="0.35">
      <c r="N2072"/>
      <c r="O2072"/>
    </row>
    <row r="2073" spans="14:15" x14ac:dyDescent="0.35">
      <c r="N2073"/>
      <c r="O2073"/>
    </row>
    <row r="2074" spans="14:15" x14ac:dyDescent="0.35">
      <c r="N2074"/>
      <c r="O2074"/>
    </row>
    <row r="2075" spans="14:15" x14ac:dyDescent="0.35">
      <c r="N2075"/>
      <c r="O2075"/>
    </row>
    <row r="2076" spans="14:15" x14ac:dyDescent="0.35">
      <c r="N2076"/>
      <c r="O2076"/>
    </row>
    <row r="2077" spans="14:15" x14ac:dyDescent="0.35">
      <c r="N2077"/>
      <c r="O2077"/>
    </row>
    <row r="2078" spans="14:15" x14ac:dyDescent="0.35">
      <c r="N2078"/>
      <c r="O2078"/>
    </row>
    <row r="2079" spans="14:15" x14ac:dyDescent="0.35">
      <c r="N2079"/>
      <c r="O2079"/>
    </row>
    <row r="2080" spans="14:15" x14ac:dyDescent="0.35">
      <c r="N2080"/>
      <c r="O2080"/>
    </row>
    <row r="2081" spans="14:15" x14ac:dyDescent="0.35">
      <c r="N2081"/>
      <c r="O2081"/>
    </row>
    <row r="2082" spans="14:15" x14ac:dyDescent="0.35">
      <c r="N2082"/>
      <c r="O2082"/>
    </row>
    <row r="2083" spans="14:15" x14ac:dyDescent="0.35">
      <c r="N2083"/>
      <c r="O2083"/>
    </row>
    <row r="2084" spans="14:15" x14ac:dyDescent="0.35">
      <c r="N2084"/>
      <c r="O2084"/>
    </row>
    <row r="2085" spans="14:15" x14ac:dyDescent="0.35">
      <c r="N2085"/>
      <c r="O2085"/>
    </row>
    <row r="2086" spans="14:15" x14ac:dyDescent="0.35">
      <c r="N2086"/>
      <c r="O2086"/>
    </row>
    <row r="2087" spans="14:15" x14ac:dyDescent="0.35">
      <c r="N2087"/>
      <c r="O2087"/>
    </row>
    <row r="2088" spans="14:15" x14ac:dyDescent="0.35">
      <c r="N2088"/>
      <c r="O2088"/>
    </row>
    <row r="2089" spans="14:15" x14ac:dyDescent="0.35">
      <c r="N2089"/>
      <c r="O2089"/>
    </row>
    <row r="2090" spans="14:15" x14ac:dyDescent="0.35">
      <c r="N2090"/>
      <c r="O2090"/>
    </row>
    <row r="2091" spans="14:15" x14ac:dyDescent="0.35">
      <c r="N2091"/>
      <c r="O2091"/>
    </row>
    <row r="2092" spans="14:15" x14ac:dyDescent="0.35">
      <c r="N2092"/>
      <c r="O2092"/>
    </row>
    <row r="2093" spans="14:15" x14ac:dyDescent="0.35">
      <c r="N2093"/>
      <c r="O2093"/>
    </row>
    <row r="2094" spans="14:15" x14ac:dyDescent="0.35">
      <c r="N2094"/>
      <c r="O2094"/>
    </row>
    <row r="2095" spans="14:15" x14ac:dyDescent="0.35">
      <c r="N2095"/>
      <c r="O2095"/>
    </row>
    <row r="2096" spans="14:15" x14ac:dyDescent="0.35">
      <c r="N2096"/>
      <c r="O2096"/>
    </row>
    <row r="2097" spans="14:15" x14ac:dyDescent="0.35">
      <c r="N2097"/>
      <c r="O2097"/>
    </row>
    <row r="2098" spans="14:15" x14ac:dyDescent="0.35">
      <c r="N2098"/>
      <c r="O2098"/>
    </row>
    <row r="2099" spans="14:15" x14ac:dyDescent="0.35">
      <c r="N2099"/>
      <c r="O2099"/>
    </row>
    <row r="2100" spans="14:15" x14ac:dyDescent="0.35">
      <c r="N2100"/>
      <c r="O2100"/>
    </row>
    <row r="2101" spans="14:15" x14ac:dyDescent="0.35">
      <c r="N2101"/>
      <c r="O2101"/>
    </row>
    <row r="2102" spans="14:15" x14ac:dyDescent="0.35">
      <c r="N2102"/>
      <c r="O2102"/>
    </row>
    <row r="2103" spans="14:15" x14ac:dyDescent="0.35">
      <c r="N2103"/>
      <c r="O2103"/>
    </row>
    <row r="2104" spans="14:15" x14ac:dyDescent="0.35">
      <c r="N2104"/>
      <c r="O2104"/>
    </row>
    <row r="2105" spans="14:15" x14ac:dyDescent="0.35">
      <c r="N2105"/>
      <c r="O2105"/>
    </row>
    <row r="2106" spans="14:15" x14ac:dyDescent="0.35">
      <c r="N2106"/>
      <c r="O2106"/>
    </row>
    <row r="2107" spans="14:15" x14ac:dyDescent="0.35">
      <c r="N2107"/>
      <c r="O2107"/>
    </row>
    <row r="2108" spans="14:15" x14ac:dyDescent="0.35">
      <c r="N2108"/>
      <c r="O2108"/>
    </row>
    <row r="2109" spans="14:15" x14ac:dyDescent="0.35">
      <c r="N2109"/>
      <c r="O2109"/>
    </row>
    <row r="2110" spans="14:15" x14ac:dyDescent="0.35">
      <c r="N2110"/>
      <c r="O2110"/>
    </row>
    <row r="2111" spans="14:15" x14ac:dyDescent="0.35">
      <c r="N2111"/>
      <c r="O2111"/>
    </row>
    <row r="2112" spans="14:15" x14ac:dyDescent="0.35">
      <c r="N2112"/>
      <c r="O2112"/>
    </row>
    <row r="2113" spans="14:15" x14ac:dyDescent="0.35">
      <c r="N2113"/>
      <c r="O2113"/>
    </row>
    <row r="2114" spans="14:15" x14ac:dyDescent="0.35">
      <c r="N2114"/>
      <c r="O2114"/>
    </row>
    <row r="2115" spans="14:15" x14ac:dyDescent="0.35">
      <c r="N2115"/>
      <c r="O2115"/>
    </row>
    <row r="2116" spans="14:15" x14ac:dyDescent="0.35">
      <c r="N2116"/>
      <c r="O2116"/>
    </row>
    <row r="2117" spans="14:15" x14ac:dyDescent="0.35">
      <c r="N2117"/>
      <c r="O2117"/>
    </row>
    <row r="2118" spans="14:15" x14ac:dyDescent="0.35">
      <c r="N2118"/>
      <c r="O2118"/>
    </row>
    <row r="2119" spans="14:15" x14ac:dyDescent="0.35">
      <c r="N2119"/>
      <c r="O2119"/>
    </row>
    <row r="2120" spans="14:15" x14ac:dyDescent="0.35">
      <c r="N2120"/>
      <c r="O2120"/>
    </row>
    <row r="2121" spans="14:15" x14ac:dyDescent="0.35">
      <c r="N2121"/>
      <c r="O2121"/>
    </row>
    <row r="2122" spans="14:15" x14ac:dyDescent="0.35">
      <c r="N2122"/>
      <c r="O2122"/>
    </row>
    <row r="2123" spans="14:15" x14ac:dyDescent="0.35">
      <c r="N2123"/>
      <c r="O2123"/>
    </row>
    <row r="2124" spans="14:15" x14ac:dyDescent="0.35">
      <c r="N2124"/>
      <c r="O2124"/>
    </row>
    <row r="2125" spans="14:15" x14ac:dyDescent="0.35">
      <c r="N2125"/>
      <c r="O2125"/>
    </row>
    <row r="2126" spans="14:15" x14ac:dyDescent="0.35">
      <c r="N2126"/>
      <c r="O2126"/>
    </row>
    <row r="2127" spans="14:15" x14ac:dyDescent="0.35">
      <c r="N2127"/>
      <c r="O2127"/>
    </row>
    <row r="2128" spans="14:15" x14ac:dyDescent="0.35">
      <c r="N2128"/>
      <c r="O2128"/>
    </row>
    <row r="2129" spans="14:15" x14ac:dyDescent="0.35">
      <c r="N2129"/>
      <c r="O2129"/>
    </row>
    <row r="2130" spans="14:15" x14ac:dyDescent="0.35">
      <c r="N2130"/>
      <c r="O2130"/>
    </row>
    <row r="2131" spans="14:15" x14ac:dyDescent="0.35">
      <c r="N2131"/>
      <c r="O2131"/>
    </row>
    <row r="2132" spans="14:15" x14ac:dyDescent="0.35">
      <c r="N2132"/>
      <c r="O2132"/>
    </row>
    <row r="2133" spans="14:15" x14ac:dyDescent="0.35">
      <c r="N2133"/>
      <c r="O2133"/>
    </row>
    <row r="2134" spans="14:15" x14ac:dyDescent="0.35">
      <c r="N2134"/>
      <c r="O2134"/>
    </row>
    <row r="2135" spans="14:15" x14ac:dyDescent="0.35">
      <c r="N2135"/>
      <c r="O2135"/>
    </row>
    <row r="2136" spans="14:15" x14ac:dyDescent="0.35">
      <c r="N2136"/>
      <c r="O2136"/>
    </row>
    <row r="2137" spans="14:15" x14ac:dyDescent="0.35">
      <c r="N2137"/>
      <c r="O2137"/>
    </row>
    <row r="2138" spans="14:15" x14ac:dyDescent="0.35">
      <c r="N2138"/>
      <c r="O2138"/>
    </row>
    <row r="2139" spans="14:15" x14ac:dyDescent="0.35">
      <c r="N2139"/>
      <c r="O2139"/>
    </row>
    <row r="2140" spans="14:15" x14ac:dyDescent="0.35">
      <c r="N2140"/>
      <c r="O2140"/>
    </row>
    <row r="2141" spans="14:15" x14ac:dyDescent="0.35">
      <c r="N2141"/>
      <c r="O2141"/>
    </row>
    <row r="2142" spans="14:15" x14ac:dyDescent="0.35">
      <c r="N2142"/>
      <c r="O2142"/>
    </row>
    <row r="2143" spans="14:15" x14ac:dyDescent="0.35">
      <c r="N2143"/>
      <c r="O2143"/>
    </row>
    <row r="2144" spans="14:15" x14ac:dyDescent="0.35">
      <c r="N2144"/>
      <c r="O2144"/>
    </row>
    <row r="2145" spans="13:25" x14ac:dyDescent="0.35">
      <c r="N2145"/>
      <c r="O2145"/>
    </row>
    <row r="2146" spans="13:25" x14ac:dyDescent="0.35">
      <c r="N2146"/>
      <c r="O2146"/>
    </row>
    <row r="2147" spans="13:25" x14ac:dyDescent="0.35">
      <c r="N2147"/>
      <c r="O2147"/>
    </row>
    <row r="2148" spans="13:25" x14ac:dyDescent="0.35">
      <c r="N2148"/>
      <c r="O2148"/>
    </row>
    <row r="2149" spans="13:25" x14ac:dyDescent="0.35">
      <c r="N2149"/>
      <c r="O2149"/>
    </row>
    <row r="2150" spans="13:25" x14ac:dyDescent="0.35">
      <c r="N2150"/>
      <c r="O2150"/>
    </row>
    <row r="2151" spans="13:25" x14ac:dyDescent="0.35">
      <c r="N2151"/>
      <c r="O2151"/>
    </row>
    <row r="2152" spans="13:25" x14ac:dyDescent="0.35">
      <c r="M2152" s="13"/>
      <c r="N2152"/>
      <c r="O2152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</row>
    <row r="2153" spans="13:25" x14ac:dyDescent="0.35">
      <c r="M2153" s="13"/>
      <c r="N2153"/>
      <c r="O215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</row>
    <row r="2154" spans="13:25" x14ac:dyDescent="0.35">
      <c r="M2154" s="13"/>
      <c r="N2154"/>
      <c r="O2154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</row>
    <row r="2155" spans="13:25" x14ac:dyDescent="0.35">
      <c r="M2155" s="13"/>
      <c r="N2155"/>
      <c r="O2155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</row>
    <row r="2156" spans="13:25" x14ac:dyDescent="0.35">
      <c r="M2156" s="13"/>
      <c r="N2156"/>
      <c r="O2156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</row>
    <row r="2157" spans="13:25" x14ac:dyDescent="0.35">
      <c r="M2157" s="13"/>
      <c r="N2157"/>
      <c r="O2157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</row>
    <row r="2158" spans="13:25" x14ac:dyDescent="0.35">
      <c r="M2158" s="13"/>
      <c r="N2158"/>
      <c r="O2158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</row>
    <row r="2159" spans="13:25" x14ac:dyDescent="0.35">
      <c r="M2159" s="13"/>
      <c r="N2159"/>
      <c r="O2159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</row>
    <row r="2160" spans="13:25" x14ac:dyDescent="0.35">
      <c r="M2160" s="13"/>
      <c r="N2160"/>
      <c r="O2160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</row>
    <row r="2161" spans="13:25" x14ac:dyDescent="0.35">
      <c r="M2161" s="13"/>
      <c r="N2161"/>
      <c r="O2161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</row>
    <row r="2162" spans="13:25" x14ac:dyDescent="0.35">
      <c r="M2162" s="13"/>
      <c r="N2162"/>
      <c r="O2162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</row>
    <row r="2163" spans="13:25" x14ac:dyDescent="0.35">
      <c r="M2163" s="13"/>
      <c r="N2163"/>
      <c r="O216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</row>
    <row r="2164" spans="13:25" x14ac:dyDescent="0.35">
      <c r="M2164" s="13"/>
      <c r="N2164"/>
      <c r="O2164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</row>
    <row r="2165" spans="13:25" x14ac:dyDescent="0.35">
      <c r="M2165" s="13"/>
      <c r="N2165"/>
      <c r="O2165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</row>
    <row r="2166" spans="13:25" x14ac:dyDescent="0.35">
      <c r="N2166"/>
      <c r="O2166"/>
    </row>
    <row r="2167" spans="13:25" x14ac:dyDescent="0.35">
      <c r="N2167"/>
      <c r="O2167"/>
    </row>
    <row r="2168" spans="13:25" x14ac:dyDescent="0.35">
      <c r="N2168"/>
      <c r="O2168"/>
    </row>
    <row r="2169" spans="13:25" x14ac:dyDescent="0.35">
      <c r="N2169"/>
      <c r="O2169"/>
    </row>
    <row r="2170" spans="13:25" x14ac:dyDescent="0.35">
      <c r="N2170"/>
      <c r="O2170"/>
    </row>
    <row r="2171" spans="13:25" x14ac:dyDescent="0.35">
      <c r="N2171"/>
      <c r="O2171"/>
    </row>
    <row r="2172" spans="13:25" x14ac:dyDescent="0.35">
      <c r="N2172"/>
      <c r="O2172"/>
    </row>
    <row r="2173" spans="13:25" x14ac:dyDescent="0.35">
      <c r="N2173"/>
      <c r="O2173"/>
    </row>
    <row r="2174" spans="13:25" x14ac:dyDescent="0.35">
      <c r="N2174"/>
      <c r="O2174"/>
    </row>
    <row r="2175" spans="13:25" x14ac:dyDescent="0.35">
      <c r="N2175"/>
      <c r="O2175"/>
    </row>
    <row r="2176" spans="13:25" x14ac:dyDescent="0.35">
      <c r="N2176"/>
      <c r="O2176"/>
    </row>
    <row r="2177" spans="14:15" x14ac:dyDescent="0.35">
      <c r="N2177"/>
      <c r="O2177"/>
    </row>
    <row r="2178" spans="14:15" x14ac:dyDescent="0.35">
      <c r="N2178"/>
      <c r="O2178"/>
    </row>
    <row r="2179" spans="14:15" x14ac:dyDescent="0.35">
      <c r="N2179"/>
      <c r="O2179"/>
    </row>
    <row r="2180" spans="14:15" x14ac:dyDescent="0.35">
      <c r="N2180"/>
      <c r="O2180"/>
    </row>
    <row r="2181" spans="14:15" x14ac:dyDescent="0.35">
      <c r="N2181"/>
      <c r="O2181"/>
    </row>
    <row r="2182" spans="14:15" x14ac:dyDescent="0.35">
      <c r="N2182"/>
      <c r="O2182"/>
    </row>
    <row r="2183" spans="14:15" x14ac:dyDescent="0.35">
      <c r="N2183"/>
      <c r="O2183"/>
    </row>
    <row r="2184" spans="14:15" x14ac:dyDescent="0.35">
      <c r="N2184"/>
      <c r="O2184"/>
    </row>
    <row r="2185" spans="14:15" x14ac:dyDescent="0.35">
      <c r="N2185"/>
      <c r="O2185"/>
    </row>
    <row r="2186" spans="14:15" x14ac:dyDescent="0.35">
      <c r="N2186"/>
      <c r="O2186"/>
    </row>
    <row r="2187" spans="14:15" x14ac:dyDescent="0.35">
      <c r="N2187"/>
      <c r="O2187"/>
    </row>
    <row r="2188" spans="14:15" x14ac:dyDescent="0.35">
      <c r="N2188"/>
      <c r="O2188"/>
    </row>
    <row r="2189" spans="14:15" x14ac:dyDescent="0.35">
      <c r="N2189"/>
      <c r="O2189"/>
    </row>
    <row r="2190" spans="14:15" x14ac:dyDescent="0.35">
      <c r="N2190"/>
      <c r="O2190"/>
    </row>
    <row r="2191" spans="14:15" x14ac:dyDescent="0.35">
      <c r="N2191"/>
      <c r="O2191"/>
    </row>
    <row r="2192" spans="14:15" x14ac:dyDescent="0.35">
      <c r="N2192"/>
      <c r="O2192"/>
    </row>
    <row r="2193" spans="14:15" x14ac:dyDescent="0.35">
      <c r="N2193"/>
      <c r="O2193"/>
    </row>
    <row r="2194" spans="14:15" x14ac:dyDescent="0.35">
      <c r="N2194"/>
      <c r="O2194"/>
    </row>
    <row r="2195" spans="14:15" x14ac:dyDescent="0.35">
      <c r="N2195"/>
      <c r="O2195"/>
    </row>
    <row r="2196" spans="14:15" x14ac:dyDescent="0.35">
      <c r="N2196"/>
      <c r="O2196"/>
    </row>
    <row r="2197" spans="14:15" x14ac:dyDescent="0.35">
      <c r="N2197"/>
      <c r="O2197"/>
    </row>
    <row r="2198" spans="14:15" x14ac:dyDescent="0.35">
      <c r="N2198"/>
      <c r="O2198"/>
    </row>
    <row r="2199" spans="14:15" x14ac:dyDescent="0.35">
      <c r="N2199"/>
      <c r="O2199"/>
    </row>
    <row r="2200" spans="14:15" x14ac:dyDescent="0.35">
      <c r="N2200"/>
      <c r="O2200"/>
    </row>
    <row r="2201" spans="14:15" x14ac:dyDescent="0.35">
      <c r="N2201"/>
      <c r="O2201"/>
    </row>
    <row r="2202" spans="14:15" x14ac:dyDescent="0.35">
      <c r="N2202"/>
      <c r="O2202"/>
    </row>
    <row r="2203" spans="14:15" x14ac:dyDescent="0.35">
      <c r="N2203"/>
      <c r="O2203"/>
    </row>
    <row r="2204" spans="14:15" x14ac:dyDescent="0.35">
      <c r="N2204"/>
      <c r="O2204"/>
    </row>
    <row r="2205" spans="14:15" x14ac:dyDescent="0.35">
      <c r="N2205"/>
      <c r="O2205"/>
    </row>
    <row r="2206" spans="14:15" x14ac:dyDescent="0.35">
      <c r="N2206"/>
      <c r="O2206"/>
    </row>
    <row r="2207" spans="14:15" x14ac:dyDescent="0.35">
      <c r="N2207"/>
      <c r="O2207"/>
    </row>
    <row r="2208" spans="14:15" x14ac:dyDescent="0.35">
      <c r="N2208"/>
      <c r="O2208"/>
    </row>
    <row r="2209" spans="13:25" x14ac:dyDescent="0.35">
      <c r="N2209"/>
      <c r="O2209"/>
    </row>
    <row r="2210" spans="13:25" x14ac:dyDescent="0.35">
      <c r="N2210"/>
      <c r="O2210"/>
    </row>
    <row r="2211" spans="13:25" x14ac:dyDescent="0.35">
      <c r="N2211"/>
      <c r="O2211"/>
    </row>
    <row r="2212" spans="13:25" x14ac:dyDescent="0.35">
      <c r="N2212"/>
      <c r="O2212"/>
    </row>
    <row r="2213" spans="13:25" x14ac:dyDescent="0.35">
      <c r="N2213"/>
      <c r="O2213"/>
    </row>
    <row r="2214" spans="13:25" x14ac:dyDescent="0.35">
      <c r="N2214"/>
      <c r="O2214"/>
    </row>
    <row r="2215" spans="13:25" x14ac:dyDescent="0.35">
      <c r="N2215"/>
      <c r="O2215"/>
    </row>
    <row r="2216" spans="13:25" x14ac:dyDescent="0.35">
      <c r="N2216"/>
      <c r="O2216"/>
    </row>
    <row r="2217" spans="13:25" x14ac:dyDescent="0.35">
      <c r="N2217"/>
      <c r="O2217"/>
    </row>
    <row r="2218" spans="13:25" x14ac:dyDescent="0.35">
      <c r="M2218" s="13"/>
      <c r="N2218"/>
      <c r="O2218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</row>
    <row r="2219" spans="13:25" x14ac:dyDescent="0.35">
      <c r="M2219" s="13"/>
      <c r="N2219"/>
      <c r="O2219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</row>
    <row r="2220" spans="13:25" x14ac:dyDescent="0.35">
      <c r="M2220" s="13"/>
      <c r="N2220"/>
      <c r="O2220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</row>
    <row r="2221" spans="13:25" x14ac:dyDescent="0.35">
      <c r="M2221" s="13"/>
      <c r="N2221"/>
      <c r="O2221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</row>
    <row r="2222" spans="13:25" x14ac:dyDescent="0.35">
      <c r="M2222" s="13"/>
      <c r="N2222"/>
      <c r="O2222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</row>
    <row r="2223" spans="13:25" x14ac:dyDescent="0.35">
      <c r="M2223" s="13"/>
      <c r="N2223"/>
      <c r="O222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</row>
    <row r="2224" spans="13:25" x14ac:dyDescent="0.35">
      <c r="M2224" s="13"/>
      <c r="N2224"/>
      <c r="O2224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</row>
    <row r="2225" spans="13:25" x14ac:dyDescent="0.35">
      <c r="M2225" s="13"/>
      <c r="N2225"/>
      <c r="O2225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</row>
    <row r="2226" spans="13:25" x14ac:dyDescent="0.35">
      <c r="M2226" s="13"/>
      <c r="N2226"/>
      <c r="O2226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</row>
    <row r="2227" spans="13:25" x14ac:dyDescent="0.35">
      <c r="N2227"/>
      <c r="O2227"/>
    </row>
    <row r="2228" spans="13:25" x14ac:dyDescent="0.35">
      <c r="N2228"/>
      <c r="O2228"/>
    </row>
    <row r="2229" spans="13:25" x14ac:dyDescent="0.35">
      <c r="N2229"/>
      <c r="O2229"/>
    </row>
    <row r="2230" spans="13:25" x14ac:dyDescent="0.35">
      <c r="N2230"/>
      <c r="O2230"/>
    </row>
    <row r="2231" spans="13:25" x14ac:dyDescent="0.35">
      <c r="N2231"/>
      <c r="O2231"/>
    </row>
    <row r="2232" spans="13:25" x14ac:dyDescent="0.35">
      <c r="N2232"/>
      <c r="O2232"/>
    </row>
    <row r="2233" spans="13:25" x14ac:dyDescent="0.35">
      <c r="N2233"/>
      <c r="O2233"/>
    </row>
    <row r="2234" spans="13:25" x14ac:dyDescent="0.35">
      <c r="N2234"/>
      <c r="O2234"/>
    </row>
    <row r="2235" spans="13:25" x14ac:dyDescent="0.35">
      <c r="N2235"/>
      <c r="O2235"/>
    </row>
    <row r="2236" spans="13:25" x14ac:dyDescent="0.35">
      <c r="N2236"/>
      <c r="O2236"/>
    </row>
    <row r="2237" spans="13:25" x14ac:dyDescent="0.35">
      <c r="N2237"/>
      <c r="O2237"/>
    </row>
    <row r="2238" spans="13:25" x14ac:dyDescent="0.35">
      <c r="M2238" s="13"/>
      <c r="N2238"/>
      <c r="O2238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</row>
    <row r="2239" spans="13:25" x14ac:dyDescent="0.35">
      <c r="M2239" s="13"/>
      <c r="N2239"/>
      <c r="O2239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</row>
    <row r="2240" spans="13:25" x14ac:dyDescent="0.35">
      <c r="N2240"/>
      <c r="O2240"/>
    </row>
    <row r="2241" spans="14:15" x14ac:dyDescent="0.35">
      <c r="N2241"/>
      <c r="O2241"/>
    </row>
    <row r="2242" spans="14:15" x14ac:dyDescent="0.35">
      <c r="N2242"/>
      <c r="O2242"/>
    </row>
    <row r="2243" spans="14:15" x14ac:dyDescent="0.35">
      <c r="N2243"/>
      <c r="O2243"/>
    </row>
    <row r="2244" spans="14:15" x14ac:dyDescent="0.35">
      <c r="N2244"/>
      <c r="O2244"/>
    </row>
    <row r="2245" spans="14:15" x14ac:dyDescent="0.35">
      <c r="N2245"/>
      <c r="O2245"/>
    </row>
    <row r="2246" spans="14:15" x14ac:dyDescent="0.35">
      <c r="N2246"/>
      <c r="O2246"/>
    </row>
    <row r="2247" spans="14:15" x14ac:dyDescent="0.35">
      <c r="N2247"/>
      <c r="O2247"/>
    </row>
    <row r="2248" spans="14:15" x14ac:dyDescent="0.35">
      <c r="N2248"/>
      <c r="O2248"/>
    </row>
    <row r="2249" spans="14:15" x14ac:dyDescent="0.35">
      <c r="N2249"/>
      <c r="O2249"/>
    </row>
    <row r="2250" spans="14:15" x14ac:dyDescent="0.35">
      <c r="N2250"/>
      <c r="O2250"/>
    </row>
    <row r="2251" spans="14:15" x14ac:dyDescent="0.35">
      <c r="N2251"/>
      <c r="O2251"/>
    </row>
    <row r="2252" spans="14:15" x14ac:dyDescent="0.35">
      <c r="N2252"/>
      <c r="O2252"/>
    </row>
    <row r="2253" spans="14:15" x14ac:dyDescent="0.35">
      <c r="N2253"/>
      <c r="O2253"/>
    </row>
    <row r="2254" spans="14:15" x14ac:dyDescent="0.35">
      <c r="N2254"/>
      <c r="O2254"/>
    </row>
    <row r="2255" spans="14:15" x14ac:dyDescent="0.35">
      <c r="N2255"/>
      <c r="O2255"/>
    </row>
    <row r="2256" spans="14:15" x14ac:dyDescent="0.35">
      <c r="N2256"/>
      <c r="O2256"/>
    </row>
    <row r="2257" spans="14:15" x14ac:dyDescent="0.35">
      <c r="N2257"/>
      <c r="O2257"/>
    </row>
    <row r="2258" spans="14:15" x14ac:dyDescent="0.35">
      <c r="N2258"/>
      <c r="O2258"/>
    </row>
    <row r="2259" spans="14:15" x14ac:dyDescent="0.35">
      <c r="N2259"/>
      <c r="O2259"/>
    </row>
    <row r="2260" spans="14:15" x14ac:dyDescent="0.35">
      <c r="N2260"/>
      <c r="O2260"/>
    </row>
    <row r="2261" spans="14:15" x14ac:dyDescent="0.35">
      <c r="N2261"/>
      <c r="O2261"/>
    </row>
    <row r="2262" spans="14:15" x14ac:dyDescent="0.35">
      <c r="N2262"/>
      <c r="O2262"/>
    </row>
    <row r="2263" spans="14:15" x14ac:dyDescent="0.35">
      <c r="N2263"/>
      <c r="O2263"/>
    </row>
    <row r="2264" spans="14:15" x14ac:dyDescent="0.35">
      <c r="N2264"/>
      <c r="O2264"/>
    </row>
    <row r="2265" spans="14:15" x14ac:dyDescent="0.35">
      <c r="N2265"/>
      <c r="O2265"/>
    </row>
    <row r="2266" spans="14:15" x14ac:dyDescent="0.35">
      <c r="N2266"/>
      <c r="O2266"/>
    </row>
    <row r="2267" spans="14:15" x14ac:dyDescent="0.35">
      <c r="N2267"/>
      <c r="O2267"/>
    </row>
    <row r="2268" spans="14:15" x14ac:dyDescent="0.35">
      <c r="N2268"/>
      <c r="O2268"/>
    </row>
    <row r="2269" spans="14:15" x14ac:dyDescent="0.35">
      <c r="N2269"/>
      <c r="O2269"/>
    </row>
    <row r="2270" spans="14:15" x14ac:dyDescent="0.35">
      <c r="N2270"/>
      <c r="O2270"/>
    </row>
    <row r="2271" spans="14:15" x14ac:dyDescent="0.35">
      <c r="N2271"/>
      <c r="O2271"/>
    </row>
    <row r="2272" spans="14:15" x14ac:dyDescent="0.35">
      <c r="N2272"/>
      <c r="O2272"/>
    </row>
    <row r="2273" spans="14:15" x14ac:dyDescent="0.35">
      <c r="N2273"/>
      <c r="O2273"/>
    </row>
    <row r="2274" spans="14:15" x14ac:dyDescent="0.35">
      <c r="N2274"/>
      <c r="O2274"/>
    </row>
    <row r="2275" spans="14:15" x14ac:dyDescent="0.35">
      <c r="N2275"/>
      <c r="O2275"/>
    </row>
    <row r="2276" spans="14:15" x14ac:dyDescent="0.35">
      <c r="N2276"/>
      <c r="O2276"/>
    </row>
    <row r="2277" spans="14:15" x14ac:dyDescent="0.35">
      <c r="N2277"/>
      <c r="O2277"/>
    </row>
    <row r="2278" spans="14:15" x14ac:dyDescent="0.35">
      <c r="N2278"/>
      <c r="O2278"/>
    </row>
    <row r="2279" spans="14:15" x14ac:dyDescent="0.35">
      <c r="N2279"/>
      <c r="O2279"/>
    </row>
    <row r="2280" spans="14:15" x14ac:dyDescent="0.35">
      <c r="N2280"/>
      <c r="O2280"/>
    </row>
    <row r="2281" spans="14:15" x14ac:dyDescent="0.35">
      <c r="N2281"/>
      <c r="O2281"/>
    </row>
    <row r="2282" spans="14:15" x14ac:dyDescent="0.35">
      <c r="N2282"/>
      <c r="O2282"/>
    </row>
    <row r="2283" spans="14:15" x14ac:dyDescent="0.35">
      <c r="N2283"/>
      <c r="O2283"/>
    </row>
    <row r="2284" spans="14:15" x14ac:dyDescent="0.35">
      <c r="N2284"/>
      <c r="O2284"/>
    </row>
    <row r="2285" spans="14:15" x14ac:dyDescent="0.35">
      <c r="N2285"/>
      <c r="O2285"/>
    </row>
    <row r="2286" spans="14:15" x14ac:dyDescent="0.35">
      <c r="N2286"/>
      <c r="O2286"/>
    </row>
    <row r="2287" spans="14:15" x14ac:dyDescent="0.35">
      <c r="N2287"/>
      <c r="O2287"/>
    </row>
    <row r="2288" spans="14:15" x14ac:dyDescent="0.35">
      <c r="N2288"/>
      <c r="O2288"/>
    </row>
    <row r="2289" spans="14:15" x14ac:dyDescent="0.35">
      <c r="N2289"/>
      <c r="O2289"/>
    </row>
    <row r="2290" spans="14:15" x14ac:dyDescent="0.35">
      <c r="N2290"/>
      <c r="O2290"/>
    </row>
    <row r="2291" spans="14:15" x14ac:dyDescent="0.35">
      <c r="N2291"/>
      <c r="O2291"/>
    </row>
    <row r="2292" spans="14:15" x14ac:dyDescent="0.35">
      <c r="N2292"/>
      <c r="O2292"/>
    </row>
    <row r="2293" spans="14:15" x14ac:dyDescent="0.35">
      <c r="N2293"/>
      <c r="O2293"/>
    </row>
    <row r="2294" spans="14:15" x14ac:dyDescent="0.35">
      <c r="N2294"/>
      <c r="O2294"/>
    </row>
    <row r="2295" spans="14:15" x14ac:dyDescent="0.35">
      <c r="N2295"/>
      <c r="O2295"/>
    </row>
    <row r="2296" spans="14:15" x14ac:dyDescent="0.35">
      <c r="N2296"/>
      <c r="O2296"/>
    </row>
    <row r="2297" spans="14:15" x14ac:dyDescent="0.35">
      <c r="N2297"/>
      <c r="O2297"/>
    </row>
    <row r="2298" spans="14:15" x14ac:dyDescent="0.35">
      <c r="N2298"/>
      <c r="O2298"/>
    </row>
    <row r="2299" spans="14:15" x14ac:dyDescent="0.35">
      <c r="N2299"/>
      <c r="O2299"/>
    </row>
    <row r="2300" spans="14:15" x14ac:dyDescent="0.35">
      <c r="N2300"/>
      <c r="O2300"/>
    </row>
    <row r="2301" spans="14:15" x14ac:dyDescent="0.35">
      <c r="N2301"/>
      <c r="O2301"/>
    </row>
    <row r="2302" spans="14:15" x14ac:dyDescent="0.35">
      <c r="N2302"/>
      <c r="O2302"/>
    </row>
    <row r="2303" spans="14:15" x14ac:dyDescent="0.35">
      <c r="N2303"/>
      <c r="O2303"/>
    </row>
    <row r="2304" spans="14:15" x14ac:dyDescent="0.35">
      <c r="N2304"/>
      <c r="O2304"/>
    </row>
    <row r="2305" spans="14:15" x14ac:dyDescent="0.35">
      <c r="N2305"/>
      <c r="O2305"/>
    </row>
    <row r="2306" spans="14:15" x14ac:dyDescent="0.35">
      <c r="N2306"/>
      <c r="O2306"/>
    </row>
    <row r="2307" spans="14:15" x14ac:dyDescent="0.35">
      <c r="N2307"/>
      <c r="O2307"/>
    </row>
    <row r="2308" spans="14:15" x14ac:dyDescent="0.35">
      <c r="N2308"/>
      <c r="O2308"/>
    </row>
    <row r="2309" spans="14:15" x14ac:dyDescent="0.35">
      <c r="N2309"/>
      <c r="O2309"/>
    </row>
    <row r="2310" spans="14:15" x14ac:dyDescent="0.35">
      <c r="N2310"/>
      <c r="O2310"/>
    </row>
    <row r="2311" spans="14:15" x14ac:dyDescent="0.35">
      <c r="N2311"/>
      <c r="O2311"/>
    </row>
    <row r="2312" spans="14:15" x14ac:dyDescent="0.35">
      <c r="N2312"/>
      <c r="O2312"/>
    </row>
    <row r="2313" spans="14:15" x14ac:dyDescent="0.35">
      <c r="N2313"/>
      <c r="O2313"/>
    </row>
    <row r="2314" spans="14:15" x14ac:dyDescent="0.35">
      <c r="N2314"/>
      <c r="O2314"/>
    </row>
    <row r="2315" spans="14:15" x14ac:dyDescent="0.35">
      <c r="N2315"/>
      <c r="O2315"/>
    </row>
    <row r="2316" spans="14:15" x14ac:dyDescent="0.35">
      <c r="N2316"/>
      <c r="O2316"/>
    </row>
    <row r="2317" spans="14:15" x14ac:dyDescent="0.35">
      <c r="N2317"/>
      <c r="O2317"/>
    </row>
    <row r="2318" spans="14:15" x14ac:dyDescent="0.35">
      <c r="N2318"/>
      <c r="O2318"/>
    </row>
    <row r="2319" spans="14:15" x14ac:dyDescent="0.35">
      <c r="N2319"/>
      <c r="O2319"/>
    </row>
    <row r="2320" spans="14:15" x14ac:dyDescent="0.35">
      <c r="N2320"/>
      <c r="O2320"/>
    </row>
    <row r="2321" spans="14:15" x14ac:dyDescent="0.35">
      <c r="N2321"/>
      <c r="O2321"/>
    </row>
    <row r="2322" spans="14:15" x14ac:dyDescent="0.35">
      <c r="N2322"/>
      <c r="O2322"/>
    </row>
    <row r="2323" spans="14:15" x14ac:dyDescent="0.35">
      <c r="N2323"/>
      <c r="O2323"/>
    </row>
    <row r="2324" spans="14:15" x14ac:dyDescent="0.35">
      <c r="N2324"/>
      <c r="O2324"/>
    </row>
    <row r="2325" spans="14:15" x14ac:dyDescent="0.35">
      <c r="N2325"/>
      <c r="O2325"/>
    </row>
    <row r="2326" spans="14:15" x14ac:dyDescent="0.35">
      <c r="N2326"/>
      <c r="O2326"/>
    </row>
    <row r="2327" spans="14:15" x14ac:dyDescent="0.35">
      <c r="N2327"/>
      <c r="O2327"/>
    </row>
    <row r="2328" spans="14:15" x14ac:dyDescent="0.35">
      <c r="N2328"/>
      <c r="O2328"/>
    </row>
    <row r="2329" spans="14:15" x14ac:dyDescent="0.35">
      <c r="N2329"/>
      <c r="O2329"/>
    </row>
    <row r="2330" spans="14:15" x14ac:dyDescent="0.35">
      <c r="N2330"/>
      <c r="O2330"/>
    </row>
    <row r="2331" spans="14:15" x14ac:dyDescent="0.35">
      <c r="N2331"/>
      <c r="O2331"/>
    </row>
    <row r="2332" spans="14:15" x14ac:dyDescent="0.35">
      <c r="N2332"/>
      <c r="O2332"/>
    </row>
    <row r="2333" spans="14:15" x14ac:dyDescent="0.35">
      <c r="N2333"/>
      <c r="O2333"/>
    </row>
    <row r="2334" spans="14:15" x14ac:dyDescent="0.35">
      <c r="N2334"/>
      <c r="O2334"/>
    </row>
    <row r="2335" spans="14:15" x14ac:dyDescent="0.35">
      <c r="N2335"/>
      <c r="O2335"/>
    </row>
    <row r="2336" spans="14:15" x14ac:dyDescent="0.35">
      <c r="N2336"/>
      <c r="O2336"/>
    </row>
    <row r="2337" spans="14:15" x14ac:dyDescent="0.35">
      <c r="N2337"/>
      <c r="O2337"/>
    </row>
    <row r="2338" spans="14:15" x14ac:dyDescent="0.35">
      <c r="N2338"/>
      <c r="O2338"/>
    </row>
    <row r="2339" spans="14:15" x14ac:dyDescent="0.35">
      <c r="N2339"/>
      <c r="O2339"/>
    </row>
    <row r="2340" spans="14:15" x14ac:dyDescent="0.35">
      <c r="N2340"/>
      <c r="O2340"/>
    </row>
    <row r="2341" spans="14:15" x14ac:dyDescent="0.35">
      <c r="N2341"/>
      <c r="O2341"/>
    </row>
    <row r="2342" spans="14:15" x14ac:dyDescent="0.35">
      <c r="N2342"/>
      <c r="O2342"/>
    </row>
    <row r="2343" spans="14:15" x14ac:dyDescent="0.35">
      <c r="N2343"/>
      <c r="O2343"/>
    </row>
    <row r="2344" spans="14:15" x14ac:dyDescent="0.35">
      <c r="N2344"/>
      <c r="O2344"/>
    </row>
    <row r="2345" spans="14:15" x14ac:dyDescent="0.35">
      <c r="N2345"/>
      <c r="O2345"/>
    </row>
    <row r="2346" spans="14:15" x14ac:dyDescent="0.35">
      <c r="N2346"/>
      <c r="O2346"/>
    </row>
    <row r="2347" spans="14:15" x14ac:dyDescent="0.35">
      <c r="N2347"/>
      <c r="O2347"/>
    </row>
    <row r="2348" spans="14:15" x14ac:dyDescent="0.35">
      <c r="N2348"/>
      <c r="O2348"/>
    </row>
    <row r="2349" spans="14:15" x14ac:dyDescent="0.35">
      <c r="N2349"/>
      <c r="O2349"/>
    </row>
    <row r="2350" spans="14:15" x14ac:dyDescent="0.35">
      <c r="N2350"/>
      <c r="O2350"/>
    </row>
    <row r="2351" spans="14:15" x14ac:dyDescent="0.35">
      <c r="N2351"/>
      <c r="O2351"/>
    </row>
    <row r="2352" spans="14:15" x14ac:dyDescent="0.35">
      <c r="N2352"/>
      <c r="O2352"/>
    </row>
    <row r="2353" spans="14:15" x14ac:dyDescent="0.35">
      <c r="N2353"/>
      <c r="O2353"/>
    </row>
    <row r="2354" spans="14:15" x14ac:dyDescent="0.35">
      <c r="N2354"/>
      <c r="O2354"/>
    </row>
    <row r="2355" spans="14:15" x14ac:dyDescent="0.35">
      <c r="N2355"/>
      <c r="O2355"/>
    </row>
    <row r="2356" spans="14:15" x14ac:dyDescent="0.35">
      <c r="N2356"/>
      <c r="O2356"/>
    </row>
    <row r="2357" spans="14:15" x14ac:dyDescent="0.35">
      <c r="N2357"/>
      <c r="O2357"/>
    </row>
    <row r="2358" spans="14:15" x14ac:dyDescent="0.35">
      <c r="N2358"/>
      <c r="O2358"/>
    </row>
    <row r="2359" spans="14:15" x14ac:dyDescent="0.35">
      <c r="N2359"/>
      <c r="O2359"/>
    </row>
    <row r="2360" spans="14:15" x14ac:dyDescent="0.35">
      <c r="N2360"/>
      <c r="O2360"/>
    </row>
    <row r="2361" spans="14:15" x14ac:dyDescent="0.35">
      <c r="N2361"/>
      <c r="O2361"/>
    </row>
    <row r="2362" spans="14:15" x14ac:dyDescent="0.35">
      <c r="N2362"/>
      <c r="O2362"/>
    </row>
    <row r="2363" spans="14:15" x14ac:dyDescent="0.35">
      <c r="N2363"/>
      <c r="O2363"/>
    </row>
    <row r="2364" spans="14:15" x14ac:dyDescent="0.35">
      <c r="N2364"/>
      <c r="O2364"/>
    </row>
    <row r="2365" spans="14:15" x14ac:dyDescent="0.35">
      <c r="N2365"/>
      <c r="O2365"/>
    </row>
    <row r="2366" spans="14:15" x14ac:dyDescent="0.35">
      <c r="N2366"/>
      <c r="O2366"/>
    </row>
    <row r="2367" spans="14:15" x14ac:dyDescent="0.35">
      <c r="N2367"/>
      <c r="O2367"/>
    </row>
    <row r="2368" spans="14:15" x14ac:dyDescent="0.35">
      <c r="N2368"/>
      <c r="O2368"/>
    </row>
    <row r="2369" spans="14:15" x14ac:dyDescent="0.35">
      <c r="N2369"/>
      <c r="O2369"/>
    </row>
    <row r="2370" spans="14:15" x14ac:dyDescent="0.35">
      <c r="N2370"/>
      <c r="O2370"/>
    </row>
    <row r="2371" spans="14:15" x14ac:dyDescent="0.35">
      <c r="N2371"/>
      <c r="O2371"/>
    </row>
    <row r="2372" spans="14:15" x14ac:dyDescent="0.35">
      <c r="N2372"/>
      <c r="O2372"/>
    </row>
    <row r="2373" spans="14:15" x14ac:dyDescent="0.35">
      <c r="N2373"/>
      <c r="O2373"/>
    </row>
    <row r="2374" spans="14:15" x14ac:dyDescent="0.35">
      <c r="N2374"/>
      <c r="O2374"/>
    </row>
    <row r="2375" spans="14:15" x14ac:dyDescent="0.35">
      <c r="N2375"/>
      <c r="O2375"/>
    </row>
    <row r="2376" spans="14:15" x14ac:dyDescent="0.35">
      <c r="N2376"/>
      <c r="O2376"/>
    </row>
    <row r="2377" spans="14:15" x14ac:dyDescent="0.35">
      <c r="N2377"/>
      <c r="O2377"/>
    </row>
    <row r="2378" spans="14:15" x14ac:dyDescent="0.35">
      <c r="N2378"/>
      <c r="O2378"/>
    </row>
    <row r="2379" spans="14:15" x14ac:dyDescent="0.35">
      <c r="N2379"/>
      <c r="O2379"/>
    </row>
    <row r="2380" spans="14:15" x14ac:dyDescent="0.35">
      <c r="N2380"/>
      <c r="O2380"/>
    </row>
    <row r="2381" spans="14:15" x14ac:dyDescent="0.35">
      <c r="N2381"/>
      <c r="O2381"/>
    </row>
    <row r="2382" spans="14:15" x14ac:dyDescent="0.35">
      <c r="N2382"/>
      <c r="O2382"/>
    </row>
    <row r="2383" spans="14:15" x14ac:dyDescent="0.35">
      <c r="N2383"/>
      <c r="O2383"/>
    </row>
    <row r="2384" spans="14:15" x14ac:dyDescent="0.35">
      <c r="N2384"/>
      <c r="O2384"/>
    </row>
    <row r="2385" spans="14:15" x14ac:dyDescent="0.35">
      <c r="N2385"/>
      <c r="O2385"/>
    </row>
    <row r="2386" spans="14:15" x14ac:dyDescent="0.35">
      <c r="N2386"/>
      <c r="O2386"/>
    </row>
    <row r="2387" spans="14:15" x14ac:dyDescent="0.35">
      <c r="N2387"/>
      <c r="O2387"/>
    </row>
    <row r="2388" spans="14:15" x14ac:dyDescent="0.35">
      <c r="N2388"/>
      <c r="O2388"/>
    </row>
    <row r="2389" spans="14:15" x14ac:dyDescent="0.35">
      <c r="N2389"/>
      <c r="O2389"/>
    </row>
    <row r="2390" spans="14:15" x14ac:dyDescent="0.35">
      <c r="N2390"/>
      <c r="O2390"/>
    </row>
    <row r="2391" spans="14:15" x14ac:dyDescent="0.35">
      <c r="N2391"/>
      <c r="O2391"/>
    </row>
    <row r="2392" spans="14:15" x14ac:dyDescent="0.35">
      <c r="N2392"/>
      <c r="O2392"/>
    </row>
    <row r="2393" spans="14:15" x14ac:dyDescent="0.35">
      <c r="N2393"/>
      <c r="O2393"/>
    </row>
    <row r="2394" spans="14:15" x14ac:dyDescent="0.35">
      <c r="N2394"/>
      <c r="O2394"/>
    </row>
    <row r="2395" spans="14:15" x14ac:dyDescent="0.35">
      <c r="N2395"/>
      <c r="O2395"/>
    </row>
    <row r="2396" spans="14:15" x14ac:dyDescent="0.35">
      <c r="N2396"/>
      <c r="O2396"/>
    </row>
    <row r="2397" spans="14:15" x14ac:dyDescent="0.35">
      <c r="N2397"/>
      <c r="O2397"/>
    </row>
    <row r="2398" spans="14:15" x14ac:dyDescent="0.35">
      <c r="N2398"/>
      <c r="O2398"/>
    </row>
    <row r="2399" spans="14:15" x14ac:dyDescent="0.35">
      <c r="N2399"/>
      <c r="O2399"/>
    </row>
    <row r="2400" spans="14:15" x14ac:dyDescent="0.35">
      <c r="N2400"/>
      <c r="O2400"/>
    </row>
    <row r="2401" spans="14:15" x14ac:dyDescent="0.35">
      <c r="N2401"/>
      <c r="O2401"/>
    </row>
    <row r="2402" spans="14:15" x14ac:dyDescent="0.35">
      <c r="N2402"/>
      <c r="O2402"/>
    </row>
    <row r="2403" spans="14:15" x14ac:dyDescent="0.35">
      <c r="N2403"/>
      <c r="O2403"/>
    </row>
    <row r="2404" spans="14:15" x14ac:dyDescent="0.35">
      <c r="N2404"/>
      <c r="O2404"/>
    </row>
    <row r="2405" spans="14:15" x14ac:dyDescent="0.35">
      <c r="N2405"/>
      <c r="O2405"/>
    </row>
    <row r="2406" spans="14:15" x14ac:dyDescent="0.35">
      <c r="N2406"/>
      <c r="O2406"/>
    </row>
    <row r="2407" spans="14:15" x14ac:dyDescent="0.35">
      <c r="N2407"/>
      <c r="O2407"/>
    </row>
    <row r="2408" spans="14:15" x14ac:dyDescent="0.35">
      <c r="N2408"/>
      <c r="O2408"/>
    </row>
    <row r="2409" spans="14:15" x14ac:dyDescent="0.35">
      <c r="N2409"/>
      <c r="O2409"/>
    </row>
    <row r="2410" spans="14:15" x14ac:dyDescent="0.35">
      <c r="N2410"/>
      <c r="O2410"/>
    </row>
    <row r="2411" spans="14:15" x14ac:dyDescent="0.35">
      <c r="N2411"/>
      <c r="O2411"/>
    </row>
    <row r="2412" spans="14:15" x14ac:dyDescent="0.35">
      <c r="N2412"/>
      <c r="O2412"/>
    </row>
    <row r="2413" spans="14:15" x14ac:dyDescent="0.35">
      <c r="N2413"/>
      <c r="O2413"/>
    </row>
    <row r="2414" spans="14:15" x14ac:dyDescent="0.35">
      <c r="N2414"/>
      <c r="O2414"/>
    </row>
    <row r="2415" spans="14:15" x14ac:dyDescent="0.35">
      <c r="N2415"/>
      <c r="O2415"/>
    </row>
    <row r="2416" spans="14:15" x14ac:dyDescent="0.35">
      <c r="N2416"/>
      <c r="O2416"/>
    </row>
    <row r="2417" spans="14:15" x14ac:dyDescent="0.35">
      <c r="N2417"/>
      <c r="O2417"/>
    </row>
    <row r="2418" spans="14:15" x14ac:dyDescent="0.35">
      <c r="N2418"/>
      <c r="O2418"/>
    </row>
    <row r="2419" spans="14:15" x14ac:dyDescent="0.35">
      <c r="N2419"/>
      <c r="O2419"/>
    </row>
    <row r="2420" spans="14:15" x14ac:dyDescent="0.35">
      <c r="N2420"/>
      <c r="O2420"/>
    </row>
    <row r="2421" spans="14:15" x14ac:dyDescent="0.35">
      <c r="N2421"/>
      <c r="O2421"/>
    </row>
    <row r="2422" spans="14:15" x14ac:dyDescent="0.35">
      <c r="N2422"/>
      <c r="O2422"/>
    </row>
    <row r="2423" spans="14:15" x14ac:dyDescent="0.35">
      <c r="N2423"/>
      <c r="O2423"/>
    </row>
    <row r="2424" spans="14:15" x14ac:dyDescent="0.35">
      <c r="N2424"/>
      <c r="O2424"/>
    </row>
    <row r="2425" spans="14:15" x14ac:dyDescent="0.35">
      <c r="N2425"/>
      <c r="O2425"/>
    </row>
    <row r="2426" spans="14:15" x14ac:dyDescent="0.35">
      <c r="N2426"/>
      <c r="O2426"/>
    </row>
    <row r="2427" spans="14:15" x14ac:dyDescent="0.35">
      <c r="N2427"/>
      <c r="O2427"/>
    </row>
    <row r="2428" spans="14:15" x14ac:dyDescent="0.35">
      <c r="N2428"/>
      <c r="O2428"/>
    </row>
    <row r="2429" spans="14:15" x14ac:dyDescent="0.35">
      <c r="N2429"/>
      <c r="O2429"/>
    </row>
    <row r="2430" spans="14:15" x14ac:dyDescent="0.35">
      <c r="N2430"/>
      <c r="O2430"/>
    </row>
    <row r="2431" spans="14:15" x14ac:dyDescent="0.35">
      <c r="N2431"/>
      <c r="O2431"/>
    </row>
    <row r="2432" spans="14:15" x14ac:dyDescent="0.35">
      <c r="N2432"/>
      <c r="O2432"/>
    </row>
    <row r="2433" spans="14:15" x14ac:dyDescent="0.35">
      <c r="N2433"/>
      <c r="O2433"/>
    </row>
    <row r="2434" spans="14:15" x14ac:dyDescent="0.35">
      <c r="N2434"/>
      <c r="O2434"/>
    </row>
    <row r="2435" spans="14:15" x14ac:dyDescent="0.35">
      <c r="N2435"/>
      <c r="O2435"/>
    </row>
    <row r="2436" spans="14:15" x14ac:dyDescent="0.35">
      <c r="N2436"/>
      <c r="O2436"/>
    </row>
    <row r="2437" spans="14:15" x14ac:dyDescent="0.35">
      <c r="N2437"/>
      <c r="O2437"/>
    </row>
    <row r="2438" spans="14:15" x14ac:dyDescent="0.35">
      <c r="N2438"/>
      <c r="O2438"/>
    </row>
    <row r="2439" spans="14:15" x14ac:dyDescent="0.35">
      <c r="N2439"/>
      <c r="O2439"/>
    </row>
    <row r="2440" spans="14:15" x14ac:dyDescent="0.35">
      <c r="N2440"/>
      <c r="O2440"/>
    </row>
    <row r="2441" spans="14:15" x14ac:dyDescent="0.35">
      <c r="N2441"/>
      <c r="O2441"/>
    </row>
    <row r="2442" spans="14:15" x14ac:dyDescent="0.35">
      <c r="N2442"/>
      <c r="O2442"/>
    </row>
    <row r="2443" spans="14:15" x14ac:dyDescent="0.35">
      <c r="N2443"/>
      <c r="O2443"/>
    </row>
    <row r="2444" spans="14:15" x14ac:dyDescent="0.35">
      <c r="N2444"/>
      <c r="O2444"/>
    </row>
    <row r="2445" spans="14:15" x14ac:dyDescent="0.35">
      <c r="N2445"/>
      <c r="O2445"/>
    </row>
    <row r="2446" spans="14:15" x14ac:dyDescent="0.35">
      <c r="N2446"/>
      <c r="O2446"/>
    </row>
    <row r="2447" spans="14:15" x14ac:dyDescent="0.35">
      <c r="N2447"/>
      <c r="O2447"/>
    </row>
    <row r="2448" spans="14:15" x14ac:dyDescent="0.35">
      <c r="N2448"/>
      <c r="O2448"/>
    </row>
    <row r="2449" spans="14:15" x14ac:dyDescent="0.35">
      <c r="N2449"/>
      <c r="O2449"/>
    </row>
    <row r="2450" spans="14:15" x14ac:dyDescent="0.35">
      <c r="N2450"/>
      <c r="O2450"/>
    </row>
    <row r="2451" spans="14:15" x14ac:dyDescent="0.35">
      <c r="N2451"/>
      <c r="O2451"/>
    </row>
    <row r="2452" spans="14:15" x14ac:dyDescent="0.35">
      <c r="N2452"/>
      <c r="O2452"/>
    </row>
    <row r="2453" spans="14:15" x14ac:dyDescent="0.35">
      <c r="N2453"/>
      <c r="O2453"/>
    </row>
    <row r="2454" spans="14:15" x14ac:dyDescent="0.35">
      <c r="N2454"/>
      <c r="O2454"/>
    </row>
    <row r="2455" spans="14:15" x14ac:dyDescent="0.35">
      <c r="N2455"/>
      <c r="O2455"/>
    </row>
    <row r="2456" spans="14:15" x14ac:dyDescent="0.35">
      <c r="N2456"/>
      <c r="O2456"/>
    </row>
    <row r="2457" spans="14:15" x14ac:dyDescent="0.35">
      <c r="N2457"/>
      <c r="O2457"/>
    </row>
    <row r="2458" spans="14:15" x14ac:dyDescent="0.35">
      <c r="N2458"/>
      <c r="O2458"/>
    </row>
    <row r="2459" spans="14:15" x14ac:dyDescent="0.35">
      <c r="N2459"/>
      <c r="O2459"/>
    </row>
    <row r="2460" spans="14:15" x14ac:dyDescent="0.35">
      <c r="N2460"/>
      <c r="O2460"/>
    </row>
    <row r="2461" spans="14:15" x14ac:dyDescent="0.35">
      <c r="N2461"/>
      <c r="O2461"/>
    </row>
    <row r="2462" spans="14:15" x14ac:dyDescent="0.35">
      <c r="N2462"/>
      <c r="O2462"/>
    </row>
    <row r="2463" spans="14:15" x14ac:dyDescent="0.35">
      <c r="N2463"/>
      <c r="O2463"/>
    </row>
    <row r="2464" spans="14:15" x14ac:dyDescent="0.35">
      <c r="N2464"/>
      <c r="O2464"/>
    </row>
    <row r="2465" spans="14:15" x14ac:dyDescent="0.35">
      <c r="N2465"/>
      <c r="O2465"/>
    </row>
    <row r="2466" spans="14:15" x14ac:dyDescent="0.35">
      <c r="N2466"/>
      <c r="O2466"/>
    </row>
    <row r="2467" spans="14:15" x14ac:dyDescent="0.35">
      <c r="N2467"/>
      <c r="O2467"/>
    </row>
    <row r="2468" spans="14:15" x14ac:dyDescent="0.35">
      <c r="N2468"/>
      <c r="O2468"/>
    </row>
    <row r="2469" spans="14:15" x14ac:dyDescent="0.35">
      <c r="N2469"/>
      <c r="O2469"/>
    </row>
    <row r="2470" spans="14:15" x14ac:dyDescent="0.35">
      <c r="N2470"/>
      <c r="O2470"/>
    </row>
    <row r="2471" spans="14:15" x14ac:dyDescent="0.35">
      <c r="N2471"/>
      <c r="O2471"/>
    </row>
    <row r="2472" spans="14:15" x14ac:dyDescent="0.35">
      <c r="N2472"/>
      <c r="O2472"/>
    </row>
    <row r="2473" spans="14:15" x14ac:dyDescent="0.35">
      <c r="N2473"/>
      <c r="O2473"/>
    </row>
    <row r="2474" spans="14:15" x14ac:dyDescent="0.35">
      <c r="N2474"/>
      <c r="O2474"/>
    </row>
    <row r="2475" spans="14:15" x14ac:dyDescent="0.35">
      <c r="N2475"/>
      <c r="O2475"/>
    </row>
    <row r="2476" spans="14:15" x14ac:dyDescent="0.35">
      <c r="N2476"/>
      <c r="O2476"/>
    </row>
    <row r="2477" spans="14:15" x14ac:dyDescent="0.35">
      <c r="N2477"/>
      <c r="O2477"/>
    </row>
    <row r="2478" spans="14:15" x14ac:dyDescent="0.35">
      <c r="N2478"/>
      <c r="O2478"/>
    </row>
    <row r="2479" spans="14:15" x14ac:dyDescent="0.35">
      <c r="N2479"/>
      <c r="O2479"/>
    </row>
    <row r="2480" spans="14:15" x14ac:dyDescent="0.35">
      <c r="N2480"/>
      <c r="O2480"/>
    </row>
    <row r="2481" spans="13:25" x14ac:dyDescent="0.35">
      <c r="N2481"/>
      <c r="O2481"/>
    </row>
    <row r="2482" spans="13:25" x14ac:dyDescent="0.35">
      <c r="N2482"/>
      <c r="O2482"/>
    </row>
    <row r="2483" spans="13:25" x14ac:dyDescent="0.35">
      <c r="N2483"/>
      <c r="O2483"/>
    </row>
    <row r="2484" spans="13:25" x14ac:dyDescent="0.35">
      <c r="N2484"/>
      <c r="O2484"/>
    </row>
    <row r="2485" spans="13:25" x14ac:dyDescent="0.35">
      <c r="N2485"/>
      <c r="O2485"/>
    </row>
    <row r="2486" spans="13:25" x14ac:dyDescent="0.35">
      <c r="N2486"/>
      <c r="O2486"/>
    </row>
    <row r="2487" spans="13:25" x14ac:dyDescent="0.35">
      <c r="N2487"/>
      <c r="O2487"/>
    </row>
    <row r="2488" spans="13:25" x14ac:dyDescent="0.35">
      <c r="N2488"/>
      <c r="O2488"/>
    </row>
    <row r="2489" spans="13:25" x14ac:dyDescent="0.35">
      <c r="M2489" s="14"/>
      <c r="N2489"/>
      <c r="O2489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</row>
    <row r="2490" spans="13:25" x14ac:dyDescent="0.35">
      <c r="N2490"/>
      <c r="O2490"/>
    </row>
    <row r="2491" spans="13:25" x14ac:dyDescent="0.35">
      <c r="N2491"/>
      <c r="O2491"/>
    </row>
    <row r="2492" spans="13:25" x14ac:dyDescent="0.35">
      <c r="N2492"/>
      <c r="O2492"/>
    </row>
    <row r="2493" spans="13:25" x14ac:dyDescent="0.35">
      <c r="N2493"/>
      <c r="O2493"/>
    </row>
    <row r="2494" spans="13:25" x14ac:dyDescent="0.35">
      <c r="N2494"/>
      <c r="O2494"/>
    </row>
    <row r="2495" spans="13:25" x14ac:dyDescent="0.35">
      <c r="N2495"/>
      <c r="O2495"/>
    </row>
    <row r="2496" spans="13:25" x14ac:dyDescent="0.35">
      <c r="N2496"/>
      <c r="O2496"/>
    </row>
    <row r="2497" spans="14:15" x14ac:dyDescent="0.35">
      <c r="N2497"/>
      <c r="O2497"/>
    </row>
    <row r="2498" spans="14:15" x14ac:dyDescent="0.35">
      <c r="N2498"/>
      <c r="O2498"/>
    </row>
    <row r="2499" spans="14:15" x14ac:dyDescent="0.35">
      <c r="N2499"/>
      <c r="O2499"/>
    </row>
    <row r="2500" spans="14:15" x14ac:dyDescent="0.35">
      <c r="N2500"/>
      <c r="O2500"/>
    </row>
    <row r="2501" spans="14:15" x14ac:dyDescent="0.35">
      <c r="N2501"/>
      <c r="O2501"/>
    </row>
    <row r="2502" spans="14:15" x14ac:dyDescent="0.35">
      <c r="N2502"/>
      <c r="O2502"/>
    </row>
    <row r="2503" spans="14:15" x14ac:dyDescent="0.35">
      <c r="N2503"/>
      <c r="O2503"/>
    </row>
    <row r="2504" spans="14:15" x14ac:dyDescent="0.35">
      <c r="N2504"/>
      <c r="O2504"/>
    </row>
    <row r="2505" spans="14:15" x14ac:dyDescent="0.35">
      <c r="N2505"/>
      <c r="O2505"/>
    </row>
    <row r="2506" spans="14:15" x14ac:dyDescent="0.35">
      <c r="N2506"/>
      <c r="O2506"/>
    </row>
    <row r="2507" spans="14:15" x14ac:dyDescent="0.35">
      <c r="N2507"/>
      <c r="O2507"/>
    </row>
    <row r="2508" spans="14:15" x14ac:dyDescent="0.35">
      <c r="N2508"/>
      <c r="O2508"/>
    </row>
    <row r="2509" spans="14:15" x14ac:dyDescent="0.35">
      <c r="N2509"/>
      <c r="O2509"/>
    </row>
    <row r="2510" spans="14:15" x14ac:dyDescent="0.35">
      <c r="N2510"/>
      <c r="O2510"/>
    </row>
    <row r="2511" spans="14:15" x14ac:dyDescent="0.35">
      <c r="N2511"/>
      <c r="O2511"/>
    </row>
    <row r="2512" spans="14:15" x14ac:dyDescent="0.35">
      <c r="N2512"/>
      <c r="O2512"/>
    </row>
    <row r="2513" spans="14:15" x14ac:dyDescent="0.35">
      <c r="N2513"/>
      <c r="O2513"/>
    </row>
    <row r="2514" spans="14:15" x14ac:dyDescent="0.35">
      <c r="N2514"/>
      <c r="O2514"/>
    </row>
    <row r="2515" spans="14:15" x14ac:dyDescent="0.35">
      <c r="N2515"/>
      <c r="O2515"/>
    </row>
    <row r="2516" spans="14:15" x14ac:dyDescent="0.35">
      <c r="N2516"/>
      <c r="O2516"/>
    </row>
    <row r="2517" spans="14:15" x14ac:dyDescent="0.35">
      <c r="N2517"/>
      <c r="O2517"/>
    </row>
    <row r="2518" spans="14:15" x14ac:dyDescent="0.35">
      <c r="N2518"/>
      <c r="O2518"/>
    </row>
    <row r="2519" spans="14:15" x14ac:dyDescent="0.35">
      <c r="N2519"/>
      <c r="O2519"/>
    </row>
    <row r="2520" spans="14:15" x14ac:dyDescent="0.35">
      <c r="N2520"/>
      <c r="O2520"/>
    </row>
    <row r="2521" spans="14:15" x14ac:dyDescent="0.35">
      <c r="N2521"/>
      <c r="O2521"/>
    </row>
    <row r="2522" spans="14:15" x14ac:dyDescent="0.35">
      <c r="N2522"/>
      <c r="O2522"/>
    </row>
    <row r="2523" spans="14:15" x14ac:dyDescent="0.35">
      <c r="N2523"/>
      <c r="O2523"/>
    </row>
    <row r="2524" spans="14:15" x14ac:dyDescent="0.35">
      <c r="N2524"/>
      <c r="O2524"/>
    </row>
    <row r="2525" spans="14:15" x14ac:dyDescent="0.35">
      <c r="N2525"/>
      <c r="O2525"/>
    </row>
    <row r="2526" spans="14:15" x14ac:dyDescent="0.35">
      <c r="N2526"/>
      <c r="O2526"/>
    </row>
    <row r="2527" spans="14:15" x14ac:dyDescent="0.35">
      <c r="N2527"/>
      <c r="O2527"/>
    </row>
    <row r="2528" spans="14:15" x14ac:dyDescent="0.35">
      <c r="N2528"/>
      <c r="O2528"/>
    </row>
    <row r="2529" spans="13:25" x14ac:dyDescent="0.35">
      <c r="N2529"/>
      <c r="O2529"/>
    </row>
    <row r="2530" spans="13:25" x14ac:dyDescent="0.35">
      <c r="N2530"/>
      <c r="O2530"/>
    </row>
    <row r="2531" spans="13:25" x14ac:dyDescent="0.35">
      <c r="N2531"/>
      <c r="O2531"/>
    </row>
    <row r="2532" spans="13:25" x14ac:dyDescent="0.35">
      <c r="N2532"/>
      <c r="O2532"/>
    </row>
    <row r="2533" spans="13:25" x14ac:dyDescent="0.35">
      <c r="N2533"/>
      <c r="O2533"/>
    </row>
    <row r="2534" spans="13:25" x14ac:dyDescent="0.35">
      <c r="N2534"/>
      <c r="O2534"/>
    </row>
    <row r="2535" spans="13:25" x14ac:dyDescent="0.35">
      <c r="N2535"/>
      <c r="O2535"/>
    </row>
    <row r="2536" spans="13:25" x14ac:dyDescent="0.35">
      <c r="M2536" s="14"/>
      <c r="N2536"/>
      <c r="O2536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</row>
    <row r="2537" spans="13:25" x14ac:dyDescent="0.35">
      <c r="N2537"/>
      <c r="O2537"/>
    </row>
    <row r="2538" spans="13:25" x14ac:dyDescent="0.35">
      <c r="N2538"/>
      <c r="O2538"/>
    </row>
    <row r="2539" spans="13:25" x14ac:dyDescent="0.35">
      <c r="N2539"/>
      <c r="O2539"/>
    </row>
    <row r="2540" spans="13:25" x14ac:dyDescent="0.35">
      <c r="N2540"/>
      <c r="O2540"/>
    </row>
    <row r="2541" spans="13:25" x14ac:dyDescent="0.35">
      <c r="N2541"/>
      <c r="O2541"/>
    </row>
    <row r="2542" spans="13:25" x14ac:dyDescent="0.35">
      <c r="N2542"/>
      <c r="O2542"/>
    </row>
    <row r="2543" spans="13:25" x14ac:dyDescent="0.35">
      <c r="N2543"/>
      <c r="O2543"/>
    </row>
    <row r="2544" spans="13:25" x14ac:dyDescent="0.35">
      <c r="N2544"/>
      <c r="O2544"/>
    </row>
    <row r="2545" spans="14:15" x14ac:dyDescent="0.35">
      <c r="N2545"/>
      <c r="O2545"/>
    </row>
    <row r="2546" spans="14:15" x14ac:dyDescent="0.35">
      <c r="N2546"/>
      <c r="O2546"/>
    </row>
    <row r="2547" spans="14:15" x14ac:dyDescent="0.35">
      <c r="N2547"/>
      <c r="O2547"/>
    </row>
    <row r="2548" spans="14:15" x14ac:dyDescent="0.35">
      <c r="N2548"/>
      <c r="O2548"/>
    </row>
    <row r="2549" spans="14:15" x14ac:dyDescent="0.35">
      <c r="N2549"/>
      <c r="O2549"/>
    </row>
    <row r="2550" spans="14:15" x14ac:dyDescent="0.35">
      <c r="N2550"/>
      <c r="O2550"/>
    </row>
    <row r="2551" spans="14:15" x14ac:dyDescent="0.35">
      <c r="N2551"/>
      <c r="O2551"/>
    </row>
    <row r="2552" spans="14:15" x14ac:dyDescent="0.35">
      <c r="N2552"/>
      <c r="O2552"/>
    </row>
    <row r="2553" spans="14:15" x14ac:dyDescent="0.35">
      <c r="N2553"/>
      <c r="O2553"/>
    </row>
    <row r="2554" spans="14:15" x14ac:dyDescent="0.35">
      <c r="N2554"/>
      <c r="O2554"/>
    </row>
    <row r="2555" spans="14:15" x14ac:dyDescent="0.35">
      <c r="N2555"/>
      <c r="O2555"/>
    </row>
    <row r="2556" spans="14:15" x14ac:dyDescent="0.35">
      <c r="N2556"/>
      <c r="O2556"/>
    </row>
    <row r="2557" spans="14:15" x14ac:dyDescent="0.35">
      <c r="N2557"/>
      <c r="O2557"/>
    </row>
    <row r="2558" spans="14:15" x14ac:dyDescent="0.35">
      <c r="N2558"/>
      <c r="O2558"/>
    </row>
    <row r="2559" spans="14:15" x14ac:dyDescent="0.35">
      <c r="N2559"/>
      <c r="O2559"/>
    </row>
    <row r="2560" spans="14:15" x14ac:dyDescent="0.35">
      <c r="N2560"/>
      <c r="O2560"/>
    </row>
    <row r="2561" spans="14:15" x14ac:dyDescent="0.35">
      <c r="N2561"/>
      <c r="O2561"/>
    </row>
    <row r="2562" spans="14:15" x14ac:dyDescent="0.35">
      <c r="N2562"/>
      <c r="O2562"/>
    </row>
    <row r="2563" spans="14:15" x14ac:dyDescent="0.35">
      <c r="N2563"/>
      <c r="O2563"/>
    </row>
    <row r="2564" spans="14:15" x14ac:dyDescent="0.35">
      <c r="N2564"/>
      <c r="O2564"/>
    </row>
    <row r="2565" spans="14:15" x14ac:dyDescent="0.35">
      <c r="N2565"/>
      <c r="O2565"/>
    </row>
    <row r="2566" spans="14:15" x14ac:dyDescent="0.35">
      <c r="N2566"/>
      <c r="O2566"/>
    </row>
    <row r="2567" spans="14:15" x14ac:dyDescent="0.35">
      <c r="N2567"/>
      <c r="O2567"/>
    </row>
    <row r="2568" spans="14:15" x14ac:dyDescent="0.35">
      <c r="N2568"/>
      <c r="O2568"/>
    </row>
    <row r="2569" spans="14:15" x14ac:dyDescent="0.35">
      <c r="N2569"/>
      <c r="O2569"/>
    </row>
    <row r="2570" spans="14:15" x14ac:dyDescent="0.35">
      <c r="N2570"/>
      <c r="O2570"/>
    </row>
    <row r="2571" spans="14:15" x14ac:dyDescent="0.35">
      <c r="N2571"/>
      <c r="O2571"/>
    </row>
    <row r="2572" spans="14:15" x14ac:dyDescent="0.35">
      <c r="N2572"/>
      <c r="O2572"/>
    </row>
    <row r="2573" spans="14:15" x14ac:dyDescent="0.35">
      <c r="N2573"/>
      <c r="O2573"/>
    </row>
    <row r="2574" spans="14:15" x14ac:dyDescent="0.35">
      <c r="N2574"/>
      <c r="O2574"/>
    </row>
    <row r="2575" spans="14:15" x14ac:dyDescent="0.35">
      <c r="N2575"/>
      <c r="O2575"/>
    </row>
    <row r="2576" spans="14:15" x14ac:dyDescent="0.35">
      <c r="N2576"/>
      <c r="O2576"/>
    </row>
    <row r="2577" spans="14:15" x14ac:dyDescent="0.35">
      <c r="N2577"/>
      <c r="O2577"/>
    </row>
    <row r="2578" spans="14:15" x14ac:dyDescent="0.35">
      <c r="N2578"/>
      <c r="O2578"/>
    </row>
    <row r="2579" spans="14:15" x14ac:dyDescent="0.35">
      <c r="N2579"/>
      <c r="O2579"/>
    </row>
    <row r="2580" spans="14:15" x14ac:dyDescent="0.35">
      <c r="N2580"/>
      <c r="O2580"/>
    </row>
    <row r="2581" spans="14:15" x14ac:dyDescent="0.35">
      <c r="N2581"/>
      <c r="O2581"/>
    </row>
    <row r="2582" spans="14:15" x14ac:dyDescent="0.35">
      <c r="N2582"/>
      <c r="O2582"/>
    </row>
    <row r="2583" spans="14:15" x14ac:dyDescent="0.35">
      <c r="N2583"/>
      <c r="O2583"/>
    </row>
    <row r="2584" spans="14:15" x14ac:dyDescent="0.35">
      <c r="N2584"/>
      <c r="O2584"/>
    </row>
    <row r="2585" spans="14:15" x14ac:dyDescent="0.35">
      <c r="N2585"/>
      <c r="O2585"/>
    </row>
    <row r="2586" spans="14:15" x14ac:dyDescent="0.35">
      <c r="N2586"/>
      <c r="O2586"/>
    </row>
    <row r="2587" spans="14:15" x14ac:dyDescent="0.35">
      <c r="N2587"/>
      <c r="O2587"/>
    </row>
    <row r="2588" spans="14:15" x14ac:dyDescent="0.35">
      <c r="N2588"/>
      <c r="O2588"/>
    </row>
    <row r="2589" spans="14:15" x14ac:dyDescent="0.35">
      <c r="N2589"/>
      <c r="O2589"/>
    </row>
    <row r="2590" spans="14:15" x14ac:dyDescent="0.35">
      <c r="N2590"/>
      <c r="O2590"/>
    </row>
    <row r="2591" spans="14:15" x14ac:dyDescent="0.35">
      <c r="N2591"/>
      <c r="O2591"/>
    </row>
    <row r="2592" spans="14:15" x14ac:dyDescent="0.35">
      <c r="N2592"/>
      <c r="O2592"/>
    </row>
    <row r="2593" spans="14:15" x14ac:dyDescent="0.35">
      <c r="N2593"/>
      <c r="O2593"/>
    </row>
    <row r="2594" spans="14:15" x14ac:dyDescent="0.35">
      <c r="N2594"/>
      <c r="O2594"/>
    </row>
    <row r="2595" spans="14:15" x14ac:dyDescent="0.35">
      <c r="N2595"/>
      <c r="O2595"/>
    </row>
    <row r="2596" spans="14:15" x14ac:dyDescent="0.35">
      <c r="N2596"/>
      <c r="O2596"/>
    </row>
    <row r="2597" spans="14:15" x14ac:dyDescent="0.35">
      <c r="N2597"/>
      <c r="O2597"/>
    </row>
    <row r="2598" spans="14:15" x14ac:dyDescent="0.35">
      <c r="N2598"/>
      <c r="O2598"/>
    </row>
    <row r="2599" spans="14:15" x14ac:dyDescent="0.35">
      <c r="N2599"/>
      <c r="O2599"/>
    </row>
    <row r="2600" spans="14:15" x14ac:dyDescent="0.35">
      <c r="N2600"/>
      <c r="O2600"/>
    </row>
    <row r="2601" spans="14:15" x14ac:dyDescent="0.35">
      <c r="N2601"/>
      <c r="O2601"/>
    </row>
    <row r="2602" spans="14:15" x14ac:dyDescent="0.35">
      <c r="N2602"/>
      <c r="O2602"/>
    </row>
    <row r="2603" spans="14:15" x14ac:dyDescent="0.35">
      <c r="N2603"/>
      <c r="O2603"/>
    </row>
    <row r="2604" spans="14:15" x14ac:dyDescent="0.35">
      <c r="N2604"/>
      <c r="O2604"/>
    </row>
    <row r="2605" spans="14:15" x14ac:dyDescent="0.35">
      <c r="N2605"/>
      <c r="O2605"/>
    </row>
    <row r="2606" spans="14:15" x14ac:dyDescent="0.35">
      <c r="N2606"/>
      <c r="O2606"/>
    </row>
    <row r="2607" spans="14:15" x14ac:dyDescent="0.35">
      <c r="N2607"/>
      <c r="O2607"/>
    </row>
    <row r="2608" spans="14:15" x14ac:dyDescent="0.35">
      <c r="N2608"/>
      <c r="O2608"/>
    </row>
    <row r="2609" spans="14:15" x14ac:dyDescent="0.35">
      <c r="N2609"/>
      <c r="O2609"/>
    </row>
    <row r="2610" spans="14:15" x14ac:dyDescent="0.35">
      <c r="N2610"/>
      <c r="O2610"/>
    </row>
    <row r="2611" spans="14:15" x14ac:dyDescent="0.35">
      <c r="N2611"/>
      <c r="O2611"/>
    </row>
    <row r="2612" spans="14:15" x14ac:dyDescent="0.35">
      <c r="N2612"/>
      <c r="O2612"/>
    </row>
    <row r="2613" spans="14:15" x14ac:dyDescent="0.35">
      <c r="N2613"/>
      <c r="O2613"/>
    </row>
    <row r="2614" spans="14:15" x14ac:dyDescent="0.35">
      <c r="N2614"/>
      <c r="O2614"/>
    </row>
    <row r="2615" spans="14:15" x14ac:dyDescent="0.35">
      <c r="N2615"/>
      <c r="O2615"/>
    </row>
    <row r="2616" spans="14:15" x14ac:dyDescent="0.35">
      <c r="N2616"/>
      <c r="O2616"/>
    </row>
    <row r="2617" spans="14:15" x14ac:dyDescent="0.35">
      <c r="N2617"/>
      <c r="O2617"/>
    </row>
    <row r="2618" spans="14:15" x14ac:dyDescent="0.35">
      <c r="N2618"/>
      <c r="O2618"/>
    </row>
    <row r="2619" spans="14:15" x14ac:dyDescent="0.35">
      <c r="N2619"/>
      <c r="O2619"/>
    </row>
    <row r="2620" spans="14:15" x14ac:dyDescent="0.35">
      <c r="N2620"/>
      <c r="O2620"/>
    </row>
    <row r="2621" spans="14:15" x14ac:dyDescent="0.35">
      <c r="N2621"/>
      <c r="O2621"/>
    </row>
    <row r="2622" spans="14:15" x14ac:dyDescent="0.35">
      <c r="N2622"/>
      <c r="O2622"/>
    </row>
    <row r="2623" spans="14:15" x14ac:dyDescent="0.35">
      <c r="N2623"/>
      <c r="O2623"/>
    </row>
    <row r="2624" spans="14:15" x14ac:dyDescent="0.35">
      <c r="N2624"/>
      <c r="O2624"/>
    </row>
    <row r="2625" spans="1:25" x14ac:dyDescent="0.35">
      <c r="N2625"/>
      <c r="O2625"/>
    </row>
    <row r="2626" spans="1:25" x14ac:dyDescent="0.35">
      <c r="N2626"/>
      <c r="O2626"/>
    </row>
    <row r="2627" spans="1:25" x14ac:dyDescent="0.35">
      <c r="N2627"/>
      <c r="O2627"/>
    </row>
    <row r="2628" spans="1:25" x14ac:dyDescent="0.35">
      <c r="N2628"/>
      <c r="O2628"/>
    </row>
    <row r="2629" spans="1:25" x14ac:dyDescent="0.35">
      <c r="N2629"/>
      <c r="O2629"/>
    </row>
    <row r="2630" spans="1:25" x14ac:dyDescent="0.35">
      <c r="N2630"/>
      <c r="O2630"/>
    </row>
    <row r="2631" spans="1:25" x14ac:dyDescent="0.35">
      <c r="N2631"/>
      <c r="O2631"/>
    </row>
    <row r="2632" spans="1:25" x14ac:dyDescent="0.35">
      <c r="N2632"/>
      <c r="O2632"/>
    </row>
    <row r="2633" spans="1:25" x14ac:dyDescent="0.35">
      <c r="N2633"/>
      <c r="O2633"/>
    </row>
    <row r="2634" spans="1:25" x14ac:dyDescent="0.35">
      <c r="N2634"/>
      <c r="O2634"/>
    </row>
    <row r="2635" spans="1:25" x14ac:dyDescent="0.35">
      <c r="N2635"/>
      <c r="O2635"/>
    </row>
    <row r="2636" spans="1:25" x14ac:dyDescent="0.35">
      <c r="N2636"/>
      <c r="O2636"/>
    </row>
    <row r="2637" spans="1:25" x14ac:dyDescent="0.35">
      <c r="N2637"/>
      <c r="O2637"/>
    </row>
    <row r="2638" spans="1:25" s="13" customFormat="1" x14ac:dyDescent="0.35">
      <c r="A2638" s="5"/>
      <c r="B2638" s="5"/>
      <c r="C2638" s="5"/>
      <c r="D2638" s="6"/>
      <c r="E2638" s="5"/>
      <c r="F2638" s="6"/>
      <c r="G2638" s="5"/>
      <c r="H2638" s="5"/>
      <c r="I2638" s="5"/>
      <c r="J2638" s="5"/>
      <c r="M2638" s="5"/>
      <c r="N2638"/>
      <c r="O2638"/>
      <c r="P2638" s="5"/>
      <c r="Q2638" s="5"/>
      <c r="R2638" s="5"/>
      <c r="S2638" s="5"/>
      <c r="T2638" s="5"/>
      <c r="U2638" s="5"/>
      <c r="V2638" s="5"/>
      <c r="W2638" s="5"/>
      <c r="X2638" s="5"/>
      <c r="Y2638" s="5"/>
    </row>
    <row r="2639" spans="1:25" s="13" customFormat="1" x14ac:dyDescent="0.35">
      <c r="A2639" s="5"/>
      <c r="B2639" s="5"/>
      <c r="C2639" s="5"/>
      <c r="D2639" s="6"/>
      <c r="E2639" s="5"/>
      <c r="F2639" s="6"/>
      <c r="G2639" s="5"/>
      <c r="H2639" s="5"/>
      <c r="I2639" s="5"/>
      <c r="J2639" s="5"/>
      <c r="M2639" s="5"/>
      <c r="N2639"/>
      <c r="O2639"/>
      <c r="P2639" s="5"/>
      <c r="Q2639" s="5"/>
      <c r="R2639" s="5"/>
      <c r="S2639" s="5"/>
      <c r="T2639" s="5"/>
      <c r="U2639" s="5"/>
      <c r="V2639" s="5"/>
      <c r="W2639" s="5"/>
      <c r="X2639" s="5"/>
      <c r="Y2639" s="5"/>
    </row>
    <row r="2640" spans="1:25" s="13" customFormat="1" x14ac:dyDescent="0.35">
      <c r="A2640" s="5"/>
      <c r="B2640" s="5"/>
      <c r="C2640" s="5"/>
      <c r="D2640" s="6"/>
      <c r="E2640" s="5"/>
      <c r="F2640" s="6"/>
      <c r="G2640" s="5"/>
      <c r="H2640" s="5"/>
      <c r="I2640" s="5"/>
      <c r="J2640" s="5"/>
      <c r="M2640" s="5"/>
      <c r="N2640"/>
      <c r="O2640"/>
      <c r="P2640" s="5"/>
      <c r="Q2640" s="5"/>
      <c r="R2640" s="5"/>
      <c r="S2640" s="5"/>
      <c r="T2640" s="5"/>
      <c r="U2640" s="5"/>
      <c r="V2640" s="5"/>
      <c r="W2640" s="5"/>
      <c r="X2640" s="5"/>
      <c r="Y2640" s="5"/>
    </row>
    <row r="2641" spans="1:25" s="13" customFormat="1" x14ac:dyDescent="0.35">
      <c r="A2641" s="5"/>
      <c r="B2641" s="5"/>
      <c r="C2641" s="5"/>
      <c r="D2641" s="6"/>
      <c r="E2641" s="5"/>
      <c r="F2641" s="6"/>
      <c r="G2641" s="5"/>
      <c r="H2641" s="5"/>
      <c r="I2641" s="5"/>
      <c r="J2641" s="5"/>
      <c r="M2641" s="5"/>
      <c r="N2641"/>
      <c r="O2641"/>
      <c r="P2641" s="5"/>
      <c r="Q2641" s="5"/>
      <c r="R2641" s="5"/>
      <c r="S2641" s="5"/>
      <c r="T2641" s="5"/>
      <c r="U2641" s="5"/>
      <c r="V2641" s="5"/>
      <c r="W2641" s="5"/>
      <c r="X2641" s="5"/>
      <c r="Y2641" s="5"/>
    </row>
    <row r="2642" spans="1:25" s="13" customFormat="1" x14ac:dyDescent="0.35">
      <c r="A2642" s="5"/>
      <c r="B2642" s="5"/>
      <c r="C2642" s="5"/>
      <c r="D2642" s="6"/>
      <c r="E2642" s="5"/>
      <c r="F2642" s="6"/>
      <c r="G2642" s="5"/>
      <c r="H2642" s="5"/>
      <c r="I2642" s="5"/>
      <c r="J2642" s="5"/>
      <c r="M2642" s="5"/>
      <c r="N2642"/>
      <c r="O2642"/>
      <c r="P2642" s="5"/>
      <c r="Q2642" s="5"/>
      <c r="R2642" s="5"/>
      <c r="S2642" s="5"/>
      <c r="T2642" s="5"/>
      <c r="U2642" s="5"/>
      <c r="V2642" s="5"/>
      <c r="W2642" s="5"/>
      <c r="X2642" s="5"/>
      <c r="Y2642" s="5"/>
    </row>
    <row r="2643" spans="1:25" s="13" customFormat="1" x14ac:dyDescent="0.35">
      <c r="A2643" s="5"/>
      <c r="B2643" s="5"/>
      <c r="C2643" s="5"/>
      <c r="D2643" s="6"/>
      <c r="E2643" s="5"/>
      <c r="F2643" s="6"/>
      <c r="G2643" s="5"/>
      <c r="H2643" s="5"/>
      <c r="I2643" s="5"/>
      <c r="J2643" s="5"/>
      <c r="M2643" s="5"/>
      <c r="N2643"/>
      <c r="O2643"/>
      <c r="P2643" s="5"/>
      <c r="Q2643" s="5"/>
      <c r="R2643" s="5"/>
      <c r="S2643" s="5"/>
      <c r="T2643" s="5"/>
      <c r="U2643" s="5"/>
      <c r="V2643" s="5"/>
      <c r="W2643" s="5"/>
      <c r="X2643" s="5"/>
      <c r="Y2643" s="5"/>
    </row>
    <row r="2644" spans="1:25" s="13" customFormat="1" x14ac:dyDescent="0.35">
      <c r="A2644" s="5"/>
      <c r="B2644" s="5"/>
      <c r="C2644" s="5"/>
      <c r="D2644" s="6"/>
      <c r="E2644" s="5"/>
      <c r="F2644" s="6"/>
      <c r="G2644" s="5"/>
      <c r="H2644" s="5"/>
      <c r="I2644" s="5"/>
      <c r="J2644" s="5"/>
      <c r="N2644"/>
      <c r="O2644"/>
    </row>
    <row r="2645" spans="1:25" s="13" customFormat="1" x14ac:dyDescent="0.35">
      <c r="A2645" s="5"/>
      <c r="B2645" s="5"/>
      <c r="C2645" s="5"/>
      <c r="D2645" s="6"/>
      <c r="E2645" s="5"/>
      <c r="F2645" s="6"/>
      <c r="G2645" s="5"/>
      <c r="H2645" s="5"/>
      <c r="I2645" s="5"/>
      <c r="J2645" s="5"/>
      <c r="M2645" s="5"/>
      <c r="N2645"/>
      <c r="O2645"/>
      <c r="P2645" s="5"/>
      <c r="Q2645" s="5"/>
      <c r="R2645" s="5"/>
      <c r="S2645" s="5"/>
      <c r="T2645" s="5"/>
      <c r="U2645" s="5"/>
      <c r="V2645" s="5"/>
      <c r="W2645" s="5"/>
      <c r="X2645" s="5"/>
      <c r="Y2645" s="5"/>
    </row>
    <row r="2646" spans="1:25" s="13" customFormat="1" x14ac:dyDescent="0.35">
      <c r="A2646" s="5"/>
      <c r="B2646" s="5"/>
      <c r="C2646" s="5"/>
      <c r="D2646" s="6"/>
      <c r="E2646" s="5"/>
      <c r="F2646" s="6"/>
      <c r="G2646" s="5"/>
      <c r="H2646" s="5"/>
      <c r="I2646" s="5"/>
      <c r="J2646" s="5"/>
      <c r="M2646" s="5"/>
      <c r="N2646"/>
      <c r="O2646"/>
      <c r="P2646" s="5"/>
      <c r="Q2646" s="5"/>
      <c r="R2646" s="5"/>
      <c r="S2646" s="5"/>
      <c r="T2646" s="5"/>
      <c r="U2646" s="5"/>
      <c r="V2646" s="5"/>
      <c r="W2646" s="5"/>
      <c r="X2646" s="5"/>
      <c r="Y2646" s="5"/>
    </row>
    <row r="2647" spans="1:25" s="13" customFormat="1" x14ac:dyDescent="0.35">
      <c r="A2647" s="5"/>
      <c r="B2647" s="5"/>
      <c r="C2647" s="5"/>
      <c r="D2647" s="6"/>
      <c r="E2647" s="5"/>
      <c r="F2647" s="6"/>
      <c r="G2647" s="5"/>
      <c r="H2647" s="5"/>
      <c r="I2647" s="5"/>
      <c r="J2647" s="5"/>
      <c r="M2647" s="5"/>
      <c r="N2647"/>
      <c r="O2647"/>
      <c r="P2647" s="5"/>
      <c r="Q2647" s="5"/>
      <c r="R2647" s="5"/>
      <c r="S2647" s="5"/>
      <c r="T2647" s="5"/>
      <c r="U2647" s="5"/>
      <c r="V2647" s="5"/>
      <c r="W2647" s="5"/>
      <c r="X2647" s="5"/>
      <c r="Y2647" s="5"/>
    </row>
    <row r="2648" spans="1:25" s="13" customFormat="1" x14ac:dyDescent="0.35">
      <c r="A2648" s="5"/>
      <c r="B2648" s="5"/>
      <c r="C2648" s="5"/>
      <c r="D2648" s="6"/>
      <c r="E2648" s="5"/>
      <c r="F2648" s="6"/>
      <c r="G2648" s="5"/>
      <c r="H2648" s="5"/>
      <c r="I2648" s="5"/>
      <c r="J2648" s="5"/>
      <c r="M2648" s="5"/>
      <c r="N2648"/>
      <c r="O2648"/>
      <c r="P2648" s="5"/>
      <c r="Q2648" s="5"/>
      <c r="R2648" s="5"/>
      <c r="S2648" s="5"/>
      <c r="T2648" s="5"/>
      <c r="U2648" s="5"/>
      <c r="V2648" s="5"/>
      <c r="W2648" s="5"/>
      <c r="X2648" s="5"/>
      <c r="Y2648" s="5"/>
    </row>
    <row r="2649" spans="1:25" s="13" customFormat="1" x14ac:dyDescent="0.35">
      <c r="A2649" s="5"/>
      <c r="B2649" s="5"/>
      <c r="C2649" s="5"/>
      <c r="D2649" s="6"/>
      <c r="E2649" s="5"/>
      <c r="F2649" s="6"/>
      <c r="G2649" s="5"/>
      <c r="H2649" s="5"/>
      <c r="I2649" s="5"/>
      <c r="J2649" s="5"/>
      <c r="M2649" s="5"/>
      <c r="N2649"/>
      <c r="O2649"/>
      <c r="P2649" s="5"/>
      <c r="Q2649" s="5"/>
      <c r="R2649" s="5"/>
      <c r="S2649" s="5"/>
      <c r="T2649" s="5"/>
      <c r="U2649" s="5"/>
      <c r="V2649" s="5"/>
      <c r="W2649" s="5"/>
      <c r="X2649" s="5"/>
      <c r="Y2649" s="5"/>
    </row>
    <row r="2650" spans="1:25" s="13" customFormat="1" x14ac:dyDescent="0.35">
      <c r="A2650" s="5"/>
      <c r="B2650" s="5"/>
      <c r="C2650" s="5"/>
      <c r="D2650" s="6"/>
      <c r="E2650" s="5"/>
      <c r="F2650" s="6"/>
      <c r="G2650" s="5"/>
      <c r="H2650" s="5"/>
      <c r="I2650" s="5"/>
      <c r="J2650" s="5"/>
      <c r="M2650" s="5"/>
      <c r="N2650"/>
      <c r="O2650"/>
      <c r="P2650" s="5"/>
      <c r="Q2650" s="5"/>
      <c r="R2650" s="5"/>
      <c r="S2650" s="5"/>
      <c r="T2650" s="5"/>
      <c r="U2650" s="5"/>
      <c r="V2650" s="5"/>
      <c r="W2650" s="5"/>
      <c r="X2650" s="5"/>
      <c r="Y2650" s="5"/>
    </row>
    <row r="2651" spans="1:25" s="13" customFormat="1" x14ac:dyDescent="0.35">
      <c r="A2651" s="5"/>
      <c r="B2651" s="5"/>
      <c r="C2651" s="5"/>
      <c r="D2651" s="6"/>
      <c r="E2651" s="5"/>
      <c r="F2651" s="6"/>
      <c r="G2651" s="5"/>
      <c r="H2651" s="5"/>
      <c r="I2651" s="5"/>
      <c r="J2651" s="5"/>
      <c r="M2651" s="5"/>
      <c r="N2651"/>
      <c r="O2651"/>
      <c r="P2651" s="5"/>
      <c r="Q2651" s="5"/>
      <c r="R2651" s="5"/>
      <c r="S2651" s="5"/>
      <c r="T2651" s="5"/>
      <c r="U2651" s="5"/>
      <c r="V2651" s="5"/>
      <c r="W2651" s="5"/>
      <c r="X2651" s="5"/>
      <c r="Y2651" s="5"/>
    </row>
    <row r="2652" spans="1:25" x14ac:dyDescent="0.35">
      <c r="N2652"/>
      <c r="O2652"/>
    </row>
    <row r="2653" spans="1:25" x14ac:dyDescent="0.35">
      <c r="N2653"/>
      <c r="O2653"/>
    </row>
    <row r="2654" spans="1:25" x14ac:dyDescent="0.35">
      <c r="N2654"/>
      <c r="O2654"/>
    </row>
    <row r="2655" spans="1:25" x14ac:dyDescent="0.35">
      <c r="N2655"/>
      <c r="O2655"/>
    </row>
    <row r="2656" spans="1:25" x14ac:dyDescent="0.35">
      <c r="N2656"/>
      <c r="O2656"/>
    </row>
    <row r="2657" spans="14:15" x14ac:dyDescent="0.35">
      <c r="N2657"/>
      <c r="O2657"/>
    </row>
    <row r="2658" spans="14:15" x14ac:dyDescent="0.35">
      <c r="N2658"/>
      <c r="O2658"/>
    </row>
    <row r="2659" spans="14:15" x14ac:dyDescent="0.35">
      <c r="N2659"/>
      <c r="O2659"/>
    </row>
    <row r="2660" spans="14:15" x14ac:dyDescent="0.35">
      <c r="N2660"/>
      <c r="O2660"/>
    </row>
    <row r="2661" spans="14:15" x14ac:dyDescent="0.35">
      <c r="N2661"/>
      <c r="O2661"/>
    </row>
    <row r="2662" spans="14:15" x14ac:dyDescent="0.35">
      <c r="N2662"/>
      <c r="O2662"/>
    </row>
    <row r="2663" spans="14:15" x14ac:dyDescent="0.35">
      <c r="N2663"/>
      <c r="O2663"/>
    </row>
    <row r="2664" spans="14:15" x14ac:dyDescent="0.35">
      <c r="N2664"/>
      <c r="O2664"/>
    </row>
    <row r="2665" spans="14:15" x14ac:dyDescent="0.35">
      <c r="N2665"/>
      <c r="O2665"/>
    </row>
    <row r="2666" spans="14:15" x14ac:dyDescent="0.35">
      <c r="N2666"/>
      <c r="O2666"/>
    </row>
    <row r="2667" spans="14:15" x14ac:dyDescent="0.35">
      <c r="N2667"/>
      <c r="O2667"/>
    </row>
    <row r="2668" spans="14:15" x14ac:dyDescent="0.35">
      <c r="N2668"/>
      <c r="O2668"/>
    </row>
    <row r="2669" spans="14:15" x14ac:dyDescent="0.35">
      <c r="N2669"/>
      <c r="O2669"/>
    </row>
    <row r="2670" spans="14:15" x14ac:dyDescent="0.35">
      <c r="N2670"/>
      <c r="O2670"/>
    </row>
    <row r="2671" spans="14:15" x14ac:dyDescent="0.35">
      <c r="N2671"/>
      <c r="O2671"/>
    </row>
    <row r="2672" spans="14:15" x14ac:dyDescent="0.35">
      <c r="N2672"/>
      <c r="O2672"/>
    </row>
    <row r="2673" spans="14:15" x14ac:dyDescent="0.35">
      <c r="N2673"/>
      <c r="O2673"/>
    </row>
    <row r="2674" spans="14:15" x14ac:dyDescent="0.35">
      <c r="N2674"/>
      <c r="O2674"/>
    </row>
    <row r="2675" spans="14:15" x14ac:dyDescent="0.35">
      <c r="N2675"/>
      <c r="O2675"/>
    </row>
    <row r="2676" spans="14:15" x14ac:dyDescent="0.35">
      <c r="N2676"/>
      <c r="O2676"/>
    </row>
    <row r="2677" spans="14:15" x14ac:dyDescent="0.35">
      <c r="N2677"/>
      <c r="O2677"/>
    </row>
    <row r="2678" spans="14:15" x14ac:dyDescent="0.35">
      <c r="N2678"/>
      <c r="O2678"/>
    </row>
    <row r="2679" spans="14:15" x14ac:dyDescent="0.35">
      <c r="N2679"/>
      <c r="O2679"/>
    </row>
    <row r="2680" spans="14:15" x14ac:dyDescent="0.35">
      <c r="N2680"/>
      <c r="O2680"/>
    </row>
    <row r="2681" spans="14:15" x14ac:dyDescent="0.35">
      <c r="N2681"/>
      <c r="O2681"/>
    </row>
    <row r="2682" spans="14:15" x14ac:dyDescent="0.35">
      <c r="N2682"/>
      <c r="O2682"/>
    </row>
    <row r="2683" spans="14:15" x14ac:dyDescent="0.35">
      <c r="N2683"/>
      <c r="O2683"/>
    </row>
    <row r="2684" spans="14:15" x14ac:dyDescent="0.35">
      <c r="N2684"/>
      <c r="O2684"/>
    </row>
    <row r="2685" spans="14:15" x14ac:dyDescent="0.35">
      <c r="N2685"/>
      <c r="O2685"/>
    </row>
    <row r="2686" spans="14:15" x14ac:dyDescent="0.35">
      <c r="N2686"/>
      <c r="O2686"/>
    </row>
    <row r="2687" spans="14:15" x14ac:dyDescent="0.35">
      <c r="N2687"/>
      <c r="O2687"/>
    </row>
    <row r="2688" spans="14:15" x14ac:dyDescent="0.35">
      <c r="N2688"/>
      <c r="O2688"/>
    </row>
    <row r="2689" spans="1:25" x14ac:dyDescent="0.35">
      <c r="N2689"/>
      <c r="O2689"/>
    </row>
    <row r="2690" spans="1:25" x14ac:dyDescent="0.35">
      <c r="N2690"/>
      <c r="O2690"/>
    </row>
    <row r="2691" spans="1:25" x14ac:dyDescent="0.35">
      <c r="N2691"/>
      <c r="O2691"/>
    </row>
    <row r="2692" spans="1:25" x14ac:dyDescent="0.35">
      <c r="N2692"/>
      <c r="O2692"/>
    </row>
    <row r="2693" spans="1:25" x14ac:dyDescent="0.35">
      <c r="N2693"/>
      <c r="O2693"/>
    </row>
    <row r="2694" spans="1:25" x14ac:dyDescent="0.35">
      <c r="N2694"/>
      <c r="O2694"/>
    </row>
    <row r="2695" spans="1:25" x14ac:dyDescent="0.35">
      <c r="N2695"/>
      <c r="O2695"/>
    </row>
    <row r="2696" spans="1:25" x14ac:dyDescent="0.35">
      <c r="N2696"/>
      <c r="O2696"/>
    </row>
    <row r="2697" spans="1:25" x14ac:dyDescent="0.35">
      <c r="N2697"/>
      <c r="O2697"/>
    </row>
    <row r="2698" spans="1:25" x14ac:dyDescent="0.35">
      <c r="N2698"/>
      <c r="O2698"/>
    </row>
    <row r="2699" spans="1:25" x14ac:dyDescent="0.35">
      <c r="N2699"/>
      <c r="O2699"/>
    </row>
    <row r="2700" spans="1:25" x14ac:dyDescent="0.35">
      <c r="N2700"/>
      <c r="O2700"/>
    </row>
    <row r="2701" spans="1:25" x14ac:dyDescent="0.35">
      <c r="N2701"/>
      <c r="O2701"/>
    </row>
    <row r="2702" spans="1:25" x14ac:dyDescent="0.35">
      <c r="N2702"/>
      <c r="O2702"/>
    </row>
    <row r="2703" spans="1:25" x14ac:dyDescent="0.35">
      <c r="N2703"/>
      <c r="O2703"/>
    </row>
    <row r="2704" spans="1:25" s="13" customFormat="1" x14ac:dyDescent="0.35">
      <c r="A2704" s="5"/>
      <c r="B2704" s="5"/>
      <c r="C2704" s="5"/>
      <c r="D2704" s="6"/>
      <c r="E2704" s="5"/>
      <c r="F2704" s="6"/>
      <c r="G2704" s="5"/>
      <c r="H2704" s="5"/>
      <c r="I2704" s="5"/>
      <c r="J2704" s="5"/>
      <c r="M2704" s="5"/>
      <c r="N2704"/>
      <c r="O2704"/>
      <c r="P2704" s="5"/>
      <c r="Q2704" s="5"/>
      <c r="R2704" s="5"/>
      <c r="S2704" s="5"/>
      <c r="T2704" s="5"/>
      <c r="U2704" s="5"/>
      <c r="V2704" s="5"/>
      <c r="W2704" s="5"/>
      <c r="X2704" s="5"/>
      <c r="Y2704" s="5"/>
    </row>
    <row r="2705" spans="1:25" s="13" customFormat="1" x14ac:dyDescent="0.35">
      <c r="A2705" s="5"/>
      <c r="B2705" s="5"/>
      <c r="C2705" s="5"/>
      <c r="D2705" s="6"/>
      <c r="E2705" s="5"/>
      <c r="F2705" s="6"/>
      <c r="G2705" s="5"/>
      <c r="H2705" s="5"/>
      <c r="I2705" s="5"/>
      <c r="J2705" s="5"/>
      <c r="M2705" s="5"/>
      <c r="N2705"/>
      <c r="O2705"/>
      <c r="P2705" s="5"/>
      <c r="Q2705" s="5"/>
      <c r="R2705" s="5"/>
      <c r="S2705" s="5"/>
      <c r="T2705" s="5"/>
      <c r="U2705" s="5"/>
      <c r="V2705" s="5"/>
      <c r="W2705" s="5"/>
      <c r="X2705" s="5"/>
      <c r="Y2705" s="5"/>
    </row>
    <row r="2706" spans="1:25" s="13" customFormat="1" x14ac:dyDescent="0.35">
      <c r="A2706" s="5"/>
      <c r="B2706" s="5"/>
      <c r="C2706" s="5"/>
      <c r="D2706" s="6"/>
      <c r="E2706" s="5"/>
      <c r="F2706" s="6"/>
      <c r="G2706" s="5"/>
      <c r="H2706" s="5"/>
      <c r="I2706" s="5"/>
      <c r="J2706" s="5"/>
      <c r="M2706" s="5"/>
      <c r="N2706"/>
      <c r="O2706"/>
      <c r="P2706" s="5"/>
      <c r="Q2706" s="5"/>
      <c r="R2706" s="5"/>
      <c r="S2706" s="5"/>
      <c r="T2706" s="5"/>
      <c r="U2706" s="5"/>
      <c r="V2706" s="5"/>
      <c r="W2706" s="5"/>
      <c r="X2706" s="5"/>
      <c r="Y2706" s="5"/>
    </row>
    <row r="2707" spans="1:25" s="13" customFormat="1" x14ac:dyDescent="0.35">
      <c r="A2707" s="5"/>
      <c r="B2707" s="5"/>
      <c r="C2707" s="5"/>
      <c r="D2707" s="6"/>
      <c r="E2707" s="5"/>
      <c r="F2707" s="6"/>
      <c r="G2707" s="5"/>
      <c r="H2707" s="5"/>
      <c r="I2707" s="5"/>
      <c r="J2707" s="5"/>
      <c r="M2707" s="5"/>
      <c r="N2707"/>
      <c r="O2707"/>
      <c r="P2707" s="5"/>
      <c r="Q2707" s="5"/>
      <c r="R2707" s="5"/>
      <c r="S2707" s="5"/>
      <c r="T2707" s="5"/>
      <c r="U2707" s="5"/>
      <c r="V2707" s="5"/>
      <c r="W2707" s="5"/>
      <c r="X2707" s="5"/>
      <c r="Y2707" s="5"/>
    </row>
    <row r="2708" spans="1:25" s="13" customFormat="1" x14ac:dyDescent="0.35">
      <c r="A2708" s="5"/>
      <c r="B2708" s="5"/>
      <c r="C2708" s="5"/>
      <c r="D2708" s="6"/>
      <c r="E2708" s="5"/>
      <c r="F2708" s="6"/>
      <c r="G2708" s="5"/>
      <c r="H2708" s="5"/>
      <c r="I2708" s="5"/>
      <c r="J2708" s="5"/>
      <c r="M2708" s="5"/>
      <c r="N2708"/>
      <c r="O2708"/>
      <c r="P2708" s="5"/>
      <c r="Q2708" s="5"/>
      <c r="R2708" s="5"/>
      <c r="S2708" s="5"/>
      <c r="T2708" s="5"/>
      <c r="U2708" s="5"/>
      <c r="V2708" s="5"/>
      <c r="W2708" s="5"/>
      <c r="X2708" s="5"/>
      <c r="Y2708" s="5"/>
    </row>
    <row r="2709" spans="1:25" s="13" customFormat="1" x14ac:dyDescent="0.35">
      <c r="A2709" s="5"/>
      <c r="B2709" s="5"/>
      <c r="C2709" s="5"/>
      <c r="D2709" s="6"/>
      <c r="E2709" s="5"/>
      <c r="F2709" s="6"/>
      <c r="G2709" s="5"/>
      <c r="H2709" s="5"/>
      <c r="I2709" s="5"/>
      <c r="J2709" s="5"/>
      <c r="M2709" s="5"/>
      <c r="N2709"/>
      <c r="O2709"/>
      <c r="P2709" s="5"/>
      <c r="Q2709" s="5"/>
      <c r="R2709" s="5"/>
      <c r="S2709" s="5"/>
      <c r="T2709" s="5"/>
      <c r="U2709" s="5"/>
      <c r="V2709" s="5"/>
      <c r="W2709" s="5"/>
      <c r="X2709" s="5"/>
      <c r="Y2709" s="5"/>
    </row>
    <row r="2710" spans="1:25" s="13" customFormat="1" x14ac:dyDescent="0.35">
      <c r="A2710" s="5"/>
      <c r="B2710" s="5"/>
      <c r="C2710" s="5"/>
      <c r="D2710" s="6"/>
      <c r="E2710" s="5"/>
      <c r="F2710" s="6"/>
      <c r="G2710" s="5"/>
      <c r="H2710" s="5"/>
      <c r="I2710" s="5"/>
      <c r="J2710" s="5"/>
      <c r="M2710" s="5"/>
      <c r="N2710"/>
      <c r="O2710"/>
      <c r="P2710" s="5"/>
      <c r="Q2710" s="5"/>
      <c r="R2710" s="5"/>
      <c r="S2710" s="5"/>
      <c r="T2710" s="5"/>
      <c r="U2710" s="5"/>
      <c r="V2710" s="5"/>
      <c r="W2710" s="5"/>
      <c r="X2710" s="5"/>
      <c r="Y2710" s="5"/>
    </row>
    <row r="2711" spans="1:25" s="13" customFormat="1" x14ac:dyDescent="0.35">
      <c r="A2711" s="5"/>
      <c r="B2711" s="5"/>
      <c r="C2711" s="5"/>
      <c r="D2711" s="6"/>
      <c r="E2711" s="5"/>
      <c r="F2711" s="6"/>
      <c r="G2711" s="5"/>
      <c r="H2711" s="5"/>
      <c r="I2711" s="5"/>
      <c r="J2711" s="5"/>
      <c r="M2711" s="5"/>
      <c r="N2711"/>
      <c r="O2711"/>
      <c r="P2711" s="5"/>
      <c r="Q2711" s="5"/>
      <c r="R2711" s="5"/>
      <c r="S2711" s="5"/>
      <c r="T2711" s="5"/>
      <c r="U2711" s="5"/>
      <c r="V2711" s="5"/>
      <c r="W2711" s="5"/>
      <c r="X2711" s="5"/>
      <c r="Y2711" s="5"/>
    </row>
    <row r="2712" spans="1:25" s="13" customFormat="1" x14ac:dyDescent="0.35">
      <c r="A2712" s="5"/>
      <c r="B2712" s="5"/>
      <c r="C2712" s="5"/>
      <c r="D2712" s="6"/>
      <c r="E2712" s="5"/>
      <c r="F2712" s="6"/>
      <c r="G2712" s="5"/>
      <c r="H2712" s="5"/>
      <c r="I2712" s="5"/>
      <c r="J2712" s="5"/>
      <c r="M2712" s="5"/>
      <c r="N2712"/>
      <c r="O2712"/>
      <c r="P2712" s="5"/>
      <c r="Q2712" s="5"/>
      <c r="R2712" s="5"/>
      <c r="S2712" s="5"/>
      <c r="T2712" s="5"/>
      <c r="U2712" s="5"/>
      <c r="V2712" s="5"/>
      <c r="W2712" s="5"/>
      <c r="X2712" s="5"/>
      <c r="Y2712" s="5"/>
    </row>
    <row r="2713" spans="1:25" x14ac:dyDescent="0.35">
      <c r="N2713"/>
      <c r="O2713"/>
    </row>
    <row r="2714" spans="1:25" x14ac:dyDescent="0.35">
      <c r="N2714"/>
      <c r="O2714"/>
    </row>
    <row r="2715" spans="1:25" x14ac:dyDescent="0.35">
      <c r="N2715"/>
      <c r="O2715"/>
    </row>
    <row r="2716" spans="1:25" x14ac:dyDescent="0.35">
      <c r="N2716"/>
      <c r="O2716"/>
    </row>
    <row r="2717" spans="1:25" x14ac:dyDescent="0.35">
      <c r="N2717"/>
      <c r="O2717"/>
    </row>
    <row r="2718" spans="1:25" x14ac:dyDescent="0.35">
      <c r="N2718"/>
      <c r="O2718"/>
    </row>
    <row r="2719" spans="1:25" x14ac:dyDescent="0.35">
      <c r="N2719"/>
      <c r="O2719"/>
    </row>
    <row r="2720" spans="1:25" x14ac:dyDescent="0.35">
      <c r="N2720"/>
      <c r="O2720"/>
    </row>
    <row r="2721" spans="1:25" x14ac:dyDescent="0.35">
      <c r="N2721"/>
      <c r="O2721"/>
    </row>
    <row r="2722" spans="1:25" x14ac:dyDescent="0.35">
      <c r="N2722"/>
      <c r="O2722"/>
    </row>
    <row r="2723" spans="1:25" x14ac:dyDescent="0.35">
      <c r="N2723"/>
      <c r="O2723"/>
    </row>
    <row r="2724" spans="1:25" s="13" customFormat="1" x14ac:dyDescent="0.35">
      <c r="A2724" s="5"/>
      <c r="B2724" s="5"/>
      <c r="C2724" s="5"/>
      <c r="D2724" s="6"/>
      <c r="E2724" s="5"/>
      <c r="F2724" s="6"/>
      <c r="G2724" s="5"/>
      <c r="H2724" s="5"/>
      <c r="I2724" s="5"/>
      <c r="J2724" s="5"/>
      <c r="M2724" s="5"/>
      <c r="N2724"/>
      <c r="O2724"/>
      <c r="P2724" s="5"/>
      <c r="Q2724" s="5"/>
      <c r="R2724" s="5"/>
      <c r="S2724" s="5"/>
      <c r="T2724" s="5"/>
      <c r="U2724" s="5"/>
      <c r="V2724" s="5"/>
      <c r="W2724" s="5"/>
      <c r="X2724" s="5"/>
      <c r="Y2724" s="5"/>
    </row>
    <row r="2725" spans="1:25" s="13" customFormat="1" x14ac:dyDescent="0.35">
      <c r="A2725" s="5"/>
      <c r="B2725" s="5"/>
      <c r="C2725" s="5"/>
      <c r="D2725" s="6"/>
      <c r="E2725" s="5"/>
      <c r="F2725" s="6"/>
      <c r="G2725" s="5"/>
      <c r="H2725" s="5"/>
      <c r="I2725" s="5"/>
      <c r="J2725" s="5"/>
      <c r="M2725" s="5"/>
      <c r="N2725"/>
      <c r="O2725"/>
      <c r="P2725" s="5"/>
      <c r="Q2725" s="5"/>
      <c r="R2725" s="5"/>
      <c r="S2725" s="5"/>
      <c r="T2725" s="5"/>
      <c r="U2725" s="5"/>
      <c r="V2725" s="5"/>
      <c r="W2725" s="5"/>
      <c r="X2725" s="5"/>
      <c r="Y2725" s="5"/>
    </row>
    <row r="2726" spans="1:25" x14ac:dyDescent="0.35">
      <c r="N2726"/>
      <c r="O2726"/>
    </row>
    <row r="2727" spans="1:25" x14ac:dyDescent="0.35">
      <c r="N2727"/>
      <c r="O2727"/>
    </row>
    <row r="2728" spans="1:25" x14ac:dyDescent="0.35">
      <c r="N2728"/>
      <c r="O2728"/>
    </row>
    <row r="2729" spans="1:25" x14ac:dyDescent="0.35">
      <c r="N2729"/>
      <c r="O2729"/>
    </row>
    <row r="2730" spans="1:25" x14ac:dyDescent="0.35">
      <c r="N2730"/>
      <c r="O2730"/>
    </row>
    <row r="2731" spans="1:25" x14ac:dyDescent="0.35">
      <c r="N2731"/>
      <c r="O2731"/>
    </row>
    <row r="2732" spans="1:25" x14ac:dyDescent="0.35">
      <c r="N2732"/>
      <c r="O2732"/>
    </row>
    <row r="2733" spans="1:25" x14ac:dyDescent="0.35">
      <c r="N2733"/>
      <c r="O2733"/>
    </row>
    <row r="2734" spans="1:25" x14ac:dyDescent="0.35">
      <c r="N2734"/>
      <c r="O2734"/>
    </row>
    <row r="2735" spans="1:25" x14ac:dyDescent="0.35">
      <c r="N2735"/>
      <c r="O2735"/>
    </row>
    <row r="2736" spans="1:25" x14ac:dyDescent="0.35">
      <c r="N2736"/>
      <c r="O2736"/>
    </row>
    <row r="2737" spans="14:15" x14ac:dyDescent="0.35">
      <c r="N2737"/>
      <c r="O2737"/>
    </row>
    <row r="2738" spans="14:15" x14ac:dyDescent="0.35">
      <c r="N2738"/>
      <c r="O2738"/>
    </row>
    <row r="2739" spans="14:15" x14ac:dyDescent="0.35">
      <c r="N2739"/>
      <c r="O2739"/>
    </row>
    <row r="2740" spans="14:15" x14ac:dyDescent="0.35">
      <c r="N2740"/>
      <c r="O2740"/>
    </row>
    <row r="2741" spans="14:15" x14ac:dyDescent="0.35">
      <c r="N2741"/>
      <c r="O2741"/>
    </row>
    <row r="2742" spans="14:15" x14ac:dyDescent="0.35">
      <c r="N2742"/>
      <c r="O2742"/>
    </row>
    <row r="2743" spans="14:15" x14ac:dyDescent="0.35">
      <c r="N2743"/>
      <c r="O2743"/>
    </row>
    <row r="2744" spans="14:15" x14ac:dyDescent="0.35">
      <c r="N2744"/>
      <c r="O2744"/>
    </row>
    <row r="2745" spans="14:15" x14ac:dyDescent="0.35">
      <c r="N2745"/>
      <c r="O2745"/>
    </row>
    <row r="2746" spans="14:15" x14ac:dyDescent="0.35">
      <c r="N2746"/>
      <c r="O2746"/>
    </row>
    <row r="2747" spans="14:15" x14ac:dyDescent="0.35">
      <c r="N2747"/>
      <c r="O2747"/>
    </row>
    <row r="2748" spans="14:15" x14ac:dyDescent="0.35">
      <c r="N2748"/>
      <c r="O2748"/>
    </row>
    <row r="2749" spans="14:15" x14ac:dyDescent="0.35">
      <c r="N2749"/>
      <c r="O2749"/>
    </row>
    <row r="2750" spans="14:15" x14ac:dyDescent="0.35">
      <c r="N2750"/>
      <c r="O2750"/>
    </row>
    <row r="2751" spans="14:15" x14ac:dyDescent="0.35">
      <c r="N2751"/>
      <c r="O2751"/>
    </row>
    <row r="2752" spans="14:15" x14ac:dyDescent="0.35">
      <c r="N2752"/>
      <c r="O2752"/>
    </row>
    <row r="2753" spans="14:15" x14ac:dyDescent="0.35">
      <c r="N2753"/>
      <c r="O2753"/>
    </row>
    <row r="2754" spans="14:15" x14ac:dyDescent="0.35">
      <c r="N2754"/>
      <c r="O2754"/>
    </row>
    <row r="2755" spans="14:15" x14ac:dyDescent="0.35">
      <c r="N2755"/>
      <c r="O2755"/>
    </row>
    <row r="2756" spans="14:15" x14ac:dyDescent="0.35">
      <c r="N2756"/>
      <c r="O2756"/>
    </row>
    <row r="2757" spans="14:15" x14ac:dyDescent="0.35">
      <c r="N2757"/>
      <c r="O2757"/>
    </row>
    <row r="2758" spans="14:15" x14ac:dyDescent="0.35">
      <c r="N2758"/>
      <c r="O2758"/>
    </row>
    <row r="2759" spans="14:15" x14ac:dyDescent="0.35">
      <c r="N2759"/>
      <c r="O2759"/>
    </row>
    <row r="2760" spans="14:15" x14ac:dyDescent="0.35">
      <c r="N2760"/>
      <c r="O2760"/>
    </row>
    <row r="2761" spans="14:15" x14ac:dyDescent="0.35">
      <c r="N2761"/>
      <c r="O2761"/>
    </row>
    <row r="2762" spans="14:15" x14ac:dyDescent="0.35">
      <c r="N2762"/>
      <c r="O2762"/>
    </row>
    <row r="2763" spans="14:15" x14ac:dyDescent="0.35">
      <c r="N2763"/>
      <c r="O2763"/>
    </row>
    <row r="2764" spans="14:15" x14ac:dyDescent="0.35">
      <c r="N2764"/>
      <c r="O2764"/>
    </row>
    <row r="2765" spans="14:15" x14ac:dyDescent="0.35">
      <c r="N2765"/>
      <c r="O2765"/>
    </row>
    <row r="2766" spans="14:15" x14ac:dyDescent="0.35">
      <c r="N2766"/>
      <c r="O2766"/>
    </row>
    <row r="2767" spans="14:15" x14ac:dyDescent="0.35">
      <c r="N2767"/>
      <c r="O2767"/>
    </row>
    <row r="2768" spans="14:15" x14ac:dyDescent="0.35">
      <c r="N2768"/>
      <c r="O2768"/>
    </row>
    <row r="2769" spans="14:15" x14ac:dyDescent="0.35">
      <c r="N2769"/>
      <c r="O2769"/>
    </row>
    <row r="2770" spans="14:15" x14ac:dyDescent="0.35">
      <c r="N2770"/>
      <c r="O2770"/>
    </row>
    <row r="2771" spans="14:15" x14ac:dyDescent="0.35">
      <c r="N2771"/>
      <c r="O2771"/>
    </row>
    <row r="2772" spans="14:15" x14ac:dyDescent="0.35">
      <c r="N2772"/>
      <c r="O2772"/>
    </row>
    <row r="2773" spans="14:15" x14ac:dyDescent="0.35">
      <c r="N2773"/>
      <c r="O2773"/>
    </row>
    <row r="2774" spans="14:15" x14ac:dyDescent="0.35">
      <c r="N2774"/>
      <c r="O2774"/>
    </row>
    <row r="2775" spans="14:15" x14ac:dyDescent="0.35">
      <c r="N2775"/>
      <c r="O2775"/>
    </row>
    <row r="2776" spans="14:15" x14ac:dyDescent="0.35">
      <c r="N2776"/>
      <c r="O2776"/>
    </row>
    <row r="2777" spans="14:15" x14ac:dyDescent="0.35">
      <c r="N2777"/>
      <c r="O2777"/>
    </row>
    <row r="2778" spans="14:15" x14ac:dyDescent="0.35">
      <c r="N2778"/>
      <c r="O2778"/>
    </row>
    <row r="2779" spans="14:15" x14ac:dyDescent="0.35">
      <c r="N2779"/>
      <c r="O2779"/>
    </row>
    <row r="2780" spans="14:15" x14ac:dyDescent="0.35">
      <c r="N2780"/>
      <c r="O2780"/>
    </row>
    <row r="2781" spans="14:15" x14ac:dyDescent="0.35">
      <c r="N2781"/>
      <c r="O2781"/>
    </row>
    <row r="2782" spans="14:15" x14ac:dyDescent="0.35">
      <c r="N2782"/>
      <c r="O2782"/>
    </row>
    <row r="2783" spans="14:15" x14ac:dyDescent="0.35">
      <c r="N2783"/>
      <c r="O2783"/>
    </row>
    <row r="2784" spans="14:15" x14ac:dyDescent="0.35">
      <c r="N2784"/>
      <c r="O2784"/>
    </row>
    <row r="2785" spans="14:15" x14ac:dyDescent="0.35">
      <c r="N2785"/>
      <c r="O2785"/>
    </row>
    <row r="2786" spans="14:15" x14ac:dyDescent="0.35">
      <c r="N2786"/>
      <c r="O2786"/>
    </row>
    <row r="2787" spans="14:15" x14ac:dyDescent="0.35">
      <c r="N2787"/>
      <c r="O2787"/>
    </row>
    <row r="2788" spans="14:15" x14ac:dyDescent="0.35">
      <c r="N2788"/>
      <c r="O2788"/>
    </row>
    <row r="2789" spans="14:15" x14ac:dyDescent="0.35">
      <c r="N2789"/>
      <c r="O2789"/>
    </row>
    <row r="2790" spans="14:15" x14ac:dyDescent="0.35">
      <c r="N2790"/>
      <c r="O2790"/>
    </row>
    <row r="2791" spans="14:15" x14ac:dyDescent="0.35">
      <c r="N2791"/>
      <c r="O2791"/>
    </row>
    <row r="2792" spans="14:15" x14ac:dyDescent="0.35">
      <c r="N2792"/>
      <c r="O2792"/>
    </row>
    <row r="2793" spans="14:15" x14ac:dyDescent="0.35">
      <c r="N2793"/>
      <c r="O2793"/>
    </row>
    <row r="2794" spans="14:15" x14ac:dyDescent="0.35">
      <c r="N2794"/>
      <c r="O2794"/>
    </row>
    <row r="2795" spans="14:15" x14ac:dyDescent="0.35">
      <c r="N2795"/>
      <c r="O2795"/>
    </row>
    <row r="2796" spans="14:15" x14ac:dyDescent="0.35">
      <c r="N2796"/>
      <c r="O2796"/>
    </row>
    <row r="2797" spans="14:15" x14ac:dyDescent="0.35">
      <c r="N2797"/>
      <c r="O2797"/>
    </row>
    <row r="2798" spans="14:15" x14ac:dyDescent="0.35">
      <c r="N2798"/>
      <c r="O2798"/>
    </row>
    <row r="2799" spans="14:15" x14ac:dyDescent="0.35">
      <c r="N2799"/>
      <c r="O2799"/>
    </row>
    <row r="2800" spans="14:15" x14ac:dyDescent="0.35">
      <c r="N2800"/>
      <c r="O2800"/>
    </row>
    <row r="2801" spans="14:15" x14ac:dyDescent="0.35">
      <c r="N2801"/>
      <c r="O2801"/>
    </row>
    <row r="2802" spans="14:15" x14ac:dyDescent="0.35">
      <c r="N2802"/>
      <c r="O2802"/>
    </row>
    <row r="2803" spans="14:15" x14ac:dyDescent="0.35">
      <c r="N2803"/>
      <c r="O2803"/>
    </row>
    <row r="2804" spans="14:15" x14ac:dyDescent="0.35">
      <c r="N2804"/>
      <c r="O2804"/>
    </row>
    <row r="2805" spans="14:15" x14ac:dyDescent="0.35">
      <c r="N2805"/>
      <c r="O2805"/>
    </row>
    <row r="2806" spans="14:15" x14ac:dyDescent="0.35">
      <c r="N2806"/>
      <c r="O2806"/>
    </row>
    <row r="2807" spans="14:15" x14ac:dyDescent="0.35">
      <c r="N2807"/>
      <c r="O2807"/>
    </row>
    <row r="2808" spans="14:15" x14ac:dyDescent="0.35">
      <c r="N2808"/>
      <c r="O2808"/>
    </row>
    <row r="2809" spans="14:15" x14ac:dyDescent="0.35">
      <c r="N2809"/>
      <c r="O2809"/>
    </row>
    <row r="2810" spans="14:15" x14ac:dyDescent="0.35">
      <c r="N2810"/>
      <c r="O2810"/>
    </row>
    <row r="2811" spans="14:15" x14ac:dyDescent="0.35">
      <c r="N2811"/>
      <c r="O2811"/>
    </row>
    <row r="2812" spans="14:15" x14ac:dyDescent="0.35">
      <c r="N2812"/>
      <c r="O2812"/>
    </row>
    <row r="2813" spans="14:15" x14ac:dyDescent="0.35">
      <c r="N2813"/>
      <c r="O2813"/>
    </row>
    <row r="2814" spans="14:15" x14ac:dyDescent="0.35">
      <c r="N2814"/>
      <c r="O2814"/>
    </row>
    <row r="2815" spans="14:15" x14ac:dyDescent="0.35">
      <c r="N2815"/>
      <c r="O2815"/>
    </row>
    <row r="2816" spans="14:15" x14ac:dyDescent="0.35">
      <c r="N2816"/>
      <c r="O2816"/>
    </row>
    <row r="2817" spans="14:15" x14ac:dyDescent="0.35">
      <c r="N2817"/>
      <c r="O2817"/>
    </row>
    <row r="2818" spans="14:15" x14ac:dyDescent="0.35">
      <c r="N2818"/>
      <c r="O2818"/>
    </row>
    <row r="2819" spans="14:15" x14ac:dyDescent="0.35">
      <c r="N2819"/>
      <c r="O2819"/>
    </row>
    <row r="2820" spans="14:15" x14ac:dyDescent="0.35">
      <c r="N2820"/>
      <c r="O2820"/>
    </row>
    <row r="2821" spans="14:15" x14ac:dyDescent="0.35">
      <c r="N2821"/>
      <c r="O2821"/>
    </row>
    <row r="2822" spans="14:15" x14ac:dyDescent="0.35">
      <c r="N2822"/>
      <c r="O2822"/>
    </row>
    <row r="2823" spans="14:15" x14ac:dyDescent="0.35">
      <c r="N2823"/>
      <c r="O2823"/>
    </row>
    <row r="2824" spans="14:15" x14ac:dyDescent="0.35">
      <c r="N2824"/>
      <c r="O2824"/>
    </row>
    <row r="2825" spans="14:15" x14ac:dyDescent="0.35">
      <c r="N2825"/>
      <c r="O2825"/>
    </row>
    <row r="2826" spans="14:15" x14ac:dyDescent="0.35">
      <c r="N2826"/>
      <c r="O2826"/>
    </row>
    <row r="2827" spans="14:15" x14ac:dyDescent="0.35">
      <c r="N2827"/>
      <c r="O2827"/>
    </row>
    <row r="2828" spans="14:15" x14ac:dyDescent="0.35">
      <c r="N2828"/>
      <c r="O2828"/>
    </row>
    <row r="2829" spans="14:15" x14ac:dyDescent="0.35">
      <c r="N2829"/>
      <c r="O2829"/>
    </row>
    <row r="2830" spans="14:15" x14ac:dyDescent="0.35">
      <c r="N2830"/>
      <c r="O2830"/>
    </row>
    <row r="2831" spans="14:15" x14ac:dyDescent="0.35">
      <c r="N2831"/>
      <c r="O2831"/>
    </row>
    <row r="2832" spans="14:15" x14ac:dyDescent="0.35">
      <c r="N2832"/>
      <c r="O2832"/>
    </row>
    <row r="2833" spans="14:15" x14ac:dyDescent="0.35">
      <c r="N2833"/>
      <c r="O2833"/>
    </row>
    <row r="2834" spans="14:15" x14ac:dyDescent="0.35">
      <c r="N2834"/>
      <c r="O2834"/>
    </row>
    <row r="2835" spans="14:15" x14ac:dyDescent="0.35">
      <c r="N2835"/>
      <c r="O2835"/>
    </row>
    <row r="2836" spans="14:15" x14ac:dyDescent="0.35">
      <c r="N2836"/>
      <c r="O2836"/>
    </row>
    <row r="2837" spans="14:15" x14ac:dyDescent="0.35">
      <c r="N2837"/>
      <c r="O2837"/>
    </row>
    <row r="2838" spans="14:15" x14ac:dyDescent="0.35">
      <c r="N2838"/>
      <c r="O2838"/>
    </row>
    <row r="2839" spans="14:15" x14ac:dyDescent="0.35">
      <c r="N2839"/>
      <c r="O2839"/>
    </row>
    <row r="2840" spans="14:15" x14ac:dyDescent="0.35">
      <c r="N2840"/>
      <c r="O2840"/>
    </row>
    <row r="2841" spans="14:15" x14ac:dyDescent="0.35">
      <c r="N2841"/>
      <c r="O2841"/>
    </row>
    <row r="2842" spans="14:15" x14ac:dyDescent="0.35">
      <c r="N2842"/>
      <c r="O2842"/>
    </row>
    <row r="2843" spans="14:15" x14ac:dyDescent="0.35">
      <c r="N2843"/>
      <c r="O2843"/>
    </row>
    <row r="2844" spans="14:15" x14ac:dyDescent="0.35">
      <c r="N2844"/>
      <c r="O2844"/>
    </row>
    <row r="2845" spans="14:15" x14ac:dyDescent="0.35">
      <c r="N2845"/>
      <c r="O2845"/>
    </row>
    <row r="2846" spans="14:15" x14ac:dyDescent="0.35">
      <c r="N2846"/>
      <c r="O2846"/>
    </row>
    <row r="2847" spans="14:15" x14ac:dyDescent="0.35">
      <c r="N2847"/>
      <c r="O2847"/>
    </row>
    <row r="2848" spans="14:15" x14ac:dyDescent="0.35">
      <c r="N2848"/>
      <c r="O2848"/>
    </row>
    <row r="2849" spans="14:15" x14ac:dyDescent="0.35">
      <c r="N2849"/>
      <c r="O2849"/>
    </row>
    <row r="2850" spans="14:15" x14ac:dyDescent="0.35">
      <c r="N2850"/>
      <c r="O2850"/>
    </row>
    <row r="2851" spans="14:15" x14ac:dyDescent="0.35">
      <c r="N2851"/>
      <c r="O2851"/>
    </row>
    <row r="2852" spans="14:15" x14ac:dyDescent="0.35">
      <c r="N2852"/>
      <c r="O2852"/>
    </row>
    <row r="2853" spans="14:15" x14ac:dyDescent="0.35">
      <c r="N2853"/>
      <c r="O2853"/>
    </row>
    <row r="2854" spans="14:15" x14ac:dyDescent="0.35">
      <c r="N2854"/>
      <c r="O2854"/>
    </row>
    <row r="2855" spans="14:15" x14ac:dyDescent="0.35">
      <c r="N2855"/>
      <c r="O2855"/>
    </row>
    <row r="2856" spans="14:15" x14ac:dyDescent="0.35">
      <c r="N2856"/>
      <c r="O2856"/>
    </row>
    <row r="2857" spans="14:15" x14ac:dyDescent="0.35">
      <c r="N2857"/>
      <c r="O2857"/>
    </row>
    <row r="2858" spans="14:15" x14ac:dyDescent="0.35">
      <c r="N2858"/>
      <c r="O2858"/>
    </row>
    <row r="2859" spans="14:15" x14ac:dyDescent="0.35">
      <c r="N2859"/>
      <c r="O2859"/>
    </row>
    <row r="2860" spans="14:15" x14ac:dyDescent="0.35">
      <c r="N2860"/>
      <c r="O2860"/>
    </row>
    <row r="2861" spans="14:15" x14ac:dyDescent="0.35">
      <c r="N2861"/>
      <c r="O2861"/>
    </row>
    <row r="2862" spans="14:15" x14ac:dyDescent="0.35">
      <c r="N2862"/>
      <c r="O2862"/>
    </row>
    <row r="2863" spans="14:15" x14ac:dyDescent="0.35">
      <c r="N2863"/>
      <c r="O2863"/>
    </row>
    <row r="2864" spans="14:15" x14ac:dyDescent="0.35">
      <c r="N2864"/>
      <c r="O2864"/>
    </row>
    <row r="2865" spans="14:15" x14ac:dyDescent="0.35">
      <c r="N2865"/>
      <c r="O2865"/>
    </row>
    <row r="2866" spans="14:15" x14ac:dyDescent="0.35">
      <c r="N2866"/>
      <c r="O2866"/>
    </row>
    <row r="2867" spans="14:15" x14ac:dyDescent="0.35">
      <c r="N2867"/>
      <c r="O2867"/>
    </row>
    <row r="2868" spans="14:15" x14ac:dyDescent="0.35">
      <c r="N2868"/>
      <c r="O2868"/>
    </row>
    <row r="2869" spans="14:15" x14ac:dyDescent="0.35">
      <c r="N2869"/>
      <c r="O2869"/>
    </row>
    <row r="2870" spans="14:15" x14ac:dyDescent="0.35">
      <c r="N2870"/>
      <c r="O2870"/>
    </row>
    <row r="2871" spans="14:15" x14ac:dyDescent="0.35">
      <c r="N2871"/>
      <c r="O2871"/>
    </row>
    <row r="2872" spans="14:15" x14ac:dyDescent="0.35">
      <c r="N2872"/>
      <c r="O2872"/>
    </row>
    <row r="2873" spans="14:15" x14ac:dyDescent="0.35">
      <c r="N2873"/>
      <c r="O2873"/>
    </row>
    <row r="2874" spans="14:15" x14ac:dyDescent="0.35">
      <c r="N2874"/>
      <c r="O2874"/>
    </row>
    <row r="2875" spans="14:15" x14ac:dyDescent="0.35">
      <c r="N2875"/>
      <c r="O2875"/>
    </row>
    <row r="2876" spans="14:15" x14ac:dyDescent="0.35">
      <c r="N2876"/>
      <c r="O2876"/>
    </row>
    <row r="2877" spans="14:15" x14ac:dyDescent="0.35">
      <c r="N2877"/>
      <c r="O2877"/>
    </row>
    <row r="2878" spans="14:15" x14ac:dyDescent="0.35">
      <c r="N2878"/>
      <c r="O2878"/>
    </row>
    <row r="2879" spans="14:15" x14ac:dyDescent="0.35">
      <c r="N2879"/>
      <c r="O2879"/>
    </row>
    <row r="2880" spans="14:15" x14ac:dyDescent="0.35">
      <c r="N2880"/>
      <c r="O2880"/>
    </row>
    <row r="2881" spans="14:15" x14ac:dyDescent="0.35">
      <c r="N2881"/>
      <c r="O2881"/>
    </row>
    <row r="2882" spans="14:15" x14ac:dyDescent="0.35">
      <c r="N2882"/>
      <c r="O2882"/>
    </row>
    <row r="2883" spans="14:15" x14ac:dyDescent="0.35">
      <c r="N2883"/>
      <c r="O2883"/>
    </row>
    <row r="2884" spans="14:15" x14ac:dyDescent="0.35">
      <c r="N2884"/>
      <c r="O2884"/>
    </row>
    <row r="2885" spans="14:15" x14ac:dyDescent="0.35">
      <c r="N2885"/>
      <c r="O2885"/>
    </row>
    <row r="2886" spans="14:15" x14ac:dyDescent="0.35">
      <c r="N2886"/>
      <c r="O2886"/>
    </row>
    <row r="2887" spans="14:15" x14ac:dyDescent="0.35">
      <c r="N2887"/>
      <c r="O2887"/>
    </row>
    <row r="2888" spans="14:15" x14ac:dyDescent="0.35">
      <c r="N2888"/>
      <c r="O2888"/>
    </row>
    <row r="2889" spans="14:15" x14ac:dyDescent="0.35">
      <c r="N2889"/>
      <c r="O2889"/>
    </row>
    <row r="2890" spans="14:15" x14ac:dyDescent="0.35">
      <c r="N2890"/>
      <c r="O2890"/>
    </row>
    <row r="2891" spans="14:15" x14ac:dyDescent="0.35">
      <c r="N2891"/>
      <c r="O2891"/>
    </row>
    <row r="2892" spans="14:15" x14ac:dyDescent="0.35">
      <c r="N2892"/>
      <c r="O2892"/>
    </row>
    <row r="2893" spans="14:15" x14ac:dyDescent="0.35">
      <c r="N2893"/>
      <c r="O2893"/>
    </row>
    <row r="2894" spans="14:15" x14ac:dyDescent="0.35">
      <c r="N2894"/>
      <c r="O2894"/>
    </row>
    <row r="2895" spans="14:15" x14ac:dyDescent="0.35">
      <c r="N2895"/>
      <c r="O2895"/>
    </row>
    <row r="2896" spans="14:15" x14ac:dyDescent="0.35">
      <c r="N2896"/>
      <c r="O2896"/>
    </row>
    <row r="2897" spans="14:15" x14ac:dyDescent="0.35">
      <c r="N2897"/>
      <c r="O2897"/>
    </row>
    <row r="2898" spans="14:15" x14ac:dyDescent="0.35">
      <c r="N2898"/>
      <c r="O2898"/>
    </row>
    <row r="2899" spans="14:15" x14ac:dyDescent="0.35">
      <c r="N2899"/>
      <c r="O2899"/>
    </row>
    <row r="2900" spans="14:15" x14ac:dyDescent="0.35">
      <c r="N2900"/>
      <c r="O2900"/>
    </row>
    <row r="2901" spans="14:15" x14ac:dyDescent="0.35">
      <c r="N2901"/>
      <c r="O2901"/>
    </row>
    <row r="2902" spans="14:15" x14ac:dyDescent="0.35">
      <c r="N2902"/>
      <c r="O2902"/>
    </row>
    <row r="2903" spans="14:15" x14ac:dyDescent="0.35">
      <c r="N2903"/>
      <c r="O2903"/>
    </row>
    <row r="2904" spans="14:15" x14ac:dyDescent="0.35">
      <c r="N2904"/>
      <c r="O2904"/>
    </row>
    <row r="2905" spans="14:15" x14ac:dyDescent="0.35">
      <c r="N2905"/>
      <c r="O2905"/>
    </row>
    <row r="2906" spans="14:15" x14ac:dyDescent="0.35">
      <c r="N2906"/>
      <c r="O2906"/>
    </row>
    <row r="2907" spans="14:15" x14ac:dyDescent="0.35">
      <c r="N2907"/>
      <c r="O2907"/>
    </row>
    <row r="2908" spans="14:15" x14ac:dyDescent="0.35">
      <c r="N2908"/>
      <c r="O2908"/>
    </row>
    <row r="2909" spans="14:15" x14ac:dyDescent="0.35">
      <c r="N2909"/>
      <c r="O2909"/>
    </row>
    <row r="2910" spans="14:15" x14ac:dyDescent="0.35">
      <c r="N2910"/>
      <c r="O2910"/>
    </row>
    <row r="2911" spans="14:15" x14ac:dyDescent="0.35">
      <c r="N2911"/>
      <c r="O2911"/>
    </row>
    <row r="2912" spans="14:15" x14ac:dyDescent="0.35">
      <c r="N2912"/>
      <c r="O2912"/>
    </row>
    <row r="2913" spans="14:15" x14ac:dyDescent="0.35">
      <c r="N2913"/>
      <c r="O2913"/>
    </row>
    <row r="2914" spans="14:15" x14ac:dyDescent="0.35">
      <c r="N2914"/>
      <c r="O2914"/>
    </row>
    <row r="2915" spans="14:15" x14ac:dyDescent="0.35">
      <c r="N2915"/>
      <c r="O2915"/>
    </row>
    <row r="2916" spans="14:15" x14ac:dyDescent="0.35">
      <c r="N2916"/>
      <c r="O2916"/>
    </row>
    <row r="2917" spans="14:15" x14ac:dyDescent="0.35">
      <c r="N2917"/>
      <c r="O2917"/>
    </row>
    <row r="2918" spans="14:15" x14ac:dyDescent="0.35">
      <c r="N2918"/>
      <c r="O2918"/>
    </row>
    <row r="2919" spans="14:15" x14ac:dyDescent="0.35">
      <c r="N2919"/>
      <c r="O2919"/>
    </row>
    <row r="2920" spans="14:15" x14ac:dyDescent="0.35">
      <c r="N2920"/>
      <c r="O2920"/>
    </row>
    <row r="2921" spans="14:15" x14ac:dyDescent="0.35">
      <c r="N2921"/>
      <c r="O2921"/>
    </row>
    <row r="2922" spans="14:15" x14ac:dyDescent="0.35">
      <c r="N2922"/>
      <c r="O2922"/>
    </row>
    <row r="2923" spans="14:15" x14ac:dyDescent="0.35">
      <c r="N2923"/>
      <c r="O2923"/>
    </row>
    <row r="2924" spans="14:15" x14ac:dyDescent="0.35">
      <c r="N2924"/>
      <c r="O2924"/>
    </row>
    <row r="2925" spans="14:15" x14ac:dyDescent="0.35">
      <c r="N2925"/>
      <c r="O2925"/>
    </row>
    <row r="2926" spans="14:15" x14ac:dyDescent="0.35">
      <c r="N2926"/>
      <c r="O2926"/>
    </row>
    <row r="2927" spans="14:15" x14ac:dyDescent="0.35">
      <c r="N2927"/>
      <c r="O2927"/>
    </row>
    <row r="2928" spans="14:15" x14ac:dyDescent="0.35">
      <c r="N2928"/>
      <c r="O2928"/>
    </row>
    <row r="2929" spans="14:15" x14ac:dyDescent="0.35">
      <c r="N2929"/>
      <c r="O2929"/>
    </row>
    <row r="2930" spans="14:15" x14ac:dyDescent="0.35">
      <c r="N2930"/>
      <c r="O2930"/>
    </row>
    <row r="2931" spans="14:15" x14ac:dyDescent="0.35">
      <c r="N2931"/>
      <c r="O2931"/>
    </row>
    <row r="2932" spans="14:15" x14ac:dyDescent="0.35">
      <c r="N2932"/>
      <c r="O2932"/>
    </row>
    <row r="2933" spans="14:15" x14ac:dyDescent="0.35">
      <c r="N2933"/>
      <c r="O2933"/>
    </row>
    <row r="2934" spans="14:15" x14ac:dyDescent="0.35">
      <c r="N2934"/>
      <c r="O2934"/>
    </row>
    <row r="2935" spans="14:15" x14ac:dyDescent="0.35">
      <c r="N2935"/>
      <c r="O2935"/>
    </row>
    <row r="2936" spans="14:15" x14ac:dyDescent="0.35">
      <c r="N2936"/>
      <c r="O2936"/>
    </row>
    <row r="2937" spans="14:15" x14ac:dyDescent="0.35">
      <c r="N2937"/>
      <c r="O2937"/>
    </row>
    <row r="2938" spans="14:15" x14ac:dyDescent="0.35">
      <c r="N2938"/>
      <c r="O2938"/>
    </row>
    <row r="2939" spans="14:15" x14ac:dyDescent="0.35">
      <c r="N2939"/>
      <c r="O2939"/>
    </row>
    <row r="2940" spans="14:15" x14ac:dyDescent="0.35">
      <c r="N2940"/>
      <c r="O2940"/>
    </row>
    <row r="2941" spans="14:15" x14ac:dyDescent="0.35">
      <c r="N2941"/>
      <c r="O2941"/>
    </row>
    <row r="2942" spans="14:15" x14ac:dyDescent="0.35">
      <c r="N2942"/>
      <c r="O2942"/>
    </row>
    <row r="2943" spans="14:15" x14ac:dyDescent="0.35">
      <c r="N2943"/>
      <c r="O2943"/>
    </row>
    <row r="2944" spans="14:15" x14ac:dyDescent="0.35">
      <c r="N2944"/>
      <c r="O2944"/>
    </row>
    <row r="2945" spans="14:15" x14ac:dyDescent="0.35">
      <c r="N2945"/>
      <c r="O2945"/>
    </row>
    <row r="2946" spans="14:15" x14ac:dyDescent="0.35">
      <c r="N2946"/>
      <c r="O2946"/>
    </row>
    <row r="2947" spans="14:15" x14ac:dyDescent="0.35">
      <c r="N2947"/>
      <c r="O2947"/>
    </row>
    <row r="2948" spans="14:15" x14ac:dyDescent="0.35">
      <c r="N2948"/>
      <c r="O2948"/>
    </row>
    <row r="2949" spans="14:15" x14ac:dyDescent="0.35">
      <c r="N2949"/>
      <c r="O2949"/>
    </row>
    <row r="2950" spans="14:15" x14ac:dyDescent="0.35">
      <c r="N2950"/>
      <c r="O2950"/>
    </row>
    <row r="2951" spans="14:15" x14ac:dyDescent="0.35">
      <c r="N2951"/>
      <c r="O2951"/>
    </row>
    <row r="2952" spans="14:15" x14ac:dyDescent="0.35">
      <c r="N2952"/>
      <c r="O2952"/>
    </row>
    <row r="2953" spans="14:15" x14ac:dyDescent="0.35">
      <c r="N2953"/>
      <c r="O2953"/>
    </row>
    <row r="2954" spans="14:15" x14ac:dyDescent="0.35">
      <c r="N2954"/>
      <c r="O2954"/>
    </row>
    <row r="2955" spans="14:15" x14ac:dyDescent="0.35">
      <c r="N2955"/>
      <c r="O2955"/>
    </row>
    <row r="2956" spans="14:15" x14ac:dyDescent="0.35">
      <c r="N2956"/>
      <c r="O2956"/>
    </row>
    <row r="2957" spans="14:15" x14ac:dyDescent="0.35">
      <c r="N2957"/>
      <c r="O2957"/>
    </row>
    <row r="2958" spans="14:15" x14ac:dyDescent="0.35">
      <c r="N2958"/>
      <c r="O2958"/>
    </row>
    <row r="2959" spans="14:15" x14ac:dyDescent="0.35">
      <c r="N2959"/>
      <c r="O2959"/>
    </row>
    <row r="2960" spans="14:15" x14ac:dyDescent="0.35">
      <c r="N2960"/>
      <c r="O2960"/>
    </row>
    <row r="2961" spans="1:25" x14ac:dyDescent="0.35">
      <c r="N2961"/>
      <c r="O2961"/>
    </row>
    <row r="2962" spans="1:25" x14ac:dyDescent="0.35">
      <c r="N2962"/>
      <c r="O2962"/>
    </row>
    <row r="2963" spans="1:25" x14ac:dyDescent="0.35">
      <c r="N2963"/>
      <c r="O2963"/>
    </row>
    <row r="2964" spans="1:25" x14ac:dyDescent="0.35">
      <c r="N2964"/>
      <c r="O2964"/>
    </row>
    <row r="2965" spans="1:25" x14ac:dyDescent="0.35">
      <c r="N2965"/>
      <c r="O2965"/>
    </row>
    <row r="2966" spans="1:25" x14ac:dyDescent="0.35">
      <c r="N2966"/>
      <c r="O2966"/>
    </row>
    <row r="2967" spans="1:25" x14ac:dyDescent="0.35">
      <c r="N2967"/>
      <c r="O2967"/>
    </row>
    <row r="2968" spans="1:25" x14ac:dyDescent="0.35">
      <c r="N2968"/>
      <c r="O2968"/>
    </row>
    <row r="2969" spans="1:25" x14ac:dyDescent="0.35">
      <c r="N2969"/>
      <c r="O2969"/>
    </row>
    <row r="2970" spans="1:25" x14ac:dyDescent="0.35">
      <c r="N2970"/>
      <c r="O2970"/>
    </row>
    <row r="2971" spans="1:25" x14ac:dyDescent="0.35">
      <c r="N2971"/>
      <c r="O2971"/>
    </row>
    <row r="2972" spans="1:25" x14ac:dyDescent="0.35">
      <c r="N2972"/>
      <c r="O2972"/>
    </row>
    <row r="2973" spans="1:25" x14ac:dyDescent="0.35">
      <c r="N2973"/>
      <c r="O2973"/>
    </row>
    <row r="2974" spans="1:25" x14ac:dyDescent="0.35">
      <c r="N2974"/>
      <c r="O2974"/>
    </row>
    <row r="2975" spans="1:25" s="14" customFormat="1" x14ac:dyDescent="0.35">
      <c r="A2975" s="5"/>
      <c r="B2975" s="5"/>
      <c r="C2975" s="5"/>
      <c r="D2975" s="6"/>
      <c r="E2975" s="5"/>
      <c r="F2975" s="6"/>
      <c r="G2975" s="5"/>
      <c r="H2975" s="5"/>
      <c r="I2975" s="5"/>
      <c r="J2975" s="5"/>
      <c r="M2975" s="5"/>
      <c r="N2975"/>
      <c r="O2975"/>
      <c r="P2975" s="5"/>
      <c r="Q2975" s="5"/>
      <c r="R2975" s="5"/>
      <c r="S2975" s="5"/>
      <c r="T2975" s="5"/>
      <c r="U2975" s="5"/>
      <c r="V2975" s="5"/>
      <c r="W2975" s="5"/>
      <c r="X2975" s="5"/>
      <c r="Y2975" s="5"/>
    </row>
    <row r="2976" spans="1:25" x14ac:dyDescent="0.35">
      <c r="N2976"/>
      <c r="O2976"/>
    </row>
    <row r="2977" spans="14:15" x14ac:dyDescent="0.35">
      <c r="N2977"/>
      <c r="O2977"/>
    </row>
    <row r="2978" spans="14:15" x14ac:dyDescent="0.35">
      <c r="N2978"/>
      <c r="O2978"/>
    </row>
    <row r="2979" spans="14:15" x14ac:dyDescent="0.35">
      <c r="N2979"/>
      <c r="O2979"/>
    </row>
    <row r="2980" spans="14:15" x14ac:dyDescent="0.35">
      <c r="N2980"/>
      <c r="O2980"/>
    </row>
    <row r="2981" spans="14:15" x14ac:dyDescent="0.35">
      <c r="N2981"/>
      <c r="O2981"/>
    </row>
    <row r="2982" spans="14:15" x14ac:dyDescent="0.35">
      <c r="N2982"/>
      <c r="O2982"/>
    </row>
    <row r="2983" spans="14:15" x14ac:dyDescent="0.35">
      <c r="N2983"/>
      <c r="O2983"/>
    </row>
    <row r="2984" spans="14:15" x14ac:dyDescent="0.35">
      <c r="N2984"/>
      <c r="O2984"/>
    </row>
    <row r="2985" spans="14:15" x14ac:dyDescent="0.35">
      <c r="N2985"/>
      <c r="O2985"/>
    </row>
    <row r="2986" spans="14:15" x14ac:dyDescent="0.35">
      <c r="N2986"/>
      <c r="O2986"/>
    </row>
    <row r="2987" spans="14:15" x14ac:dyDescent="0.35">
      <c r="N2987"/>
      <c r="O2987"/>
    </row>
    <row r="2988" spans="14:15" x14ac:dyDescent="0.35">
      <c r="N2988"/>
      <c r="O2988"/>
    </row>
    <row r="2989" spans="14:15" x14ac:dyDescent="0.35">
      <c r="N2989"/>
      <c r="O2989"/>
    </row>
    <row r="2990" spans="14:15" x14ac:dyDescent="0.35">
      <c r="N2990"/>
      <c r="O2990"/>
    </row>
    <row r="2991" spans="14:15" x14ac:dyDescent="0.35">
      <c r="N2991"/>
      <c r="O2991"/>
    </row>
    <row r="2992" spans="14:15" x14ac:dyDescent="0.35">
      <c r="N2992"/>
      <c r="O2992"/>
    </row>
    <row r="2993" spans="14:15" x14ac:dyDescent="0.35">
      <c r="N2993"/>
      <c r="O2993"/>
    </row>
    <row r="2994" spans="14:15" x14ac:dyDescent="0.35">
      <c r="N2994"/>
      <c r="O2994"/>
    </row>
    <row r="2995" spans="14:15" x14ac:dyDescent="0.35">
      <c r="N2995"/>
      <c r="O2995"/>
    </row>
    <row r="2996" spans="14:15" x14ac:dyDescent="0.35">
      <c r="N2996"/>
      <c r="O2996"/>
    </row>
    <row r="2997" spans="14:15" x14ac:dyDescent="0.35">
      <c r="N2997"/>
      <c r="O2997"/>
    </row>
    <row r="2998" spans="14:15" x14ac:dyDescent="0.35">
      <c r="N2998"/>
      <c r="O2998"/>
    </row>
    <row r="2999" spans="14:15" x14ac:dyDescent="0.35">
      <c r="N2999"/>
      <c r="O2999"/>
    </row>
    <row r="3000" spans="14:15" x14ac:dyDescent="0.35">
      <c r="N3000"/>
      <c r="O3000"/>
    </row>
    <row r="3001" spans="14:15" x14ac:dyDescent="0.35">
      <c r="N3001"/>
      <c r="O3001"/>
    </row>
    <row r="3002" spans="14:15" x14ac:dyDescent="0.35">
      <c r="N3002"/>
      <c r="O3002"/>
    </row>
    <row r="3003" spans="14:15" x14ac:dyDescent="0.35">
      <c r="N3003"/>
      <c r="O3003"/>
    </row>
    <row r="3004" spans="14:15" x14ac:dyDescent="0.35">
      <c r="N3004"/>
      <c r="O3004"/>
    </row>
    <row r="3005" spans="14:15" x14ac:dyDescent="0.35">
      <c r="N3005"/>
      <c r="O3005"/>
    </row>
    <row r="3006" spans="14:15" x14ac:dyDescent="0.35">
      <c r="N3006"/>
      <c r="O3006"/>
    </row>
    <row r="3007" spans="14:15" x14ac:dyDescent="0.35">
      <c r="N3007"/>
      <c r="O3007"/>
    </row>
    <row r="3008" spans="14:15" x14ac:dyDescent="0.35">
      <c r="N3008"/>
      <c r="O3008"/>
    </row>
    <row r="3009" spans="1:25" x14ac:dyDescent="0.35">
      <c r="N3009"/>
      <c r="O3009"/>
    </row>
    <row r="3010" spans="1:25" x14ac:dyDescent="0.35">
      <c r="N3010"/>
      <c r="O3010"/>
    </row>
    <row r="3011" spans="1:25" x14ac:dyDescent="0.35">
      <c r="N3011"/>
      <c r="O3011"/>
    </row>
    <row r="3012" spans="1:25" x14ac:dyDescent="0.35">
      <c r="N3012"/>
      <c r="O3012"/>
    </row>
    <row r="3013" spans="1:25" x14ac:dyDescent="0.35">
      <c r="N3013"/>
      <c r="O3013"/>
    </row>
    <row r="3014" spans="1:25" x14ac:dyDescent="0.35">
      <c r="N3014"/>
      <c r="O3014"/>
    </row>
    <row r="3015" spans="1:25" x14ac:dyDescent="0.35">
      <c r="N3015"/>
      <c r="O3015"/>
    </row>
    <row r="3016" spans="1:25" x14ac:dyDescent="0.35">
      <c r="N3016"/>
      <c r="O3016"/>
    </row>
    <row r="3017" spans="1:25" x14ac:dyDescent="0.35">
      <c r="N3017"/>
      <c r="O3017"/>
    </row>
    <row r="3018" spans="1:25" x14ac:dyDescent="0.35">
      <c r="N3018"/>
      <c r="O3018"/>
    </row>
    <row r="3019" spans="1:25" x14ac:dyDescent="0.35">
      <c r="N3019"/>
      <c r="O3019"/>
    </row>
    <row r="3020" spans="1:25" x14ac:dyDescent="0.35">
      <c r="N3020"/>
      <c r="O3020"/>
    </row>
    <row r="3021" spans="1:25" x14ac:dyDescent="0.35">
      <c r="N3021"/>
      <c r="O3021"/>
    </row>
    <row r="3022" spans="1:25" s="14" customFormat="1" x14ac:dyDescent="0.35">
      <c r="A3022" s="5"/>
      <c r="B3022" s="5"/>
      <c r="C3022" s="5"/>
      <c r="D3022" s="6"/>
      <c r="E3022" s="5"/>
      <c r="F3022" s="6"/>
      <c r="G3022" s="5"/>
      <c r="H3022" s="5"/>
      <c r="I3022" s="5"/>
      <c r="J3022" s="5"/>
      <c r="M3022" s="5"/>
      <c r="N3022"/>
      <c r="O3022"/>
      <c r="P3022" s="5"/>
      <c r="Q3022" s="5"/>
      <c r="R3022" s="5"/>
      <c r="S3022" s="5"/>
      <c r="T3022" s="5"/>
      <c r="U3022" s="5"/>
      <c r="V3022" s="5"/>
      <c r="W3022" s="5"/>
      <c r="X3022" s="5"/>
      <c r="Y3022" s="5"/>
    </row>
    <row r="3023" spans="1:25" x14ac:dyDescent="0.35">
      <c r="N3023"/>
      <c r="O3023"/>
    </row>
    <row r="3024" spans="1:25" x14ac:dyDescent="0.35">
      <c r="N3024"/>
      <c r="O3024"/>
    </row>
    <row r="3025" spans="14:15" x14ac:dyDescent="0.35">
      <c r="N3025"/>
      <c r="O3025"/>
    </row>
    <row r="3026" spans="14:15" x14ac:dyDescent="0.35">
      <c r="N3026"/>
      <c r="O3026"/>
    </row>
    <row r="3027" spans="14:15" x14ac:dyDescent="0.35">
      <c r="N3027"/>
      <c r="O3027"/>
    </row>
    <row r="3028" spans="14:15" x14ac:dyDescent="0.35">
      <c r="N3028"/>
      <c r="O3028"/>
    </row>
    <row r="3029" spans="14:15" x14ac:dyDescent="0.35">
      <c r="N3029"/>
      <c r="O3029"/>
    </row>
    <row r="3030" spans="14:15" x14ac:dyDescent="0.35">
      <c r="N3030"/>
      <c r="O3030"/>
    </row>
    <row r="3031" spans="14:15" x14ac:dyDescent="0.35">
      <c r="N3031"/>
      <c r="O3031"/>
    </row>
    <row r="3032" spans="14:15" x14ac:dyDescent="0.35">
      <c r="N3032"/>
      <c r="O3032"/>
    </row>
    <row r="3033" spans="14:15" x14ac:dyDescent="0.35">
      <c r="N3033"/>
      <c r="O3033"/>
    </row>
    <row r="3034" spans="14:15" x14ac:dyDescent="0.35">
      <c r="N3034"/>
      <c r="O3034"/>
    </row>
    <row r="3035" spans="14:15" x14ac:dyDescent="0.35">
      <c r="N3035"/>
      <c r="O3035"/>
    </row>
    <row r="3036" spans="14:15" x14ac:dyDescent="0.35">
      <c r="N3036"/>
      <c r="O3036"/>
    </row>
    <row r="3037" spans="14:15" x14ac:dyDescent="0.35">
      <c r="N3037"/>
      <c r="O3037"/>
    </row>
    <row r="3038" spans="14:15" x14ac:dyDescent="0.35">
      <c r="N3038"/>
      <c r="O3038"/>
    </row>
    <row r="3039" spans="14:15" x14ac:dyDescent="0.35">
      <c r="N3039"/>
      <c r="O3039"/>
    </row>
    <row r="3040" spans="14:15" x14ac:dyDescent="0.35">
      <c r="N3040"/>
      <c r="O3040"/>
    </row>
    <row r="3041" spans="14:15" x14ac:dyDescent="0.35">
      <c r="N3041"/>
      <c r="O3041"/>
    </row>
    <row r="3042" spans="14:15" x14ac:dyDescent="0.35">
      <c r="N3042"/>
      <c r="O3042"/>
    </row>
    <row r="3043" spans="14:15" x14ac:dyDescent="0.35">
      <c r="N3043"/>
      <c r="O3043"/>
    </row>
    <row r="3044" spans="14:15" x14ac:dyDescent="0.35">
      <c r="N3044"/>
      <c r="O3044"/>
    </row>
    <row r="3045" spans="14:15" x14ac:dyDescent="0.35">
      <c r="N3045"/>
      <c r="O3045"/>
    </row>
    <row r="3046" spans="14:15" x14ac:dyDescent="0.35">
      <c r="N3046"/>
      <c r="O3046"/>
    </row>
    <row r="3047" spans="14:15" x14ac:dyDescent="0.35">
      <c r="N3047"/>
      <c r="O3047"/>
    </row>
    <row r="3048" spans="14:15" x14ac:dyDescent="0.35">
      <c r="N3048"/>
      <c r="O3048"/>
    </row>
    <row r="3049" spans="14:15" x14ac:dyDescent="0.35">
      <c r="N3049"/>
      <c r="O3049"/>
    </row>
    <row r="3050" spans="14:15" x14ac:dyDescent="0.35">
      <c r="N3050"/>
      <c r="O3050"/>
    </row>
    <row r="3051" spans="14:15" x14ac:dyDescent="0.35">
      <c r="N3051"/>
      <c r="O3051"/>
    </row>
    <row r="3052" spans="14:15" x14ac:dyDescent="0.35">
      <c r="N3052"/>
      <c r="O3052"/>
    </row>
    <row r="3053" spans="14:15" x14ac:dyDescent="0.35">
      <c r="N3053"/>
      <c r="O3053"/>
    </row>
    <row r="3054" spans="14:15" x14ac:dyDescent="0.35">
      <c r="N3054"/>
      <c r="O3054"/>
    </row>
    <row r="3055" spans="14:15" x14ac:dyDescent="0.35">
      <c r="N3055"/>
      <c r="O3055"/>
    </row>
    <row r="3056" spans="14:15" x14ac:dyDescent="0.35">
      <c r="N3056"/>
      <c r="O3056"/>
    </row>
    <row r="3057" spans="14:15" x14ac:dyDescent="0.35">
      <c r="N3057"/>
      <c r="O3057"/>
    </row>
    <row r="3058" spans="14:15" x14ac:dyDescent="0.35">
      <c r="N3058"/>
      <c r="O3058"/>
    </row>
    <row r="3059" spans="14:15" x14ac:dyDescent="0.35">
      <c r="N3059"/>
      <c r="O3059"/>
    </row>
    <row r="3060" spans="14:15" x14ac:dyDescent="0.35">
      <c r="N3060"/>
      <c r="O3060"/>
    </row>
    <row r="3061" spans="14:15" x14ac:dyDescent="0.35">
      <c r="N3061"/>
      <c r="O3061"/>
    </row>
    <row r="3062" spans="14:15" x14ac:dyDescent="0.35">
      <c r="N3062"/>
      <c r="O3062"/>
    </row>
    <row r="3063" spans="14:15" x14ac:dyDescent="0.35">
      <c r="N3063"/>
      <c r="O3063"/>
    </row>
    <row r="3064" spans="14:15" x14ac:dyDescent="0.35">
      <c r="N3064"/>
      <c r="O3064"/>
    </row>
    <row r="3065" spans="14:15" x14ac:dyDescent="0.35">
      <c r="N3065"/>
      <c r="O3065"/>
    </row>
    <row r="3066" spans="14:15" x14ac:dyDescent="0.35">
      <c r="N3066"/>
      <c r="O3066"/>
    </row>
    <row r="3067" spans="14:15" x14ac:dyDescent="0.35">
      <c r="N3067"/>
      <c r="O3067"/>
    </row>
    <row r="3068" spans="14:15" x14ac:dyDescent="0.35">
      <c r="N3068"/>
      <c r="O3068"/>
    </row>
    <row r="3069" spans="14:15" x14ac:dyDescent="0.35">
      <c r="N3069"/>
      <c r="O3069"/>
    </row>
    <row r="3070" spans="14:15" x14ac:dyDescent="0.35">
      <c r="N3070"/>
      <c r="O3070"/>
    </row>
    <row r="3071" spans="14:15" x14ac:dyDescent="0.35">
      <c r="N3071"/>
      <c r="O3071"/>
    </row>
    <row r="3072" spans="14:15" x14ac:dyDescent="0.35">
      <c r="N3072"/>
      <c r="O3072"/>
    </row>
    <row r="3073" spans="14:15" x14ac:dyDescent="0.35">
      <c r="N3073"/>
      <c r="O3073"/>
    </row>
    <row r="3074" spans="14:15" x14ac:dyDescent="0.35">
      <c r="N3074"/>
      <c r="O3074"/>
    </row>
    <row r="3075" spans="14:15" x14ac:dyDescent="0.35">
      <c r="N3075"/>
      <c r="O3075"/>
    </row>
    <row r="3076" spans="14:15" x14ac:dyDescent="0.35">
      <c r="N3076"/>
      <c r="O3076"/>
    </row>
    <row r="3077" spans="14:15" x14ac:dyDescent="0.35">
      <c r="N3077"/>
      <c r="O3077"/>
    </row>
    <row r="3078" spans="14:15" x14ac:dyDescent="0.35">
      <c r="N3078"/>
      <c r="O3078"/>
    </row>
    <row r="3079" spans="14:15" x14ac:dyDescent="0.35">
      <c r="N3079"/>
      <c r="O3079"/>
    </row>
    <row r="3080" spans="14:15" x14ac:dyDescent="0.35">
      <c r="N3080"/>
      <c r="O3080"/>
    </row>
    <row r="3081" spans="14:15" x14ac:dyDescent="0.35">
      <c r="N3081"/>
      <c r="O3081"/>
    </row>
    <row r="3082" spans="14:15" x14ac:dyDescent="0.35">
      <c r="N3082"/>
      <c r="O3082"/>
    </row>
    <row r="3083" spans="14:15" x14ac:dyDescent="0.35">
      <c r="N3083"/>
      <c r="O3083"/>
    </row>
    <row r="3084" spans="14:15" x14ac:dyDescent="0.35">
      <c r="N3084"/>
      <c r="O3084"/>
    </row>
    <row r="3085" spans="14:15" x14ac:dyDescent="0.35">
      <c r="N3085"/>
      <c r="O3085"/>
    </row>
    <row r="3086" spans="14:15" x14ac:dyDescent="0.35">
      <c r="N3086"/>
      <c r="O3086"/>
    </row>
    <row r="3087" spans="14:15" x14ac:dyDescent="0.35">
      <c r="N3087"/>
      <c r="O3087"/>
    </row>
    <row r="3088" spans="14:15" x14ac:dyDescent="0.35">
      <c r="N3088"/>
      <c r="O3088"/>
    </row>
    <row r="3089" spans="13:25" x14ac:dyDescent="0.35">
      <c r="N3089"/>
      <c r="O3089"/>
    </row>
    <row r="3090" spans="13:25" x14ac:dyDescent="0.35">
      <c r="M3090" s="13"/>
      <c r="N3090"/>
      <c r="O3090"/>
      <c r="P3090" s="13"/>
      <c r="Q3090" s="13"/>
      <c r="R3090" s="13"/>
      <c r="S3090" s="13"/>
      <c r="T3090" s="13"/>
      <c r="U3090" s="13"/>
      <c r="V3090" s="13"/>
      <c r="W3090" s="13"/>
      <c r="X3090" s="13"/>
      <c r="Y3090" s="13"/>
    </row>
    <row r="3091" spans="13:25" x14ac:dyDescent="0.35">
      <c r="M3091" s="13"/>
      <c r="N3091"/>
      <c r="O3091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</row>
    <row r="3092" spans="13:25" x14ac:dyDescent="0.35">
      <c r="M3092" s="13"/>
      <c r="N3092"/>
      <c r="O3092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</row>
    <row r="3093" spans="13:25" x14ac:dyDescent="0.35">
      <c r="M3093" s="13"/>
      <c r="N3093"/>
      <c r="O309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</row>
    <row r="3094" spans="13:25" x14ac:dyDescent="0.35">
      <c r="M3094" s="13"/>
      <c r="N3094"/>
      <c r="O3094"/>
      <c r="P3094" s="13"/>
      <c r="Q3094" s="13"/>
      <c r="R3094" s="13"/>
      <c r="S3094" s="13"/>
      <c r="T3094" s="13"/>
      <c r="U3094" s="13"/>
      <c r="V3094" s="13"/>
      <c r="W3094" s="13"/>
      <c r="X3094" s="13"/>
      <c r="Y3094" s="13"/>
    </row>
    <row r="3095" spans="13:25" x14ac:dyDescent="0.35">
      <c r="M3095" s="13"/>
      <c r="N3095"/>
      <c r="O3095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</row>
    <row r="3096" spans="13:25" x14ac:dyDescent="0.35">
      <c r="M3096" s="13"/>
      <c r="N3096"/>
      <c r="O3096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</row>
    <row r="3097" spans="13:25" x14ac:dyDescent="0.35">
      <c r="M3097" s="13"/>
      <c r="N3097"/>
      <c r="O3097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</row>
    <row r="3098" spans="13:25" x14ac:dyDescent="0.35">
      <c r="M3098" s="13"/>
      <c r="N3098"/>
      <c r="O3098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</row>
    <row r="3099" spans="13:25" x14ac:dyDescent="0.35">
      <c r="M3099" s="13"/>
      <c r="N3099"/>
      <c r="O3099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</row>
    <row r="3100" spans="13:25" x14ac:dyDescent="0.35">
      <c r="N3100"/>
      <c r="O3100"/>
    </row>
    <row r="3101" spans="13:25" x14ac:dyDescent="0.35">
      <c r="N3101"/>
      <c r="O3101"/>
    </row>
    <row r="3102" spans="13:25" x14ac:dyDescent="0.35">
      <c r="N3102"/>
      <c r="O3102"/>
    </row>
    <row r="3103" spans="13:25" x14ac:dyDescent="0.35">
      <c r="N3103"/>
      <c r="O3103"/>
    </row>
    <row r="3104" spans="13:25" x14ac:dyDescent="0.35">
      <c r="N3104"/>
      <c r="O3104"/>
    </row>
    <row r="3105" spans="14:15" x14ac:dyDescent="0.35">
      <c r="N3105"/>
      <c r="O3105"/>
    </row>
    <row r="3106" spans="14:15" x14ac:dyDescent="0.35">
      <c r="N3106"/>
      <c r="O3106"/>
    </row>
    <row r="3107" spans="14:15" x14ac:dyDescent="0.35">
      <c r="N3107"/>
      <c r="O3107"/>
    </row>
    <row r="3108" spans="14:15" x14ac:dyDescent="0.35">
      <c r="N3108"/>
      <c r="O3108"/>
    </row>
    <row r="3109" spans="14:15" x14ac:dyDescent="0.35">
      <c r="N3109"/>
      <c r="O3109"/>
    </row>
    <row r="3110" spans="14:15" x14ac:dyDescent="0.35">
      <c r="N3110"/>
      <c r="O3110"/>
    </row>
    <row r="3111" spans="14:15" x14ac:dyDescent="0.35">
      <c r="N3111"/>
      <c r="O3111"/>
    </row>
    <row r="3112" spans="14:15" x14ac:dyDescent="0.35">
      <c r="N3112"/>
      <c r="O3112"/>
    </row>
    <row r="3113" spans="14:15" x14ac:dyDescent="0.35">
      <c r="N3113"/>
      <c r="O3113"/>
    </row>
    <row r="3114" spans="14:15" x14ac:dyDescent="0.35">
      <c r="N3114"/>
      <c r="O3114"/>
    </row>
    <row r="3115" spans="14:15" x14ac:dyDescent="0.35">
      <c r="N3115"/>
      <c r="O3115"/>
    </row>
    <row r="3116" spans="14:15" x14ac:dyDescent="0.35">
      <c r="N3116"/>
      <c r="O3116"/>
    </row>
    <row r="3117" spans="14:15" x14ac:dyDescent="0.35">
      <c r="N3117"/>
      <c r="O3117"/>
    </row>
    <row r="3118" spans="14:15" x14ac:dyDescent="0.35">
      <c r="N3118"/>
      <c r="O3118"/>
    </row>
    <row r="3119" spans="14:15" x14ac:dyDescent="0.35">
      <c r="N3119"/>
      <c r="O3119"/>
    </row>
    <row r="3120" spans="14:15" x14ac:dyDescent="0.35">
      <c r="N3120"/>
      <c r="O3120"/>
    </row>
    <row r="3121" spans="1:25" x14ac:dyDescent="0.35">
      <c r="N3121"/>
      <c r="O3121"/>
    </row>
    <row r="3122" spans="1:25" x14ac:dyDescent="0.35">
      <c r="N3122"/>
      <c r="O3122"/>
    </row>
    <row r="3123" spans="1:25" x14ac:dyDescent="0.35">
      <c r="N3123"/>
      <c r="O3123"/>
    </row>
    <row r="3124" spans="1:25" x14ac:dyDescent="0.35">
      <c r="N3124"/>
      <c r="O3124"/>
    </row>
    <row r="3125" spans="1:25" x14ac:dyDescent="0.35">
      <c r="N3125"/>
      <c r="O3125"/>
    </row>
    <row r="3126" spans="1:25" x14ac:dyDescent="0.35">
      <c r="N3126"/>
      <c r="O3126"/>
    </row>
    <row r="3127" spans="1:25" x14ac:dyDescent="0.35">
      <c r="M3127" s="13"/>
      <c r="N3127"/>
      <c r="O3127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</row>
    <row r="3128" spans="1:25" x14ac:dyDescent="0.35">
      <c r="M3128" s="13"/>
      <c r="N3128"/>
      <c r="O3128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</row>
    <row r="3129" spans="1:25" x14ac:dyDescent="0.35">
      <c r="M3129" s="13"/>
      <c r="N3129"/>
      <c r="O3129"/>
      <c r="P3129" s="13"/>
      <c r="Q3129" s="13"/>
      <c r="R3129" s="13"/>
      <c r="S3129" s="13"/>
      <c r="T3129" s="13"/>
      <c r="U3129" s="13"/>
      <c r="V3129" s="13"/>
      <c r="W3129" s="13"/>
      <c r="X3129" s="13"/>
      <c r="Y3129" s="13"/>
    </row>
    <row r="3130" spans="1:25" s="13" customFormat="1" x14ac:dyDescent="0.35">
      <c r="A3130" s="5"/>
      <c r="B3130" s="5"/>
      <c r="C3130" s="5"/>
      <c r="D3130" s="6"/>
      <c r="E3130" s="5"/>
      <c r="F3130" s="6"/>
      <c r="G3130" s="5"/>
      <c r="H3130" s="5"/>
      <c r="I3130" s="5"/>
      <c r="J3130" s="5"/>
      <c r="N3130"/>
      <c r="O3130"/>
    </row>
    <row r="3131" spans="1:25" x14ac:dyDescent="0.35">
      <c r="N3131"/>
      <c r="O3131"/>
    </row>
    <row r="3132" spans="1:25" x14ac:dyDescent="0.35">
      <c r="N3132"/>
      <c r="O3132"/>
    </row>
    <row r="3133" spans="1:25" x14ac:dyDescent="0.35">
      <c r="M3133" s="13"/>
      <c r="N3133"/>
      <c r="O313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</row>
    <row r="3134" spans="1:25" x14ac:dyDescent="0.35">
      <c r="M3134" s="13"/>
      <c r="N3134"/>
      <c r="O3134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</row>
    <row r="3135" spans="1:25" x14ac:dyDescent="0.35">
      <c r="M3135" s="13"/>
      <c r="N3135"/>
      <c r="O3135"/>
      <c r="P3135" s="13"/>
      <c r="Q3135" s="13"/>
      <c r="R3135" s="13"/>
      <c r="S3135" s="13"/>
      <c r="T3135" s="13"/>
      <c r="U3135" s="13"/>
      <c r="V3135" s="13"/>
      <c r="W3135" s="13"/>
      <c r="X3135" s="13"/>
      <c r="Y3135" s="13"/>
    </row>
    <row r="3136" spans="1:25" x14ac:dyDescent="0.35">
      <c r="M3136" s="13"/>
      <c r="N3136"/>
      <c r="O3136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</row>
    <row r="3137" spans="13:25" x14ac:dyDescent="0.35">
      <c r="M3137" s="13"/>
      <c r="N3137"/>
      <c r="O3137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</row>
    <row r="3138" spans="13:25" x14ac:dyDescent="0.35">
      <c r="M3138" s="13"/>
      <c r="N3138"/>
      <c r="O3138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</row>
    <row r="3139" spans="13:25" x14ac:dyDescent="0.35">
      <c r="M3139" s="13"/>
      <c r="N3139"/>
      <c r="O3139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</row>
    <row r="3140" spans="13:25" x14ac:dyDescent="0.35">
      <c r="M3140" s="13"/>
      <c r="N3140"/>
      <c r="O3140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</row>
    <row r="3141" spans="13:25" x14ac:dyDescent="0.35">
      <c r="M3141" s="13"/>
      <c r="N3141"/>
      <c r="O3141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</row>
    <row r="3142" spans="13:25" x14ac:dyDescent="0.35">
      <c r="M3142" s="13"/>
      <c r="N3142"/>
      <c r="O3142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</row>
    <row r="3143" spans="13:25" x14ac:dyDescent="0.35">
      <c r="N3143"/>
      <c r="O3143"/>
    </row>
    <row r="3144" spans="13:25" x14ac:dyDescent="0.35">
      <c r="N3144"/>
      <c r="O3144"/>
    </row>
    <row r="3145" spans="13:25" x14ac:dyDescent="0.35">
      <c r="N3145"/>
      <c r="O3145"/>
    </row>
    <row r="3146" spans="13:25" x14ac:dyDescent="0.35">
      <c r="N3146"/>
      <c r="O3146"/>
    </row>
    <row r="3147" spans="13:25" x14ac:dyDescent="0.35">
      <c r="N3147"/>
      <c r="O3147"/>
    </row>
    <row r="3148" spans="13:25" x14ac:dyDescent="0.35">
      <c r="N3148"/>
      <c r="O3148"/>
    </row>
    <row r="3149" spans="13:25" x14ac:dyDescent="0.35">
      <c r="N3149"/>
      <c r="O3149"/>
    </row>
    <row r="3150" spans="13:25" x14ac:dyDescent="0.35">
      <c r="N3150"/>
      <c r="O3150"/>
    </row>
    <row r="3151" spans="13:25" x14ac:dyDescent="0.35">
      <c r="N3151"/>
      <c r="O3151"/>
    </row>
    <row r="3152" spans="13:25" x14ac:dyDescent="0.35">
      <c r="N3152"/>
      <c r="O3152"/>
    </row>
    <row r="3153" spans="14:15" x14ac:dyDescent="0.35">
      <c r="N3153"/>
      <c r="O3153"/>
    </row>
    <row r="3154" spans="14:15" x14ac:dyDescent="0.35">
      <c r="N3154"/>
      <c r="O3154"/>
    </row>
    <row r="3155" spans="14:15" x14ac:dyDescent="0.35">
      <c r="N3155"/>
      <c r="O3155"/>
    </row>
    <row r="3156" spans="14:15" x14ac:dyDescent="0.35">
      <c r="N3156"/>
      <c r="O3156"/>
    </row>
    <row r="3157" spans="14:15" x14ac:dyDescent="0.35">
      <c r="N3157"/>
      <c r="O3157"/>
    </row>
    <row r="3158" spans="14:15" x14ac:dyDescent="0.35">
      <c r="N3158"/>
      <c r="O3158"/>
    </row>
    <row r="3159" spans="14:15" x14ac:dyDescent="0.35">
      <c r="N3159"/>
      <c r="O3159"/>
    </row>
    <row r="3160" spans="14:15" x14ac:dyDescent="0.35">
      <c r="N3160"/>
      <c r="O3160"/>
    </row>
    <row r="3161" spans="14:15" x14ac:dyDescent="0.35">
      <c r="N3161"/>
      <c r="O3161"/>
    </row>
    <row r="3162" spans="14:15" x14ac:dyDescent="0.35">
      <c r="N3162"/>
      <c r="O3162"/>
    </row>
    <row r="3163" spans="14:15" x14ac:dyDescent="0.35">
      <c r="N3163"/>
      <c r="O3163"/>
    </row>
    <row r="3164" spans="14:15" x14ac:dyDescent="0.35">
      <c r="N3164"/>
      <c r="O3164"/>
    </row>
    <row r="3165" spans="14:15" x14ac:dyDescent="0.35">
      <c r="N3165"/>
      <c r="O3165"/>
    </row>
    <row r="3166" spans="14:15" x14ac:dyDescent="0.35">
      <c r="N3166"/>
      <c r="O3166"/>
    </row>
    <row r="3167" spans="14:15" x14ac:dyDescent="0.35">
      <c r="N3167"/>
      <c r="O3167"/>
    </row>
    <row r="3168" spans="14:15" x14ac:dyDescent="0.35">
      <c r="N3168"/>
      <c r="O3168"/>
    </row>
    <row r="3169" spans="14:15" x14ac:dyDescent="0.35">
      <c r="N3169"/>
      <c r="O3169"/>
    </row>
    <row r="3170" spans="14:15" x14ac:dyDescent="0.35">
      <c r="N3170"/>
      <c r="O3170"/>
    </row>
    <row r="3171" spans="14:15" x14ac:dyDescent="0.35">
      <c r="N3171"/>
      <c r="O3171"/>
    </row>
    <row r="3172" spans="14:15" x14ac:dyDescent="0.35">
      <c r="N3172"/>
      <c r="O3172"/>
    </row>
    <row r="3173" spans="14:15" x14ac:dyDescent="0.35">
      <c r="N3173"/>
      <c r="O3173"/>
    </row>
    <row r="3174" spans="14:15" x14ac:dyDescent="0.35">
      <c r="N3174"/>
      <c r="O3174"/>
    </row>
    <row r="3175" spans="14:15" x14ac:dyDescent="0.35">
      <c r="N3175"/>
      <c r="O3175"/>
    </row>
    <row r="3176" spans="14:15" x14ac:dyDescent="0.35">
      <c r="N3176"/>
      <c r="O3176"/>
    </row>
    <row r="3177" spans="14:15" x14ac:dyDescent="0.35">
      <c r="N3177"/>
      <c r="O3177"/>
    </row>
    <row r="3178" spans="14:15" x14ac:dyDescent="0.35">
      <c r="N3178"/>
      <c r="O3178"/>
    </row>
    <row r="3179" spans="14:15" x14ac:dyDescent="0.35">
      <c r="N3179"/>
      <c r="O3179"/>
    </row>
    <row r="3180" spans="14:15" x14ac:dyDescent="0.35">
      <c r="N3180"/>
      <c r="O3180"/>
    </row>
    <row r="3181" spans="14:15" x14ac:dyDescent="0.35">
      <c r="N3181"/>
      <c r="O3181"/>
    </row>
    <row r="3182" spans="14:15" x14ac:dyDescent="0.35">
      <c r="N3182"/>
      <c r="O3182"/>
    </row>
    <row r="3183" spans="14:15" x14ac:dyDescent="0.35">
      <c r="N3183"/>
      <c r="O3183"/>
    </row>
    <row r="3184" spans="14:15" x14ac:dyDescent="0.35">
      <c r="N3184"/>
      <c r="O3184"/>
    </row>
    <row r="3185" spans="14:15" x14ac:dyDescent="0.35">
      <c r="N3185"/>
      <c r="O3185"/>
    </row>
    <row r="3186" spans="14:15" x14ac:dyDescent="0.35">
      <c r="N3186"/>
      <c r="O3186"/>
    </row>
    <row r="3187" spans="14:15" x14ac:dyDescent="0.35">
      <c r="N3187"/>
      <c r="O3187"/>
    </row>
    <row r="3188" spans="14:15" x14ac:dyDescent="0.35">
      <c r="N3188"/>
      <c r="O3188"/>
    </row>
    <row r="3189" spans="14:15" x14ac:dyDescent="0.35">
      <c r="N3189"/>
      <c r="O3189"/>
    </row>
    <row r="3190" spans="14:15" x14ac:dyDescent="0.35">
      <c r="N3190"/>
      <c r="O3190"/>
    </row>
    <row r="3191" spans="14:15" x14ac:dyDescent="0.35">
      <c r="N3191"/>
      <c r="O3191"/>
    </row>
    <row r="3192" spans="14:15" x14ac:dyDescent="0.35">
      <c r="N3192"/>
      <c r="O3192"/>
    </row>
    <row r="3193" spans="14:15" x14ac:dyDescent="0.35">
      <c r="N3193"/>
      <c r="O3193"/>
    </row>
    <row r="3194" spans="14:15" x14ac:dyDescent="0.35">
      <c r="N3194"/>
      <c r="O3194"/>
    </row>
    <row r="3195" spans="14:15" x14ac:dyDescent="0.35">
      <c r="N3195"/>
      <c r="O3195"/>
    </row>
    <row r="3196" spans="14:15" x14ac:dyDescent="0.35">
      <c r="N3196"/>
      <c r="O3196"/>
    </row>
    <row r="3197" spans="14:15" x14ac:dyDescent="0.35">
      <c r="N3197"/>
      <c r="O3197"/>
    </row>
    <row r="3198" spans="14:15" x14ac:dyDescent="0.35">
      <c r="N3198"/>
      <c r="O3198"/>
    </row>
    <row r="3199" spans="14:15" x14ac:dyDescent="0.35">
      <c r="N3199"/>
      <c r="O3199"/>
    </row>
    <row r="3200" spans="14:15" x14ac:dyDescent="0.35">
      <c r="N3200"/>
      <c r="O3200"/>
    </row>
    <row r="3201" spans="13:25" x14ac:dyDescent="0.35">
      <c r="N3201"/>
      <c r="O3201"/>
    </row>
    <row r="3202" spans="13:25" x14ac:dyDescent="0.35">
      <c r="N3202"/>
      <c r="O3202"/>
    </row>
    <row r="3203" spans="13:25" x14ac:dyDescent="0.35">
      <c r="N3203"/>
      <c r="O3203"/>
    </row>
    <row r="3204" spans="13:25" x14ac:dyDescent="0.35">
      <c r="N3204"/>
      <c r="O3204"/>
    </row>
    <row r="3205" spans="13:25" x14ac:dyDescent="0.35">
      <c r="N3205"/>
      <c r="O3205"/>
    </row>
    <row r="3206" spans="13:25" x14ac:dyDescent="0.35">
      <c r="N3206"/>
      <c r="O3206"/>
    </row>
    <row r="3207" spans="13:25" x14ac:dyDescent="0.35">
      <c r="N3207"/>
      <c r="O3207"/>
    </row>
    <row r="3208" spans="13:25" x14ac:dyDescent="0.35">
      <c r="N3208"/>
      <c r="O3208"/>
    </row>
    <row r="3209" spans="13:25" x14ac:dyDescent="0.35">
      <c r="N3209"/>
      <c r="O3209"/>
    </row>
    <row r="3210" spans="13:25" x14ac:dyDescent="0.35">
      <c r="N3210"/>
      <c r="O3210"/>
    </row>
    <row r="3211" spans="13:25" x14ac:dyDescent="0.35">
      <c r="N3211"/>
      <c r="O3211"/>
    </row>
    <row r="3212" spans="13:25" x14ac:dyDescent="0.35">
      <c r="N3212"/>
      <c r="O3212"/>
    </row>
    <row r="3213" spans="13:25" x14ac:dyDescent="0.35">
      <c r="N3213"/>
      <c r="O3213"/>
    </row>
    <row r="3214" spans="13:25" x14ac:dyDescent="0.35">
      <c r="N3214"/>
      <c r="O3214"/>
    </row>
    <row r="3215" spans="13:25" x14ac:dyDescent="0.35">
      <c r="N3215"/>
      <c r="O3215"/>
    </row>
    <row r="3216" spans="13:25" x14ac:dyDescent="0.35">
      <c r="M3216" s="13"/>
      <c r="N3216"/>
      <c r="O3216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</row>
    <row r="3217" spans="13:25" x14ac:dyDescent="0.35">
      <c r="M3217" s="13"/>
      <c r="N3217"/>
      <c r="O3217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</row>
    <row r="3218" spans="13:25" x14ac:dyDescent="0.35">
      <c r="M3218" s="13"/>
      <c r="N3218"/>
      <c r="O3218"/>
      <c r="P3218" s="13"/>
      <c r="Q3218" s="13"/>
      <c r="R3218" s="13"/>
      <c r="S3218" s="13"/>
      <c r="T3218" s="13"/>
      <c r="U3218" s="13"/>
      <c r="V3218" s="13"/>
      <c r="W3218" s="13"/>
      <c r="X3218" s="13"/>
      <c r="Y3218" s="13"/>
    </row>
    <row r="3219" spans="13:25" x14ac:dyDescent="0.35">
      <c r="M3219" s="13"/>
      <c r="N3219"/>
      <c r="O3219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</row>
    <row r="3220" spans="13:25" x14ac:dyDescent="0.35">
      <c r="M3220" s="13"/>
      <c r="N3220"/>
      <c r="O3220"/>
      <c r="P3220" s="13"/>
      <c r="Q3220" s="13"/>
      <c r="R3220" s="13"/>
      <c r="S3220" s="13"/>
      <c r="T3220" s="13"/>
      <c r="U3220" s="13"/>
      <c r="V3220" s="13"/>
      <c r="W3220" s="13"/>
      <c r="X3220" s="13"/>
      <c r="Y3220" s="13"/>
    </row>
    <row r="3221" spans="13:25" x14ac:dyDescent="0.35">
      <c r="M3221" s="13"/>
      <c r="N3221"/>
      <c r="O3221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</row>
    <row r="3222" spans="13:25" x14ac:dyDescent="0.35">
      <c r="N3222"/>
      <c r="O3222"/>
    </row>
    <row r="3223" spans="13:25" x14ac:dyDescent="0.35">
      <c r="N3223"/>
      <c r="O3223"/>
    </row>
    <row r="3224" spans="13:25" x14ac:dyDescent="0.35">
      <c r="N3224"/>
      <c r="O3224"/>
    </row>
    <row r="3225" spans="13:25" x14ac:dyDescent="0.35">
      <c r="N3225"/>
      <c r="O3225"/>
    </row>
    <row r="3226" spans="13:25" x14ac:dyDescent="0.35">
      <c r="N3226"/>
      <c r="O3226"/>
    </row>
    <row r="3227" spans="13:25" x14ac:dyDescent="0.35">
      <c r="N3227"/>
      <c r="O3227"/>
    </row>
    <row r="3228" spans="13:25" x14ac:dyDescent="0.35">
      <c r="N3228"/>
      <c r="O3228"/>
    </row>
    <row r="3229" spans="13:25" x14ac:dyDescent="0.35">
      <c r="N3229"/>
      <c r="O3229"/>
    </row>
    <row r="3230" spans="13:25" x14ac:dyDescent="0.35">
      <c r="N3230"/>
      <c r="O3230"/>
    </row>
    <row r="3231" spans="13:25" x14ac:dyDescent="0.35">
      <c r="N3231"/>
      <c r="O3231"/>
    </row>
    <row r="3232" spans="13:25" x14ac:dyDescent="0.35">
      <c r="N3232"/>
      <c r="O3232"/>
    </row>
    <row r="3233" spans="14:15" x14ac:dyDescent="0.35">
      <c r="N3233"/>
      <c r="O3233"/>
    </row>
    <row r="3234" spans="14:15" x14ac:dyDescent="0.35">
      <c r="N3234"/>
      <c r="O3234"/>
    </row>
    <row r="3235" spans="14:15" x14ac:dyDescent="0.35">
      <c r="N3235"/>
      <c r="O3235"/>
    </row>
    <row r="3236" spans="14:15" x14ac:dyDescent="0.35">
      <c r="N3236"/>
      <c r="O3236"/>
    </row>
    <row r="3237" spans="14:15" x14ac:dyDescent="0.35">
      <c r="N3237"/>
      <c r="O3237"/>
    </row>
    <row r="3238" spans="14:15" x14ac:dyDescent="0.35">
      <c r="N3238"/>
      <c r="O3238"/>
    </row>
    <row r="3239" spans="14:15" x14ac:dyDescent="0.35">
      <c r="N3239"/>
      <c r="O3239"/>
    </row>
    <row r="3240" spans="14:15" x14ac:dyDescent="0.35">
      <c r="N3240"/>
      <c r="O3240"/>
    </row>
    <row r="3241" spans="14:15" x14ac:dyDescent="0.35">
      <c r="N3241"/>
      <c r="O3241"/>
    </row>
    <row r="3242" spans="14:15" x14ac:dyDescent="0.35">
      <c r="N3242"/>
      <c r="O3242"/>
    </row>
    <row r="3243" spans="14:15" x14ac:dyDescent="0.35">
      <c r="N3243"/>
      <c r="O3243"/>
    </row>
    <row r="3244" spans="14:15" x14ac:dyDescent="0.35">
      <c r="N3244"/>
      <c r="O3244"/>
    </row>
    <row r="3245" spans="14:15" x14ac:dyDescent="0.35">
      <c r="N3245"/>
      <c r="O3245"/>
    </row>
    <row r="3246" spans="14:15" x14ac:dyDescent="0.35">
      <c r="N3246"/>
      <c r="O3246"/>
    </row>
    <row r="3247" spans="14:15" x14ac:dyDescent="0.35">
      <c r="N3247"/>
      <c r="O3247"/>
    </row>
    <row r="3248" spans="14:15" x14ac:dyDescent="0.35">
      <c r="N3248"/>
      <c r="O3248"/>
    </row>
    <row r="3249" spans="14:15" x14ac:dyDescent="0.35">
      <c r="N3249"/>
      <c r="O3249"/>
    </row>
    <row r="3250" spans="14:15" x14ac:dyDescent="0.35">
      <c r="N3250"/>
      <c r="O3250"/>
    </row>
    <row r="3251" spans="14:15" x14ac:dyDescent="0.35">
      <c r="N3251"/>
      <c r="O3251"/>
    </row>
    <row r="3252" spans="14:15" x14ac:dyDescent="0.35">
      <c r="N3252"/>
      <c r="O3252"/>
    </row>
    <row r="3253" spans="14:15" x14ac:dyDescent="0.35">
      <c r="N3253"/>
      <c r="O3253"/>
    </row>
    <row r="3254" spans="14:15" x14ac:dyDescent="0.35">
      <c r="N3254"/>
      <c r="O3254"/>
    </row>
    <row r="3255" spans="14:15" x14ac:dyDescent="0.35">
      <c r="N3255"/>
      <c r="O3255"/>
    </row>
    <row r="3256" spans="14:15" x14ac:dyDescent="0.35">
      <c r="N3256"/>
      <c r="O3256"/>
    </row>
    <row r="3257" spans="14:15" x14ac:dyDescent="0.35">
      <c r="N3257"/>
      <c r="O3257"/>
    </row>
    <row r="3258" spans="14:15" x14ac:dyDescent="0.35">
      <c r="N3258"/>
      <c r="O3258"/>
    </row>
    <row r="3259" spans="14:15" x14ac:dyDescent="0.35">
      <c r="N3259"/>
      <c r="O3259"/>
    </row>
    <row r="3260" spans="14:15" x14ac:dyDescent="0.35">
      <c r="N3260"/>
      <c r="O3260"/>
    </row>
    <row r="3261" spans="14:15" x14ac:dyDescent="0.35">
      <c r="N3261"/>
      <c r="O3261"/>
    </row>
    <row r="3262" spans="14:15" x14ac:dyDescent="0.35">
      <c r="N3262"/>
      <c r="O3262"/>
    </row>
    <row r="3263" spans="14:15" x14ac:dyDescent="0.35">
      <c r="N3263"/>
      <c r="O3263"/>
    </row>
    <row r="3264" spans="14:15" x14ac:dyDescent="0.35">
      <c r="N3264"/>
      <c r="O3264"/>
    </row>
    <row r="3265" spans="14:15" x14ac:dyDescent="0.35">
      <c r="N3265"/>
      <c r="O3265"/>
    </row>
    <row r="3266" spans="14:15" x14ac:dyDescent="0.35">
      <c r="N3266"/>
      <c r="O3266"/>
    </row>
    <row r="3267" spans="14:15" x14ac:dyDescent="0.35">
      <c r="N3267"/>
      <c r="O3267"/>
    </row>
    <row r="3268" spans="14:15" x14ac:dyDescent="0.35">
      <c r="N3268"/>
      <c r="O3268"/>
    </row>
    <row r="3269" spans="14:15" x14ac:dyDescent="0.35">
      <c r="N3269"/>
      <c r="O3269"/>
    </row>
    <row r="3270" spans="14:15" x14ac:dyDescent="0.35">
      <c r="N3270"/>
      <c r="O3270"/>
    </row>
    <row r="3271" spans="14:15" x14ac:dyDescent="0.35">
      <c r="N3271"/>
      <c r="O3271"/>
    </row>
    <row r="3272" spans="14:15" x14ac:dyDescent="0.35">
      <c r="N3272"/>
      <c r="O3272"/>
    </row>
    <row r="3273" spans="14:15" x14ac:dyDescent="0.35">
      <c r="N3273"/>
      <c r="O3273"/>
    </row>
    <row r="3274" spans="14:15" x14ac:dyDescent="0.35">
      <c r="N3274"/>
      <c r="O3274"/>
    </row>
    <row r="3275" spans="14:15" x14ac:dyDescent="0.35">
      <c r="N3275"/>
      <c r="O3275"/>
    </row>
    <row r="3276" spans="14:15" x14ac:dyDescent="0.35">
      <c r="N3276"/>
      <c r="O3276"/>
    </row>
    <row r="3277" spans="14:15" x14ac:dyDescent="0.35">
      <c r="N3277"/>
      <c r="O3277"/>
    </row>
    <row r="3278" spans="14:15" x14ac:dyDescent="0.35">
      <c r="N3278"/>
      <c r="O3278"/>
    </row>
    <row r="3279" spans="14:15" x14ac:dyDescent="0.35">
      <c r="N3279"/>
      <c r="O3279"/>
    </row>
    <row r="3280" spans="14:15" x14ac:dyDescent="0.35">
      <c r="N3280"/>
      <c r="O3280"/>
    </row>
    <row r="3281" spans="14:15" x14ac:dyDescent="0.35">
      <c r="N3281"/>
      <c r="O3281"/>
    </row>
    <row r="3282" spans="14:15" x14ac:dyDescent="0.35">
      <c r="N3282"/>
      <c r="O3282"/>
    </row>
    <row r="3283" spans="14:15" x14ac:dyDescent="0.35">
      <c r="N3283"/>
      <c r="O3283"/>
    </row>
    <row r="3284" spans="14:15" x14ac:dyDescent="0.35">
      <c r="N3284"/>
      <c r="O3284"/>
    </row>
    <row r="3285" spans="14:15" x14ac:dyDescent="0.35">
      <c r="N3285"/>
      <c r="O3285"/>
    </row>
    <row r="3286" spans="14:15" x14ac:dyDescent="0.35">
      <c r="N3286"/>
      <c r="O3286"/>
    </row>
    <row r="3287" spans="14:15" x14ac:dyDescent="0.35">
      <c r="N3287"/>
      <c r="O3287"/>
    </row>
    <row r="3288" spans="14:15" x14ac:dyDescent="0.35">
      <c r="N3288"/>
      <c r="O3288"/>
    </row>
    <row r="3289" spans="14:15" x14ac:dyDescent="0.35">
      <c r="N3289"/>
      <c r="O3289"/>
    </row>
    <row r="3290" spans="14:15" x14ac:dyDescent="0.35">
      <c r="N3290"/>
      <c r="O3290"/>
    </row>
    <row r="3291" spans="14:15" x14ac:dyDescent="0.35">
      <c r="N3291"/>
      <c r="O3291"/>
    </row>
    <row r="3292" spans="14:15" x14ac:dyDescent="0.35">
      <c r="N3292"/>
      <c r="O3292"/>
    </row>
    <row r="3293" spans="14:15" x14ac:dyDescent="0.35">
      <c r="N3293"/>
      <c r="O3293"/>
    </row>
    <row r="3294" spans="14:15" x14ac:dyDescent="0.35">
      <c r="N3294"/>
      <c r="O3294"/>
    </row>
    <row r="3295" spans="14:15" x14ac:dyDescent="0.35">
      <c r="N3295"/>
      <c r="O3295"/>
    </row>
    <row r="3296" spans="14:15" x14ac:dyDescent="0.35">
      <c r="N3296"/>
      <c r="O3296"/>
    </row>
    <row r="3297" spans="14:15" x14ac:dyDescent="0.35">
      <c r="N3297"/>
      <c r="O3297"/>
    </row>
    <row r="3298" spans="14:15" x14ac:dyDescent="0.35">
      <c r="N3298"/>
      <c r="O3298"/>
    </row>
    <row r="3299" spans="14:15" x14ac:dyDescent="0.35">
      <c r="N3299"/>
      <c r="O3299"/>
    </row>
    <row r="3300" spans="14:15" x14ac:dyDescent="0.35">
      <c r="N3300"/>
      <c r="O3300"/>
    </row>
    <row r="3301" spans="14:15" x14ac:dyDescent="0.35">
      <c r="N3301"/>
      <c r="O3301"/>
    </row>
    <row r="3302" spans="14:15" x14ac:dyDescent="0.35">
      <c r="N3302"/>
      <c r="O3302"/>
    </row>
    <row r="3303" spans="14:15" x14ac:dyDescent="0.35">
      <c r="N3303"/>
      <c r="O3303"/>
    </row>
    <row r="3304" spans="14:15" x14ac:dyDescent="0.35">
      <c r="N3304"/>
      <c r="O3304"/>
    </row>
    <row r="3305" spans="14:15" x14ac:dyDescent="0.35">
      <c r="N3305"/>
      <c r="O3305"/>
    </row>
    <row r="3306" spans="14:15" x14ac:dyDescent="0.35">
      <c r="N3306"/>
      <c r="O3306"/>
    </row>
    <row r="3307" spans="14:15" x14ac:dyDescent="0.35">
      <c r="N3307"/>
      <c r="O3307"/>
    </row>
    <row r="3308" spans="14:15" x14ac:dyDescent="0.35">
      <c r="N3308"/>
      <c r="O3308"/>
    </row>
    <row r="3309" spans="14:15" x14ac:dyDescent="0.35">
      <c r="N3309"/>
      <c r="O3309"/>
    </row>
    <row r="3310" spans="14:15" x14ac:dyDescent="0.35">
      <c r="N3310"/>
      <c r="O3310"/>
    </row>
    <row r="3311" spans="14:15" x14ac:dyDescent="0.35">
      <c r="N3311"/>
      <c r="O3311"/>
    </row>
    <row r="3312" spans="14:15" x14ac:dyDescent="0.35">
      <c r="N3312"/>
      <c r="O3312"/>
    </row>
    <row r="3313" spans="14:15" x14ac:dyDescent="0.35">
      <c r="N3313"/>
      <c r="O3313"/>
    </row>
    <row r="3314" spans="14:15" x14ac:dyDescent="0.35">
      <c r="N3314"/>
      <c r="O3314"/>
    </row>
    <row r="3315" spans="14:15" x14ac:dyDescent="0.35">
      <c r="N3315"/>
      <c r="O3315"/>
    </row>
    <row r="3316" spans="14:15" x14ac:dyDescent="0.35">
      <c r="N3316"/>
      <c r="O3316"/>
    </row>
    <row r="3317" spans="14:15" x14ac:dyDescent="0.35">
      <c r="N3317"/>
      <c r="O3317"/>
    </row>
    <row r="3318" spans="14:15" x14ac:dyDescent="0.35">
      <c r="N3318"/>
      <c r="O3318"/>
    </row>
    <row r="3319" spans="14:15" x14ac:dyDescent="0.35">
      <c r="N3319"/>
      <c r="O3319"/>
    </row>
    <row r="3320" spans="14:15" x14ac:dyDescent="0.35">
      <c r="N3320"/>
      <c r="O3320"/>
    </row>
    <row r="3321" spans="14:15" x14ac:dyDescent="0.35">
      <c r="N3321"/>
      <c r="O3321"/>
    </row>
    <row r="3322" spans="14:15" x14ac:dyDescent="0.35">
      <c r="N3322"/>
      <c r="O3322"/>
    </row>
    <row r="3323" spans="14:15" x14ac:dyDescent="0.35">
      <c r="N3323"/>
      <c r="O3323"/>
    </row>
    <row r="3324" spans="14:15" x14ac:dyDescent="0.35">
      <c r="N3324"/>
      <c r="O3324"/>
    </row>
    <row r="3325" spans="14:15" x14ac:dyDescent="0.35">
      <c r="N3325"/>
      <c r="O3325"/>
    </row>
    <row r="3326" spans="14:15" x14ac:dyDescent="0.35">
      <c r="N3326"/>
      <c r="O3326"/>
    </row>
    <row r="3327" spans="14:15" x14ac:dyDescent="0.35">
      <c r="N3327"/>
      <c r="O3327"/>
    </row>
    <row r="3328" spans="14:15" x14ac:dyDescent="0.35">
      <c r="N3328"/>
      <c r="O3328"/>
    </row>
    <row r="3329" spans="14:15" x14ac:dyDescent="0.35">
      <c r="N3329"/>
      <c r="O3329"/>
    </row>
    <row r="3330" spans="14:15" x14ac:dyDescent="0.35">
      <c r="N3330"/>
      <c r="O3330"/>
    </row>
    <row r="3331" spans="14:15" x14ac:dyDescent="0.35">
      <c r="N3331"/>
      <c r="O3331"/>
    </row>
    <row r="3332" spans="14:15" x14ac:dyDescent="0.35">
      <c r="N3332"/>
      <c r="O3332"/>
    </row>
    <row r="3333" spans="14:15" x14ac:dyDescent="0.35">
      <c r="N3333"/>
      <c r="O3333"/>
    </row>
    <row r="3334" spans="14:15" x14ac:dyDescent="0.35">
      <c r="N3334"/>
      <c r="O3334"/>
    </row>
    <row r="3335" spans="14:15" x14ac:dyDescent="0.35">
      <c r="N3335"/>
      <c r="O3335"/>
    </row>
    <row r="3336" spans="14:15" x14ac:dyDescent="0.35">
      <c r="N3336"/>
      <c r="O3336"/>
    </row>
    <row r="3337" spans="14:15" x14ac:dyDescent="0.35">
      <c r="N3337"/>
      <c r="O3337"/>
    </row>
    <row r="3338" spans="14:15" x14ac:dyDescent="0.35">
      <c r="N3338"/>
      <c r="O3338"/>
    </row>
    <row r="3339" spans="14:15" x14ac:dyDescent="0.35">
      <c r="N3339"/>
      <c r="O3339"/>
    </row>
    <row r="3340" spans="14:15" x14ac:dyDescent="0.35">
      <c r="N3340"/>
      <c r="O3340"/>
    </row>
    <row r="3341" spans="14:15" x14ac:dyDescent="0.35">
      <c r="N3341"/>
      <c r="O3341"/>
    </row>
    <row r="3342" spans="14:15" x14ac:dyDescent="0.35">
      <c r="N3342"/>
      <c r="O3342"/>
    </row>
    <row r="3343" spans="14:15" x14ac:dyDescent="0.35">
      <c r="N3343"/>
      <c r="O3343"/>
    </row>
    <row r="3344" spans="14:15" x14ac:dyDescent="0.35">
      <c r="N3344"/>
      <c r="O3344"/>
    </row>
    <row r="3345" spans="14:15" x14ac:dyDescent="0.35">
      <c r="N3345"/>
      <c r="O3345"/>
    </row>
    <row r="3346" spans="14:15" x14ac:dyDescent="0.35">
      <c r="N3346"/>
      <c r="O3346"/>
    </row>
    <row r="3347" spans="14:15" x14ac:dyDescent="0.35">
      <c r="N3347"/>
      <c r="O3347"/>
    </row>
    <row r="3348" spans="14:15" x14ac:dyDescent="0.35">
      <c r="N3348"/>
      <c r="O3348"/>
    </row>
    <row r="3349" spans="14:15" x14ac:dyDescent="0.35">
      <c r="N3349"/>
      <c r="O3349"/>
    </row>
    <row r="3350" spans="14:15" x14ac:dyDescent="0.35">
      <c r="N3350"/>
      <c r="O3350"/>
    </row>
    <row r="3351" spans="14:15" x14ac:dyDescent="0.35">
      <c r="N3351"/>
      <c r="O3351"/>
    </row>
    <row r="3352" spans="14:15" x14ac:dyDescent="0.35">
      <c r="N3352"/>
      <c r="O3352"/>
    </row>
    <row r="3353" spans="14:15" x14ac:dyDescent="0.35">
      <c r="N3353"/>
      <c r="O3353"/>
    </row>
    <row r="3354" spans="14:15" x14ac:dyDescent="0.35">
      <c r="N3354"/>
      <c r="O3354"/>
    </row>
    <row r="3355" spans="14:15" x14ac:dyDescent="0.35">
      <c r="N3355"/>
      <c r="O3355"/>
    </row>
    <row r="3356" spans="14:15" x14ac:dyDescent="0.35">
      <c r="N3356"/>
      <c r="O3356"/>
    </row>
    <row r="3357" spans="14:15" x14ac:dyDescent="0.35">
      <c r="N3357"/>
      <c r="O3357"/>
    </row>
    <row r="3358" spans="14:15" x14ac:dyDescent="0.35">
      <c r="N3358"/>
      <c r="O3358"/>
    </row>
    <row r="3359" spans="14:15" x14ac:dyDescent="0.35">
      <c r="N3359"/>
      <c r="O3359"/>
    </row>
    <row r="3360" spans="14:15" x14ac:dyDescent="0.35">
      <c r="N3360"/>
      <c r="O3360"/>
    </row>
    <row r="3361" spans="14:15" x14ac:dyDescent="0.35">
      <c r="N3361"/>
      <c r="O3361"/>
    </row>
    <row r="3362" spans="14:15" x14ac:dyDescent="0.35">
      <c r="N3362"/>
      <c r="O3362"/>
    </row>
    <row r="3363" spans="14:15" x14ac:dyDescent="0.35">
      <c r="N3363"/>
      <c r="O3363"/>
    </row>
    <row r="3364" spans="14:15" x14ac:dyDescent="0.35">
      <c r="N3364"/>
      <c r="O3364"/>
    </row>
    <row r="3365" spans="14:15" x14ac:dyDescent="0.35">
      <c r="N3365"/>
      <c r="O3365"/>
    </row>
    <row r="3366" spans="14:15" x14ac:dyDescent="0.35">
      <c r="N3366"/>
      <c r="O3366"/>
    </row>
    <row r="3367" spans="14:15" x14ac:dyDescent="0.35">
      <c r="N3367"/>
      <c r="O3367"/>
    </row>
    <row r="3368" spans="14:15" x14ac:dyDescent="0.35">
      <c r="N3368"/>
      <c r="O3368"/>
    </row>
    <row r="3369" spans="14:15" x14ac:dyDescent="0.35">
      <c r="N3369"/>
      <c r="O3369"/>
    </row>
    <row r="3370" spans="14:15" x14ac:dyDescent="0.35">
      <c r="N3370"/>
      <c r="O3370"/>
    </row>
    <row r="3371" spans="14:15" x14ac:dyDescent="0.35">
      <c r="N3371"/>
      <c r="O3371"/>
    </row>
    <row r="3372" spans="14:15" x14ac:dyDescent="0.35">
      <c r="N3372"/>
      <c r="O3372"/>
    </row>
    <row r="3373" spans="14:15" x14ac:dyDescent="0.35">
      <c r="N3373"/>
      <c r="O3373"/>
    </row>
    <row r="3374" spans="14:15" x14ac:dyDescent="0.35">
      <c r="N3374"/>
      <c r="O3374"/>
    </row>
    <row r="3375" spans="14:15" x14ac:dyDescent="0.35">
      <c r="N3375"/>
      <c r="O3375"/>
    </row>
    <row r="3376" spans="14:15" x14ac:dyDescent="0.35">
      <c r="N3376"/>
      <c r="O3376"/>
    </row>
    <row r="3377" spans="14:15" x14ac:dyDescent="0.35">
      <c r="N3377"/>
      <c r="O3377"/>
    </row>
    <row r="3378" spans="14:15" x14ac:dyDescent="0.35">
      <c r="N3378"/>
      <c r="O3378"/>
    </row>
    <row r="3379" spans="14:15" x14ac:dyDescent="0.35">
      <c r="N3379"/>
      <c r="O3379"/>
    </row>
    <row r="3380" spans="14:15" x14ac:dyDescent="0.35">
      <c r="N3380"/>
      <c r="O3380"/>
    </row>
    <row r="3381" spans="14:15" x14ac:dyDescent="0.35">
      <c r="N3381"/>
      <c r="O3381"/>
    </row>
    <row r="3382" spans="14:15" x14ac:dyDescent="0.35">
      <c r="N3382"/>
      <c r="O3382"/>
    </row>
    <row r="3383" spans="14:15" x14ac:dyDescent="0.35">
      <c r="N3383"/>
      <c r="O3383"/>
    </row>
    <row r="3384" spans="14:15" x14ac:dyDescent="0.35">
      <c r="N3384"/>
      <c r="O3384"/>
    </row>
    <row r="3385" spans="14:15" x14ac:dyDescent="0.35">
      <c r="N3385"/>
      <c r="O3385"/>
    </row>
    <row r="3386" spans="14:15" x14ac:dyDescent="0.35">
      <c r="N3386"/>
      <c r="O3386"/>
    </row>
    <row r="3387" spans="14:15" x14ac:dyDescent="0.35">
      <c r="N3387"/>
      <c r="O3387"/>
    </row>
    <row r="3388" spans="14:15" x14ac:dyDescent="0.35">
      <c r="N3388"/>
      <c r="O3388"/>
    </row>
    <row r="3389" spans="14:15" x14ac:dyDescent="0.35">
      <c r="N3389"/>
      <c r="O3389"/>
    </row>
    <row r="3390" spans="14:15" x14ac:dyDescent="0.35">
      <c r="N3390"/>
      <c r="O3390"/>
    </row>
    <row r="3391" spans="14:15" x14ac:dyDescent="0.35">
      <c r="N3391"/>
      <c r="O3391"/>
    </row>
    <row r="3392" spans="14:15" x14ac:dyDescent="0.35">
      <c r="N3392"/>
      <c r="O3392"/>
    </row>
    <row r="3393" spans="14:15" x14ac:dyDescent="0.35">
      <c r="N3393"/>
      <c r="O3393"/>
    </row>
    <row r="3394" spans="14:15" x14ac:dyDescent="0.35">
      <c r="N3394"/>
      <c r="O3394"/>
    </row>
    <row r="3395" spans="14:15" x14ac:dyDescent="0.35">
      <c r="N3395"/>
      <c r="O3395"/>
    </row>
    <row r="3396" spans="14:15" x14ac:dyDescent="0.35">
      <c r="N3396"/>
      <c r="O3396"/>
    </row>
    <row r="3397" spans="14:15" x14ac:dyDescent="0.35">
      <c r="N3397"/>
      <c r="O3397"/>
    </row>
    <row r="3398" spans="14:15" ht="15.75" customHeight="1" x14ac:dyDescent="0.35">
      <c r="N3398"/>
      <c r="O3398"/>
    </row>
    <row r="3399" spans="14:15" x14ac:dyDescent="0.35">
      <c r="N3399"/>
      <c r="O3399"/>
    </row>
    <row r="3400" spans="14:15" x14ac:dyDescent="0.35">
      <c r="N3400"/>
      <c r="O3400"/>
    </row>
    <row r="3401" spans="14:15" x14ac:dyDescent="0.35">
      <c r="N3401"/>
      <c r="O3401"/>
    </row>
    <row r="3402" spans="14:15" x14ac:dyDescent="0.35">
      <c r="N3402"/>
      <c r="O3402"/>
    </row>
    <row r="3403" spans="14:15" x14ac:dyDescent="0.35">
      <c r="N3403"/>
      <c r="O3403"/>
    </row>
    <row r="3404" spans="14:15" x14ac:dyDescent="0.35">
      <c r="N3404"/>
      <c r="O3404"/>
    </row>
    <row r="3405" spans="14:15" x14ac:dyDescent="0.35">
      <c r="N3405"/>
      <c r="O3405"/>
    </row>
    <row r="3406" spans="14:15" x14ac:dyDescent="0.35">
      <c r="N3406"/>
      <c r="O3406"/>
    </row>
    <row r="3407" spans="14:15" x14ac:dyDescent="0.35">
      <c r="N3407"/>
      <c r="O3407"/>
    </row>
    <row r="3408" spans="14:15" x14ac:dyDescent="0.35">
      <c r="N3408"/>
      <c r="O3408"/>
    </row>
    <row r="3409" spans="14:15" x14ac:dyDescent="0.35">
      <c r="N3409"/>
      <c r="O3409"/>
    </row>
    <row r="3410" spans="14:15" x14ac:dyDescent="0.35">
      <c r="N3410"/>
      <c r="O3410"/>
    </row>
    <row r="3411" spans="14:15" x14ac:dyDescent="0.35">
      <c r="N3411"/>
      <c r="O3411"/>
    </row>
    <row r="3412" spans="14:15" x14ac:dyDescent="0.35">
      <c r="N3412"/>
      <c r="O3412"/>
    </row>
    <row r="3413" spans="14:15" x14ac:dyDescent="0.35">
      <c r="N3413"/>
      <c r="O3413"/>
    </row>
    <row r="3414" spans="14:15" x14ac:dyDescent="0.35">
      <c r="N3414"/>
      <c r="O3414"/>
    </row>
    <row r="3415" spans="14:15" x14ac:dyDescent="0.35">
      <c r="N3415"/>
      <c r="O3415"/>
    </row>
    <row r="3416" spans="14:15" x14ac:dyDescent="0.35">
      <c r="N3416"/>
      <c r="O3416"/>
    </row>
    <row r="3417" spans="14:15" x14ac:dyDescent="0.35">
      <c r="N3417"/>
      <c r="O3417"/>
    </row>
    <row r="3418" spans="14:15" x14ac:dyDescent="0.35">
      <c r="N3418"/>
      <c r="O3418"/>
    </row>
    <row r="3419" spans="14:15" x14ac:dyDescent="0.35">
      <c r="N3419"/>
      <c r="O3419"/>
    </row>
    <row r="3420" spans="14:15" x14ac:dyDescent="0.35">
      <c r="N3420"/>
      <c r="O3420"/>
    </row>
    <row r="3421" spans="14:15" x14ac:dyDescent="0.35">
      <c r="N3421"/>
      <c r="O3421"/>
    </row>
    <row r="3422" spans="14:15" x14ac:dyDescent="0.35">
      <c r="N3422"/>
      <c r="O3422"/>
    </row>
    <row r="3423" spans="14:15" x14ac:dyDescent="0.35">
      <c r="N3423"/>
      <c r="O3423"/>
    </row>
    <row r="3424" spans="14:15" x14ac:dyDescent="0.35">
      <c r="N3424"/>
      <c r="O3424"/>
    </row>
    <row r="3425" spans="14:15" x14ac:dyDescent="0.35">
      <c r="N3425"/>
      <c r="O3425"/>
    </row>
    <row r="3426" spans="14:15" x14ac:dyDescent="0.35">
      <c r="N3426"/>
      <c r="O3426"/>
    </row>
    <row r="3427" spans="14:15" x14ac:dyDescent="0.35">
      <c r="N3427"/>
      <c r="O3427"/>
    </row>
    <row r="3428" spans="14:15" x14ac:dyDescent="0.35">
      <c r="N3428"/>
      <c r="O3428"/>
    </row>
    <row r="3429" spans="14:15" x14ac:dyDescent="0.35">
      <c r="N3429"/>
      <c r="O3429"/>
    </row>
    <row r="3430" spans="14:15" x14ac:dyDescent="0.35">
      <c r="N3430"/>
      <c r="O3430"/>
    </row>
    <row r="3431" spans="14:15" x14ac:dyDescent="0.35">
      <c r="N3431"/>
      <c r="O3431"/>
    </row>
    <row r="3432" spans="14:15" x14ac:dyDescent="0.35">
      <c r="N3432"/>
      <c r="O3432"/>
    </row>
    <row r="3433" spans="14:15" x14ac:dyDescent="0.35">
      <c r="N3433"/>
      <c r="O3433"/>
    </row>
    <row r="3434" spans="14:15" x14ac:dyDescent="0.35">
      <c r="N3434"/>
      <c r="O3434"/>
    </row>
    <row r="3435" spans="14:15" x14ac:dyDescent="0.35">
      <c r="N3435"/>
      <c r="O3435"/>
    </row>
    <row r="3436" spans="14:15" x14ac:dyDescent="0.35">
      <c r="N3436"/>
      <c r="O3436"/>
    </row>
    <row r="3437" spans="14:15" x14ac:dyDescent="0.35">
      <c r="N3437"/>
      <c r="O3437"/>
    </row>
    <row r="3438" spans="14:15" x14ac:dyDescent="0.35">
      <c r="N3438"/>
      <c r="O3438"/>
    </row>
    <row r="3439" spans="14:15" x14ac:dyDescent="0.35">
      <c r="N3439"/>
      <c r="O3439"/>
    </row>
    <row r="3440" spans="14:15" x14ac:dyDescent="0.35">
      <c r="N3440"/>
      <c r="O3440"/>
    </row>
    <row r="3441" spans="14:15" x14ac:dyDescent="0.35">
      <c r="N3441"/>
      <c r="O3441"/>
    </row>
    <row r="3442" spans="14:15" x14ac:dyDescent="0.35">
      <c r="N3442"/>
      <c r="O3442"/>
    </row>
    <row r="3443" spans="14:15" x14ac:dyDescent="0.35">
      <c r="N3443"/>
      <c r="O3443"/>
    </row>
    <row r="3444" spans="14:15" x14ac:dyDescent="0.35">
      <c r="N3444"/>
      <c r="O3444"/>
    </row>
    <row r="3445" spans="14:15" x14ac:dyDescent="0.35">
      <c r="N3445"/>
      <c r="O3445"/>
    </row>
    <row r="3446" spans="14:15" x14ac:dyDescent="0.35">
      <c r="N3446"/>
      <c r="O3446"/>
    </row>
    <row r="3447" spans="14:15" x14ac:dyDescent="0.35">
      <c r="N3447"/>
      <c r="O3447"/>
    </row>
    <row r="3448" spans="14:15" x14ac:dyDescent="0.35">
      <c r="N3448"/>
      <c r="O3448"/>
    </row>
    <row r="3449" spans="14:15" x14ac:dyDescent="0.35">
      <c r="N3449"/>
      <c r="O3449"/>
    </row>
    <row r="3450" spans="14:15" x14ac:dyDescent="0.35">
      <c r="N3450"/>
      <c r="O3450"/>
    </row>
    <row r="3451" spans="14:15" x14ac:dyDescent="0.35">
      <c r="N3451"/>
      <c r="O3451"/>
    </row>
    <row r="3452" spans="14:15" x14ac:dyDescent="0.35">
      <c r="N3452"/>
      <c r="O3452"/>
    </row>
    <row r="3453" spans="14:15" x14ac:dyDescent="0.35">
      <c r="N3453"/>
      <c r="O3453"/>
    </row>
    <row r="3454" spans="14:15" x14ac:dyDescent="0.35">
      <c r="N3454"/>
      <c r="O3454"/>
    </row>
    <row r="3455" spans="14:15" x14ac:dyDescent="0.35">
      <c r="N3455"/>
      <c r="O3455"/>
    </row>
    <row r="3456" spans="14:15" x14ac:dyDescent="0.35">
      <c r="N3456"/>
      <c r="O3456"/>
    </row>
    <row r="3457" spans="14:15" x14ac:dyDescent="0.35">
      <c r="N3457"/>
      <c r="O3457"/>
    </row>
    <row r="3458" spans="14:15" x14ac:dyDescent="0.35">
      <c r="N3458"/>
      <c r="O3458"/>
    </row>
    <row r="3459" spans="14:15" x14ac:dyDescent="0.35">
      <c r="N3459"/>
      <c r="O3459"/>
    </row>
    <row r="3460" spans="14:15" x14ac:dyDescent="0.35">
      <c r="N3460"/>
      <c r="O3460"/>
    </row>
    <row r="3461" spans="14:15" x14ac:dyDescent="0.35">
      <c r="N3461"/>
      <c r="O3461"/>
    </row>
    <row r="3462" spans="14:15" x14ac:dyDescent="0.35">
      <c r="N3462"/>
      <c r="O3462"/>
    </row>
    <row r="3463" spans="14:15" x14ac:dyDescent="0.35">
      <c r="N3463"/>
      <c r="O3463"/>
    </row>
    <row r="3464" spans="14:15" x14ac:dyDescent="0.35">
      <c r="N3464"/>
      <c r="O3464"/>
    </row>
    <row r="3465" spans="14:15" x14ac:dyDescent="0.35">
      <c r="N3465"/>
      <c r="O3465"/>
    </row>
    <row r="3466" spans="14:15" x14ac:dyDescent="0.35">
      <c r="N3466"/>
      <c r="O3466"/>
    </row>
    <row r="3467" spans="14:15" x14ac:dyDescent="0.35">
      <c r="N3467"/>
      <c r="O3467"/>
    </row>
    <row r="3468" spans="14:15" x14ac:dyDescent="0.35">
      <c r="N3468"/>
      <c r="O3468"/>
    </row>
    <row r="3469" spans="14:15" x14ac:dyDescent="0.35">
      <c r="N3469"/>
      <c r="O3469"/>
    </row>
    <row r="3470" spans="14:15" x14ac:dyDescent="0.35">
      <c r="N3470"/>
      <c r="O3470"/>
    </row>
    <row r="3471" spans="14:15" x14ac:dyDescent="0.35">
      <c r="N3471"/>
      <c r="O3471"/>
    </row>
    <row r="3472" spans="14:15" x14ac:dyDescent="0.35">
      <c r="N3472"/>
      <c r="O3472"/>
    </row>
    <row r="3473" spans="14:15" x14ac:dyDescent="0.35">
      <c r="N3473"/>
      <c r="O3473"/>
    </row>
    <row r="3474" spans="14:15" x14ac:dyDescent="0.35">
      <c r="N3474"/>
      <c r="O3474"/>
    </row>
    <row r="3475" spans="14:15" x14ac:dyDescent="0.35">
      <c r="N3475"/>
      <c r="O3475"/>
    </row>
    <row r="3476" spans="14:15" x14ac:dyDescent="0.35">
      <c r="N3476"/>
      <c r="O3476"/>
    </row>
    <row r="3477" spans="14:15" x14ac:dyDescent="0.35">
      <c r="N3477"/>
      <c r="O3477"/>
    </row>
    <row r="3478" spans="14:15" x14ac:dyDescent="0.35">
      <c r="N3478"/>
      <c r="O3478"/>
    </row>
    <row r="3479" spans="14:15" x14ac:dyDescent="0.35">
      <c r="N3479"/>
      <c r="O3479"/>
    </row>
    <row r="3480" spans="14:15" x14ac:dyDescent="0.35">
      <c r="N3480"/>
      <c r="O3480"/>
    </row>
    <row r="3481" spans="14:15" x14ac:dyDescent="0.35">
      <c r="N3481"/>
      <c r="O3481"/>
    </row>
    <row r="3482" spans="14:15" x14ac:dyDescent="0.35">
      <c r="N3482"/>
      <c r="O3482"/>
    </row>
    <row r="3483" spans="14:15" x14ac:dyDescent="0.35">
      <c r="N3483"/>
      <c r="O3483"/>
    </row>
    <row r="3484" spans="14:15" x14ac:dyDescent="0.35">
      <c r="N3484"/>
      <c r="O3484"/>
    </row>
    <row r="3485" spans="14:15" x14ac:dyDescent="0.35">
      <c r="N3485"/>
      <c r="O3485"/>
    </row>
    <row r="3486" spans="14:15" x14ac:dyDescent="0.35">
      <c r="N3486"/>
      <c r="O3486"/>
    </row>
    <row r="3487" spans="14:15" x14ac:dyDescent="0.35">
      <c r="N3487"/>
      <c r="O3487"/>
    </row>
    <row r="3488" spans="14:15" x14ac:dyDescent="0.35">
      <c r="N3488"/>
      <c r="O3488"/>
    </row>
    <row r="3489" spans="14:15" x14ac:dyDescent="0.35">
      <c r="N3489"/>
      <c r="O3489"/>
    </row>
    <row r="3490" spans="14:15" x14ac:dyDescent="0.35">
      <c r="N3490"/>
      <c r="O3490"/>
    </row>
    <row r="3491" spans="14:15" x14ac:dyDescent="0.35">
      <c r="N3491"/>
      <c r="O3491"/>
    </row>
    <row r="3492" spans="14:15" x14ac:dyDescent="0.35">
      <c r="N3492"/>
      <c r="O3492"/>
    </row>
    <row r="3493" spans="14:15" x14ac:dyDescent="0.35">
      <c r="N3493"/>
      <c r="O3493"/>
    </row>
    <row r="3494" spans="14:15" x14ac:dyDescent="0.35">
      <c r="N3494"/>
      <c r="O3494"/>
    </row>
    <row r="3495" spans="14:15" x14ac:dyDescent="0.35">
      <c r="N3495"/>
      <c r="O3495"/>
    </row>
    <row r="3496" spans="14:15" x14ac:dyDescent="0.35">
      <c r="N3496"/>
      <c r="O3496"/>
    </row>
    <row r="3497" spans="14:15" x14ac:dyDescent="0.35">
      <c r="N3497"/>
      <c r="O3497"/>
    </row>
    <row r="3498" spans="14:15" x14ac:dyDescent="0.35">
      <c r="N3498"/>
      <c r="O3498"/>
    </row>
    <row r="3499" spans="14:15" x14ac:dyDescent="0.35">
      <c r="N3499"/>
      <c r="O3499"/>
    </row>
    <row r="3500" spans="14:15" x14ac:dyDescent="0.35">
      <c r="N3500"/>
      <c r="O3500"/>
    </row>
    <row r="3501" spans="14:15" x14ac:dyDescent="0.35">
      <c r="N3501"/>
      <c r="O3501"/>
    </row>
    <row r="3502" spans="14:15" x14ac:dyDescent="0.35">
      <c r="N3502"/>
      <c r="O3502"/>
    </row>
    <row r="3503" spans="14:15" x14ac:dyDescent="0.35">
      <c r="N3503"/>
      <c r="O3503"/>
    </row>
    <row r="3504" spans="14:15" x14ac:dyDescent="0.35">
      <c r="N3504"/>
      <c r="O3504"/>
    </row>
    <row r="3505" spans="14:15" x14ac:dyDescent="0.35">
      <c r="N3505"/>
      <c r="O3505"/>
    </row>
    <row r="3506" spans="14:15" x14ac:dyDescent="0.35">
      <c r="N3506"/>
      <c r="O3506"/>
    </row>
    <row r="3507" spans="14:15" x14ac:dyDescent="0.35">
      <c r="N3507"/>
      <c r="O3507"/>
    </row>
    <row r="3508" spans="14:15" x14ac:dyDescent="0.35">
      <c r="N3508"/>
      <c r="O3508"/>
    </row>
    <row r="3509" spans="14:15" x14ac:dyDescent="0.35">
      <c r="N3509"/>
      <c r="O3509"/>
    </row>
    <row r="3510" spans="14:15" x14ac:dyDescent="0.35">
      <c r="N3510"/>
      <c r="O3510"/>
    </row>
    <row r="3511" spans="14:15" x14ac:dyDescent="0.35">
      <c r="N3511"/>
      <c r="O3511"/>
    </row>
    <row r="3512" spans="14:15" x14ac:dyDescent="0.35">
      <c r="N3512"/>
      <c r="O3512"/>
    </row>
    <row r="3513" spans="14:15" x14ac:dyDescent="0.35">
      <c r="N3513"/>
      <c r="O3513"/>
    </row>
    <row r="3514" spans="14:15" x14ac:dyDescent="0.35">
      <c r="N3514"/>
      <c r="O3514"/>
    </row>
    <row r="3515" spans="14:15" x14ac:dyDescent="0.35">
      <c r="N3515"/>
      <c r="O3515"/>
    </row>
    <row r="3516" spans="14:15" x14ac:dyDescent="0.35">
      <c r="N3516"/>
      <c r="O3516"/>
    </row>
    <row r="3517" spans="14:15" x14ac:dyDescent="0.35">
      <c r="N3517"/>
      <c r="O3517"/>
    </row>
    <row r="3518" spans="14:15" x14ac:dyDescent="0.35">
      <c r="N3518"/>
      <c r="O3518"/>
    </row>
    <row r="3519" spans="14:15" x14ac:dyDescent="0.35">
      <c r="N3519"/>
      <c r="O3519"/>
    </row>
    <row r="3520" spans="14:15" x14ac:dyDescent="0.35">
      <c r="N3520"/>
      <c r="O3520"/>
    </row>
    <row r="3521" spans="14:15" x14ac:dyDescent="0.35">
      <c r="N3521"/>
      <c r="O3521"/>
    </row>
    <row r="3522" spans="14:15" x14ac:dyDescent="0.35">
      <c r="N3522"/>
      <c r="O3522"/>
    </row>
    <row r="3523" spans="14:15" x14ac:dyDescent="0.35">
      <c r="N3523"/>
      <c r="O3523"/>
    </row>
    <row r="3524" spans="14:15" x14ac:dyDescent="0.35">
      <c r="N3524"/>
      <c r="O3524"/>
    </row>
    <row r="3525" spans="14:15" x14ac:dyDescent="0.35">
      <c r="N3525"/>
      <c r="O3525"/>
    </row>
    <row r="3526" spans="14:15" x14ac:dyDescent="0.35">
      <c r="N3526"/>
      <c r="O3526"/>
    </row>
    <row r="3527" spans="14:15" x14ac:dyDescent="0.35">
      <c r="N3527"/>
      <c r="O3527"/>
    </row>
    <row r="3528" spans="14:15" x14ac:dyDescent="0.35">
      <c r="N3528"/>
      <c r="O3528"/>
    </row>
    <row r="3529" spans="14:15" x14ac:dyDescent="0.35">
      <c r="N3529"/>
      <c r="O3529"/>
    </row>
    <row r="3530" spans="14:15" x14ac:dyDescent="0.35">
      <c r="N3530"/>
      <c r="O3530"/>
    </row>
    <row r="3531" spans="14:15" x14ac:dyDescent="0.35">
      <c r="N3531"/>
      <c r="O3531"/>
    </row>
    <row r="3532" spans="14:15" x14ac:dyDescent="0.35">
      <c r="N3532"/>
      <c r="O3532"/>
    </row>
    <row r="3533" spans="14:15" x14ac:dyDescent="0.35">
      <c r="N3533"/>
      <c r="O3533"/>
    </row>
    <row r="3534" spans="14:15" x14ac:dyDescent="0.35">
      <c r="N3534"/>
      <c r="O3534"/>
    </row>
    <row r="3535" spans="14:15" x14ac:dyDescent="0.35">
      <c r="N3535"/>
      <c r="O3535"/>
    </row>
    <row r="3536" spans="14:15" x14ac:dyDescent="0.35">
      <c r="N3536"/>
      <c r="O3536"/>
    </row>
    <row r="3537" spans="14:15" x14ac:dyDescent="0.35">
      <c r="N3537"/>
      <c r="O3537"/>
    </row>
    <row r="3538" spans="14:15" x14ac:dyDescent="0.35">
      <c r="N3538"/>
      <c r="O3538"/>
    </row>
    <row r="3539" spans="14:15" x14ac:dyDescent="0.35">
      <c r="N3539"/>
      <c r="O3539"/>
    </row>
    <row r="3540" spans="14:15" x14ac:dyDescent="0.35">
      <c r="N3540"/>
      <c r="O3540"/>
    </row>
    <row r="3541" spans="14:15" x14ac:dyDescent="0.35">
      <c r="N3541"/>
      <c r="O3541"/>
    </row>
    <row r="3542" spans="14:15" x14ac:dyDescent="0.35">
      <c r="N3542"/>
      <c r="O3542"/>
    </row>
    <row r="3543" spans="14:15" x14ac:dyDescent="0.35">
      <c r="N3543"/>
      <c r="O3543"/>
    </row>
    <row r="3544" spans="14:15" x14ac:dyDescent="0.35">
      <c r="N3544"/>
      <c r="O3544"/>
    </row>
    <row r="3545" spans="14:15" x14ac:dyDescent="0.35">
      <c r="N3545"/>
      <c r="O3545"/>
    </row>
    <row r="3546" spans="14:15" x14ac:dyDescent="0.35">
      <c r="N3546"/>
      <c r="O3546"/>
    </row>
    <row r="3547" spans="14:15" x14ac:dyDescent="0.35">
      <c r="N3547"/>
      <c r="O3547"/>
    </row>
    <row r="3548" spans="14:15" x14ac:dyDescent="0.35">
      <c r="N3548"/>
      <c r="O3548"/>
    </row>
    <row r="3549" spans="14:15" x14ac:dyDescent="0.35">
      <c r="N3549"/>
      <c r="O3549"/>
    </row>
    <row r="3550" spans="14:15" x14ac:dyDescent="0.35">
      <c r="N3550"/>
      <c r="O3550"/>
    </row>
    <row r="3551" spans="14:15" x14ac:dyDescent="0.35">
      <c r="N3551"/>
      <c r="O3551"/>
    </row>
    <row r="3552" spans="14:15" x14ac:dyDescent="0.35">
      <c r="N3552"/>
      <c r="O3552"/>
    </row>
    <row r="3553" spans="14:15" x14ac:dyDescent="0.35">
      <c r="N3553"/>
      <c r="O3553"/>
    </row>
    <row r="3554" spans="14:15" x14ac:dyDescent="0.35">
      <c r="N3554"/>
      <c r="O3554"/>
    </row>
    <row r="3555" spans="14:15" x14ac:dyDescent="0.35">
      <c r="N3555"/>
      <c r="O3555"/>
    </row>
    <row r="3556" spans="14:15" x14ac:dyDescent="0.35">
      <c r="N3556"/>
      <c r="O3556"/>
    </row>
    <row r="3557" spans="14:15" x14ac:dyDescent="0.35">
      <c r="N3557"/>
      <c r="O3557"/>
    </row>
    <row r="3558" spans="14:15" x14ac:dyDescent="0.35">
      <c r="N3558"/>
      <c r="O3558"/>
    </row>
    <row r="3559" spans="14:15" x14ac:dyDescent="0.35">
      <c r="N3559"/>
      <c r="O3559"/>
    </row>
    <row r="3560" spans="14:15" x14ac:dyDescent="0.35">
      <c r="N3560"/>
      <c r="O3560"/>
    </row>
    <row r="3561" spans="14:15" x14ac:dyDescent="0.35">
      <c r="N3561"/>
      <c r="O3561"/>
    </row>
    <row r="3562" spans="14:15" x14ac:dyDescent="0.35">
      <c r="N3562"/>
      <c r="O3562"/>
    </row>
    <row r="3563" spans="14:15" x14ac:dyDescent="0.35">
      <c r="N3563"/>
      <c r="O3563"/>
    </row>
    <row r="3564" spans="14:15" x14ac:dyDescent="0.35">
      <c r="N3564"/>
      <c r="O3564"/>
    </row>
    <row r="3565" spans="14:15" x14ac:dyDescent="0.35">
      <c r="N3565"/>
      <c r="O3565"/>
    </row>
    <row r="3566" spans="14:15" x14ac:dyDescent="0.35">
      <c r="N3566"/>
      <c r="O3566"/>
    </row>
    <row r="3567" spans="14:15" x14ac:dyDescent="0.35">
      <c r="N3567"/>
      <c r="O3567"/>
    </row>
    <row r="3568" spans="14:15" x14ac:dyDescent="0.35">
      <c r="N3568"/>
      <c r="O3568"/>
    </row>
    <row r="3569" spans="1:25" x14ac:dyDescent="0.35">
      <c r="N3569"/>
      <c r="O3569"/>
    </row>
    <row r="3570" spans="1:25" x14ac:dyDescent="0.35">
      <c r="N3570"/>
      <c r="O3570"/>
    </row>
    <row r="3571" spans="1:25" x14ac:dyDescent="0.35">
      <c r="N3571"/>
      <c r="O3571"/>
    </row>
    <row r="3572" spans="1:25" x14ac:dyDescent="0.35">
      <c r="N3572"/>
      <c r="O3572"/>
    </row>
    <row r="3573" spans="1:25" x14ac:dyDescent="0.35">
      <c r="N3573"/>
      <c r="O3573"/>
    </row>
    <row r="3574" spans="1:25" x14ac:dyDescent="0.35">
      <c r="N3574"/>
      <c r="O3574"/>
    </row>
    <row r="3575" spans="1:25" x14ac:dyDescent="0.35">
      <c r="N3575"/>
      <c r="O3575"/>
    </row>
    <row r="3576" spans="1:25" s="13" customFormat="1" x14ac:dyDescent="0.35">
      <c r="A3576" s="5"/>
      <c r="B3576" s="5"/>
      <c r="C3576" s="5"/>
      <c r="D3576" s="6"/>
      <c r="E3576" s="5"/>
      <c r="F3576" s="6"/>
      <c r="G3576" s="5"/>
      <c r="H3576" s="5"/>
      <c r="I3576" s="5"/>
      <c r="J3576" s="5"/>
      <c r="M3576" s="5"/>
      <c r="N3576"/>
      <c r="O3576"/>
      <c r="P3576" s="5"/>
      <c r="Q3576" s="5"/>
      <c r="R3576" s="5"/>
      <c r="S3576" s="5"/>
      <c r="T3576" s="5"/>
      <c r="U3576" s="5"/>
      <c r="V3576" s="5"/>
      <c r="W3576" s="5"/>
      <c r="X3576" s="5"/>
      <c r="Y3576" s="5"/>
    </row>
    <row r="3577" spans="1:25" s="13" customFormat="1" x14ac:dyDescent="0.35">
      <c r="A3577" s="5"/>
      <c r="B3577" s="5"/>
      <c r="C3577" s="5"/>
      <c r="D3577" s="6"/>
      <c r="E3577" s="5"/>
      <c r="F3577" s="6"/>
      <c r="G3577" s="5"/>
      <c r="H3577" s="5"/>
      <c r="I3577" s="5"/>
      <c r="J3577" s="5"/>
      <c r="M3577" s="5"/>
      <c r="N3577"/>
      <c r="O3577"/>
      <c r="P3577" s="5"/>
      <c r="Q3577" s="5"/>
      <c r="R3577" s="5"/>
      <c r="S3577" s="5"/>
      <c r="T3577" s="5"/>
      <c r="U3577" s="5"/>
      <c r="V3577" s="5"/>
      <c r="W3577" s="5"/>
      <c r="X3577" s="5"/>
      <c r="Y3577" s="5"/>
    </row>
    <row r="3578" spans="1:25" s="13" customFormat="1" x14ac:dyDescent="0.35">
      <c r="A3578" s="5"/>
      <c r="B3578" s="5"/>
      <c r="C3578" s="5"/>
      <c r="D3578" s="6"/>
      <c r="E3578" s="5"/>
      <c r="F3578" s="6"/>
      <c r="G3578" s="5"/>
      <c r="H3578" s="5"/>
      <c r="I3578" s="5"/>
      <c r="J3578" s="5"/>
      <c r="M3578" s="5"/>
      <c r="N3578"/>
      <c r="O3578"/>
      <c r="P3578" s="5"/>
      <c r="Q3578" s="5"/>
      <c r="R3578" s="5"/>
      <c r="S3578" s="5"/>
      <c r="T3578" s="5"/>
      <c r="U3578" s="5"/>
      <c r="V3578" s="5"/>
      <c r="W3578" s="5"/>
      <c r="X3578" s="5"/>
      <c r="Y3578" s="5"/>
    </row>
    <row r="3579" spans="1:25" s="13" customFormat="1" x14ac:dyDescent="0.35">
      <c r="A3579" s="5"/>
      <c r="B3579" s="5"/>
      <c r="C3579" s="5"/>
      <c r="D3579" s="6"/>
      <c r="E3579" s="5"/>
      <c r="F3579" s="6"/>
      <c r="G3579" s="5"/>
      <c r="H3579" s="5"/>
      <c r="I3579" s="5"/>
      <c r="J3579" s="5"/>
      <c r="M3579" s="5"/>
      <c r="N3579"/>
      <c r="O3579"/>
      <c r="P3579" s="5"/>
      <c r="Q3579" s="5"/>
      <c r="R3579" s="5"/>
      <c r="S3579" s="5"/>
      <c r="T3579" s="5"/>
      <c r="U3579" s="5"/>
      <c r="V3579" s="5"/>
      <c r="W3579" s="5"/>
      <c r="X3579" s="5"/>
      <c r="Y3579" s="5"/>
    </row>
    <row r="3580" spans="1:25" s="13" customFormat="1" x14ac:dyDescent="0.35">
      <c r="A3580" s="5"/>
      <c r="B3580" s="5"/>
      <c r="C3580" s="5"/>
      <c r="D3580" s="6"/>
      <c r="E3580" s="5"/>
      <c r="F3580" s="6"/>
      <c r="G3580" s="5"/>
      <c r="H3580" s="5"/>
      <c r="I3580" s="5"/>
      <c r="J3580" s="5"/>
      <c r="M3580" s="5"/>
      <c r="N3580"/>
      <c r="O3580"/>
      <c r="P3580" s="5"/>
      <c r="Q3580" s="5"/>
      <c r="R3580" s="5"/>
      <c r="S3580" s="5"/>
      <c r="T3580" s="5"/>
      <c r="U3580" s="5"/>
      <c r="V3580" s="5"/>
      <c r="W3580" s="5"/>
      <c r="X3580" s="5"/>
      <c r="Y3580" s="5"/>
    </row>
    <row r="3581" spans="1:25" s="13" customFormat="1" x14ac:dyDescent="0.35">
      <c r="A3581" s="5"/>
      <c r="B3581" s="5"/>
      <c r="C3581" s="5"/>
      <c r="D3581" s="6"/>
      <c r="E3581" s="5"/>
      <c r="F3581" s="6"/>
      <c r="G3581" s="5"/>
      <c r="H3581" s="5"/>
      <c r="I3581" s="5"/>
      <c r="J3581" s="5"/>
      <c r="M3581" s="5"/>
      <c r="N3581"/>
      <c r="O3581"/>
      <c r="P3581" s="5"/>
      <c r="Q3581" s="5"/>
      <c r="R3581" s="5"/>
      <c r="S3581" s="5"/>
      <c r="T3581" s="5"/>
      <c r="U3581" s="5"/>
      <c r="V3581" s="5"/>
      <c r="W3581" s="5"/>
      <c r="X3581" s="5"/>
      <c r="Y3581" s="5"/>
    </row>
    <row r="3582" spans="1:25" s="13" customFormat="1" x14ac:dyDescent="0.35">
      <c r="A3582" s="5"/>
      <c r="B3582" s="5"/>
      <c r="C3582" s="5"/>
      <c r="D3582" s="6"/>
      <c r="E3582" s="5"/>
      <c r="F3582" s="6"/>
      <c r="G3582" s="5"/>
      <c r="H3582" s="5"/>
      <c r="I3582" s="5"/>
      <c r="J3582" s="5"/>
      <c r="M3582" s="5"/>
      <c r="N3582"/>
      <c r="O3582"/>
      <c r="P3582" s="5"/>
      <c r="Q3582" s="5"/>
      <c r="R3582" s="5"/>
      <c r="S3582" s="5"/>
      <c r="T3582" s="5"/>
      <c r="U3582" s="5"/>
      <c r="V3582" s="5"/>
      <c r="W3582" s="5"/>
      <c r="X3582" s="5"/>
      <c r="Y3582" s="5"/>
    </row>
    <row r="3583" spans="1:25" s="13" customFormat="1" x14ac:dyDescent="0.35">
      <c r="A3583" s="5"/>
      <c r="B3583" s="5"/>
      <c r="C3583" s="5"/>
      <c r="D3583" s="6"/>
      <c r="E3583" s="5"/>
      <c r="F3583" s="6"/>
      <c r="G3583" s="5"/>
      <c r="H3583" s="5"/>
      <c r="I3583" s="5"/>
      <c r="J3583" s="5"/>
      <c r="M3583" s="5"/>
      <c r="N3583"/>
      <c r="O3583"/>
      <c r="P3583" s="5"/>
      <c r="Q3583" s="5"/>
      <c r="R3583" s="5"/>
      <c r="S3583" s="5"/>
      <c r="T3583" s="5"/>
      <c r="U3583" s="5"/>
      <c r="V3583" s="5"/>
      <c r="W3583" s="5"/>
      <c r="X3583" s="5"/>
      <c r="Y3583" s="5"/>
    </row>
    <row r="3584" spans="1:25" s="13" customFormat="1" x14ac:dyDescent="0.35">
      <c r="A3584" s="5"/>
      <c r="B3584" s="5"/>
      <c r="C3584" s="5"/>
      <c r="D3584" s="6"/>
      <c r="E3584" s="5"/>
      <c r="F3584" s="6"/>
      <c r="G3584" s="5"/>
      <c r="H3584" s="5"/>
      <c r="I3584" s="5"/>
      <c r="J3584" s="5"/>
      <c r="M3584" s="5"/>
      <c r="N3584"/>
      <c r="O3584"/>
      <c r="P3584" s="5"/>
      <c r="Q3584" s="5"/>
      <c r="R3584" s="5"/>
      <c r="S3584" s="5"/>
      <c r="T3584" s="5"/>
      <c r="U3584" s="5"/>
      <c r="V3584" s="5"/>
      <c r="W3584" s="5"/>
      <c r="X3584" s="5"/>
      <c r="Y3584" s="5"/>
    </row>
    <row r="3585" spans="1:25" s="13" customFormat="1" x14ac:dyDescent="0.35">
      <c r="A3585" s="5"/>
      <c r="B3585" s="5"/>
      <c r="C3585" s="5"/>
      <c r="D3585" s="6"/>
      <c r="E3585" s="5"/>
      <c r="F3585" s="6"/>
      <c r="G3585" s="5"/>
      <c r="H3585" s="5"/>
      <c r="I3585" s="5"/>
      <c r="J3585" s="5"/>
      <c r="M3585" s="5"/>
      <c r="N3585"/>
      <c r="O3585"/>
      <c r="P3585" s="5"/>
      <c r="Q3585" s="5"/>
      <c r="R3585" s="5"/>
      <c r="S3585" s="5"/>
      <c r="T3585" s="5"/>
      <c r="U3585" s="5"/>
      <c r="V3585" s="5"/>
      <c r="W3585" s="5"/>
      <c r="X3585" s="5"/>
      <c r="Y3585" s="5"/>
    </row>
    <row r="3586" spans="1:25" x14ac:dyDescent="0.35">
      <c r="N3586"/>
      <c r="O3586"/>
    </row>
    <row r="3587" spans="1:25" x14ac:dyDescent="0.35">
      <c r="N3587"/>
      <c r="O3587"/>
    </row>
    <row r="3588" spans="1:25" x14ac:dyDescent="0.35">
      <c r="N3588"/>
      <c r="O3588"/>
    </row>
    <row r="3589" spans="1:25" x14ac:dyDescent="0.35">
      <c r="N3589"/>
      <c r="O3589"/>
    </row>
    <row r="3590" spans="1:25" x14ac:dyDescent="0.35">
      <c r="N3590"/>
      <c r="O3590"/>
    </row>
    <row r="3591" spans="1:25" x14ac:dyDescent="0.35">
      <c r="N3591"/>
      <c r="O3591"/>
    </row>
    <row r="3592" spans="1:25" x14ac:dyDescent="0.35">
      <c r="N3592"/>
      <c r="O3592"/>
    </row>
    <row r="3593" spans="1:25" x14ac:dyDescent="0.35">
      <c r="N3593"/>
      <c r="O3593"/>
    </row>
    <row r="3594" spans="1:25" x14ac:dyDescent="0.35">
      <c r="N3594"/>
      <c r="O3594"/>
    </row>
    <row r="3595" spans="1:25" x14ac:dyDescent="0.35">
      <c r="N3595"/>
      <c r="O3595"/>
    </row>
    <row r="3596" spans="1:25" x14ac:dyDescent="0.35">
      <c r="N3596"/>
      <c r="O3596"/>
    </row>
    <row r="3597" spans="1:25" x14ac:dyDescent="0.35">
      <c r="N3597"/>
      <c r="O3597"/>
    </row>
    <row r="3613" spans="1:25" s="13" customFormat="1" x14ac:dyDescent="0.35">
      <c r="A3613" s="5"/>
      <c r="B3613" s="5"/>
      <c r="C3613" s="5"/>
      <c r="D3613" s="6"/>
      <c r="E3613" s="5"/>
      <c r="F3613" s="6"/>
      <c r="G3613" s="5"/>
      <c r="H3613" s="5"/>
      <c r="I3613" s="5"/>
      <c r="J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</row>
    <row r="3614" spans="1:25" s="13" customFormat="1" x14ac:dyDescent="0.35">
      <c r="A3614" s="5"/>
      <c r="B3614" s="5"/>
      <c r="C3614" s="5"/>
      <c r="D3614" s="6"/>
      <c r="E3614" s="5"/>
      <c r="F3614" s="6"/>
      <c r="G3614" s="5"/>
      <c r="H3614" s="5"/>
      <c r="I3614" s="5"/>
      <c r="J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</row>
    <row r="3615" spans="1:25" s="13" customFormat="1" x14ac:dyDescent="0.35">
      <c r="A3615" s="5"/>
      <c r="B3615" s="5"/>
      <c r="C3615" s="5"/>
      <c r="D3615" s="6"/>
      <c r="E3615" s="5"/>
      <c r="F3615" s="6"/>
      <c r="G3615" s="5"/>
      <c r="H3615" s="5"/>
      <c r="I3615" s="5"/>
      <c r="J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</row>
    <row r="3616" spans="1:25" s="13" customFormat="1" x14ac:dyDescent="0.35">
      <c r="A3616" s="5"/>
      <c r="B3616" s="5"/>
      <c r="C3616" s="5"/>
      <c r="D3616" s="6"/>
      <c r="E3616" s="5"/>
      <c r="F3616" s="6"/>
      <c r="G3616" s="5"/>
      <c r="H3616" s="5"/>
      <c r="I3616" s="5"/>
      <c r="J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</row>
    <row r="3619" spans="1:25" s="13" customFormat="1" x14ac:dyDescent="0.35">
      <c r="A3619" s="5"/>
      <c r="B3619" s="5"/>
      <c r="C3619" s="5"/>
      <c r="D3619" s="6"/>
      <c r="E3619" s="5"/>
      <c r="F3619" s="6"/>
      <c r="G3619" s="5"/>
      <c r="H3619" s="5"/>
      <c r="I3619" s="5"/>
      <c r="J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</row>
    <row r="3620" spans="1:25" s="13" customFormat="1" x14ac:dyDescent="0.35">
      <c r="A3620" s="5"/>
      <c r="B3620" s="5"/>
      <c r="C3620" s="5"/>
      <c r="D3620" s="6"/>
      <c r="E3620" s="5"/>
      <c r="F3620" s="6"/>
      <c r="G3620" s="5"/>
      <c r="H3620" s="5"/>
      <c r="I3620" s="5"/>
      <c r="J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</row>
    <row r="3621" spans="1:25" s="13" customFormat="1" x14ac:dyDescent="0.35">
      <c r="A3621" s="5"/>
      <c r="B3621" s="5"/>
      <c r="C3621" s="5"/>
      <c r="D3621" s="6"/>
      <c r="E3621" s="5"/>
      <c r="F3621" s="6"/>
      <c r="G3621" s="5"/>
      <c r="H3621" s="5"/>
      <c r="I3621" s="5"/>
      <c r="J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</row>
    <row r="3622" spans="1:25" s="13" customFormat="1" x14ac:dyDescent="0.35">
      <c r="A3622" s="5"/>
      <c r="B3622" s="5"/>
      <c r="C3622" s="5"/>
      <c r="D3622" s="6"/>
      <c r="E3622" s="5"/>
      <c r="F3622" s="6"/>
      <c r="G3622" s="5"/>
      <c r="H3622" s="5"/>
      <c r="I3622" s="5"/>
      <c r="J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</row>
    <row r="3623" spans="1:25" s="13" customFormat="1" x14ac:dyDescent="0.35">
      <c r="A3623" s="5"/>
      <c r="B3623" s="5"/>
      <c r="C3623" s="5"/>
      <c r="D3623" s="6"/>
      <c r="E3623" s="5"/>
      <c r="F3623" s="6"/>
      <c r="G3623" s="5"/>
      <c r="H3623" s="5"/>
      <c r="I3623" s="5"/>
      <c r="J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</row>
    <row r="3624" spans="1:25" s="13" customFormat="1" x14ac:dyDescent="0.35">
      <c r="A3624" s="5"/>
      <c r="B3624" s="5"/>
      <c r="C3624" s="5"/>
      <c r="D3624" s="6"/>
      <c r="E3624" s="5"/>
      <c r="F3624" s="6"/>
      <c r="G3624" s="5"/>
      <c r="H3624" s="5"/>
      <c r="I3624" s="5"/>
      <c r="J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</row>
    <row r="3625" spans="1:25" s="13" customFormat="1" x14ac:dyDescent="0.35">
      <c r="A3625" s="5"/>
      <c r="B3625" s="5"/>
      <c r="C3625" s="5"/>
      <c r="D3625" s="6"/>
      <c r="E3625" s="5"/>
      <c r="F3625" s="6"/>
      <c r="G3625" s="5"/>
      <c r="H3625" s="5"/>
      <c r="I3625" s="5"/>
      <c r="J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</row>
    <row r="3626" spans="1:25" s="13" customFormat="1" x14ac:dyDescent="0.35">
      <c r="A3626" s="5"/>
      <c r="B3626" s="5"/>
      <c r="C3626" s="5"/>
      <c r="D3626" s="6"/>
      <c r="E3626" s="5"/>
      <c r="F3626" s="6"/>
      <c r="G3626" s="5"/>
      <c r="H3626" s="5"/>
      <c r="I3626" s="5"/>
      <c r="J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</row>
    <row r="3627" spans="1:25" s="13" customFormat="1" x14ac:dyDescent="0.35">
      <c r="A3627" s="5"/>
      <c r="B3627" s="5"/>
      <c r="C3627" s="5"/>
      <c r="D3627" s="6"/>
      <c r="E3627" s="5"/>
      <c r="F3627" s="6"/>
      <c r="G3627" s="5"/>
      <c r="H3627" s="5"/>
      <c r="I3627" s="5"/>
      <c r="J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</row>
    <row r="3628" spans="1:25" s="13" customFormat="1" x14ac:dyDescent="0.35">
      <c r="A3628" s="5"/>
      <c r="B3628" s="5"/>
      <c r="C3628" s="5"/>
      <c r="D3628" s="6"/>
      <c r="E3628" s="5"/>
      <c r="F3628" s="6"/>
      <c r="G3628" s="5"/>
      <c r="H3628" s="5"/>
      <c r="I3628" s="5"/>
      <c r="J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</row>
    <row r="3664" spans="13:25" x14ac:dyDescent="0.35">
      <c r="M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</row>
    <row r="3665" spans="13:25" x14ac:dyDescent="0.35">
      <c r="M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</row>
    <row r="3666" spans="13:25" x14ac:dyDescent="0.35">
      <c r="M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</row>
    <row r="3667" spans="13:25" x14ac:dyDescent="0.35">
      <c r="M3667" s="13"/>
      <c r="O3667" s="13"/>
      <c r="P3667" s="13"/>
      <c r="Q3667" s="13"/>
      <c r="R3667" s="13"/>
      <c r="S3667" s="13"/>
      <c r="T3667" s="13"/>
      <c r="U3667" s="13"/>
      <c r="V3667" s="13"/>
      <c r="W3667" s="13"/>
      <c r="X3667" s="13"/>
      <c r="Y3667" s="13"/>
    </row>
    <row r="3668" spans="13:25" x14ac:dyDescent="0.35">
      <c r="M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</row>
    <row r="3669" spans="13:25" x14ac:dyDescent="0.35">
      <c r="M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</row>
    <row r="3670" spans="13:25" x14ac:dyDescent="0.35">
      <c r="M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</row>
    <row r="3702" spans="1:25" s="13" customFormat="1" x14ac:dyDescent="0.35">
      <c r="A3702" s="5"/>
      <c r="B3702" s="5"/>
      <c r="C3702" s="5"/>
      <c r="D3702" s="6"/>
      <c r="E3702" s="5"/>
      <c r="F3702" s="6"/>
      <c r="G3702" s="5"/>
      <c r="H3702" s="5"/>
      <c r="I3702" s="5"/>
      <c r="J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</row>
    <row r="3703" spans="1:25" s="13" customFormat="1" x14ac:dyDescent="0.35">
      <c r="A3703" s="5"/>
      <c r="B3703" s="5"/>
      <c r="C3703" s="5"/>
      <c r="D3703" s="6"/>
      <c r="E3703" s="5"/>
      <c r="F3703" s="6"/>
      <c r="G3703" s="5"/>
      <c r="H3703" s="5"/>
      <c r="I3703" s="5"/>
      <c r="J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</row>
    <row r="3704" spans="1:25" s="13" customFormat="1" x14ac:dyDescent="0.35">
      <c r="A3704" s="5"/>
      <c r="B3704" s="5"/>
      <c r="C3704" s="5"/>
      <c r="D3704" s="6"/>
      <c r="E3704" s="5"/>
      <c r="F3704" s="6"/>
      <c r="G3704" s="5"/>
      <c r="H3704" s="5"/>
      <c r="I3704" s="5"/>
      <c r="J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</row>
    <row r="3705" spans="1:25" s="13" customFormat="1" x14ac:dyDescent="0.35">
      <c r="A3705" s="5"/>
      <c r="B3705" s="5"/>
      <c r="C3705" s="5"/>
      <c r="D3705" s="6"/>
      <c r="E3705" s="5"/>
      <c r="F3705" s="6"/>
      <c r="G3705" s="5"/>
      <c r="H3705" s="5"/>
      <c r="I3705" s="5"/>
      <c r="J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</row>
    <row r="3706" spans="1:25" s="13" customFormat="1" x14ac:dyDescent="0.35">
      <c r="A3706" s="5"/>
      <c r="B3706" s="5"/>
      <c r="C3706" s="5"/>
      <c r="D3706" s="6"/>
      <c r="E3706" s="5"/>
      <c r="F3706" s="6"/>
      <c r="G3706" s="5"/>
      <c r="H3706" s="5"/>
      <c r="I3706" s="5"/>
      <c r="J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</row>
    <row r="3707" spans="1:25" s="13" customFormat="1" x14ac:dyDescent="0.35">
      <c r="A3707" s="5"/>
      <c r="B3707" s="5"/>
      <c r="C3707" s="5"/>
      <c r="D3707" s="6"/>
      <c r="E3707" s="5"/>
      <c r="F3707" s="6"/>
      <c r="G3707" s="5"/>
      <c r="H3707" s="5"/>
      <c r="I3707" s="5"/>
      <c r="J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</row>
    <row r="3735" spans="13:25" x14ac:dyDescent="0.35">
      <c r="M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</row>
    <row r="3736" spans="13:25" x14ac:dyDescent="0.35">
      <c r="M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</row>
    <row r="3751" spans="13:25" x14ac:dyDescent="0.35">
      <c r="M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</row>
    <row r="3856" spans="13:25" x14ac:dyDescent="0.35">
      <c r="M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</row>
    <row r="3891" spans="13:25" x14ac:dyDescent="0.35">
      <c r="M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</row>
    <row r="4150" spans="1:25" s="13" customFormat="1" x14ac:dyDescent="0.35">
      <c r="A4150" s="5"/>
      <c r="B4150" s="5"/>
      <c r="C4150" s="5"/>
      <c r="D4150" s="6"/>
      <c r="E4150" s="5"/>
      <c r="F4150" s="6"/>
      <c r="G4150" s="5"/>
      <c r="H4150" s="5"/>
      <c r="I4150" s="5"/>
      <c r="J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</row>
    <row r="4151" spans="1:25" s="13" customFormat="1" x14ac:dyDescent="0.35">
      <c r="A4151" s="5"/>
      <c r="B4151" s="5"/>
      <c r="C4151" s="5"/>
      <c r="D4151" s="6"/>
      <c r="E4151" s="5"/>
      <c r="F4151" s="6"/>
      <c r="G4151" s="5"/>
      <c r="H4151" s="5"/>
      <c r="I4151" s="5"/>
      <c r="J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</row>
    <row r="4152" spans="1:25" s="13" customFormat="1" x14ac:dyDescent="0.35">
      <c r="A4152" s="5"/>
      <c r="B4152" s="5"/>
      <c r="C4152" s="5"/>
      <c r="D4152" s="6"/>
      <c r="E4152" s="5"/>
      <c r="F4152" s="6"/>
      <c r="G4152" s="5"/>
      <c r="H4152" s="5"/>
      <c r="I4152" s="5"/>
      <c r="J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</row>
    <row r="4153" spans="1:25" s="13" customFormat="1" x14ac:dyDescent="0.35">
      <c r="A4153" s="5"/>
      <c r="B4153" s="5"/>
      <c r="C4153" s="5"/>
      <c r="D4153" s="6"/>
      <c r="E4153" s="5"/>
      <c r="F4153" s="6"/>
      <c r="G4153" s="5"/>
      <c r="H4153" s="5"/>
      <c r="I4153" s="5"/>
      <c r="J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</row>
    <row r="4154" spans="1:25" s="13" customFormat="1" x14ac:dyDescent="0.35">
      <c r="A4154" s="5"/>
      <c r="B4154" s="5"/>
      <c r="C4154" s="5"/>
      <c r="D4154" s="6"/>
      <c r="E4154" s="5"/>
      <c r="F4154" s="6"/>
      <c r="G4154" s="5"/>
      <c r="H4154" s="5"/>
      <c r="I4154" s="5"/>
      <c r="J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</row>
    <row r="4155" spans="1:25" s="13" customFormat="1" x14ac:dyDescent="0.35">
      <c r="A4155" s="5"/>
      <c r="B4155" s="5"/>
      <c r="C4155" s="5"/>
      <c r="D4155" s="6"/>
      <c r="E4155" s="5"/>
      <c r="F4155" s="6"/>
      <c r="G4155" s="5"/>
      <c r="H4155" s="5"/>
      <c r="I4155" s="5"/>
      <c r="J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</row>
    <row r="4156" spans="1:25" s="13" customFormat="1" x14ac:dyDescent="0.35">
      <c r="A4156" s="5"/>
      <c r="B4156" s="5"/>
      <c r="C4156" s="5"/>
      <c r="D4156" s="6"/>
      <c r="E4156" s="5"/>
      <c r="F4156" s="6"/>
      <c r="G4156" s="5"/>
      <c r="H4156" s="5"/>
      <c r="I4156" s="5"/>
      <c r="J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</row>
    <row r="4221" spans="1:25" s="13" customFormat="1" x14ac:dyDescent="0.35">
      <c r="A4221" s="5"/>
      <c r="B4221" s="5"/>
      <c r="C4221" s="5"/>
      <c r="D4221" s="6"/>
      <c r="E4221" s="5"/>
      <c r="F4221" s="6"/>
      <c r="G4221" s="5"/>
      <c r="H4221" s="5"/>
      <c r="I4221" s="5"/>
      <c r="J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</row>
    <row r="4222" spans="1:25" s="13" customFormat="1" x14ac:dyDescent="0.35">
      <c r="A4222" s="5"/>
      <c r="B4222" s="5"/>
      <c r="C4222" s="5"/>
      <c r="D4222" s="6"/>
      <c r="E4222" s="5"/>
      <c r="F4222" s="6"/>
      <c r="G4222" s="5"/>
      <c r="H4222" s="5"/>
      <c r="I4222" s="5"/>
      <c r="J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</row>
    <row r="4237" spans="1:25" s="13" customFormat="1" x14ac:dyDescent="0.35">
      <c r="A4237" s="5"/>
      <c r="B4237" s="5"/>
      <c r="C4237" s="5"/>
      <c r="D4237" s="6"/>
      <c r="E4237" s="5"/>
      <c r="F4237" s="6"/>
      <c r="G4237" s="5"/>
      <c r="H4237" s="5"/>
      <c r="I4237" s="5"/>
      <c r="J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</row>
    <row r="4342" spans="1:25" s="13" customFormat="1" x14ac:dyDescent="0.35">
      <c r="A4342" s="5"/>
      <c r="B4342" s="5"/>
      <c r="C4342" s="5"/>
      <c r="D4342" s="6"/>
      <c r="E4342" s="5"/>
      <c r="F4342" s="6"/>
      <c r="G4342" s="5"/>
      <c r="H4342" s="5"/>
      <c r="I4342" s="5"/>
      <c r="J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</row>
    <row r="4357" ht="14.25" customHeight="1" x14ac:dyDescent="0.35"/>
    <row r="4377" spans="1:25" s="13" customFormat="1" x14ac:dyDescent="0.35">
      <c r="A4377" s="5"/>
      <c r="B4377" s="5"/>
      <c r="C4377" s="5"/>
      <c r="D4377" s="6"/>
      <c r="E4377" s="5"/>
      <c r="F4377" s="6"/>
      <c r="G4377" s="5"/>
      <c r="H4377" s="5"/>
      <c r="I4377" s="5"/>
      <c r="J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</row>
    <row r="4543" spans="16:22" x14ac:dyDescent="0.35">
      <c r="P4543" s="15"/>
      <c r="Q4543" s="15"/>
      <c r="R4543" s="15"/>
      <c r="S4543" s="15"/>
      <c r="U4543" s="15"/>
      <c r="V4543" s="16"/>
    </row>
    <row r="4544" spans="16:22" x14ac:dyDescent="0.35">
      <c r="P4544" s="15"/>
      <c r="Q4544" s="15"/>
      <c r="R4544" s="15"/>
      <c r="S4544" s="15"/>
      <c r="U4544" s="15"/>
    </row>
    <row r="4545" spans="16:22" x14ac:dyDescent="0.35">
      <c r="P4545" s="15"/>
      <c r="Q4545" s="15"/>
      <c r="R4545" s="15"/>
      <c r="S4545" s="15"/>
      <c r="U4545" s="15"/>
      <c r="V4545" s="16"/>
    </row>
    <row r="4546" spans="16:22" x14ac:dyDescent="0.35">
      <c r="P4546" s="15"/>
      <c r="Q4546" s="15"/>
      <c r="R4546" s="15"/>
      <c r="S4546" s="15"/>
      <c r="U4546" s="15"/>
    </row>
    <row r="4547" spans="16:22" x14ac:dyDescent="0.35">
      <c r="P4547" s="15"/>
      <c r="Q4547" s="15"/>
      <c r="R4547" s="15"/>
      <c r="S4547" s="15"/>
      <c r="U4547" s="15"/>
      <c r="V4547" s="16"/>
    </row>
    <row r="4548" spans="16:22" x14ac:dyDescent="0.35">
      <c r="P4548" s="15"/>
      <c r="Q4548" s="15"/>
      <c r="R4548" s="15"/>
      <c r="S4548" s="15"/>
      <c r="U4548" s="15"/>
    </row>
    <row r="4549" spans="16:22" x14ac:dyDescent="0.35">
      <c r="P4549" s="15"/>
      <c r="Q4549" s="15"/>
      <c r="R4549" s="15"/>
      <c r="S4549" s="15"/>
      <c r="U4549" s="15"/>
      <c r="V4549" s="16"/>
    </row>
    <row r="4550" spans="16:22" x14ac:dyDescent="0.35">
      <c r="P4550" s="15"/>
      <c r="Q4550" s="15"/>
      <c r="R4550" s="15"/>
      <c r="S4550" s="15"/>
      <c r="U4550" s="15"/>
    </row>
    <row r="4551" spans="16:22" x14ac:dyDescent="0.35">
      <c r="P4551" s="15"/>
      <c r="Q4551" s="15"/>
      <c r="R4551" s="15"/>
      <c r="S4551" s="15"/>
      <c r="U4551" s="15"/>
      <c r="V4551" s="16"/>
    </row>
    <row r="4552" spans="16:22" x14ac:dyDescent="0.35">
      <c r="P4552" s="15"/>
      <c r="Q4552" s="15"/>
      <c r="R4552" s="15"/>
      <c r="S4552" s="15"/>
      <c r="U4552" s="15"/>
    </row>
    <row r="4553" spans="16:22" x14ac:dyDescent="0.35">
      <c r="P4553" s="15"/>
      <c r="Q4553" s="15"/>
      <c r="R4553" s="15"/>
      <c r="S4553" s="15"/>
      <c r="U4553" s="15"/>
      <c r="V4553" s="16"/>
    </row>
    <row r="4554" spans="16:22" x14ac:dyDescent="0.35">
      <c r="P4554" s="15"/>
      <c r="Q4554" s="15"/>
      <c r="R4554" s="15"/>
      <c r="S4554" s="15"/>
      <c r="U4554" s="15"/>
    </row>
    <row r="4555" spans="16:22" x14ac:dyDescent="0.35">
      <c r="P4555" s="15"/>
      <c r="Q4555" s="15"/>
      <c r="R4555" s="15"/>
      <c r="S4555" s="15"/>
      <c r="U4555" s="15"/>
      <c r="V4555" s="16"/>
    </row>
    <row r="4556" spans="16:22" x14ac:dyDescent="0.35">
      <c r="P4556" s="15"/>
      <c r="Q4556" s="15"/>
      <c r="R4556" s="15"/>
      <c r="S4556" s="15"/>
      <c r="U4556" s="15"/>
    </row>
    <row r="4557" spans="16:22" x14ac:dyDescent="0.35">
      <c r="P4557" s="15"/>
      <c r="Q4557" s="15"/>
      <c r="R4557" s="15"/>
      <c r="S4557" s="15"/>
      <c r="U4557" s="15"/>
      <c r="V4557" s="16"/>
    </row>
    <row r="4558" spans="16:22" x14ac:dyDescent="0.35">
      <c r="P4558" s="15"/>
      <c r="Q4558" s="15"/>
      <c r="R4558" s="15"/>
      <c r="S4558" s="15"/>
      <c r="U4558" s="15"/>
    </row>
    <row r="4559" spans="16:22" x14ac:dyDescent="0.35">
      <c r="P4559" s="15"/>
      <c r="Q4559" s="15"/>
      <c r="R4559" s="15"/>
      <c r="S4559" s="15"/>
      <c r="U4559" s="15"/>
      <c r="V4559" s="16"/>
    </row>
    <row r="4560" spans="16:22" x14ac:dyDescent="0.35">
      <c r="P4560" s="15"/>
      <c r="Q4560" s="15"/>
      <c r="R4560" s="15"/>
      <c r="S4560" s="15"/>
      <c r="U4560" s="15"/>
    </row>
    <row r="4561" spans="16:22" x14ac:dyDescent="0.35">
      <c r="P4561" s="15"/>
      <c r="Q4561" s="15"/>
      <c r="R4561" s="15"/>
      <c r="S4561" s="15"/>
      <c r="U4561" s="15"/>
      <c r="V4561" s="16"/>
    </row>
    <row r="4562" spans="16:22" x14ac:dyDescent="0.35">
      <c r="P4562" s="15"/>
      <c r="Q4562" s="15"/>
      <c r="R4562" s="15"/>
      <c r="S4562" s="15"/>
      <c r="U4562" s="15"/>
    </row>
    <row r="4563" spans="16:22" x14ac:dyDescent="0.35">
      <c r="P4563" s="15"/>
      <c r="Q4563" s="15"/>
      <c r="R4563" s="15"/>
      <c r="S4563" s="15"/>
      <c r="U4563" s="15"/>
      <c r="V4563" s="16"/>
    </row>
    <row r="4564" spans="16:22" x14ac:dyDescent="0.35">
      <c r="P4564" s="15"/>
      <c r="Q4564" s="15"/>
      <c r="R4564" s="15"/>
      <c r="S4564" s="15"/>
      <c r="U4564" s="15"/>
    </row>
    <row r="4565" spans="16:22" x14ac:dyDescent="0.35">
      <c r="P4565" s="15"/>
      <c r="Q4565" s="15"/>
      <c r="R4565" s="15"/>
      <c r="S4565" s="15"/>
      <c r="U4565" s="15"/>
      <c r="V4565" s="16"/>
    </row>
    <row r="4566" spans="16:22" x14ac:dyDescent="0.35">
      <c r="P4566" s="15"/>
      <c r="Q4566" s="15"/>
      <c r="R4566" s="15"/>
      <c r="S4566" s="15"/>
      <c r="U4566" s="15"/>
    </row>
    <row r="4567" spans="16:22" x14ac:dyDescent="0.35">
      <c r="P4567" s="15"/>
      <c r="Q4567" s="15"/>
      <c r="R4567" s="15"/>
      <c r="S4567" s="15"/>
      <c r="U4567" s="15"/>
      <c r="V4567" s="16"/>
    </row>
    <row r="4568" spans="16:22" x14ac:dyDescent="0.35">
      <c r="P4568" s="15"/>
      <c r="Q4568" s="15"/>
      <c r="R4568" s="15"/>
      <c r="S4568" s="15"/>
      <c r="U4568" s="15"/>
    </row>
    <row r="4569" spans="16:22" x14ac:dyDescent="0.35">
      <c r="P4569" s="15"/>
      <c r="Q4569" s="15"/>
      <c r="R4569" s="15"/>
      <c r="S4569" s="15"/>
      <c r="U4569" s="15"/>
      <c r="V4569" s="16"/>
    </row>
    <row r="4570" spans="16:22" x14ac:dyDescent="0.35">
      <c r="P4570" s="15"/>
      <c r="Q4570" s="15"/>
      <c r="R4570" s="15"/>
      <c r="S4570" s="15"/>
      <c r="U4570" s="15"/>
    </row>
    <row r="4571" spans="16:22" x14ac:dyDescent="0.35">
      <c r="P4571" s="15"/>
      <c r="Q4571" s="15"/>
      <c r="R4571" s="15"/>
      <c r="S4571" s="15"/>
      <c r="U4571" s="15"/>
      <c r="V4571" s="16"/>
    </row>
    <row r="4572" spans="16:22" x14ac:dyDescent="0.35">
      <c r="P4572" s="15"/>
      <c r="Q4572" s="15"/>
      <c r="R4572" s="15"/>
      <c r="S4572" s="15"/>
      <c r="U4572" s="15"/>
    </row>
    <row r="4573" spans="16:22" x14ac:dyDescent="0.35">
      <c r="P4573" s="15"/>
      <c r="Q4573" s="15"/>
      <c r="R4573" s="15"/>
      <c r="S4573" s="15"/>
      <c r="U4573" s="15"/>
      <c r="V4573" s="16"/>
    </row>
    <row r="4574" spans="16:22" x14ac:dyDescent="0.35">
      <c r="P4574" s="15"/>
      <c r="Q4574" s="15"/>
      <c r="R4574" s="15"/>
      <c r="S4574" s="15"/>
      <c r="U4574" s="15"/>
    </row>
    <row r="4575" spans="16:22" x14ac:dyDescent="0.35">
      <c r="P4575" s="15"/>
      <c r="Q4575" s="15"/>
      <c r="R4575" s="15"/>
      <c r="S4575" s="15"/>
      <c r="U4575" s="15"/>
      <c r="V4575" s="16"/>
    </row>
    <row r="4576" spans="16:22" x14ac:dyDescent="0.35">
      <c r="P4576" s="15"/>
      <c r="Q4576" s="15"/>
      <c r="R4576" s="15"/>
      <c r="S4576" s="15"/>
      <c r="U4576" s="15"/>
    </row>
    <row r="4577" spans="16:22" x14ac:dyDescent="0.35">
      <c r="P4577" s="15"/>
      <c r="Q4577" s="15"/>
      <c r="R4577" s="15"/>
      <c r="S4577" s="15"/>
      <c r="U4577" s="15"/>
      <c r="V4577" s="16"/>
    </row>
    <row r="4578" spans="16:22" x14ac:dyDescent="0.35">
      <c r="P4578" s="15"/>
      <c r="Q4578" s="15"/>
      <c r="R4578" s="15"/>
      <c r="S4578" s="15"/>
      <c r="U4578" s="15"/>
    </row>
    <row r="4579" spans="16:22" x14ac:dyDescent="0.35">
      <c r="P4579" s="15"/>
      <c r="Q4579" s="15"/>
      <c r="R4579" s="15"/>
      <c r="S4579" s="15"/>
      <c r="U4579" s="15"/>
      <c r="V4579" s="16"/>
    </row>
    <row r="4580" spans="16:22" x14ac:dyDescent="0.35">
      <c r="P4580" s="15"/>
      <c r="Q4580" s="15"/>
      <c r="R4580" s="15"/>
      <c r="S4580" s="15"/>
      <c r="U4580" s="15"/>
    </row>
    <row r="4581" spans="16:22" x14ac:dyDescent="0.35">
      <c r="P4581" s="15"/>
      <c r="Q4581" s="15"/>
      <c r="R4581" s="15"/>
      <c r="S4581" s="15"/>
      <c r="U4581" s="15"/>
      <c r="V4581" s="16"/>
    </row>
    <row r="4582" spans="16:22" x14ac:dyDescent="0.35">
      <c r="P4582" s="15"/>
      <c r="Q4582" s="15"/>
      <c r="R4582" s="15"/>
      <c r="S4582" s="15"/>
      <c r="U4582" s="15"/>
    </row>
    <row r="4583" spans="16:22" x14ac:dyDescent="0.35">
      <c r="P4583" s="15"/>
      <c r="Q4583" s="15"/>
      <c r="R4583" s="15"/>
      <c r="S4583" s="15"/>
      <c r="U4583" s="15"/>
      <c r="V4583" s="16"/>
    </row>
    <row r="4584" spans="16:22" x14ac:dyDescent="0.35">
      <c r="P4584" s="15"/>
      <c r="Q4584" s="15"/>
      <c r="R4584" s="15"/>
      <c r="S4584" s="15"/>
      <c r="U4584" s="15"/>
    </row>
    <row r="4585" spans="16:22" x14ac:dyDescent="0.35">
      <c r="P4585" s="15"/>
      <c r="Q4585" s="15"/>
      <c r="R4585" s="15"/>
      <c r="S4585" s="15"/>
      <c r="U4585" s="15"/>
      <c r="V4585" s="16"/>
    </row>
    <row r="4586" spans="16:22" x14ac:dyDescent="0.35">
      <c r="P4586" s="15"/>
      <c r="Q4586" s="15"/>
      <c r="R4586" s="15"/>
      <c r="S4586" s="15"/>
      <c r="U4586" s="15"/>
    </row>
    <row r="4587" spans="16:22" x14ac:dyDescent="0.35">
      <c r="P4587" s="15"/>
      <c r="Q4587" s="15"/>
      <c r="R4587" s="15"/>
      <c r="S4587" s="15"/>
      <c r="U4587" s="15"/>
      <c r="V4587" s="16"/>
    </row>
    <row r="4588" spans="16:22" x14ac:dyDescent="0.35">
      <c r="P4588" s="15"/>
      <c r="Q4588" s="15"/>
      <c r="R4588" s="15"/>
      <c r="S4588" s="15"/>
      <c r="U4588" s="15"/>
    </row>
    <row r="4589" spans="16:22" x14ac:dyDescent="0.35">
      <c r="P4589" s="15"/>
      <c r="Q4589" s="15"/>
      <c r="R4589" s="15"/>
      <c r="S4589" s="15"/>
      <c r="U4589" s="15"/>
      <c r="V4589" s="16"/>
    </row>
    <row r="4590" spans="16:22" x14ac:dyDescent="0.35">
      <c r="P4590" s="15"/>
      <c r="Q4590" s="15"/>
      <c r="R4590" s="15"/>
      <c r="S4590" s="15"/>
      <c r="U4590" s="15"/>
    </row>
    <row r="4591" spans="16:22" x14ac:dyDescent="0.35">
      <c r="P4591" s="15"/>
      <c r="Q4591" s="15"/>
      <c r="R4591" s="15"/>
      <c r="S4591" s="15"/>
      <c r="U4591" s="15"/>
      <c r="V4591" s="16"/>
    </row>
    <row r="4592" spans="16:22" x14ac:dyDescent="0.35">
      <c r="P4592" s="15"/>
      <c r="Q4592" s="15"/>
      <c r="R4592" s="15"/>
      <c r="S4592" s="15"/>
      <c r="U4592" s="15"/>
    </row>
    <row r="4593" spans="16:22" x14ac:dyDescent="0.35">
      <c r="P4593" s="15"/>
      <c r="Q4593" s="15"/>
      <c r="R4593" s="15"/>
      <c r="S4593" s="15"/>
      <c r="U4593" s="15"/>
      <c r="V4593" s="16"/>
    </row>
    <row r="4594" spans="16:22" x14ac:dyDescent="0.35">
      <c r="P4594" s="15"/>
      <c r="Q4594" s="15"/>
      <c r="R4594" s="15"/>
      <c r="S4594" s="15"/>
      <c r="U4594" s="15"/>
    </row>
    <row r="4595" spans="16:22" x14ac:dyDescent="0.35">
      <c r="P4595" s="15"/>
      <c r="Q4595" s="15"/>
      <c r="R4595" s="15"/>
      <c r="S4595" s="15"/>
      <c r="U4595" s="15"/>
      <c r="V4595" s="16"/>
    </row>
    <row r="4596" spans="16:22" x14ac:dyDescent="0.35">
      <c r="P4596" s="15"/>
      <c r="Q4596" s="15"/>
      <c r="R4596" s="15"/>
      <c r="S4596" s="15"/>
      <c r="U4596" s="15"/>
    </row>
    <row r="4597" spans="16:22" x14ac:dyDescent="0.35">
      <c r="P4597" s="15"/>
      <c r="Q4597" s="15"/>
      <c r="R4597" s="15"/>
      <c r="S4597" s="15"/>
      <c r="U4597" s="15"/>
      <c r="V4597" s="16"/>
    </row>
    <row r="4598" spans="16:22" x14ac:dyDescent="0.35">
      <c r="P4598" s="15"/>
      <c r="Q4598" s="15"/>
      <c r="R4598" s="15"/>
      <c r="S4598" s="15"/>
      <c r="U4598" s="15"/>
    </row>
    <row r="4599" spans="16:22" x14ac:dyDescent="0.35">
      <c r="P4599" s="15"/>
      <c r="Q4599" s="15"/>
      <c r="R4599" s="15"/>
      <c r="S4599" s="15"/>
      <c r="U4599" s="15"/>
      <c r="V4599" s="16"/>
    </row>
    <row r="4600" spans="16:22" x14ac:dyDescent="0.35">
      <c r="P4600" s="15"/>
      <c r="Q4600" s="15"/>
      <c r="R4600" s="15"/>
      <c r="S4600" s="15"/>
      <c r="U4600" s="15"/>
    </row>
    <row r="4601" spans="16:22" x14ac:dyDescent="0.35">
      <c r="P4601" s="15"/>
      <c r="Q4601" s="15"/>
      <c r="R4601" s="15"/>
      <c r="S4601" s="15"/>
      <c r="U4601" s="15"/>
      <c r="V4601" s="16"/>
    </row>
    <row r="4602" spans="16:22" x14ac:dyDescent="0.35">
      <c r="P4602" s="15"/>
      <c r="Q4602" s="15"/>
      <c r="R4602" s="15"/>
      <c r="S4602" s="15"/>
      <c r="U4602" s="15"/>
    </row>
    <row r="4603" spans="16:22" x14ac:dyDescent="0.35">
      <c r="P4603" s="15"/>
      <c r="Q4603" s="15"/>
      <c r="R4603" s="15"/>
      <c r="S4603" s="15"/>
      <c r="U4603" s="15"/>
      <c r="V4603" s="16"/>
    </row>
    <row r="4604" spans="16:22" x14ac:dyDescent="0.35">
      <c r="P4604" s="15"/>
      <c r="Q4604" s="15"/>
      <c r="R4604" s="15"/>
      <c r="S4604" s="15"/>
      <c r="U4604" s="15"/>
    </row>
    <row r="4605" spans="16:22" x14ac:dyDescent="0.35">
      <c r="P4605" s="15"/>
      <c r="Q4605" s="15"/>
      <c r="R4605" s="15"/>
      <c r="S4605" s="15"/>
      <c r="U4605" s="15"/>
      <c r="V4605" s="16"/>
    </row>
    <row r="4606" spans="16:22" x14ac:dyDescent="0.35">
      <c r="P4606" s="15"/>
      <c r="Q4606" s="15"/>
      <c r="R4606" s="15"/>
      <c r="S4606" s="15"/>
      <c r="U4606" s="15"/>
    </row>
    <row r="4607" spans="16:22" x14ac:dyDescent="0.35">
      <c r="P4607" s="15"/>
      <c r="Q4607" s="15"/>
      <c r="R4607" s="15"/>
      <c r="S4607" s="15"/>
      <c r="U4607" s="15"/>
      <c r="V4607" s="16"/>
    </row>
    <row r="4608" spans="16:22" x14ac:dyDescent="0.35">
      <c r="P4608" s="15"/>
      <c r="Q4608" s="15"/>
      <c r="R4608" s="15"/>
      <c r="S4608" s="15"/>
      <c r="U4608" s="15"/>
    </row>
    <row r="4609" spans="16:22" x14ac:dyDescent="0.35">
      <c r="P4609" s="15"/>
      <c r="Q4609" s="15"/>
      <c r="R4609" s="15"/>
      <c r="S4609" s="15"/>
      <c r="U4609" s="15"/>
      <c r="V4609" s="16"/>
    </row>
    <row r="4610" spans="16:22" x14ac:dyDescent="0.35">
      <c r="P4610" s="15"/>
      <c r="Q4610" s="15"/>
      <c r="R4610" s="15"/>
      <c r="S4610" s="15"/>
      <c r="U4610" s="15"/>
    </row>
    <row r="4611" spans="16:22" x14ac:dyDescent="0.35">
      <c r="P4611" s="15"/>
      <c r="Q4611" s="15"/>
      <c r="R4611" s="15"/>
      <c r="S4611" s="15"/>
      <c r="U4611" s="15"/>
      <c r="V4611" s="16"/>
    </row>
    <row r="4612" spans="16:22" x14ac:dyDescent="0.35">
      <c r="P4612" s="15"/>
      <c r="Q4612" s="15"/>
      <c r="R4612" s="15"/>
      <c r="S4612" s="15"/>
      <c r="U4612" s="15"/>
    </row>
    <row r="4613" spans="16:22" x14ac:dyDescent="0.35">
      <c r="P4613" s="15"/>
      <c r="Q4613" s="15"/>
      <c r="R4613" s="15"/>
      <c r="S4613" s="15"/>
      <c r="U4613" s="15"/>
      <c r="V4613" s="16"/>
    </row>
    <row r="4614" spans="16:22" x14ac:dyDescent="0.35">
      <c r="P4614" s="15"/>
      <c r="Q4614" s="15"/>
      <c r="R4614" s="15"/>
      <c r="S4614" s="15"/>
      <c r="U4614" s="15"/>
    </row>
    <row r="4615" spans="16:22" x14ac:dyDescent="0.35">
      <c r="P4615" s="15"/>
      <c r="Q4615" s="15"/>
      <c r="R4615" s="15"/>
      <c r="S4615" s="15"/>
      <c r="U4615" s="15"/>
      <c r="V4615" s="16"/>
    </row>
    <row r="4616" spans="16:22" x14ac:dyDescent="0.35">
      <c r="P4616" s="15"/>
      <c r="Q4616" s="15"/>
      <c r="R4616" s="15"/>
      <c r="S4616" s="15"/>
      <c r="U4616" s="15"/>
    </row>
    <row r="4617" spans="16:22" x14ac:dyDescent="0.35">
      <c r="P4617" s="15"/>
      <c r="Q4617" s="15"/>
      <c r="R4617" s="15"/>
      <c r="S4617" s="15"/>
      <c r="U4617" s="15"/>
      <c r="V4617" s="16"/>
    </row>
    <row r="4618" spans="16:22" x14ac:dyDescent="0.35">
      <c r="P4618" s="15"/>
      <c r="Q4618" s="15"/>
      <c r="R4618" s="15"/>
      <c r="S4618" s="15"/>
      <c r="U4618" s="15"/>
    </row>
    <row r="4619" spans="16:22" x14ac:dyDescent="0.35">
      <c r="P4619" s="15"/>
      <c r="Q4619" s="15"/>
      <c r="R4619" s="15"/>
      <c r="S4619" s="15"/>
      <c r="U4619" s="15"/>
      <c r="V4619" s="16"/>
    </row>
    <row r="4620" spans="16:22" x14ac:dyDescent="0.35">
      <c r="P4620" s="15"/>
      <c r="Q4620" s="15"/>
      <c r="R4620" s="15"/>
      <c r="S4620" s="15"/>
      <c r="U4620" s="15"/>
    </row>
    <row r="4621" spans="16:22" x14ac:dyDescent="0.35">
      <c r="P4621" s="15"/>
      <c r="Q4621" s="15"/>
      <c r="R4621" s="15"/>
      <c r="S4621" s="15"/>
      <c r="U4621" s="15"/>
      <c r="V4621" s="16"/>
    </row>
    <row r="4622" spans="16:22" x14ac:dyDescent="0.35">
      <c r="P4622" s="15"/>
      <c r="Q4622" s="15"/>
      <c r="R4622" s="15"/>
      <c r="S4622" s="15"/>
      <c r="U4622" s="15"/>
    </row>
    <row r="4623" spans="16:22" x14ac:dyDescent="0.35">
      <c r="P4623" s="15"/>
      <c r="Q4623" s="15"/>
      <c r="R4623" s="15"/>
      <c r="S4623" s="15"/>
      <c r="U4623" s="15"/>
      <c r="V4623" s="16"/>
    </row>
    <row r="4624" spans="16:22" x14ac:dyDescent="0.35">
      <c r="P4624" s="15"/>
      <c r="Q4624" s="15"/>
      <c r="R4624" s="15"/>
      <c r="S4624" s="15"/>
      <c r="U4624" s="15"/>
    </row>
    <row r="4625" spans="16:22" x14ac:dyDescent="0.35">
      <c r="P4625" s="15"/>
      <c r="Q4625" s="15"/>
      <c r="R4625" s="15"/>
      <c r="S4625" s="15"/>
      <c r="U4625" s="15"/>
      <c r="V4625" s="16"/>
    </row>
    <row r="4626" spans="16:22" x14ac:dyDescent="0.35">
      <c r="P4626" s="15"/>
      <c r="Q4626" s="15"/>
      <c r="R4626" s="15"/>
      <c r="S4626" s="15"/>
      <c r="U4626" s="15"/>
    </row>
    <row r="4627" spans="16:22" x14ac:dyDescent="0.35">
      <c r="P4627" s="15"/>
      <c r="Q4627" s="15"/>
      <c r="R4627" s="15"/>
      <c r="S4627" s="15"/>
      <c r="U4627" s="15"/>
      <c r="V4627" s="16"/>
    </row>
    <row r="4628" spans="16:22" x14ac:dyDescent="0.35">
      <c r="P4628" s="15"/>
      <c r="Q4628" s="15"/>
      <c r="R4628" s="15"/>
      <c r="S4628" s="15"/>
      <c r="U4628" s="15"/>
    </row>
    <row r="4629" spans="16:22" x14ac:dyDescent="0.35">
      <c r="P4629" s="15"/>
      <c r="Q4629" s="15"/>
      <c r="R4629" s="15"/>
      <c r="S4629" s="15"/>
      <c r="U4629" s="15"/>
      <c r="V4629" s="16"/>
    </row>
    <row r="4630" spans="16:22" x14ac:dyDescent="0.35">
      <c r="P4630" s="15"/>
      <c r="Q4630" s="15"/>
      <c r="R4630" s="15"/>
      <c r="S4630" s="15"/>
      <c r="U4630" s="15"/>
    </row>
    <row r="4631" spans="16:22" x14ac:dyDescent="0.35">
      <c r="P4631" s="15"/>
      <c r="Q4631" s="15"/>
      <c r="R4631" s="15"/>
      <c r="S4631" s="15"/>
      <c r="U4631" s="15"/>
      <c r="V4631" s="16"/>
    </row>
    <row r="4632" spans="16:22" x14ac:dyDescent="0.35">
      <c r="P4632" s="15"/>
      <c r="Q4632" s="15"/>
      <c r="R4632" s="15"/>
      <c r="S4632" s="15"/>
      <c r="U4632" s="15"/>
    </row>
    <row r="4633" spans="16:22" x14ac:dyDescent="0.35">
      <c r="P4633" s="15"/>
      <c r="Q4633" s="15"/>
      <c r="R4633" s="15"/>
      <c r="S4633" s="15"/>
      <c r="U4633" s="15"/>
      <c r="V4633" s="16"/>
    </row>
    <row r="4634" spans="16:22" x14ac:dyDescent="0.35">
      <c r="P4634" s="15"/>
      <c r="Q4634" s="15"/>
      <c r="R4634" s="15"/>
      <c r="S4634" s="15"/>
      <c r="U4634" s="15"/>
    </row>
    <row r="4635" spans="16:22" x14ac:dyDescent="0.35">
      <c r="P4635" s="15"/>
      <c r="Q4635" s="15"/>
      <c r="R4635" s="15"/>
      <c r="S4635" s="15"/>
      <c r="U4635" s="15"/>
      <c r="V4635" s="16"/>
    </row>
    <row r="4636" spans="16:22" x14ac:dyDescent="0.35">
      <c r="P4636" s="15"/>
      <c r="Q4636" s="15"/>
      <c r="R4636" s="15"/>
      <c r="S4636" s="15"/>
      <c r="U4636" s="15"/>
    </row>
    <row r="4637" spans="16:22" x14ac:dyDescent="0.35">
      <c r="P4637" s="15"/>
      <c r="Q4637" s="15"/>
      <c r="R4637" s="15"/>
      <c r="S4637" s="15"/>
      <c r="U4637" s="15"/>
      <c r="V4637" s="16"/>
    </row>
    <row r="4638" spans="16:22" x14ac:dyDescent="0.35">
      <c r="P4638" s="15"/>
      <c r="Q4638" s="15"/>
      <c r="R4638" s="15"/>
      <c r="S4638" s="15"/>
      <c r="U4638" s="15"/>
    </row>
    <row r="4639" spans="16:22" x14ac:dyDescent="0.35">
      <c r="P4639" s="15"/>
      <c r="Q4639" s="15"/>
      <c r="R4639" s="15"/>
      <c r="S4639" s="15"/>
      <c r="U4639" s="15"/>
      <c r="V4639" s="16"/>
    </row>
    <row r="4640" spans="16:22" x14ac:dyDescent="0.35">
      <c r="P4640" s="15"/>
      <c r="Q4640" s="15"/>
      <c r="R4640" s="15"/>
      <c r="S4640" s="15"/>
      <c r="U4640" s="15"/>
    </row>
    <row r="4641" spans="16:22" x14ac:dyDescent="0.35">
      <c r="P4641" s="15"/>
      <c r="Q4641" s="15"/>
      <c r="R4641" s="15"/>
      <c r="S4641" s="15"/>
      <c r="U4641" s="15"/>
      <c r="V4641" s="16"/>
    </row>
    <row r="4642" spans="16:22" x14ac:dyDescent="0.35">
      <c r="P4642" s="15"/>
      <c r="Q4642" s="15"/>
      <c r="R4642" s="15"/>
      <c r="S4642" s="15"/>
      <c r="U4642" s="15"/>
    </row>
    <row r="4643" spans="16:22" x14ac:dyDescent="0.35">
      <c r="P4643" s="15"/>
      <c r="Q4643" s="15"/>
      <c r="R4643" s="15"/>
      <c r="S4643" s="15"/>
      <c r="U4643" s="15"/>
      <c r="V4643" s="16"/>
    </row>
    <row r="4644" spans="16:22" x14ac:dyDescent="0.35">
      <c r="P4644" s="15"/>
      <c r="Q4644" s="15"/>
      <c r="R4644" s="15"/>
      <c r="S4644" s="15"/>
      <c r="U4644" s="15"/>
    </row>
    <row r="4645" spans="16:22" x14ac:dyDescent="0.35">
      <c r="P4645" s="15"/>
      <c r="Q4645" s="15"/>
      <c r="R4645" s="15"/>
      <c r="S4645" s="15"/>
      <c r="U4645" s="15"/>
      <c r="V4645" s="16"/>
    </row>
    <row r="4646" spans="16:22" x14ac:dyDescent="0.35">
      <c r="P4646" s="15"/>
      <c r="Q4646" s="15"/>
      <c r="R4646" s="15"/>
      <c r="S4646" s="15"/>
      <c r="U4646" s="15"/>
    </row>
    <row r="4647" spans="16:22" x14ac:dyDescent="0.35">
      <c r="P4647" s="15"/>
      <c r="Q4647" s="15"/>
      <c r="R4647" s="15"/>
      <c r="S4647" s="15"/>
      <c r="U4647" s="15"/>
      <c r="V4647" s="16"/>
    </row>
    <row r="4648" spans="16:22" x14ac:dyDescent="0.35">
      <c r="P4648" s="15"/>
      <c r="Q4648" s="15"/>
      <c r="R4648" s="15"/>
      <c r="S4648" s="15"/>
      <c r="U4648" s="15"/>
    </row>
    <row r="4649" spans="16:22" x14ac:dyDescent="0.35">
      <c r="P4649" s="15"/>
      <c r="Q4649" s="15"/>
      <c r="R4649" s="15"/>
      <c r="S4649" s="15"/>
      <c r="U4649" s="15"/>
      <c r="V4649" s="16"/>
    </row>
    <row r="4650" spans="16:22" x14ac:dyDescent="0.35">
      <c r="P4650" s="15"/>
      <c r="Q4650" s="15"/>
      <c r="R4650" s="15"/>
      <c r="S4650" s="15"/>
      <c r="U4650" s="15"/>
    </row>
    <row r="4651" spans="16:22" x14ac:dyDescent="0.35">
      <c r="P4651" s="15"/>
      <c r="Q4651" s="15"/>
      <c r="R4651" s="15"/>
      <c r="S4651" s="15"/>
      <c r="U4651" s="15"/>
      <c r="V4651" s="16"/>
    </row>
    <row r="4652" spans="16:22" x14ac:dyDescent="0.35">
      <c r="P4652" s="15"/>
      <c r="Q4652" s="15"/>
      <c r="R4652" s="15"/>
      <c r="S4652" s="15"/>
      <c r="U4652" s="15"/>
    </row>
    <row r="4653" spans="16:22" x14ac:dyDescent="0.35">
      <c r="P4653" s="15"/>
      <c r="Q4653" s="15"/>
      <c r="R4653" s="15"/>
      <c r="S4653" s="15"/>
      <c r="U4653" s="15"/>
      <c r="V4653" s="16"/>
    </row>
    <row r="4654" spans="16:22" x14ac:dyDescent="0.35">
      <c r="P4654" s="15"/>
      <c r="Q4654" s="15"/>
      <c r="R4654" s="15"/>
      <c r="S4654" s="15"/>
      <c r="U4654" s="15"/>
    </row>
    <row r="4655" spans="16:22" x14ac:dyDescent="0.35">
      <c r="P4655" s="15"/>
      <c r="Q4655" s="15"/>
      <c r="R4655" s="15"/>
      <c r="S4655" s="15"/>
      <c r="U4655" s="15"/>
      <c r="V4655" s="16"/>
    </row>
    <row r="4656" spans="16:22" x14ac:dyDescent="0.35">
      <c r="P4656" s="15"/>
      <c r="Q4656" s="15"/>
      <c r="R4656" s="15"/>
      <c r="S4656" s="15"/>
      <c r="U4656" s="15"/>
    </row>
    <row r="4657" spans="16:22" x14ac:dyDescent="0.35">
      <c r="P4657" s="15"/>
      <c r="Q4657" s="15"/>
      <c r="R4657" s="15"/>
      <c r="S4657" s="15"/>
      <c r="U4657" s="15"/>
      <c r="V4657" s="16"/>
    </row>
    <row r="4658" spans="16:22" x14ac:dyDescent="0.35">
      <c r="P4658" s="15"/>
      <c r="Q4658" s="15"/>
      <c r="R4658" s="15"/>
      <c r="S4658" s="15"/>
      <c r="U4658" s="15"/>
    </row>
    <row r="4659" spans="16:22" x14ac:dyDescent="0.35">
      <c r="P4659" s="15"/>
      <c r="Q4659" s="15"/>
      <c r="R4659" s="15"/>
      <c r="S4659" s="15"/>
      <c r="U4659" s="15"/>
      <c r="V4659" s="16"/>
    </row>
    <row r="4660" spans="16:22" x14ac:dyDescent="0.35">
      <c r="P4660" s="15"/>
      <c r="Q4660" s="15"/>
      <c r="R4660" s="15"/>
      <c r="S4660" s="15"/>
      <c r="U4660" s="15"/>
    </row>
    <row r="4661" spans="16:22" x14ac:dyDescent="0.35">
      <c r="P4661" s="15"/>
      <c r="Q4661" s="15"/>
      <c r="R4661" s="15"/>
      <c r="S4661" s="15"/>
      <c r="U4661" s="15"/>
      <c r="V4661" s="16"/>
    </row>
    <row r="4662" spans="16:22" x14ac:dyDescent="0.35">
      <c r="P4662" s="15"/>
      <c r="Q4662" s="15"/>
      <c r="R4662" s="15"/>
      <c r="S4662" s="15"/>
      <c r="U4662" s="15"/>
    </row>
    <row r="4663" spans="16:22" x14ac:dyDescent="0.35">
      <c r="P4663" s="15"/>
      <c r="Q4663" s="15"/>
      <c r="R4663" s="15"/>
      <c r="S4663" s="15"/>
      <c r="U4663" s="15"/>
      <c r="V4663" s="16"/>
    </row>
    <row r="4664" spans="16:22" x14ac:dyDescent="0.35">
      <c r="P4664" s="15"/>
      <c r="Q4664" s="15"/>
      <c r="R4664" s="15"/>
      <c r="S4664" s="15"/>
      <c r="U4664" s="15"/>
    </row>
    <row r="4665" spans="16:22" x14ac:dyDescent="0.35">
      <c r="P4665" s="15"/>
      <c r="Q4665" s="15"/>
      <c r="R4665" s="15"/>
      <c r="S4665" s="15"/>
      <c r="U4665" s="15"/>
      <c r="V4665" s="16"/>
    </row>
    <row r="4666" spans="16:22" x14ac:dyDescent="0.35">
      <c r="P4666" s="15"/>
      <c r="Q4666" s="15"/>
      <c r="R4666" s="15"/>
      <c r="S4666" s="15"/>
      <c r="U4666" s="15"/>
    </row>
    <row r="4667" spans="16:22" x14ac:dyDescent="0.35">
      <c r="P4667" s="15"/>
      <c r="Q4667" s="15"/>
      <c r="R4667" s="15"/>
      <c r="S4667" s="15"/>
      <c r="U4667" s="15"/>
      <c r="V4667" s="16"/>
    </row>
    <row r="4668" spans="16:22" x14ac:dyDescent="0.35">
      <c r="P4668" s="15"/>
      <c r="Q4668" s="15"/>
      <c r="R4668" s="15"/>
      <c r="S4668" s="15"/>
      <c r="U4668" s="15"/>
    </row>
    <row r="4669" spans="16:22" x14ac:dyDescent="0.35">
      <c r="P4669" s="15"/>
      <c r="Q4669" s="15"/>
      <c r="R4669" s="15"/>
      <c r="S4669" s="15"/>
      <c r="U4669" s="15"/>
      <c r="V4669" s="16"/>
    </row>
    <row r="4670" spans="16:22" x14ac:dyDescent="0.35">
      <c r="P4670" s="15"/>
      <c r="Q4670" s="15"/>
      <c r="R4670" s="15"/>
      <c r="S4670" s="15"/>
      <c r="U4670" s="15"/>
    </row>
    <row r="4671" spans="16:22" x14ac:dyDescent="0.35">
      <c r="P4671" s="15"/>
      <c r="Q4671" s="15"/>
      <c r="R4671" s="15"/>
      <c r="S4671" s="15"/>
      <c r="U4671" s="15"/>
      <c r="V4671" s="16"/>
    </row>
    <row r="4672" spans="16:22" x14ac:dyDescent="0.35">
      <c r="P4672" s="15"/>
      <c r="Q4672" s="15"/>
      <c r="R4672" s="15"/>
      <c r="S4672" s="15"/>
      <c r="U4672" s="15"/>
    </row>
    <row r="4673" spans="16:22" x14ac:dyDescent="0.35">
      <c r="P4673" s="15"/>
      <c r="Q4673" s="15"/>
      <c r="R4673" s="15"/>
      <c r="S4673" s="15"/>
      <c r="U4673" s="15"/>
      <c r="V4673" s="16"/>
    </row>
    <row r="4674" spans="16:22" x14ac:dyDescent="0.35">
      <c r="P4674" s="15"/>
      <c r="Q4674" s="15"/>
      <c r="R4674" s="15"/>
      <c r="S4674" s="15"/>
      <c r="U4674" s="15"/>
    </row>
    <row r="4675" spans="16:22" x14ac:dyDescent="0.35">
      <c r="P4675" s="15"/>
      <c r="Q4675" s="15"/>
      <c r="R4675" s="15"/>
      <c r="S4675" s="15"/>
      <c r="U4675" s="15"/>
      <c r="V4675" s="16"/>
    </row>
    <row r="4676" spans="16:22" x14ac:dyDescent="0.35">
      <c r="P4676" s="15"/>
      <c r="Q4676" s="15"/>
      <c r="R4676" s="15"/>
      <c r="S4676" s="15"/>
      <c r="U4676" s="15"/>
    </row>
    <row r="4677" spans="16:22" x14ac:dyDescent="0.35">
      <c r="P4677" s="15"/>
      <c r="Q4677" s="15"/>
      <c r="R4677" s="15"/>
      <c r="S4677" s="15"/>
      <c r="U4677" s="15"/>
      <c r="V4677" s="16"/>
    </row>
    <row r="4678" spans="16:22" x14ac:dyDescent="0.35">
      <c r="P4678" s="15"/>
      <c r="Q4678" s="15"/>
      <c r="R4678" s="15"/>
      <c r="S4678" s="15"/>
      <c r="U4678" s="15"/>
    </row>
    <row r="4679" spans="16:22" x14ac:dyDescent="0.35">
      <c r="P4679" s="15"/>
      <c r="Q4679" s="15"/>
      <c r="R4679" s="15"/>
      <c r="S4679" s="15"/>
      <c r="U4679" s="15"/>
      <c r="V4679" s="16"/>
    </row>
    <row r="4680" spans="16:22" x14ac:dyDescent="0.35">
      <c r="P4680" s="15"/>
      <c r="Q4680" s="15"/>
      <c r="R4680" s="15"/>
      <c r="S4680" s="15"/>
      <c r="U4680" s="15"/>
    </row>
    <row r="4681" spans="16:22" x14ac:dyDescent="0.35">
      <c r="P4681" s="15"/>
      <c r="Q4681" s="15"/>
      <c r="R4681" s="15"/>
      <c r="S4681" s="15"/>
      <c r="U4681" s="15"/>
      <c r="V4681" s="16"/>
    </row>
    <row r="4682" spans="16:22" x14ac:dyDescent="0.35">
      <c r="P4682" s="15"/>
      <c r="Q4682" s="15"/>
      <c r="R4682" s="15"/>
      <c r="S4682" s="15"/>
      <c r="U4682" s="15"/>
    </row>
    <row r="4683" spans="16:22" x14ac:dyDescent="0.35">
      <c r="P4683" s="15"/>
      <c r="Q4683" s="15"/>
      <c r="R4683" s="15"/>
      <c r="S4683" s="15"/>
      <c r="U4683" s="15"/>
      <c r="V4683" s="16"/>
    </row>
    <row r="4684" spans="16:22" x14ac:dyDescent="0.35">
      <c r="P4684" s="15"/>
      <c r="Q4684" s="15"/>
      <c r="R4684" s="15"/>
      <c r="S4684" s="15"/>
      <c r="U4684" s="15"/>
    </row>
    <row r="4685" spans="16:22" x14ac:dyDescent="0.35">
      <c r="P4685" s="15"/>
      <c r="Q4685" s="15"/>
      <c r="R4685" s="15"/>
      <c r="S4685" s="15"/>
      <c r="U4685" s="15"/>
      <c r="V4685" s="16"/>
    </row>
    <row r="4686" spans="16:22" x14ac:dyDescent="0.35">
      <c r="P4686" s="15"/>
      <c r="Q4686" s="15"/>
      <c r="R4686" s="15"/>
      <c r="S4686" s="15"/>
      <c r="U4686" s="15"/>
    </row>
    <row r="4687" spans="16:22" x14ac:dyDescent="0.35">
      <c r="P4687" s="15"/>
      <c r="Q4687" s="15"/>
      <c r="R4687" s="15"/>
      <c r="S4687" s="15"/>
      <c r="U4687" s="15"/>
      <c r="V4687" s="16"/>
    </row>
    <row r="4688" spans="16:22" x14ac:dyDescent="0.35">
      <c r="P4688" s="15"/>
      <c r="Q4688" s="15"/>
      <c r="R4688" s="15"/>
      <c r="S4688" s="15"/>
      <c r="U4688" s="15"/>
    </row>
    <row r="4689" spans="16:22" x14ac:dyDescent="0.35">
      <c r="P4689" s="15"/>
      <c r="Q4689" s="15"/>
      <c r="R4689" s="15"/>
      <c r="S4689" s="15"/>
      <c r="U4689" s="15"/>
      <c r="V4689" s="16"/>
    </row>
    <row r="4690" spans="16:22" x14ac:dyDescent="0.35">
      <c r="P4690" s="15"/>
      <c r="Q4690" s="15"/>
      <c r="R4690" s="15"/>
      <c r="S4690" s="15"/>
      <c r="U4690" s="15"/>
    </row>
    <row r="4691" spans="16:22" x14ac:dyDescent="0.35">
      <c r="P4691" s="15"/>
      <c r="Q4691" s="15"/>
      <c r="R4691" s="15"/>
      <c r="S4691" s="15"/>
      <c r="U4691" s="15"/>
      <c r="V4691" s="16"/>
    </row>
    <row r="4692" spans="16:22" x14ac:dyDescent="0.35">
      <c r="P4692" s="15"/>
      <c r="Q4692" s="15"/>
      <c r="R4692" s="15"/>
      <c r="S4692" s="15"/>
      <c r="U4692" s="15"/>
    </row>
    <row r="4693" spans="16:22" x14ac:dyDescent="0.35">
      <c r="P4693" s="15"/>
      <c r="Q4693" s="15"/>
      <c r="R4693" s="15"/>
      <c r="S4693" s="15"/>
      <c r="U4693" s="15"/>
      <c r="V4693" s="16"/>
    </row>
    <row r="4694" spans="16:22" x14ac:dyDescent="0.35">
      <c r="P4694" s="15"/>
      <c r="Q4694" s="15"/>
      <c r="R4694" s="15"/>
      <c r="S4694" s="15"/>
      <c r="U4694" s="15"/>
    </row>
    <row r="4695" spans="16:22" x14ac:dyDescent="0.35">
      <c r="P4695" s="15"/>
      <c r="Q4695" s="15"/>
      <c r="R4695" s="15"/>
      <c r="S4695" s="15"/>
      <c r="U4695" s="15"/>
      <c r="V4695" s="16"/>
    </row>
    <row r="4696" spans="16:22" x14ac:dyDescent="0.35">
      <c r="P4696" s="15"/>
      <c r="Q4696" s="15"/>
      <c r="R4696" s="15"/>
      <c r="S4696" s="15"/>
      <c r="U4696" s="15"/>
    </row>
    <row r="4697" spans="16:22" x14ac:dyDescent="0.35">
      <c r="P4697" s="15"/>
      <c r="Q4697" s="15"/>
      <c r="R4697" s="15"/>
      <c r="S4697" s="15"/>
      <c r="U4697" s="15"/>
      <c r="V4697" s="16"/>
    </row>
    <row r="4698" spans="16:22" x14ac:dyDescent="0.35">
      <c r="P4698" s="15"/>
      <c r="Q4698" s="15"/>
      <c r="R4698" s="15"/>
      <c r="S4698" s="15"/>
      <c r="U4698" s="15"/>
    </row>
    <row r="4699" spans="16:22" x14ac:dyDescent="0.35">
      <c r="P4699" s="15"/>
      <c r="Q4699" s="15"/>
      <c r="R4699" s="15"/>
      <c r="S4699" s="15"/>
      <c r="U4699" s="15"/>
      <c r="V4699" s="16"/>
    </row>
    <row r="4700" spans="16:22" x14ac:dyDescent="0.35">
      <c r="P4700" s="15"/>
      <c r="Q4700" s="15"/>
      <c r="R4700" s="15"/>
      <c r="S4700" s="15"/>
      <c r="U4700" s="15"/>
    </row>
    <row r="4701" spans="16:22" x14ac:dyDescent="0.35">
      <c r="P4701" s="15"/>
      <c r="Q4701" s="15"/>
      <c r="R4701" s="15"/>
      <c r="S4701" s="15"/>
      <c r="U4701" s="15"/>
      <c r="V4701" s="16"/>
    </row>
    <row r="4702" spans="16:22" x14ac:dyDescent="0.35">
      <c r="P4702" s="15"/>
      <c r="Q4702" s="15"/>
      <c r="R4702" s="15"/>
      <c r="S4702" s="15"/>
      <c r="U4702" s="15"/>
    </row>
    <row r="4703" spans="16:22" x14ac:dyDescent="0.35">
      <c r="P4703" s="15"/>
      <c r="Q4703" s="15"/>
      <c r="R4703" s="15"/>
      <c r="S4703" s="15"/>
      <c r="U4703" s="15"/>
      <c r="V4703" s="16"/>
    </row>
    <row r="4704" spans="16:22" x14ac:dyDescent="0.35">
      <c r="P4704" s="15"/>
      <c r="Q4704" s="15"/>
      <c r="R4704" s="15"/>
      <c r="S4704" s="15"/>
      <c r="U4704" s="15"/>
    </row>
    <row r="4705" spans="16:22" x14ac:dyDescent="0.35">
      <c r="P4705" s="15"/>
      <c r="Q4705" s="15"/>
      <c r="R4705" s="15"/>
      <c r="S4705" s="15"/>
      <c r="U4705" s="15"/>
      <c r="V4705" s="16"/>
    </row>
    <row r="4706" spans="16:22" x14ac:dyDescent="0.35">
      <c r="P4706" s="15"/>
      <c r="Q4706" s="15"/>
      <c r="R4706" s="15"/>
      <c r="S4706" s="15"/>
      <c r="U4706" s="15"/>
    </row>
    <row r="4707" spans="16:22" x14ac:dyDescent="0.35">
      <c r="P4707" s="15"/>
      <c r="Q4707" s="15"/>
      <c r="R4707" s="15"/>
      <c r="S4707" s="15"/>
      <c r="U4707" s="15"/>
      <c r="V4707" s="16"/>
    </row>
    <row r="4708" spans="16:22" x14ac:dyDescent="0.35">
      <c r="P4708" s="15"/>
      <c r="Q4708" s="15"/>
      <c r="R4708" s="15"/>
      <c r="S4708" s="15"/>
      <c r="U4708" s="15"/>
    </row>
    <row r="4709" spans="16:22" x14ac:dyDescent="0.35">
      <c r="P4709" s="15"/>
      <c r="Q4709" s="15"/>
      <c r="R4709" s="15"/>
      <c r="S4709" s="15"/>
      <c r="U4709" s="15"/>
      <c r="V4709" s="16"/>
    </row>
    <row r="4710" spans="16:22" x14ac:dyDescent="0.35">
      <c r="P4710" s="15"/>
      <c r="Q4710" s="15"/>
      <c r="R4710" s="15"/>
      <c r="S4710" s="15"/>
      <c r="U4710" s="15"/>
    </row>
    <row r="4711" spans="16:22" x14ac:dyDescent="0.35">
      <c r="P4711" s="15"/>
      <c r="Q4711" s="15"/>
      <c r="R4711" s="15"/>
      <c r="S4711" s="15"/>
      <c r="U4711" s="15"/>
      <c r="V4711" s="16"/>
    </row>
    <row r="4712" spans="16:22" x14ac:dyDescent="0.35">
      <c r="P4712" s="15"/>
      <c r="Q4712" s="15"/>
      <c r="R4712" s="15"/>
      <c r="S4712" s="15"/>
      <c r="U4712" s="15"/>
    </row>
    <row r="4713" spans="16:22" x14ac:dyDescent="0.35">
      <c r="P4713" s="15"/>
      <c r="Q4713" s="15"/>
      <c r="R4713" s="15"/>
      <c r="S4713" s="15"/>
      <c r="U4713" s="15"/>
      <c r="V4713" s="16"/>
    </row>
    <row r="4714" spans="16:22" x14ac:dyDescent="0.35">
      <c r="P4714" s="15"/>
      <c r="Q4714" s="15"/>
      <c r="R4714" s="15"/>
      <c r="S4714" s="15"/>
      <c r="U4714" s="15"/>
    </row>
    <row r="4715" spans="16:22" x14ac:dyDescent="0.35">
      <c r="P4715" s="15"/>
      <c r="Q4715" s="15"/>
      <c r="R4715" s="15"/>
      <c r="S4715" s="15"/>
      <c r="U4715" s="15"/>
      <c r="V4715" s="16"/>
    </row>
    <row r="4716" spans="16:22" x14ac:dyDescent="0.35">
      <c r="P4716" s="15"/>
      <c r="Q4716" s="15"/>
      <c r="R4716" s="15"/>
      <c r="S4716" s="15"/>
      <c r="U4716" s="15"/>
    </row>
    <row r="4717" spans="16:22" x14ac:dyDescent="0.35">
      <c r="P4717" s="15"/>
      <c r="Q4717" s="15"/>
      <c r="R4717" s="15"/>
      <c r="S4717" s="15"/>
      <c r="U4717" s="15"/>
      <c r="V4717" s="16"/>
    </row>
    <row r="4718" spans="16:22" x14ac:dyDescent="0.35">
      <c r="P4718" s="15"/>
      <c r="Q4718" s="15"/>
      <c r="R4718" s="15"/>
      <c r="S4718" s="15"/>
      <c r="U4718" s="15"/>
    </row>
    <row r="4719" spans="16:22" x14ac:dyDescent="0.35">
      <c r="P4719" s="15"/>
      <c r="Q4719" s="15"/>
      <c r="R4719" s="15"/>
      <c r="S4719" s="15"/>
      <c r="U4719" s="15"/>
      <c r="V4719" s="16"/>
    </row>
    <row r="4720" spans="16:22" x14ac:dyDescent="0.35">
      <c r="P4720" s="15"/>
      <c r="Q4720" s="15"/>
      <c r="R4720" s="15"/>
      <c r="S4720" s="15"/>
      <c r="U4720" s="15"/>
    </row>
    <row r="4721" spans="16:22" x14ac:dyDescent="0.35">
      <c r="P4721" s="15"/>
      <c r="Q4721" s="15"/>
      <c r="R4721" s="15"/>
      <c r="S4721" s="15"/>
      <c r="U4721" s="15"/>
      <c r="V4721" s="16"/>
    </row>
    <row r="4722" spans="16:22" x14ac:dyDescent="0.35">
      <c r="P4722" s="15"/>
      <c r="Q4722" s="15"/>
      <c r="R4722" s="15"/>
      <c r="S4722" s="15"/>
      <c r="U4722" s="15"/>
    </row>
    <row r="4723" spans="16:22" x14ac:dyDescent="0.35">
      <c r="P4723" s="15"/>
      <c r="Q4723" s="15"/>
      <c r="R4723" s="15"/>
      <c r="S4723" s="15"/>
      <c r="U4723" s="15"/>
      <c r="V4723" s="16"/>
    </row>
    <row r="4724" spans="16:22" x14ac:dyDescent="0.35">
      <c r="P4724" s="15"/>
      <c r="Q4724" s="15"/>
      <c r="R4724" s="15"/>
      <c r="S4724" s="15"/>
      <c r="U4724" s="15"/>
    </row>
    <row r="4725" spans="16:22" x14ac:dyDescent="0.35">
      <c r="P4725" s="15"/>
      <c r="Q4725" s="15"/>
      <c r="R4725" s="15"/>
      <c r="S4725" s="15"/>
      <c r="U4725" s="15"/>
      <c r="V4725" s="16"/>
    </row>
    <row r="5364" spans="13:25" x14ac:dyDescent="0.35">
      <c r="M5364" s="13"/>
      <c r="O5364" s="13"/>
      <c r="P5364" s="13"/>
      <c r="Q5364" s="13"/>
      <c r="R5364" s="13"/>
      <c r="S5364" s="13"/>
      <c r="T5364" s="13"/>
      <c r="U5364" s="13"/>
      <c r="V5364" s="13"/>
      <c r="W5364" s="13"/>
      <c r="X5364" s="13"/>
      <c r="Y5364" s="13"/>
    </row>
    <row r="5406" spans="13:25" x14ac:dyDescent="0.35">
      <c r="M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3"/>
      <c r="Y5406" s="13"/>
    </row>
    <row r="5407" spans="13:25" x14ac:dyDescent="0.35">
      <c r="M5407" s="13"/>
      <c r="O5407" s="13"/>
      <c r="P5407" s="13"/>
      <c r="Q5407" s="13"/>
      <c r="R5407" s="13"/>
      <c r="S5407" s="13"/>
      <c r="T5407" s="13"/>
      <c r="U5407" s="13"/>
      <c r="V5407" s="13"/>
      <c r="W5407" s="13"/>
      <c r="X5407" s="13"/>
      <c r="Y5407" s="13"/>
    </row>
    <row r="5408" spans="13:25" x14ac:dyDescent="0.35">
      <c r="M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3"/>
      <c r="Y5408" s="13"/>
    </row>
    <row r="5409" spans="13:25" x14ac:dyDescent="0.35">
      <c r="M5409" s="13"/>
      <c r="O5409" s="13"/>
      <c r="P5409" s="13"/>
      <c r="Q5409" s="13"/>
      <c r="R5409" s="13"/>
      <c r="S5409" s="13"/>
      <c r="T5409" s="13"/>
      <c r="U5409" s="13"/>
      <c r="V5409" s="13"/>
      <c r="W5409" s="13"/>
      <c r="X5409" s="13"/>
      <c r="Y5409" s="13"/>
    </row>
    <row r="5410" spans="13:25" x14ac:dyDescent="0.35">
      <c r="M5410" s="13"/>
      <c r="O5410" s="13"/>
      <c r="P5410" s="13"/>
      <c r="Q5410" s="13"/>
      <c r="R5410" s="13"/>
      <c r="S5410" s="13"/>
      <c r="T5410" s="13"/>
      <c r="U5410" s="13"/>
      <c r="V5410" s="13"/>
      <c r="W5410" s="13"/>
      <c r="X5410" s="13"/>
      <c r="Y5410" s="13"/>
    </row>
    <row r="5850" spans="1:25" s="13" customFormat="1" x14ac:dyDescent="0.35">
      <c r="A5850" s="5"/>
      <c r="B5850" s="5"/>
      <c r="C5850" s="5"/>
      <c r="D5850" s="6"/>
      <c r="E5850" s="5"/>
      <c r="F5850" s="6"/>
      <c r="G5850" s="5"/>
      <c r="H5850" s="5"/>
      <c r="I5850" s="5"/>
      <c r="J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</row>
    <row r="5892" spans="1:25" s="13" customFormat="1" x14ac:dyDescent="0.35">
      <c r="A5892" s="5"/>
      <c r="B5892" s="5"/>
      <c r="C5892" s="5"/>
      <c r="D5892" s="6"/>
      <c r="E5892" s="5"/>
      <c r="F5892" s="6"/>
      <c r="G5892" s="5"/>
      <c r="H5892" s="5"/>
      <c r="I5892" s="5"/>
      <c r="J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</row>
    <row r="5893" spans="1:25" s="13" customFormat="1" x14ac:dyDescent="0.35">
      <c r="A5893" s="5"/>
      <c r="B5893" s="5"/>
      <c r="C5893" s="5"/>
      <c r="D5893" s="6"/>
      <c r="E5893" s="5"/>
      <c r="F5893" s="6"/>
      <c r="G5893" s="5"/>
      <c r="H5893" s="5"/>
      <c r="I5893" s="5"/>
      <c r="J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</row>
    <row r="5894" spans="1:25" s="13" customFormat="1" x14ac:dyDescent="0.35">
      <c r="A5894" s="5"/>
      <c r="B5894" s="5"/>
      <c r="C5894" s="5"/>
      <c r="D5894" s="6"/>
      <c r="E5894" s="5"/>
      <c r="F5894" s="6"/>
      <c r="G5894" s="5"/>
      <c r="H5894" s="5"/>
      <c r="I5894" s="5"/>
      <c r="J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</row>
    <row r="5895" spans="1:25" s="13" customFormat="1" x14ac:dyDescent="0.35">
      <c r="A5895" s="5"/>
      <c r="B5895" s="5"/>
      <c r="C5895" s="5"/>
      <c r="D5895" s="6"/>
      <c r="E5895" s="5"/>
      <c r="F5895" s="6"/>
      <c r="G5895" s="5"/>
      <c r="H5895" s="5"/>
      <c r="I5895" s="5"/>
      <c r="J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</row>
    <row r="5896" spans="1:25" s="13" customFormat="1" x14ac:dyDescent="0.35">
      <c r="A5896" s="5"/>
      <c r="B5896" s="5"/>
      <c r="C5896" s="5"/>
      <c r="D5896" s="6"/>
      <c r="E5896" s="5"/>
      <c r="F5896" s="6"/>
      <c r="G5896" s="5"/>
      <c r="H5896" s="5"/>
      <c r="I5896" s="5"/>
      <c r="J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</row>
  </sheetData>
  <autoFilter ref="C2:J166" xr:uid="{00000000-0009-0000-0000-000003000000}">
    <sortState xmlns:xlrd2="http://schemas.microsoft.com/office/spreadsheetml/2017/richdata2" ref="C2:I7028">
      <sortCondition ref="C1:C7028"/>
    </sortState>
  </autoFilter>
  <mergeCells count="2">
    <mergeCell ref="C1:J1"/>
    <mergeCell ref="M1:Y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896"/>
  <sheetViews>
    <sheetView zoomScale="70" zoomScaleNormal="70" zoomScalePageLayoutView="70" workbookViewId="0">
      <selection activeCell="S36" sqref="S36"/>
    </sheetView>
  </sheetViews>
  <sheetFormatPr defaultColWidth="8.81640625" defaultRowHeight="14.5" x14ac:dyDescent="0.35"/>
  <cols>
    <col min="1" max="1" width="8.81640625" style="5"/>
    <col min="2" max="2" width="8.81640625" style="5" customWidth="1"/>
    <col min="3" max="3" width="8.81640625" style="5"/>
    <col min="4" max="4" width="32" style="6" customWidth="1"/>
    <col min="5" max="5" width="26.1796875" style="5" customWidth="1"/>
    <col min="6" max="6" width="36.1796875" style="6" customWidth="1"/>
    <col min="7" max="7" width="23.7265625" style="5" bestFit="1" customWidth="1"/>
    <col min="8" max="8" width="15.7265625" style="5" bestFit="1" customWidth="1"/>
    <col min="9" max="9" width="7.7265625" style="5" customWidth="1"/>
    <col min="10" max="10" width="20.81640625" style="5" bestFit="1" customWidth="1"/>
    <col min="11" max="14" width="8.81640625" style="5"/>
    <col min="15" max="15" width="15.26953125" style="5" bestFit="1" customWidth="1"/>
    <col min="16" max="16" width="8.81640625" style="5"/>
    <col min="17" max="17" width="12.1796875" style="5" customWidth="1"/>
    <col min="18" max="19" width="16.26953125" style="5" bestFit="1" customWidth="1"/>
    <col min="20" max="20" width="11.453125" style="5" bestFit="1" customWidth="1"/>
    <col min="21" max="21" width="8.81640625" style="5"/>
    <col min="22" max="22" width="10.453125" style="5" customWidth="1"/>
    <col min="23" max="23" width="9.26953125" style="5" bestFit="1" customWidth="1"/>
    <col min="24" max="24" width="14.81640625" style="5" bestFit="1" customWidth="1"/>
    <col min="25" max="25" width="15" style="5" bestFit="1" customWidth="1"/>
    <col min="26" max="26" width="8.81640625" style="5"/>
    <col min="27" max="27" width="17.7265625" style="5" bestFit="1" customWidth="1"/>
    <col min="28" max="16384" width="8.81640625" style="5"/>
  </cols>
  <sheetData>
    <row r="1" spans="1:28" x14ac:dyDescent="0.35">
      <c r="C1" s="53" t="s">
        <v>180</v>
      </c>
      <c r="D1" s="53"/>
      <c r="E1" s="53"/>
      <c r="F1" s="53"/>
      <c r="G1" s="53"/>
      <c r="H1" s="53"/>
      <c r="I1" s="53"/>
      <c r="J1" s="53"/>
      <c r="M1" s="54" t="s">
        <v>181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8" s="4" customFormat="1" ht="39.75" customHeight="1" x14ac:dyDescent="0.35">
      <c r="C2" s="4" t="s">
        <v>182</v>
      </c>
      <c r="D2" s="6" t="s">
        <v>183</v>
      </c>
      <c r="E2" s="4" t="s">
        <v>184</v>
      </c>
      <c r="F2" s="6" t="s">
        <v>185</v>
      </c>
      <c r="G2" s="4" t="s">
        <v>186</v>
      </c>
      <c r="H2" s="4" t="s">
        <v>178</v>
      </c>
      <c r="I2" s="4" t="s">
        <v>178</v>
      </c>
      <c r="J2" s="7" t="s">
        <v>187</v>
      </c>
      <c r="M2" s="4" t="s">
        <v>188</v>
      </c>
      <c r="N2" s="4" t="s">
        <v>182</v>
      </c>
      <c r="P2" s="8" t="s">
        <v>189</v>
      </c>
      <c r="Q2" s="8" t="s">
        <v>190</v>
      </c>
      <c r="R2" s="8" t="s">
        <v>191</v>
      </c>
      <c r="S2" s="8" t="s">
        <v>192</v>
      </c>
      <c r="T2" s="8" t="s">
        <v>193</v>
      </c>
      <c r="U2" s="8" t="s">
        <v>194</v>
      </c>
      <c r="V2" s="8" t="s">
        <v>195</v>
      </c>
      <c r="W2" s="8" t="s">
        <v>196</v>
      </c>
      <c r="X2" s="8" t="s">
        <v>197</v>
      </c>
      <c r="Y2" s="8" t="s">
        <v>198</v>
      </c>
      <c r="AA2" s="6" t="s">
        <v>199</v>
      </c>
    </row>
    <row r="3" spans="1:28" x14ac:dyDescent="0.35">
      <c r="A3" s="5">
        <v>1</v>
      </c>
      <c r="B3" s="5" t="str">
        <f t="shared" ref="B3:B66" si="0">CONCATENATE(C3,I3)</f>
        <v>GA1</v>
      </c>
      <c r="C3" t="s">
        <v>219</v>
      </c>
      <c r="D3" t="s">
        <v>1280</v>
      </c>
      <c r="E3" t="s">
        <v>1114</v>
      </c>
      <c r="F3" t="s">
        <v>1116</v>
      </c>
      <c r="G3">
        <v>2</v>
      </c>
      <c r="H3" t="s">
        <v>310</v>
      </c>
      <c r="I3">
        <v>1</v>
      </c>
      <c r="J3" s="40">
        <v>329.99</v>
      </c>
      <c r="M3" s="5" t="str">
        <f t="shared" ref="M3:M18" si="1">CONCATENATE(N3,P3)</f>
        <v>GA1</v>
      </c>
      <c r="N3" s="5" t="s">
        <v>219</v>
      </c>
      <c r="O3" s="5" t="s">
        <v>3</v>
      </c>
      <c r="P3" s="5">
        <v>1</v>
      </c>
      <c r="Q3" s="4">
        <f>COUNTIF(B$3:B$343,M3)</f>
        <v>11</v>
      </c>
      <c r="R3" s="5">
        <f>MATCH(M3,B$3:B$343,0)</f>
        <v>1</v>
      </c>
      <c r="S3" s="5">
        <f>INDEX(J$3:J$343,R3+1)</f>
        <v>335.67</v>
      </c>
      <c r="T3" s="5">
        <f t="shared" ref="T3:T18" si="2">VLOOKUP(R3+1,Silverplans,10,FALSE)</f>
        <v>335.67</v>
      </c>
      <c r="U3" s="5">
        <f>_xlfn.IFNA(VLOOKUP(N3,AgeFactors,2,FALSE),AgeFactors!$E$25)</f>
        <v>1.048</v>
      </c>
      <c r="V3" s="9">
        <f t="shared" ref="V3:V18" si="3">T3/U3</f>
        <v>320.29580152671758</v>
      </c>
      <c r="W3" s="10">
        <f t="shared" ref="W3:W18" si="4">VLOOKUP(M3,Weight,4,FALSE)</f>
        <v>9027</v>
      </c>
      <c r="X3" s="10">
        <f t="shared" ref="X3:X18" si="5">_xlfn.IFNA(W3,0)</f>
        <v>9027</v>
      </c>
      <c r="Y3" s="10">
        <f t="shared" ref="Y3:Y18" si="6">_xlfn.IFNA(W3*V3,0)</f>
        <v>2891310.2003816795</v>
      </c>
      <c r="AA3" s="5" t="s">
        <v>202</v>
      </c>
      <c r="AB3" s="5">
        <f>V21</f>
        <v>215.1259292708512</v>
      </c>
    </row>
    <row r="4" spans="1:28" x14ac:dyDescent="0.35">
      <c r="A4" s="5">
        <v>2</v>
      </c>
      <c r="B4" s="5" t="str">
        <f t="shared" si="0"/>
        <v>GA1</v>
      </c>
      <c r="C4" t="s">
        <v>219</v>
      </c>
      <c r="D4" t="s">
        <v>1134</v>
      </c>
      <c r="E4" t="s">
        <v>1188</v>
      </c>
      <c r="F4" t="s">
        <v>1189</v>
      </c>
      <c r="G4">
        <v>2</v>
      </c>
      <c r="H4" t="s">
        <v>310</v>
      </c>
      <c r="I4">
        <v>1</v>
      </c>
      <c r="J4" s="40">
        <v>335.67</v>
      </c>
      <c r="M4" s="5" t="str">
        <f t="shared" si="1"/>
        <v>GA2</v>
      </c>
      <c r="N4" s="5" t="s">
        <v>219</v>
      </c>
      <c r="O4" s="5" t="s">
        <v>16</v>
      </c>
      <c r="P4" s="5">
        <v>2</v>
      </c>
      <c r="Q4" s="4">
        <f t="shared" ref="Q4:Q18" si="7">COUNTIF(B$3:B$343,M4)</f>
        <v>33</v>
      </c>
      <c r="R4" s="5">
        <f t="shared" ref="R4:R18" si="8">MATCH(M4,B$3:B$343,0)</f>
        <v>12</v>
      </c>
      <c r="S4" s="5">
        <f t="shared" ref="S4:S18" si="9">INDEX(J$3:J$343,R4+1)</f>
        <v>216.47</v>
      </c>
      <c r="T4" s="5">
        <f t="shared" si="2"/>
        <v>216.47</v>
      </c>
      <c r="U4" s="5">
        <f>_xlfn.IFNA(VLOOKUP(N4,AgeFactors,2,FALSE),AgeFactors!$E$25)</f>
        <v>1.048</v>
      </c>
      <c r="V4" s="9">
        <f t="shared" si="3"/>
        <v>206.55534351145036</v>
      </c>
      <c r="W4" s="10">
        <f t="shared" si="4"/>
        <v>14591</v>
      </c>
      <c r="X4" s="10">
        <f t="shared" si="5"/>
        <v>14591</v>
      </c>
      <c r="Y4" s="10">
        <f t="shared" si="6"/>
        <v>3013849.017175572</v>
      </c>
      <c r="AA4" s="5" t="s">
        <v>203</v>
      </c>
      <c r="AB4" s="9">
        <f>V19</f>
        <v>252.89122137404581</v>
      </c>
    </row>
    <row r="5" spans="1:28" x14ac:dyDescent="0.35">
      <c r="A5" s="5">
        <v>3</v>
      </c>
      <c r="B5" s="5" t="str">
        <f t="shared" si="0"/>
        <v>GA1</v>
      </c>
      <c r="C5" t="s">
        <v>219</v>
      </c>
      <c r="D5" t="s">
        <v>1239</v>
      </c>
      <c r="E5" t="s">
        <v>969</v>
      </c>
      <c r="F5" t="s">
        <v>970</v>
      </c>
      <c r="G5">
        <v>2</v>
      </c>
      <c r="H5" t="s">
        <v>310</v>
      </c>
      <c r="I5">
        <v>1</v>
      </c>
      <c r="J5" s="40">
        <v>341.9</v>
      </c>
      <c r="M5" s="5" t="str">
        <f t="shared" si="1"/>
        <v>GA3</v>
      </c>
      <c r="N5" s="5" t="s">
        <v>219</v>
      </c>
      <c r="O5" s="5" t="s">
        <v>26</v>
      </c>
      <c r="P5" s="5">
        <v>3</v>
      </c>
      <c r="Q5" s="4">
        <f t="shared" si="7"/>
        <v>34</v>
      </c>
      <c r="R5" s="5">
        <f t="shared" si="8"/>
        <v>45</v>
      </c>
      <c r="S5" s="5">
        <f t="shared" si="9"/>
        <v>208.45</v>
      </c>
      <c r="T5" s="5">
        <f t="shared" si="2"/>
        <v>208.45</v>
      </c>
      <c r="U5" s="5">
        <f>_xlfn.IFNA(VLOOKUP(N5,AgeFactors,2,FALSE),AgeFactors!$E$25)</f>
        <v>1.048</v>
      </c>
      <c r="V5" s="9">
        <f t="shared" si="3"/>
        <v>198.90267175572518</v>
      </c>
      <c r="W5" s="10">
        <f t="shared" si="4"/>
        <v>341300</v>
      </c>
      <c r="X5" s="10">
        <f t="shared" si="5"/>
        <v>341300</v>
      </c>
      <c r="Y5" s="10">
        <f t="shared" si="6"/>
        <v>67885481.870229006</v>
      </c>
      <c r="AA5" s="5" t="s">
        <v>204</v>
      </c>
      <c r="AB5" s="9">
        <f>V20</f>
        <v>250.88501908396944</v>
      </c>
    </row>
    <row r="6" spans="1:28" x14ac:dyDescent="0.35">
      <c r="A6" s="5">
        <v>4</v>
      </c>
      <c r="B6" s="5" t="str">
        <f t="shared" si="0"/>
        <v>GA1</v>
      </c>
      <c r="C6" t="s">
        <v>219</v>
      </c>
      <c r="D6" t="s">
        <v>1280</v>
      </c>
      <c r="E6" t="s">
        <v>1113</v>
      </c>
      <c r="F6" t="s">
        <v>1118</v>
      </c>
      <c r="G6">
        <v>2</v>
      </c>
      <c r="H6" t="s">
        <v>310</v>
      </c>
      <c r="I6">
        <v>1</v>
      </c>
      <c r="J6" s="40">
        <v>342.43</v>
      </c>
      <c r="M6" s="5" t="str">
        <f t="shared" si="1"/>
        <v>GA4</v>
      </c>
      <c r="N6" s="5" t="s">
        <v>219</v>
      </c>
      <c r="O6" s="5" t="s">
        <v>48</v>
      </c>
      <c r="P6" s="5">
        <v>4</v>
      </c>
      <c r="Q6" s="4">
        <f t="shared" si="7"/>
        <v>17</v>
      </c>
      <c r="R6" s="5">
        <f t="shared" si="8"/>
        <v>79</v>
      </c>
      <c r="S6" s="5">
        <f t="shared" si="9"/>
        <v>263.5</v>
      </c>
      <c r="T6" s="5">
        <f t="shared" si="2"/>
        <v>263.5</v>
      </c>
      <c r="U6" s="5">
        <f>_xlfn.IFNA(VLOOKUP(N6,AgeFactors,2,FALSE),AgeFactors!$E$25)</f>
        <v>1.048</v>
      </c>
      <c r="V6" s="9">
        <f t="shared" si="3"/>
        <v>251.43129770992365</v>
      </c>
      <c r="W6" s="10">
        <f t="shared" si="4"/>
        <v>7945</v>
      </c>
      <c r="X6" s="10">
        <f t="shared" si="5"/>
        <v>7945</v>
      </c>
      <c r="Y6" s="10">
        <f t="shared" si="6"/>
        <v>1997621.6603053433</v>
      </c>
    </row>
    <row r="7" spans="1:28" x14ac:dyDescent="0.35">
      <c r="A7" s="5">
        <v>5</v>
      </c>
      <c r="B7" s="5" t="str">
        <f t="shared" si="0"/>
        <v>GA1</v>
      </c>
      <c r="C7" t="s">
        <v>219</v>
      </c>
      <c r="D7" t="s">
        <v>1280</v>
      </c>
      <c r="E7" t="s">
        <v>1115</v>
      </c>
      <c r="F7" t="s">
        <v>1128</v>
      </c>
      <c r="G7">
        <v>2</v>
      </c>
      <c r="H7" t="s">
        <v>310</v>
      </c>
      <c r="I7">
        <v>1</v>
      </c>
      <c r="J7" s="40">
        <v>342.43</v>
      </c>
      <c r="M7" s="5" t="str">
        <f t="shared" si="1"/>
        <v>GA5</v>
      </c>
      <c r="N7" s="5" t="s">
        <v>219</v>
      </c>
      <c r="O7" s="5" t="s">
        <v>52</v>
      </c>
      <c r="P7" s="5">
        <v>5</v>
      </c>
      <c r="Q7" s="4">
        <f t="shared" si="7"/>
        <v>14</v>
      </c>
      <c r="R7" s="5">
        <f t="shared" si="8"/>
        <v>96</v>
      </c>
      <c r="S7" s="5">
        <f t="shared" si="9"/>
        <v>235.11</v>
      </c>
      <c r="T7" s="5">
        <f t="shared" si="2"/>
        <v>235.11</v>
      </c>
      <c r="U7" s="5">
        <f>_xlfn.IFNA(VLOOKUP(N7,AgeFactors,2,FALSE),AgeFactors!$E$25)</f>
        <v>1.048</v>
      </c>
      <c r="V7" s="9">
        <f t="shared" si="3"/>
        <v>224.34160305343511</v>
      </c>
      <c r="W7" s="10">
        <f t="shared" si="4"/>
        <v>22577</v>
      </c>
      <c r="X7" s="10">
        <f t="shared" si="5"/>
        <v>22577</v>
      </c>
      <c r="Y7" s="10">
        <f t="shared" si="6"/>
        <v>5064960.372137404</v>
      </c>
    </row>
    <row r="8" spans="1:28" x14ac:dyDescent="0.35">
      <c r="A8" s="5">
        <v>6</v>
      </c>
      <c r="B8" s="5" t="str">
        <f t="shared" si="0"/>
        <v>GA1</v>
      </c>
      <c r="C8" t="s">
        <v>219</v>
      </c>
      <c r="D8" t="s">
        <v>1134</v>
      </c>
      <c r="E8" t="s">
        <v>1206</v>
      </c>
      <c r="F8" t="s">
        <v>1033</v>
      </c>
      <c r="G8">
        <v>2</v>
      </c>
      <c r="H8" t="s">
        <v>310</v>
      </c>
      <c r="I8">
        <v>1</v>
      </c>
      <c r="J8" s="40">
        <v>354.55</v>
      </c>
      <c r="M8" s="5" t="str">
        <f t="shared" si="1"/>
        <v>GA6</v>
      </c>
      <c r="N8" s="5" t="s">
        <v>219</v>
      </c>
      <c r="O8" s="5" t="s">
        <v>65</v>
      </c>
      <c r="P8" s="5">
        <v>6</v>
      </c>
      <c r="Q8" s="4">
        <f t="shared" si="7"/>
        <v>12</v>
      </c>
      <c r="R8" s="5">
        <f t="shared" si="8"/>
        <v>110</v>
      </c>
      <c r="S8" s="5">
        <f t="shared" si="9"/>
        <v>287.36</v>
      </c>
      <c r="T8" s="5">
        <f t="shared" si="2"/>
        <v>287.36</v>
      </c>
      <c r="U8" s="5">
        <f>_xlfn.IFNA(VLOOKUP(N8,AgeFactors,2,FALSE),AgeFactors!$E$25)</f>
        <v>1.048</v>
      </c>
      <c r="V8" s="9">
        <f t="shared" si="3"/>
        <v>274.19847328244276</v>
      </c>
      <c r="W8" s="10">
        <f t="shared" si="4"/>
        <v>12955</v>
      </c>
      <c r="X8" s="10">
        <f t="shared" si="5"/>
        <v>12955</v>
      </c>
      <c r="Y8" s="10">
        <f t="shared" si="6"/>
        <v>3552241.2213740461</v>
      </c>
    </row>
    <row r="9" spans="1:28" x14ac:dyDescent="0.35">
      <c r="A9" s="5">
        <v>7</v>
      </c>
      <c r="B9" s="5" t="str">
        <f t="shared" si="0"/>
        <v>GA1</v>
      </c>
      <c r="C9" t="s">
        <v>219</v>
      </c>
      <c r="D9" t="s">
        <v>1239</v>
      </c>
      <c r="E9" t="s">
        <v>963</v>
      </c>
      <c r="F9" t="s">
        <v>964</v>
      </c>
      <c r="G9">
        <v>2</v>
      </c>
      <c r="H9" t="s">
        <v>310</v>
      </c>
      <c r="I9">
        <v>1</v>
      </c>
      <c r="J9" s="40">
        <v>355.11</v>
      </c>
      <c r="M9" s="5" t="str">
        <f t="shared" si="1"/>
        <v>GA7</v>
      </c>
      <c r="N9" s="5" t="s">
        <v>219</v>
      </c>
      <c r="O9" s="5" t="s">
        <v>75</v>
      </c>
      <c r="P9" s="5">
        <v>7</v>
      </c>
      <c r="Q9" s="4">
        <f t="shared" si="7"/>
        <v>13</v>
      </c>
      <c r="R9" s="5">
        <f t="shared" si="8"/>
        <v>122</v>
      </c>
      <c r="S9" s="5">
        <f t="shared" si="9"/>
        <v>266.56</v>
      </c>
      <c r="T9" s="5">
        <f t="shared" si="2"/>
        <v>266.56</v>
      </c>
      <c r="U9" s="5">
        <f>_xlfn.IFNA(VLOOKUP(N9,AgeFactors,2,FALSE),AgeFactors!$E$25)</f>
        <v>1.048</v>
      </c>
      <c r="V9" s="9">
        <f t="shared" si="3"/>
        <v>254.35114503816794</v>
      </c>
      <c r="W9" s="10">
        <f t="shared" si="4"/>
        <v>5220</v>
      </c>
      <c r="X9" s="10">
        <f t="shared" si="5"/>
        <v>5220</v>
      </c>
      <c r="Y9" s="10">
        <f t="shared" si="6"/>
        <v>1327712.9770992366</v>
      </c>
    </row>
    <row r="10" spans="1:28" x14ac:dyDescent="0.35">
      <c r="A10" s="5">
        <v>8</v>
      </c>
      <c r="B10" s="5" t="str">
        <f t="shared" si="0"/>
        <v>GA1</v>
      </c>
      <c r="C10" t="s">
        <v>219</v>
      </c>
      <c r="D10" t="s">
        <v>1239</v>
      </c>
      <c r="E10" t="s">
        <v>965</v>
      </c>
      <c r="F10" t="s">
        <v>966</v>
      </c>
      <c r="G10">
        <v>2</v>
      </c>
      <c r="H10" t="s">
        <v>310</v>
      </c>
      <c r="I10">
        <v>1</v>
      </c>
      <c r="J10" s="40">
        <v>356.22</v>
      </c>
      <c r="M10" s="5" t="str">
        <f t="shared" si="1"/>
        <v>GA8</v>
      </c>
      <c r="N10" s="5" t="s">
        <v>219</v>
      </c>
      <c r="O10" s="5" t="s">
        <v>79</v>
      </c>
      <c r="P10" s="5">
        <v>8</v>
      </c>
      <c r="Q10" s="4">
        <f t="shared" si="7"/>
        <v>25</v>
      </c>
      <c r="R10" s="5">
        <f t="shared" si="8"/>
        <v>135</v>
      </c>
      <c r="S10" s="5">
        <f t="shared" si="9"/>
        <v>237.38</v>
      </c>
      <c r="T10" s="5">
        <f t="shared" si="2"/>
        <v>237.38</v>
      </c>
      <c r="U10" s="5">
        <f>_xlfn.IFNA(VLOOKUP(N10,AgeFactors,2,FALSE),AgeFactors!$E$25)</f>
        <v>1.048</v>
      </c>
      <c r="V10" s="9">
        <f t="shared" si="3"/>
        <v>226.50763358778624</v>
      </c>
      <c r="W10" s="10">
        <f t="shared" si="4"/>
        <v>13483</v>
      </c>
      <c r="X10" s="10">
        <f t="shared" si="5"/>
        <v>13483</v>
      </c>
      <c r="Y10" s="10">
        <f t="shared" si="6"/>
        <v>3054002.4236641219</v>
      </c>
    </row>
    <row r="11" spans="1:28" x14ac:dyDescent="0.35">
      <c r="A11" s="5">
        <v>9</v>
      </c>
      <c r="B11" s="5" t="str">
        <f t="shared" si="0"/>
        <v>GA1</v>
      </c>
      <c r="C11" t="s">
        <v>219</v>
      </c>
      <c r="D11" t="s">
        <v>1239</v>
      </c>
      <c r="E11" t="s">
        <v>961</v>
      </c>
      <c r="F11" t="s">
        <v>962</v>
      </c>
      <c r="G11">
        <v>2</v>
      </c>
      <c r="H11" t="s">
        <v>310</v>
      </c>
      <c r="I11">
        <v>1</v>
      </c>
      <c r="J11" s="40">
        <v>356.52</v>
      </c>
      <c r="M11" s="5" t="str">
        <f t="shared" si="1"/>
        <v>GA9</v>
      </c>
      <c r="N11" s="5" t="s">
        <v>219</v>
      </c>
      <c r="O11" s="5" t="s">
        <v>93</v>
      </c>
      <c r="P11" s="5">
        <v>9</v>
      </c>
      <c r="Q11" s="4">
        <f t="shared" si="7"/>
        <v>14</v>
      </c>
      <c r="R11" s="5">
        <f t="shared" si="8"/>
        <v>160</v>
      </c>
      <c r="S11" s="5">
        <f t="shared" si="9"/>
        <v>271.01</v>
      </c>
      <c r="T11" s="5">
        <f t="shared" si="2"/>
        <v>271.01</v>
      </c>
      <c r="U11" s="5">
        <f>_xlfn.IFNA(VLOOKUP(N11,AgeFactors,2,FALSE),AgeFactors!$E$25)</f>
        <v>1.048</v>
      </c>
      <c r="V11" s="9">
        <f t="shared" si="3"/>
        <v>258.59732824427476</v>
      </c>
      <c r="W11" s="10">
        <f t="shared" si="4"/>
        <v>5564</v>
      </c>
      <c r="X11" s="10">
        <f t="shared" si="5"/>
        <v>5564</v>
      </c>
      <c r="Y11" s="10">
        <f t="shared" si="6"/>
        <v>1438835.5343511447</v>
      </c>
    </row>
    <row r="12" spans="1:28" x14ac:dyDescent="0.35">
      <c r="A12" s="5">
        <v>10</v>
      </c>
      <c r="B12" s="5" t="str">
        <f t="shared" si="0"/>
        <v>GA1</v>
      </c>
      <c r="C12" t="s">
        <v>219</v>
      </c>
      <c r="D12" t="s">
        <v>1239</v>
      </c>
      <c r="E12" t="s">
        <v>973</v>
      </c>
      <c r="F12" t="s">
        <v>1242</v>
      </c>
      <c r="G12">
        <v>2</v>
      </c>
      <c r="H12" t="s">
        <v>310</v>
      </c>
      <c r="I12">
        <v>1</v>
      </c>
      <c r="J12" s="40">
        <v>367.15</v>
      </c>
      <c r="M12" s="5" t="str">
        <f t="shared" si="1"/>
        <v>GA10</v>
      </c>
      <c r="N12" s="5" t="s">
        <v>219</v>
      </c>
      <c r="O12" s="5" t="s">
        <v>97</v>
      </c>
      <c r="P12" s="5">
        <v>10</v>
      </c>
      <c r="Q12" s="4">
        <f t="shared" si="7"/>
        <v>22</v>
      </c>
      <c r="R12" s="5">
        <f t="shared" si="8"/>
        <v>174</v>
      </c>
      <c r="S12" s="5">
        <f t="shared" si="9"/>
        <v>257.11</v>
      </c>
      <c r="T12" s="5">
        <f t="shared" si="2"/>
        <v>257.11</v>
      </c>
      <c r="U12" s="5">
        <f>_xlfn.IFNA(VLOOKUP(N12,AgeFactors,2,FALSE),AgeFactors!$E$25)</f>
        <v>1.048</v>
      </c>
      <c r="V12" s="9">
        <f t="shared" si="3"/>
        <v>245.33396946564886</v>
      </c>
      <c r="W12" s="10">
        <f t="shared" si="4"/>
        <v>20614</v>
      </c>
      <c r="X12" s="10">
        <f t="shared" si="5"/>
        <v>20614</v>
      </c>
      <c r="Y12" s="10">
        <f t="shared" si="6"/>
        <v>5057314.4465648858</v>
      </c>
    </row>
    <row r="13" spans="1:28" x14ac:dyDescent="0.35">
      <c r="A13" s="5">
        <v>11</v>
      </c>
      <c r="B13" s="5" t="str">
        <f t="shared" si="0"/>
        <v>GA1</v>
      </c>
      <c r="C13" t="s">
        <v>219</v>
      </c>
      <c r="D13" t="s">
        <v>1239</v>
      </c>
      <c r="E13" t="s">
        <v>967</v>
      </c>
      <c r="F13" t="s">
        <v>968</v>
      </c>
      <c r="G13">
        <v>2</v>
      </c>
      <c r="H13" t="s">
        <v>310</v>
      </c>
      <c r="I13">
        <v>1</v>
      </c>
      <c r="J13" s="40">
        <v>384.9</v>
      </c>
      <c r="M13" s="5" t="str">
        <f t="shared" si="1"/>
        <v>GA11</v>
      </c>
      <c r="N13" s="5" t="s">
        <v>219</v>
      </c>
      <c r="O13" s="5" t="s">
        <v>110</v>
      </c>
      <c r="P13" s="5">
        <v>11</v>
      </c>
      <c r="Q13" s="4">
        <f t="shared" si="7"/>
        <v>15</v>
      </c>
      <c r="R13" s="5">
        <f t="shared" si="8"/>
        <v>196</v>
      </c>
      <c r="S13" s="5">
        <f t="shared" si="9"/>
        <v>291.64999999999998</v>
      </c>
      <c r="T13" s="5">
        <f t="shared" si="2"/>
        <v>291.64999999999998</v>
      </c>
      <c r="U13" s="5">
        <f>_xlfn.IFNA(VLOOKUP(N13,AgeFactors,2,FALSE),AgeFactors!$E$25)</f>
        <v>1.048</v>
      </c>
      <c r="V13" s="9">
        <f t="shared" si="3"/>
        <v>278.2919847328244</v>
      </c>
      <c r="W13" s="10">
        <f t="shared" si="4"/>
        <v>6195</v>
      </c>
      <c r="X13" s="10">
        <f t="shared" si="5"/>
        <v>6195</v>
      </c>
      <c r="Y13" s="10">
        <f t="shared" si="6"/>
        <v>1724018.8454198472</v>
      </c>
    </row>
    <row r="14" spans="1:28" x14ac:dyDescent="0.35">
      <c r="A14" s="5">
        <v>12</v>
      </c>
      <c r="B14" s="5" t="str">
        <f t="shared" si="0"/>
        <v>GA2</v>
      </c>
      <c r="C14" t="s">
        <v>219</v>
      </c>
      <c r="D14" t="s">
        <v>1217</v>
      </c>
      <c r="E14" t="s">
        <v>1224</v>
      </c>
      <c r="F14" t="s">
        <v>1123</v>
      </c>
      <c r="G14">
        <v>2</v>
      </c>
      <c r="H14" t="s">
        <v>310</v>
      </c>
      <c r="I14">
        <v>2</v>
      </c>
      <c r="J14" s="40">
        <v>212.85</v>
      </c>
      <c r="M14" s="5" t="str">
        <f t="shared" si="1"/>
        <v>GA12</v>
      </c>
      <c r="N14" s="5" t="s">
        <v>219</v>
      </c>
      <c r="O14" s="5" t="s">
        <v>121</v>
      </c>
      <c r="P14" s="5">
        <v>12</v>
      </c>
      <c r="Q14" s="4">
        <f t="shared" si="7"/>
        <v>16</v>
      </c>
      <c r="R14" s="5">
        <f t="shared" si="8"/>
        <v>211</v>
      </c>
      <c r="S14" s="5">
        <f t="shared" si="9"/>
        <v>267.93</v>
      </c>
      <c r="T14" s="5">
        <f t="shared" si="2"/>
        <v>267.93</v>
      </c>
      <c r="U14" s="5">
        <f>_xlfn.IFNA(VLOOKUP(N14,AgeFactors,2,FALSE),AgeFactors!$E$25)</f>
        <v>1.048</v>
      </c>
      <c r="V14" s="9">
        <f t="shared" si="3"/>
        <v>255.65839694656489</v>
      </c>
      <c r="W14" s="10">
        <f t="shared" si="4"/>
        <v>18563</v>
      </c>
      <c r="X14" s="10">
        <f t="shared" si="5"/>
        <v>18563</v>
      </c>
      <c r="Y14" s="10">
        <f t="shared" si="6"/>
        <v>4745786.8225190844</v>
      </c>
    </row>
    <row r="15" spans="1:28" x14ac:dyDescent="0.35">
      <c r="A15" s="5">
        <v>13</v>
      </c>
      <c r="B15" s="5" t="str">
        <f t="shared" si="0"/>
        <v>GA2</v>
      </c>
      <c r="C15" t="s">
        <v>219</v>
      </c>
      <c r="D15" t="s">
        <v>1217</v>
      </c>
      <c r="E15" t="s">
        <v>1216</v>
      </c>
      <c r="F15" t="s">
        <v>1119</v>
      </c>
      <c r="G15">
        <v>2</v>
      </c>
      <c r="H15" t="s">
        <v>310</v>
      </c>
      <c r="I15">
        <v>2</v>
      </c>
      <c r="J15" s="40">
        <v>216.47</v>
      </c>
      <c r="M15" s="5" t="str">
        <f t="shared" si="1"/>
        <v>GA13</v>
      </c>
      <c r="N15" s="5" t="s">
        <v>219</v>
      </c>
      <c r="O15" s="5" t="s">
        <v>135</v>
      </c>
      <c r="P15" s="5">
        <v>13</v>
      </c>
      <c r="Q15" s="4">
        <f t="shared" si="7"/>
        <v>21</v>
      </c>
      <c r="R15" s="5">
        <f t="shared" si="8"/>
        <v>227</v>
      </c>
      <c r="S15" s="5">
        <f t="shared" si="9"/>
        <v>263.5</v>
      </c>
      <c r="T15" s="5">
        <f t="shared" si="2"/>
        <v>263.5</v>
      </c>
      <c r="U15" s="5">
        <f>_xlfn.IFNA(VLOOKUP(N15,AgeFactors,2,FALSE),AgeFactors!$E$25)</f>
        <v>1.048</v>
      </c>
      <c r="V15" s="9">
        <f t="shared" si="3"/>
        <v>251.43129770992365</v>
      </c>
      <c r="W15" s="10">
        <f t="shared" si="4"/>
        <v>11235</v>
      </c>
      <c r="X15" s="10">
        <f t="shared" si="5"/>
        <v>11235</v>
      </c>
      <c r="Y15" s="10">
        <f t="shared" si="6"/>
        <v>2824830.6297709923</v>
      </c>
    </row>
    <row r="16" spans="1:28" x14ac:dyDescent="0.35">
      <c r="A16" s="5">
        <v>14</v>
      </c>
      <c r="B16" s="5" t="str">
        <f t="shared" si="0"/>
        <v>GA2</v>
      </c>
      <c r="C16" t="s">
        <v>219</v>
      </c>
      <c r="D16" t="s">
        <v>1217</v>
      </c>
      <c r="E16" t="s">
        <v>1225</v>
      </c>
      <c r="F16" t="s">
        <v>1124</v>
      </c>
      <c r="G16">
        <v>2</v>
      </c>
      <c r="H16" t="s">
        <v>310</v>
      </c>
      <c r="I16">
        <v>2</v>
      </c>
      <c r="J16" s="40">
        <v>218.14</v>
      </c>
      <c r="M16" s="5" t="str">
        <f t="shared" si="1"/>
        <v>GA14</v>
      </c>
      <c r="N16" s="5" t="s">
        <v>219</v>
      </c>
      <c r="O16" s="5" t="s">
        <v>142</v>
      </c>
      <c r="P16" s="5">
        <v>14</v>
      </c>
      <c r="Q16" s="4">
        <f t="shared" si="7"/>
        <v>24</v>
      </c>
      <c r="R16" s="5">
        <f t="shared" si="8"/>
        <v>248</v>
      </c>
      <c r="S16" s="5">
        <f t="shared" si="9"/>
        <v>191.13</v>
      </c>
      <c r="T16" s="5">
        <f t="shared" si="2"/>
        <v>191.13</v>
      </c>
      <c r="U16" s="5">
        <f>_xlfn.IFNA(VLOOKUP(N16,AgeFactors,2,FALSE),AgeFactors!$E$25)</f>
        <v>1.048</v>
      </c>
      <c r="V16" s="9">
        <f t="shared" si="3"/>
        <v>182.37595419847327</v>
      </c>
      <c r="W16" s="10">
        <f t="shared" si="4"/>
        <v>33895</v>
      </c>
      <c r="X16" s="10">
        <f t="shared" si="5"/>
        <v>33895</v>
      </c>
      <c r="Y16" s="10">
        <f t="shared" si="6"/>
        <v>6181632.9675572515</v>
      </c>
    </row>
    <row r="17" spans="1:25" x14ac:dyDescent="0.35">
      <c r="A17" s="5">
        <v>15</v>
      </c>
      <c r="B17" s="5" t="str">
        <f t="shared" si="0"/>
        <v>GA2</v>
      </c>
      <c r="C17" t="s">
        <v>219</v>
      </c>
      <c r="D17" t="s">
        <v>1217</v>
      </c>
      <c r="E17" t="s">
        <v>1218</v>
      </c>
      <c r="F17" t="s">
        <v>1120</v>
      </c>
      <c r="G17">
        <v>2</v>
      </c>
      <c r="H17" t="s">
        <v>310</v>
      </c>
      <c r="I17">
        <v>2</v>
      </c>
      <c r="J17" s="40">
        <v>221.85</v>
      </c>
      <c r="M17" s="5" t="str">
        <f t="shared" si="1"/>
        <v>GA15</v>
      </c>
      <c r="N17" s="5" t="s">
        <v>219</v>
      </c>
      <c r="O17" s="5" t="s">
        <v>154</v>
      </c>
      <c r="P17" s="5">
        <v>15</v>
      </c>
      <c r="Q17" s="4">
        <f t="shared" si="7"/>
        <v>11</v>
      </c>
      <c r="R17" s="5">
        <f t="shared" si="8"/>
        <v>272</v>
      </c>
      <c r="S17" s="5">
        <f t="shared" si="9"/>
        <v>342.13</v>
      </c>
      <c r="T17" s="5">
        <f t="shared" si="2"/>
        <v>342.13</v>
      </c>
      <c r="U17" s="5">
        <f>_xlfn.IFNA(VLOOKUP(N17,AgeFactors,2,FALSE),AgeFactors!$E$25)</f>
        <v>1.048</v>
      </c>
      <c r="V17" s="9">
        <f t="shared" si="3"/>
        <v>326.45992366412213</v>
      </c>
      <c r="W17" s="10">
        <f t="shared" si="4"/>
        <v>14843</v>
      </c>
      <c r="X17" s="10">
        <f t="shared" si="5"/>
        <v>14843</v>
      </c>
      <c r="Y17" s="10">
        <f t="shared" si="6"/>
        <v>4845644.6469465643</v>
      </c>
    </row>
    <row r="18" spans="1:25" x14ac:dyDescent="0.35">
      <c r="A18" s="5">
        <v>16</v>
      </c>
      <c r="B18" s="5" t="str">
        <f t="shared" si="0"/>
        <v>GA2</v>
      </c>
      <c r="C18" t="s">
        <v>219</v>
      </c>
      <c r="D18" t="s">
        <v>1217</v>
      </c>
      <c r="E18" t="s">
        <v>1220</v>
      </c>
      <c r="F18" t="s">
        <v>1121</v>
      </c>
      <c r="G18">
        <v>2</v>
      </c>
      <c r="H18" t="s">
        <v>310</v>
      </c>
      <c r="I18">
        <v>2</v>
      </c>
      <c r="J18" s="40">
        <v>223.28</v>
      </c>
      <c r="M18" s="5" t="str">
        <f t="shared" si="1"/>
        <v>GA16</v>
      </c>
      <c r="N18" s="5" t="s">
        <v>219</v>
      </c>
      <c r="O18" s="5" t="s">
        <v>173</v>
      </c>
      <c r="P18" s="5">
        <v>16</v>
      </c>
      <c r="Q18" s="4">
        <f t="shared" si="7"/>
        <v>10</v>
      </c>
      <c r="R18" s="5">
        <f t="shared" si="8"/>
        <v>283</v>
      </c>
      <c r="S18" s="5">
        <f t="shared" si="9"/>
        <v>271.88</v>
      </c>
      <c r="T18" s="5">
        <f t="shared" si="2"/>
        <v>271.88</v>
      </c>
      <c r="U18" s="5">
        <f>_xlfn.IFNA(VLOOKUP(N18,AgeFactors,2,FALSE),AgeFactors!$E$25)</f>
        <v>1.048</v>
      </c>
      <c r="V18" s="9">
        <f t="shared" si="3"/>
        <v>259.4274809160305</v>
      </c>
      <c r="W18" s="10">
        <f t="shared" si="4"/>
        <v>3025</v>
      </c>
      <c r="X18" s="10">
        <f t="shared" si="5"/>
        <v>3025</v>
      </c>
      <c r="Y18" s="10">
        <f t="shared" si="6"/>
        <v>784768.12977099232</v>
      </c>
    </row>
    <row r="19" spans="1:25" x14ac:dyDescent="0.35">
      <c r="A19" s="5">
        <v>17</v>
      </c>
      <c r="B19" s="5" t="str">
        <f t="shared" si="0"/>
        <v>GA2</v>
      </c>
      <c r="C19" t="s">
        <v>219</v>
      </c>
      <c r="D19" t="s">
        <v>1217</v>
      </c>
      <c r="E19" t="s">
        <v>1221</v>
      </c>
      <c r="F19" t="s">
        <v>1122</v>
      </c>
      <c r="G19">
        <v>2</v>
      </c>
      <c r="H19" t="s">
        <v>310</v>
      </c>
      <c r="I19">
        <v>2</v>
      </c>
      <c r="J19" s="40">
        <v>228.83</v>
      </c>
      <c r="N19"/>
      <c r="O19"/>
      <c r="U19" s="5" t="s">
        <v>257</v>
      </c>
      <c r="V19" s="9">
        <f>MEDIAN(V3:V18)</f>
        <v>252.89122137404581</v>
      </c>
      <c r="W19" s="10"/>
      <c r="X19" s="10"/>
      <c r="Y19" s="10"/>
    </row>
    <row r="20" spans="1:25" x14ac:dyDescent="0.35">
      <c r="A20" s="5">
        <v>18</v>
      </c>
      <c r="B20" s="5" t="str">
        <f t="shared" si="0"/>
        <v>GA2</v>
      </c>
      <c r="C20" t="s">
        <v>219</v>
      </c>
      <c r="D20" t="s">
        <v>1217</v>
      </c>
      <c r="E20" t="s">
        <v>1226</v>
      </c>
      <c r="F20" t="s">
        <v>1130</v>
      </c>
      <c r="G20">
        <v>2</v>
      </c>
      <c r="H20" t="s">
        <v>310</v>
      </c>
      <c r="I20">
        <v>2</v>
      </c>
      <c r="J20" s="40">
        <v>231.83</v>
      </c>
      <c r="N20"/>
      <c r="O20"/>
      <c r="U20" s="5" t="s">
        <v>258</v>
      </c>
      <c r="V20" s="9">
        <f>AVERAGE(V3:V18)</f>
        <v>250.88501908396944</v>
      </c>
      <c r="W20" s="10"/>
      <c r="X20" s="12">
        <f>SUM(X3:X18)</f>
        <v>541032</v>
      </c>
      <c r="Y20" s="12">
        <f>SUM(Y3:Y18)</f>
        <v>116390011.76526716</v>
      </c>
    </row>
    <row r="21" spans="1:25" x14ac:dyDescent="0.35">
      <c r="A21" s="5">
        <v>19</v>
      </c>
      <c r="B21" s="5" t="str">
        <f t="shared" si="0"/>
        <v>GA2</v>
      </c>
      <c r="C21" t="s">
        <v>219</v>
      </c>
      <c r="D21" t="s">
        <v>1217</v>
      </c>
      <c r="E21" t="s">
        <v>1219</v>
      </c>
      <c r="F21" t="s">
        <v>1129</v>
      </c>
      <c r="G21">
        <v>2</v>
      </c>
      <c r="H21" t="s">
        <v>310</v>
      </c>
      <c r="I21">
        <v>2</v>
      </c>
      <c r="J21" s="40">
        <v>235.78</v>
      </c>
      <c r="N21"/>
      <c r="O21"/>
      <c r="U21" s="13" t="s">
        <v>259</v>
      </c>
      <c r="V21" s="13">
        <f>Y20/X20</f>
        <v>215.1259292708512</v>
      </c>
    </row>
    <row r="22" spans="1:25" x14ac:dyDescent="0.35">
      <c r="A22" s="5">
        <v>20</v>
      </c>
      <c r="B22" s="5" t="str">
        <f t="shared" si="0"/>
        <v>GA2</v>
      </c>
      <c r="C22" t="s">
        <v>219</v>
      </c>
      <c r="D22" t="s">
        <v>1217</v>
      </c>
      <c r="E22" t="s">
        <v>1222</v>
      </c>
      <c r="F22" t="s">
        <v>1223</v>
      </c>
      <c r="G22">
        <v>2</v>
      </c>
      <c r="H22" t="s">
        <v>310</v>
      </c>
      <c r="I22">
        <v>2</v>
      </c>
      <c r="J22" s="40">
        <v>243.19</v>
      </c>
      <c r="N22"/>
      <c r="O22"/>
      <c r="U22" s="5" t="s">
        <v>829</v>
      </c>
      <c r="V22" s="9">
        <f>MIN(V3:V18)</f>
        <v>182.37595419847327</v>
      </c>
    </row>
    <row r="23" spans="1:25" x14ac:dyDescent="0.35">
      <c r="A23" s="5">
        <v>21</v>
      </c>
      <c r="B23" s="5" t="str">
        <f t="shared" si="0"/>
        <v>GA2</v>
      </c>
      <c r="C23" t="s">
        <v>219</v>
      </c>
      <c r="D23" t="s">
        <v>1239</v>
      </c>
      <c r="E23" t="s">
        <v>969</v>
      </c>
      <c r="F23" t="s">
        <v>970</v>
      </c>
      <c r="G23">
        <v>2</v>
      </c>
      <c r="H23" t="s">
        <v>310</v>
      </c>
      <c r="I23">
        <v>2</v>
      </c>
      <c r="J23" s="40">
        <v>249.95</v>
      </c>
      <c r="N23"/>
      <c r="O23"/>
      <c r="U23" s="5" t="s">
        <v>830</v>
      </c>
      <c r="V23" s="9">
        <f>MAX(V3:V18)</f>
        <v>326.45992366412213</v>
      </c>
    </row>
    <row r="24" spans="1:25" x14ac:dyDescent="0.35">
      <c r="A24" s="5">
        <v>22</v>
      </c>
      <c r="B24" s="5" t="str">
        <f t="shared" si="0"/>
        <v>GA2</v>
      </c>
      <c r="C24" t="s">
        <v>219</v>
      </c>
      <c r="D24" t="s">
        <v>1134</v>
      </c>
      <c r="E24" t="s">
        <v>1190</v>
      </c>
      <c r="F24" t="s">
        <v>1191</v>
      </c>
      <c r="G24">
        <v>2</v>
      </c>
      <c r="H24" t="s">
        <v>310</v>
      </c>
      <c r="I24">
        <v>2</v>
      </c>
      <c r="J24" s="40">
        <v>250.78</v>
      </c>
      <c r="N24"/>
      <c r="O24"/>
    </row>
    <row r="25" spans="1:25" x14ac:dyDescent="0.35">
      <c r="A25" s="5">
        <v>23</v>
      </c>
      <c r="B25" s="5" t="str">
        <f t="shared" si="0"/>
        <v>GA2</v>
      </c>
      <c r="C25" t="s">
        <v>219</v>
      </c>
      <c r="D25" t="s">
        <v>217</v>
      </c>
      <c r="E25" t="s">
        <v>980</v>
      </c>
      <c r="F25" t="s">
        <v>1247</v>
      </c>
      <c r="G25">
        <v>1</v>
      </c>
      <c r="H25" t="s">
        <v>310</v>
      </c>
      <c r="I25">
        <v>2</v>
      </c>
      <c r="J25" s="40">
        <v>254.6</v>
      </c>
      <c r="N25"/>
      <c r="O25"/>
    </row>
    <row r="26" spans="1:25" x14ac:dyDescent="0.35">
      <c r="A26" s="5">
        <v>24</v>
      </c>
      <c r="B26" s="5" t="str">
        <f t="shared" si="0"/>
        <v>GA2</v>
      </c>
      <c r="C26" t="s">
        <v>219</v>
      </c>
      <c r="D26" t="s">
        <v>1239</v>
      </c>
      <c r="E26" t="s">
        <v>963</v>
      </c>
      <c r="F26" t="s">
        <v>964</v>
      </c>
      <c r="G26">
        <v>2</v>
      </c>
      <c r="H26" t="s">
        <v>310</v>
      </c>
      <c r="I26">
        <v>2</v>
      </c>
      <c r="J26" s="40">
        <v>259.60000000000002</v>
      </c>
      <c r="N26"/>
      <c r="O26"/>
    </row>
    <row r="27" spans="1:25" x14ac:dyDescent="0.35">
      <c r="A27" s="5">
        <v>25</v>
      </c>
      <c r="B27" s="5" t="str">
        <f t="shared" si="0"/>
        <v>GA2</v>
      </c>
      <c r="C27" t="s">
        <v>219</v>
      </c>
      <c r="D27" t="s">
        <v>1239</v>
      </c>
      <c r="E27" t="s">
        <v>965</v>
      </c>
      <c r="F27" t="s">
        <v>966</v>
      </c>
      <c r="G27">
        <v>2</v>
      </c>
      <c r="H27" t="s">
        <v>310</v>
      </c>
      <c r="I27">
        <v>2</v>
      </c>
      <c r="J27" s="40">
        <v>260.41000000000003</v>
      </c>
      <c r="N27"/>
      <c r="O27"/>
    </row>
    <row r="28" spans="1:25" x14ac:dyDescent="0.35">
      <c r="A28" s="5">
        <v>26</v>
      </c>
      <c r="B28" s="5" t="str">
        <f t="shared" si="0"/>
        <v>GA2</v>
      </c>
      <c r="C28" t="s">
        <v>219</v>
      </c>
      <c r="D28" t="s">
        <v>1239</v>
      </c>
      <c r="E28" t="s">
        <v>961</v>
      </c>
      <c r="F28" t="s">
        <v>962</v>
      </c>
      <c r="G28">
        <v>2</v>
      </c>
      <c r="H28" t="s">
        <v>310</v>
      </c>
      <c r="I28">
        <v>2</v>
      </c>
      <c r="J28" s="40">
        <v>260.64</v>
      </c>
      <c r="N28"/>
      <c r="O28"/>
    </row>
    <row r="29" spans="1:25" x14ac:dyDescent="0.35">
      <c r="A29" s="5">
        <v>27</v>
      </c>
      <c r="B29" s="5" t="str">
        <f t="shared" si="0"/>
        <v>GA2</v>
      </c>
      <c r="C29" t="s">
        <v>219</v>
      </c>
      <c r="D29" t="s">
        <v>297</v>
      </c>
      <c r="E29" t="s">
        <v>298</v>
      </c>
      <c r="F29" t="s">
        <v>1279</v>
      </c>
      <c r="G29">
        <v>2</v>
      </c>
      <c r="H29" t="s">
        <v>310</v>
      </c>
      <c r="I29">
        <v>2</v>
      </c>
      <c r="J29" s="40">
        <v>262.74</v>
      </c>
      <c r="N29"/>
      <c r="O29"/>
    </row>
    <row r="30" spans="1:25" x14ac:dyDescent="0.35">
      <c r="A30" s="5">
        <v>28</v>
      </c>
      <c r="B30" s="5" t="str">
        <f t="shared" si="0"/>
        <v>GA2</v>
      </c>
      <c r="C30" t="s">
        <v>219</v>
      </c>
      <c r="D30" t="s">
        <v>297</v>
      </c>
      <c r="E30" t="s">
        <v>300</v>
      </c>
      <c r="F30" t="s">
        <v>301</v>
      </c>
      <c r="G30">
        <v>2</v>
      </c>
      <c r="H30" t="s">
        <v>310</v>
      </c>
      <c r="I30">
        <v>2</v>
      </c>
      <c r="J30" s="40">
        <v>263.5</v>
      </c>
      <c r="N30"/>
      <c r="O30"/>
    </row>
    <row r="31" spans="1:25" x14ac:dyDescent="0.35">
      <c r="A31" s="5">
        <v>29</v>
      </c>
      <c r="B31" s="5" t="str">
        <f t="shared" si="0"/>
        <v>GA2</v>
      </c>
      <c r="C31" t="s">
        <v>219</v>
      </c>
      <c r="D31" t="s">
        <v>1134</v>
      </c>
      <c r="E31" t="s">
        <v>1207</v>
      </c>
      <c r="F31" t="s">
        <v>1035</v>
      </c>
      <c r="G31">
        <v>2</v>
      </c>
      <c r="H31" t="s">
        <v>310</v>
      </c>
      <c r="I31">
        <v>2</v>
      </c>
      <c r="J31" s="40">
        <v>264.86</v>
      </c>
      <c r="N31"/>
      <c r="O31"/>
    </row>
    <row r="32" spans="1:25" x14ac:dyDescent="0.35">
      <c r="A32" s="5">
        <v>30</v>
      </c>
      <c r="B32" s="5" t="str">
        <f t="shared" si="0"/>
        <v>GA2</v>
      </c>
      <c r="C32" t="s">
        <v>219</v>
      </c>
      <c r="D32" t="s">
        <v>217</v>
      </c>
      <c r="E32" t="s">
        <v>977</v>
      </c>
      <c r="F32" t="s">
        <v>1245</v>
      </c>
      <c r="G32">
        <v>1</v>
      </c>
      <c r="H32" t="s">
        <v>310</v>
      </c>
      <c r="I32">
        <v>2</v>
      </c>
      <c r="J32" s="40">
        <v>265.31</v>
      </c>
      <c r="N32"/>
      <c r="O32"/>
    </row>
    <row r="33" spans="1:15" x14ac:dyDescent="0.35">
      <c r="A33" s="5">
        <v>31</v>
      </c>
      <c r="B33" s="5" t="str">
        <f t="shared" si="0"/>
        <v>GA2</v>
      </c>
      <c r="C33" t="s">
        <v>219</v>
      </c>
      <c r="D33" t="s">
        <v>1239</v>
      </c>
      <c r="E33" t="s">
        <v>973</v>
      </c>
      <c r="F33" t="s">
        <v>1242</v>
      </c>
      <c r="G33">
        <v>2</v>
      </c>
      <c r="H33" t="s">
        <v>310</v>
      </c>
      <c r="I33">
        <v>2</v>
      </c>
      <c r="J33" s="40">
        <v>268.39999999999998</v>
      </c>
      <c r="N33"/>
      <c r="O33"/>
    </row>
    <row r="34" spans="1:15" x14ac:dyDescent="0.35">
      <c r="A34" s="5">
        <v>32</v>
      </c>
      <c r="B34" s="5" t="str">
        <f t="shared" si="0"/>
        <v>GA2</v>
      </c>
      <c r="C34" t="s">
        <v>219</v>
      </c>
      <c r="D34" t="s">
        <v>1134</v>
      </c>
      <c r="E34" t="s">
        <v>1196</v>
      </c>
      <c r="F34" t="s">
        <v>1197</v>
      </c>
      <c r="G34">
        <v>2</v>
      </c>
      <c r="H34" t="s">
        <v>310</v>
      </c>
      <c r="I34">
        <v>2</v>
      </c>
      <c r="J34" s="40">
        <v>272.58</v>
      </c>
      <c r="N34"/>
      <c r="O34"/>
    </row>
    <row r="35" spans="1:15" x14ac:dyDescent="0.35">
      <c r="A35" s="5">
        <v>33</v>
      </c>
      <c r="B35" s="5" t="str">
        <f t="shared" si="0"/>
        <v>GA2</v>
      </c>
      <c r="C35" t="s">
        <v>219</v>
      </c>
      <c r="D35" t="s">
        <v>297</v>
      </c>
      <c r="E35" t="s">
        <v>302</v>
      </c>
      <c r="F35" t="s">
        <v>303</v>
      </c>
      <c r="G35">
        <v>2</v>
      </c>
      <c r="H35" t="s">
        <v>310</v>
      </c>
      <c r="I35">
        <v>2</v>
      </c>
      <c r="J35" s="40">
        <v>276.5</v>
      </c>
      <c r="N35"/>
      <c r="O35"/>
    </row>
    <row r="36" spans="1:15" x14ac:dyDescent="0.35">
      <c r="A36" s="5">
        <v>34</v>
      </c>
      <c r="B36" s="5" t="str">
        <f t="shared" si="0"/>
        <v>GA2</v>
      </c>
      <c r="C36" t="s">
        <v>219</v>
      </c>
      <c r="D36" t="s">
        <v>217</v>
      </c>
      <c r="E36" t="s">
        <v>975</v>
      </c>
      <c r="F36" t="s">
        <v>1244</v>
      </c>
      <c r="G36">
        <v>1</v>
      </c>
      <c r="H36" t="s">
        <v>310</v>
      </c>
      <c r="I36">
        <v>2</v>
      </c>
      <c r="J36" s="40">
        <v>280.08</v>
      </c>
      <c r="N36"/>
      <c r="O36"/>
    </row>
    <row r="37" spans="1:15" x14ac:dyDescent="0.35">
      <c r="A37" s="5">
        <v>35</v>
      </c>
      <c r="B37" s="5" t="str">
        <f t="shared" si="0"/>
        <v>GA2</v>
      </c>
      <c r="C37" t="s">
        <v>219</v>
      </c>
      <c r="D37" t="s">
        <v>1239</v>
      </c>
      <c r="E37" t="s">
        <v>967</v>
      </c>
      <c r="F37" t="s">
        <v>968</v>
      </c>
      <c r="G37">
        <v>2</v>
      </c>
      <c r="H37" t="s">
        <v>310</v>
      </c>
      <c r="I37">
        <v>2</v>
      </c>
      <c r="J37" s="40">
        <v>281.38</v>
      </c>
      <c r="N37"/>
      <c r="O37"/>
    </row>
    <row r="38" spans="1:15" x14ac:dyDescent="0.35">
      <c r="A38" s="5">
        <v>36</v>
      </c>
      <c r="B38" s="5" t="str">
        <f t="shared" si="0"/>
        <v>GA2</v>
      </c>
      <c r="C38" t="s">
        <v>219</v>
      </c>
      <c r="D38" t="s">
        <v>1134</v>
      </c>
      <c r="E38" t="s">
        <v>1211</v>
      </c>
      <c r="F38" t="s">
        <v>1039</v>
      </c>
      <c r="G38">
        <v>2</v>
      </c>
      <c r="H38" t="s">
        <v>310</v>
      </c>
      <c r="I38">
        <v>2</v>
      </c>
      <c r="J38" s="40">
        <v>287.89999999999998</v>
      </c>
      <c r="N38"/>
      <c r="O38"/>
    </row>
    <row r="39" spans="1:15" x14ac:dyDescent="0.35">
      <c r="A39" s="5">
        <v>37</v>
      </c>
      <c r="B39" s="5" t="str">
        <f t="shared" si="0"/>
        <v>GA2</v>
      </c>
      <c r="C39" t="s">
        <v>219</v>
      </c>
      <c r="D39" t="s">
        <v>294</v>
      </c>
      <c r="E39" t="s">
        <v>295</v>
      </c>
      <c r="F39" t="s">
        <v>1273</v>
      </c>
      <c r="G39">
        <v>3</v>
      </c>
      <c r="H39" t="s">
        <v>310</v>
      </c>
      <c r="I39">
        <v>2</v>
      </c>
      <c r="J39" s="40">
        <v>301.91000000000003</v>
      </c>
      <c r="N39"/>
      <c r="O39"/>
    </row>
    <row r="40" spans="1:15" x14ac:dyDescent="0.35">
      <c r="A40" s="5">
        <v>38</v>
      </c>
      <c r="B40" s="5" t="str">
        <f t="shared" si="0"/>
        <v>GA2</v>
      </c>
      <c r="C40" t="s">
        <v>219</v>
      </c>
      <c r="D40" t="s">
        <v>1280</v>
      </c>
      <c r="E40" t="s">
        <v>1114</v>
      </c>
      <c r="F40" t="s">
        <v>1116</v>
      </c>
      <c r="G40">
        <v>2</v>
      </c>
      <c r="H40" t="s">
        <v>310</v>
      </c>
      <c r="I40">
        <v>2</v>
      </c>
      <c r="J40" s="40">
        <v>305.08</v>
      </c>
      <c r="N40"/>
      <c r="O40"/>
    </row>
    <row r="41" spans="1:15" x14ac:dyDescent="0.35">
      <c r="A41" s="5">
        <v>39</v>
      </c>
      <c r="B41" s="5" t="str">
        <f t="shared" si="0"/>
        <v>GA2</v>
      </c>
      <c r="C41" t="s">
        <v>219</v>
      </c>
      <c r="D41" t="s">
        <v>1280</v>
      </c>
      <c r="E41" t="s">
        <v>1113</v>
      </c>
      <c r="F41" t="s">
        <v>1118</v>
      </c>
      <c r="G41">
        <v>2</v>
      </c>
      <c r="H41" t="s">
        <v>310</v>
      </c>
      <c r="I41">
        <v>2</v>
      </c>
      <c r="J41" s="40">
        <v>316.58</v>
      </c>
      <c r="N41"/>
      <c r="O41"/>
    </row>
    <row r="42" spans="1:15" x14ac:dyDescent="0.35">
      <c r="A42" s="5">
        <v>40</v>
      </c>
      <c r="B42" s="5" t="str">
        <f t="shared" si="0"/>
        <v>GA2</v>
      </c>
      <c r="C42" t="s">
        <v>219</v>
      </c>
      <c r="D42" t="s">
        <v>1280</v>
      </c>
      <c r="E42" t="s">
        <v>1115</v>
      </c>
      <c r="F42" t="s">
        <v>1128</v>
      </c>
      <c r="G42">
        <v>2</v>
      </c>
      <c r="H42" t="s">
        <v>310</v>
      </c>
      <c r="I42">
        <v>2</v>
      </c>
      <c r="J42" s="40">
        <v>316.58</v>
      </c>
      <c r="N42"/>
      <c r="O42"/>
    </row>
    <row r="43" spans="1:15" x14ac:dyDescent="0.35">
      <c r="A43" s="5">
        <v>41</v>
      </c>
      <c r="B43" s="5" t="str">
        <f t="shared" si="0"/>
        <v>GA2</v>
      </c>
      <c r="C43" t="s">
        <v>219</v>
      </c>
      <c r="D43" t="s">
        <v>304</v>
      </c>
      <c r="E43" t="s">
        <v>916</v>
      </c>
      <c r="F43" t="s">
        <v>917</v>
      </c>
      <c r="G43">
        <v>1</v>
      </c>
      <c r="H43" t="s">
        <v>310</v>
      </c>
      <c r="I43">
        <v>2</v>
      </c>
      <c r="J43" s="40">
        <v>338.1</v>
      </c>
      <c r="N43"/>
      <c r="O43"/>
    </row>
    <row r="44" spans="1:15" x14ac:dyDescent="0.35">
      <c r="A44" s="5">
        <v>42</v>
      </c>
      <c r="B44" s="5" t="str">
        <f t="shared" si="0"/>
        <v>GA2</v>
      </c>
      <c r="C44" t="s">
        <v>219</v>
      </c>
      <c r="D44" t="s">
        <v>304</v>
      </c>
      <c r="E44" t="s">
        <v>307</v>
      </c>
      <c r="F44" t="s">
        <v>904</v>
      </c>
      <c r="G44">
        <v>1</v>
      </c>
      <c r="H44" t="s">
        <v>310</v>
      </c>
      <c r="I44">
        <v>2</v>
      </c>
      <c r="J44" s="40">
        <v>339.65</v>
      </c>
      <c r="N44"/>
      <c r="O44"/>
    </row>
    <row r="45" spans="1:15" x14ac:dyDescent="0.35">
      <c r="A45" s="5">
        <v>43</v>
      </c>
      <c r="B45" s="5" t="str">
        <f t="shared" si="0"/>
        <v>GA2</v>
      </c>
      <c r="C45" t="s">
        <v>219</v>
      </c>
      <c r="D45" t="s">
        <v>304</v>
      </c>
      <c r="E45" t="s">
        <v>898</v>
      </c>
      <c r="F45" t="s">
        <v>899</v>
      </c>
      <c r="G45">
        <v>1</v>
      </c>
      <c r="H45" t="s">
        <v>310</v>
      </c>
      <c r="I45">
        <v>2</v>
      </c>
      <c r="J45" s="40">
        <v>339.85</v>
      </c>
      <c r="N45"/>
      <c r="O45"/>
    </row>
    <row r="46" spans="1:15" x14ac:dyDescent="0.35">
      <c r="A46" s="5">
        <v>44</v>
      </c>
      <c r="B46" s="5" t="str">
        <f t="shared" si="0"/>
        <v>GA2</v>
      </c>
      <c r="C46" t="s">
        <v>219</v>
      </c>
      <c r="D46" t="s">
        <v>304</v>
      </c>
      <c r="E46" t="s">
        <v>305</v>
      </c>
      <c r="F46" t="s">
        <v>913</v>
      </c>
      <c r="G46">
        <v>1</v>
      </c>
      <c r="H46" t="s">
        <v>310</v>
      </c>
      <c r="I46">
        <v>2</v>
      </c>
      <c r="J46" s="40">
        <v>339.96</v>
      </c>
      <c r="N46"/>
      <c r="O46"/>
    </row>
    <row r="47" spans="1:15" x14ac:dyDescent="0.35">
      <c r="A47" s="5">
        <v>45</v>
      </c>
      <c r="B47" s="5" t="str">
        <f t="shared" si="0"/>
        <v>GA3</v>
      </c>
      <c r="C47" t="s">
        <v>219</v>
      </c>
      <c r="D47" t="s">
        <v>1217</v>
      </c>
      <c r="E47" t="s">
        <v>1224</v>
      </c>
      <c r="F47" t="s">
        <v>1123</v>
      </c>
      <c r="G47">
        <v>2</v>
      </c>
      <c r="H47" t="s">
        <v>310</v>
      </c>
      <c r="I47">
        <v>3</v>
      </c>
      <c r="J47" s="40">
        <v>204.96</v>
      </c>
      <c r="N47"/>
      <c r="O47"/>
    </row>
    <row r="48" spans="1:15" x14ac:dyDescent="0.35">
      <c r="A48" s="5">
        <v>46</v>
      </c>
      <c r="B48" s="5" t="str">
        <f t="shared" si="0"/>
        <v>GA3</v>
      </c>
      <c r="C48" t="s">
        <v>219</v>
      </c>
      <c r="D48" t="s">
        <v>1217</v>
      </c>
      <c r="E48" t="s">
        <v>1216</v>
      </c>
      <c r="F48" t="s">
        <v>1119</v>
      </c>
      <c r="G48">
        <v>2</v>
      </c>
      <c r="H48" t="s">
        <v>310</v>
      </c>
      <c r="I48">
        <v>3</v>
      </c>
      <c r="J48" s="40">
        <v>208.45</v>
      </c>
      <c r="N48"/>
      <c r="O48"/>
    </row>
    <row r="49" spans="1:15" x14ac:dyDescent="0.35">
      <c r="A49" s="5">
        <v>47</v>
      </c>
      <c r="B49" s="5" t="str">
        <f t="shared" si="0"/>
        <v>GA3</v>
      </c>
      <c r="C49" t="s">
        <v>219</v>
      </c>
      <c r="D49" t="s">
        <v>1217</v>
      </c>
      <c r="E49" t="s">
        <v>1225</v>
      </c>
      <c r="F49" t="s">
        <v>1124</v>
      </c>
      <c r="G49">
        <v>2</v>
      </c>
      <c r="H49" t="s">
        <v>310</v>
      </c>
      <c r="I49">
        <v>3</v>
      </c>
      <c r="J49" s="40">
        <v>210.05</v>
      </c>
      <c r="N49"/>
      <c r="O49"/>
    </row>
    <row r="50" spans="1:15" x14ac:dyDescent="0.35">
      <c r="A50" s="5">
        <v>48</v>
      </c>
      <c r="B50" s="5" t="str">
        <f t="shared" si="0"/>
        <v>GA3</v>
      </c>
      <c r="C50" t="s">
        <v>219</v>
      </c>
      <c r="D50" t="s">
        <v>1217</v>
      </c>
      <c r="E50" t="s">
        <v>1218</v>
      </c>
      <c r="F50" t="s">
        <v>1120</v>
      </c>
      <c r="G50">
        <v>2</v>
      </c>
      <c r="H50" t="s">
        <v>310</v>
      </c>
      <c r="I50">
        <v>3</v>
      </c>
      <c r="J50" s="40">
        <v>213.62</v>
      </c>
      <c r="N50"/>
      <c r="O50"/>
    </row>
    <row r="51" spans="1:15" x14ac:dyDescent="0.35">
      <c r="A51" s="5">
        <v>49</v>
      </c>
      <c r="B51" s="5" t="str">
        <f t="shared" si="0"/>
        <v>GA3</v>
      </c>
      <c r="C51" t="s">
        <v>219</v>
      </c>
      <c r="D51" t="s">
        <v>1217</v>
      </c>
      <c r="E51" t="s">
        <v>1220</v>
      </c>
      <c r="F51" t="s">
        <v>1121</v>
      </c>
      <c r="G51">
        <v>2</v>
      </c>
      <c r="H51" t="s">
        <v>310</v>
      </c>
      <c r="I51">
        <v>3</v>
      </c>
      <c r="J51" s="40">
        <v>215</v>
      </c>
      <c r="N51"/>
      <c r="O51"/>
    </row>
    <row r="52" spans="1:15" x14ac:dyDescent="0.35">
      <c r="A52" s="5">
        <v>50</v>
      </c>
      <c r="B52" s="5" t="str">
        <f t="shared" si="0"/>
        <v>GA3</v>
      </c>
      <c r="C52" t="s">
        <v>219</v>
      </c>
      <c r="D52" t="s">
        <v>1217</v>
      </c>
      <c r="E52" t="s">
        <v>1221</v>
      </c>
      <c r="F52" t="s">
        <v>1122</v>
      </c>
      <c r="G52">
        <v>2</v>
      </c>
      <c r="H52" t="s">
        <v>310</v>
      </c>
      <c r="I52">
        <v>3</v>
      </c>
      <c r="J52" s="40">
        <v>220.34</v>
      </c>
      <c r="N52"/>
      <c r="O52"/>
    </row>
    <row r="53" spans="1:15" x14ac:dyDescent="0.35">
      <c r="A53" s="5">
        <v>51</v>
      </c>
      <c r="B53" s="5" t="str">
        <f t="shared" si="0"/>
        <v>GA3</v>
      </c>
      <c r="C53" t="s">
        <v>219</v>
      </c>
      <c r="D53" t="s">
        <v>1217</v>
      </c>
      <c r="E53" t="s">
        <v>1226</v>
      </c>
      <c r="F53" t="s">
        <v>1130</v>
      </c>
      <c r="G53">
        <v>2</v>
      </c>
      <c r="H53" t="s">
        <v>310</v>
      </c>
      <c r="I53">
        <v>3</v>
      </c>
      <c r="J53" s="40">
        <v>223.24</v>
      </c>
      <c r="N53"/>
      <c r="O53"/>
    </row>
    <row r="54" spans="1:15" x14ac:dyDescent="0.35">
      <c r="A54" s="5">
        <v>52</v>
      </c>
      <c r="B54" s="5" t="str">
        <f t="shared" si="0"/>
        <v>GA3</v>
      </c>
      <c r="C54" t="s">
        <v>219</v>
      </c>
      <c r="D54" t="s">
        <v>1217</v>
      </c>
      <c r="E54" t="s">
        <v>1219</v>
      </c>
      <c r="F54" t="s">
        <v>1129</v>
      </c>
      <c r="G54">
        <v>2</v>
      </c>
      <c r="H54" t="s">
        <v>310</v>
      </c>
      <c r="I54">
        <v>3</v>
      </c>
      <c r="J54" s="40">
        <v>227.03</v>
      </c>
      <c r="N54"/>
      <c r="O54"/>
    </row>
    <row r="55" spans="1:15" x14ac:dyDescent="0.35">
      <c r="A55" s="5">
        <v>53</v>
      </c>
      <c r="B55" s="5" t="str">
        <f t="shared" si="0"/>
        <v>GA3</v>
      </c>
      <c r="C55" t="s">
        <v>219</v>
      </c>
      <c r="D55" t="s">
        <v>1134</v>
      </c>
      <c r="E55" t="s">
        <v>1190</v>
      </c>
      <c r="F55" t="s">
        <v>1191</v>
      </c>
      <c r="G55">
        <v>2</v>
      </c>
      <c r="H55" t="s">
        <v>310</v>
      </c>
      <c r="I55">
        <v>3</v>
      </c>
      <c r="J55" s="40">
        <v>232.42</v>
      </c>
      <c r="N55"/>
      <c r="O55"/>
    </row>
    <row r="56" spans="1:15" x14ac:dyDescent="0.35">
      <c r="A56" s="5">
        <v>54</v>
      </c>
      <c r="B56" s="5" t="str">
        <f t="shared" si="0"/>
        <v>GA3</v>
      </c>
      <c r="C56" t="s">
        <v>219</v>
      </c>
      <c r="D56" t="s">
        <v>1217</v>
      </c>
      <c r="E56" t="s">
        <v>1222</v>
      </c>
      <c r="F56" t="s">
        <v>1223</v>
      </c>
      <c r="G56">
        <v>2</v>
      </c>
      <c r="H56" t="s">
        <v>310</v>
      </c>
      <c r="I56">
        <v>3</v>
      </c>
      <c r="J56" s="40">
        <v>234.18</v>
      </c>
      <c r="N56"/>
      <c r="O56"/>
    </row>
    <row r="57" spans="1:15" x14ac:dyDescent="0.35">
      <c r="A57" s="5">
        <v>55</v>
      </c>
      <c r="B57" s="5" t="str">
        <f t="shared" si="0"/>
        <v>GA3</v>
      </c>
      <c r="C57" t="s">
        <v>219</v>
      </c>
      <c r="D57" t="s">
        <v>1134</v>
      </c>
      <c r="E57" t="s">
        <v>1207</v>
      </c>
      <c r="F57" t="s">
        <v>1035</v>
      </c>
      <c r="G57">
        <v>2</v>
      </c>
      <c r="H57" t="s">
        <v>310</v>
      </c>
      <c r="I57">
        <v>3</v>
      </c>
      <c r="J57" s="40">
        <v>245.47</v>
      </c>
      <c r="N57"/>
      <c r="O57"/>
    </row>
    <row r="58" spans="1:15" x14ac:dyDescent="0.35">
      <c r="A58" s="5">
        <v>56</v>
      </c>
      <c r="B58" s="5" t="str">
        <f t="shared" si="0"/>
        <v>GA3</v>
      </c>
      <c r="C58" t="s">
        <v>219</v>
      </c>
      <c r="D58" t="s">
        <v>1239</v>
      </c>
      <c r="E58" t="s">
        <v>969</v>
      </c>
      <c r="F58" t="s">
        <v>970</v>
      </c>
      <c r="G58">
        <v>2</v>
      </c>
      <c r="H58" t="s">
        <v>310</v>
      </c>
      <c r="I58">
        <v>3</v>
      </c>
      <c r="J58" s="40">
        <v>249.78</v>
      </c>
      <c r="N58"/>
      <c r="O58"/>
    </row>
    <row r="59" spans="1:15" x14ac:dyDescent="0.35">
      <c r="A59" s="5">
        <v>57</v>
      </c>
      <c r="B59" s="5" t="str">
        <f t="shared" si="0"/>
        <v>GA3</v>
      </c>
      <c r="C59" t="s">
        <v>219</v>
      </c>
      <c r="D59" t="s">
        <v>1250</v>
      </c>
      <c r="E59" t="s">
        <v>1256</v>
      </c>
      <c r="F59" t="s">
        <v>1257</v>
      </c>
      <c r="G59">
        <v>1</v>
      </c>
      <c r="H59" t="s">
        <v>310</v>
      </c>
      <c r="I59">
        <v>3</v>
      </c>
      <c r="J59" s="40">
        <v>251.78</v>
      </c>
      <c r="N59"/>
      <c r="O59"/>
    </row>
    <row r="60" spans="1:15" x14ac:dyDescent="0.35">
      <c r="A60" s="5">
        <v>58</v>
      </c>
      <c r="B60" s="5" t="str">
        <f t="shared" si="0"/>
        <v>GA3</v>
      </c>
      <c r="C60" t="s">
        <v>219</v>
      </c>
      <c r="D60" t="s">
        <v>294</v>
      </c>
      <c r="E60" t="s">
        <v>308</v>
      </c>
      <c r="F60" t="s">
        <v>1270</v>
      </c>
      <c r="G60">
        <v>2</v>
      </c>
      <c r="H60" t="s">
        <v>310</v>
      </c>
      <c r="I60">
        <v>3</v>
      </c>
      <c r="J60" s="40">
        <v>255.19</v>
      </c>
      <c r="N60"/>
      <c r="O60"/>
    </row>
    <row r="61" spans="1:15" x14ac:dyDescent="0.35">
      <c r="A61" s="5">
        <v>59</v>
      </c>
      <c r="B61" s="5" t="str">
        <f t="shared" si="0"/>
        <v>GA3</v>
      </c>
      <c r="C61" t="s">
        <v>219</v>
      </c>
      <c r="D61" t="s">
        <v>1250</v>
      </c>
      <c r="E61" t="s">
        <v>1258</v>
      </c>
      <c r="F61" t="s">
        <v>1259</v>
      </c>
      <c r="G61">
        <v>1</v>
      </c>
      <c r="H61" t="s">
        <v>310</v>
      </c>
      <c r="I61">
        <v>3</v>
      </c>
      <c r="J61" s="40">
        <v>258.79000000000002</v>
      </c>
      <c r="N61"/>
      <c r="O61"/>
    </row>
    <row r="62" spans="1:15" x14ac:dyDescent="0.35">
      <c r="A62" s="5">
        <v>60</v>
      </c>
      <c r="B62" s="5" t="str">
        <f t="shared" si="0"/>
        <v>GA3</v>
      </c>
      <c r="C62" t="s">
        <v>219</v>
      </c>
      <c r="D62" t="s">
        <v>1239</v>
      </c>
      <c r="E62" t="s">
        <v>963</v>
      </c>
      <c r="F62" t="s">
        <v>964</v>
      </c>
      <c r="G62">
        <v>2</v>
      </c>
      <c r="H62" t="s">
        <v>310</v>
      </c>
      <c r="I62">
        <v>3</v>
      </c>
      <c r="J62" s="40">
        <v>259.43</v>
      </c>
      <c r="N62"/>
      <c r="O62"/>
    </row>
    <row r="63" spans="1:15" x14ac:dyDescent="0.35">
      <c r="A63" s="5">
        <v>61</v>
      </c>
      <c r="B63" s="5" t="str">
        <f t="shared" si="0"/>
        <v>GA3</v>
      </c>
      <c r="C63" t="s">
        <v>219</v>
      </c>
      <c r="D63" t="s">
        <v>1239</v>
      </c>
      <c r="E63" t="s">
        <v>965</v>
      </c>
      <c r="F63" t="s">
        <v>966</v>
      </c>
      <c r="G63">
        <v>2</v>
      </c>
      <c r="H63" t="s">
        <v>310</v>
      </c>
      <c r="I63">
        <v>3</v>
      </c>
      <c r="J63" s="40">
        <v>260.24</v>
      </c>
      <c r="N63"/>
      <c r="O63"/>
    </row>
    <row r="64" spans="1:15" x14ac:dyDescent="0.35">
      <c r="A64" s="5">
        <v>62</v>
      </c>
      <c r="B64" s="5" t="str">
        <f t="shared" si="0"/>
        <v>GA3</v>
      </c>
      <c r="C64" t="s">
        <v>219</v>
      </c>
      <c r="D64" t="s">
        <v>1239</v>
      </c>
      <c r="E64" t="s">
        <v>961</v>
      </c>
      <c r="F64" t="s">
        <v>962</v>
      </c>
      <c r="G64">
        <v>2</v>
      </c>
      <c r="H64" t="s">
        <v>310</v>
      </c>
      <c r="I64">
        <v>3</v>
      </c>
      <c r="J64" s="40">
        <v>260.47000000000003</v>
      </c>
      <c r="N64"/>
      <c r="O64"/>
    </row>
    <row r="65" spans="1:15" x14ac:dyDescent="0.35">
      <c r="A65" s="5">
        <v>63</v>
      </c>
      <c r="B65" s="5" t="str">
        <f t="shared" si="0"/>
        <v>GA3</v>
      </c>
      <c r="C65" t="s">
        <v>219</v>
      </c>
      <c r="D65" t="s">
        <v>297</v>
      </c>
      <c r="E65" t="s">
        <v>298</v>
      </c>
      <c r="F65" t="s">
        <v>1279</v>
      </c>
      <c r="G65">
        <v>2</v>
      </c>
      <c r="H65" t="s">
        <v>310</v>
      </c>
      <c r="I65">
        <v>3</v>
      </c>
      <c r="J65" s="40">
        <v>262.74</v>
      </c>
      <c r="N65"/>
      <c r="O65"/>
    </row>
    <row r="66" spans="1:15" x14ac:dyDescent="0.35">
      <c r="A66" s="5">
        <v>64</v>
      </c>
      <c r="B66" s="5" t="str">
        <f t="shared" si="0"/>
        <v>GA3</v>
      </c>
      <c r="C66" t="s">
        <v>219</v>
      </c>
      <c r="D66" t="s">
        <v>297</v>
      </c>
      <c r="E66" t="s">
        <v>300</v>
      </c>
      <c r="F66" t="s">
        <v>301</v>
      </c>
      <c r="G66">
        <v>2</v>
      </c>
      <c r="H66" t="s">
        <v>310</v>
      </c>
      <c r="I66">
        <v>3</v>
      </c>
      <c r="J66" s="40">
        <v>263.5</v>
      </c>
      <c r="N66"/>
      <c r="O66"/>
    </row>
    <row r="67" spans="1:15" x14ac:dyDescent="0.35">
      <c r="A67" s="5">
        <v>65</v>
      </c>
      <c r="B67" s="5" t="str">
        <f t="shared" ref="B67:B130" si="10">CONCATENATE(C67,I67)</f>
        <v>GA3</v>
      </c>
      <c r="C67" t="s">
        <v>219</v>
      </c>
      <c r="D67" t="s">
        <v>1239</v>
      </c>
      <c r="E67" t="s">
        <v>973</v>
      </c>
      <c r="F67" t="s">
        <v>1242</v>
      </c>
      <c r="G67">
        <v>2</v>
      </c>
      <c r="H67" t="s">
        <v>310</v>
      </c>
      <c r="I67">
        <v>3</v>
      </c>
      <c r="J67" s="40">
        <v>268.23</v>
      </c>
      <c r="N67"/>
      <c r="O67"/>
    </row>
    <row r="68" spans="1:15" x14ac:dyDescent="0.35">
      <c r="A68" s="5">
        <v>66</v>
      </c>
      <c r="B68" s="5" t="str">
        <f t="shared" si="10"/>
        <v>GA3</v>
      </c>
      <c r="C68" t="s">
        <v>219</v>
      </c>
      <c r="D68" t="s">
        <v>294</v>
      </c>
      <c r="E68" t="s">
        <v>295</v>
      </c>
      <c r="F68" t="s">
        <v>1273</v>
      </c>
      <c r="G68">
        <v>3</v>
      </c>
      <c r="H68" t="s">
        <v>310</v>
      </c>
      <c r="I68">
        <v>3</v>
      </c>
      <c r="J68" s="40">
        <v>273.7</v>
      </c>
      <c r="N68"/>
      <c r="O68"/>
    </row>
    <row r="69" spans="1:15" x14ac:dyDescent="0.35">
      <c r="A69" s="5">
        <v>67</v>
      </c>
      <c r="B69" s="5" t="str">
        <f t="shared" si="10"/>
        <v>GA3</v>
      </c>
      <c r="C69" t="s">
        <v>219</v>
      </c>
      <c r="D69" t="s">
        <v>217</v>
      </c>
      <c r="E69" t="s">
        <v>980</v>
      </c>
      <c r="F69" t="s">
        <v>1247</v>
      </c>
      <c r="G69">
        <v>1</v>
      </c>
      <c r="H69" t="s">
        <v>310</v>
      </c>
      <c r="I69">
        <v>3</v>
      </c>
      <c r="J69" s="40">
        <v>274.95</v>
      </c>
      <c r="N69"/>
      <c r="O69"/>
    </row>
    <row r="70" spans="1:15" x14ac:dyDescent="0.35">
      <c r="A70" s="5">
        <v>68</v>
      </c>
      <c r="B70" s="5" t="str">
        <f t="shared" si="10"/>
        <v>GA3</v>
      </c>
      <c r="C70" t="s">
        <v>219</v>
      </c>
      <c r="D70" t="s">
        <v>297</v>
      </c>
      <c r="E70" t="s">
        <v>302</v>
      </c>
      <c r="F70" t="s">
        <v>303</v>
      </c>
      <c r="G70">
        <v>2</v>
      </c>
      <c r="H70" t="s">
        <v>310</v>
      </c>
      <c r="I70">
        <v>3</v>
      </c>
      <c r="J70" s="40">
        <v>276.5</v>
      </c>
      <c r="N70"/>
      <c r="O70"/>
    </row>
    <row r="71" spans="1:15" x14ac:dyDescent="0.35">
      <c r="A71" s="5">
        <v>69</v>
      </c>
      <c r="B71" s="5" t="str">
        <f t="shared" si="10"/>
        <v>GA3</v>
      </c>
      <c r="C71" t="s">
        <v>219</v>
      </c>
      <c r="D71" t="s">
        <v>1239</v>
      </c>
      <c r="E71" t="s">
        <v>967</v>
      </c>
      <c r="F71" t="s">
        <v>968</v>
      </c>
      <c r="G71">
        <v>2</v>
      </c>
      <c r="H71" t="s">
        <v>310</v>
      </c>
      <c r="I71">
        <v>3</v>
      </c>
      <c r="J71" s="40">
        <v>281.2</v>
      </c>
      <c r="N71"/>
      <c r="O71"/>
    </row>
    <row r="72" spans="1:15" x14ac:dyDescent="0.35">
      <c r="A72" s="5">
        <v>70</v>
      </c>
      <c r="B72" s="5" t="str">
        <f t="shared" si="10"/>
        <v>GA3</v>
      </c>
      <c r="C72" t="s">
        <v>219</v>
      </c>
      <c r="D72" t="s">
        <v>217</v>
      </c>
      <c r="E72" t="s">
        <v>977</v>
      </c>
      <c r="F72" t="s">
        <v>1245</v>
      </c>
      <c r="G72">
        <v>1</v>
      </c>
      <c r="H72" t="s">
        <v>310</v>
      </c>
      <c r="I72">
        <v>3</v>
      </c>
      <c r="J72" s="40">
        <v>286.52</v>
      </c>
      <c r="N72"/>
      <c r="O72"/>
    </row>
    <row r="73" spans="1:15" x14ac:dyDescent="0.35">
      <c r="A73" s="5">
        <v>71</v>
      </c>
      <c r="B73" s="5" t="str">
        <f t="shared" si="10"/>
        <v>GA3</v>
      </c>
      <c r="C73" t="s">
        <v>219</v>
      </c>
      <c r="D73" t="s">
        <v>1280</v>
      </c>
      <c r="E73" t="s">
        <v>1114</v>
      </c>
      <c r="F73" t="s">
        <v>1116</v>
      </c>
      <c r="G73">
        <v>2</v>
      </c>
      <c r="H73" t="s">
        <v>310</v>
      </c>
      <c r="I73">
        <v>3</v>
      </c>
      <c r="J73" s="40">
        <v>286.64</v>
      </c>
      <c r="N73"/>
      <c r="O73"/>
    </row>
    <row r="74" spans="1:15" x14ac:dyDescent="0.35">
      <c r="A74" s="5">
        <v>72</v>
      </c>
      <c r="B74" s="5" t="str">
        <f t="shared" si="10"/>
        <v>GA3</v>
      </c>
      <c r="C74" t="s">
        <v>219</v>
      </c>
      <c r="D74" t="s">
        <v>1280</v>
      </c>
      <c r="E74" t="s">
        <v>1113</v>
      </c>
      <c r="F74" t="s">
        <v>1118</v>
      </c>
      <c r="G74">
        <v>2</v>
      </c>
      <c r="H74" t="s">
        <v>310</v>
      </c>
      <c r="I74">
        <v>3</v>
      </c>
      <c r="J74" s="40">
        <v>297.44</v>
      </c>
      <c r="N74"/>
      <c r="O74"/>
    </row>
    <row r="75" spans="1:15" x14ac:dyDescent="0.35">
      <c r="A75" s="5">
        <v>73</v>
      </c>
      <c r="B75" s="5" t="str">
        <f t="shared" si="10"/>
        <v>GA3</v>
      </c>
      <c r="C75" t="s">
        <v>219</v>
      </c>
      <c r="D75" t="s">
        <v>1280</v>
      </c>
      <c r="E75" t="s">
        <v>1115</v>
      </c>
      <c r="F75" t="s">
        <v>1128</v>
      </c>
      <c r="G75">
        <v>2</v>
      </c>
      <c r="H75" t="s">
        <v>310</v>
      </c>
      <c r="I75">
        <v>3</v>
      </c>
      <c r="J75" s="40">
        <v>297.44</v>
      </c>
      <c r="N75"/>
      <c r="O75"/>
    </row>
    <row r="76" spans="1:15" x14ac:dyDescent="0.35">
      <c r="A76" s="5">
        <v>74</v>
      </c>
      <c r="B76" s="5" t="str">
        <f t="shared" si="10"/>
        <v>GA3</v>
      </c>
      <c r="C76" t="s">
        <v>219</v>
      </c>
      <c r="D76" t="s">
        <v>217</v>
      </c>
      <c r="E76" t="s">
        <v>975</v>
      </c>
      <c r="F76" t="s">
        <v>1244</v>
      </c>
      <c r="G76">
        <v>1</v>
      </c>
      <c r="H76" t="s">
        <v>310</v>
      </c>
      <c r="I76">
        <v>3</v>
      </c>
      <c r="J76" s="40">
        <v>302.47000000000003</v>
      </c>
      <c r="N76"/>
      <c r="O76"/>
    </row>
    <row r="77" spans="1:15" x14ac:dyDescent="0.35">
      <c r="A77" s="5">
        <v>75</v>
      </c>
      <c r="B77" s="5" t="str">
        <f t="shared" si="10"/>
        <v>GA3</v>
      </c>
      <c r="C77" t="s">
        <v>219</v>
      </c>
      <c r="D77" t="s">
        <v>304</v>
      </c>
      <c r="E77" t="s">
        <v>916</v>
      </c>
      <c r="F77" t="s">
        <v>917</v>
      </c>
      <c r="G77">
        <v>1</v>
      </c>
      <c r="H77" t="s">
        <v>310</v>
      </c>
      <c r="I77">
        <v>3</v>
      </c>
      <c r="J77" s="40">
        <v>322.35000000000002</v>
      </c>
      <c r="N77"/>
      <c r="O77"/>
    </row>
    <row r="78" spans="1:15" x14ac:dyDescent="0.35">
      <c r="A78" s="5">
        <v>76</v>
      </c>
      <c r="B78" s="5" t="str">
        <f t="shared" si="10"/>
        <v>GA3</v>
      </c>
      <c r="C78" t="s">
        <v>219</v>
      </c>
      <c r="D78" t="s">
        <v>304</v>
      </c>
      <c r="E78" t="s">
        <v>307</v>
      </c>
      <c r="F78" t="s">
        <v>904</v>
      </c>
      <c r="G78">
        <v>1</v>
      </c>
      <c r="H78" t="s">
        <v>310</v>
      </c>
      <c r="I78">
        <v>3</v>
      </c>
      <c r="J78" s="40">
        <v>323.83999999999997</v>
      </c>
      <c r="N78"/>
      <c r="O78"/>
    </row>
    <row r="79" spans="1:15" x14ac:dyDescent="0.35">
      <c r="A79" s="5">
        <v>77</v>
      </c>
      <c r="B79" s="5" t="str">
        <f t="shared" si="10"/>
        <v>GA3</v>
      </c>
      <c r="C79" t="s">
        <v>219</v>
      </c>
      <c r="D79" t="s">
        <v>304</v>
      </c>
      <c r="E79" t="s">
        <v>898</v>
      </c>
      <c r="F79" t="s">
        <v>899</v>
      </c>
      <c r="G79">
        <v>1</v>
      </c>
      <c r="H79" t="s">
        <v>310</v>
      </c>
      <c r="I79">
        <v>3</v>
      </c>
      <c r="J79" s="40">
        <v>324.02999999999997</v>
      </c>
      <c r="N79"/>
      <c r="O79"/>
    </row>
    <row r="80" spans="1:15" x14ac:dyDescent="0.35">
      <c r="A80" s="5">
        <v>78</v>
      </c>
      <c r="B80" s="5" t="str">
        <f t="shared" si="10"/>
        <v>GA3</v>
      </c>
      <c r="C80" t="s">
        <v>219</v>
      </c>
      <c r="D80" t="s">
        <v>304</v>
      </c>
      <c r="E80" t="s">
        <v>305</v>
      </c>
      <c r="F80" t="s">
        <v>913</v>
      </c>
      <c r="G80">
        <v>1</v>
      </c>
      <c r="H80" t="s">
        <v>310</v>
      </c>
      <c r="I80">
        <v>3</v>
      </c>
      <c r="J80" s="40">
        <v>324.13</v>
      </c>
      <c r="N80"/>
      <c r="O80"/>
    </row>
    <row r="81" spans="1:15" x14ac:dyDescent="0.35">
      <c r="A81" s="5">
        <v>79</v>
      </c>
      <c r="B81" s="5" t="str">
        <f t="shared" si="10"/>
        <v>GA4</v>
      </c>
      <c r="C81" t="s">
        <v>219</v>
      </c>
      <c r="D81" t="s">
        <v>297</v>
      </c>
      <c r="E81" t="s">
        <v>298</v>
      </c>
      <c r="F81" t="s">
        <v>1279</v>
      </c>
      <c r="G81">
        <v>2</v>
      </c>
      <c r="H81" t="s">
        <v>310</v>
      </c>
      <c r="I81">
        <v>4</v>
      </c>
      <c r="J81" s="40">
        <v>262.74</v>
      </c>
      <c r="N81"/>
      <c r="O81"/>
    </row>
    <row r="82" spans="1:15" x14ac:dyDescent="0.35">
      <c r="A82" s="5">
        <v>80</v>
      </c>
      <c r="B82" s="5" t="str">
        <f t="shared" si="10"/>
        <v>GA4</v>
      </c>
      <c r="C82" t="s">
        <v>219</v>
      </c>
      <c r="D82" t="s">
        <v>297</v>
      </c>
      <c r="E82" t="s">
        <v>300</v>
      </c>
      <c r="F82" t="s">
        <v>301</v>
      </c>
      <c r="G82">
        <v>2</v>
      </c>
      <c r="H82" t="s">
        <v>310</v>
      </c>
      <c r="I82">
        <v>4</v>
      </c>
      <c r="J82" s="40">
        <v>263.5</v>
      </c>
      <c r="N82"/>
      <c r="O82"/>
    </row>
    <row r="83" spans="1:15" x14ac:dyDescent="0.35">
      <c r="A83" s="5">
        <v>81</v>
      </c>
      <c r="B83" s="5" t="str">
        <f t="shared" si="10"/>
        <v>GA4</v>
      </c>
      <c r="C83" t="s">
        <v>219</v>
      </c>
      <c r="D83" t="s">
        <v>297</v>
      </c>
      <c r="E83" t="s">
        <v>302</v>
      </c>
      <c r="F83" t="s">
        <v>303</v>
      </c>
      <c r="G83">
        <v>2</v>
      </c>
      <c r="H83" t="s">
        <v>310</v>
      </c>
      <c r="I83">
        <v>4</v>
      </c>
      <c r="J83" s="40">
        <v>276.5</v>
      </c>
      <c r="N83"/>
      <c r="O83"/>
    </row>
    <row r="84" spans="1:15" x14ac:dyDescent="0.35">
      <c r="A84" s="5">
        <v>82</v>
      </c>
      <c r="B84" s="5" t="str">
        <f t="shared" si="10"/>
        <v>GA4</v>
      </c>
      <c r="C84" t="s">
        <v>219</v>
      </c>
      <c r="D84" t="s">
        <v>294</v>
      </c>
      <c r="E84" t="s">
        <v>295</v>
      </c>
      <c r="F84" t="s">
        <v>1273</v>
      </c>
      <c r="G84">
        <v>3</v>
      </c>
      <c r="H84" t="s">
        <v>310</v>
      </c>
      <c r="I84">
        <v>4</v>
      </c>
      <c r="J84" s="40">
        <v>279.87</v>
      </c>
      <c r="N84"/>
      <c r="O84"/>
    </row>
    <row r="85" spans="1:15" x14ac:dyDescent="0.35">
      <c r="A85" s="5">
        <v>83</v>
      </c>
      <c r="B85" s="5" t="str">
        <f t="shared" si="10"/>
        <v>GA4</v>
      </c>
      <c r="C85" t="s">
        <v>219</v>
      </c>
      <c r="D85" t="s">
        <v>1239</v>
      </c>
      <c r="E85" t="s">
        <v>969</v>
      </c>
      <c r="F85" t="s">
        <v>970</v>
      </c>
      <c r="G85">
        <v>2</v>
      </c>
      <c r="H85" t="s">
        <v>310</v>
      </c>
      <c r="I85">
        <v>4</v>
      </c>
      <c r="J85" s="40">
        <v>309.38</v>
      </c>
      <c r="N85"/>
      <c r="O85"/>
    </row>
    <row r="86" spans="1:15" x14ac:dyDescent="0.35">
      <c r="A86" s="5">
        <v>84</v>
      </c>
      <c r="B86" s="5" t="str">
        <f t="shared" si="10"/>
        <v>GA4</v>
      </c>
      <c r="C86" t="s">
        <v>219</v>
      </c>
      <c r="D86" t="s">
        <v>1239</v>
      </c>
      <c r="E86" t="s">
        <v>963</v>
      </c>
      <c r="F86" t="s">
        <v>964</v>
      </c>
      <c r="G86">
        <v>2</v>
      </c>
      <c r="H86" t="s">
        <v>310</v>
      </c>
      <c r="I86">
        <v>4</v>
      </c>
      <c r="J86" s="40">
        <v>321.33999999999997</v>
      </c>
      <c r="N86"/>
      <c r="O86"/>
    </row>
    <row r="87" spans="1:15" x14ac:dyDescent="0.35">
      <c r="A87" s="5">
        <v>85</v>
      </c>
      <c r="B87" s="5" t="str">
        <f t="shared" si="10"/>
        <v>GA4</v>
      </c>
      <c r="C87" t="s">
        <v>219</v>
      </c>
      <c r="D87" t="s">
        <v>1239</v>
      </c>
      <c r="E87" t="s">
        <v>965</v>
      </c>
      <c r="F87" t="s">
        <v>966</v>
      </c>
      <c r="G87">
        <v>2</v>
      </c>
      <c r="H87" t="s">
        <v>310</v>
      </c>
      <c r="I87">
        <v>4</v>
      </c>
      <c r="J87" s="40">
        <v>322.33</v>
      </c>
      <c r="N87"/>
      <c r="O87"/>
    </row>
    <row r="88" spans="1:15" x14ac:dyDescent="0.35">
      <c r="A88" s="5">
        <v>86</v>
      </c>
      <c r="B88" s="5" t="str">
        <f t="shared" si="10"/>
        <v>GA4</v>
      </c>
      <c r="C88" t="s">
        <v>219</v>
      </c>
      <c r="D88" t="s">
        <v>1239</v>
      </c>
      <c r="E88" t="s">
        <v>961</v>
      </c>
      <c r="F88" t="s">
        <v>962</v>
      </c>
      <c r="G88">
        <v>2</v>
      </c>
      <c r="H88" t="s">
        <v>310</v>
      </c>
      <c r="I88">
        <v>4</v>
      </c>
      <c r="J88" s="40">
        <v>322.62</v>
      </c>
      <c r="N88"/>
      <c r="O88"/>
    </row>
    <row r="89" spans="1:15" x14ac:dyDescent="0.35">
      <c r="A89" s="5">
        <v>87</v>
      </c>
      <c r="B89" s="5" t="str">
        <f t="shared" si="10"/>
        <v>GA4</v>
      </c>
      <c r="C89" t="s">
        <v>219</v>
      </c>
      <c r="D89" t="s">
        <v>1280</v>
      </c>
      <c r="E89" t="s">
        <v>1114</v>
      </c>
      <c r="F89" t="s">
        <v>1116</v>
      </c>
      <c r="G89">
        <v>2</v>
      </c>
      <c r="H89" t="s">
        <v>310</v>
      </c>
      <c r="I89">
        <v>4</v>
      </c>
      <c r="J89" s="40">
        <v>327.39999999999998</v>
      </c>
      <c r="N89"/>
      <c r="O89"/>
    </row>
    <row r="90" spans="1:15" x14ac:dyDescent="0.35">
      <c r="A90" s="5">
        <v>88</v>
      </c>
      <c r="B90" s="5" t="str">
        <f t="shared" si="10"/>
        <v>GA4</v>
      </c>
      <c r="C90" t="s">
        <v>219</v>
      </c>
      <c r="D90" t="s">
        <v>1239</v>
      </c>
      <c r="E90" t="s">
        <v>973</v>
      </c>
      <c r="F90" t="s">
        <v>1242</v>
      </c>
      <c r="G90">
        <v>2</v>
      </c>
      <c r="H90" t="s">
        <v>310</v>
      </c>
      <c r="I90">
        <v>4</v>
      </c>
      <c r="J90" s="40">
        <v>332.23</v>
      </c>
      <c r="N90"/>
      <c r="O90"/>
    </row>
    <row r="91" spans="1:15" x14ac:dyDescent="0.35">
      <c r="A91" s="5">
        <v>89</v>
      </c>
      <c r="B91" s="5" t="str">
        <f t="shared" si="10"/>
        <v>GA4</v>
      </c>
      <c r="C91" t="s">
        <v>219</v>
      </c>
      <c r="D91" t="s">
        <v>1280</v>
      </c>
      <c r="E91" t="s">
        <v>1113</v>
      </c>
      <c r="F91" t="s">
        <v>1118</v>
      </c>
      <c r="G91">
        <v>2</v>
      </c>
      <c r="H91" t="s">
        <v>310</v>
      </c>
      <c r="I91">
        <v>4</v>
      </c>
      <c r="J91" s="40">
        <v>339.74</v>
      </c>
      <c r="N91"/>
      <c r="O91"/>
    </row>
    <row r="92" spans="1:15" x14ac:dyDescent="0.35">
      <c r="A92" s="5">
        <v>90</v>
      </c>
      <c r="B92" s="5" t="str">
        <f t="shared" si="10"/>
        <v>GA4</v>
      </c>
      <c r="C92" t="s">
        <v>219</v>
      </c>
      <c r="D92" t="s">
        <v>1280</v>
      </c>
      <c r="E92" t="s">
        <v>1115</v>
      </c>
      <c r="F92" t="s">
        <v>1128</v>
      </c>
      <c r="G92">
        <v>2</v>
      </c>
      <c r="H92" t="s">
        <v>310</v>
      </c>
      <c r="I92">
        <v>4</v>
      </c>
      <c r="J92" s="40">
        <v>339.74</v>
      </c>
      <c r="N92"/>
      <c r="O92"/>
    </row>
    <row r="93" spans="1:15" x14ac:dyDescent="0.35">
      <c r="A93" s="5">
        <v>91</v>
      </c>
      <c r="B93" s="5" t="str">
        <f t="shared" si="10"/>
        <v>GA4</v>
      </c>
      <c r="C93" t="s">
        <v>219</v>
      </c>
      <c r="D93" t="s">
        <v>1239</v>
      </c>
      <c r="E93" t="s">
        <v>967</v>
      </c>
      <c r="F93" t="s">
        <v>968</v>
      </c>
      <c r="G93">
        <v>2</v>
      </c>
      <c r="H93" t="s">
        <v>310</v>
      </c>
      <c r="I93">
        <v>4</v>
      </c>
      <c r="J93" s="40">
        <v>348.29</v>
      </c>
      <c r="N93"/>
      <c r="O93"/>
    </row>
    <row r="94" spans="1:15" x14ac:dyDescent="0.35">
      <c r="A94" s="5">
        <v>92</v>
      </c>
      <c r="B94" s="5" t="str">
        <f t="shared" si="10"/>
        <v>GA4</v>
      </c>
      <c r="C94" t="s">
        <v>219</v>
      </c>
      <c r="D94" t="s">
        <v>304</v>
      </c>
      <c r="E94" t="s">
        <v>916</v>
      </c>
      <c r="F94" t="s">
        <v>917</v>
      </c>
      <c r="G94">
        <v>1</v>
      </c>
      <c r="H94" t="s">
        <v>310</v>
      </c>
      <c r="I94">
        <v>4</v>
      </c>
      <c r="J94" s="40">
        <v>372.66</v>
      </c>
      <c r="N94"/>
      <c r="O94"/>
    </row>
    <row r="95" spans="1:15" x14ac:dyDescent="0.35">
      <c r="A95" s="5">
        <v>93</v>
      </c>
      <c r="B95" s="5" t="str">
        <f t="shared" si="10"/>
        <v>GA4</v>
      </c>
      <c r="C95" t="s">
        <v>219</v>
      </c>
      <c r="D95" t="s">
        <v>304</v>
      </c>
      <c r="E95" t="s">
        <v>307</v>
      </c>
      <c r="F95" t="s">
        <v>904</v>
      </c>
      <c r="G95">
        <v>1</v>
      </c>
      <c r="H95" t="s">
        <v>310</v>
      </c>
      <c r="I95">
        <v>4</v>
      </c>
      <c r="J95" s="40">
        <v>374.38</v>
      </c>
      <c r="N95"/>
      <c r="O95"/>
    </row>
    <row r="96" spans="1:15" x14ac:dyDescent="0.35">
      <c r="A96" s="5">
        <v>94</v>
      </c>
      <c r="B96" s="5" t="str">
        <f t="shared" si="10"/>
        <v>GA4</v>
      </c>
      <c r="C96" t="s">
        <v>219</v>
      </c>
      <c r="D96" t="s">
        <v>304</v>
      </c>
      <c r="E96" t="s">
        <v>898</v>
      </c>
      <c r="F96" t="s">
        <v>899</v>
      </c>
      <c r="G96">
        <v>1</v>
      </c>
      <c r="H96" t="s">
        <v>310</v>
      </c>
      <c r="I96">
        <v>4</v>
      </c>
      <c r="J96" s="40">
        <v>374.6</v>
      </c>
      <c r="N96"/>
      <c r="O96"/>
    </row>
    <row r="97" spans="1:15" x14ac:dyDescent="0.35">
      <c r="A97" s="5">
        <v>95</v>
      </c>
      <c r="B97" s="5" t="str">
        <f t="shared" si="10"/>
        <v>GA4</v>
      </c>
      <c r="C97" t="s">
        <v>219</v>
      </c>
      <c r="D97" t="s">
        <v>304</v>
      </c>
      <c r="E97" t="s">
        <v>305</v>
      </c>
      <c r="F97" t="s">
        <v>913</v>
      </c>
      <c r="G97">
        <v>1</v>
      </c>
      <c r="H97" t="s">
        <v>310</v>
      </c>
      <c r="I97">
        <v>4</v>
      </c>
      <c r="J97" s="40">
        <v>374.71</v>
      </c>
      <c r="N97"/>
      <c r="O97"/>
    </row>
    <row r="98" spans="1:15" x14ac:dyDescent="0.35">
      <c r="A98" s="5">
        <v>96</v>
      </c>
      <c r="B98" s="5" t="str">
        <f t="shared" si="10"/>
        <v>GA5</v>
      </c>
      <c r="C98" t="s">
        <v>219</v>
      </c>
      <c r="D98" t="s">
        <v>1239</v>
      </c>
      <c r="E98" t="s">
        <v>969</v>
      </c>
      <c r="F98" t="s">
        <v>970</v>
      </c>
      <c r="G98">
        <v>2</v>
      </c>
      <c r="H98" t="s">
        <v>310</v>
      </c>
      <c r="I98">
        <v>5</v>
      </c>
      <c r="J98" s="40">
        <v>227.91</v>
      </c>
      <c r="N98"/>
      <c r="O98"/>
    </row>
    <row r="99" spans="1:15" x14ac:dyDescent="0.35">
      <c r="A99" s="5">
        <v>97</v>
      </c>
      <c r="B99" s="5" t="str">
        <f t="shared" si="10"/>
        <v>GA5</v>
      </c>
      <c r="C99" t="s">
        <v>219</v>
      </c>
      <c r="D99" t="s">
        <v>1134</v>
      </c>
      <c r="E99" t="s">
        <v>1200</v>
      </c>
      <c r="F99" t="s">
        <v>1201</v>
      </c>
      <c r="G99">
        <v>2</v>
      </c>
      <c r="H99" t="s">
        <v>310</v>
      </c>
      <c r="I99">
        <v>5</v>
      </c>
      <c r="J99" s="40">
        <v>235.11</v>
      </c>
      <c r="N99"/>
      <c r="O99"/>
    </row>
    <row r="100" spans="1:15" x14ac:dyDescent="0.35">
      <c r="A100" s="5">
        <v>98</v>
      </c>
      <c r="B100" s="5" t="str">
        <f t="shared" si="10"/>
        <v>GA5</v>
      </c>
      <c r="C100" t="s">
        <v>219</v>
      </c>
      <c r="D100" t="s">
        <v>1239</v>
      </c>
      <c r="E100" t="s">
        <v>963</v>
      </c>
      <c r="F100" t="s">
        <v>964</v>
      </c>
      <c r="G100">
        <v>2</v>
      </c>
      <c r="H100" t="s">
        <v>310</v>
      </c>
      <c r="I100">
        <v>5</v>
      </c>
      <c r="J100" s="40">
        <v>236.71</v>
      </c>
      <c r="N100"/>
      <c r="O100"/>
    </row>
    <row r="101" spans="1:15" x14ac:dyDescent="0.35">
      <c r="A101" s="5">
        <v>99</v>
      </c>
      <c r="B101" s="5" t="str">
        <f t="shared" si="10"/>
        <v>GA5</v>
      </c>
      <c r="C101" t="s">
        <v>219</v>
      </c>
      <c r="D101" t="s">
        <v>1239</v>
      </c>
      <c r="E101" t="s">
        <v>965</v>
      </c>
      <c r="F101" t="s">
        <v>966</v>
      </c>
      <c r="G101">
        <v>2</v>
      </c>
      <c r="H101" t="s">
        <v>310</v>
      </c>
      <c r="I101">
        <v>5</v>
      </c>
      <c r="J101" s="40">
        <v>237.45</v>
      </c>
      <c r="N101"/>
      <c r="O101"/>
    </row>
    <row r="102" spans="1:15" x14ac:dyDescent="0.35">
      <c r="A102" s="5">
        <v>100</v>
      </c>
      <c r="B102" s="5" t="str">
        <f t="shared" si="10"/>
        <v>GA5</v>
      </c>
      <c r="C102" t="s">
        <v>219</v>
      </c>
      <c r="D102" t="s">
        <v>1239</v>
      </c>
      <c r="E102" t="s">
        <v>961</v>
      </c>
      <c r="F102" t="s">
        <v>962</v>
      </c>
      <c r="G102">
        <v>2</v>
      </c>
      <c r="H102" t="s">
        <v>310</v>
      </c>
      <c r="I102">
        <v>5</v>
      </c>
      <c r="J102" s="40">
        <v>237.65</v>
      </c>
      <c r="N102"/>
      <c r="O102"/>
    </row>
    <row r="103" spans="1:15" x14ac:dyDescent="0.35">
      <c r="A103" s="5">
        <v>101</v>
      </c>
      <c r="B103" s="5" t="str">
        <f t="shared" si="10"/>
        <v>GA5</v>
      </c>
      <c r="C103" t="s">
        <v>219</v>
      </c>
      <c r="D103" t="s">
        <v>1134</v>
      </c>
      <c r="E103" t="s">
        <v>1192</v>
      </c>
      <c r="F103" t="s">
        <v>1193</v>
      </c>
      <c r="G103">
        <v>2</v>
      </c>
      <c r="H103" t="s">
        <v>310</v>
      </c>
      <c r="I103">
        <v>5</v>
      </c>
      <c r="J103" s="40">
        <v>243.23</v>
      </c>
      <c r="N103"/>
      <c r="O103"/>
    </row>
    <row r="104" spans="1:15" x14ac:dyDescent="0.35">
      <c r="A104" s="5">
        <v>102</v>
      </c>
      <c r="B104" s="5" t="str">
        <f t="shared" si="10"/>
        <v>GA5</v>
      </c>
      <c r="C104" t="s">
        <v>219</v>
      </c>
      <c r="D104" t="s">
        <v>1239</v>
      </c>
      <c r="E104" t="s">
        <v>973</v>
      </c>
      <c r="F104" t="s">
        <v>1242</v>
      </c>
      <c r="G104">
        <v>2</v>
      </c>
      <c r="H104" t="s">
        <v>310</v>
      </c>
      <c r="I104">
        <v>5</v>
      </c>
      <c r="J104" s="40">
        <v>244.74</v>
      </c>
      <c r="N104"/>
      <c r="O104"/>
    </row>
    <row r="105" spans="1:15" x14ac:dyDescent="0.35">
      <c r="A105" s="5">
        <v>103</v>
      </c>
      <c r="B105" s="5" t="str">
        <f t="shared" si="10"/>
        <v>GA5</v>
      </c>
      <c r="C105" t="s">
        <v>219</v>
      </c>
      <c r="D105" t="s">
        <v>1134</v>
      </c>
      <c r="E105" t="s">
        <v>1213</v>
      </c>
      <c r="F105" t="s">
        <v>1045</v>
      </c>
      <c r="G105">
        <v>2</v>
      </c>
      <c r="H105" t="s">
        <v>310</v>
      </c>
      <c r="I105">
        <v>5</v>
      </c>
      <c r="J105" s="40">
        <v>248.32</v>
      </c>
      <c r="N105"/>
      <c r="O105"/>
    </row>
    <row r="106" spans="1:15" x14ac:dyDescent="0.35">
      <c r="A106" s="5">
        <v>104</v>
      </c>
      <c r="B106" s="5" t="str">
        <f t="shared" si="10"/>
        <v>GA5</v>
      </c>
      <c r="C106" t="s">
        <v>219</v>
      </c>
      <c r="D106" t="s">
        <v>1239</v>
      </c>
      <c r="E106" t="s">
        <v>967</v>
      </c>
      <c r="F106" t="s">
        <v>968</v>
      </c>
      <c r="G106">
        <v>2</v>
      </c>
      <c r="H106" t="s">
        <v>310</v>
      </c>
      <c r="I106">
        <v>5</v>
      </c>
      <c r="J106" s="40">
        <v>256.57</v>
      </c>
      <c r="N106"/>
      <c r="O106"/>
    </row>
    <row r="107" spans="1:15" x14ac:dyDescent="0.35">
      <c r="A107" s="5">
        <v>105</v>
      </c>
      <c r="B107" s="5" t="str">
        <f t="shared" si="10"/>
        <v>GA5</v>
      </c>
      <c r="C107" t="s">
        <v>219</v>
      </c>
      <c r="D107" t="s">
        <v>1134</v>
      </c>
      <c r="E107" t="s">
        <v>1208</v>
      </c>
      <c r="F107" t="s">
        <v>1209</v>
      </c>
      <c r="G107">
        <v>2</v>
      </c>
      <c r="H107" t="s">
        <v>310</v>
      </c>
      <c r="I107">
        <v>5</v>
      </c>
      <c r="J107" s="40">
        <v>256.89</v>
      </c>
      <c r="N107"/>
      <c r="O107"/>
    </row>
    <row r="108" spans="1:15" x14ac:dyDescent="0.35">
      <c r="A108" s="5">
        <v>106</v>
      </c>
      <c r="B108" s="5" t="str">
        <f t="shared" si="10"/>
        <v>GA5</v>
      </c>
      <c r="C108" t="s">
        <v>219</v>
      </c>
      <c r="D108" t="s">
        <v>1280</v>
      </c>
      <c r="E108" t="s">
        <v>1114</v>
      </c>
      <c r="F108" t="s">
        <v>1116</v>
      </c>
      <c r="G108">
        <v>2</v>
      </c>
      <c r="H108" t="s">
        <v>310</v>
      </c>
      <c r="I108">
        <v>5</v>
      </c>
      <c r="J108" s="40">
        <v>264.31</v>
      </c>
      <c r="N108"/>
      <c r="O108"/>
    </row>
    <row r="109" spans="1:15" x14ac:dyDescent="0.35">
      <c r="A109" s="5">
        <v>107</v>
      </c>
      <c r="B109" s="5" t="str">
        <f t="shared" si="10"/>
        <v>GA5</v>
      </c>
      <c r="C109" t="s">
        <v>219</v>
      </c>
      <c r="D109" t="s">
        <v>294</v>
      </c>
      <c r="E109" t="s">
        <v>295</v>
      </c>
      <c r="F109" t="s">
        <v>1273</v>
      </c>
      <c r="G109">
        <v>3</v>
      </c>
      <c r="H109" t="s">
        <v>310</v>
      </c>
      <c r="I109">
        <v>5</v>
      </c>
      <c r="J109" s="40">
        <v>271.83</v>
      </c>
      <c r="N109"/>
      <c r="O109"/>
    </row>
    <row r="110" spans="1:15" x14ac:dyDescent="0.35">
      <c r="A110" s="5">
        <v>108</v>
      </c>
      <c r="B110" s="5" t="str">
        <f t="shared" si="10"/>
        <v>GA5</v>
      </c>
      <c r="C110" t="s">
        <v>219</v>
      </c>
      <c r="D110" t="s">
        <v>1280</v>
      </c>
      <c r="E110" t="s">
        <v>1113</v>
      </c>
      <c r="F110" t="s">
        <v>1118</v>
      </c>
      <c r="G110">
        <v>2</v>
      </c>
      <c r="H110" t="s">
        <v>310</v>
      </c>
      <c r="I110">
        <v>5</v>
      </c>
      <c r="J110" s="40">
        <v>274.27999999999997</v>
      </c>
      <c r="N110"/>
      <c r="O110"/>
    </row>
    <row r="111" spans="1:15" x14ac:dyDescent="0.35">
      <c r="A111" s="5">
        <v>109</v>
      </c>
      <c r="B111" s="5" t="str">
        <f t="shared" si="10"/>
        <v>GA5</v>
      </c>
      <c r="C111" t="s">
        <v>219</v>
      </c>
      <c r="D111" t="s">
        <v>1280</v>
      </c>
      <c r="E111" t="s">
        <v>1115</v>
      </c>
      <c r="F111" t="s">
        <v>1128</v>
      </c>
      <c r="G111">
        <v>2</v>
      </c>
      <c r="H111" t="s">
        <v>310</v>
      </c>
      <c r="I111">
        <v>5</v>
      </c>
      <c r="J111" s="40">
        <v>274.27999999999997</v>
      </c>
      <c r="N111"/>
      <c r="O111"/>
    </row>
    <row r="112" spans="1:15" x14ac:dyDescent="0.35">
      <c r="A112" s="5">
        <v>110</v>
      </c>
      <c r="B112" s="5" t="str">
        <f t="shared" si="10"/>
        <v>GA6</v>
      </c>
      <c r="C112" t="s">
        <v>219</v>
      </c>
      <c r="D112" t="s">
        <v>1239</v>
      </c>
      <c r="E112" t="s">
        <v>969</v>
      </c>
      <c r="F112" t="s">
        <v>970</v>
      </c>
      <c r="G112">
        <v>2</v>
      </c>
      <c r="H112" t="s">
        <v>310</v>
      </c>
      <c r="I112">
        <v>6</v>
      </c>
      <c r="J112" s="40">
        <v>276.67</v>
      </c>
      <c r="N112"/>
      <c r="O112"/>
    </row>
    <row r="113" spans="1:15" x14ac:dyDescent="0.35">
      <c r="A113" s="5">
        <v>111</v>
      </c>
      <c r="B113" s="5" t="str">
        <f t="shared" si="10"/>
        <v>GA6</v>
      </c>
      <c r="C113" t="s">
        <v>219</v>
      </c>
      <c r="D113" t="s">
        <v>1239</v>
      </c>
      <c r="E113" t="s">
        <v>963</v>
      </c>
      <c r="F113" t="s">
        <v>964</v>
      </c>
      <c r="G113">
        <v>2</v>
      </c>
      <c r="H113" t="s">
        <v>310</v>
      </c>
      <c r="I113">
        <v>6</v>
      </c>
      <c r="J113" s="40">
        <v>287.36</v>
      </c>
      <c r="N113"/>
      <c r="O113"/>
    </row>
    <row r="114" spans="1:15" x14ac:dyDescent="0.35">
      <c r="A114" s="5">
        <v>112</v>
      </c>
      <c r="B114" s="5" t="str">
        <f t="shared" si="10"/>
        <v>GA6</v>
      </c>
      <c r="C114" t="s">
        <v>219</v>
      </c>
      <c r="D114" t="s">
        <v>1239</v>
      </c>
      <c r="E114" t="s">
        <v>965</v>
      </c>
      <c r="F114" t="s">
        <v>966</v>
      </c>
      <c r="G114">
        <v>2</v>
      </c>
      <c r="H114" t="s">
        <v>310</v>
      </c>
      <c r="I114">
        <v>6</v>
      </c>
      <c r="J114" s="40">
        <v>288.25</v>
      </c>
      <c r="N114"/>
      <c r="O114"/>
    </row>
    <row r="115" spans="1:15" x14ac:dyDescent="0.35">
      <c r="A115" s="5">
        <v>113</v>
      </c>
      <c r="B115" s="5" t="str">
        <f t="shared" si="10"/>
        <v>GA6</v>
      </c>
      <c r="C115" t="s">
        <v>219</v>
      </c>
      <c r="D115" t="s">
        <v>1239</v>
      </c>
      <c r="E115" t="s">
        <v>961</v>
      </c>
      <c r="F115" t="s">
        <v>962</v>
      </c>
      <c r="G115">
        <v>2</v>
      </c>
      <c r="H115" t="s">
        <v>310</v>
      </c>
      <c r="I115">
        <v>6</v>
      </c>
      <c r="J115" s="40">
        <v>288.5</v>
      </c>
      <c r="N115"/>
      <c r="O115"/>
    </row>
    <row r="116" spans="1:15" x14ac:dyDescent="0.35">
      <c r="A116" s="5">
        <v>114</v>
      </c>
      <c r="B116" s="5" t="str">
        <f t="shared" si="10"/>
        <v>GA6</v>
      </c>
      <c r="C116" t="s">
        <v>219</v>
      </c>
      <c r="D116" t="s">
        <v>1134</v>
      </c>
      <c r="E116" t="s">
        <v>1200</v>
      </c>
      <c r="F116" t="s">
        <v>1201</v>
      </c>
      <c r="G116">
        <v>2</v>
      </c>
      <c r="H116" t="s">
        <v>310</v>
      </c>
      <c r="I116">
        <v>6</v>
      </c>
      <c r="J116" s="40">
        <v>295.05</v>
      </c>
      <c r="N116"/>
      <c r="O116"/>
    </row>
    <row r="117" spans="1:15" x14ac:dyDescent="0.35">
      <c r="A117" s="5">
        <v>115</v>
      </c>
      <c r="B117" s="5" t="str">
        <f t="shared" si="10"/>
        <v>GA6</v>
      </c>
      <c r="C117" t="s">
        <v>219</v>
      </c>
      <c r="D117" t="s">
        <v>1239</v>
      </c>
      <c r="E117" t="s">
        <v>973</v>
      </c>
      <c r="F117" t="s">
        <v>1242</v>
      </c>
      <c r="G117">
        <v>2</v>
      </c>
      <c r="H117" t="s">
        <v>310</v>
      </c>
      <c r="I117">
        <v>6</v>
      </c>
      <c r="J117" s="40">
        <v>297.10000000000002</v>
      </c>
      <c r="N117"/>
      <c r="O117"/>
    </row>
    <row r="118" spans="1:15" x14ac:dyDescent="0.35">
      <c r="A118" s="5">
        <v>116</v>
      </c>
      <c r="B118" s="5" t="str">
        <f t="shared" si="10"/>
        <v>GA6</v>
      </c>
      <c r="C118" t="s">
        <v>219</v>
      </c>
      <c r="D118" t="s">
        <v>294</v>
      </c>
      <c r="E118" t="s">
        <v>295</v>
      </c>
      <c r="F118" t="s">
        <v>1273</v>
      </c>
      <c r="G118">
        <v>3</v>
      </c>
      <c r="H118" t="s">
        <v>310</v>
      </c>
      <c r="I118">
        <v>6</v>
      </c>
      <c r="J118" s="40">
        <v>303.27</v>
      </c>
      <c r="N118"/>
      <c r="O118"/>
    </row>
    <row r="119" spans="1:15" x14ac:dyDescent="0.35">
      <c r="A119" s="5">
        <v>117</v>
      </c>
      <c r="B119" s="5" t="str">
        <f t="shared" si="10"/>
        <v>GA6</v>
      </c>
      <c r="C119" t="s">
        <v>219</v>
      </c>
      <c r="D119" t="s">
        <v>1239</v>
      </c>
      <c r="E119" t="s">
        <v>967</v>
      </c>
      <c r="F119" t="s">
        <v>968</v>
      </c>
      <c r="G119">
        <v>2</v>
      </c>
      <c r="H119" t="s">
        <v>310</v>
      </c>
      <c r="I119">
        <v>6</v>
      </c>
      <c r="J119" s="40">
        <v>311.48</v>
      </c>
      <c r="N119"/>
      <c r="O119"/>
    </row>
    <row r="120" spans="1:15" x14ac:dyDescent="0.35">
      <c r="A120" s="5">
        <v>118</v>
      </c>
      <c r="B120" s="5" t="str">
        <f t="shared" si="10"/>
        <v>GA6</v>
      </c>
      <c r="C120" t="s">
        <v>219</v>
      </c>
      <c r="D120" t="s">
        <v>1134</v>
      </c>
      <c r="E120" t="s">
        <v>1213</v>
      </c>
      <c r="F120" t="s">
        <v>1045</v>
      </c>
      <c r="G120">
        <v>2</v>
      </c>
      <c r="H120" t="s">
        <v>310</v>
      </c>
      <c r="I120">
        <v>6</v>
      </c>
      <c r="J120" s="40">
        <v>311.61</v>
      </c>
      <c r="N120"/>
      <c r="O120"/>
    </row>
    <row r="121" spans="1:15" x14ac:dyDescent="0.35">
      <c r="A121" s="5">
        <v>119</v>
      </c>
      <c r="B121" s="5" t="str">
        <f t="shared" si="10"/>
        <v>GA6</v>
      </c>
      <c r="C121" t="s">
        <v>219</v>
      </c>
      <c r="D121" t="s">
        <v>1280</v>
      </c>
      <c r="E121" t="s">
        <v>1114</v>
      </c>
      <c r="F121" t="s">
        <v>1116</v>
      </c>
      <c r="G121">
        <v>2</v>
      </c>
      <c r="H121" t="s">
        <v>310</v>
      </c>
      <c r="I121">
        <v>6</v>
      </c>
      <c r="J121" s="40">
        <v>311.87</v>
      </c>
      <c r="N121"/>
      <c r="O121"/>
    </row>
    <row r="122" spans="1:15" x14ac:dyDescent="0.35">
      <c r="A122" s="5">
        <v>120</v>
      </c>
      <c r="B122" s="5" t="str">
        <f t="shared" si="10"/>
        <v>GA6</v>
      </c>
      <c r="C122" t="s">
        <v>219</v>
      </c>
      <c r="D122" t="s">
        <v>1280</v>
      </c>
      <c r="E122" t="s">
        <v>1113</v>
      </c>
      <c r="F122" t="s">
        <v>1118</v>
      </c>
      <c r="G122">
        <v>2</v>
      </c>
      <c r="H122" t="s">
        <v>310</v>
      </c>
      <c r="I122">
        <v>6</v>
      </c>
      <c r="J122" s="40">
        <v>323.63</v>
      </c>
      <c r="N122"/>
      <c r="O122"/>
    </row>
    <row r="123" spans="1:15" x14ac:dyDescent="0.35">
      <c r="A123" s="5">
        <v>121</v>
      </c>
      <c r="B123" s="5" t="str">
        <f t="shared" si="10"/>
        <v>GA6</v>
      </c>
      <c r="C123" t="s">
        <v>219</v>
      </c>
      <c r="D123" t="s">
        <v>1280</v>
      </c>
      <c r="E123" t="s">
        <v>1115</v>
      </c>
      <c r="F123" t="s">
        <v>1128</v>
      </c>
      <c r="G123">
        <v>2</v>
      </c>
      <c r="H123" t="s">
        <v>310</v>
      </c>
      <c r="I123">
        <v>6</v>
      </c>
      <c r="J123" s="40">
        <v>323.63</v>
      </c>
      <c r="N123"/>
      <c r="O123"/>
    </row>
    <row r="124" spans="1:15" x14ac:dyDescent="0.35">
      <c r="A124" s="5">
        <v>122</v>
      </c>
      <c r="B124" s="5" t="str">
        <f t="shared" si="10"/>
        <v>GA7</v>
      </c>
      <c r="C124" t="s">
        <v>219</v>
      </c>
      <c r="D124" t="s">
        <v>1280</v>
      </c>
      <c r="E124" t="s">
        <v>1114</v>
      </c>
      <c r="F124" t="s">
        <v>1116</v>
      </c>
      <c r="G124">
        <v>2</v>
      </c>
      <c r="H124" t="s">
        <v>310</v>
      </c>
      <c r="I124">
        <v>7</v>
      </c>
      <c r="J124" s="40">
        <v>256.87</v>
      </c>
      <c r="N124"/>
      <c r="O124"/>
    </row>
    <row r="125" spans="1:15" x14ac:dyDescent="0.35">
      <c r="A125" s="5">
        <v>123</v>
      </c>
      <c r="B125" s="5" t="str">
        <f t="shared" si="10"/>
        <v>GA7</v>
      </c>
      <c r="C125" t="s">
        <v>219</v>
      </c>
      <c r="D125" t="s">
        <v>1280</v>
      </c>
      <c r="E125" t="s">
        <v>1113</v>
      </c>
      <c r="F125" t="s">
        <v>1118</v>
      </c>
      <c r="G125">
        <v>2</v>
      </c>
      <c r="H125" t="s">
        <v>310</v>
      </c>
      <c r="I125">
        <v>7</v>
      </c>
      <c r="J125" s="40">
        <v>266.56</v>
      </c>
      <c r="N125"/>
      <c r="O125"/>
    </row>
    <row r="126" spans="1:15" x14ac:dyDescent="0.35">
      <c r="A126" s="5">
        <v>124</v>
      </c>
      <c r="B126" s="5" t="str">
        <f t="shared" si="10"/>
        <v>GA7</v>
      </c>
      <c r="C126" t="s">
        <v>219</v>
      </c>
      <c r="D126" t="s">
        <v>1280</v>
      </c>
      <c r="E126" t="s">
        <v>1115</v>
      </c>
      <c r="F126" t="s">
        <v>1128</v>
      </c>
      <c r="G126">
        <v>2</v>
      </c>
      <c r="H126" t="s">
        <v>310</v>
      </c>
      <c r="I126">
        <v>7</v>
      </c>
      <c r="J126" s="40">
        <v>266.56</v>
      </c>
      <c r="N126"/>
      <c r="O126"/>
    </row>
    <row r="127" spans="1:15" x14ac:dyDescent="0.35">
      <c r="A127" s="5">
        <v>125</v>
      </c>
      <c r="B127" s="5" t="str">
        <f t="shared" si="10"/>
        <v>GA7</v>
      </c>
      <c r="C127" t="s">
        <v>219</v>
      </c>
      <c r="D127" t="s">
        <v>1239</v>
      </c>
      <c r="E127" t="s">
        <v>969</v>
      </c>
      <c r="F127" t="s">
        <v>970</v>
      </c>
      <c r="G127">
        <v>2</v>
      </c>
      <c r="H127" t="s">
        <v>310</v>
      </c>
      <c r="I127">
        <v>7</v>
      </c>
      <c r="J127" s="40">
        <v>283.83</v>
      </c>
      <c r="N127"/>
      <c r="O127"/>
    </row>
    <row r="128" spans="1:15" x14ac:dyDescent="0.35">
      <c r="A128" s="5">
        <v>126</v>
      </c>
      <c r="B128" s="5" t="str">
        <f t="shared" si="10"/>
        <v>GA7</v>
      </c>
      <c r="C128" t="s">
        <v>219</v>
      </c>
      <c r="D128" t="s">
        <v>304</v>
      </c>
      <c r="E128" t="s">
        <v>916</v>
      </c>
      <c r="F128" t="s">
        <v>917</v>
      </c>
      <c r="G128">
        <v>1</v>
      </c>
      <c r="H128" t="s">
        <v>310</v>
      </c>
      <c r="I128">
        <v>7</v>
      </c>
      <c r="J128" s="40">
        <v>289.39999999999998</v>
      </c>
      <c r="N128"/>
      <c r="O128"/>
    </row>
    <row r="129" spans="1:15" x14ac:dyDescent="0.35">
      <c r="A129" s="5">
        <v>127</v>
      </c>
      <c r="B129" s="5" t="str">
        <f t="shared" si="10"/>
        <v>GA7</v>
      </c>
      <c r="C129" t="s">
        <v>219</v>
      </c>
      <c r="D129" t="s">
        <v>304</v>
      </c>
      <c r="E129" t="s">
        <v>307</v>
      </c>
      <c r="F129" t="s">
        <v>904</v>
      </c>
      <c r="G129">
        <v>1</v>
      </c>
      <c r="H129" t="s">
        <v>310</v>
      </c>
      <c r="I129">
        <v>7</v>
      </c>
      <c r="J129" s="40">
        <v>290.73</v>
      </c>
      <c r="N129"/>
      <c r="O129"/>
    </row>
    <row r="130" spans="1:15" x14ac:dyDescent="0.35">
      <c r="A130" s="5">
        <v>128</v>
      </c>
      <c r="B130" s="5" t="str">
        <f t="shared" si="10"/>
        <v>GA7</v>
      </c>
      <c r="C130" t="s">
        <v>219</v>
      </c>
      <c r="D130" t="s">
        <v>304</v>
      </c>
      <c r="E130" t="s">
        <v>898</v>
      </c>
      <c r="F130" t="s">
        <v>899</v>
      </c>
      <c r="G130">
        <v>1</v>
      </c>
      <c r="H130" t="s">
        <v>310</v>
      </c>
      <c r="I130">
        <v>7</v>
      </c>
      <c r="J130" s="40">
        <v>290.89999999999998</v>
      </c>
      <c r="N130"/>
      <c r="O130"/>
    </row>
    <row r="131" spans="1:15" x14ac:dyDescent="0.35">
      <c r="A131" s="5">
        <v>129</v>
      </c>
      <c r="B131" s="5" t="str">
        <f t="shared" ref="B131:B194" si="11">CONCATENATE(C131,I131)</f>
        <v>GA7</v>
      </c>
      <c r="C131" t="s">
        <v>219</v>
      </c>
      <c r="D131" t="s">
        <v>304</v>
      </c>
      <c r="E131" t="s">
        <v>305</v>
      </c>
      <c r="F131" t="s">
        <v>913</v>
      </c>
      <c r="G131">
        <v>1</v>
      </c>
      <c r="H131" t="s">
        <v>310</v>
      </c>
      <c r="I131">
        <v>7</v>
      </c>
      <c r="J131" s="40">
        <v>290.99</v>
      </c>
      <c r="N131"/>
      <c r="O131"/>
    </row>
    <row r="132" spans="1:15" x14ac:dyDescent="0.35">
      <c r="A132" s="5">
        <v>130</v>
      </c>
      <c r="B132" s="5" t="str">
        <f t="shared" si="11"/>
        <v>GA7</v>
      </c>
      <c r="C132" t="s">
        <v>219</v>
      </c>
      <c r="D132" t="s">
        <v>1239</v>
      </c>
      <c r="E132" t="s">
        <v>963</v>
      </c>
      <c r="F132" t="s">
        <v>964</v>
      </c>
      <c r="G132">
        <v>2</v>
      </c>
      <c r="H132" t="s">
        <v>310</v>
      </c>
      <c r="I132">
        <v>7</v>
      </c>
      <c r="J132" s="40">
        <v>294.8</v>
      </c>
      <c r="N132"/>
      <c r="O132"/>
    </row>
    <row r="133" spans="1:15" x14ac:dyDescent="0.35">
      <c r="A133" s="5">
        <v>131</v>
      </c>
      <c r="B133" s="5" t="str">
        <f t="shared" si="11"/>
        <v>GA7</v>
      </c>
      <c r="C133" t="s">
        <v>219</v>
      </c>
      <c r="D133" t="s">
        <v>1239</v>
      </c>
      <c r="E133" t="s">
        <v>965</v>
      </c>
      <c r="F133" t="s">
        <v>966</v>
      </c>
      <c r="G133">
        <v>2</v>
      </c>
      <c r="H133" t="s">
        <v>310</v>
      </c>
      <c r="I133">
        <v>7</v>
      </c>
      <c r="J133" s="40">
        <v>295.70999999999998</v>
      </c>
      <c r="N133"/>
      <c r="O133"/>
    </row>
    <row r="134" spans="1:15" x14ac:dyDescent="0.35">
      <c r="A134" s="5">
        <v>132</v>
      </c>
      <c r="B134" s="5" t="str">
        <f t="shared" si="11"/>
        <v>GA7</v>
      </c>
      <c r="C134" t="s">
        <v>219</v>
      </c>
      <c r="D134" t="s">
        <v>1239</v>
      </c>
      <c r="E134" t="s">
        <v>961</v>
      </c>
      <c r="F134" t="s">
        <v>962</v>
      </c>
      <c r="G134">
        <v>2</v>
      </c>
      <c r="H134" t="s">
        <v>310</v>
      </c>
      <c r="I134">
        <v>7</v>
      </c>
      <c r="J134" s="40">
        <v>295.98</v>
      </c>
      <c r="N134"/>
      <c r="O134"/>
    </row>
    <row r="135" spans="1:15" x14ac:dyDescent="0.35">
      <c r="A135" s="5">
        <v>133</v>
      </c>
      <c r="B135" s="5" t="str">
        <f t="shared" si="11"/>
        <v>GA7</v>
      </c>
      <c r="C135" t="s">
        <v>219</v>
      </c>
      <c r="D135" t="s">
        <v>1239</v>
      </c>
      <c r="E135" t="s">
        <v>973</v>
      </c>
      <c r="F135" t="s">
        <v>1242</v>
      </c>
      <c r="G135">
        <v>2</v>
      </c>
      <c r="H135" t="s">
        <v>310</v>
      </c>
      <c r="I135">
        <v>7</v>
      </c>
      <c r="J135" s="40">
        <v>304.79000000000002</v>
      </c>
      <c r="N135"/>
      <c r="O135"/>
    </row>
    <row r="136" spans="1:15" x14ac:dyDescent="0.35">
      <c r="A136" s="5">
        <v>134</v>
      </c>
      <c r="B136" s="5" t="str">
        <f t="shared" si="11"/>
        <v>GA7</v>
      </c>
      <c r="C136" t="s">
        <v>219</v>
      </c>
      <c r="D136" t="s">
        <v>1239</v>
      </c>
      <c r="E136" t="s">
        <v>967</v>
      </c>
      <c r="F136" t="s">
        <v>968</v>
      </c>
      <c r="G136">
        <v>2</v>
      </c>
      <c r="H136" t="s">
        <v>310</v>
      </c>
      <c r="I136">
        <v>7</v>
      </c>
      <c r="J136" s="40">
        <v>319.54000000000002</v>
      </c>
      <c r="N136"/>
      <c r="O136"/>
    </row>
    <row r="137" spans="1:15" x14ac:dyDescent="0.35">
      <c r="A137" s="5">
        <v>135</v>
      </c>
      <c r="B137" s="5" t="str">
        <f t="shared" si="11"/>
        <v>GA8</v>
      </c>
      <c r="C137" t="s">
        <v>219</v>
      </c>
      <c r="D137" t="s">
        <v>1217</v>
      </c>
      <c r="E137" t="s">
        <v>1224</v>
      </c>
      <c r="F137" t="s">
        <v>1123</v>
      </c>
      <c r="G137">
        <v>2</v>
      </c>
      <c r="H137" t="s">
        <v>310</v>
      </c>
      <c r="I137">
        <v>8</v>
      </c>
      <c r="J137" s="40">
        <v>233.41</v>
      </c>
      <c r="N137"/>
      <c r="O137"/>
    </row>
    <row r="138" spans="1:15" x14ac:dyDescent="0.35">
      <c r="A138" s="5">
        <v>136</v>
      </c>
      <c r="B138" s="5" t="str">
        <f t="shared" si="11"/>
        <v>GA8</v>
      </c>
      <c r="C138" t="s">
        <v>219</v>
      </c>
      <c r="D138" t="s">
        <v>1217</v>
      </c>
      <c r="E138" t="s">
        <v>1216</v>
      </c>
      <c r="F138" t="s">
        <v>1119</v>
      </c>
      <c r="G138">
        <v>2</v>
      </c>
      <c r="H138" t="s">
        <v>310</v>
      </c>
      <c r="I138">
        <v>8</v>
      </c>
      <c r="J138" s="40">
        <v>237.38</v>
      </c>
      <c r="N138"/>
      <c r="O138"/>
    </row>
    <row r="139" spans="1:15" x14ac:dyDescent="0.35">
      <c r="A139" s="5">
        <v>137</v>
      </c>
      <c r="B139" s="5" t="str">
        <f t="shared" si="11"/>
        <v>GA8</v>
      </c>
      <c r="C139" t="s">
        <v>219</v>
      </c>
      <c r="D139" t="s">
        <v>1217</v>
      </c>
      <c r="E139" t="s">
        <v>1225</v>
      </c>
      <c r="F139" t="s">
        <v>1124</v>
      </c>
      <c r="G139">
        <v>2</v>
      </c>
      <c r="H139" t="s">
        <v>310</v>
      </c>
      <c r="I139">
        <v>8</v>
      </c>
      <c r="J139" s="40">
        <v>239.21</v>
      </c>
      <c r="N139"/>
      <c r="O139"/>
    </row>
    <row r="140" spans="1:15" x14ac:dyDescent="0.35">
      <c r="A140" s="5">
        <v>138</v>
      </c>
      <c r="B140" s="5" t="str">
        <f t="shared" si="11"/>
        <v>GA8</v>
      </c>
      <c r="C140" t="s">
        <v>219</v>
      </c>
      <c r="D140" t="s">
        <v>1134</v>
      </c>
      <c r="E140" t="s">
        <v>1194</v>
      </c>
      <c r="F140" t="s">
        <v>1195</v>
      </c>
      <c r="G140">
        <v>2</v>
      </c>
      <c r="H140" t="s">
        <v>310</v>
      </c>
      <c r="I140">
        <v>8</v>
      </c>
      <c r="J140" s="40">
        <v>242.09</v>
      </c>
      <c r="N140"/>
      <c r="O140"/>
    </row>
    <row r="141" spans="1:15" x14ac:dyDescent="0.35">
      <c r="A141" s="5">
        <v>139</v>
      </c>
      <c r="B141" s="5" t="str">
        <f t="shared" si="11"/>
        <v>GA8</v>
      </c>
      <c r="C141" t="s">
        <v>219</v>
      </c>
      <c r="D141" t="s">
        <v>1217</v>
      </c>
      <c r="E141" t="s">
        <v>1218</v>
      </c>
      <c r="F141" t="s">
        <v>1120</v>
      </c>
      <c r="G141">
        <v>2</v>
      </c>
      <c r="H141" t="s">
        <v>310</v>
      </c>
      <c r="I141">
        <v>8</v>
      </c>
      <c r="J141" s="40">
        <v>243.27</v>
      </c>
      <c r="N141"/>
      <c r="O141"/>
    </row>
    <row r="142" spans="1:15" x14ac:dyDescent="0.35">
      <c r="A142" s="5">
        <v>140</v>
      </c>
      <c r="B142" s="5" t="str">
        <f t="shared" si="11"/>
        <v>GA8</v>
      </c>
      <c r="C142" t="s">
        <v>219</v>
      </c>
      <c r="D142" t="s">
        <v>1217</v>
      </c>
      <c r="E142" t="s">
        <v>1220</v>
      </c>
      <c r="F142" t="s">
        <v>1121</v>
      </c>
      <c r="G142">
        <v>2</v>
      </c>
      <c r="H142" t="s">
        <v>310</v>
      </c>
      <c r="I142">
        <v>8</v>
      </c>
      <c r="J142" s="40">
        <v>244.85</v>
      </c>
      <c r="N142"/>
      <c r="O142"/>
    </row>
    <row r="143" spans="1:15" x14ac:dyDescent="0.35">
      <c r="A143" s="5">
        <v>141</v>
      </c>
      <c r="B143" s="5" t="str">
        <f t="shared" si="11"/>
        <v>GA8</v>
      </c>
      <c r="C143" t="s">
        <v>219</v>
      </c>
      <c r="D143" t="s">
        <v>1217</v>
      </c>
      <c r="E143" t="s">
        <v>1221</v>
      </c>
      <c r="F143" t="s">
        <v>1122</v>
      </c>
      <c r="G143">
        <v>2</v>
      </c>
      <c r="H143" t="s">
        <v>310</v>
      </c>
      <c r="I143">
        <v>8</v>
      </c>
      <c r="J143" s="40">
        <v>250.93</v>
      </c>
      <c r="N143"/>
      <c r="O143"/>
    </row>
    <row r="144" spans="1:15" x14ac:dyDescent="0.35">
      <c r="A144" s="5">
        <v>142</v>
      </c>
      <c r="B144" s="5" t="str">
        <f t="shared" si="11"/>
        <v>GA8</v>
      </c>
      <c r="C144" t="s">
        <v>219</v>
      </c>
      <c r="D144" t="s">
        <v>1217</v>
      </c>
      <c r="E144" t="s">
        <v>1226</v>
      </c>
      <c r="F144" t="s">
        <v>1130</v>
      </c>
      <c r="G144">
        <v>2</v>
      </c>
      <c r="H144" t="s">
        <v>310</v>
      </c>
      <c r="I144">
        <v>8</v>
      </c>
      <c r="J144" s="40">
        <v>254.23</v>
      </c>
      <c r="N144"/>
      <c r="O144"/>
    </row>
    <row r="145" spans="1:15" x14ac:dyDescent="0.35">
      <c r="A145" s="5">
        <v>143</v>
      </c>
      <c r="B145" s="5" t="str">
        <f t="shared" si="11"/>
        <v>GA8</v>
      </c>
      <c r="C145" t="s">
        <v>219</v>
      </c>
      <c r="D145" t="s">
        <v>1134</v>
      </c>
      <c r="E145" t="s">
        <v>1210</v>
      </c>
      <c r="F145" t="s">
        <v>1037</v>
      </c>
      <c r="G145">
        <v>2</v>
      </c>
      <c r="H145" t="s">
        <v>310</v>
      </c>
      <c r="I145">
        <v>8</v>
      </c>
      <c r="J145" s="40">
        <v>255.69</v>
      </c>
      <c r="N145"/>
      <c r="O145"/>
    </row>
    <row r="146" spans="1:15" x14ac:dyDescent="0.35">
      <c r="A146" s="5">
        <v>144</v>
      </c>
      <c r="B146" s="5" t="str">
        <f t="shared" si="11"/>
        <v>GA8</v>
      </c>
      <c r="C146" t="s">
        <v>219</v>
      </c>
      <c r="D146" t="s">
        <v>1217</v>
      </c>
      <c r="E146" t="s">
        <v>1219</v>
      </c>
      <c r="F146" t="s">
        <v>1129</v>
      </c>
      <c r="G146">
        <v>2</v>
      </c>
      <c r="H146" t="s">
        <v>310</v>
      </c>
      <c r="I146">
        <v>8</v>
      </c>
      <c r="J146" s="40">
        <v>258.55</v>
      </c>
      <c r="N146"/>
      <c r="O146"/>
    </row>
    <row r="147" spans="1:15" x14ac:dyDescent="0.35">
      <c r="A147" s="5">
        <v>145</v>
      </c>
      <c r="B147" s="5" t="str">
        <f t="shared" si="11"/>
        <v>GA8</v>
      </c>
      <c r="C147" t="s">
        <v>219</v>
      </c>
      <c r="D147" t="s">
        <v>1239</v>
      </c>
      <c r="E147" t="s">
        <v>969</v>
      </c>
      <c r="F147" t="s">
        <v>970</v>
      </c>
      <c r="G147">
        <v>2</v>
      </c>
      <c r="H147" t="s">
        <v>310</v>
      </c>
      <c r="I147">
        <v>8</v>
      </c>
      <c r="J147" s="40">
        <v>261.23</v>
      </c>
      <c r="N147"/>
      <c r="O147"/>
    </row>
    <row r="148" spans="1:15" x14ac:dyDescent="0.35">
      <c r="A148" s="5">
        <v>146</v>
      </c>
      <c r="B148" s="5" t="str">
        <f t="shared" si="11"/>
        <v>GA8</v>
      </c>
      <c r="C148" t="s">
        <v>219</v>
      </c>
      <c r="D148" t="s">
        <v>297</v>
      </c>
      <c r="E148" t="s">
        <v>298</v>
      </c>
      <c r="F148" t="s">
        <v>1279</v>
      </c>
      <c r="G148">
        <v>2</v>
      </c>
      <c r="H148" t="s">
        <v>310</v>
      </c>
      <c r="I148">
        <v>8</v>
      </c>
      <c r="J148" s="40">
        <v>262.74</v>
      </c>
      <c r="N148"/>
      <c r="O148"/>
    </row>
    <row r="149" spans="1:15" x14ac:dyDescent="0.35">
      <c r="A149" s="5">
        <v>147</v>
      </c>
      <c r="B149" s="5" t="str">
        <f t="shared" si="11"/>
        <v>GA8</v>
      </c>
      <c r="C149" t="s">
        <v>219</v>
      </c>
      <c r="D149" t="s">
        <v>297</v>
      </c>
      <c r="E149" t="s">
        <v>300</v>
      </c>
      <c r="F149" t="s">
        <v>301</v>
      </c>
      <c r="G149">
        <v>2</v>
      </c>
      <c r="H149" t="s">
        <v>310</v>
      </c>
      <c r="I149">
        <v>8</v>
      </c>
      <c r="J149" s="40">
        <v>263.5</v>
      </c>
      <c r="N149"/>
      <c r="O149"/>
    </row>
    <row r="150" spans="1:15" x14ac:dyDescent="0.35">
      <c r="A150" s="5">
        <v>148</v>
      </c>
      <c r="B150" s="5" t="str">
        <f t="shared" si="11"/>
        <v>GA8</v>
      </c>
      <c r="C150" t="s">
        <v>219</v>
      </c>
      <c r="D150" t="s">
        <v>1217</v>
      </c>
      <c r="E150" t="s">
        <v>1222</v>
      </c>
      <c r="F150" t="s">
        <v>1223</v>
      </c>
      <c r="G150">
        <v>2</v>
      </c>
      <c r="H150" t="s">
        <v>310</v>
      </c>
      <c r="I150">
        <v>8</v>
      </c>
      <c r="J150" s="40">
        <v>266.68</v>
      </c>
      <c r="N150"/>
      <c r="O150"/>
    </row>
    <row r="151" spans="1:15" x14ac:dyDescent="0.35">
      <c r="A151" s="5">
        <v>149</v>
      </c>
      <c r="B151" s="5" t="str">
        <f t="shared" si="11"/>
        <v>GA8</v>
      </c>
      <c r="C151" t="s">
        <v>219</v>
      </c>
      <c r="D151" t="s">
        <v>1239</v>
      </c>
      <c r="E151" t="s">
        <v>963</v>
      </c>
      <c r="F151" t="s">
        <v>964</v>
      </c>
      <c r="G151">
        <v>2</v>
      </c>
      <c r="H151" t="s">
        <v>310</v>
      </c>
      <c r="I151">
        <v>8</v>
      </c>
      <c r="J151" s="40">
        <v>271.33</v>
      </c>
      <c r="N151"/>
      <c r="O151"/>
    </row>
    <row r="152" spans="1:15" x14ac:dyDescent="0.35">
      <c r="A152" s="5">
        <v>150</v>
      </c>
      <c r="B152" s="5" t="str">
        <f t="shared" si="11"/>
        <v>GA8</v>
      </c>
      <c r="C152" t="s">
        <v>219</v>
      </c>
      <c r="D152" t="s">
        <v>1239</v>
      </c>
      <c r="E152" t="s">
        <v>965</v>
      </c>
      <c r="F152" t="s">
        <v>966</v>
      </c>
      <c r="G152">
        <v>2</v>
      </c>
      <c r="H152" t="s">
        <v>310</v>
      </c>
      <c r="I152">
        <v>8</v>
      </c>
      <c r="J152" s="40">
        <v>272.17</v>
      </c>
      <c r="N152"/>
      <c r="O152"/>
    </row>
    <row r="153" spans="1:15" x14ac:dyDescent="0.35">
      <c r="A153" s="5">
        <v>151</v>
      </c>
      <c r="B153" s="5" t="str">
        <f t="shared" si="11"/>
        <v>GA8</v>
      </c>
      <c r="C153" t="s">
        <v>219</v>
      </c>
      <c r="D153" t="s">
        <v>1239</v>
      </c>
      <c r="E153" t="s">
        <v>961</v>
      </c>
      <c r="F153" t="s">
        <v>962</v>
      </c>
      <c r="G153">
        <v>2</v>
      </c>
      <c r="H153" t="s">
        <v>310</v>
      </c>
      <c r="I153">
        <v>8</v>
      </c>
      <c r="J153" s="40">
        <v>272.41000000000003</v>
      </c>
      <c r="N153"/>
      <c r="O153"/>
    </row>
    <row r="154" spans="1:15" x14ac:dyDescent="0.35">
      <c r="A154" s="5">
        <v>152</v>
      </c>
      <c r="B154" s="5" t="str">
        <f t="shared" si="11"/>
        <v>GA8</v>
      </c>
      <c r="C154" t="s">
        <v>219</v>
      </c>
      <c r="D154" t="s">
        <v>297</v>
      </c>
      <c r="E154" t="s">
        <v>302</v>
      </c>
      <c r="F154" t="s">
        <v>303</v>
      </c>
      <c r="G154">
        <v>2</v>
      </c>
      <c r="H154" t="s">
        <v>310</v>
      </c>
      <c r="I154">
        <v>8</v>
      </c>
      <c r="J154" s="40">
        <v>276.5</v>
      </c>
      <c r="N154"/>
      <c r="O154"/>
    </row>
    <row r="155" spans="1:15" x14ac:dyDescent="0.35">
      <c r="A155" s="5">
        <v>153</v>
      </c>
      <c r="B155" s="5" t="str">
        <f t="shared" si="11"/>
        <v>GA8</v>
      </c>
      <c r="C155" t="s">
        <v>219</v>
      </c>
      <c r="D155" t="s">
        <v>1239</v>
      </c>
      <c r="E155" t="s">
        <v>973</v>
      </c>
      <c r="F155" t="s">
        <v>1242</v>
      </c>
      <c r="G155">
        <v>2</v>
      </c>
      <c r="H155" t="s">
        <v>310</v>
      </c>
      <c r="I155">
        <v>8</v>
      </c>
      <c r="J155" s="40">
        <v>280.52</v>
      </c>
      <c r="N155"/>
      <c r="O155"/>
    </row>
    <row r="156" spans="1:15" x14ac:dyDescent="0.35">
      <c r="A156" s="5">
        <v>154</v>
      </c>
      <c r="B156" s="5" t="str">
        <f t="shared" si="11"/>
        <v>GA8</v>
      </c>
      <c r="C156" t="s">
        <v>219</v>
      </c>
      <c r="D156" t="s">
        <v>1280</v>
      </c>
      <c r="E156" t="s">
        <v>1114</v>
      </c>
      <c r="F156" t="s">
        <v>1116</v>
      </c>
      <c r="G156">
        <v>2</v>
      </c>
      <c r="H156" t="s">
        <v>310</v>
      </c>
      <c r="I156">
        <v>8</v>
      </c>
      <c r="J156" s="40">
        <v>282.75</v>
      </c>
      <c r="N156"/>
      <c r="O156"/>
    </row>
    <row r="157" spans="1:15" x14ac:dyDescent="0.35">
      <c r="A157" s="5">
        <v>155</v>
      </c>
      <c r="B157" s="5" t="str">
        <f t="shared" si="11"/>
        <v>GA8</v>
      </c>
      <c r="C157" t="s">
        <v>219</v>
      </c>
      <c r="D157" t="s">
        <v>294</v>
      </c>
      <c r="E157" t="s">
        <v>295</v>
      </c>
      <c r="F157" t="s">
        <v>1273</v>
      </c>
      <c r="G157">
        <v>3</v>
      </c>
      <c r="H157" t="s">
        <v>310</v>
      </c>
      <c r="I157">
        <v>8</v>
      </c>
      <c r="J157" s="40">
        <v>284.92</v>
      </c>
      <c r="N157"/>
      <c r="O157"/>
    </row>
    <row r="158" spans="1:15" x14ac:dyDescent="0.35">
      <c r="A158" s="5">
        <v>156</v>
      </c>
      <c r="B158" s="5" t="str">
        <f t="shared" si="11"/>
        <v>GA8</v>
      </c>
      <c r="C158" t="s">
        <v>219</v>
      </c>
      <c r="D158" t="s">
        <v>294</v>
      </c>
      <c r="E158" t="s">
        <v>309</v>
      </c>
      <c r="F158" t="s">
        <v>1271</v>
      </c>
      <c r="G158">
        <v>2</v>
      </c>
      <c r="H158" t="s">
        <v>310</v>
      </c>
      <c r="I158">
        <v>8</v>
      </c>
      <c r="J158" s="40">
        <v>291.48</v>
      </c>
      <c r="N158"/>
      <c r="O158"/>
    </row>
    <row r="159" spans="1:15" x14ac:dyDescent="0.35">
      <c r="A159" s="5">
        <v>157</v>
      </c>
      <c r="B159" s="5" t="str">
        <f t="shared" si="11"/>
        <v>GA8</v>
      </c>
      <c r="C159" t="s">
        <v>219</v>
      </c>
      <c r="D159" t="s">
        <v>1280</v>
      </c>
      <c r="E159" t="s">
        <v>1113</v>
      </c>
      <c r="F159" t="s">
        <v>1118</v>
      </c>
      <c r="G159">
        <v>2</v>
      </c>
      <c r="H159" t="s">
        <v>310</v>
      </c>
      <c r="I159">
        <v>8</v>
      </c>
      <c r="J159" s="40">
        <v>293.42</v>
      </c>
      <c r="N159"/>
      <c r="O159"/>
    </row>
    <row r="160" spans="1:15" x14ac:dyDescent="0.35">
      <c r="A160" s="5">
        <v>158</v>
      </c>
      <c r="B160" s="5" t="str">
        <f t="shared" si="11"/>
        <v>GA8</v>
      </c>
      <c r="C160" t="s">
        <v>219</v>
      </c>
      <c r="D160" t="s">
        <v>1280</v>
      </c>
      <c r="E160" t="s">
        <v>1115</v>
      </c>
      <c r="F160" t="s">
        <v>1128</v>
      </c>
      <c r="G160">
        <v>2</v>
      </c>
      <c r="H160" t="s">
        <v>310</v>
      </c>
      <c r="I160">
        <v>8</v>
      </c>
      <c r="J160" s="40">
        <v>293.42</v>
      </c>
      <c r="N160"/>
      <c r="O160"/>
    </row>
    <row r="161" spans="1:15" x14ac:dyDescent="0.35">
      <c r="A161" s="5">
        <v>159</v>
      </c>
      <c r="B161" s="5" t="str">
        <f t="shared" si="11"/>
        <v>GA8</v>
      </c>
      <c r="C161" t="s">
        <v>219</v>
      </c>
      <c r="D161" t="s">
        <v>1239</v>
      </c>
      <c r="E161" t="s">
        <v>967</v>
      </c>
      <c r="F161" t="s">
        <v>968</v>
      </c>
      <c r="G161">
        <v>2</v>
      </c>
      <c r="H161" t="s">
        <v>310</v>
      </c>
      <c r="I161">
        <v>8</v>
      </c>
      <c r="J161" s="40">
        <v>294.08999999999997</v>
      </c>
      <c r="N161"/>
      <c r="O161"/>
    </row>
    <row r="162" spans="1:15" x14ac:dyDescent="0.35">
      <c r="A162" s="5">
        <v>160</v>
      </c>
      <c r="B162" s="5" t="str">
        <f t="shared" si="11"/>
        <v>GA9</v>
      </c>
      <c r="C162" t="s">
        <v>219</v>
      </c>
      <c r="D162" t="s">
        <v>1239</v>
      </c>
      <c r="E162" t="s">
        <v>969</v>
      </c>
      <c r="F162" t="s">
        <v>970</v>
      </c>
      <c r="G162">
        <v>2</v>
      </c>
      <c r="H162" t="s">
        <v>310</v>
      </c>
      <c r="I162">
        <v>9</v>
      </c>
      <c r="J162" s="40">
        <v>263.99</v>
      </c>
      <c r="N162"/>
      <c r="O162"/>
    </row>
    <row r="163" spans="1:15" x14ac:dyDescent="0.35">
      <c r="A163" s="5">
        <v>161</v>
      </c>
      <c r="B163" s="5" t="str">
        <f t="shared" si="11"/>
        <v>GA9</v>
      </c>
      <c r="C163" t="s">
        <v>219</v>
      </c>
      <c r="D163" t="s">
        <v>304</v>
      </c>
      <c r="E163" t="s">
        <v>916</v>
      </c>
      <c r="F163" t="s">
        <v>917</v>
      </c>
      <c r="G163">
        <v>1</v>
      </c>
      <c r="H163" t="s">
        <v>310</v>
      </c>
      <c r="I163">
        <v>9</v>
      </c>
      <c r="J163" s="40">
        <v>271.01</v>
      </c>
      <c r="N163"/>
      <c r="O163"/>
    </row>
    <row r="164" spans="1:15" x14ac:dyDescent="0.35">
      <c r="A164" s="5">
        <v>162</v>
      </c>
      <c r="B164" s="5" t="str">
        <f t="shared" si="11"/>
        <v>GA9</v>
      </c>
      <c r="C164" t="s">
        <v>219</v>
      </c>
      <c r="D164" t="s">
        <v>304</v>
      </c>
      <c r="E164" t="s">
        <v>307</v>
      </c>
      <c r="F164" t="s">
        <v>904</v>
      </c>
      <c r="G164">
        <v>1</v>
      </c>
      <c r="H164" t="s">
        <v>310</v>
      </c>
      <c r="I164">
        <v>9</v>
      </c>
      <c r="J164" s="40">
        <v>272.26</v>
      </c>
      <c r="N164"/>
      <c r="O164"/>
    </row>
    <row r="165" spans="1:15" x14ac:dyDescent="0.35">
      <c r="A165" s="5">
        <v>163</v>
      </c>
      <c r="B165" s="5" t="str">
        <f t="shared" si="11"/>
        <v>GA9</v>
      </c>
      <c r="C165" t="s">
        <v>219</v>
      </c>
      <c r="D165" t="s">
        <v>304</v>
      </c>
      <c r="E165" t="s">
        <v>898</v>
      </c>
      <c r="F165" t="s">
        <v>899</v>
      </c>
      <c r="G165">
        <v>1</v>
      </c>
      <c r="H165" t="s">
        <v>310</v>
      </c>
      <c r="I165">
        <v>9</v>
      </c>
      <c r="J165" s="40">
        <v>272.41000000000003</v>
      </c>
      <c r="N165"/>
      <c r="O165"/>
    </row>
    <row r="166" spans="1:15" x14ac:dyDescent="0.35">
      <c r="A166" s="5">
        <v>164</v>
      </c>
      <c r="B166" s="5" t="str">
        <f t="shared" si="11"/>
        <v>GA9</v>
      </c>
      <c r="C166" t="s">
        <v>219</v>
      </c>
      <c r="D166" t="s">
        <v>304</v>
      </c>
      <c r="E166" t="s">
        <v>305</v>
      </c>
      <c r="F166" t="s">
        <v>913</v>
      </c>
      <c r="G166">
        <v>1</v>
      </c>
      <c r="H166" t="s">
        <v>310</v>
      </c>
      <c r="I166">
        <v>9</v>
      </c>
      <c r="J166" s="40">
        <v>272.5</v>
      </c>
      <c r="N166"/>
      <c r="O166"/>
    </row>
    <row r="167" spans="1:15" x14ac:dyDescent="0.35">
      <c r="A167" s="5">
        <v>165</v>
      </c>
      <c r="B167" s="5" t="str">
        <f t="shared" si="11"/>
        <v>GA9</v>
      </c>
      <c r="C167" t="s">
        <v>219</v>
      </c>
      <c r="D167" t="s">
        <v>1239</v>
      </c>
      <c r="E167" t="s">
        <v>963</v>
      </c>
      <c r="F167" t="s">
        <v>964</v>
      </c>
      <c r="G167">
        <v>2</v>
      </c>
      <c r="H167" t="s">
        <v>310</v>
      </c>
      <c r="I167">
        <v>9</v>
      </c>
      <c r="J167" s="40">
        <v>274.19</v>
      </c>
      <c r="N167"/>
      <c r="O167"/>
    </row>
    <row r="168" spans="1:15" x14ac:dyDescent="0.35">
      <c r="A168" s="5">
        <v>166</v>
      </c>
      <c r="B168" s="5" t="str">
        <f t="shared" si="11"/>
        <v>GA9</v>
      </c>
      <c r="C168" t="s">
        <v>219</v>
      </c>
      <c r="D168" t="s">
        <v>1239</v>
      </c>
      <c r="E168" t="s">
        <v>965</v>
      </c>
      <c r="F168" t="s">
        <v>966</v>
      </c>
      <c r="G168">
        <v>2</v>
      </c>
      <c r="H168" t="s">
        <v>310</v>
      </c>
      <c r="I168">
        <v>9</v>
      </c>
      <c r="J168" s="40">
        <v>275.05</v>
      </c>
      <c r="N168"/>
      <c r="O168"/>
    </row>
    <row r="169" spans="1:15" x14ac:dyDescent="0.35">
      <c r="A169" s="5">
        <v>167</v>
      </c>
      <c r="B169" s="5" t="str">
        <f t="shared" si="11"/>
        <v>GA9</v>
      </c>
      <c r="C169" t="s">
        <v>219</v>
      </c>
      <c r="D169" t="s">
        <v>1239</v>
      </c>
      <c r="E169" t="s">
        <v>961</v>
      </c>
      <c r="F169" t="s">
        <v>962</v>
      </c>
      <c r="G169">
        <v>2</v>
      </c>
      <c r="H169" t="s">
        <v>310</v>
      </c>
      <c r="I169">
        <v>9</v>
      </c>
      <c r="J169" s="40">
        <v>275.29000000000002</v>
      </c>
      <c r="N169"/>
      <c r="O169"/>
    </row>
    <row r="170" spans="1:15" x14ac:dyDescent="0.35">
      <c r="A170" s="5">
        <v>168</v>
      </c>
      <c r="B170" s="5" t="str">
        <f t="shared" si="11"/>
        <v>GA9</v>
      </c>
      <c r="C170" t="s">
        <v>219</v>
      </c>
      <c r="D170" t="s">
        <v>1239</v>
      </c>
      <c r="E170" t="s">
        <v>973</v>
      </c>
      <c r="F170" t="s">
        <v>1242</v>
      </c>
      <c r="G170">
        <v>2</v>
      </c>
      <c r="H170" t="s">
        <v>310</v>
      </c>
      <c r="I170">
        <v>9</v>
      </c>
      <c r="J170" s="40">
        <v>283.48</v>
      </c>
      <c r="N170"/>
      <c r="O170"/>
    </row>
    <row r="171" spans="1:15" x14ac:dyDescent="0.35">
      <c r="A171" s="5">
        <v>169</v>
      </c>
      <c r="B171" s="5" t="str">
        <f t="shared" si="11"/>
        <v>GA9</v>
      </c>
      <c r="C171" t="s">
        <v>219</v>
      </c>
      <c r="D171" t="s">
        <v>1239</v>
      </c>
      <c r="E171" t="s">
        <v>967</v>
      </c>
      <c r="F171" t="s">
        <v>968</v>
      </c>
      <c r="G171">
        <v>2</v>
      </c>
      <c r="H171" t="s">
        <v>310</v>
      </c>
      <c r="I171">
        <v>9</v>
      </c>
      <c r="J171" s="40">
        <v>297.19</v>
      </c>
      <c r="N171"/>
      <c r="O171"/>
    </row>
    <row r="172" spans="1:15" x14ac:dyDescent="0.35">
      <c r="A172" s="5">
        <v>170</v>
      </c>
      <c r="B172" s="5" t="str">
        <f t="shared" si="11"/>
        <v>GA9</v>
      </c>
      <c r="C172" t="s">
        <v>219</v>
      </c>
      <c r="D172" t="s">
        <v>1280</v>
      </c>
      <c r="E172" t="s">
        <v>1114</v>
      </c>
      <c r="F172" t="s">
        <v>1116</v>
      </c>
      <c r="G172">
        <v>2</v>
      </c>
      <c r="H172" t="s">
        <v>310</v>
      </c>
      <c r="I172">
        <v>9</v>
      </c>
      <c r="J172" s="40">
        <v>311.22000000000003</v>
      </c>
      <c r="N172"/>
      <c r="O172"/>
    </row>
    <row r="173" spans="1:15" x14ac:dyDescent="0.35">
      <c r="A173" s="5">
        <v>171</v>
      </c>
      <c r="B173" s="5" t="str">
        <f t="shared" si="11"/>
        <v>GA9</v>
      </c>
      <c r="C173" t="s">
        <v>219</v>
      </c>
      <c r="D173" t="s">
        <v>1280</v>
      </c>
      <c r="E173" t="s">
        <v>1113</v>
      </c>
      <c r="F173" t="s">
        <v>1118</v>
      </c>
      <c r="G173">
        <v>2</v>
      </c>
      <c r="H173" t="s">
        <v>310</v>
      </c>
      <c r="I173">
        <v>9</v>
      </c>
      <c r="J173" s="40">
        <v>322.95999999999998</v>
      </c>
      <c r="N173"/>
      <c r="O173"/>
    </row>
    <row r="174" spans="1:15" x14ac:dyDescent="0.35">
      <c r="A174" s="5">
        <v>172</v>
      </c>
      <c r="B174" s="5" t="str">
        <f t="shared" si="11"/>
        <v>GA9</v>
      </c>
      <c r="C174" t="s">
        <v>219</v>
      </c>
      <c r="D174" t="s">
        <v>1280</v>
      </c>
      <c r="E174" t="s">
        <v>1115</v>
      </c>
      <c r="F174" t="s">
        <v>1128</v>
      </c>
      <c r="G174">
        <v>2</v>
      </c>
      <c r="H174" t="s">
        <v>310</v>
      </c>
      <c r="I174">
        <v>9</v>
      </c>
      <c r="J174" s="40">
        <v>322.95999999999998</v>
      </c>
      <c r="N174"/>
      <c r="O174"/>
    </row>
    <row r="175" spans="1:15" x14ac:dyDescent="0.35">
      <c r="A175" s="5">
        <v>173</v>
      </c>
      <c r="B175" s="5" t="str">
        <f t="shared" si="11"/>
        <v>GA9</v>
      </c>
      <c r="C175" t="s">
        <v>219</v>
      </c>
      <c r="D175" t="s">
        <v>294</v>
      </c>
      <c r="E175" t="s">
        <v>295</v>
      </c>
      <c r="F175" t="s">
        <v>1273</v>
      </c>
      <c r="G175">
        <v>3</v>
      </c>
      <c r="H175" t="s">
        <v>310</v>
      </c>
      <c r="I175">
        <v>9</v>
      </c>
      <c r="J175" s="40">
        <v>353.16</v>
      </c>
      <c r="N175"/>
      <c r="O175"/>
    </row>
    <row r="176" spans="1:15" x14ac:dyDescent="0.35">
      <c r="A176" s="5">
        <v>174</v>
      </c>
      <c r="B176" s="5" t="str">
        <f t="shared" si="11"/>
        <v>GA10</v>
      </c>
      <c r="C176" t="s">
        <v>219</v>
      </c>
      <c r="D176" t="s">
        <v>1134</v>
      </c>
      <c r="E176" t="s">
        <v>1190</v>
      </c>
      <c r="F176" t="s">
        <v>1191</v>
      </c>
      <c r="G176">
        <v>2</v>
      </c>
      <c r="H176" t="s">
        <v>310</v>
      </c>
      <c r="I176">
        <v>10</v>
      </c>
      <c r="J176" s="40">
        <v>249.16</v>
      </c>
      <c r="N176"/>
      <c r="O176"/>
    </row>
    <row r="177" spans="1:15" x14ac:dyDescent="0.35">
      <c r="A177" s="5">
        <v>175</v>
      </c>
      <c r="B177" s="5" t="str">
        <f t="shared" si="11"/>
        <v>GA10</v>
      </c>
      <c r="C177" t="s">
        <v>219</v>
      </c>
      <c r="D177" t="s">
        <v>294</v>
      </c>
      <c r="E177" t="s">
        <v>308</v>
      </c>
      <c r="F177" t="s">
        <v>1270</v>
      </c>
      <c r="G177">
        <v>2</v>
      </c>
      <c r="H177" t="s">
        <v>310</v>
      </c>
      <c r="I177">
        <v>10</v>
      </c>
      <c r="J177" s="40">
        <v>257.11</v>
      </c>
      <c r="N177"/>
      <c r="O177"/>
    </row>
    <row r="178" spans="1:15" x14ac:dyDescent="0.35">
      <c r="A178" s="5">
        <v>176</v>
      </c>
      <c r="B178" s="5" t="str">
        <f t="shared" si="11"/>
        <v>GA10</v>
      </c>
      <c r="C178" t="s">
        <v>219</v>
      </c>
      <c r="D178" t="s">
        <v>297</v>
      </c>
      <c r="E178" t="s">
        <v>298</v>
      </c>
      <c r="F178" t="s">
        <v>1279</v>
      </c>
      <c r="G178">
        <v>2</v>
      </c>
      <c r="H178" t="s">
        <v>310</v>
      </c>
      <c r="I178">
        <v>10</v>
      </c>
      <c r="J178" s="40">
        <v>262.74</v>
      </c>
      <c r="N178"/>
      <c r="O178"/>
    </row>
    <row r="179" spans="1:15" x14ac:dyDescent="0.35">
      <c r="A179" s="5">
        <v>177</v>
      </c>
      <c r="B179" s="5" t="str">
        <f t="shared" si="11"/>
        <v>GA10</v>
      </c>
      <c r="C179" t="s">
        <v>219</v>
      </c>
      <c r="D179" t="s">
        <v>1134</v>
      </c>
      <c r="E179" t="s">
        <v>1207</v>
      </c>
      <c r="F179" t="s">
        <v>1035</v>
      </c>
      <c r="G179">
        <v>2</v>
      </c>
      <c r="H179" t="s">
        <v>310</v>
      </c>
      <c r="I179">
        <v>10</v>
      </c>
      <c r="J179" s="40">
        <v>263.14999999999998</v>
      </c>
      <c r="N179"/>
      <c r="O179"/>
    </row>
    <row r="180" spans="1:15" x14ac:dyDescent="0.35">
      <c r="A180" s="5">
        <v>178</v>
      </c>
      <c r="B180" s="5" t="str">
        <f t="shared" si="11"/>
        <v>GA10</v>
      </c>
      <c r="C180" t="s">
        <v>219</v>
      </c>
      <c r="D180" t="s">
        <v>297</v>
      </c>
      <c r="E180" t="s">
        <v>300</v>
      </c>
      <c r="F180" t="s">
        <v>301</v>
      </c>
      <c r="G180">
        <v>2</v>
      </c>
      <c r="H180" t="s">
        <v>310</v>
      </c>
      <c r="I180">
        <v>10</v>
      </c>
      <c r="J180" s="40">
        <v>263.5</v>
      </c>
      <c r="N180"/>
      <c r="O180"/>
    </row>
    <row r="181" spans="1:15" x14ac:dyDescent="0.35">
      <c r="A181" s="5">
        <v>179</v>
      </c>
      <c r="B181" s="5" t="str">
        <f t="shared" si="11"/>
        <v>GA10</v>
      </c>
      <c r="C181" t="s">
        <v>219</v>
      </c>
      <c r="D181" t="s">
        <v>1134</v>
      </c>
      <c r="E181" t="s">
        <v>1196</v>
      </c>
      <c r="F181" t="s">
        <v>1197</v>
      </c>
      <c r="G181">
        <v>2</v>
      </c>
      <c r="H181" t="s">
        <v>310</v>
      </c>
      <c r="I181">
        <v>10</v>
      </c>
      <c r="J181" s="40">
        <v>270.81</v>
      </c>
      <c r="N181"/>
      <c r="O181"/>
    </row>
    <row r="182" spans="1:15" x14ac:dyDescent="0.35">
      <c r="A182" s="5">
        <v>180</v>
      </c>
      <c r="B182" s="5" t="str">
        <f t="shared" si="11"/>
        <v>GA10</v>
      </c>
      <c r="C182" t="s">
        <v>219</v>
      </c>
      <c r="D182" t="s">
        <v>294</v>
      </c>
      <c r="E182" t="s">
        <v>295</v>
      </c>
      <c r="F182" t="s">
        <v>1273</v>
      </c>
      <c r="G182">
        <v>3</v>
      </c>
      <c r="H182" t="s">
        <v>310</v>
      </c>
      <c r="I182">
        <v>10</v>
      </c>
      <c r="J182" s="40">
        <v>275.74</v>
      </c>
      <c r="N182"/>
      <c r="O182"/>
    </row>
    <row r="183" spans="1:15" x14ac:dyDescent="0.35">
      <c r="A183" s="5">
        <v>181</v>
      </c>
      <c r="B183" s="5" t="str">
        <f t="shared" si="11"/>
        <v>GA10</v>
      </c>
      <c r="C183" t="s">
        <v>219</v>
      </c>
      <c r="D183" t="s">
        <v>297</v>
      </c>
      <c r="E183" t="s">
        <v>302</v>
      </c>
      <c r="F183" t="s">
        <v>303</v>
      </c>
      <c r="G183">
        <v>2</v>
      </c>
      <c r="H183" t="s">
        <v>310</v>
      </c>
      <c r="I183">
        <v>10</v>
      </c>
      <c r="J183" s="40">
        <v>276.5</v>
      </c>
      <c r="N183"/>
      <c r="O183"/>
    </row>
    <row r="184" spans="1:15" x14ac:dyDescent="0.35">
      <c r="A184" s="5">
        <v>182</v>
      </c>
      <c r="B184" s="5" t="str">
        <f t="shared" si="11"/>
        <v>GA10</v>
      </c>
      <c r="C184" t="s">
        <v>219</v>
      </c>
      <c r="D184" t="s">
        <v>1239</v>
      </c>
      <c r="E184" t="s">
        <v>969</v>
      </c>
      <c r="F184" t="s">
        <v>970</v>
      </c>
      <c r="G184">
        <v>2</v>
      </c>
      <c r="H184" t="s">
        <v>310</v>
      </c>
      <c r="I184">
        <v>10</v>
      </c>
      <c r="J184" s="40">
        <v>277.20999999999998</v>
      </c>
      <c r="N184"/>
      <c r="O184"/>
    </row>
    <row r="185" spans="1:15" x14ac:dyDescent="0.35">
      <c r="A185" s="5">
        <v>183</v>
      </c>
      <c r="B185" s="5" t="str">
        <f t="shared" si="11"/>
        <v>GA10</v>
      </c>
      <c r="C185" t="s">
        <v>219</v>
      </c>
      <c r="D185" t="s">
        <v>1134</v>
      </c>
      <c r="E185" t="s">
        <v>1211</v>
      </c>
      <c r="F185" t="s">
        <v>1039</v>
      </c>
      <c r="G185">
        <v>2</v>
      </c>
      <c r="H185" t="s">
        <v>310</v>
      </c>
      <c r="I185">
        <v>10</v>
      </c>
      <c r="J185" s="40">
        <v>286.02999999999997</v>
      </c>
      <c r="N185"/>
      <c r="O185"/>
    </row>
    <row r="186" spans="1:15" x14ac:dyDescent="0.35">
      <c r="A186" s="5">
        <v>184</v>
      </c>
      <c r="B186" s="5" t="str">
        <f t="shared" si="11"/>
        <v>GA10</v>
      </c>
      <c r="C186" t="s">
        <v>219</v>
      </c>
      <c r="D186" t="s">
        <v>1239</v>
      </c>
      <c r="E186" t="s">
        <v>963</v>
      </c>
      <c r="F186" t="s">
        <v>964</v>
      </c>
      <c r="G186">
        <v>2</v>
      </c>
      <c r="H186" t="s">
        <v>310</v>
      </c>
      <c r="I186">
        <v>10</v>
      </c>
      <c r="J186" s="40">
        <v>287.92</v>
      </c>
      <c r="N186"/>
      <c r="O186"/>
    </row>
    <row r="187" spans="1:15" x14ac:dyDescent="0.35">
      <c r="A187" s="5">
        <v>185</v>
      </c>
      <c r="B187" s="5" t="str">
        <f t="shared" si="11"/>
        <v>GA10</v>
      </c>
      <c r="C187" t="s">
        <v>219</v>
      </c>
      <c r="D187" t="s">
        <v>1239</v>
      </c>
      <c r="E187" t="s">
        <v>965</v>
      </c>
      <c r="F187" t="s">
        <v>966</v>
      </c>
      <c r="G187">
        <v>2</v>
      </c>
      <c r="H187" t="s">
        <v>310</v>
      </c>
      <c r="I187">
        <v>10</v>
      </c>
      <c r="J187" s="40">
        <v>288.82</v>
      </c>
      <c r="N187"/>
      <c r="O187"/>
    </row>
    <row r="188" spans="1:15" x14ac:dyDescent="0.35">
      <c r="A188" s="5">
        <v>186</v>
      </c>
      <c r="B188" s="5" t="str">
        <f t="shared" si="11"/>
        <v>GA10</v>
      </c>
      <c r="C188" t="s">
        <v>219</v>
      </c>
      <c r="D188" t="s">
        <v>1239</v>
      </c>
      <c r="E188" t="s">
        <v>961</v>
      </c>
      <c r="F188" t="s">
        <v>962</v>
      </c>
      <c r="G188">
        <v>2</v>
      </c>
      <c r="H188" t="s">
        <v>310</v>
      </c>
      <c r="I188">
        <v>10</v>
      </c>
      <c r="J188" s="40">
        <v>289.07</v>
      </c>
      <c r="N188"/>
      <c r="O188"/>
    </row>
    <row r="189" spans="1:15" x14ac:dyDescent="0.35">
      <c r="A189" s="5">
        <v>187</v>
      </c>
      <c r="B189" s="5" t="str">
        <f t="shared" si="11"/>
        <v>GA10</v>
      </c>
      <c r="C189" t="s">
        <v>219</v>
      </c>
      <c r="D189" t="s">
        <v>1239</v>
      </c>
      <c r="E189" t="s">
        <v>973</v>
      </c>
      <c r="F189" t="s">
        <v>1242</v>
      </c>
      <c r="G189">
        <v>2</v>
      </c>
      <c r="H189" t="s">
        <v>310</v>
      </c>
      <c r="I189">
        <v>10</v>
      </c>
      <c r="J189" s="40">
        <v>297.67</v>
      </c>
      <c r="N189"/>
      <c r="O189"/>
    </row>
    <row r="190" spans="1:15" x14ac:dyDescent="0.35">
      <c r="A190" s="5">
        <v>188</v>
      </c>
      <c r="B190" s="5" t="str">
        <f t="shared" si="11"/>
        <v>GA10</v>
      </c>
      <c r="C190" t="s">
        <v>219</v>
      </c>
      <c r="D190" t="s">
        <v>1280</v>
      </c>
      <c r="E190" t="s">
        <v>1114</v>
      </c>
      <c r="F190" t="s">
        <v>1116</v>
      </c>
      <c r="G190">
        <v>2</v>
      </c>
      <c r="H190" t="s">
        <v>310</v>
      </c>
      <c r="I190">
        <v>10</v>
      </c>
      <c r="J190" s="40">
        <v>301.19</v>
      </c>
      <c r="N190"/>
      <c r="O190"/>
    </row>
    <row r="191" spans="1:15" x14ac:dyDescent="0.35">
      <c r="A191" s="5">
        <v>189</v>
      </c>
      <c r="B191" s="5" t="str">
        <f t="shared" si="11"/>
        <v>GA10</v>
      </c>
      <c r="C191" t="s">
        <v>219</v>
      </c>
      <c r="D191" t="s">
        <v>1239</v>
      </c>
      <c r="E191" t="s">
        <v>967</v>
      </c>
      <c r="F191" t="s">
        <v>968</v>
      </c>
      <c r="G191">
        <v>2</v>
      </c>
      <c r="H191" t="s">
        <v>310</v>
      </c>
      <c r="I191">
        <v>10</v>
      </c>
      <c r="J191" s="40">
        <v>312.07</v>
      </c>
      <c r="N191"/>
      <c r="O191"/>
    </row>
    <row r="192" spans="1:15" x14ac:dyDescent="0.35">
      <c r="A192" s="5">
        <v>190</v>
      </c>
      <c r="B192" s="5" t="str">
        <f t="shared" si="11"/>
        <v>GA10</v>
      </c>
      <c r="C192" t="s">
        <v>219</v>
      </c>
      <c r="D192" t="s">
        <v>1280</v>
      </c>
      <c r="E192" t="s">
        <v>1113</v>
      </c>
      <c r="F192" t="s">
        <v>1118</v>
      </c>
      <c r="G192">
        <v>2</v>
      </c>
      <c r="H192" t="s">
        <v>310</v>
      </c>
      <c r="I192">
        <v>10</v>
      </c>
      <c r="J192" s="40">
        <v>312.55</v>
      </c>
      <c r="N192"/>
      <c r="O192"/>
    </row>
    <row r="193" spans="1:15" x14ac:dyDescent="0.35">
      <c r="A193" s="5">
        <v>191</v>
      </c>
      <c r="B193" s="5" t="str">
        <f t="shared" si="11"/>
        <v>GA10</v>
      </c>
      <c r="C193" t="s">
        <v>219</v>
      </c>
      <c r="D193" t="s">
        <v>1280</v>
      </c>
      <c r="E193" t="s">
        <v>1115</v>
      </c>
      <c r="F193" t="s">
        <v>1128</v>
      </c>
      <c r="G193">
        <v>2</v>
      </c>
      <c r="H193" t="s">
        <v>310</v>
      </c>
      <c r="I193">
        <v>10</v>
      </c>
      <c r="J193" s="40">
        <v>312.55</v>
      </c>
      <c r="N193"/>
      <c r="O193"/>
    </row>
    <row r="194" spans="1:15" x14ac:dyDescent="0.35">
      <c r="A194" s="5">
        <v>192</v>
      </c>
      <c r="B194" s="5" t="str">
        <f t="shared" si="11"/>
        <v>GA10</v>
      </c>
      <c r="C194" t="s">
        <v>219</v>
      </c>
      <c r="D194" t="s">
        <v>304</v>
      </c>
      <c r="E194" t="s">
        <v>916</v>
      </c>
      <c r="F194" t="s">
        <v>917</v>
      </c>
      <c r="G194">
        <v>1</v>
      </c>
      <c r="H194" t="s">
        <v>310</v>
      </c>
      <c r="I194">
        <v>10</v>
      </c>
      <c r="J194" s="40">
        <v>335.69</v>
      </c>
      <c r="N194"/>
      <c r="O194"/>
    </row>
    <row r="195" spans="1:15" x14ac:dyDescent="0.35">
      <c r="A195" s="5">
        <v>193</v>
      </c>
      <c r="B195" s="5" t="str">
        <f t="shared" ref="B195:B258" si="12">CONCATENATE(C195,I195)</f>
        <v>GA10</v>
      </c>
      <c r="C195" t="s">
        <v>219</v>
      </c>
      <c r="D195" t="s">
        <v>304</v>
      </c>
      <c r="E195" t="s">
        <v>307</v>
      </c>
      <c r="F195" t="s">
        <v>904</v>
      </c>
      <c r="G195">
        <v>1</v>
      </c>
      <c r="H195" t="s">
        <v>310</v>
      </c>
      <c r="I195">
        <v>10</v>
      </c>
      <c r="J195" s="40">
        <v>337.23</v>
      </c>
      <c r="N195"/>
      <c r="O195"/>
    </row>
    <row r="196" spans="1:15" x14ac:dyDescent="0.35">
      <c r="A196" s="5">
        <v>194</v>
      </c>
      <c r="B196" s="5" t="str">
        <f t="shared" si="12"/>
        <v>GA10</v>
      </c>
      <c r="C196" t="s">
        <v>219</v>
      </c>
      <c r="D196" t="s">
        <v>304</v>
      </c>
      <c r="E196" t="s">
        <v>898</v>
      </c>
      <c r="F196" t="s">
        <v>899</v>
      </c>
      <c r="G196">
        <v>1</v>
      </c>
      <c r="H196" t="s">
        <v>310</v>
      </c>
      <c r="I196">
        <v>10</v>
      </c>
      <c r="J196" s="40">
        <v>337.43</v>
      </c>
      <c r="N196"/>
      <c r="O196"/>
    </row>
    <row r="197" spans="1:15" x14ac:dyDescent="0.35">
      <c r="A197" s="5">
        <v>195</v>
      </c>
      <c r="B197" s="5" t="str">
        <f t="shared" si="12"/>
        <v>GA10</v>
      </c>
      <c r="C197" t="s">
        <v>219</v>
      </c>
      <c r="D197" t="s">
        <v>304</v>
      </c>
      <c r="E197" t="s">
        <v>305</v>
      </c>
      <c r="F197" t="s">
        <v>913</v>
      </c>
      <c r="G197">
        <v>1</v>
      </c>
      <c r="H197" t="s">
        <v>310</v>
      </c>
      <c r="I197">
        <v>10</v>
      </c>
      <c r="J197" s="40">
        <v>337.53</v>
      </c>
      <c r="N197"/>
      <c r="O197"/>
    </row>
    <row r="198" spans="1:15" x14ac:dyDescent="0.35">
      <c r="A198" s="5">
        <v>196</v>
      </c>
      <c r="B198" s="5" t="str">
        <f t="shared" si="12"/>
        <v>GA11</v>
      </c>
      <c r="C198" t="s">
        <v>219</v>
      </c>
      <c r="D198" t="s">
        <v>1134</v>
      </c>
      <c r="E198" t="s">
        <v>1200</v>
      </c>
      <c r="F198" t="s">
        <v>1201</v>
      </c>
      <c r="G198">
        <v>2</v>
      </c>
      <c r="H198" t="s">
        <v>310</v>
      </c>
      <c r="I198">
        <v>11</v>
      </c>
      <c r="J198" s="40">
        <v>276.14</v>
      </c>
      <c r="N198"/>
      <c r="O198"/>
    </row>
    <row r="199" spans="1:15" x14ac:dyDescent="0.35">
      <c r="A199" s="5">
        <v>197</v>
      </c>
      <c r="B199" s="5" t="str">
        <f t="shared" si="12"/>
        <v>GA11</v>
      </c>
      <c r="C199" t="s">
        <v>219</v>
      </c>
      <c r="D199" t="s">
        <v>1134</v>
      </c>
      <c r="E199" t="s">
        <v>1213</v>
      </c>
      <c r="F199" t="s">
        <v>1045</v>
      </c>
      <c r="G199">
        <v>2</v>
      </c>
      <c r="H199" t="s">
        <v>310</v>
      </c>
      <c r="I199">
        <v>11</v>
      </c>
      <c r="J199" s="40">
        <v>291.64999999999998</v>
      </c>
      <c r="N199"/>
      <c r="O199"/>
    </row>
    <row r="200" spans="1:15" x14ac:dyDescent="0.35">
      <c r="A200" s="5">
        <v>198</v>
      </c>
      <c r="B200" s="5" t="str">
        <f t="shared" si="12"/>
        <v>GA11</v>
      </c>
      <c r="C200" t="s">
        <v>219</v>
      </c>
      <c r="D200" t="s">
        <v>1239</v>
      </c>
      <c r="E200" t="s">
        <v>969</v>
      </c>
      <c r="F200" t="s">
        <v>970</v>
      </c>
      <c r="G200">
        <v>2</v>
      </c>
      <c r="H200" t="s">
        <v>310</v>
      </c>
      <c r="I200">
        <v>11</v>
      </c>
      <c r="J200" s="40">
        <v>293.62</v>
      </c>
      <c r="N200"/>
      <c r="O200"/>
    </row>
    <row r="201" spans="1:15" x14ac:dyDescent="0.35">
      <c r="A201" s="5">
        <v>199</v>
      </c>
      <c r="B201" s="5" t="str">
        <f t="shared" si="12"/>
        <v>GA11</v>
      </c>
      <c r="C201" t="s">
        <v>219</v>
      </c>
      <c r="D201" t="s">
        <v>294</v>
      </c>
      <c r="E201" t="s">
        <v>295</v>
      </c>
      <c r="F201" t="s">
        <v>1273</v>
      </c>
      <c r="G201">
        <v>3</v>
      </c>
      <c r="H201" t="s">
        <v>310</v>
      </c>
      <c r="I201">
        <v>11</v>
      </c>
      <c r="J201" s="40">
        <v>303.27</v>
      </c>
      <c r="N201"/>
      <c r="O201"/>
    </row>
    <row r="202" spans="1:15" x14ac:dyDescent="0.35">
      <c r="A202" s="5">
        <v>200</v>
      </c>
      <c r="B202" s="5" t="str">
        <f t="shared" si="12"/>
        <v>GA11</v>
      </c>
      <c r="C202" t="s">
        <v>219</v>
      </c>
      <c r="D202" t="s">
        <v>1239</v>
      </c>
      <c r="E202" t="s">
        <v>963</v>
      </c>
      <c r="F202" t="s">
        <v>964</v>
      </c>
      <c r="G202">
        <v>2</v>
      </c>
      <c r="H202" t="s">
        <v>310</v>
      </c>
      <c r="I202">
        <v>11</v>
      </c>
      <c r="J202" s="40">
        <v>304.95999999999998</v>
      </c>
      <c r="N202"/>
      <c r="O202"/>
    </row>
    <row r="203" spans="1:15" x14ac:dyDescent="0.35">
      <c r="A203" s="5">
        <v>201</v>
      </c>
      <c r="B203" s="5" t="str">
        <f t="shared" si="12"/>
        <v>GA11</v>
      </c>
      <c r="C203" t="s">
        <v>219</v>
      </c>
      <c r="D203" t="s">
        <v>1239</v>
      </c>
      <c r="E203" t="s">
        <v>965</v>
      </c>
      <c r="F203" t="s">
        <v>966</v>
      </c>
      <c r="G203">
        <v>2</v>
      </c>
      <c r="H203" t="s">
        <v>310</v>
      </c>
      <c r="I203">
        <v>11</v>
      </c>
      <c r="J203" s="40">
        <v>305.91000000000003</v>
      </c>
      <c r="N203"/>
      <c r="O203"/>
    </row>
    <row r="204" spans="1:15" x14ac:dyDescent="0.35">
      <c r="A204" s="5">
        <v>202</v>
      </c>
      <c r="B204" s="5" t="str">
        <f t="shared" si="12"/>
        <v>GA11</v>
      </c>
      <c r="C204" t="s">
        <v>219</v>
      </c>
      <c r="D204" t="s">
        <v>217</v>
      </c>
      <c r="E204" t="s">
        <v>980</v>
      </c>
      <c r="F204" t="s">
        <v>1247</v>
      </c>
      <c r="G204">
        <v>1</v>
      </c>
      <c r="H204" t="s">
        <v>310</v>
      </c>
      <c r="I204">
        <v>11</v>
      </c>
      <c r="J204" s="40">
        <v>306.06</v>
      </c>
      <c r="N204"/>
      <c r="O204"/>
    </row>
    <row r="205" spans="1:15" x14ac:dyDescent="0.35">
      <c r="A205" s="5">
        <v>203</v>
      </c>
      <c r="B205" s="5" t="str">
        <f t="shared" si="12"/>
        <v>GA11</v>
      </c>
      <c r="C205" t="s">
        <v>219</v>
      </c>
      <c r="D205" t="s">
        <v>1239</v>
      </c>
      <c r="E205" t="s">
        <v>961</v>
      </c>
      <c r="F205" t="s">
        <v>962</v>
      </c>
      <c r="G205">
        <v>2</v>
      </c>
      <c r="H205" t="s">
        <v>310</v>
      </c>
      <c r="I205">
        <v>11</v>
      </c>
      <c r="J205" s="40">
        <v>306.17</v>
      </c>
      <c r="N205"/>
      <c r="O205"/>
    </row>
    <row r="206" spans="1:15" x14ac:dyDescent="0.35">
      <c r="A206" s="5">
        <v>204</v>
      </c>
      <c r="B206" s="5" t="str">
        <f t="shared" si="12"/>
        <v>GA11</v>
      </c>
      <c r="C206" t="s">
        <v>219</v>
      </c>
      <c r="D206" t="s">
        <v>1239</v>
      </c>
      <c r="E206" t="s">
        <v>973</v>
      </c>
      <c r="F206" t="s">
        <v>1242</v>
      </c>
      <c r="G206">
        <v>2</v>
      </c>
      <c r="H206" t="s">
        <v>310</v>
      </c>
      <c r="I206">
        <v>11</v>
      </c>
      <c r="J206" s="40">
        <v>315.29000000000002</v>
      </c>
      <c r="N206"/>
      <c r="O206"/>
    </row>
    <row r="207" spans="1:15" x14ac:dyDescent="0.35">
      <c r="A207" s="5">
        <v>205</v>
      </c>
      <c r="B207" s="5" t="str">
        <f t="shared" si="12"/>
        <v>GA11</v>
      </c>
      <c r="C207" t="s">
        <v>219</v>
      </c>
      <c r="D207" t="s">
        <v>217</v>
      </c>
      <c r="E207" t="s">
        <v>977</v>
      </c>
      <c r="F207" t="s">
        <v>1245</v>
      </c>
      <c r="G207">
        <v>1</v>
      </c>
      <c r="H207" t="s">
        <v>310</v>
      </c>
      <c r="I207">
        <v>11</v>
      </c>
      <c r="J207" s="40">
        <v>318.94</v>
      </c>
      <c r="N207"/>
      <c r="O207"/>
    </row>
    <row r="208" spans="1:15" x14ac:dyDescent="0.35">
      <c r="A208" s="5">
        <v>206</v>
      </c>
      <c r="B208" s="5" t="str">
        <f t="shared" si="12"/>
        <v>GA11</v>
      </c>
      <c r="C208" t="s">
        <v>219</v>
      </c>
      <c r="D208" t="s">
        <v>1239</v>
      </c>
      <c r="E208" t="s">
        <v>967</v>
      </c>
      <c r="F208" t="s">
        <v>968</v>
      </c>
      <c r="G208">
        <v>2</v>
      </c>
      <c r="H208" t="s">
        <v>310</v>
      </c>
      <c r="I208">
        <v>11</v>
      </c>
      <c r="J208" s="40">
        <v>330.55</v>
      </c>
      <c r="N208"/>
      <c r="O208"/>
    </row>
    <row r="209" spans="1:15" x14ac:dyDescent="0.35">
      <c r="A209" s="5">
        <v>207</v>
      </c>
      <c r="B209" s="5" t="str">
        <f t="shared" si="12"/>
        <v>GA11</v>
      </c>
      <c r="C209" t="s">
        <v>219</v>
      </c>
      <c r="D209" t="s">
        <v>1280</v>
      </c>
      <c r="E209" t="s">
        <v>1114</v>
      </c>
      <c r="F209" t="s">
        <v>1116</v>
      </c>
      <c r="G209">
        <v>2</v>
      </c>
      <c r="H209" t="s">
        <v>310</v>
      </c>
      <c r="I209">
        <v>11</v>
      </c>
      <c r="J209" s="40">
        <v>332.58</v>
      </c>
      <c r="N209"/>
      <c r="O209"/>
    </row>
    <row r="210" spans="1:15" x14ac:dyDescent="0.35">
      <c r="A210" s="5">
        <v>208</v>
      </c>
      <c r="B210" s="5" t="str">
        <f t="shared" si="12"/>
        <v>GA11</v>
      </c>
      <c r="C210" t="s">
        <v>219</v>
      </c>
      <c r="D210" t="s">
        <v>217</v>
      </c>
      <c r="E210" t="s">
        <v>975</v>
      </c>
      <c r="F210" t="s">
        <v>1244</v>
      </c>
      <c r="G210">
        <v>1</v>
      </c>
      <c r="H210" t="s">
        <v>310</v>
      </c>
      <c r="I210">
        <v>11</v>
      </c>
      <c r="J210" s="40">
        <v>336.69</v>
      </c>
      <c r="N210"/>
      <c r="O210"/>
    </row>
    <row r="211" spans="1:15" x14ac:dyDescent="0.35">
      <c r="A211" s="5">
        <v>209</v>
      </c>
      <c r="B211" s="5" t="str">
        <f t="shared" si="12"/>
        <v>GA11</v>
      </c>
      <c r="C211" t="s">
        <v>219</v>
      </c>
      <c r="D211" t="s">
        <v>1280</v>
      </c>
      <c r="E211" t="s">
        <v>1113</v>
      </c>
      <c r="F211" t="s">
        <v>1118</v>
      </c>
      <c r="G211">
        <v>2</v>
      </c>
      <c r="H211" t="s">
        <v>310</v>
      </c>
      <c r="I211">
        <v>11</v>
      </c>
      <c r="J211" s="40">
        <v>345.12</v>
      </c>
      <c r="N211"/>
      <c r="O211"/>
    </row>
    <row r="212" spans="1:15" x14ac:dyDescent="0.35">
      <c r="A212" s="5">
        <v>210</v>
      </c>
      <c r="B212" s="5" t="str">
        <f t="shared" si="12"/>
        <v>GA11</v>
      </c>
      <c r="C212" t="s">
        <v>219</v>
      </c>
      <c r="D212" t="s">
        <v>1280</v>
      </c>
      <c r="E212" t="s">
        <v>1115</v>
      </c>
      <c r="F212" t="s">
        <v>1128</v>
      </c>
      <c r="G212">
        <v>2</v>
      </c>
      <c r="H212" t="s">
        <v>310</v>
      </c>
      <c r="I212">
        <v>11</v>
      </c>
      <c r="J212" s="40">
        <v>345.12</v>
      </c>
      <c r="N212"/>
      <c r="O212"/>
    </row>
    <row r="213" spans="1:15" x14ac:dyDescent="0.35">
      <c r="A213" s="5">
        <v>211</v>
      </c>
      <c r="B213" s="5" t="str">
        <f t="shared" si="12"/>
        <v>GA12</v>
      </c>
      <c r="C213" t="s">
        <v>219</v>
      </c>
      <c r="D213" t="s">
        <v>1134</v>
      </c>
      <c r="E213" t="s">
        <v>1198</v>
      </c>
      <c r="F213" t="s">
        <v>1199</v>
      </c>
      <c r="G213">
        <v>2</v>
      </c>
      <c r="H213" t="s">
        <v>310</v>
      </c>
      <c r="I213">
        <v>12</v>
      </c>
      <c r="J213" s="40">
        <v>263.02</v>
      </c>
      <c r="N213"/>
      <c r="O213"/>
    </row>
    <row r="214" spans="1:15" x14ac:dyDescent="0.35">
      <c r="A214" s="5">
        <v>212</v>
      </c>
      <c r="B214" s="5" t="str">
        <f t="shared" si="12"/>
        <v>GA12</v>
      </c>
      <c r="C214" t="s">
        <v>219</v>
      </c>
      <c r="D214" t="s">
        <v>1239</v>
      </c>
      <c r="E214" t="s">
        <v>969</v>
      </c>
      <c r="F214" t="s">
        <v>970</v>
      </c>
      <c r="G214">
        <v>2</v>
      </c>
      <c r="H214" t="s">
        <v>310</v>
      </c>
      <c r="I214">
        <v>12</v>
      </c>
      <c r="J214" s="40">
        <v>267.93</v>
      </c>
      <c r="N214"/>
      <c r="O214"/>
    </row>
    <row r="215" spans="1:15" x14ac:dyDescent="0.35">
      <c r="A215" s="5">
        <v>213</v>
      </c>
      <c r="B215" s="5" t="str">
        <f t="shared" si="12"/>
        <v>GA12</v>
      </c>
      <c r="C215" t="s">
        <v>219</v>
      </c>
      <c r="D215" t="s">
        <v>1134</v>
      </c>
      <c r="E215" t="s">
        <v>1212</v>
      </c>
      <c r="F215" t="s">
        <v>1041</v>
      </c>
      <c r="G215">
        <v>2</v>
      </c>
      <c r="H215" t="s">
        <v>310</v>
      </c>
      <c r="I215">
        <v>12</v>
      </c>
      <c r="J215" s="40">
        <v>277.81</v>
      </c>
      <c r="N215"/>
      <c r="O215"/>
    </row>
    <row r="216" spans="1:15" x14ac:dyDescent="0.35">
      <c r="A216" s="5">
        <v>214</v>
      </c>
      <c r="B216" s="5" t="str">
        <f t="shared" si="12"/>
        <v>GA12</v>
      </c>
      <c r="C216" t="s">
        <v>219</v>
      </c>
      <c r="D216" t="s">
        <v>1239</v>
      </c>
      <c r="E216" t="s">
        <v>963</v>
      </c>
      <c r="F216" t="s">
        <v>964</v>
      </c>
      <c r="G216">
        <v>2</v>
      </c>
      <c r="H216" t="s">
        <v>310</v>
      </c>
      <c r="I216">
        <v>12</v>
      </c>
      <c r="J216" s="40">
        <v>278.29000000000002</v>
      </c>
      <c r="N216"/>
      <c r="O216"/>
    </row>
    <row r="217" spans="1:15" x14ac:dyDescent="0.35">
      <c r="A217" s="5">
        <v>215</v>
      </c>
      <c r="B217" s="5" t="str">
        <f t="shared" si="12"/>
        <v>GA12</v>
      </c>
      <c r="C217" t="s">
        <v>219</v>
      </c>
      <c r="D217" t="s">
        <v>1239</v>
      </c>
      <c r="E217" t="s">
        <v>965</v>
      </c>
      <c r="F217" t="s">
        <v>966</v>
      </c>
      <c r="G217">
        <v>2</v>
      </c>
      <c r="H217" t="s">
        <v>310</v>
      </c>
      <c r="I217">
        <v>12</v>
      </c>
      <c r="J217" s="40">
        <v>279.14999999999998</v>
      </c>
      <c r="N217"/>
      <c r="O217"/>
    </row>
    <row r="218" spans="1:15" x14ac:dyDescent="0.35">
      <c r="A218" s="5">
        <v>216</v>
      </c>
      <c r="B218" s="5" t="str">
        <f t="shared" si="12"/>
        <v>GA12</v>
      </c>
      <c r="C218" t="s">
        <v>219</v>
      </c>
      <c r="D218" t="s">
        <v>1239</v>
      </c>
      <c r="E218" t="s">
        <v>961</v>
      </c>
      <c r="F218" t="s">
        <v>962</v>
      </c>
      <c r="G218">
        <v>2</v>
      </c>
      <c r="H218" t="s">
        <v>310</v>
      </c>
      <c r="I218">
        <v>12</v>
      </c>
      <c r="J218" s="40">
        <v>279.39999999999998</v>
      </c>
      <c r="N218"/>
      <c r="O218"/>
    </row>
    <row r="219" spans="1:15" x14ac:dyDescent="0.35">
      <c r="A219" s="5">
        <v>217</v>
      </c>
      <c r="B219" s="5" t="str">
        <f t="shared" si="12"/>
        <v>GA12</v>
      </c>
      <c r="C219" t="s">
        <v>219</v>
      </c>
      <c r="D219" t="s">
        <v>1239</v>
      </c>
      <c r="E219" t="s">
        <v>973</v>
      </c>
      <c r="F219" t="s">
        <v>1242</v>
      </c>
      <c r="G219">
        <v>2</v>
      </c>
      <c r="H219" t="s">
        <v>310</v>
      </c>
      <c r="I219">
        <v>12</v>
      </c>
      <c r="J219" s="40">
        <v>287.72000000000003</v>
      </c>
      <c r="N219"/>
      <c r="O219"/>
    </row>
    <row r="220" spans="1:15" x14ac:dyDescent="0.35">
      <c r="A220" s="5">
        <v>218</v>
      </c>
      <c r="B220" s="5" t="str">
        <f t="shared" si="12"/>
        <v>GA12</v>
      </c>
      <c r="C220" t="s">
        <v>219</v>
      </c>
      <c r="D220" t="s">
        <v>1280</v>
      </c>
      <c r="E220" t="s">
        <v>1114</v>
      </c>
      <c r="F220" t="s">
        <v>1116</v>
      </c>
      <c r="G220">
        <v>2</v>
      </c>
      <c r="H220" t="s">
        <v>310</v>
      </c>
      <c r="I220">
        <v>12</v>
      </c>
      <c r="J220" s="40">
        <v>299.58</v>
      </c>
      <c r="N220"/>
      <c r="O220"/>
    </row>
    <row r="221" spans="1:15" x14ac:dyDescent="0.35">
      <c r="A221" s="5">
        <v>219</v>
      </c>
      <c r="B221" s="5" t="str">
        <f t="shared" si="12"/>
        <v>GA12</v>
      </c>
      <c r="C221" t="s">
        <v>219</v>
      </c>
      <c r="D221" t="s">
        <v>217</v>
      </c>
      <c r="E221" t="s">
        <v>980</v>
      </c>
      <c r="F221" t="s">
        <v>1247</v>
      </c>
      <c r="G221">
        <v>1</v>
      </c>
      <c r="H221" t="s">
        <v>310</v>
      </c>
      <c r="I221">
        <v>12</v>
      </c>
      <c r="J221" s="40">
        <v>299.69</v>
      </c>
      <c r="N221"/>
      <c r="O221"/>
    </row>
    <row r="222" spans="1:15" x14ac:dyDescent="0.35">
      <c r="A222" s="5">
        <v>220</v>
      </c>
      <c r="B222" s="5" t="str">
        <f t="shared" si="12"/>
        <v>GA12</v>
      </c>
      <c r="C222" t="s">
        <v>219</v>
      </c>
      <c r="D222" t="s">
        <v>1239</v>
      </c>
      <c r="E222" t="s">
        <v>967</v>
      </c>
      <c r="F222" t="s">
        <v>968</v>
      </c>
      <c r="G222">
        <v>2</v>
      </c>
      <c r="H222" t="s">
        <v>310</v>
      </c>
      <c r="I222">
        <v>12</v>
      </c>
      <c r="J222" s="40">
        <v>301.64</v>
      </c>
      <c r="N222"/>
      <c r="O222"/>
    </row>
    <row r="223" spans="1:15" x14ac:dyDescent="0.35">
      <c r="A223" s="5">
        <v>221</v>
      </c>
      <c r="B223" s="5" t="str">
        <f t="shared" si="12"/>
        <v>GA12</v>
      </c>
      <c r="C223" t="s">
        <v>219</v>
      </c>
      <c r="D223" t="s">
        <v>1280</v>
      </c>
      <c r="E223" t="s">
        <v>1113</v>
      </c>
      <c r="F223" t="s">
        <v>1118</v>
      </c>
      <c r="G223">
        <v>2</v>
      </c>
      <c r="H223" t="s">
        <v>310</v>
      </c>
      <c r="I223">
        <v>12</v>
      </c>
      <c r="J223" s="40">
        <v>310.87</v>
      </c>
      <c r="N223"/>
      <c r="O223"/>
    </row>
    <row r="224" spans="1:15" x14ac:dyDescent="0.35">
      <c r="A224" s="5">
        <v>222</v>
      </c>
      <c r="B224" s="5" t="str">
        <f t="shared" si="12"/>
        <v>GA12</v>
      </c>
      <c r="C224" t="s">
        <v>219</v>
      </c>
      <c r="D224" t="s">
        <v>1280</v>
      </c>
      <c r="E224" t="s">
        <v>1115</v>
      </c>
      <c r="F224" t="s">
        <v>1128</v>
      </c>
      <c r="G224">
        <v>2</v>
      </c>
      <c r="H224" t="s">
        <v>310</v>
      </c>
      <c r="I224">
        <v>12</v>
      </c>
      <c r="J224" s="40">
        <v>310.87</v>
      </c>
      <c r="N224"/>
      <c r="O224"/>
    </row>
    <row r="225" spans="1:15" x14ac:dyDescent="0.35">
      <c r="A225" s="5">
        <v>223</v>
      </c>
      <c r="B225" s="5" t="str">
        <f t="shared" si="12"/>
        <v>GA12</v>
      </c>
      <c r="C225" t="s">
        <v>219</v>
      </c>
      <c r="D225" t="s">
        <v>217</v>
      </c>
      <c r="E225" t="s">
        <v>977</v>
      </c>
      <c r="F225" t="s">
        <v>1245</v>
      </c>
      <c r="G225">
        <v>1</v>
      </c>
      <c r="H225" t="s">
        <v>310</v>
      </c>
      <c r="I225">
        <v>12</v>
      </c>
      <c r="J225" s="40">
        <v>312.3</v>
      </c>
      <c r="N225"/>
      <c r="O225"/>
    </row>
    <row r="226" spans="1:15" x14ac:dyDescent="0.35">
      <c r="A226" s="5">
        <v>224</v>
      </c>
      <c r="B226" s="5" t="str">
        <f t="shared" si="12"/>
        <v>GA12</v>
      </c>
      <c r="C226" t="s">
        <v>219</v>
      </c>
      <c r="D226" t="s">
        <v>217</v>
      </c>
      <c r="E226" t="s">
        <v>975</v>
      </c>
      <c r="F226" t="s">
        <v>1244</v>
      </c>
      <c r="G226">
        <v>1</v>
      </c>
      <c r="H226" t="s">
        <v>310</v>
      </c>
      <c r="I226">
        <v>12</v>
      </c>
      <c r="J226" s="40">
        <v>329.69</v>
      </c>
      <c r="N226"/>
      <c r="O226"/>
    </row>
    <row r="227" spans="1:15" x14ac:dyDescent="0.35">
      <c r="A227" s="5">
        <v>225</v>
      </c>
      <c r="B227" s="5" t="str">
        <f t="shared" si="12"/>
        <v>GA12</v>
      </c>
      <c r="C227" t="s">
        <v>219</v>
      </c>
      <c r="D227" t="s">
        <v>294</v>
      </c>
      <c r="E227" t="s">
        <v>295</v>
      </c>
      <c r="F227" t="s">
        <v>1273</v>
      </c>
      <c r="G227">
        <v>3</v>
      </c>
      <c r="H227" t="s">
        <v>310</v>
      </c>
      <c r="I227">
        <v>12</v>
      </c>
      <c r="J227" s="40">
        <v>331.77</v>
      </c>
      <c r="N227"/>
      <c r="O227"/>
    </row>
    <row r="228" spans="1:15" x14ac:dyDescent="0.35">
      <c r="A228" s="5">
        <v>226</v>
      </c>
      <c r="B228" s="5" t="str">
        <f t="shared" si="12"/>
        <v>GA12</v>
      </c>
      <c r="C228" t="s">
        <v>219</v>
      </c>
      <c r="D228" t="s">
        <v>294</v>
      </c>
      <c r="E228" t="s">
        <v>1091</v>
      </c>
      <c r="F228" t="s">
        <v>1272</v>
      </c>
      <c r="G228">
        <v>2</v>
      </c>
      <c r="H228" t="s">
        <v>310</v>
      </c>
      <c r="I228">
        <v>12</v>
      </c>
      <c r="J228" s="40">
        <v>336.79</v>
      </c>
      <c r="N228"/>
      <c r="O228"/>
    </row>
    <row r="229" spans="1:15" x14ac:dyDescent="0.35">
      <c r="A229" s="5">
        <v>227</v>
      </c>
      <c r="B229" s="5" t="str">
        <f t="shared" si="12"/>
        <v>GA13</v>
      </c>
      <c r="C229" t="s">
        <v>219</v>
      </c>
      <c r="D229" t="s">
        <v>297</v>
      </c>
      <c r="E229" t="s">
        <v>298</v>
      </c>
      <c r="F229" t="s">
        <v>1279</v>
      </c>
      <c r="G229">
        <v>2</v>
      </c>
      <c r="H229" t="s">
        <v>310</v>
      </c>
      <c r="I229">
        <v>13</v>
      </c>
      <c r="J229" s="40">
        <v>262.74</v>
      </c>
      <c r="N229"/>
      <c r="O229"/>
    </row>
    <row r="230" spans="1:15" x14ac:dyDescent="0.35">
      <c r="A230" s="5">
        <v>228</v>
      </c>
      <c r="B230" s="5" t="str">
        <f t="shared" si="12"/>
        <v>GA13</v>
      </c>
      <c r="C230" t="s">
        <v>219</v>
      </c>
      <c r="D230" t="s">
        <v>297</v>
      </c>
      <c r="E230" t="s">
        <v>300</v>
      </c>
      <c r="F230" t="s">
        <v>301</v>
      </c>
      <c r="G230">
        <v>2</v>
      </c>
      <c r="H230" t="s">
        <v>310</v>
      </c>
      <c r="I230">
        <v>13</v>
      </c>
      <c r="J230" s="40">
        <v>263.5</v>
      </c>
      <c r="N230"/>
      <c r="O230"/>
    </row>
    <row r="231" spans="1:15" x14ac:dyDescent="0.35">
      <c r="A231" s="5">
        <v>229</v>
      </c>
      <c r="B231" s="5" t="str">
        <f t="shared" si="12"/>
        <v>GA13</v>
      </c>
      <c r="C231" t="s">
        <v>219</v>
      </c>
      <c r="D231" t="s">
        <v>297</v>
      </c>
      <c r="E231" t="s">
        <v>302</v>
      </c>
      <c r="F231" t="s">
        <v>303</v>
      </c>
      <c r="G231">
        <v>2</v>
      </c>
      <c r="H231" t="s">
        <v>310</v>
      </c>
      <c r="I231">
        <v>13</v>
      </c>
      <c r="J231" s="40">
        <v>276.5</v>
      </c>
      <c r="N231"/>
      <c r="O231"/>
    </row>
    <row r="232" spans="1:15" x14ac:dyDescent="0.35">
      <c r="A232" s="5">
        <v>230</v>
      </c>
      <c r="B232" s="5" t="str">
        <f t="shared" si="12"/>
        <v>GA13</v>
      </c>
      <c r="C232" t="s">
        <v>219</v>
      </c>
      <c r="D232" t="s">
        <v>294</v>
      </c>
      <c r="E232" t="s">
        <v>308</v>
      </c>
      <c r="F232" t="s">
        <v>1270</v>
      </c>
      <c r="G232">
        <v>2</v>
      </c>
      <c r="H232" t="s">
        <v>310</v>
      </c>
      <c r="I232">
        <v>13</v>
      </c>
      <c r="J232" s="40">
        <v>278.07</v>
      </c>
      <c r="N232"/>
      <c r="O232"/>
    </row>
    <row r="233" spans="1:15" x14ac:dyDescent="0.35">
      <c r="A233" s="5">
        <v>231</v>
      </c>
      <c r="B233" s="5" t="str">
        <f t="shared" si="12"/>
        <v>GA13</v>
      </c>
      <c r="C233" t="s">
        <v>219</v>
      </c>
      <c r="D233" t="s">
        <v>304</v>
      </c>
      <c r="E233" t="s">
        <v>916</v>
      </c>
      <c r="F233" t="s">
        <v>917</v>
      </c>
      <c r="G233">
        <v>1</v>
      </c>
      <c r="H233" t="s">
        <v>310</v>
      </c>
      <c r="I233">
        <v>13</v>
      </c>
      <c r="J233" s="40">
        <v>283.37</v>
      </c>
      <c r="N233"/>
      <c r="O233"/>
    </row>
    <row r="234" spans="1:15" x14ac:dyDescent="0.35">
      <c r="A234" s="5">
        <v>232</v>
      </c>
      <c r="B234" s="5" t="str">
        <f t="shared" si="12"/>
        <v>GA13</v>
      </c>
      <c r="C234" t="s">
        <v>219</v>
      </c>
      <c r="D234" t="s">
        <v>1239</v>
      </c>
      <c r="E234" t="s">
        <v>969</v>
      </c>
      <c r="F234" t="s">
        <v>970</v>
      </c>
      <c r="G234">
        <v>2</v>
      </c>
      <c r="H234" t="s">
        <v>310</v>
      </c>
      <c r="I234">
        <v>13</v>
      </c>
      <c r="J234" s="40">
        <v>284.20999999999998</v>
      </c>
      <c r="N234"/>
      <c r="O234"/>
    </row>
    <row r="235" spans="1:15" x14ac:dyDescent="0.35">
      <c r="A235" s="5">
        <v>233</v>
      </c>
      <c r="B235" s="5" t="str">
        <f t="shared" si="12"/>
        <v>GA13</v>
      </c>
      <c r="C235" t="s">
        <v>219</v>
      </c>
      <c r="D235" t="s">
        <v>304</v>
      </c>
      <c r="E235" t="s">
        <v>307</v>
      </c>
      <c r="F235" t="s">
        <v>904</v>
      </c>
      <c r="G235">
        <v>1</v>
      </c>
      <c r="H235" t="s">
        <v>310</v>
      </c>
      <c r="I235">
        <v>13</v>
      </c>
      <c r="J235" s="40">
        <v>284.68</v>
      </c>
      <c r="N235"/>
      <c r="O235"/>
    </row>
    <row r="236" spans="1:15" x14ac:dyDescent="0.35">
      <c r="A236" s="5">
        <v>234</v>
      </c>
      <c r="B236" s="5" t="str">
        <f t="shared" si="12"/>
        <v>GA13</v>
      </c>
      <c r="C236" t="s">
        <v>219</v>
      </c>
      <c r="D236" t="s">
        <v>304</v>
      </c>
      <c r="E236" t="s">
        <v>898</v>
      </c>
      <c r="F236" t="s">
        <v>899</v>
      </c>
      <c r="G236">
        <v>1</v>
      </c>
      <c r="H236" t="s">
        <v>310</v>
      </c>
      <c r="I236">
        <v>13</v>
      </c>
      <c r="J236" s="40">
        <v>284.85000000000002</v>
      </c>
      <c r="N236"/>
      <c r="O236"/>
    </row>
    <row r="237" spans="1:15" x14ac:dyDescent="0.35">
      <c r="A237" s="5">
        <v>235</v>
      </c>
      <c r="B237" s="5" t="str">
        <f t="shared" si="12"/>
        <v>GA13</v>
      </c>
      <c r="C237" t="s">
        <v>219</v>
      </c>
      <c r="D237" t="s">
        <v>304</v>
      </c>
      <c r="E237" t="s">
        <v>305</v>
      </c>
      <c r="F237" t="s">
        <v>913</v>
      </c>
      <c r="G237">
        <v>1</v>
      </c>
      <c r="H237" t="s">
        <v>310</v>
      </c>
      <c r="I237">
        <v>13</v>
      </c>
      <c r="J237" s="40">
        <v>284.93</v>
      </c>
      <c r="N237"/>
      <c r="O237"/>
    </row>
    <row r="238" spans="1:15" x14ac:dyDescent="0.35">
      <c r="A238" s="5">
        <v>236</v>
      </c>
      <c r="B238" s="5" t="str">
        <f t="shared" si="12"/>
        <v>GA13</v>
      </c>
      <c r="C238" t="s">
        <v>219</v>
      </c>
      <c r="D238" t="s">
        <v>1239</v>
      </c>
      <c r="E238" t="s">
        <v>963</v>
      </c>
      <c r="F238" t="s">
        <v>964</v>
      </c>
      <c r="G238">
        <v>2</v>
      </c>
      <c r="H238" t="s">
        <v>310</v>
      </c>
      <c r="I238">
        <v>13</v>
      </c>
      <c r="J238" s="40">
        <v>295.19</v>
      </c>
      <c r="N238"/>
      <c r="O238"/>
    </row>
    <row r="239" spans="1:15" x14ac:dyDescent="0.35">
      <c r="A239" s="5">
        <v>237</v>
      </c>
      <c r="B239" s="5" t="str">
        <f t="shared" si="12"/>
        <v>GA13</v>
      </c>
      <c r="C239" t="s">
        <v>219</v>
      </c>
      <c r="D239" t="s">
        <v>1239</v>
      </c>
      <c r="E239" t="s">
        <v>965</v>
      </c>
      <c r="F239" t="s">
        <v>966</v>
      </c>
      <c r="G239">
        <v>2</v>
      </c>
      <c r="H239" t="s">
        <v>310</v>
      </c>
      <c r="I239">
        <v>13</v>
      </c>
      <c r="J239" s="40">
        <v>296.10000000000002</v>
      </c>
      <c r="N239"/>
      <c r="O239"/>
    </row>
    <row r="240" spans="1:15" x14ac:dyDescent="0.35">
      <c r="A240" s="5">
        <v>238</v>
      </c>
      <c r="B240" s="5" t="str">
        <f t="shared" si="12"/>
        <v>GA13</v>
      </c>
      <c r="C240" t="s">
        <v>219</v>
      </c>
      <c r="D240" t="s">
        <v>1239</v>
      </c>
      <c r="E240" t="s">
        <v>961</v>
      </c>
      <c r="F240" t="s">
        <v>962</v>
      </c>
      <c r="G240">
        <v>2</v>
      </c>
      <c r="H240" t="s">
        <v>310</v>
      </c>
      <c r="I240">
        <v>13</v>
      </c>
      <c r="J240" s="40">
        <v>296.36</v>
      </c>
      <c r="N240"/>
      <c r="O240"/>
    </row>
    <row r="241" spans="1:15" x14ac:dyDescent="0.35">
      <c r="A241" s="5">
        <v>239</v>
      </c>
      <c r="B241" s="5" t="str">
        <f t="shared" si="12"/>
        <v>GA13</v>
      </c>
      <c r="C241" t="s">
        <v>219</v>
      </c>
      <c r="D241" t="s">
        <v>294</v>
      </c>
      <c r="E241" t="s">
        <v>295</v>
      </c>
      <c r="F241" t="s">
        <v>1273</v>
      </c>
      <c r="G241">
        <v>3</v>
      </c>
      <c r="H241" t="s">
        <v>310</v>
      </c>
      <c r="I241">
        <v>13</v>
      </c>
      <c r="J241" s="40">
        <v>298.22000000000003</v>
      </c>
      <c r="N241"/>
      <c r="O241"/>
    </row>
    <row r="242" spans="1:15" x14ac:dyDescent="0.35">
      <c r="A242" s="5">
        <v>240</v>
      </c>
      <c r="B242" s="5" t="str">
        <f t="shared" si="12"/>
        <v>GA13</v>
      </c>
      <c r="C242" t="s">
        <v>219</v>
      </c>
      <c r="D242" t="s">
        <v>217</v>
      </c>
      <c r="E242" t="s">
        <v>980</v>
      </c>
      <c r="F242" t="s">
        <v>1247</v>
      </c>
      <c r="G242">
        <v>1</v>
      </c>
      <c r="H242" t="s">
        <v>310</v>
      </c>
      <c r="I242">
        <v>13</v>
      </c>
      <c r="J242" s="40">
        <v>299.75</v>
      </c>
      <c r="N242"/>
      <c r="O242"/>
    </row>
    <row r="243" spans="1:15" x14ac:dyDescent="0.35">
      <c r="A243" s="5">
        <v>241</v>
      </c>
      <c r="B243" s="5" t="str">
        <f t="shared" si="12"/>
        <v>GA13</v>
      </c>
      <c r="C243" t="s">
        <v>219</v>
      </c>
      <c r="D243" t="s">
        <v>1239</v>
      </c>
      <c r="E243" t="s">
        <v>973</v>
      </c>
      <c r="F243" t="s">
        <v>1242</v>
      </c>
      <c r="G243">
        <v>2</v>
      </c>
      <c r="H243" t="s">
        <v>310</v>
      </c>
      <c r="I243">
        <v>13</v>
      </c>
      <c r="J243" s="40">
        <v>305.19</v>
      </c>
      <c r="N243"/>
      <c r="O243"/>
    </row>
    <row r="244" spans="1:15" x14ac:dyDescent="0.35">
      <c r="A244" s="5">
        <v>242</v>
      </c>
      <c r="B244" s="5" t="str">
        <f t="shared" si="12"/>
        <v>GA13</v>
      </c>
      <c r="C244" t="s">
        <v>219</v>
      </c>
      <c r="D244" t="s">
        <v>217</v>
      </c>
      <c r="E244" t="s">
        <v>977</v>
      </c>
      <c r="F244" t="s">
        <v>1245</v>
      </c>
      <c r="G244">
        <v>1</v>
      </c>
      <c r="H244" t="s">
        <v>310</v>
      </c>
      <c r="I244">
        <v>13</v>
      </c>
      <c r="J244" s="40">
        <v>312.36</v>
      </c>
      <c r="N244"/>
      <c r="O244"/>
    </row>
    <row r="245" spans="1:15" x14ac:dyDescent="0.35">
      <c r="A245" s="5">
        <v>243</v>
      </c>
      <c r="B245" s="5" t="str">
        <f t="shared" si="12"/>
        <v>GA13</v>
      </c>
      <c r="C245" t="s">
        <v>219</v>
      </c>
      <c r="D245" t="s">
        <v>1280</v>
      </c>
      <c r="E245" t="s">
        <v>1114</v>
      </c>
      <c r="F245" t="s">
        <v>1116</v>
      </c>
      <c r="G245">
        <v>2</v>
      </c>
      <c r="H245" t="s">
        <v>310</v>
      </c>
      <c r="I245">
        <v>13</v>
      </c>
      <c r="J245" s="40">
        <v>316.72000000000003</v>
      </c>
      <c r="N245"/>
      <c r="O245"/>
    </row>
    <row r="246" spans="1:15" x14ac:dyDescent="0.35">
      <c r="A246" s="5">
        <v>244</v>
      </c>
      <c r="B246" s="5" t="str">
        <f t="shared" si="12"/>
        <v>GA13</v>
      </c>
      <c r="C246" t="s">
        <v>219</v>
      </c>
      <c r="D246" t="s">
        <v>1239</v>
      </c>
      <c r="E246" t="s">
        <v>967</v>
      </c>
      <c r="F246" t="s">
        <v>968</v>
      </c>
      <c r="G246">
        <v>2</v>
      </c>
      <c r="H246" t="s">
        <v>310</v>
      </c>
      <c r="I246">
        <v>13</v>
      </c>
      <c r="J246" s="40">
        <v>319.95</v>
      </c>
      <c r="N246"/>
      <c r="O246"/>
    </row>
    <row r="247" spans="1:15" x14ac:dyDescent="0.35">
      <c r="A247" s="5">
        <v>245</v>
      </c>
      <c r="B247" s="5" t="str">
        <f t="shared" si="12"/>
        <v>GA13</v>
      </c>
      <c r="C247" t="s">
        <v>219</v>
      </c>
      <c r="D247" t="s">
        <v>1280</v>
      </c>
      <c r="E247" t="s">
        <v>1113</v>
      </c>
      <c r="F247" t="s">
        <v>1118</v>
      </c>
      <c r="G247">
        <v>2</v>
      </c>
      <c r="H247" t="s">
        <v>310</v>
      </c>
      <c r="I247">
        <v>13</v>
      </c>
      <c r="J247" s="40">
        <v>328.67</v>
      </c>
      <c r="N247"/>
      <c r="O247"/>
    </row>
    <row r="248" spans="1:15" x14ac:dyDescent="0.35">
      <c r="A248" s="5">
        <v>246</v>
      </c>
      <c r="B248" s="5" t="str">
        <f t="shared" si="12"/>
        <v>GA13</v>
      </c>
      <c r="C248" t="s">
        <v>219</v>
      </c>
      <c r="D248" t="s">
        <v>1280</v>
      </c>
      <c r="E248" t="s">
        <v>1115</v>
      </c>
      <c r="F248" t="s">
        <v>1128</v>
      </c>
      <c r="G248">
        <v>2</v>
      </c>
      <c r="H248" t="s">
        <v>310</v>
      </c>
      <c r="I248">
        <v>13</v>
      </c>
      <c r="J248" s="40">
        <v>328.67</v>
      </c>
      <c r="N248"/>
      <c r="O248"/>
    </row>
    <row r="249" spans="1:15" x14ac:dyDescent="0.35">
      <c r="A249" s="5">
        <v>247</v>
      </c>
      <c r="B249" s="5" t="str">
        <f t="shared" si="12"/>
        <v>GA13</v>
      </c>
      <c r="C249" t="s">
        <v>219</v>
      </c>
      <c r="D249" t="s">
        <v>217</v>
      </c>
      <c r="E249" t="s">
        <v>975</v>
      </c>
      <c r="F249" t="s">
        <v>1244</v>
      </c>
      <c r="G249">
        <v>1</v>
      </c>
      <c r="H249" t="s">
        <v>310</v>
      </c>
      <c r="I249">
        <v>13</v>
      </c>
      <c r="J249" s="40">
        <v>329.75</v>
      </c>
      <c r="N249"/>
      <c r="O249"/>
    </row>
    <row r="250" spans="1:15" x14ac:dyDescent="0.35">
      <c r="A250" s="5">
        <v>248</v>
      </c>
      <c r="B250" s="5" t="str">
        <f t="shared" si="12"/>
        <v>GA14</v>
      </c>
      <c r="C250" t="s">
        <v>219</v>
      </c>
      <c r="D250" t="s">
        <v>1217</v>
      </c>
      <c r="E250" t="s">
        <v>1224</v>
      </c>
      <c r="F250" t="s">
        <v>1123</v>
      </c>
      <c r="G250">
        <v>2</v>
      </c>
      <c r="H250" t="s">
        <v>310</v>
      </c>
      <c r="I250">
        <v>14</v>
      </c>
      <c r="J250" s="40">
        <v>187.93</v>
      </c>
      <c r="N250"/>
      <c r="O250"/>
    </row>
    <row r="251" spans="1:15" x14ac:dyDescent="0.35">
      <c r="A251" s="5">
        <v>249</v>
      </c>
      <c r="B251" s="5" t="str">
        <f t="shared" si="12"/>
        <v>GA14</v>
      </c>
      <c r="C251" t="s">
        <v>219</v>
      </c>
      <c r="D251" t="s">
        <v>1217</v>
      </c>
      <c r="E251" t="s">
        <v>1216</v>
      </c>
      <c r="F251" t="s">
        <v>1119</v>
      </c>
      <c r="G251">
        <v>2</v>
      </c>
      <c r="H251" t="s">
        <v>310</v>
      </c>
      <c r="I251">
        <v>14</v>
      </c>
      <c r="J251" s="40">
        <v>191.13</v>
      </c>
      <c r="N251"/>
      <c r="O251"/>
    </row>
    <row r="252" spans="1:15" x14ac:dyDescent="0.35">
      <c r="A252" s="5">
        <v>250</v>
      </c>
      <c r="B252" s="5" t="str">
        <f t="shared" si="12"/>
        <v>GA14</v>
      </c>
      <c r="C252" t="s">
        <v>219</v>
      </c>
      <c r="D252" t="s">
        <v>1217</v>
      </c>
      <c r="E252" t="s">
        <v>1225</v>
      </c>
      <c r="F252" t="s">
        <v>1124</v>
      </c>
      <c r="G252">
        <v>2</v>
      </c>
      <c r="H252" t="s">
        <v>310</v>
      </c>
      <c r="I252">
        <v>14</v>
      </c>
      <c r="J252" s="40">
        <v>192.6</v>
      </c>
      <c r="N252"/>
      <c r="O252"/>
    </row>
    <row r="253" spans="1:15" x14ac:dyDescent="0.35">
      <c r="A253" s="5">
        <v>251</v>
      </c>
      <c r="B253" s="5" t="str">
        <f t="shared" si="12"/>
        <v>GA14</v>
      </c>
      <c r="C253" t="s">
        <v>219</v>
      </c>
      <c r="D253" t="s">
        <v>1217</v>
      </c>
      <c r="E253" t="s">
        <v>1218</v>
      </c>
      <c r="F253" t="s">
        <v>1120</v>
      </c>
      <c r="G253">
        <v>2</v>
      </c>
      <c r="H253" t="s">
        <v>310</v>
      </c>
      <c r="I253">
        <v>14</v>
      </c>
      <c r="J253" s="40">
        <v>195.87</v>
      </c>
      <c r="N253"/>
      <c r="O253"/>
    </row>
    <row r="254" spans="1:15" x14ac:dyDescent="0.35">
      <c r="A254" s="5">
        <v>252</v>
      </c>
      <c r="B254" s="5" t="str">
        <f t="shared" si="12"/>
        <v>GA14</v>
      </c>
      <c r="C254" t="s">
        <v>219</v>
      </c>
      <c r="D254" t="s">
        <v>1217</v>
      </c>
      <c r="E254" t="s">
        <v>1220</v>
      </c>
      <c r="F254" t="s">
        <v>1121</v>
      </c>
      <c r="G254">
        <v>2</v>
      </c>
      <c r="H254" t="s">
        <v>310</v>
      </c>
      <c r="I254">
        <v>14</v>
      </c>
      <c r="J254" s="40">
        <v>197.14</v>
      </c>
      <c r="N254"/>
      <c r="O254"/>
    </row>
    <row r="255" spans="1:15" x14ac:dyDescent="0.35">
      <c r="A255" s="5">
        <v>253</v>
      </c>
      <c r="B255" s="5" t="str">
        <f t="shared" si="12"/>
        <v>GA14</v>
      </c>
      <c r="C255" t="s">
        <v>219</v>
      </c>
      <c r="D255" t="s">
        <v>1217</v>
      </c>
      <c r="E255" t="s">
        <v>1221</v>
      </c>
      <c r="F255" t="s">
        <v>1122</v>
      </c>
      <c r="G255">
        <v>2</v>
      </c>
      <c r="H255" t="s">
        <v>310</v>
      </c>
      <c r="I255">
        <v>14</v>
      </c>
      <c r="J255" s="40">
        <v>202.04</v>
      </c>
      <c r="N255"/>
      <c r="O255"/>
    </row>
    <row r="256" spans="1:15" x14ac:dyDescent="0.35">
      <c r="A256" s="5">
        <v>254</v>
      </c>
      <c r="B256" s="5" t="str">
        <f t="shared" si="12"/>
        <v>GA14</v>
      </c>
      <c r="C256" t="s">
        <v>219</v>
      </c>
      <c r="D256" t="s">
        <v>1217</v>
      </c>
      <c r="E256" t="s">
        <v>1226</v>
      </c>
      <c r="F256" t="s">
        <v>1130</v>
      </c>
      <c r="G256">
        <v>2</v>
      </c>
      <c r="H256" t="s">
        <v>310</v>
      </c>
      <c r="I256">
        <v>14</v>
      </c>
      <c r="J256" s="40">
        <v>204.69</v>
      </c>
      <c r="N256"/>
      <c r="O256"/>
    </row>
    <row r="257" spans="1:15" x14ac:dyDescent="0.35">
      <c r="A257" s="5">
        <v>255</v>
      </c>
      <c r="B257" s="5" t="str">
        <f t="shared" si="12"/>
        <v>GA14</v>
      </c>
      <c r="C257" t="s">
        <v>219</v>
      </c>
      <c r="D257" t="s">
        <v>1217</v>
      </c>
      <c r="E257" t="s">
        <v>1219</v>
      </c>
      <c r="F257" t="s">
        <v>1129</v>
      </c>
      <c r="G257">
        <v>2</v>
      </c>
      <c r="H257" t="s">
        <v>310</v>
      </c>
      <c r="I257">
        <v>14</v>
      </c>
      <c r="J257" s="40">
        <v>208.17</v>
      </c>
      <c r="N257"/>
      <c r="O257"/>
    </row>
    <row r="258" spans="1:15" x14ac:dyDescent="0.35">
      <c r="A258" s="5">
        <v>256</v>
      </c>
      <c r="B258" s="5" t="str">
        <f t="shared" si="12"/>
        <v>GA14</v>
      </c>
      <c r="C258" t="s">
        <v>219</v>
      </c>
      <c r="D258" t="s">
        <v>1217</v>
      </c>
      <c r="E258" t="s">
        <v>1222</v>
      </c>
      <c r="F258" t="s">
        <v>1223</v>
      </c>
      <c r="G258">
        <v>2</v>
      </c>
      <c r="H258" t="s">
        <v>310</v>
      </c>
      <c r="I258">
        <v>14</v>
      </c>
      <c r="J258" s="40">
        <v>214.72</v>
      </c>
      <c r="N258"/>
      <c r="O258"/>
    </row>
    <row r="259" spans="1:15" x14ac:dyDescent="0.35">
      <c r="A259" s="5">
        <v>257</v>
      </c>
      <c r="B259" s="5" t="str">
        <f t="shared" ref="B259:B322" si="13">CONCATENATE(C259,I259)</f>
        <v>GA14</v>
      </c>
      <c r="C259" t="s">
        <v>219</v>
      </c>
      <c r="D259" t="s">
        <v>1134</v>
      </c>
      <c r="E259" t="s">
        <v>1202</v>
      </c>
      <c r="F259" t="s">
        <v>1203</v>
      </c>
      <c r="G259">
        <v>2</v>
      </c>
      <c r="H259" t="s">
        <v>310</v>
      </c>
      <c r="I259">
        <v>14</v>
      </c>
      <c r="J259" s="40">
        <v>221.41</v>
      </c>
      <c r="N259"/>
      <c r="O259"/>
    </row>
    <row r="260" spans="1:15" x14ac:dyDescent="0.35">
      <c r="A260" s="5">
        <v>258</v>
      </c>
      <c r="B260" s="5" t="str">
        <f t="shared" si="13"/>
        <v>GA14</v>
      </c>
      <c r="C260" t="s">
        <v>219</v>
      </c>
      <c r="D260" t="s">
        <v>1134</v>
      </c>
      <c r="E260" t="s">
        <v>1214</v>
      </c>
      <c r="F260" t="s">
        <v>1043</v>
      </c>
      <c r="G260">
        <v>2</v>
      </c>
      <c r="H260" t="s">
        <v>310</v>
      </c>
      <c r="I260">
        <v>14</v>
      </c>
      <c r="J260" s="40">
        <v>233.84</v>
      </c>
      <c r="N260"/>
      <c r="O260"/>
    </row>
    <row r="261" spans="1:15" x14ac:dyDescent="0.35">
      <c r="A261" s="5">
        <v>259</v>
      </c>
      <c r="B261" s="5" t="str">
        <f t="shared" si="13"/>
        <v>GA14</v>
      </c>
      <c r="C261" t="s">
        <v>219</v>
      </c>
      <c r="D261" t="s">
        <v>1280</v>
      </c>
      <c r="E261" t="s">
        <v>1114</v>
      </c>
      <c r="F261" t="s">
        <v>1116</v>
      </c>
      <c r="G261">
        <v>2</v>
      </c>
      <c r="H261" t="s">
        <v>310</v>
      </c>
      <c r="I261">
        <v>14</v>
      </c>
      <c r="J261" s="40">
        <v>244.58</v>
      </c>
      <c r="N261"/>
      <c r="O261"/>
    </row>
    <row r="262" spans="1:15" x14ac:dyDescent="0.35">
      <c r="A262" s="5">
        <v>260</v>
      </c>
      <c r="B262" s="5" t="str">
        <f t="shared" si="13"/>
        <v>GA14</v>
      </c>
      <c r="C262" t="s">
        <v>219</v>
      </c>
      <c r="D262" t="s">
        <v>1239</v>
      </c>
      <c r="E262" t="s">
        <v>969</v>
      </c>
      <c r="F262" t="s">
        <v>970</v>
      </c>
      <c r="G262">
        <v>2</v>
      </c>
      <c r="H262" t="s">
        <v>310</v>
      </c>
      <c r="I262">
        <v>14</v>
      </c>
      <c r="J262" s="40">
        <v>245.55</v>
      </c>
      <c r="N262"/>
      <c r="O262"/>
    </row>
    <row r="263" spans="1:15" x14ac:dyDescent="0.35">
      <c r="A263" s="5">
        <v>261</v>
      </c>
      <c r="B263" s="5" t="str">
        <f t="shared" si="13"/>
        <v>GA14</v>
      </c>
      <c r="C263" t="s">
        <v>219</v>
      </c>
      <c r="D263" t="s">
        <v>294</v>
      </c>
      <c r="E263" t="s">
        <v>1093</v>
      </c>
      <c r="F263" t="s">
        <v>1274</v>
      </c>
      <c r="G263">
        <v>2</v>
      </c>
      <c r="H263" t="s">
        <v>310</v>
      </c>
      <c r="I263">
        <v>14</v>
      </c>
      <c r="J263" s="40">
        <v>246.84</v>
      </c>
      <c r="N263"/>
      <c r="O263"/>
    </row>
    <row r="264" spans="1:15" x14ac:dyDescent="0.35">
      <c r="A264" s="5">
        <v>262</v>
      </c>
      <c r="B264" s="5" t="str">
        <f t="shared" si="13"/>
        <v>GA14</v>
      </c>
      <c r="C264" t="s">
        <v>219</v>
      </c>
      <c r="D264" t="s">
        <v>1134</v>
      </c>
      <c r="E264" t="s">
        <v>1200</v>
      </c>
      <c r="F264" t="s">
        <v>1201</v>
      </c>
      <c r="G264">
        <v>2</v>
      </c>
      <c r="H264" t="s">
        <v>310</v>
      </c>
      <c r="I264">
        <v>14</v>
      </c>
      <c r="J264" s="40">
        <v>249.64</v>
      </c>
      <c r="N264"/>
      <c r="O264"/>
    </row>
    <row r="265" spans="1:15" x14ac:dyDescent="0.35">
      <c r="A265" s="5">
        <v>263</v>
      </c>
      <c r="B265" s="5" t="str">
        <f t="shared" si="13"/>
        <v>GA14</v>
      </c>
      <c r="C265" t="s">
        <v>219</v>
      </c>
      <c r="D265" t="s">
        <v>1280</v>
      </c>
      <c r="E265" t="s">
        <v>1113</v>
      </c>
      <c r="F265" t="s">
        <v>1118</v>
      </c>
      <c r="G265">
        <v>2</v>
      </c>
      <c r="H265" t="s">
        <v>310</v>
      </c>
      <c r="I265">
        <v>14</v>
      </c>
      <c r="J265" s="40">
        <v>253.8</v>
      </c>
      <c r="N265"/>
      <c r="O265"/>
    </row>
    <row r="266" spans="1:15" x14ac:dyDescent="0.35">
      <c r="A266" s="5">
        <v>264</v>
      </c>
      <c r="B266" s="5" t="str">
        <f t="shared" si="13"/>
        <v>GA14</v>
      </c>
      <c r="C266" t="s">
        <v>219</v>
      </c>
      <c r="D266" t="s">
        <v>1280</v>
      </c>
      <c r="E266" t="s">
        <v>1115</v>
      </c>
      <c r="F266" t="s">
        <v>1128</v>
      </c>
      <c r="G266">
        <v>2</v>
      </c>
      <c r="H266" t="s">
        <v>310</v>
      </c>
      <c r="I266">
        <v>14</v>
      </c>
      <c r="J266" s="40">
        <v>253.8</v>
      </c>
      <c r="N266"/>
      <c r="O266"/>
    </row>
    <row r="267" spans="1:15" x14ac:dyDescent="0.35">
      <c r="A267" s="5">
        <v>265</v>
      </c>
      <c r="B267" s="5" t="str">
        <f t="shared" si="13"/>
        <v>GA14</v>
      </c>
      <c r="C267" t="s">
        <v>219</v>
      </c>
      <c r="D267" t="s">
        <v>1239</v>
      </c>
      <c r="E267" t="s">
        <v>963</v>
      </c>
      <c r="F267" t="s">
        <v>964</v>
      </c>
      <c r="G267">
        <v>2</v>
      </c>
      <c r="H267" t="s">
        <v>310</v>
      </c>
      <c r="I267">
        <v>14</v>
      </c>
      <c r="J267" s="40">
        <v>255.03</v>
      </c>
      <c r="N267"/>
      <c r="O267"/>
    </row>
    <row r="268" spans="1:15" x14ac:dyDescent="0.35">
      <c r="A268" s="5">
        <v>266</v>
      </c>
      <c r="B268" s="5" t="str">
        <f t="shared" si="13"/>
        <v>GA14</v>
      </c>
      <c r="C268" t="s">
        <v>219</v>
      </c>
      <c r="D268" t="s">
        <v>1239</v>
      </c>
      <c r="E268" t="s">
        <v>965</v>
      </c>
      <c r="F268" t="s">
        <v>966</v>
      </c>
      <c r="G268">
        <v>2</v>
      </c>
      <c r="H268" t="s">
        <v>310</v>
      </c>
      <c r="I268">
        <v>14</v>
      </c>
      <c r="J268" s="40">
        <v>255.83</v>
      </c>
      <c r="N268"/>
      <c r="O268"/>
    </row>
    <row r="269" spans="1:15" x14ac:dyDescent="0.35">
      <c r="A269" s="5">
        <v>267</v>
      </c>
      <c r="B269" s="5" t="str">
        <f t="shared" si="13"/>
        <v>GA14</v>
      </c>
      <c r="C269" t="s">
        <v>219</v>
      </c>
      <c r="D269" t="s">
        <v>1239</v>
      </c>
      <c r="E269" t="s">
        <v>961</v>
      </c>
      <c r="F269" t="s">
        <v>962</v>
      </c>
      <c r="G269">
        <v>2</v>
      </c>
      <c r="H269" t="s">
        <v>310</v>
      </c>
      <c r="I269">
        <v>14</v>
      </c>
      <c r="J269" s="40">
        <v>256.05</v>
      </c>
      <c r="N269"/>
      <c r="O269"/>
    </row>
    <row r="270" spans="1:15" x14ac:dyDescent="0.35">
      <c r="A270" s="5">
        <v>268</v>
      </c>
      <c r="B270" s="5" t="str">
        <f t="shared" si="13"/>
        <v>GA14</v>
      </c>
      <c r="C270" t="s">
        <v>219</v>
      </c>
      <c r="D270" t="s">
        <v>1134</v>
      </c>
      <c r="E270" t="s">
        <v>1213</v>
      </c>
      <c r="F270" t="s">
        <v>1045</v>
      </c>
      <c r="G270">
        <v>2</v>
      </c>
      <c r="H270" t="s">
        <v>310</v>
      </c>
      <c r="I270">
        <v>14</v>
      </c>
      <c r="J270" s="40">
        <v>263.64999999999998</v>
      </c>
      <c r="N270"/>
      <c r="O270"/>
    </row>
    <row r="271" spans="1:15" x14ac:dyDescent="0.35">
      <c r="A271" s="5">
        <v>269</v>
      </c>
      <c r="B271" s="5" t="str">
        <f t="shared" si="13"/>
        <v>GA14</v>
      </c>
      <c r="C271" t="s">
        <v>219</v>
      </c>
      <c r="D271" t="s">
        <v>1239</v>
      </c>
      <c r="E271" t="s">
        <v>973</v>
      </c>
      <c r="F271" t="s">
        <v>1242</v>
      </c>
      <c r="G271">
        <v>2</v>
      </c>
      <c r="H271" t="s">
        <v>310</v>
      </c>
      <c r="I271">
        <v>14</v>
      </c>
      <c r="J271" s="40">
        <v>263.68</v>
      </c>
      <c r="N271"/>
      <c r="O271"/>
    </row>
    <row r="272" spans="1:15" x14ac:dyDescent="0.35">
      <c r="A272" s="5">
        <v>270</v>
      </c>
      <c r="B272" s="5" t="str">
        <f t="shared" si="13"/>
        <v>GA14</v>
      </c>
      <c r="C272" t="s">
        <v>219</v>
      </c>
      <c r="D272" t="s">
        <v>294</v>
      </c>
      <c r="E272" t="s">
        <v>295</v>
      </c>
      <c r="F272" t="s">
        <v>1273</v>
      </c>
      <c r="G272">
        <v>3</v>
      </c>
      <c r="H272" t="s">
        <v>310</v>
      </c>
      <c r="I272">
        <v>14</v>
      </c>
      <c r="J272" s="40">
        <v>269.16000000000003</v>
      </c>
      <c r="N272"/>
      <c r="O272"/>
    </row>
    <row r="273" spans="1:15" x14ac:dyDescent="0.35">
      <c r="A273" s="5">
        <v>271</v>
      </c>
      <c r="B273" s="5" t="str">
        <f t="shared" si="13"/>
        <v>GA14</v>
      </c>
      <c r="C273" t="s">
        <v>219</v>
      </c>
      <c r="D273" t="s">
        <v>1239</v>
      </c>
      <c r="E273" t="s">
        <v>967</v>
      </c>
      <c r="F273" t="s">
        <v>968</v>
      </c>
      <c r="G273">
        <v>2</v>
      </c>
      <c r="H273" t="s">
        <v>310</v>
      </c>
      <c r="I273">
        <v>14</v>
      </c>
      <c r="J273" s="40">
        <v>276.43</v>
      </c>
      <c r="N273"/>
      <c r="O273"/>
    </row>
    <row r="274" spans="1:15" x14ac:dyDescent="0.35">
      <c r="A274" s="5">
        <v>272</v>
      </c>
      <c r="B274" s="5" t="str">
        <f t="shared" si="13"/>
        <v>GA15</v>
      </c>
      <c r="C274" t="s">
        <v>219</v>
      </c>
      <c r="D274" t="s">
        <v>1134</v>
      </c>
      <c r="E274" t="s">
        <v>1204</v>
      </c>
      <c r="F274" t="s">
        <v>1205</v>
      </c>
      <c r="G274">
        <v>2</v>
      </c>
      <c r="H274" t="s">
        <v>310</v>
      </c>
      <c r="I274">
        <v>15</v>
      </c>
      <c r="J274" s="40">
        <v>323.94</v>
      </c>
      <c r="N274"/>
      <c r="O274"/>
    </row>
    <row r="275" spans="1:15" x14ac:dyDescent="0.35">
      <c r="A275" s="5">
        <v>273</v>
      </c>
      <c r="B275" s="5" t="str">
        <f t="shared" si="13"/>
        <v>GA15</v>
      </c>
      <c r="C275" t="s">
        <v>219</v>
      </c>
      <c r="D275" t="s">
        <v>1134</v>
      </c>
      <c r="E275" t="s">
        <v>1215</v>
      </c>
      <c r="F275" t="s">
        <v>1047</v>
      </c>
      <c r="G275">
        <v>2</v>
      </c>
      <c r="H275" t="s">
        <v>310</v>
      </c>
      <c r="I275">
        <v>15</v>
      </c>
      <c r="J275" s="40">
        <v>342.13</v>
      </c>
      <c r="N275"/>
      <c r="O275"/>
    </row>
    <row r="276" spans="1:15" x14ac:dyDescent="0.35">
      <c r="A276" s="5">
        <v>274</v>
      </c>
      <c r="B276" s="5" t="str">
        <f t="shared" si="13"/>
        <v>GA15</v>
      </c>
      <c r="C276" t="s">
        <v>219</v>
      </c>
      <c r="D276" t="s">
        <v>1280</v>
      </c>
      <c r="E276" t="s">
        <v>1114</v>
      </c>
      <c r="F276" t="s">
        <v>1116</v>
      </c>
      <c r="G276">
        <v>2</v>
      </c>
      <c r="H276" t="s">
        <v>310</v>
      </c>
      <c r="I276">
        <v>15</v>
      </c>
      <c r="J276" s="40">
        <v>343.9</v>
      </c>
      <c r="N276"/>
      <c r="O276"/>
    </row>
    <row r="277" spans="1:15" x14ac:dyDescent="0.35">
      <c r="A277" s="5">
        <v>275</v>
      </c>
      <c r="B277" s="5" t="str">
        <f t="shared" si="13"/>
        <v>GA15</v>
      </c>
      <c r="C277" t="s">
        <v>219</v>
      </c>
      <c r="D277" t="s">
        <v>1239</v>
      </c>
      <c r="E277" t="s">
        <v>969</v>
      </c>
      <c r="F277" t="s">
        <v>970</v>
      </c>
      <c r="G277">
        <v>2</v>
      </c>
      <c r="H277" t="s">
        <v>310</v>
      </c>
      <c r="I277">
        <v>15</v>
      </c>
      <c r="J277" s="40">
        <v>354.32</v>
      </c>
      <c r="N277"/>
      <c r="O277"/>
    </row>
    <row r="278" spans="1:15" x14ac:dyDescent="0.35">
      <c r="A278" s="5">
        <v>276</v>
      </c>
      <c r="B278" s="5" t="str">
        <f t="shared" si="13"/>
        <v>GA15</v>
      </c>
      <c r="C278" t="s">
        <v>219</v>
      </c>
      <c r="D278" t="s">
        <v>1280</v>
      </c>
      <c r="E278" t="s">
        <v>1113</v>
      </c>
      <c r="F278" t="s">
        <v>1118</v>
      </c>
      <c r="G278">
        <v>2</v>
      </c>
      <c r="H278" t="s">
        <v>310</v>
      </c>
      <c r="I278">
        <v>15</v>
      </c>
      <c r="J278" s="40">
        <v>356.87</v>
      </c>
      <c r="N278"/>
      <c r="O278"/>
    </row>
    <row r="279" spans="1:15" x14ac:dyDescent="0.35">
      <c r="A279" s="5">
        <v>277</v>
      </c>
      <c r="B279" s="5" t="str">
        <f t="shared" si="13"/>
        <v>GA15</v>
      </c>
      <c r="C279" t="s">
        <v>219</v>
      </c>
      <c r="D279" t="s">
        <v>1280</v>
      </c>
      <c r="E279" t="s">
        <v>1115</v>
      </c>
      <c r="F279" t="s">
        <v>1128</v>
      </c>
      <c r="G279">
        <v>2</v>
      </c>
      <c r="H279" t="s">
        <v>310</v>
      </c>
      <c r="I279">
        <v>15</v>
      </c>
      <c r="J279" s="40">
        <v>356.87</v>
      </c>
      <c r="N279"/>
      <c r="O279"/>
    </row>
    <row r="280" spans="1:15" x14ac:dyDescent="0.35">
      <c r="A280" s="5">
        <v>278</v>
      </c>
      <c r="B280" s="5" t="str">
        <f t="shared" si="13"/>
        <v>GA15</v>
      </c>
      <c r="C280" t="s">
        <v>219</v>
      </c>
      <c r="D280" t="s">
        <v>1239</v>
      </c>
      <c r="E280" t="s">
        <v>963</v>
      </c>
      <c r="F280" t="s">
        <v>964</v>
      </c>
      <c r="G280">
        <v>2</v>
      </c>
      <c r="H280" t="s">
        <v>310</v>
      </c>
      <c r="I280">
        <v>15</v>
      </c>
      <c r="J280" s="40">
        <v>368.01</v>
      </c>
      <c r="N280"/>
      <c r="O280"/>
    </row>
    <row r="281" spans="1:15" x14ac:dyDescent="0.35">
      <c r="A281" s="5">
        <v>279</v>
      </c>
      <c r="B281" s="5" t="str">
        <f t="shared" si="13"/>
        <v>GA15</v>
      </c>
      <c r="C281" t="s">
        <v>219</v>
      </c>
      <c r="D281" t="s">
        <v>1239</v>
      </c>
      <c r="E281" t="s">
        <v>965</v>
      </c>
      <c r="F281" t="s">
        <v>966</v>
      </c>
      <c r="G281">
        <v>2</v>
      </c>
      <c r="H281" t="s">
        <v>310</v>
      </c>
      <c r="I281">
        <v>15</v>
      </c>
      <c r="J281" s="40">
        <v>369.15</v>
      </c>
      <c r="N281"/>
      <c r="O281"/>
    </row>
    <row r="282" spans="1:15" x14ac:dyDescent="0.35">
      <c r="A282" s="5">
        <v>280</v>
      </c>
      <c r="B282" s="5" t="str">
        <f t="shared" si="13"/>
        <v>GA15</v>
      </c>
      <c r="C282" t="s">
        <v>219</v>
      </c>
      <c r="D282" t="s">
        <v>1239</v>
      </c>
      <c r="E282" t="s">
        <v>961</v>
      </c>
      <c r="F282" t="s">
        <v>962</v>
      </c>
      <c r="G282">
        <v>2</v>
      </c>
      <c r="H282" t="s">
        <v>310</v>
      </c>
      <c r="I282">
        <v>15</v>
      </c>
      <c r="J282" s="40">
        <v>369.47</v>
      </c>
      <c r="N282"/>
      <c r="O282"/>
    </row>
    <row r="283" spans="1:15" x14ac:dyDescent="0.35">
      <c r="A283" s="5">
        <v>281</v>
      </c>
      <c r="B283" s="5" t="str">
        <f t="shared" si="13"/>
        <v>GA15</v>
      </c>
      <c r="C283" t="s">
        <v>219</v>
      </c>
      <c r="D283" t="s">
        <v>1239</v>
      </c>
      <c r="E283" t="s">
        <v>973</v>
      </c>
      <c r="F283" t="s">
        <v>1242</v>
      </c>
      <c r="G283">
        <v>2</v>
      </c>
      <c r="H283" t="s">
        <v>310</v>
      </c>
      <c r="I283">
        <v>15</v>
      </c>
      <c r="J283" s="40">
        <v>380.48</v>
      </c>
      <c r="N283"/>
      <c r="O283"/>
    </row>
    <row r="284" spans="1:15" x14ac:dyDescent="0.35">
      <c r="A284" s="5">
        <v>282</v>
      </c>
      <c r="B284" s="5" t="str">
        <f t="shared" si="13"/>
        <v>GA15</v>
      </c>
      <c r="C284" t="s">
        <v>219</v>
      </c>
      <c r="D284" t="s">
        <v>1239</v>
      </c>
      <c r="E284" t="s">
        <v>967</v>
      </c>
      <c r="F284" t="s">
        <v>968</v>
      </c>
      <c r="G284">
        <v>2</v>
      </c>
      <c r="H284" t="s">
        <v>310</v>
      </c>
      <c r="I284">
        <v>15</v>
      </c>
      <c r="J284" s="40">
        <v>398.88</v>
      </c>
      <c r="N284"/>
      <c r="O284"/>
    </row>
    <row r="285" spans="1:15" x14ac:dyDescent="0.35">
      <c r="A285" s="5">
        <v>283</v>
      </c>
      <c r="B285" s="5" t="str">
        <f t="shared" si="13"/>
        <v>GA16</v>
      </c>
      <c r="C285" t="s">
        <v>219</v>
      </c>
      <c r="D285" t="s">
        <v>1239</v>
      </c>
      <c r="E285" t="s">
        <v>969</v>
      </c>
      <c r="F285" t="s">
        <v>970</v>
      </c>
      <c r="G285">
        <v>2</v>
      </c>
      <c r="H285" t="s">
        <v>310</v>
      </c>
      <c r="I285">
        <v>16</v>
      </c>
      <c r="J285" s="40">
        <v>261.77</v>
      </c>
      <c r="N285"/>
      <c r="O285"/>
    </row>
    <row r="286" spans="1:15" x14ac:dyDescent="0.35">
      <c r="A286" s="5">
        <v>284</v>
      </c>
      <c r="B286" s="5" t="str">
        <f t="shared" si="13"/>
        <v>GA16</v>
      </c>
      <c r="C286" t="s">
        <v>219</v>
      </c>
      <c r="D286" t="s">
        <v>1239</v>
      </c>
      <c r="E286" t="s">
        <v>963</v>
      </c>
      <c r="F286" t="s">
        <v>964</v>
      </c>
      <c r="G286">
        <v>2</v>
      </c>
      <c r="H286" t="s">
        <v>310</v>
      </c>
      <c r="I286">
        <v>16</v>
      </c>
      <c r="J286" s="40">
        <v>271.88</v>
      </c>
      <c r="N286"/>
      <c r="O286"/>
    </row>
    <row r="287" spans="1:15" x14ac:dyDescent="0.35">
      <c r="A287" s="5">
        <v>285</v>
      </c>
      <c r="B287" s="5" t="str">
        <f t="shared" si="13"/>
        <v>GA16</v>
      </c>
      <c r="C287" t="s">
        <v>219</v>
      </c>
      <c r="D287" t="s">
        <v>1239</v>
      </c>
      <c r="E287" t="s">
        <v>965</v>
      </c>
      <c r="F287" t="s">
        <v>966</v>
      </c>
      <c r="G287">
        <v>2</v>
      </c>
      <c r="H287" t="s">
        <v>310</v>
      </c>
      <c r="I287">
        <v>16</v>
      </c>
      <c r="J287" s="40">
        <v>272.72000000000003</v>
      </c>
      <c r="N287"/>
      <c r="O287"/>
    </row>
    <row r="288" spans="1:15" x14ac:dyDescent="0.35">
      <c r="A288" s="5">
        <v>286</v>
      </c>
      <c r="B288" s="5" t="str">
        <f t="shared" si="13"/>
        <v>GA16</v>
      </c>
      <c r="C288" t="s">
        <v>219</v>
      </c>
      <c r="D288" t="s">
        <v>1280</v>
      </c>
      <c r="E288" t="s">
        <v>1114</v>
      </c>
      <c r="F288" t="s">
        <v>1116</v>
      </c>
      <c r="G288">
        <v>2</v>
      </c>
      <c r="H288" t="s">
        <v>310</v>
      </c>
      <c r="I288">
        <v>16</v>
      </c>
      <c r="J288" s="40">
        <v>272.72000000000003</v>
      </c>
      <c r="N288"/>
      <c r="O288"/>
    </row>
    <row r="289" spans="1:15" x14ac:dyDescent="0.35">
      <c r="A289" s="5">
        <v>287</v>
      </c>
      <c r="B289" s="5" t="str">
        <f t="shared" si="13"/>
        <v>GA16</v>
      </c>
      <c r="C289" t="s">
        <v>219</v>
      </c>
      <c r="D289" t="s">
        <v>1239</v>
      </c>
      <c r="E289" t="s">
        <v>961</v>
      </c>
      <c r="F289" t="s">
        <v>962</v>
      </c>
      <c r="G289">
        <v>2</v>
      </c>
      <c r="H289" t="s">
        <v>310</v>
      </c>
      <c r="I289">
        <v>16</v>
      </c>
      <c r="J289" s="40">
        <v>272.95999999999998</v>
      </c>
      <c r="N289"/>
      <c r="O289"/>
    </row>
    <row r="290" spans="1:15" x14ac:dyDescent="0.35">
      <c r="A290" s="5">
        <v>288</v>
      </c>
      <c r="B290" s="5" t="str">
        <f t="shared" si="13"/>
        <v>GA16</v>
      </c>
      <c r="C290" t="s">
        <v>219</v>
      </c>
      <c r="D290" t="s">
        <v>1239</v>
      </c>
      <c r="E290" t="s">
        <v>973</v>
      </c>
      <c r="F290" t="s">
        <v>1242</v>
      </c>
      <c r="G290">
        <v>2</v>
      </c>
      <c r="H290" t="s">
        <v>310</v>
      </c>
      <c r="I290">
        <v>16</v>
      </c>
      <c r="J290" s="40">
        <v>281.08999999999997</v>
      </c>
      <c r="N290"/>
      <c r="O290"/>
    </row>
    <row r="291" spans="1:15" x14ac:dyDescent="0.35">
      <c r="A291" s="5">
        <v>289</v>
      </c>
      <c r="B291" s="5" t="str">
        <f t="shared" si="13"/>
        <v>GA16</v>
      </c>
      <c r="C291" t="s">
        <v>219</v>
      </c>
      <c r="D291" t="s">
        <v>1280</v>
      </c>
      <c r="E291" t="s">
        <v>1113</v>
      </c>
      <c r="F291" t="s">
        <v>1118</v>
      </c>
      <c r="G291">
        <v>2</v>
      </c>
      <c r="H291" t="s">
        <v>310</v>
      </c>
      <c r="I291">
        <v>16</v>
      </c>
      <c r="J291" s="40">
        <v>283.01</v>
      </c>
      <c r="N291"/>
      <c r="O291"/>
    </row>
    <row r="292" spans="1:15" x14ac:dyDescent="0.35">
      <c r="A292" s="5">
        <v>290</v>
      </c>
      <c r="B292" s="5" t="str">
        <f t="shared" si="13"/>
        <v>GA16</v>
      </c>
      <c r="C292" t="s">
        <v>219</v>
      </c>
      <c r="D292" t="s">
        <v>1280</v>
      </c>
      <c r="E292" t="s">
        <v>1115</v>
      </c>
      <c r="F292" t="s">
        <v>1128</v>
      </c>
      <c r="G292">
        <v>2</v>
      </c>
      <c r="H292" t="s">
        <v>310</v>
      </c>
      <c r="I292">
        <v>16</v>
      </c>
      <c r="J292" s="40">
        <v>283.01</v>
      </c>
      <c r="N292"/>
      <c r="O292"/>
    </row>
    <row r="293" spans="1:15" x14ac:dyDescent="0.35">
      <c r="A293" s="5">
        <v>291</v>
      </c>
      <c r="B293" s="5" t="str">
        <f t="shared" si="13"/>
        <v>GA16</v>
      </c>
      <c r="C293" t="s">
        <v>219</v>
      </c>
      <c r="D293" t="s">
        <v>1239</v>
      </c>
      <c r="E293" t="s">
        <v>967</v>
      </c>
      <c r="F293" t="s">
        <v>968</v>
      </c>
      <c r="G293">
        <v>2</v>
      </c>
      <c r="H293" t="s">
        <v>310</v>
      </c>
      <c r="I293">
        <v>16</v>
      </c>
      <c r="J293" s="40">
        <v>294.69</v>
      </c>
      <c r="N293"/>
      <c r="O293"/>
    </row>
    <row r="294" spans="1:15" x14ac:dyDescent="0.35">
      <c r="A294" s="5">
        <v>292</v>
      </c>
      <c r="B294" s="5" t="str">
        <f t="shared" si="13"/>
        <v>GA16</v>
      </c>
      <c r="C294" t="s">
        <v>219</v>
      </c>
      <c r="D294" t="s">
        <v>294</v>
      </c>
      <c r="E294" t="s">
        <v>295</v>
      </c>
      <c r="F294" t="s">
        <v>1273</v>
      </c>
      <c r="G294">
        <v>3</v>
      </c>
      <c r="H294" t="s">
        <v>310</v>
      </c>
      <c r="I294">
        <v>16</v>
      </c>
      <c r="J294" s="40">
        <v>303.63</v>
      </c>
      <c r="N294"/>
      <c r="O294"/>
    </row>
    <row r="295" spans="1:15" x14ac:dyDescent="0.35">
      <c r="A295" s="5">
        <v>293</v>
      </c>
      <c r="B295" s="5" t="str">
        <f t="shared" si="13"/>
        <v/>
      </c>
      <c r="C295"/>
      <c r="D295"/>
      <c r="E295"/>
      <c r="F295"/>
      <c r="G295"/>
      <c r="H295"/>
      <c r="I295"/>
      <c r="J295" s="37"/>
      <c r="N295"/>
      <c r="O295"/>
    </row>
    <row r="296" spans="1:15" x14ac:dyDescent="0.35">
      <c r="A296" s="5">
        <v>294</v>
      </c>
      <c r="B296" s="5" t="str">
        <f t="shared" si="13"/>
        <v/>
      </c>
      <c r="C296"/>
      <c r="D296"/>
      <c r="E296"/>
      <c r="F296"/>
      <c r="G296"/>
      <c r="H296"/>
      <c r="I296"/>
      <c r="J296" s="37"/>
      <c r="N296"/>
      <c r="O296"/>
    </row>
    <row r="297" spans="1:15" x14ac:dyDescent="0.35">
      <c r="A297" s="5">
        <v>295</v>
      </c>
      <c r="B297" s="5" t="str">
        <f t="shared" si="13"/>
        <v/>
      </c>
      <c r="C297"/>
      <c r="D297"/>
      <c r="E297"/>
      <c r="F297"/>
      <c r="G297"/>
      <c r="H297"/>
      <c r="I297"/>
      <c r="J297" s="37"/>
      <c r="N297"/>
      <c r="O297"/>
    </row>
    <row r="298" spans="1:15" x14ac:dyDescent="0.35">
      <c r="A298" s="5">
        <v>296</v>
      </c>
      <c r="B298" s="5" t="str">
        <f t="shared" si="13"/>
        <v/>
      </c>
      <c r="C298"/>
      <c r="D298"/>
      <c r="E298"/>
      <c r="F298"/>
      <c r="G298"/>
      <c r="H298"/>
      <c r="I298"/>
      <c r="J298" s="37"/>
      <c r="N298"/>
      <c r="O298"/>
    </row>
    <row r="299" spans="1:15" x14ac:dyDescent="0.35">
      <c r="A299" s="5">
        <v>297</v>
      </c>
      <c r="B299" s="5" t="str">
        <f t="shared" si="13"/>
        <v/>
      </c>
      <c r="C299"/>
      <c r="D299"/>
      <c r="E299"/>
      <c r="F299"/>
      <c r="G299"/>
      <c r="H299"/>
      <c r="I299"/>
      <c r="J299" s="37"/>
      <c r="N299"/>
      <c r="O299"/>
    </row>
    <row r="300" spans="1:15" x14ac:dyDescent="0.35">
      <c r="A300" s="5">
        <v>298</v>
      </c>
      <c r="B300" s="5" t="str">
        <f t="shared" si="13"/>
        <v/>
      </c>
      <c r="C300"/>
      <c r="D300"/>
      <c r="E300"/>
      <c r="F300"/>
      <c r="G300"/>
      <c r="H300"/>
      <c r="I300"/>
      <c r="J300" s="37"/>
      <c r="N300"/>
      <c r="O300"/>
    </row>
    <row r="301" spans="1:15" x14ac:dyDescent="0.35">
      <c r="A301" s="5">
        <v>299</v>
      </c>
      <c r="B301" s="5" t="str">
        <f t="shared" si="13"/>
        <v/>
      </c>
      <c r="C301"/>
      <c r="D301"/>
      <c r="E301"/>
      <c r="F301"/>
      <c r="G301"/>
      <c r="H301"/>
      <c r="I301"/>
      <c r="J301" s="37"/>
      <c r="N301"/>
      <c r="O301"/>
    </row>
    <row r="302" spans="1:15" x14ac:dyDescent="0.35">
      <c r="A302" s="5">
        <v>300</v>
      </c>
      <c r="B302" s="5" t="str">
        <f t="shared" si="13"/>
        <v/>
      </c>
      <c r="C302"/>
      <c r="D302"/>
      <c r="E302"/>
      <c r="F302"/>
      <c r="G302"/>
      <c r="H302"/>
      <c r="I302"/>
      <c r="J302" s="37"/>
      <c r="N302"/>
      <c r="O302"/>
    </row>
    <row r="303" spans="1:15" x14ac:dyDescent="0.35">
      <c r="A303" s="5">
        <v>301</v>
      </c>
      <c r="B303" s="5" t="str">
        <f t="shared" si="13"/>
        <v/>
      </c>
      <c r="C303"/>
      <c r="D303"/>
      <c r="E303"/>
      <c r="F303"/>
      <c r="G303"/>
      <c r="H303"/>
      <c r="I303"/>
      <c r="J303" s="37"/>
      <c r="N303"/>
      <c r="O303"/>
    </row>
    <row r="304" spans="1:15" x14ac:dyDescent="0.35">
      <c r="A304" s="5">
        <v>302</v>
      </c>
      <c r="B304" s="5" t="str">
        <f t="shared" si="13"/>
        <v/>
      </c>
      <c r="C304"/>
      <c r="D304"/>
      <c r="E304"/>
      <c r="F304"/>
      <c r="G304"/>
      <c r="H304"/>
      <c r="I304"/>
      <c r="J304" s="37"/>
      <c r="N304"/>
      <c r="O304"/>
    </row>
    <row r="305" spans="1:15" x14ac:dyDescent="0.35">
      <c r="A305" s="5">
        <v>303</v>
      </c>
      <c r="B305" s="5" t="str">
        <f t="shared" si="13"/>
        <v/>
      </c>
      <c r="C305"/>
      <c r="D305"/>
      <c r="E305"/>
      <c r="F305"/>
      <c r="G305"/>
      <c r="H305"/>
      <c r="I305"/>
      <c r="J305" s="37"/>
      <c r="N305"/>
      <c r="O305"/>
    </row>
    <row r="306" spans="1:15" x14ac:dyDescent="0.35">
      <c r="A306" s="5">
        <v>304</v>
      </c>
      <c r="B306" s="5" t="str">
        <f t="shared" si="13"/>
        <v/>
      </c>
      <c r="C306"/>
      <c r="D306"/>
      <c r="E306"/>
      <c r="F306"/>
      <c r="G306"/>
      <c r="H306"/>
      <c r="I306"/>
      <c r="J306" s="37"/>
      <c r="N306"/>
      <c r="O306"/>
    </row>
    <row r="307" spans="1:15" x14ac:dyDescent="0.35">
      <c r="A307" s="5">
        <v>305</v>
      </c>
      <c r="B307" s="5" t="str">
        <f t="shared" si="13"/>
        <v/>
      </c>
      <c r="C307"/>
      <c r="D307"/>
      <c r="E307"/>
      <c r="F307"/>
      <c r="G307"/>
      <c r="H307"/>
      <c r="I307"/>
      <c r="J307" s="37"/>
      <c r="N307"/>
      <c r="O307"/>
    </row>
    <row r="308" spans="1:15" x14ac:dyDescent="0.35">
      <c r="A308" s="5">
        <v>306</v>
      </c>
      <c r="B308" s="5" t="str">
        <f t="shared" si="13"/>
        <v/>
      </c>
      <c r="C308"/>
      <c r="D308"/>
      <c r="E308"/>
      <c r="F308"/>
      <c r="G308"/>
      <c r="H308"/>
      <c r="I308"/>
      <c r="J308" s="37"/>
      <c r="N308"/>
      <c r="O308"/>
    </row>
    <row r="309" spans="1:15" x14ac:dyDescent="0.35">
      <c r="A309" s="5">
        <v>307</v>
      </c>
      <c r="B309" s="5" t="str">
        <f t="shared" si="13"/>
        <v/>
      </c>
      <c r="C309"/>
      <c r="D309"/>
      <c r="E309"/>
      <c r="F309"/>
      <c r="G309"/>
      <c r="H309"/>
      <c r="I309"/>
      <c r="J309" s="37"/>
      <c r="N309"/>
      <c r="O309"/>
    </row>
    <row r="310" spans="1:15" x14ac:dyDescent="0.35">
      <c r="A310" s="5">
        <v>308</v>
      </c>
      <c r="B310" s="5" t="str">
        <f t="shared" si="13"/>
        <v/>
      </c>
      <c r="C310"/>
      <c r="D310"/>
      <c r="E310"/>
      <c r="F310"/>
      <c r="G310"/>
      <c r="H310"/>
      <c r="I310"/>
      <c r="J310" s="37"/>
      <c r="N310"/>
      <c r="O310"/>
    </row>
    <row r="311" spans="1:15" x14ac:dyDescent="0.35">
      <c r="A311" s="5">
        <v>309</v>
      </c>
      <c r="B311" s="5" t="str">
        <f t="shared" si="13"/>
        <v/>
      </c>
      <c r="C311"/>
      <c r="D311"/>
      <c r="E311"/>
      <c r="F311"/>
      <c r="G311"/>
      <c r="H311"/>
      <c r="I311"/>
      <c r="J311" s="37"/>
      <c r="N311"/>
      <c r="O311"/>
    </row>
    <row r="312" spans="1:15" x14ac:dyDescent="0.35">
      <c r="A312" s="5">
        <v>310</v>
      </c>
      <c r="B312" s="5" t="str">
        <f t="shared" si="13"/>
        <v/>
      </c>
      <c r="C312"/>
      <c r="D312"/>
      <c r="E312"/>
      <c r="F312"/>
      <c r="G312"/>
      <c r="H312"/>
      <c r="I312"/>
      <c r="J312" s="37"/>
      <c r="N312"/>
      <c r="O312"/>
    </row>
    <row r="313" spans="1:15" x14ac:dyDescent="0.35">
      <c r="A313" s="5">
        <v>311</v>
      </c>
      <c r="B313" s="5" t="str">
        <f t="shared" si="13"/>
        <v/>
      </c>
      <c r="C313"/>
      <c r="D313"/>
      <c r="E313"/>
      <c r="F313"/>
      <c r="G313"/>
      <c r="H313"/>
      <c r="I313"/>
      <c r="J313" s="37"/>
      <c r="N313"/>
      <c r="O313"/>
    </row>
    <row r="314" spans="1:15" x14ac:dyDescent="0.35">
      <c r="A314" s="5">
        <v>312</v>
      </c>
      <c r="B314" s="5" t="str">
        <f t="shared" si="13"/>
        <v/>
      </c>
      <c r="C314"/>
      <c r="D314"/>
      <c r="E314"/>
      <c r="F314"/>
      <c r="G314"/>
      <c r="H314"/>
      <c r="I314"/>
      <c r="J314" s="37"/>
      <c r="N314"/>
      <c r="O314"/>
    </row>
    <row r="315" spans="1:15" x14ac:dyDescent="0.35">
      <c r="A315" s="5">
        <v>313</v>
      </c>
      <c r="B315" s="5" t="str">
        <f t="shared" si="13"/>
        <v/>
      </c>
      <c r="C315"/>
      <c r="D315"/>
      <c r="E315"/>
      <c r="F315"/>
      <c r="G315"/>
      <c r="H315"/>
      <c r="I315"/>
      <c r="J315" s="37"/>
      <c r="N315"/>
      <c r="O315"/>
    </row>
    <row r="316" spans="1:15" x14ac:dyDescent="0.35">
      <c r="A316" s="5">
        <v>314</v>
      </c>
      <c r="B316" s="5" t="str">
        <f t="shared" si="13"/>
        <v/>
      </c>
      <c r="C316"/>
      <c r="D316"/>
      <c r="E316"/>
      <c r="F316"/>
      <c r="G316"/>
      <c r="H316"/>
      <c r="I316"/>
      <c r="J316" s="37"/>
      <c r="N316"/>
      <c r="O316"/>
    </row>
    <row r="317" spans="1:15" x14ac:dyDescent="0.35">
      <c r="A317" s="5">
        <v>315</v>
      </c>
      <c r="B317" s="5" t="str">
        <f t="shared" si="13"/>
        <v/>
      </c>
      <c r="C317"/>
      <c r="D317"/>
      <c r="E317"/>
      <c r="F317"/>
      <c r="G317"/>
      <c r="H317"/>
      <c r="I317"/>
      <c r="J317" s="37"/>
      <c r="N317"/>
      <c r="O317"/>
    </row>
    <row r="318" spans="1:15" x14ac:dyDescent="0.35">
      <c r="A318" s="5">
        <v>316</v>
      </c>
      <c r="B318" s="5" t="str">
        <f t="shared" si="13"/>
        <v/>
      </c>
      <c r="C318"/>
      <c r="D318"/>
      <c r="E318"/>
      <c r="F318"/>
      <c r="G318"/>
      <c r="H318"/>
      <c r="I318"/>
      <c r="J318" s="37"/>
      <c r="N318"/>
      <c r="O318"/>
    </row>
    <row r="319" spans="1:15" x14ac:dyDescent="0.35">
      <c r="A319" s="5">
        <v>317</v>
      </c>
      <c r="B319" s="5" t="str">
        <f t="shared" si="13"/>
        <v/>
      </c>
      <c r="C319"/>
      <c r="D319"/>
      <c r="E319"/>
      <c r="F319"/>
      <c r="G319"/>
      <c r="H319"/>
      <c r="I319"/>
      <c r="J319" s="37"/>
      <c r="N319"/>
      <c r="O319"/>
    </row>
    <row r="320" spans="1:15" x14ac:dyDescent="0.35">
      <c r="A320" s="5">
        <v>318</v>
      </c>
      <c r="B320" s="5" t="str">
        <f t="shared" si="13"/>
        <v/>
      </c>
      <c r="C320"/>
      <c r="D320"/>
      <c r="E320"/>
      <c r="F320"/>
      <c r="G320"/>
      <c r="H320"/>
      <c r="I320"/>
      <c r="J320" s="37"/>
      <c r="N320"/>
      <c r="O320"/>
    </row>
    <row r="321" spans="1:15" x14ac:dyDescent="0.35">
      <c r="A321" s="5">
        <v>319</v>
      </c>
      <c r="B321" s="5" t="str">
        <f t="shared" si="13"/>
        <v/>
      </c>
      <c r="C321"/>
      <c r="D321"/>
      <c r="E321"/>
      <c r="F321"/>
      <c r="G321"/>
      <c r="H321"/>
      <c r="I321"/>
      <c r="J321" s="37"/>
      <c r="N321"/>
      <c r="O321"/>
    </row>
    <row r="322" spans="1:15" x14ac:dyDescent="0.35">
      <c r="A322" s="5">
        <v>320</v>
      </c>
      <c r="B322" s="5" t="str">
        <f t="shared" si="13"/>
        <v/>
      </c>
      <c r="C322"/>
      <c r="D322"/>
      <c r="E322"/>
      <c r="F322"/>
      <c r="G322"/>
      <c r="H322"/>
      <c r="I322"/>
      <c r="J322" s="37"/>
      <c r="N322"/>
      <c r="O322"/>
    </row>
    <row r="323" spans="1:15" x14ac:dyDescent="0.35">
      <c r="A323" s="5">
        <v>321</v>
      </c>
      <c r="B323" s="5" t="str">
        <f t="shared" ref="B323:B343" si="14">CONCATENATE(C323,I323)</f>
        <v/>
      </c>
      <c r="C323"/>
      <c r="D323"/>
      <c r="E323"/>
      <c r="F323"/>
      <c r="G323"/>
      <c r="H323"/>
      <c r="I323"/>
      <c r="J323" s="37"/>
      <c r="N323"/>
      <c r="O323"/>
    </row>
    <row r="324" spans="1:15" x14ac:dyDescent="0.35">
      <c r="A324" s="5">
        <v>322</v>
      </c>
      <c r="B324" s="5" t="str">
        <f t="shared" si="14"/>
        <v/>
      </c>
      <c r="C324"/>
      <c r="D324"/>
      <c r="E324"/>
      <c r="F324"/>
      <c r="G324"/>
      <c r="H324"/>
      <c r="I324"/>
      <c r="J324" s="37"/>
      <c r="N324"/>
      <c r="O324"/>
    </row>
    <row r="325" spans="1:15" x14ac:dyDescent="0.35">
      <c r="A325" s="5">
        <v>323</v>
      </c>
      <c r="B325" s="5" t="str">
        <f t="shared" si="14"/>
        <v/>
      </c>
      <c r="C325"/>
      <c r="D325"/>
      <c r="E325"/>
      <c r="F325"/>
      <c r="G325"/>
      <c r="H325"/>
      <c r="I325"/>
      <c r="J325" s="37"/>
      <c r="N325"/>
      <c r="O325"/>
    </row>
    <row r="326" spans="1:15" x14ac:dyDescent="0.35">
      <c r="A326" s="5">
        <v>324</v>
      </c>
      <c r="B326" s="5" t="str">
        <f t="shared" si="14"/>
        <v/>
      </c>
      <c r="C326"/>
      <c r="D326"/>
      <c r="E326"/>
      <c r="F326"/>
      <c r="G326"/>
      <c r="H326"/>
      <c r="I326"/>
      <c r="J326" s="37"/>
      <c r="N326"/>
      <c r="O326"/>
    </row>
    <row r="327" spans="1:15" x14ac:dyDescent="0.35">
      <c r="A327" s="5">
        <v>325</v>
      </c>
      <c r="B327" s="5" t="str">
        <f t="shared" si="14"/>
        <v/>
      </c>
      <c r="C327"/>
      <c r="D327"/>
      <c r="E327"/>
      <c r="F327"/>
      <c r="G327"/>
      <c r="H327"/>
      <c r="I327"/>
      <c r="J327" s="37"/>
      <c r="N327"/>
      <c r="O327"/>
    </row>
    <row r="328" spans="1:15" x14ac:dyDescent="0.35">
      <c r="A328" s="5">
        <v>326</v>
      </c>
      <c r="B328" s="5" t="str">
        <f t="shared" si="14"/>
        <v/>
      </c>
      <c r="C328"/>
      <c r="D328"/>
      <c r="E328"/>
      <c r="F328"/>
      <c r="G328"/>
      <c r="H328"/>
      <c r="I328"/>
      <c r="J328" s="37"/>
      <c r="N328"/>
      <c r="O328"/>
    </row>
    <row r="329" spans="1:15" x14ac:dyDescent="0.35">
      <c r="A329" s="5">
        <v>327</v>
      </c>
      <c r="B329" s="5" t="str">
        <f t="shared" si="14"/>
        <v/>
      </c>
      <c r="C329"/>
      <c r="D329"/>
      <c r="E329"/>
      <c r="F329"/>
      <c r="G329"/>
      <c r="H329"/>
      <c r="I329"/>
      <c r="J329" s="37"/>
      <c r="N329"/>
      <c r="O329"/>
    </row>
    <row r="330" spans="1:15" x14ac:dyDescent="0.35">
      <c r="A330" s="5">
        <v>328</v>
      </c>
      <c r="B330" s="5" t="str">
        <f t="shared" si="14"/>
        <v/>
      </c>
      <c r="C330"/>
      <c r="D330"/>
      <c r="E330"/>
      <c r="F330"/>
      <c r="G330"/>
      <c r="H330"/>
      <c r="I330"/>
      <c r="J330" s="37"/>
      <c r="N330"/>
      <c r="O330"/>
    </row>
    <row r="331" spans="1:15" x14ac:dyDescent="0.35">
      <c r="A331" s="5">
        <v>329</v>
      </c>
      <c r="B331" s="5" t="str">
        <f t="shared" si="14"/>
        <v/>
      </c>
      <c r="C331"/>
      <c r="D331"/>
      <c r="E331"/>
      <c r="F331"/>
      <c r="G331"/>
      <c r="H331"/>
      <c r="I331"/>
      <c r="J331" s="37"/>
      <c r="N331"/>
      <c r="O331"/>
    </row>
    <row r="332" spans="1:15" x14ac:dyDescent="0.35">
      <c r="A332" s="5">
        <v>330</v>
      </c>
      <c r="B332" s="5" t="str">
        <f t="shared" si="14"/>
        <v/>
      </c>
      <c r="C332"/>
      <c r="D332"/>
      <c r="E332"/>
      <c r="F332"/>
      <c r="G332"/>
      <c r="H332"/>
      <c r="I332"/>
      <c r="J332" s="37"/>
      <c r="N332"/>
      <c r="O332"/>
    </row>
    <row r="333" spans="1:15" x14ac:dyDescent="0.35">
      <c r="A333" s="5">
        <v>331</v>
      </c>
      <c r="B333" s="5" t="str">
        <f t="shared" si="14"/>
        <v/>
      </c>
      <c r="C333"/>
      <c r="D333"/>
      <c r="E333"/>
      <c r="F333"/>
      <c r="G333"/>
      <c r="H333"/>
      <c r="I333"/>
      <c r="J333" s="37"/>
      <c r="N333"/>
      <c r="O333"/>
    </row>
    <row r="334" spans="1:15" x14ac:dyDescent="0.35">
      <c r="A334" s="5">
        <v>332</v>
      </c>
      <c r="B334" s="5" t="str">
        <f t="shared" si="14"/>
        <v/>
      </c>
      <c r="C334"/>
      <c r="D334"/>
      <c r="E334"/>
      <c r="F334"/>
      <c r="G334"/>
      <c r="H334"/>
      <c r="I334"/>
      <c r="J334" s="37"/>
      <c r="N334"/>
      <c r="O334"/>
    </row>
    <row r="335" spans="1:15" x14ac:dyDescent="0.35">
      <c r="A335" s="5">
        <v>333</v>
      </c>
      <c r="B335" s="5" t="str">
        <f t="shared" si="14"/>
        <v/>
      </c>
      <c r="C335"/>
      <c r="D335"/>
      <c r="E335"/>
      <c r="F335"/>
      <c r="G335"/>
      <c r="H335"/>
      <c r="I335"/>
      <c r="J335" s="37"/>
      <c r="N335"/>
      <c r="O335"/>
    </row>
    <row r="336" spans="1:15" x14ac:dyDescent="0.35">
      <c r="A336" s="5">
        <v>334</v>
      </c>
      <c r="B336" s="5" t="str">
        <f t="shared" si="14"/>
        <v/>
      </c>
      <c r="C336"/>
      <c r="D336"/>
      <c r="E336"/>
      <c r="F336"/>
      <c r="G336"/>
      <c r="H336"/>
      <c r="I336"/>
      <c r="J336" s="37"/>
      <c r="N336"/>
      <c r="O336"/>
    </row>
    <row r="337" spans="1:15" x14ac:dyDescent="0.35">
      <c r="A337" s="5">
        <v>335</v>
      </c>
      <c r="B337" s="5" t="str">
        <f t="shared" si="14"/>
        <v/>
      </c>
      <c r="C337"/>
      <c r="D337"/>
      <c r="E337"/>
      <c r="F337"/>
      <c r="G337"/>
      <c r="H337"/>
      <c r="I337"/>
      <c r="J337" s="37"/>
      <c r="N337"/>
      <c r="O337"/>
    </row>
    <row r="338" spans="1:15" x14ac:dyDescent="0.35">
      <c r="A338" s="5">
        <v>336</v>
      </c>
      <c r="B338" s="5" t="str">
        <f t="shared" si="14"/>
        <v/>
      </c>
      <c r="C338"/>
      <c r="D338"/>
      <c r="E338"/>
      <c r="F338"/>
      <c r="G338"/>
      <c r="H338"/>
      <c r="I338"/>
      <c r="J338" s="37"/>
      <c r="N338"/>
      <c r="O338"/>
    </row>
    <row r="339" spans="1:15" x14ac:dyDescent="0.35">
      <c r="A339" s="5">
        <v>337</v>
      </c>
      <c r="B339" s="5" t="str">
        <f t="shared" si="14"/>
        <v/>
      </c>
      <c r="C339"/>
      <c r="D339"/>
      <c r="E339"/>
      <c r="F339"/>
      <c r="G339"/>
      <c r="H339"/>
      <c r="I339"/>
      <c r="J339" s="37"/>
      <c r="N339"/>
      <c r="O339"/>
    </row>
    <row r="340" spans="1:15" x14ac:dyDescent="0.35">
      <c r="A340" s="5">
        <v>338</v>
      </c>
      <c r="B340" s="5" t="str">
        <f t="shared" si="14"/>
        <v/>
      </c>
      <c r="C340"/>
      <c r="D340"/>
      <c r="E340"/>
      <c r="F340"/>
      <c r="G340"/>
      <c r="H340"/>
      <c r="I340"/>
      <c r="J340" s="37"/>
      <c r="N340"/>
      <c r="O340"/>
    </row>
    <row r="341" spans="1:15" x14ac:dyDescent="0.35">
      <c r="A341" s="5">
        <v>339</v>
      </c>
      <c r="B341" s="5" t="str">
        <f t="shared" si="14"/>
        <v/>
      </c>
      <c r="C341"/>
      <c r="D341"/>
      <c r="E341"/>
      <c r="F341"/>
      <c r="G341"/>
      <c r="H341"/>
      <c r="I341"/>
      <c r="J341" s="37"/>
      <c r="N341"/>
      <c r="O341"/>
    </row>
    <row r="342" spans="1:15" x14ac:dyDescent="0.35">
      <c r="A342" s="5">
        <v>340</v>
      </c>
      <c r="B342" s="5" t="str">
        <f t="shared" si="14"/>
        <v/>
      </c>
      <c r="C342"/>
      <c r="D342"/>
      <c r="E342"/>
      <c r="F342"/>
      <c r="G342"/>
      <c r="H342"/>
      <c r="I342"/>
      <c r="J342" s="37"/>
      <c r="N342"/>
      <c r="O342"/>
    </row>
    <row r="343" spans="1:15" x14ac:dyDescent="0.35">
      <c r="A343" s="5">
        <v>341</v>
      </c>
      <c r="B343" s="5" t="str">
        <f t="shared" si="14"/>
        <v/>
      </c>
      <c r="C343"/>
      <c r="D343"/>
      <c r="E343"/>
      <c r="F343"/>
      <c r="G343"/>
      <c r="H343"/>
      <c r="I343"/>
      <c r="J343" s="37"/>
      <c r="N343"/>
      <c r="O343"/>
    </row>
    <row r="344" spans="1:15" x14ac:dyDescent="0.35">
      <c r="N344"/>
      <c r="O344"/>
    </row>
    <row r="345" spans="1:15" x14ac:dyDescent="0.35">
      <c r="N345"/>
      <c r="O345"/>
    </row>
    <row r="346" spans="1:15" x14ac:dyDescent="0.35">
      <c r="N346"/>
      <c r="O346"/>
    </row>
    <row r="347" spans="1:15" x14ac:dyDescent="0.35">
      <c r="N347"/>
      <c r="O347"/>
    </row>
    <row r="348" spans="1:15" x14ac:dyDescent="0.35">
      <c r="N348"/>
      <c r="O348"/>
    </row>
    <row r="349" spans="1:15" x14ac:dyDescent="0.35">
      <c r="N349"/>
      <c r="O349"/>
    </row>
    <row r="350" spans="1:15" x14ac:dyDescent="0.35">
      <c r="N350"/>
      <c r="O350"/>
    </row>
    <row r="351" spans="1:15" x14ac:dyDescent="0.35">
      <c r="N351"/>
      <c r="O351"/>
    </row>
    <row r="352" spans="1:15" x14ac:dyDescent="0.35">
      <c r="N352"/>
      <c r="O352"/>
    </row>
    <row r="353" spans="14:15" x14ac:dyDescent="0.35">
      <c r="N353"/>
      <c r="O353"/>
    </row>
    <row r="354" spans="14:15" x14ac:dyDescent="0.35">
      <c r="N354"/>
      <c r="O354"/>
    </row>
    <row r="355" spans="14:15" x14ac:dyDescent="0.35">
      <c r="N355"/>
      <c r="O355"/>
    </row>
    <row r="356" spans="14:15" x14ac:dyDescent="0.35">
      <c r="N356"/>
      <c r="O356"/>
    </row>
    <row r="357" spans="14:15" x14ac:dyDescent="0.35">
      <c r="N357"/>
      <c r="O357"/>
    </row>
    <row r="358" spans="14:15" x14ac:dyDescent="0.35">
      <c r="N358"/>
      <c r="O358"/>
    </row>
    <row r="359" spans="14:15" x14ac:dyDescent="0.35">
      <c r="N359"/>
      <c r="O359"/>
    </row>
    <row r="360" spans="14:15" x14ac:dyDescent="0.35">
      <c r="N360"/>
      <c r="O360"/>
    </row>
    <row r="361" spans="14:15" x14ac:dyDescent="0.35">
      <c r="N361"/>
      <c r="O361"/>
    </row>
    <row r="362" spans="14:15" x14ac:dyDescent="0.35">
      <c r="N362"/>
      <c r="O362"/>
    </row>
    <row r="363" spans="14:15" x14ac:dyDescent="0.35">
      <c r="N363"/>
      <c r="O363"/>
    </row>
    <row r="364" spans="14:15" x14ac:dyDescent="0.35">
      <c r="N364"/>
      <c r="O364"/>
    </row>
    <row r="365" spans="14:15" x14ac:dyDescent="0.35">
      <c r="N365"/>
      <c r="O365"/>
    </row>
    <row r="366" spans="14:15" x14ac:dyDescent="0.35">
      <c r="N366"/>
      <c r="O366"/>
    </row>
    <row r="367" spans="14:15" x14ac:dyDescent="0.35">
      <c r="N367"/>
      <c r="O367"/>
    </row>
    <row r="368" spans="14:15" x14ac:dyDescent="0.35">
      <c r="N368"/>
      <c r="O368"/>
    </row>
    <row r="369" spans="14:15" x14ac:dyDescent="0.35">
      <c r="N369"/>
      <c r="O369"/>
    </row>
    <row r="370" spans="14:15" x14ac:dyDescent="0.35">
      <c r="N370"/>
      <c r="O370"/>
    </row>
    <row r="371" spans="14:15" x14ac:dyDescent="0.35">
      <c r="N371"/>
      <c r="O371"/>
    </row>
    <row r="372" spans="14:15" x14ac:dyDescent="0.35">
      <c r="N372"/>
      <c r="O372"/>
    </row>
    <row r="373" spans="14:15" x14ac:dyDescent="0.35">
      <c r="N373"/>
      <c r="O373"/>
    </row>
    <row r="374" spans="14:15" x14ac:dyDescent="0.35">
      <c r="N374"/>
      <c r="O374"/>
    </row>
    <row r="375" spans="14:15" x14ac:dyDescent="0.35">
      <c r="N375"/>
      <c r="O375"/>
    </row>
    <row r="376" spans="14:15" x14ac:dyDescent="0.35">
      <c r="N376"/>
      <c r="O376"/>
    </row>
    <row r="377" spans="14:15" x14ac:dyDescent="0.35">
      <c r="N377"/>
      <c r="O377"/>
    </row>
    <row r="378" spans="14:15" x14ac:dyDescent="0.35">
      <c r="N378"/>
      <c r="O378"/>
    </row>
    <row r="379" spans="14:15" x14ac:dyDescent="0.35">
      <c r="N379"/>
      <c r="O379"/>
    </row>
    <row r="380" spans="14:15" x14ac:dyDescent="0.35">
      <c r="N380"/>
      <c r="O380"/>
    </row>
    <row r="381" spans="14:15" x14ac:dyDescent="0.35">
      <c r="N381"/>
      <c r="O381"/>
    </row>
    <row r="382" spans="14:15" x14ac:dyDescent="0.35">
      <c r="N382"/>
      <c r="O382"/>
    </row>
    <row r="383" spans="14:15" x14ac:dyDescent="0.35">
      <c r="N383"/>
      <c r="O383"/>
    </row>
    <row r="384" spans="14:15" x14ac:dyDescent="0.35">
      <c r="N384"/>
      <c r="O384"/>
    </row>
    <row r="385" spans="14:15" x14ac:dyDescent="0.35">
      <c r="N385"/>
      <c r="O385"/>
    </row>
    <row r="386" spans="14:15" x14ac:dyDescent="0.35">
      <c r="N386"/>
      <c r="O386"/>
    </row>
    <row r="387" spans="14:15" x14ac:dyDescent="0.35">
      <c r="N387"/>
      <c r="O387"/>
    </row>
    <row r="388" spans="14:15" x14ac:dyDescent="0.35">
      <c r="N388"/>
      <c r="O388"/>
    </row>
    <row r="389" spans="14:15" x14ac:dyDescent="0.35">
      <c r="N389"/>
      <c r="O389"/>
    </row>
    <row r="390" spans="14:15" x14ac:dyDescent="0.35">
      <c r="N390"/>
      <c r="O390"/>
    </row>
    <row r="391" spans="14:15" x14ac:dyDescent="0.35">
      <c r="N391"/>
      <c r="O391"/>
    </row>
    <row r="392" spans="14:15" x14ac:dyDescent="0.35">
      <c r="N392"/>
      <c r="O392"/>
    </row>
    <row r="393" spans="14:15" x14ac:dyDescent="0.35">
      <c r="N393"/>
      <c r="O393"/>
    </row>
    <row r="394" spans="14:15" x14ac:dyDescent="0.35">
      <c r="N394"/>
      <c r="O394"/>
    </row>
    <row r="395" spans="14:15" x14ac:dyDescent="0.35">
      <c r="N395"/>
      <c r="O395"/>
    </row>
    <row r="396" spans="14:15" x14ac:dyDescent="0.35">
      <c r="N396"/>
      <c r="O396"/>
    </row>
    <row r="397" spans="14:15" x14ac:dyDescent="0.35">
      <c r="N397"/>
      <c r="O397"/>
    </row>
    <row r="398" spans="14:15" x14ac:dyDescent="0.35">
      <c r="N398"/>
      <c r="O398"/>
    </row>
    <row r="399" spans="14:15" x14ac:dyDescent="0.35">
      <c r="N399"/>
      <c r="O399"/>
    </row>
    <row r="400" spans="14:15" x14ac:dyDescent="0.35">
      <c r="N400"/>
      <c r="O400"/>
    </row>
    <row r="401" spans="14:15" x14ac:dyDescent="0.35">
      <c r="N401"/>
      <c r="O401"/>
    </row>
    <row r="402" spans="14:15" x14ac:dyDescent="0.35">
      <c r="N402"/>
      <c r="O402"/>
    </row>
    <row r="403" spans="14:15" x14ac:dyDescent="0.35">
      <c r="N403"/>
      <c r="O403"/>
    </row>
    <row r="404" spans="14:15" x14ac:dyDescent="0.35">
      <c r="N404"/>
      <c r="O404"/>
    </row>
    <row r="405" spans="14:15" x14ac:dyDescent="0.35">
      <c r="N405"/>
      <c r="O405"/>
    </row>
    <row r="406" spans="14:15" x14ac:dyDescent="0.35">
      <c r="N406"/>
      <c r="O406"/>
    </row>
    <row r="407" spans="14:15" x14ac:dyDescent="0.35">
      <c r="N407"/>
      <c r="O407"/>
    </row>
    <row r="408" spans="14:15" x14ac:dyDescent="0.35">
      <c r="N408"/>
      <c r="O408"/>
    </row>
    <row r="409" spans="14:15" x14ac:dyDescent="0.35">
      <c r="N409"/>
      <c r="O409"/>
    </row>
    <row r="410" spans="14:15" x14ac:dyDescent="0.35">
      <c r="N410"/>
      <c r="O410"/>
    </row>
    <row r="411" spans="14:15" x14ac:dyDescent="0.35">
      <c r="N411"/>
      <c r="O411"/>
    </row>
    <row r="412" spans="14:15" x14ac:dyDescent="0.35">
      <c r="N412"/>
      <c r="O412"/>
    </row>
    <row r="413" spans="14:15" x14ac:dyDescent="0.35">
      <c r="N413"/>
      <c r="O413"/>
    </row>
    <row r="414" spans="14:15" x14ac:dyDescent="0.35">
      <c r="N414"/>
      <c r="O414"/>
    </row>
    <row r="415" spans="14:15" x14ac:dyDescent="0.35">
      <c r="N415"/>
      <c r="O415"/>
    </row>
    <row r="416" spans="14:15" x14ac:dyDescent="0.35">
      <c r="N416"/>
      <c r="O416"/>
    </row>
    <row r="417" spans="14:15" x14ac:dyDescent="0.35">
      <c r="N417"/>
      <c r="O417"/>
    </row>
    <row r="418" spans="14:15" x14ac:dyDescent="0.35">
      <c r="N418"/>
      <c r="O418"/>
    </row>
    <row r="419" spans="14:15" x14ac:dyDescent="0.35">
      <c r="N419"/>
      <c r="O419"/>
    </row>
    <row r="420" spans="14:15" x14ac:dyDescent="0.35">
      <c r="N420"/>
      <c r="O420"/>
    </row>
    <row r="421" spans="14:15" x14ac:dyDescent="0.35">
      <c r="N421"/>
      <c r="O421"/>
    </row>
    <row r="422" spans="14:15" x14ac:dyDescent="0.35">
      <c r="N422"/>
      <c r="O422"/>
    </row>
    <row r="423" spans="14:15" x14ac:dyDescent="0.35">
      <c r="N423"/>
      <c r="O423"/>
    </row>
    <row r="424" spans="14:15" x14ac:dyDescent="0.35">
      <c r="N424"/>
      <c r="O424"/>
    </row>
    <row r="425" spans="14:15" x14ac:dyDescent="0.35">
      <c r="N425"/>
      <c r="O425"/>
    </row>
    <row r="426" spans="14:15" x14ac:dyDescent="0.35">
      <c r="N426"/>
      <c r="O426"/>
    </row>
    <row r="427" spans="14:15" x14ac:dyDescent="0.35">
      <c r="N427"/>
      <c r="O427"/>
    </row>
    <row r="428" spans="14:15" x14ac:dyDescent="0.35">
      <c r="N428"/>
      <c r="O428"/>
    </row>
    <row r="429" spans="14:15" x14ac:dyDescent="0.35">
      <c r="N429"/>
      <c r="O429"/>
    </row>
    <row r="430" spans="14:15" x14ac:dyDescent="0.35">
      <c r="N430"/>
      <c r="O430"/>
    </row>
    <row r="431" spans="14:15" x14ac:dyDescent="0.35">
      <c r="N431"/>
      <c r="O431"/>
    </row>
    <row r="432" spans="14:15" x14ac:dyDescent="0.35">
      <c r="N432"/>
      <c r="O432"/>
    </row>
    <row r="433" spans="14:15" x14ac:dyDescent="0.35">
      <c r="N433"/>
      <c r="O433"/>
    </row>
    <row r="434" spans="14:15" x14ac:dyDescent="0.35">
      <c r="N434"/>
      <c r="O434"/>
    </row>
    <row r="435" spans="14:15" x14ac:dyDescent="0.35">
      <c r="N435"/>
      <c r="O435"/>
    </row>
    <row r="436" spans="14:15" x14ac:dyDescent="0.35">
      <c r="N436"/>
      <c r="O436"/>
    </row>
    <row r="437" spans="14:15" x14ac:dyDescent="0.35">
      <c r="N437"/>
      <c r="O437"/>
    </row>
    <row r="438" spans="14:15" x14ac:dyDescent="0.35">
      <c r="N438"/>
      <c r="O438"/>
    </row>
    <row r="439" spans="14:15" x14ac:dyDescent="0.35">
      <c r="N439"/>
      <c r="O439"/>
    </row>
    <row r="440" spans="14:15" x14ac:dyDescent="0.35">
      <c r="N440"/>
      <c r="O440"/>
    </row>
    <row r="441" spans="14:15" x14ac:dyDescent="0.35">
      <c r="N441"/>
      <c r="O441"/>
    </row>
    <row r="442" spans="14:15" x14ac:dyDescent="0.35">
      <c r="N442"/>
      <c r="O442"/>
    </row>
    <row r="443" spans="14:15" x14ac:dyDescent="0.35">
      <c r="N443"/>
      <c r="O443"/>
    </row>
    <row r="444" spans="14:15" x14ac:dyDescent="0.35">
      <c r="N444"/>
      <c r="O444"/>
    </row>
    <row r="445" spans="14:15" x14ac:dyDescent="0.35">
      <c r="N445"/>
      <c r="O445"/>
    </row>
    <row r="446" spans="14:15" x14ac:dyDescent="0.35">
      <c r="N446"/>
      <c r="O446"/>
    </row>
    <row r="447" spans="14:15" x14ac:dyDescent="0.35">
      <c r="N447"/>
      <c r="O447"/>
    </row>
    <row r="448" spans="14:15" x14ac:dyDescent="0.35">
      <c r="N448"/>
      <c r="O448"/>
    </row>
    <row r="449" spans="14:15" x14ac:dyDescent="0.35">
      <c r="N449"/>
      <c r="O449"/>
    </row>
    <row r="450" spans="14:15" x14ac:dyDescent="0.35">
      <c r="N450"/>
      <c r="O450"/>
    </row>
    <row r="451" spans="14:15" x14ac:dyDescent="0.35">
      <c r="N451"/>
      <c r="O451"/>
    </row>
    <row r="452" spans="14:15" x14ac:dyDescent="0.35">
      <c r="N452"/>
      <c r="O452"/>
    </row>
    <row r="453" spans="14:15" x14ac:dyDescent="0.35">
      <c r="N453"/>
      <c r="O453"/>
    </row>
    <row r="454" spans="14:15" x14ac:dyDescent="0.35">
      <c r="N454"/>
      <c r="O454"/>
    </row>
    <row r="455" spans="14:15" x14ac:dyDescent="0.35">
      <c r="N455"/>
      <c r="O455"/>
    </row>
    <row r="456" spans="14:15" x14ac:dyDescent="0.35">
      <c r="N456"/>
      <c r="O456"/>
    </row>
    <row r="457" spans="14:15" x14ac:dyDescent="0.35">
      <c r="N457"/>
      <c r="O457"/>
    </row>
    <row r="458" spans="14:15" x14ac:dyDescent="0.35">
      <c r="N458"/>
      <c r="O458"/>
    </row>
    <row r="459" spans="14:15" x14ac:dyDescent="0.35">
      <c r="N459"/>
      <c r="O459"/>
    </row>
    <row r="460" spans="14:15" x14ac:dyDescent="0.35">
      <c r="N460"/>
      <c r="O460"/>
    </row>
    <row r="461" spans="14:15" x14ac:dyDescent="0.35">
      <c r="N461"/>
      <c r="O461"/>
    </row>
    <row r="462" spans="14:15" x14ac:dyDescent="0.35">
      <c r="N462"/>
      <c r="O462"/>
    </row>
    <row r="463" spans="14:15" x14ac:dyDescent="0.35">
      <c r="N463"/>
      <c r="O463"/>
    </row>
    <row r="464" spans="14:15" x14ac:dyDescent="0.35">
      <c r="N464"/>
      <c r="O464"/>
    </row>
    <row r="465" spans="14:15" x14ac:dyDescent="0.35">
      <c r="N465"/>
      <c r="O465"/>
    </row>
    <row r="466" spans="14:15" x14ac:dyDescent="0.35">
      <c r="N466"/>
      <c r="O466"/>
    </row>
    <row r="467" spans="14:15" x14ac:dyDescent="0.35">
      <c r="N467"/>
      <c r="O467"/>
    </row>
    <row r="468" spans="14:15" x14ac:dyDescent="0.35">
      <c r="N468"/>
      <c r="O468"/>
    </row>
    <row r="469" spans="14:15" x14ac:dyDescent="0.35">
      <c r="N469"/>
      <c r="O469"/>
    </row>
    <row r="470" spans="14:15" x14ac:dyDescent="0.35">
      <c r="N470"/>
      <c r="O470"/>
    </row>
    <row r="471" spans="14:15" x14ac:dyDescent="0.35">
      <c r="N471"/>
      <c r="O471"/>
    </row>
    <row r="472" spans="14:15" x14ac:dyDescent="0.35">
      <c r="N472"/>
      <c r="O472"/>
    </row>
    <row r="473" spans="14:15" x14ac:dyDescent="0.35">
      <c r="N473"/>
      <c r="O473"/>
    </row>
    <row r="474" spans="14:15" x14ac:dyDescent="0.35">
      <c r="N474"/>
      <c r="O474"/>
    </row>
    <row r="475" spans="14:15" x14ac:dyDescent="0.35">
      <c r="N475"/>
      <c r="O475"/>
    </row>
    <row r="476" spans="14:15" x14ac:dyDescent="0.35">
      <c r="N476"/>
      <c r="O476"/>
    </row>
    <row r="477" spans="14:15" x14ac:dyDescent="0.35">
      <c r="N477"/>
      <c r="O477"/>
    </row>
    <row r="478" spans="14:15" x14ac:dyDescent="0.35">
      <c r="N478"/>
      <c r="O478"/>
    </row>
    <row r="479" spans="14:15" x14ac:dyDescent="0.35">
      <c r="N479"/>
      <c r="O479"/>
    </row>
    <row r="480" spans="14:15" x14ac:dyDescent="0.35">
      <c r="N480"/>
      <c r="O480"/>
    </row>
    <row r="481" spans="14:15" x14ac:dyDescent="0.35">
      <c r="N481"/>
      <c r="O481"/>
    </row>
    <row r="482" spans="14:15" x14ac:dyDescent="0.35">
      <c r="N482"/>
      <c r="O482"/>
    </row>
    <row r="483" spans="14:15" x14ac:dyDescent="0.35">
      <c r="N483"/>
      <c r="O483"/>
    </row>
    <row r="484" spans="14:15" x14ac:dyDescent="0.35">
      <c r="N484"/>
      <c r="O484"/>
    </row>
    <row r="485" spans="14:15" x14ac:dyDescent="0.35">
      <c r="N485"/>
      <c r="O485"/>
    </row>
    <row r="486" spans="14:15" x14ac:dyDescent="0.35">
      <c r="N486"/>
      <c r="O486"/>
    </row>
    <row r="487" spans="14:15" x14ac:dyDescent="0.35">
      <c r="N487"/>
      <c r="O487"/>
    </row>
    <row r="488" spans="14:15" x14ac:dyDescent="0.35">
      <c r="N488"/>
      <c r="O488"/>
    </row>
    <row r="489" spans="14:15" x14ac:dyDescent="0.35">
      <c r="N489"/>
      <c r="O489"/>
    </row>
    <row r="490" spans="14:15" x14ac:dyDescent="0.35">
      <c r="N490"/>
      <c r="O490"/>
    </row>
    <row r="491" spans="14:15" x14ac:dyDescent="0.35">
      <c r="N491"/>
      <c r="O491"/>
    </row>
    <row r="492" spans="14:15" x14ac:dyDescent="0.35">
      <c r="N492"/>
      <c r="O492"/>
    </row>
    <row r="493" spans="14:15" x14ac:dyDescent="0.35">
      <c r="N493"/>
      <c r="O493"/>
    </row>
    <row r="494" spans="14:15" x14ac:dyDescent="0.35">
      <c r="N494"/>
      <c r="O494"/>
    </row>
    <row r="495" spans="14:15" x14ac:dyDescent="0.35">
      <c r="N495"/>
      <c r="O495"/>
    </row>
    <row r="496" spans="14:15" x14ac:dyDescent="0.35">
      <c r="N496"/>
      <c r="O496"/>
    </row>
    <row r="497" spans="14:15" x14ac:dyDescent="0.35">
      <c r="N497"/>
      <c r="O497"/>
    </row>
    <row r="498" spans="14:15" x14ac:dyDescent="0.35">
      <c r="N498"/>
      <c r="O498"/>
    </row>
    <row r="499" spans="14:15" x14ac:dyDescent="0.35">
      <c r="N499"/>
      <c r="O499"/>
    </row>
    <row r="500" spans="14:15" x14ac:dyDescent="0.35">
      <c r="N500"/>
      <c r="O500"/>
    </row>
    <row r="501" spans="14:15" x14ac:dyDescent="0.35">
      <c r="N501"/>
      <c r="O501"/>
    </row>
    <row r="502" spans="14:15" x14ac:dyDescent="0.35">
      <c r="N502"/>
      <c r="O502"/>
    </row>
    <row r="503" spans="14:15" x14ac:dyDescent="0.35">
      <c r="N503"/>
      <c r="O503"/>
    </row>
    <row r="504" spans="14:15" x14ac:dyDescent="0.35">
      <c r="N504"/>
      <c r="O504"/>
    </row>
    <row r="505" spans="14:15" x14ac:dyDescent="0.35">
      <c r="N505"/>
      <c r="O505"/>
    </row>
    <row r="506" spans="14:15" x14ac:dyDescent="0.35">
      <c r="N506"/>
      <c r="O506"/>
    </row>
    <row r="507" spans="14:15" x14ac:dyDescent="0.35">
      <c r="N507"/>
      <c r="O507"/>
    </row>
    <row r="508" spans="14:15" x14ac:dyDescent="0.35">
      <c r="N508"/>
      <c r="O508"/>
    </row>
    <row r="509" spans="14:15" x14ac:dyDescent="0.35">
      <c r="N509"/>
      <c r="O509"/>
    </row>
    <row r="510" spans="14:15" x14ac:dyDescent="0.35">
      <c r="N510"/>
      <c r="O510"/>
    </row>
    <row r="511" spans="14:15" x14ac:dyDescent="0.35">
      <c r="N511"/>
      <c r="O511"/>
    </row>
    <row r="512" spans="14:15" x14ac:dyDescent="0.35">
      <c r="N512"/>
      <c r="O512"/>
    </row>
    <row r="513" spans="14:15" x14ac:dyDescent="0.35">
      <c r="N513"/>
      <c r="O513"/>
    </row>
    <row r="514" spans="14:15" x14ac:dyDescent="0.35">
      <c r="N514"/>
      <c r="O514"/>
    </row>
    <row r="515" spans="14:15" x14ac:dyDescent="0.35">
      <c r="N515"/>
      <c r="O515"/>
    </row>
    <row r="516" spans="14:15" x14ac:dyDescent="0.35">
      <c r="N516"/>
      <c r="O516"/>
    </row>
    <row r="517" spans="14:15" x14ac:dyDescent="0.35">
      <c r="N517"/>
      <c r="O517"/>
    </row>
    <row r="518" spans="14:15" x14ac:dyDescent="0.35">
      <c r="N518"/>
      <c r="O518"/>
    </row>
    <row r="519" spans="14:15" x14ac:dyDescent="0.35">
      <c r="N519"/>
      <c r="O519"/>
    </row>
    <row r="520" spans="14:15" x14ac:dyDescent="0.35">
      <c r="N520"/>
      <c r="O520"/>
    </row>
    <row r="521" spans="14:15" x14ac:dyDescent="0.35">
      <c r="N521"/>
      <c r="O521"/>
    </row>
    <row r="522" spans="14:15" x14ac:dyDescent="0.35">
      <c r="N522"/>
      <c r="O522"/>
    </row>
    <row r="523" spans="14:15" x14ac:dyDescent="0.35">
      <c r="N523"/>
      <c r="O523"/>
    </row>
    <row r="524" spans="14:15" x14ac:dyDescent="0.35">
      <c r="N524"/>
      <c r="O524"/>
    </row>
    <row r="525" spans="14:15" x14ac:dyDescent="0.35">
      <c r="N525"/>
      <c r="O525"/>
    </row>
    <row r="526" spans="14:15" x14ac:dyDescent="0.35">
      <c r="N526"/>
      <c r="O526"/>
    </row>
    <row r="527" spans="14:15" x14ac:dyDescent="0.35">
      <c r="N527"/>
      <c r="O527"/>
    </row>
    <row r="528" spans="14:15" x14ac:dyDescent="0.35">
      <c r="N528"/>
      <c r="O528"/>
    </row>
    <row r="529" spans="14:15" x14ac:dyDescent="0.35">
      <c r="N529"/>
      <c r="O529"/>
    </row>
    <row r="530" spans="14:15" x14ac:dyDescent="0.35">
      <c r="N530"/>
      <c r="O530"/>
    </row>
    <row r="531" spans="14:15" x14ac:dyDescent="0.35">
      <c r="N531"/>
      <c r="O531"/>
    </row>
    <row r="532" spans="14:15" x14ac:dyDescent="0.35">
      <c r="N532"/>
      <c r="O532"/>
    </row>
    <row r="533" spans="14:15" x14ac:dyDescent="0.35">
      <c r="N533"/>
      <c r="O533"/>
    </row>
    <row r="534" spans="14:15" x14ac:dyDescent="0.35">
      <c r="N534"/>
      <c r="O534"/>
    </row>
    <row r="535" spans="14:15" x14ac:dyDescent="0.35">
      <c r="N535"/>
      <c r="O535"/>
    </row>
    <row r="536" spans="14:15" x14ac:dyDescent="0.35">
      <c r="N536"/>
      <c r="O536"/>
    </row>
    <row r="537" spans="14:15" x14ac:dyDescent="0.35">
      <c r="N537"/>
      <c r="O537"/>
    </row>
    <row r="538" spans="14:15" x14ac:dyDescent="0.35">
      <c r="N538"/>
      <c r="O538"/>
    </row>
    <row r="539" spans="14:15" x14ac:dyDescent="0.35">
      <c r="N539"/>
      <c r="O539"/>
    </row>
    <row r="540" spans="14:15" x14ac:dyDescent="0.35">
      <c r="N540"/>
      <c r="O540"/>
    </row>
    <row r="541" spans="14:15" x14ac:dyDescent="0.35">
      <c r="N541"/>
      <c r="O541"/>
    </row>
    <row r="542" spans="14:15" x14ac:dyDescent="0.35">
      <c r="N542"/>
      <c r="O542"/>
    </row>
    <row r="543" spans="14:15" x14ac:dyDescent="0.35">
      <c r="N543"/>
      <c r="O543"/>
    </row>
    <row r="544" spans="14:15" x14ac:dyDescent="0.35">
      <c r="N544"/>
      <c r="O544"/>
    </row>
    <row r="545" spans="14:15" x14ac:dyDescent="0.35">
      <c r="N545"/>
      <c r="O545"/>
    </row>
    <row r="546" spans="14:15" x14ac:dyDescent="0.35">
      <c r="N546"/>
      <c r="O546"/>
    </row>
    <row r="547" spans="14:15" x14ac:dyDescent="0.35">
      <c r="N547"/>
      <c r="O547"/>
    </row>
    <row r="548" spans="14:15" x14ac:dyDescent="0.35">
      <c r="N548"/>
      <c r="O548"/>
    </row>
    <row r="549" spans="14:15" x14ac:dyDescent="0.35">
      <c r="N549"/>
      <c r="O549"/>
    </row>
    <row r="550" spans="14:15" x14ac:dyDescent="0.35">
      <c r="N550"/>
      <c r="O550"/>
    </row>
    <row r="551" spans="14:15" x14ac:dyDescent="0.35">
      <c r="N551"/>
      <c r="O551"/>
    </row>
    <row r="552" spans="14:15" x14ac:dyDescent="0.35">
      <c r="N552"/>
      <c r="O552"/>
    </row>
    <row r="553" spans="14:15" x14ac:dyDescent="0.35">
      <c r="N553"/>
      <c r="O553"/>
    </row>
    <row r="554" spans="14:15" x14ac:dyDescent="0.35">
      <c r="N554"/>
      <c r="O554"/>
    </row>
    <row r="555" spans="14:15" x14ac:dyDescent="0.35">
      <c r="N555"/>
      <c r="O555"/>
    </row>
    <row r="556" spans="14:15" x14ac:dyDescent="0.35">
      <c r="N556"/>
      <c r="O556"/>
    </row>
    <row r="557" spans="14:15" x14ac:dyDescent="0.35">
      <c r="N557"/>
      <c r="O557"/>
    </row>
    <row r="558" spans="14:15" x14ac:dyDescent="0.35">
      <c r="N558"/>
      <c r="O558"/>
    </row>
    <row r="559" spans="14:15" x14ac:dyDescent="0.35">
      <c r="N559"/>
      <c r="O559"/>
    </row>
    <row r="560" spans="14:15" x14ac:dyDescent="0.35">
      <c r="N560"/>
      <c r="O560"/>
    </row>
    <row r="561" spans="14:15" x14ac:dyDescent="0.35">
      <c r="N561"/>
      <c r="O561"/>
    </row>
    <row r="562" spans="14:15" x14ac:dyDescent="0.35">
      <c r="N562"/>
      <c r="O562"/>
    </row>
    <row r="563" spans="14:15" x14ac:dyDescent="0.35">
      <c r="N563"/>
      <c r="O563"/>
    </row>
    <row r="564" spans="14:15" x14ac:dyDescent="0.35">
      <c r="N564"/>
      <c r="O564"/>
    </row>
    <row r="565" spans="14:15" x14ac:dyDescent="0.35">
      <c r="N565"/>
      <c r="O565"/>
    </row>
    <row r="566" spans="14:15" x14ac:dyDescent="0.35">
      <c r="N566"/>
      <c r="O566"/>
    </row>
    <row r="567" spans="14:15" x14ac:dyDescent="0.35">
      <c r="N567"/>
      <c r="O567"/>
    </row>
    <row r="568" spans="14:15" x14ac:dyDescent="0.35">
      <c r="N568"/>
      <c r="O568"/>
    </row>
    <row r="569" spans="14:15" x14ac:dyDescent="0.35">
      <c r="N569"/>
      <c r="O569"/>
    </row>
    <row r="570" spans="14:15" x14ac:dyDescent="0.35">
      <c r="N570"/>
      <c r="O570"/>
    </row>
    <row r="571" spans="14:15" x14ac:dyDescent="0.35">
      <c r="N571"/>
      <c r="O571"/>
    </row>
    <row r="572" spans="14:15" x14ac:dyDescent="0.35">
      <c r="N572"/>
      <c r="O572"/>
    </row>
    <row r="573" spans="14:15" x14ac:dyDescent="0.35">
      <c r="N573"/>
      <c r="O573"/>
    </row>
    <row r="574" spans="14:15" x14ac:dyDescent="0.35">
      <c r="N574"/>
      <c r="O574"/>
    </row>
    <row r="575" spans="14:15" x14ac:dyDescent="0.35">
      <c r="N575"/>
      <c r="O575"/>
    </row>
    <row r="576" spans="14:15" x14ac:dyDescent="0.35">
      <c r="N576"/>
      <c r="O576"/>
    </row>
    <row r="577" spans="14:15" x14ac:dyDescent="0.35">
      <c r="N577"/>
      <c r="O577"/>
    </row>
    <row r="578" spans="14:15" x14ac:dyDescent="0.35">
      <c r="N578"/>
      <c r="O578"/>
    </row>
    <row r="579" spans="14:15" x14ac:dyDescent="0.35">
      <c r="N579"/>
      <c r="O579"/>
    </row>
    <row r="580" spans="14:15" x14ac:dyDescent="0.35">
      <c r="N580"/>
      <c r="O580"/>
    </row>
    <row r="581" spans="14:15" x14ac:dyDescent="0.35">
      <c r="N581"/>
      <c r="O581"/>
    </row>
    <row r="582" spans="14:15" x14ac:dyDescent="0.35">
      <c r="N582"/>
      <c r="O582"/>
    </row>
    <row r="583" spans="14:15" x14ac:dyDescent="0.35">
      <c r="N583"/>
      <c r="O583"/>
    </row>
    <row r="584" spans="14:15" x14ac:dyDescent="0.35">
      <c r="N584"/>
      <c r="O584"/>
    </row>
    <row r="585" spans="14:15" x14ac:dyDescent="0.35">
      <c r="N585"/>
      <c r="O585"/>
    </row>
    <row r="586" spans="14:15" x14ac:dyDescent="0.35">
      <c r="N586"/>
      <c r="O586"/>
    </row>
    <row r="587" spans="14:15" x14ac:dyDescent="0.35">
      <c r="N587"/>
      <c r="O587"/>
    </row>
    <row r="588" spans="14:15" x14ac:dyDescent="0.35">
      <c r="N588"/>
      <c r="O588"/>
    </row>
    <row r="589" spans="14:15" x14ac:dyDescent="0.35">
      <c r="N589"/>
      <c r="O589"/>
    </row>
    <row r="590" spans="14:15" x14ac:dyDescent="0.35">
      <c r="N590"/>
      <c r="O590"/>
    </row>
    <row r="591" spans="14:15" x14ac:dyDescent="0.35">
      <c r="N591"/>
      <c r="O591"/>
    </row>
    <row r="592" spans="14:15" x14ac:dyDescent="0.35">
      <c r="N592"/>
      <c r="O592"/>
    </row>
    <row r="593" spans="14:15" x14ac:dyDescent="0.35">
      <c r="N593"/>
      <c r="O593"/>
    </row>
    <row r="594" spans="14:15" x14ac:dyDescent="0.35">
      <c r="N594"/>
      <c r="O594"/>
    </row>
    <row r="595" spans="14:15" x14ac:dyDescent="0.35">
      <c r="N595"/>
      <c r="O595"/>
    </row>
    <row r="596" spans="14:15" x14ac:dyDescent="0.35">
      <c r="N596"/>
      <c r="O596"/>
    </row>
    <row r="597" spans="14:15" x14ac:dyDescent="0.35">
      <c r="N597"/>
      <c r="O597"/>
    </row>
    <row r="598" spans="14:15" x14ac:dyDescent="0.35">
      <c r="N598"/>
      <c r="O598"/>
    </row>
    <row r="599" spans="14:15" x14ac:dyDescent="0.35">
      <c r="N599"/>
      <c r="O599"/>
    </row>
    <row r="600" spans="14:15" x14ac:dyDescent="0.35">
      <c r="N600"/>
      <c r="O600"/>
    </row>
    <row r="601" spans="14:15" x14ac:dyDescent="0.35">
      <c r="N601"/>
      <c r="O601"/>
    </row>
    <row r="602" spans="14:15" x14ac:dyDescent="0.35">
      <c r="N602"/>
      <c r="O602"/>
    </row>
    <row r="603" spans="14:15" x14ac:dyDescent="0.35">
      <c r="N603"/>
      <c r="O603"/>
    </row>
    <row r="604" spans="14:15" x14ac:dyDescent="0.35">
      <c r="N604"/>
      <c r="O604"/>
    </row>
    <row r="605" spans="14:15" x14ac:dyDescent="0.35">
      <c r="N605"/>
      <c r="O605"/>
    </row>
    <row r="606" spans="14:15" x14ac:dyDescent="0.35">
      <c r="N606"/>
      <c r="O606"/>
    </row>
    <row r="607" spans="14:15" x14ac:dyDescent="0.35">
      <c r="N607"/>
      <c r="O607"/>
    </row>
    <row r="608" spans="14:15" x14ac:dyDescent="0.35">
      <c r="N608"/>
      <c r="O608"/>
    </row>
    <row r="609" spans="14:15" x14ac:dyDescent="0.35">
      <c r="N609"/>
      <c r="O609"/>
    </row>
    <row r="610" spans="14:15" x14ac:dyDescent="0.35">
      <c r="N610"/>
      <c r="O610"/>
    </row>
    <row r="611" spans="14:15" x14ac:dyDescent="0.35">
      <c r="N611"/>
      <c r="O611"/>
    </row>
    <row r="612" spans="14:15" x14ac:dyDescent="0.35">
      <c r="N612"/>
      <c r="O612"/>
    </row>
    <row r="613" spans="14:15" x14ac:dyDescent="0.35">
      <c r="N613"/>
      <c r="O613"/>
    </row>
    <row r="614" spans="14:15" x14ac:dyDescent="0.35">
      <c r="N614"/>
      <c r="O614"/>
    </row>
    <row r="615" spans="14:15" x14ac:dyDescent="0.35">
      <c r="N615"/>
      <c r="O615"/>
    </row>
    <row r="616" spans="14:15" x14ac:dyDescent="0.35">
      <c r="N616"/>
      <c r="O616"/>
    </row>
    <row r="617" spans="14:15" x14ac:dyDescent="0.35">
      <c r="N617"/>
      <c r="O617"/>
    </row>
    <row r="618" spans="14:15" x14ac:dyDescent="0.35">
      <c r="N618"/>
      <c r="O618"/>
    </row>
    <row r="619" spans="14:15" x14ac:dyDescent="0.35">
      <c r="N619"/>
      <c r="O619"/>
    </row>
    <row r="620" spans="14:15" x14ac:dyDescent="0.35">
      <c r="N620"/>
      <c r="O620"/>
    </row>
    <row r="621" spans="14:15" x14ac:dyDescent="0.35">
      <c r="N621"/>
      <c r="O621"/>
    </row>
    <row r="622" spans="14:15" x14ac:dyDescent="0.35">
      <c r="N622"/>
      <c r="O622"/>
    </row>
    <row r="623" spans="14:15" x14ac:dyDescent="0.35">
      <c r="N623"/>
      <c r="O623"/>
    </row>
    <row r="624" spans="14:15" x14ac:dyDescent="0.35">
      <c r="N624"/>
      <c r="O624"/>
    </row>
    <row r="625" spans="14:15" x14ac:dyDescent="0.35">
      <c r="N625"/>
      <c r="O625"/>
    </row>
    <row r="626" spans="14:15" x14ac:dyDescent="0.35">
      <c r="N626"/>
      <c r="O626"/>
    </row>
    <row r="627" spans="14:15" x14ac:dyDescent="0.35">
      <c r="N627"/>
      <c r="O627"/>
    </row>
    <row r="628" spans="14:15" x14ac:dyDescent="0.35">
      <c r="N628"/>
      <c r="O628"/>
    </row>
    <row r="629" spans="14:15" x14ac:dyDescent="0.35">
      <c r="N629"/>
      <c r="O629"/>
    </row>
    <row r="630" spans="14:15" x14ac:dyDescent="0.35">
      <c r="N630"/>
      <c r="O630"/>
    </row>
    <row r="631" spans="14:15" x14ac:dyDescent="0.35">
      <c r="N631"/>
      <c r="O631"/>
    </row>
    <row r="632" spans="14:15" x14ac:dyDescent="0.35">
      <c r="N632"/>
      <c r="O632"/>
    </row>
    <row r="633" spans="14:15" x14ac:dyDescent="0.35">
      <c r="N633"/>
      <c r="O633"/>
    </row>
    <row r="634" spans="14:15" x14ac:dyDescent="0.35">
      <c r="N634"/>
      <c r="O634"/>
    </row>
    <row r="635" spans="14:15" x14ac:dyDescent="0.35">
      <c r="N635"/>
      <c r="O635"/>
    </row>
    <row r="636" spans="14:15" x14ac:dyDescent="0.35">
      <c r="N636"/>
      <c r="O636"/>
    </row>
    <row r="637" spans="14:15" x14ac:dyDescent="0.35">
      <c r="N637"/>
      <c r="O637"/>
    </row>
    <row r="638" spans="14:15" x14ac:dyDescent="0.35">
      <c r="N638"/>
      <c r="O638"/>
    </row>
    <row r="639" spans="14:15" x14ac:dyDescent="0.35">
      <c r="N639"/>
      <c r="O639"/>
    </row>
    <row r="640" spans="14:15" x14ac:dyDescent="0.35">
      <c r="N640"/>
      <c r="O640"/>
    </row>
    <row r="641" spans="14:15" x14ac:dyDescent="0.35">
      <c r="N641"/>
      <c r="O641"/>
    </row>
    <row r="642" spans="14:15" x14ac:dyDescent="0.35">
      <c r="N642"/>
      <c r="O642"/>
    </row>
    <row r="643" spans="14:15" x14ac:dyDescent="0.35">
      <c r="N643"/>
      <c r="O643"/>
    </row>
    <row r="644" spans="14:15" x14ac:dyDescent="0.35">
      <c r="N644"/>
      <c r="O644"/>
    </row>
    <row r="645" spans="14:15" x14ac:dyDescent="0.35">
      <c r="N645"/>
      <c r="O645"/>
    </row>
    <row r="646" spans="14:15" x14ac:dyDescent="0.35">
      <c r="N646"/>
      <c r="O646"/>
    </row>
    <row r="647" spans="14:15" x14ac:dyDescent="0.35">
      <c r="N647"/>
      <c r="O647"/>
    </row>
    <row r="648" spans="14:15" x14ac:dyDescent="0.35">
      <c r="N648"/>
      <c r="O648"/>
    </row>
    <row r="649" spans="14:15" x14ac:dyDescent="0.35">
      <c r="N649"/>
      <c r="O649"/>
    </row>
    <row r="650" spans="14:15" x14ac:dyDescent="0.35">
      <c r="N650"/>
      <c r="O650"/>
    </row>
    <row r="651" spans="14:15" x14ac:dyDescent="0.35">
      <c r="N651"/>
      <c r="O651"/>
    </row>
    <row r="652" spans="14:15" x14ac:dyDescent="0.35">
      <c r="N652"/>
      <c r="O652"/>
    </row>
    <row r="653" spans="14:15" x14ac:dyDescent="0.35">
      <c r="N653"/>
      <c r="O653"/>
    </row>
    <row r="654" spans="14:15" x14ac:dyDescent="0.35">
      <c r="N654"/>
      <c r="O654"/>
    </row>
    <row r="655" spans="14:15" x14ac:dyDescent="0.35">
      <c r="N655"/>
      <c r="O655"/>
    </row>
    <row r="656" spans="14:15" x14ac:dyDescent="0.35">
      <c r="N656"/>
      <c r="O656"/>
    </row>
    <row r="657" spans="14:15" x14ac:dyDescent="0.35">
      <c r="N657"/>
      <c r="O657"/>
    </row>
    <row r="658" spans="14:15" x14ac:dyDescent="0.35">
      <c r="N658"/>
      <c r="O658"/>
    </row>
    <row r="659" spans="14:15" x14ac:dyDescent="0.35">
      <c r="N659"/>
      <c r="O659"/>
    </row>
    <row r="660" spans="14:15" x14ac:dyDescent="0.35">
      <c r="N660"/>
      <c r="O660"/>
    </row>
    <row r="661" spans="14:15" x14ac:dyDescent="0.35">
      <c r="N661"/>
      <c r="O661"/>
    </row>
    <row r="662" spans="14:15" x14ac:dyDescent="0.35">
      <c r="N662"/>
      <c r="O662"/>
    </row>
    <row r="663" spans="14:15" x14ac:dyDescent="0.35">
      <c r="N663"/>
      <c r="O663"/>
    </row>
    <row r="664" spans="14:15" x14ac:dyDescent="0.35">
      <c r="N664"/>
      <c r="O664"/>
    </row>
    <row r="665" spans="14:15" x14ac:dyDescent="0.35">
      <c r="N665"/>
      <c r="O665"/>
    </row>
    <row r="666" spans="14:15" x14ac:dyDescent="0.35">
      <c r="N666"/>
      <c r="O666"/>
    </row>
    <row r="667" spans="14:15" x14ac:dyDescent="0.35">
      <c r="N667"/>
      <c r="O667"/>
    </row>
    <row r="668" spans="14:15" x14ac:dyDescent="0.35">
      <c r="N668"/>
      <c r="O668"/>
    </row>
    <row r="669" spans="14:15" x14ac:dyDescent="0.35">
      <c r="N669"/>
      <c r="O669"/>
    </row>
    <row r="670" spans="14:15" x14ac:dyDescent="0.35">
      <c r="N670"/>
      <c r="O670"/>
    </row>
    <row r="671" spans="14:15" x14ac:dyDescent="0.35">
      <c r="N671"/>
      <c r="O671"/>
    </row>
    <row r="672" spans="14:15" x14ac:dyDescent="0.35">
      <c r="N672"/>
      <c r="O672"/>
    </row>
    <row r="673" spans="14:15" x14ac:dyDescent="0.35">
      <c r="N673"/>
      <c r="O673"/>
    </row>
    <row r="674" spans="14:15" x14ac:dyDescent="0.35">
      <c r="N674"/>
      <c r="O674"/>
    </row>
    <row r="675" spans="14:15" x14ac:dyDescent="0.35">
      <c r="N675"/>
      <c r="O675"/>
    </row>
    <row r="676" spans="14:15" x14ac:dyDescent="0.35">
      <c r="N676"/>
      <c r="O676"/>
    </row>
    <row r="677" spans="14:15" x14ac:dyDescent="0.35">
      <c r="N677"/>
      <c r="O677"/>
    </row>
    <row r="678" spans="14:15" x14ac:dyDescent="0.35">
      <c r="N678"/>
      <c r="O678"/>
    </row>
    <row r="679" spans="14:15" x14ac:dyDescent="0.35">
      <c r="N679"/>
      <c r="O679"/>
    </row>
    <row r="680" spans="14:15" x14ac:dyDescent="0.35">
      <c r="N680"/>
      <c r="O680"/>
    </row>
    <row r="681" spans="14:15" x14ac:dyDescent="0.35">
      <c r="N681"/>
      <c r="O681"/>
    </row>
    <row r="682" spans="14:15" x14ac:dyDescent="0.35">
      <c r="N682"/>
      <c r="O682"/>
    </row>
    <row r="683" spans="14:15" x14ac:dyDescent="0.35">
      <c r="N683"/>
      <c r="O683"/>
    </row>
    <row r="684" spans="14:15" x14ac:dyDescent="0.35">
      <c r="N684"/>
      <c r="O684"/>
    </row>
    <row r="685" spans="14:15" x14ac:dyDescent="0.35">
      <c r="N685"/>
      <c r="O685"/>
    </row>
    <row r="686" spans="14:15" x14ac:dyDescent="0.35">
      <c r="N686"/>
      <c r="O686"/>
    </row>
    <row r="687" spans="14:15" x14ac:dyDescent="0.35">
      <c r="N687"/>
      <c r="O687"/>
    </row>
    <row r="688" spans="14:15" x14ac:dyDescent="0.35">
      <c r="N688"/>
      <c r="O688"/>
    </row>
    <row r="689" spans="14:15" x14ac:dyDescent="0.35">
      <c r="N689"/>
      <c r="O689"/>
    </row>
    <row r="690" spans="14:15" x14ac:dyDescent="0.35">
      <c r="N690"/>
      <c r="O690"/>
    </row>
    <row r="691" spans="14:15" x14ac:dyDescent="0.35">
      <c r="N691"/>
      <c r="O691"/>
    </row>
    <row r="692" spans="14:15" x14ac:dyDescent="0.35">
      <c r="N692"/>
      <c r="O692"/>
    </row>
    <row r="693" spans="14:15" x14ac:dyDescent="0.35">
      <c r="N693"/>
      <c r="O693"/>
    </row>
    <row r="694" spans="14:15" x14ac:dyDescent="0.35">
      <c r="N694"/>
      <c r="O694"/>
    </row>
    <row r="695" spans="14:15" x14ac:dyDescent="0.35">
      <c r="N695"/>
      <c r="O695"/>
    </row>
    <row r="696" spans="14:15" x14ac:dyDescent="0.35">
      <c r="N696"/>
      <c r="O696"/>
    </row>
    <row r="697" spans="14:15" x14ac:dyDescent="0.35">
      <c r="N697"/>
      <c r="O697"/>
    </row>
    <row r="698" spans="14:15" x14ac:dyDescent="0.35">
      <c r="N698"/>
      <c r="O698"/>
    </row>
    <row r="699" spans="14:15" x14ac:dyDescent="0.35">
      <c r="N699"/>
      <c r="O699"/>
    </row>
    <row r="700" spans="14:15" x14ac:dyDescent="0.35">
      <c r="N700"/>
      <c r="O700"/>
    </row>
    <row r="701" spans="14:15" x14ac:dyDescent="0.35">
      <c r="N701"/>
      <c r="O701"/>
    </row>
    <row r="702" spans="14:15" x14ac:dyDescent="0.35">
      <c r="N702"/>
      <c r="O702"/>
    </row>
    <row r="703" spans="14:15" x14ac:dyDescent="0.35">
      <c r="N703"/>
      <c r="O703"/>
    </row>
    <row r="704" spans="14:15" x14ac:dyDescent="0.35">
      <c r="N704"/>
      <c r="O704"/>
    </row>
    <row r="705" spans="14:15" x14ac:dyDescent="0.35">
      <c r="N705"/>
      <c r="O705"/>
    </row>
    <row r="706" spans="14:15" x14ac:dyDescent="0.35">
      <c r="N706"/>
      <c r="O706"/>
    </row>
    <row r="707" spans="14:15" x14ac:dyDescent="0.35">
      <c r="N707"/>
      <c r="O707"/>
    </row>
    <row r="708" spans="14:15" x14ac:dyDescent="0.35">
      <c r="N708"/>
      <c r="O708"/>
    </row>
    <row r="709" spans="14:15" x14ac:dyDescent="0.35">
      <c r="N709"/>
      <c r="O709"/>
    </row>
    <row r="710" spans="14:15" x14ac:dyDescent="0.35">
      <c r="N710"/>
      <c r="O710"/>
    </row>
    <row r="711" spans="14:15" x14ac:dyDescent="0.35">
      <c r="N711"/>
      <c r="O711"/>
    </row>
    <row r="712" spans="14:15" x14ac:dyDescent="0.35">
      <c r="N712"/>
      <c r="O712"/>
    </row>
    <row r="713" spans="14:15" x14ac:dyDescent="0.35">
      <c r="N713"/>
      <c r="O713"/>
    </row>
    <row r="714" spans="14:15" x14ac:dyDescent="0.35">
      <c r="N714"/>
      <c r="O714"/>
    </row>
    <row r="715" spans="14:15" x14ac:dyDescent="0.35">
      <c r="N715"/>
      <c r="O715"/>
    </row>
    <row r="716" spans="14:15" x14ac:dyDescent="0.35">
      <c r="N716"/>
      <c r="O716"/>
    </row>
    <row r="717" spans="14:15" x14ac:dyDescent="0.35">
      <c r="N717"/>
      <c r="O717"/>
    </row>
    <row r="718" spans="14:15" x14ac:dyDescent="0.35">
      <c r="N718"/>
      <c r="O718"/>
    </row>
    <row r="719" spans="14:15" x14ac:dyDescent="0.35">
      <c r="N719"/>
      <c r="O719"/>
    </row>
    <row r="720" spans="14:15" x14ac:dyDescent="0.35">
      <c r="N720"/>
      <c r="O720"/>
    </row>
    <row r="721" spans="14:15" x14ac:dyDescent="0.35">
      <c r="N721"/>
      <c r="O721"/>
    </row>
    <row r="722" spans="14:15" x14ac:dyDescent="0.35">
      <c r="N722"/>
      <c r="O722"/>
    </row>
    <row r="723" spans="14:15" x14ac:dyDescent="0.35">
      <c r="N723"/>
      <c r="O723"/>
    </row>
    <row r="724" spans="14:15" x14ac:dyDescent="0.35">
      <c r="N724"/>
      <c r="O724"/>
    </row>
    <row r="725" spans="14:15" x14ac:dyDescent="0.35">
      <c r="N725"/>
      <c r="O725"/>
    </row>
    <row r="726" spans="14:15" x14ac:dyDescent="0.35">
      <c r="N726"/>
      <c r="O726"/>
    </row>
    <row r="727" spans="14:15" x14ac:dyDescent="0.35">
      <c r="N727"/>
      <c r="O727"/>
    </row>
    <row r="728" spans="14:15" x14ac:dyDescent="0.35">
      <c r="N728"/>
      <c r="O728"/>
    </row>
    <row r="729" spans="14:15" x14ac:dyDescent="0.35">
      <c r="N729"/>
      <c r="O729"/>
    </row>
    <row r="730" spans="14:15" x14ac:dyDescent="0.35">
      <c r="N730"/>
      <c r="O730"/>
    </row>
    <row r="731" spans="14:15" x14ac:dyDescent="0.35">
      <c r="N731"/>
      <c r="O731"/>
    </row>
    <row r="732" spans="14:15" x14ac:dyDescent="0.35">
      <c r="N732"/>
      <c r="O732"/>
    </row>
    <row r="733" spans="14:15" x14ac:dyDescent="0.35">
      <c r="N733"/>
      <c r="O733"/>
    </row>
    <row r="734" spans="14:15" x14ac:dyDescent="0.35">
      <c r="N734"/>
      <c r="O734"/>
    </row>
    <row r="735" spans="14:15" x14ac:dyDescent="0.35">
      <c r="N735"/>
      <c r="O735"/>
    </row>
    <row r="736" spans="14:15" x14ac:dyDescent="0.35">
      <c r="N736"/>
      <c r="O736"/>
    </row>
    <row r="737" spans="14:15" x14ac:dyDescent="0.35">
      <c r="N737"/>
      <c r="O737"/>
    </row>
    <row r="738" spans="14:15" x14ac:dyDescent="0.35">
      <c r="N738"/>
      <c r="O738"/>
    </row>
    <row r="739" spans="14:15" x14ac:dyDescent="0.35">
      <c r="N739"/>
      <c r="O739"/>
    </row>
    <row r="740" spans="14:15" x14ac:dyDescent="0.35">
      <c r="N740"/>
      <c r="O740"/>
    </row>
    <row r="741" spans="14:15" x14ac:dyDescent="0.35">
      <c r="N741"/>
      <c r="O741"/>
    </row>
    <row r="742" spans="14:15" x14ac:dyDescent="0.35">
      <c r="N742"/>
      <c r="O742"/>
    </row>
    <row r="743" spans="14:15" x14ac:dyDescent="0.35">
      <c r="N743"/>
      <c r="O743"/>
    </row>
    <row r="744" spans="14:15" x14ac:dyDescent="0.35">
      <c r="N744"/>
      <c r="O744"/>
    </row>
    <row r="745" spans="14:15" x14ac:dyDescent="0.35">
      <c r="N745"/>
      <c r="O745"/>
    </row>
    <row r="746" spans="14:15" x14ac:dyDescent="0.35">
      <c r="N746"/>
      <c r="O746"/>
    </row>
    <row r="747" spans="14:15" x14ac:dyDescent="0.35">
      <c r="N747"/>
      <c r="O747"/>
    </row>
    <row r="748" spans="14:15" x14ac:dyDescent="0.35">
      <c r="N748"/>
      <c r="O748"/>
    </row>
    <row r="749" spans="14:15" x14ac:dyDescent="0.35">
      <c r="N749"/>
      <c r="O749"/>
    </row>
    <row r="750" spans="14:15" x14ac:dyDescent="0.35">
      <c r="N750"/>
      <c r="O750"/>
    </row>
    <row r="751" spans="14:15" x14ac:dyDescent="0.35">
      <c r="N751"/>
      <c r="O751"/>
    </row>
    <row r="752" spans="14:15" x14ac:dyDescent="0.35">
      <c r="N752"/>
      <c r="O752"/>
    </row>
    <row r="753" spans="14:15" x14ac:dyDescent="0.35">
      <c r="N753"/>
      <c r="O753"/>
    </row>
    <row r="754" spans="14:15" x14ac:dyDescent="0.35">
      <c r="N754"/>
      <c r="O754"/>
    </row>
    <row r="755" spans="14:15" x14ac:dyDescent="0.35">
      <c r="N755"/>
      <c r="O755"/>
    </row>
    <row r="756" spans="14:15" x14ac:dyDescent="0.35">
      <c r="N756"/>
      <c r="O756"/>
    </row>
    <row r="757" spans="14:15" x14ac:dyDescent="0.35">
      <c r="N757"/>
      <c r="O757"/>
    </row>
    <row r="758" spans="14:15" x14ac:dyDescent="0.35">
      <c r="N758"/>
      <c r="O758"/>
    </row>
    <row r="759" spans="14:15" x14ac:dyDescent="0.35">
      <c r="N759"/>
      <c r="O759"/>
    </row>
    <row r="760" spans="14:15" x14ac:dyDescent="0.35">
      <c r="N760"/>
      <c r="O760"/>
    </row>
    <row r="761" spans="14:15" x14ac:dyDescent="0.35">
      <c r="N761"/>
      <c r="O761"/>
    </row>
    <row r="762" spans="14:15" x14ac:dyDescent="0.35">
      <c r="N762"/>
      <c r="O762"/>
    </row>
    <row r="763" spans="14:15" x14ac:dyDescent="0.35">
      <c r="N763"/>
      <c r="O763"/>
    </row>
    <row r="764" spans="14:15" x14ac:dyDescent="0.35">
      <c r="N764"/>
      <c r="O764"/>
    </row>
    <row r="765" spans="14:15" x14ac:dyDescent="0.35">
      <c r="N765"/>
      <c r="O765"/>
    </row>
    <row r="766" spans="14:15" x14ac:dyDescent="0.35">
      <c r="N766"/>
      <c r="O766"/>
    </row>
    <row r="767" spans="14:15" x14ac:dyDescent="0.35">
      <c r="N767"/>
      <c r="O767"/>
    </row>
    <row r="768" spans="14:15" x14ac:dyDescent="0.35">
      <c r="N768"/>
      <c r="O768"/>
    </row>
    <row r="769" spans="14:15" x14ac:dyDescent="0.35">
      <c r="N769"/>
      <c r="O769"/>
    </row>
    <row r="770" spans="14:15" x14ac:dyDescent="0.35">
      <c r="N770"/>
      <c r="O770"/>
    </row>
    <row r="771" spans="14:15" x14ac:dyDescent="0.35">
      <c r="N771"/>
      <c r="O771"/>
    </row>
    <row r="772" spans="14:15" x14ac:dyDescent="0.35">
      <c r="N772"/>
      <c r="O772"/>
    </row>
    <row r="773" spans="14:15" x14ac:dyDescent="0.35">
      <c r="N773"/>
      <c r="O773"/>
    </row>
    <row r="774" spans="14:15" x14ac:dyDescent="0.35">
      <c r="N774"/>
      <c r="O774"/>
    </row>
    <row r="775" spans="14:15" x14ac:dyDescent="0.35">
      <c r="N775"/>
      <c r="O775"/>
    </row>
    <row r="776" spans="14:15" x14ac:dyDescent="0.35">
      <c r="N776"/>
      <c r="O776"/>
    </row>
    <row r="777" spans="14:15" x14ac:dyDescent="0.35">
      <c r="N777"/>
      <c r="O777"/>
    </row>
    <row r="778" spans="14:15" x14ac:dyDescent="0.35">
      <c r="N778"/>
      <c r="O778"/>
    </row>
    <row r="779" spans="14:15" x14ac:dyDescent="0.35">
      <c r="N779"/>
      <c r="O779"/>
    </row>
    <row r="780" spans="14:15" x14ac:dyDescent="0.35">
      <c r="N780"/>
      <c r="O780"/>
    </row>
    <row r="781" spans="14:15" x14ac:dyDescent="0.35">
      <c r="N781"/>
      <c r="O781"/>
    </row>
    <row r="782" spans="14:15" x14ac:dyDescent="0.35">
      <c r="N782"/>
      <c r="O782"/>
    </row>
    <row r="783" spans="14:15" x14ac:dyDescent="0.35">
      <c r="N783"/>
      <c r="O783"/>
    </row>
    <row r="784" spans="14:15" x14ac:dyDescent="0.35">
      <c r="N784"/>
      <c r="O784"/>
    </row>
    <row r="785" spans="14:15" x14ac:dyDescent="0.35">
      <c r="N785"/>
      <c r="O785"/>
    </row>
    <row r="786" spans="14:15" x14ac:dyDescent="0.35">
      <c r="N786"/>
      <c r="O786"/>
    </row>
    <row r="787" spans="14:15" x14ac:dyDescent="0.35">
      <c r="N787"/>
      <c r="O787"/>
    </row>
    <row r="788" spans="14:15" x14ac:dyDescent="0.35">
      <c r="N788"/>
      <c r="O788"/>
    </row>
    <row r="789" spans="14:15" x14ac:dyDescent="0.35">
      <c r="N789"/>
      <c r="O789"/>
    </row>
    <row r="790" spans="14:15" x14ac:dyDescent="0.35">
      <c r="N790"/>
      <c r="O790"/>
    </row>
    <row r="791" spans="14:15" x14ac:dyDescent="0.35">
      <c r="N791"/>
      <c r="O791"/>
    </row>
    <row r="792" spans="14:15" x14ac:dyDescent="0.35">
      <c r="N792"/>
      <c r="O792"/>
    </row>
    <row r="793" spans="14:15" x14ac:dyDescent="0.35">
      <c r="N793"/>
      <c r="O793"/>
    </row>
    <row r="794" spans="14:15" x14ac:dyDescent="0.35">
      <c r="N794"/>
      <c r="O794"/>
    </row>
    <row r="795" spans="14:15" x14ac:dyDescent="0.35">
      <c r="N795"/>
      <c r="O795"/>
    </row>
    <row r="796" spans="14:15" x14ac:dyDescent="0.35">
      <c r="N796"/>
      <c r="O796"/>
    </row>
    <row r="797" spans="14:15" x14ac:dyDescent="0.35">
      <c r="N797"/>
      <c r="O797"/>
    </row>
    <row r="798" spans="14:15" x14ac:dyDescent="0.35">
      <c r="N798"/>
      <c r="O798"/>
    </row>
    <row r="799" spans="14:15" x14ac:dyDescent="0.35">
      <c r="N799"/>
      <c r="O799"/>
    </row>
    <row r="800" spans="14:15" x14ac:dyDescent="0.35">
      <c r="N800"/>
      <c r="O800"/>
    </row>
    <row r="801" spans="14:15" x14ac:dyDescent="0.35">
      <c r="N801"/>
      <c r="O801"/>
    </row>
    <row r="802" spans="14:15" x14ac:dyDescent="0.35">
      <c r="N802"/>
      <c r="O802"/>
    </row>
    <row r="803" spans="14:15" x14ac:dyDescent="0.35">
      <c r="N803"/>
      <c r="O803"/>
    </row>
    <row r="804" spans="14:15" x14ac:dyDescent="0.35">
      <c r="N804"/>
      <c r="O804"/>
    </row>
    <row r="805" spans="14:15" x14ac:dyDescent="0.35">
      <c r="N805"/>
      <c r="O805"/>
    </row>
    <row r="806" spans="14:15" x14ac:dyDescent="0.35">
      <c r="N806"/>
      <c r="O806"/>
    </row>
    <row r="807" spans="14:15" x14ac:dyDescent="0.35">
      <c r="N807"/>
      <c r="O807"/>
    </row>
    <row r="808" spans="14:15" x14ac:dyDescent="0.35">
      <c r="N808"/>
      <c r="O808"/>
    </row>
    <row r="809" spans="14:15" x14ac:dyDescent="0.35">
      <c r="N809"/>
      <c r="O809"/>
    </row>
    <row r="810" spans="14:15" x14ac:dyDescent="0.35">
      <c r="N810"/>
      <c r="O810"/>
    </row>
    <row r="811" spans="14:15" x14ac:dyDescent="0.35">
      <c r="N811"/>
      <c r="O811"/>
    </row>
    <row r="812" spans="14:15" x14ac:dyDescent="0.35">
      <c r="N812"/>
      <c r="O812"/>
    </row>
    <row r="813" spans="14:15" x14ac:dyDescent="0.35">
      <c r="N813"/>
      <c r="O813"/>
    </row>
    <row r="814" spans="14:15" x14ac:dyDescent="0.35">
      <c r="N814"/>
      <c r="O814"/>
    </row>
    <row r="815" spans="14:15" x14ac:dyDescent="0.35">
      <c r="N815"/>
      <c r="O815"/>
    </row>
    <row r="816" spans="14:15" x14ac:dyDescent="0.35">
      <c r="N816"/>
      <c r="O816"/>
    </row>
    <row r="817" spans="14:15" x14ac:dyDescent="0.35">
      <c r="N817"/>
      <c r="O817"/>
    </row>
    <row r="818" spans="14:15" x14ac:dyDescent="0.35">
      <c r="N818"/>
      <c r="O818"/>
    </row>
    <row r="819" spans="14:15" x14ac:dyDescent="0.35">
      <c r="N819"/>
      <c r="O819"/>
    </row>
    <row r="820" spans="14:15" x14ac:dyDescent="0.35">
      <c r="N820"/>
      <c r="O820"/>
    </row>
    <row r="821" spans="14:15" x14ac:dyDescent="0.35">
      <c r="N821"/>
      <c r="O821"/>
    </row>
    <row r="822" spans="14:15" x14ac:dyDescent="0.35">
      <c r="N822"/>
      <c r="O822"/>
    </row>
    <row r="823" spans="14:15" x14ac:dyDescent="0.35">
      <c r="N823"/>
      <c r="O823"/>
    </row>
    <row r="824" spans="14:15" x14ac:dyDescent="0.35">
      <c r="N824"/>
      <c r="O824"/>
    </row>
    <row r="825" spans="14:15" x14ac:dyDescent="0.35">
      <c r="N825"/>
      <c r="O825"/>
    </row>
    <row r="826" spans="14:15" x14ac:dyDescent="0.35">
      <c r="N826"/>
      <c r="O826"/>
    </row>
    <row r="827" spans="14:15" x14ac:dyDescent="0.35">
      <c r="N827"/>
      <c r="O827"/>
    </row>
    <row r="828" spans="14:15" x14ac:dyDescent="0.35">
      <c r="N828"/>
      <c r="O828"/>
    </row>
    <row r="829" spans="14:15" x14ac:dyDescent="0.35">
      <c r="N829"/>
      <c r="O829"/>
    </row>
    <row r="830" spans="14:15" x14ac:dyDescent="0.35">
      <c r="N830"/>
      <c r="O830"/>
    </row>
    <row r="831" spans="14:15" x14ac:dyDescent="0.35">
      <c r="N831"/>
      <c r="O831"/>
    </row>
    <row r="832" spans="14:15" x14ac:dyDescent="0.35">
      <c r="N832"/>
      <c r="O832"/>
    </row>
    <row r="833" spans="14:15" x14ac:dyDescent="0.35">
      <c r="N833"/>
      <c r="O833"/>
    </row>
    <row r="834" spans="14:15" x14ac:dyDescent="0.35">
      <c r="N834"/>
      <c r="O834"/>
    </row>
    <row r="835" spans="14:15" x14ac:dyDescent="0.35">
      <c r="N835"/>
      <c r="O835"/>
    </row>
    <row r="836" spans="14:15" x14ac:dyDescent="0.35">
      <c r="N836"/>
      <c r="O836"/>
    </row>
    <row r="837" spans="14:15" x14ac:dyDescent="0.35">
      <c r="N837"/>
      <c r="O837"/>
    </row>
    <row r="838" spans="14:15" x14ac:dyDescent="0.35">
      <c r="N838"/>
      <c r="O838"/>
    </row>
    <row r="839" spans="14:15" x14ac:dyDescent="0.35">
      <c r="N839"/>
      <c r="O839"/>
    </row>
    <row r="840" spans="14:15" x14ac:dyDescent="0.35">
      <c r="N840"/>
      <c r="O840"/>
    </row>
    <row r="841" spans="14:15" x14ac:dyDescent="0.35">
      <c r="N841"/>
      <c r="O841"/>
    </row>
    <row r="842" spans="14:15" x14ac:dyDescent="0.35">
      <c r="N842"/>
      <c r="O842"/>
    </row>
    <row r="843" spans="14:15" x14ac:dyDescent="0.35">
      <c r="N843"/>
      <c r="O843"/>
    </row>
    <row r="844" spans="14:15" x14ac:dyDescent="0.35">
      <c r="N844"/>
      <c r="O844"/>
    </row>
    <row r="845" spans="14:15" x14ac:dyDescent="0.35">
      <c r="N845"/>
      <c r="O845"/>
    </row>
    <row r="846" spans="14:15" x14ac:dyDescent="0.35">
      <c r="N846"/>
      <c r="O846"/>
    </row>
    <row r="847" spans="14:15" x14ac:dyDescent="0.35">
      <c r="N847"/>
      <c r="O847"/>
    </row>
    <row r="848" spans="14:15" x14ac:dyDescent="0.35">
      <c r="N848"/>
      <c r="O848"/>
    </row>
    <row r="849" spans="14:15" x14ac:dyDescent="0.35">
      <c r="N849"/>
      <c r="O849"/>
    </row>
    <row r="850" spans="14:15" x14ac:dyDescent="0.35">
      <c r="N850"/>
      <c r="O850"/>
    </row>
    <row r="851" spans="14:15" x14ac:dyDescent="0.35">
      <c r="N851"/>
      <c r="O851"/>
    </row>
    <row r="852" spans="14:15" x14ac:dyDescent="0.35">
      <c r="N852"/>
      <c r="O852"/>
    </row>
    <row r="853" spans="14:15" x14ac:dyDescent="0.35">
      <c r="N853"/>
      <c r="O853"/>
    </row>
    <row r="854" spans="14:15" x14ac:dyDescent="0.35">
      <c r="N854"/>
      <c r="O854"/>
    </row>
    <row r="855" spans="14:15" x14ac:dyDescent="0.35">
      <c r="N855"/>
      <c r="O855"/>
    </row>
    <row r="856" spans="14:15" x14ac:dyDescent="0.35">
      <c r="N856"/>
      <c r="O856"/>
    </row>
    <row r="857" spans="14:15" x14ac:dyDescent="0.35">
      <c r="N857"/>
      <c r="O857"/>
    </row>
    <row r="858" spans="14:15" x14ac:dyDescent="0.35">
      <c r="N858"/>
      <c r="O858"/>
    </row>
    <row r="859" spans="14:15" x14ac:dyDescent="0.35">
      <c r="N859"/>
      <c r="O859"/>
    </row>
    <row r="860" spans="14:15" x14ac:dyDescent="0.35">
      <c r="N860"/>
      <c r="O860"/>
    </row>
    <row r="861" spans="14:15" x14ac:dyDescent="0.35">
      <c r="N861"/>
      <c r="O861"/>
    </row>
    <row r="862" spans="14:15" x14ac:dyDescent="0.35">
      <c r="N862"/>
      <c r="O862"/>
    </row>
    <row r="863" spans="14:15" x14ac:dyDescent="0.35">
      <c r="N863"/>
      <c r="O863"/>
    </row>
    <row r="864" spans="14:15" x14ac:dyDescent="0.35">
      <c r="N864"/>
      <c r="O864"/>
    </row>
    <row r="865" spans="14:15" x14ac:dyDescent="0.35">
      <c r="N865"/>
      <c r="O865"/>
    </row>
    <row r="866" spans="14:15" x14ac:dyDescent="0.35">
      <c r="N866"/>
      <c r="O866"/>
    </row>
    <row r="867" spans="14:15" x14ac:dyDescent="0.35">
      <c r="N867"/>
      <c r="O867"/>
    </row>
    <row r="868" spans="14:15" x14ac:dyDescent="0.35">
      <c r="N868"/>
      <c r="O868"/>
    </row>
    <row r="869" spans="14:15" x14ac:dyDescent="0.35">
      <c r="N869"/>
      <c r="O869"/>
    </row>
    <row r="870" spans="14:15" x14ac:dyDescent="0.35">
      <c r="N870"/>
      <c r="O870"/>
    </row>
    <row r="871" spans="14:15" x14ac:dyDescent="0.35">
      <c r="N871"/>
      <c r="O871"/>
    </row>
    <row r="872" spans="14:15" x14ac:dyDescent="0.35">
      <c r="N872"/>
      <c r="O872"/>
    </row>
    <row r="873" spans="14:15" x14ac:dyDescent="0.35">
      <c r="N873"/>
      <c r="O873"/>
    </row>
    <row r="874" spans="14:15" x14ac:dyDescent="0.35">
      <c r="N874"/>
      <c r="O874"/>
    </row>
    <row r="875" spans="14:15" x14ac:dyDescent="0.35">
      <c r="N875"/>
      <c r="O875"/>
    </row>
    <row r="876" spans="14:15" x14ac:dyDescent="0.35">
      <c r="N876"/>
      <c r="O876"/>
    </row>
    <row r="877" spans="14:15" x14ac:dyDescent="0.35">
      <c r="N877"/>
      <c r="O877"/>
    </row>
    <row r="878" spans="14:15" x14ac:dyDescent="0.35">
      <c r="N878"/>
      <c r="O878"/>
    </row>
    <row r="879" spans="14:15" x14ac:dyDescent="0.35">
      <c r="N879"/>
      <c r="O879"/>
    </row>
    <row r="880" spans="14:15" x14ac:dyDescent="0.35">
      <c r="N880"/>
      <c r="O880"/>
    </row>
    <row r="881" spans="14:15" x14ac:dyDescent="0.35">
      <c r="N881"/>
      <c r="O881"/>
    </row>
    <row r="882" spans="14:15" x14ac:dyDescent="0.35">
      <c r="N882"/>
      <c r="O882"/>
    </row>
    <row r="883" spans="14:15" x14ac:dyDescent="0.35">
      <c r="N883"/>
      <c r="O883"/>
    </row>
    <row r="884" spans="14:15" x14ac:dyDescent="0.35">
      <c r="N884"/>
      <c r="O884"/>
    </row>
    <row r="885" spans="14:15" x14ac:dyDescent="0.35">
      <c r="N885"/>
      <c r="O885"/>
    </row>
    <row r="886" spans="14:15" x14ac:dyDescent="0.35">
      <c r="N886"/>
      <c r="O886"/>
    </row>
    <row r="887" spans="14:15" x14ac:dyDescent="0.35">
      <c r="N887"/>
      <c r="O887"/>
    </row>
    <row r="888" spans="14:15" x14ac:dyDescent="0.35">
      <c r="N888"/>
      <c r="O888"/>
    </row>
    <row r="889" spans="14:15" x14ac:dyDescent="0.35">
      <c r="N889"/>
      <c r="O889"/>
    </row>
    <row r="890" spans="14:15" x14ac:dyDescent="0.35">
      <c r="N890"/>
      <c r="O890"/>
    </row>
    <row r="891" spans="14:15" x14ac:dyDescent="0.35">
      <c r="N891"/>
      <c r="O891"/>
    </row>
    <row r="892" spans="14:15" x14ac:dyDescent="0.35">
      <c r="N892"/>
      <c r="O892"/>
    </row>
    <row r="893" spans="14:15" x14ac:dyDescent="0.35">
      <c r="N893"/>
      <c r="O893"/>
    </row>
    <row r="894" spans="14:15" x14ac:dyDescent="0.35">
      <c r="N894"/>
      <c r="O894"/>
    </row>
    <row r="895" spans="14:15" x14ac:dyDescent="0.35">
      <c r="N895"/>
      <c r="O895"/>
    </row>
    <row r="896" spans="14:15" x14ac:dyDescent="0.35">
      <c r="N896"/>
      <c r="O896"/>
    </row>
    <row r="897" spans="14:15" x14ac:dyDescent="0.35">
      <c r="N897"/>
      <c r="O897"/>
    </row>
    <row r="898" spans="14:15" x14ac:dyDescent="0.35">
      <c r="N898"/>
      <c r="O898"/>
    </row>
    <row r="899" spans="14:15" x14ac:dyDescent="0.35">
      <c r="N899"/>
      <c r="O899"/>
    </row>
    <row r="900" spans="14:15" x14ac:dyDescent="0.35">
      <c r="N900"/>
      <c r="O900"/>
    </row>
    <row r="901" spans="14:15" x14ac:dyDescent="0.35">
      <c r="N901"/>
      <c r="O901"/>
    </row>
    <row r="902" spans="14:15" x14ac:dyDescent="0.35">
      <c r="N902"/>
      <c r="O902"/>
    </row>
    <row r="903" spans="14:15" x14ac:dyDescent="0.35">
      <c r="N903"/>
      <c r="O903"/>
    </row>
    <row r="904" spans="14:15" x14ac:dyDescent="0.35">
      <c r="N904"/>
      <c r="O904"/>
    </row>
    <row r="905" spans="14:15" x14ac:dyDescent="0.35">
      <c r="N905"/>
      <c r="O905"/>
    </row>
    <row r="906" spans="14:15" x14ac:dyDescent="0.35">
      <c r="N906"/>
      <c r="O906"/>
    </row>
    <row r="907" spans="14:15" x14ac:dyDescent="0.35">
      <c r="N907"/>
      <c r="O907"/>
    </row>
    <row r="908" spans="14:15" x14ac:dyDescent="0.35">
      <c r="N908"/>
      <c r="O908"/>
    </row>
    <row r="909" spans="14:15" x14ac:dyDescent="0.35">
      <c r="N909"/>
      <c r="O909"/>
    </row>
    <row r="910" spans="14:15" x14ac:dyDescent="0.35">
      <c r="N910"/>
      <c r="O910"/>
    </row>
    <row r="911" spans="14:15" x14ac:dyDescent="0.35">
      <c r="N911"/>
      <c r="O911"/>
    </row>
    <row r="912" spans="14:15" x14ac:dyDescent="0.35">
      <c r="N912"/>
      <c r="O912"/>
    </row>
    <row r="913" spans="14:15" x14ac:dyDescent="0.35">
      <c r="N913"/>
      <c r="O913"/>
    </row>
    <row r="914" spans="14:15" x14ac:dyDescent="0.35">
      <c r="N914"/>
      <c r="O914"/>
    </row>
    <row r="915" spans="14:15" x14ac:dyDescent="0.35">
      <c r="N915"/>
      <c r="O915"/>
    </row>
    <row r="916" spans="14:15" x14ac:dyDescent="0.35">
      <c r="N916"/>
      <c r="O916"/>
    </row>
    <row r="917" spans="14:15" x14ac:dyDescent="0.35">
      <c r="N917"/>
      <c r="O917"/>
    </row>
    <row r="918" spans="14:15" x14ac:dyDescent="0.35">
      <c r="N918"/>
      <c r="O918"/>
    </row>
    <row r="919" spans="14:15" x14ac:dyDescent="0.35">
      <c r="N919"/>
      <c r="O919"/>
    </row>
    <row r="920" spans="14:15" x14ac:dyDescent="0.35">
      <c r="N920"/>
      <c r="O920"/>
    </row>
    <row r="921" spans="14:15" x14ac:dyDescent="0.35">
      <c r="N921"/>
      <c r="O921"/>
    </row>
    <row r="922" spans="14:15" x14ac:dyDescent="0.35">
      <c r="N922"/>
      <c r="O922"/>
    </row>
    <row r="923" spans="14:15" x14ac:dyDescent="0.35">
      <c r="N923"/>
      <c r="O923"/>
    </row>
    <row r="924" spans="14:15" x14ac:dyDescent="0.35">
      <c r="N924"/>
      <c r="O924"/>
    </row>
    <row r="925" spans="14:15" x14ac:dyDescent="0.35">
      <c r="N925"/>
      <c r="O925"/>
    </row>
    <row r="926" spans="14:15" x14ac:dyDescent="0.35">
      <c r="N926"/>
      <c r="O926"/>
    </row>
    <row r="927" spans="14:15" x14ac:dyDescent="0.35">
      <c r="N927"/>
      <c r="O927"/>
    </row>
    <row r="928" spans="14:15" x14ac:dyDescent="0.35">
      <c r="N928"/>
      <c r="O928"/>
    </row>
    <row r="929" spans="14:15" x14ac:dyDescent="0.35">
      <c r="N929"/>
      <c r="O929"/>
    </row>
    <row r="930" spans="14:15" x14ac:dyDescent="0.35">
      <c r="N930"/>
      <c r="O930"/>
    </row>
    <row r="931" spans="14:15" x14ac:dyDescent="0.35">
      <c r="N931"/>
      <c r="O931"/>
    </row>
    <row r="932" spans="14:15" x14ac:dyDescent="0.35">
      <c r="N932"/>
      <c r="O932"/>
    </row>
    <row r="933" spans="14:15" x14ac:dyDescent="0.35">
      <c r="N933"/>
      <c r="O933"/>
    </row>
    <row r="934" spans="14:15" x14ac:dyDescent="0.35">
      <c r="N934"/>
      <c r="O934"/>
    </row>
    <row r="935" spans="14:15" x14ac:dyDescent="0.35">
      <c r="N935"/>
      <c r="O935"/>
    </row>
    <row r="936" spans="14:15" x14ac:dyDescent="0.35">
      <c r="N936"/>
      <c r="O936"/>
    </row>
    <row r="937" spans="14:15" x14ac:dyDescent="0.35">
      <c r="N937"/>
      <c r="O937"/>
    </row>
    <row r="938" spans="14:15" x14ac:dyDescent="0.35">
      <c r="N938"/>
      <c r="O938"/>
    </row>
    <row r="939" spans="14:15" x14ac:dyDescent="0.35">
      <c r="N939"/>
      <c r="O939"/>
    </row>
    <row r="940" spans="14:15" x14ac:dyDescent="0.35">
      <c r="N940"/>
      <c r="O940"/>
    </row>
    <row r="941" spans="14:15" x14ac:dyDescent="0.35">
      <c r="N941"/>
      <c r="O941"/>
    </row>
    <row r="942" spans="14:15" x14ac:dyDescent="0.35">
      <c r="N942"/>
      <c r="O942"/>
    </row>
    <row r="943" spans="14:15" x14ac:dyDescent="0.35">
      <c r="N943"/>
      <c r="O943"/>
    </row>
    <row r="944" spans="14:15" x14ac:dyDescent="0.35">
      <c r="N944"/>
      <c r="O944"/>
    </row>
    <row r="945" spans="14:15" x14ac:dyDescent="0.35">
      <c r="N945"/>
      <c r="O945"/>
    </row>
    <row r="946" spans="14:15" x14ac:dyDescent="0.35">
      <c r="N946"/>
      <c r="O946"/>
    </row>
    <row r="947" spans="14:15" x14ac:dyDescent="0.35">
      <c r="N947"/>
      <c r="O947"/>
    </row>
    <row r="948" spans="14:15" x14ac:dyDescent="0.35">
      <c r="N948"/>
      <c r="O948"/>
    </row>
    <row r="949" spans="14:15" x14ac:dyDescent="0.35">
      <c r="N949"/>
      <c r="O949"/>
    </row>
    <row r="950" spans="14:15" x14ac:dyDescent="0.35">
      <c r="N950"/>
      <c r="O950"/>
    </row>
    <row r="951" spans="14:15" x14ac:dyDescent="0.35">
      <c r="N951"/>
      <c r="O951"/>
    </row>
    <row r="952" spans="14:15" x14ac:dyDescent="0.35">
      <c r="N952"/>
      <c r="O952"/>
    </row>
    <row r="953" spans="14:15" x14ac:dyDescent="0.35">
      <c r="N953"/>
      <c r="O953"/>
    </row>
    <row r="954" spans="14:15" x14ac:dyDescent="0.35">
      <c r="N954"/>
      <c r="O954"/>
    </row>
    <row r="955" spans="14:15" x14ac:dyDescent="0.35">
      <c r="N955"/>
      <c r="O955"/>
    </row>
    <row r="956" spans="14:15" x14ac:dyDescent="0.35">
      <c r="N956"/>
      <c r="O956"/>
    </row>
    <row r="957" spans="14:15" x14ac:dyDescent="0.35">
      <c r="N957"/>
      <c r="O957"/>
    </row>
    <row r="958" spans="14:15" x14ac:dyDescent="0.35">
      <c r="N958"/>
      <c r="O958"/>
    </row>
    <row r="959" spans="14:15" x14ac:dyDescent="0.35">
      <c r="N959"/>
      <c r="O959"/>
    </row>
    <row r="960" spans="14:15" x14ac:dyDescent="0.35">
      <c r="N960"/>
      <c r="O960"/>
    </row>
    <row r="961" spans="14:15" x14ac:dyDescent="0.35">
      <c r="N961"/>
      <c r="O961"/>
    </row>
    <row r="962" spans="14:15" x14ac:dyDescent="0.35">
      <c r="N962"/>
      <c r="O962"/>
    </row>
    <row r="963" spans="14:15" x14ac:dyDescent="0.35">
      <c r="N963"/>
      <c r="O963"/>
    </row>
    <row r="964" spans="14:15" x14ac:dyDescent="0.35">
      <c r="N964"/>
      <c r="O964"/>
    </row>
    <row r="965" spans="14:15" x14ac:dyDescent="0.35">
      <c r="N965"/>
      <c r="O965"/>
    </row>
    <row r="966" spans="14:15" x14ac:dyDescent="0.35">
      <c r="N966"/>
      <c r="O966"/>
    </row>
    <row r="967" spans="14:15" x14ac:dyDescent="0.35">
      <c r="N967"/>
      <c r="O967"/>
    </row>
    <row r="968" spans="14:15" x14ac:dyDescent="0.35">
      <c r="N968"/>
      <c r="O968"/>
    </row>
    <row r="969" spans="14:15" x14ac:dyDescent="0.35">
      <c r="N969"/>
      <c r="O969"/>
    </row>
    <row r="970" spans="14:15" x14ac:dyDescent="0.35">
      <c r="N970"/>
      <c r="O970"/>
    </row>
    <row r="971" spans="14:15" x14ac:dyDescent="0.35">
      <c r="N971"/>
      <c r="O971"/>
    </row>
    <row r="972" spans="14:15" x14ac:dyDescent="0.35">
      <c r="N972"/>
      <c r="O972"/>
    </row>
    <row r="973" spans="14:15" x14ac:dyDescent="0.35">
      <c r="N973"/>
      <c r="O973"/>
    </row>
    <row r="974" spans="14:15" x14ac:dyDescent="0.35">
      <c r="N974"/>
      <c r="O974"/>
    </row>
    <row r="975" spans="14:15" x14ac:dyDescent="0.35">
      <c r="N975"/>
      <c r="O975"/>
    </row>
    <row r="976" spans="14:15" x14ac:dyDescent="0.35">
      <c r="N976"/>
      <c r="O976"/>
    </row>
    <row r="977" spans="14:15" x14ac:dyDescent="0.35">
      <c r="N977"/>
      <c r="O977"/>
    </row>
    <row r="978" spans="14:15" x14ac:dyDescent="0.35">
      <c r="N978"/>
      <c r="O978"/>
    </row>
    <row r="979" spans="14:15" x14ac:dyDescent="0.35">
      <c r="N979"/>
      <c r="O979"/>
    </row>
    <row r="980" spans="14:15" x14ac:dyDescent="0.35">
      <c r="N980"/>
      <c r="O980"/>
    </row>
    <row r="981" spans="14:15" x14ac:dyDescent="0.35">
      <c r="N981"/>
      <c r="O981"/>
    </row>
    <row r="982" spans="14:15" x14ac:dyDescent="0.35">
      <c r="N982"/>
      <c r="O982"/>
    </row>
    <row r="983" spans="14:15" x14ac:dyDescent="0.35">
      <c r="N983"/>
      <c r="O983"/>
    </row>
    <row r="984" spans="14:15" x14ac:dyDescent="0.35">
      <c r="N984"/>
      <c r="O984"/>
    </row>
    <row r="985" spans="14:15" x14ac:dyDescent="0.35">
      <c r="N985"/>
      <c r="O985"/>
    </row>
    <row r="986" spans="14:15" x14ac:dyDescent="0.35">
      <c r="N986"/>
      <c r="O986"/>
    </row>
    <row r="987" spans="14:15" x14ac:dyDescent="0.35">
      <c r="N987"/>
      <c r="O987"/>
    </row>
    <row r="988" spans="14:15" x14ac:dyDescent="0.35">
      <c r="N988"/>
      <c r="O988"/>
    </row>
    <row r="989" spans="14:15" x14ac:dyDescent="0.35">
      <c r="N989"/>
      <c r="O989"/>
    </row>
    <row r="990" spans="14:15" x14ac:dyDescent="0.35">
      <c r="N990"/>
      <c r="O990"/>
    </row>
    <row r="991" spans="14:15" x14ac:dyDescent="0.35">
      <c r="N991"/>
      <c r="O991"/>
    </row>
    <row r="992" spans="14:15" x14ac:dyDescent="0.35">
      <c r="N992"/>
      <c r="O992"/>
    </row>
    <row r="993" spans="14:15" x14ac:dyDescent="0.35">
      <c r="N993"/>
      <c r="O993"/>
    </row>
    <row r="994" spans="14:15" x14ac:dyDescent="0.35">
      <c r="N994"/>
      <c r="O994"/>
    </row>
    <row r="995" spans="14:15" x14ac:dyDescent="0.35">
      <c r="N995"/>
      <c r="O995"/>
    </row>
    <row r="996" spans="14:15" x14ac:dyDescent="0.35">
      <c r="N996"/>
      <c r="O996"/>
    </row>
    <row r="997" spans="14:15" x14ac:dyDescent="0.35">
      <c r="N997"/>
      <c r="O997"/>
    </row>
    <row r="998" spans="14:15" x14ac:dyDescent="0.35">
      <c r="N998"/>
      <c r="O998"/>
    </row>
    <row r="999" spans="14:15" x14ac:dyDescent="0.35">
      <c r="N999"/>
      <c r="O999"/>
    </row>
    <row r="1000" spans="14:15" x14ac:dyDescent="0.35">
      <c r="N1000"/>
      <c r="O1000"/>
    </row>
    <row r="1001" spans="14:15" x14ac:dyDescent="0.35">
      <c r="N1001"/>
      <c r="O1001"/>
    </row>
    <row r="1002" spans="14:15" x14ac:dyDescent="0.35">
      <c r="N1002"/>
      <c r="O1002"/>
    </row>
    <row r="1003" spans="14:15" x14ac:dyDescent="0.35">
      <c r="N1003"/>
      <c r="O1003"/>
    </row>
    <row r="1004" spans="14:15" x14ac:dyDescent="0.35">
      <c r="N1004"/>
      <c r="O1004"/>
    </row>
    <row r="1005" spans="14:15" x14ac:dyDescent="0.35">
      <c r="N1005"/>
      <c r="O1005"/>
    </row>
    <row r="1006" spans="14:15" x14ac:dyDescent="0.35">
      <c r="N1006"/>
      <c r="O1006"/>
    </row>
    <row r="1007" spans="14:15" x14ac:dyDescent="0.35">
      <c r="N1007"/>
      <c r="O1007"/>
    </row>
    <row r="1008" spans="14:15" x14ac:dyDescent="0.35">
      <c r="N1008"/>
      <c r="O1008"/>
    </row>
    <row r="1009" spans="14:15" x14ac:dyDescent="0.35">
      <c r="N1009"/>
      <c r="O1009"/>
    </row>
    <row r="1010" spans="14:15" x14ac:dyDescent="0.35">
      <c r="N1010"/>
      <c r="O1010"/>
    </row>
    <row r="1011" spans="14:15" x14ac:dyDescent="0.35">
      <c r="N1011"/>
      <c r="O1011"/>
    </row>
    <row r="1012" spans="14:15" x14ac:dyDescent="0.35">
      <c r="N1012"/>
      <c r="O1012"/>
    </row>
    <row r="1013" spans="14:15" x14ac:dyDescent="0.35">
      <c r="N1013"/>
      <c r="O1013"/>
    </row>
    <row r="1014" spans="14:15" x14ac:dyDescent="0.35">
      <c r="N1014"/>
      <c r="O1014"/>
    </row>
    <row r="1015" spans="14:15" x14ac:dyDescent="0.35">
      <c r="N1015"/>
      <c r="O1015"/>
    </row>
    <row r="1016" spans="14:15" x14ac:dyDescent="0.35">
      <c r="N1016"/>
      <c r="O1016"/>
    </row>
    <row r="1017" spans="14:15" x14ac:dyDescent="0.35">
      <c r="N1017"/>
      <c r="O1017"/>
    </row>
    <row r="1018" spans="14:15" x14ac:dyDescent="0.35">
      <c r="N1018"/>
      <c r="O1018"/>
    </row>
    <row r="1019" spans="14:15" x14ac:dyDescent="0.35">
      <c r="N1019"/>
      <c r="O1019"/>
    </row>
    <row r="1020" spans="14:15" x14ac:dyDescent="0.35">
      <c r="N1020"/>
      <c r="O1020"/>
    </row>
    <row r="1021" spans="14:15" x14ac:dyDescent="0.35">
      <c r="N1021"/>
      <c r="O1021"/>
    </row>
    <row r="1022" spans="14:15" x14ac:dyDescent="0.35">
      <c r="N1022"/>
      <c r="O1022"/>
    </row>
    <row r="1023" spans="14:15" x14ac:dyDescent="0.35">
      <c r="N1023"/>
      <c r="O1023"/>
    </row>
    <row r="1024" spans="14:15" x14ac:dyDescent="0.35">
      <c r="N1024"/>
      <c r="O1024"/>
    </row>
    <row r="1025" spans="14:15" x14ac:dyDescent="0.35">
      <c r="N1025"/>
      <c r="O1025"/>
    </row>
    <row r="1026" spans="14:15" x14ac:dyDescent="0.35">
      <c r="N1026"/>
      <c r="O1026"/>
    </row>
    <row r="1027" spans="14:15" x14ac:dyDescent="0.35">
      <c r="N1027"/>
      <c r="O1027"/>
    </row>
    <row r="1028" spans="14:15" x14ac:dyDescent="0.35">
      <c r="N1028"/>
      <c r="O1028"/>
    </row>
    <row r="1029" spans="14:15" x14ac:dyDescent="0.35">
      <c r="N1029"/>
      <c r="O1029"/>
    </row>
    <row r="1030" spans="14:15" x14ac:dyDescent="0.35">
      <c r="N1030"/>
      <c r="O1030"/>
    </row>
    <row r="1031" spans="14:15" x14ac:dyDescent="0.35">
      <c r="N1031"/>
      <c r="O1031"/>
    </row>
    <row r="1032" spans="14:15" x14ac:dyDescent="0.35">
      <c r="N1032"/>
      <c r="O1032"/>
    </row>
    <row r="1033" spans="14:15" x14ac:dyDescent="0.35">
      <c r="N1033"/>
      <c r="O1033"/>
    </row>
    <row r="1034" spans="14:15" x14ac:dyDescent="0.35">
      <c r="N1034"/>
      <c r="O1034"/>
    </row>
    <row r="1035" spans="14:15" x14ac:dyDescent="0.35">
      <c r="N1035"/>
      <c r="O1035"/>
    </row>
    <row r="1036" spans="14:15" x14ac:dyDescent="0.35">
      <c r="N1036"/>
      <c r="O1036"/>
    </row>
    <row r="1037" spans="14:15" x14ac:dyDescent="0.35">
      <c r="N1037"/>
      <c r="O1037"/>
    </row>
    <row r="1038" spans="14:15" x14ac:dyDescent="0.35">
      <c r="N1038"/>
      <c r="O1038"/>
    </row>
    <row r="1039" spans="14:15" x14ac:dyDescent="0.35">
      <c r="N1039"/>
      <c r="O1039"/>
    </row>
    <row r="1040" spans="14:15" x14ac:dyDescent="0.35">
      <c r="N1040"/>
      <c r="O1040"/>
    </row>
    <row r="1041" spans="14:15" x14ac:dyDescent="0.35">
      <c r="N1041"/>
      <c r="O1041"/>
    </row>
    <row r="1042" spans="14:15" x14ac:dyDescent="0.35">
      <c r="N1042"/>
      <c r="O1042"/>
    </row>
    <row r="1043" spans="14:15" x14ac:dyDescent="0.35">
      <c r="N1043"/>
      <c r="O1043"/>
    </row>
    <row r="1044" spans="14:15" x14ac:dyDescent="0.35">
      <c r="N1044"/>
      <c r="O1044"/>
    </row>
    <row r="1045" spans="14:15" x14ac:dyDescent="0.35">
      <c r="N1045"/>
      <c r="O1045"/>
    </row>
    <row r="1046" spans="14:15" x14ac:dyDescent="0.35">
      <c r="N1046"/>
      <c r="O1046"/>
    </row>
    <row r="1047" spans="14:15" x14ac:dyDescent="0.35">
      <c r="N1047"/>
      <c r="O1047"/>
    </row>
    <row r="1048" spans="14:15" x14ac:dyDescent="0.35">
      <c r="N1048"/>
      <c r="O1048"/>
    </row>
    <row r="1049" spans="14:15" x14ac:dyDescent="0.35">
      <c r="N1049"/>
      <c r="O1049"/>
    </row>
    <row r="1050" spans="14:15" x14ac:dyDescent="0.35">
      <c r="N1050"/>
      <c r="O1050"/>
    </row>
    <row r="1051" spans="14:15" x14ac:dyDescent="0.35">
      <c r="N1051"/>
      <c r="O1051"/>
    </row>
    <row r="1052" spans="14:15" x14ac:dyDescent="0.35">
      <c r="N1052"/>
      <c r="O1052"/>
    </row>
    <row r="1053" spans="14:15" x14ac:dyDescent="0.35">
      <c r="N1053"/>
      <c r="O1053"/>
    </row>
    <row r="1054" spans="14:15" x14ac:dyDescent="0.35">
      <c r="N1054"/>
      <c r="O1054"/>
    </row>
    <row r="1055" spans="14:15" x14ac:dyDescent="0.35">
      <c r="N1055"/>
      <c r="O1055"/>
    </row>
    <row r="1056" spans="14:15" x14ac:dyDescent="0.35">
      <c r="N1056"/>
      <c r="O1056"/>
    </row>
    <row r="1057" spans="14:15" x14ac:dyDescent="0.35">
      <c r="N1057"/>
      <c r="O1057"/>
    </row>
    <row r="1058" spans="14:15" x14ac:dyDescent="0.35">
      <c r="N1058"/>
      <c r="O1058"/>
    </row>
    <row r="1059" spans="14:15" x14ac:dyDescent="0.35">
      <c r="N1059"/>
      <c r="O1059"/>
    </row>
    <row r="1060" spans="14:15" x14ac:dyDescent="0.35">
      <c r="N1060"/>
      <c r="O1060"/>
    </row>
    <row r="1061" spans="14:15" x14ac:dyDescent="0.35">
      <c r="N1061"/>
      <c r="O1061"/>
    </row>
    <row r="1062" spans="14:15" x14ac:dyDescent="0.35">
      <c r="N1062"/>
      <c r="O1062"/>
    </row>
    <row r="1063" spans="14:15" x14ac:dyDescent="0.35">
      <c r="N1063"/>
      <c r="O1063"/>
    </row>
    <row r="1064" spans="14:15" x14ac:dyDescent="0.35">
      <c r="N1064"/>
      <c r="O1064"/>
    </row>
    <row r="1065" spans="14:15" x14ac:dyDescent="0.35">
      <c r="N1065"/>
      <c r="O1065"/>
    </row>
    <row r="1066" spans="14:15" x14ac:dyDescent="0.35">
      <c r="N1066"/>
      <c r="O1066"/>
    </row>
    <row r="1067" spans="14:15" x14ac:dyDescent="0.35">
      <c r="N1067"/>
      <c r="O1067"/>
    </row>
    <row r="1068" spans="14:15" x14ac:dyDescent="0.35">
      <c r="N1068"/>
      <c r="O1068"/>
    </row>
    <row r="1069" spans="14:15" x14ac:dyDescent="0.35">
      <c r="N1069"/>
      <c r="O1069"/>
    </row>
    <row r="1070" spans="14:15" x14ac:dyDescent="0.35">
      <c r="N1070"/>
      <c r="O1070"/>
    </row>
    <row r="1071" spans="14:15" x14ac:dyDescent="0.35">
      <c r="N1071"/>
      <c r="O1071"/>
    </row>
    <row r="1072" spans="14:15" x14ac:dyDescent="0.35">
      <c r="N1072"/>
      <c r="O1072"/>
    </row>
    <row r="1073" spans="14:15" x14ac:dyDescent="0.35">
      <c r="N1073"/>
      <c r="O1073"/>
    </row>
    <row r="1074" spans="14:15" x14ac:dyDescent="0.35">
      <c r="N1074"/>
      <c r="O1074"/>
    </row>
    <row r="1075" spans="14:15" x14ac:dyDescent="0.35">
      <c r="N1075"/>
      <c r="O1075"/>
    </row>
    <row r="1076" spans="14:15" x14ac:dyDescent="0.35">
      <c r="N1076"/>
      <c r="O1076"/>
    </row>
    <row r="1077" spans="14:15" x14ac:dyDescent="0.35">
      <c r="N1077"/>
      <c r="O1077"/>
    </row>
    <row r="1078" spans="14:15" x14ac:dyDescent="0.35">
      <c r="N1078"/>
      <c r="O1078"/>
    </row>
    <row r="1079" spans="14:15" x14ac:dyDescent="0.35">
      <c r="N1079"/>
      <c r="O1079"/>
    </row>
    <row r="1080" spans="14:15" x14ac:dyDescent="0.35">
      <c r="N1080"/>
      <c r="O1080"/>
    </row>
    <row r="1081" spans="14:15" x14ac:dyDescent="0.35">
      <c r="N1081"/>
      <c r="O1081"/>
    </row>
    <row r="1082" spans="14:15" x14ac:dyDescent="0.35">
      <c r="N1082"/>
      <c r="O1082"/>
    </row>
    <row r="1083" spans="14:15" x14ac:dyDescent="0.35">
      <c r="N1083"/>
      <c r="O1083"/>
    </row>
    <row r="1084" spans="14:15" x14ac:dyDescent="0.35">
      <c r="N1084"/>
      <c r="O1084"/>
    </row>
    <row r="1085" spans="14:15" x14ac:dyDescent="0.35">
      <c r="N1085"/>
      <c r="O1085"/>
    </row>
    <row r="1086" spans="14:15" x14ac:dyDescent="0.35">
      <c r="N1086"/>
      <c r="O1086"/>
    </row>
    <row r="1087" spans="14:15" x14ac:dyDescent="0.35">
      <c r="N1087"/>
      <c r="O1087"/>
    </row>
    <row r="1088" spans="14:15" x14ac:dyDescent="0.35">
      <c r="N1088"/>
      <c r="O1088"/>
    </row>
    <row r="1089" spans="14:15" x14ac:dyDescent="0.35">
      <c r="N1089"/>
      <c r="O1089"/>
    </row>
    <row r="1090" spans="14:15" x14ac:dyDescent="0.35">
      <c r="N1090"/>
      <c r="O1090"/>
    </row>
    <row r="1091" spans="14:15" x14ac:dyDescent="0.35">
      <c r="N1091"/>
      <c r="O1091"/>
    </row>
    <row r="1092" spans="14:15" x14ac:dyDescent="0.35">
      <c r="N1092"/>
      <c r="O1092"/>
    </row>
    <row r="1093" spans="14:15" x14ac:dyDescent="0.35">
      <c r="N1093"/>
      <c r="O1093"/>
    </row>
    <row r="1094" spans="14:15" x14ac:dyDescent="0.35">
      <c r="N1094"/>
      <c r="O1094"/>
    </row>
    <row r="1095" spans="14:15" x14ac:dyDescent="0.35">
      <c r="N1095"/>
      <c r="O1095"/>
    </row>
    <row r="1096" spans="14:15" x14ac:dyDescent="0.35">
      <c r="N1096"/>
      <c r="O1096"/>
    </row>
    <row r="1097" spans="14:15" x14ac:dyDescent="0.35">
      <c r="N1097"/>
      <c r="O1097"/>
    </row>
    <row r="1098" spans="14:15" x14ac:dyDescent="0.35">
      <c r="N1098"/>
      <c r="O1098"/>
    </row>
    <row r="1099" spans="14:15" x14ac:dyDescent="0.35">
      <c r="N1099"/>
      <c r="O1099"/>
    </row>
    <row r="1100" spans="14:15" x14ac:dyDescent="0.35">
      <c r="N1100"/>
      <c r="O1100"/>
    </row>
    <row r="1101" spans="14:15" x14ac:dyDescent="0.35">
      <c r="N1101"/>
      <c r="O1101"/>
    </row>
    <row r="1102" spans="14:15" x14ac:dyDescent="0.35">
      <c r="N1102"/>
      <c r="O1102"/>
    </row>
    <row r="1103" spans="14:15" x14ac:dyDescent="0.35">
      <c r="N1103"/>
      <c r="O1103"/>
    </row>
    <row r="1104" spans="14:15" x14ac:dyDescent="0.35">
      <c r="N1104"/>
      <c r="O1104"/>
    </row>
    <row r="1105" spans="14:15" x14ac:dyDescent="0.35">
      <c r="N1105"/>
      <c r="O1105"/>
    </row>
    <row r="1106" spans="14:15" x14ac:dyDescent="0.35">
      <c r="N1106"/>
      <c r="O1106"/>
    </row>
    <row r="1107" spans="14:15" x14ac:dyDescent="0.35">
      <c r="N1107"/>
      <c r="O1107"/>
    </row>
    <row r="1108" spans="14:15" x14ac:dyDescent="0.35">
      <c r="N1108"/>
      <c r="O1108"/>
    </row>
    <row r="1109" spans="14:15" x14ac:dyDescent="0.35">
      <c r="N1109"/>
      <c r="O1109"/>
    </row>
    <row r="1110" spans="14:15" x14ac:dyDescent="0.35">
      <c r="N1110"/>
      <c r="O1110"/>
    </row>
    <row r="1111" spans="14:15" x14ac:dyDescent="0.35">
      <c r="N1111"/>
      <c r="O1111"/>
    </row>
    <row r="1112" spans="14:15" x14ac:dyDescent="0.35">
      <c r="N1112"/>
      <c r="O1112"/>
    </row>
    <row r="1113" spans="14:15" x14ac:dyDescent="0.35">
      <c r="N1113"/>
      <c r="O1113"/>
    </row>
    <row r="1114" spans="14:15" x14ac:dyDescent="0.35">
      <c r="N1114"/>
      <c r="O1114"/>
    </row>
    <row r="1115" spans="14:15" x14ac:dyDescent="0.35">
      <c r="N1115"/>
      <c r="O1115"/>
    </row>
    <row r="1116" spans="14:15" x14ac:dyDescent="0.35">
      <c r="N1116"/>
      <c r="O1116"/>
    </row>
    <row r="1117" spans="14:15" x14ac:dyDescent="0.35">
      <c r="N1117"/>
      <c r="O1117"/>
    </row>
    <row r="1118" spans="14:15" x14ac:dyDescent="0.35">
      <c r="N1118"/>
      <c r="O1118"/>
    </row>
    <row r="1119" spans="14:15" x14ac:dyDescent="0.35">
      <c r="N1119"/>
      <c r="O1119"/>
    </row>
    <row r="1120" spans="14:15" x14ac:dyDescent="0.35">
      <c r="N1120"/>
      <c r="O1120"/>
    </row>
    <row r="1121" spans="14:15" x14ac:dyDescent="0.35">
      <c r="N1121"/>
      <c r="O1121"/>
    </row>
    <row r="1122" spans="14:15" x14ac:dyDescent="0.35">
      <c r="N1122"/>
      <c r="O1122"/>
    </row>
    <row r="1123" spans="14:15" x14ac:dyDescent="0.35">
      <c r="N1123"/>
      <c r="O1123"/>
    </row>
    <row r="1124" spans="14:15" x14ac:dyDescent="0.35">
      <c r="N1124"/>
      <c r="O1124"/>
    </row>
    <row r="1125" spans="14:15" x14ac:dyDescent="0.35">
      <c r="N1125"/>
      <c r="O1125"/>
    </row>
    <row r="1126" spans="14:15" x14ac:dyDescent="0.35">
      <c r="N1126"/>
      <c r="O1126"/>
    </row>
    <row r="1127" spans="14:15" x14ac:dyDescent="0.35">
      <c r="N1127"/>
      <c r="O1127"/>
    </row>
    <row r="1128" spans="14:15" x14ac:dyDescent="0.35">
      <c r="N1128"/>
      <c r="O1128"/>
    </row>
    <row r="1129" spans="14:15" x14ac:dyDescent="0.35">
      <c r="N1129"/>
      <c r="O1129"/>
    </row>
    <row r="1130" spans="14:15" x14ac:dyDescent="0.35">
      <c r="N1130"/>
      <c r="O1130"/>
    </row>
    <row r="1131" spans="14:15" x14ac:dyDescent="0.35">
      <c r="N1131"/>
      <c r="O1131"/>
    </row>
    <row r="1132" spans="14:15" x14ac:dyDescent="0.35">
      <c r="N1132"/>
      <c r="O1132"/>
    </row>
    <row r="1133" spans="14:15" x14ac:dyDescent="0.35">
      <c r="N1133"/>
      <c r="O1133"/>
    </row>
    <row r="1134" spans="14:15" x14ac:dyDescent="0.35">
      <c r="N1134"/>
      <c r="O1134"/>
    </row>
    <row r="1135" spans="14:15" x14ac:dyDescent="0.35">
      <c r="N1135"/>
      <c r="O1135"/>
    </row>
    <row r="1136" spans="14:15" x14ac:dyDescent="0.35">
      <c r="N1136"/>
      <c r="O1136"/>
    </row>
    <row r="1137" spans="14:15" x14ac:dyDescent="0.35">
      <c r="N1137"/>
      <c r="O1137"/>
    </row>
    <row r="1138" spans="14:15" x14ac:dyDescent="0.35">
      <c r="N1138"/>
      <c r="O1138"/>
    </row>
    <row r="1139" spans="14:15" x14ac:dyDescent="0.35">
      <c r="N1139"/>
      <c r="O1139"/>
    </row>
    <row r="1140" spans="14:15" x14ac:dyDescent="0.35">
      <c r="N1140"/>
      <c r="O1140"/>
    </row>
    <row r="1141" spans="14:15" x14ac:dyDescent="0.35">
      <c r="N1141"/>
      <c r="O1141"/>
    </row>
    <row r="1142" spans="14:15" x14ac:dyDescent="0.35">
      <c r="N1142"/>
      <c r="O1142"/>
    </row>
    <row r="1143" spans="14:15" x14ac:dyDescent="0.35">
      <c r="N1143"/>
      <c r="O1143"/>
    </row>
    <row r="1144" spans="14:15" x14ac:dyDescent="0.35">
      <c r="N1144"/>
      <c r="O1144"/>
    </row>
    <row r="1145" spans="14:15" x14ac:dyDescent="0.35">
      <c r="N1145"/>
      <c r="O1145"/>
    </row>
    <row r="1146" spans="14:15" x14ac:dyDescent="0.35">
      <c r="N1146"/>
      <c r="O1146"/>
    </row>
    <row r="1147" spans="14:15" x14ac:dyDescent="0.35">
      <c r="N1147"/>
      <c r="O1147"/>
    </row>
    <row r="1148" spans="14:15" x14ac:dyDescent="0.35">
      <c r="N1148"/>
      <c r="O1148"/>
    </row>
    <row r="1149" spans="14:15" x14ac:dyDescent="0.35">
      <c r="N1149"/>
      <c r="O1149"/>
    </row>
    <row r="1150" spans="14:15" x14ac:dyDescent="0.35">
      <c r="N1150"/>
      <c r="O1150"/>
    </row>
    <row r="1151" spans="14:15" x14ac:dyDescent="0.35">
      <c r="N1151"/>
      <c r="O1151"/>
    </row>
    <row r="1152" spans="14:15" x14ac:dyDescent="0.35">
      <c r="N1152"/>
      <c r="O1152"/>
    </row>
    <row r="1153" spans="14:15" x14ac:dyDescent="0.35">
      <c r="N1153"/>
      <c r="O1153"/>
    </row>
    <row r="1154" spans="14:15" x14ac:dyDescent="0.35">
      <c r="N1154"/>
      <c r="O1154"/>
    </row>
    <row r="1155" spans="14:15" x14ac:dyDescent="0.35">
      <c r="N1155"/>
      <c r="O1155"/>
    </row>
    <row r="1156" spans="14:15" x14ac:dyDescent="0.35">
      <c r="N1156"/>
      <c r="O1156"/>
    </row>
    <row r="1157" spans="14:15" x14ac:dyDescent="0.35">
      <c r="N1157"/>
      <c r="O1157"/>
    </row>
    <row r="1158" spans="14:15" x14ac:dyDescent="0.35">
      <c r="N1158"/>
      <c r="O1158"/>
    </row>
    <row r="1159" spans="14:15" x14ac:dyDescent="0.35">
      <c r="N1159"/>
      <c r="O1159"/>
    </row>
    <row r="1160" spans="14:15" x14ac:dyDescent="0.35">
      <c r="N1160"/>
      <c r="O1160"/>
    </row>
    <row r="1161" spans="14:15" x14ac:dyDescent="0.35">
      <c r="N1161"/>
      <c r="O1161"/>
    </row>
    <row r="1162" spans="14:15" x14ac:dyDescent="0.35">
      <c r="N1162"/>
      <c r="O1162"/>
    </row>
    <row r="1163" spans="14:15" x14ac:dyDescent="0.35">
      <c r="N1163"/>
      <c r="O1163"/>
    </row>
    <row r="1164" spans="14:15" x14ac:dyDescent="0.35">
      <c r="N1164"/>
      <c r="O1164"/>
    </row>
    <row r="1165" spans="14:15" x14ac:dyDescent="0.35">
      <c r="N1165"/>
      <c r="O1165"/>
    </row>
    <row r="1166" spans="14:15" x14ac:dyDescent="0.35">
      <c r="N1166"/>
      <c r="O1166"/>
    </row>
    <row r="1167" spans="14:15" x14ac:dyDescent="0.35">
      <c r="N1167"/>
      <c r="O1167"/>
    </row>
    <row r="1168" spans="14:15" x14ac:dyDescent="0.35">
      <c r="N1168"/>
      <c r="O1168"/>
    </row>
    <row r="1169" spans="14:15" x14ac:dyDescent="0.35">
      <c r="N1169"/>
      <c r="O1169"/>
    </row>
    <row r="1170" spans="14:15" x14ac:dyDescent="0.35">
      <c r="N1170"/>
      <c r="O1170"/>
    </row>
    <row r="1171" spans="14:15" x14ac:dyDescent="0.35">
      <c r="N1171"/>
      <c r="O1171"/>
    </row>
    <row r="1172" spans="14:15" x14ac:dyDescent="0.35">
      <c r="N1172"/>
      <c r="O1172"/>
    </row>
    <row r="1173" spans="14:15" x14ac:dyDescent="0.35">
      <c r="N1173"/>
      <c r="O1173"/>
    </row>
    <row r="1174" spans="14:15" x14ac:dyDescent="0.35">
      <c r="N1174"/>
      <c r="O1174"/>
    </row>
    <row r="1175" spans="14:15" x14ac:dyDescent="0.35">
      <c r="N1175"/>
      <c r="O1175"/>
    </row>
    <row r="1176" spans="14:15" x14ac:dyDescent="0.35">
      <c r="N1176"/>
      <c r="O1176"/>
    </row>
    <row r="1177" spans="14:15" x14ac:dyDescent="0.35">
      <c r="N1177"/>
      <c r="O1177"/>
    </row>
    <row r="1178" spans="14:15" x14ac:dyDescent="0.35">
      <c r="N1178"/>
      <c r="O1178"/>
    </row>
    <row r="1179" spans="14:15" x14ac:dyDescent="0.35">
      <c r="N1179"/>
      <c r="O1179"/>
    </row>
    <row r="1180" spans="14:15" x14ac:dyDescent="0.35">
      <c r="N1180"/>
      <c r="O1180"/>
    </row>
    <row r="1181" spans="14:15" x14ac:dyDescent="0.35">
      <c r="N1181"/>
      <c r="O1181"/>
    </row>
    <row r="1182" spans="14:15" x14ac:dyDescent="0.35">
      <c r="N1182"/>
      <c r="O1182"/>
    </row>
    <row r="1183" spans="14:15" x14ac:dyDescent="0.35">
      <c r="N1183"/>
      <c r="O1183"/>
    </row>
    <row r="1184" spans="14:15" x14ac:dyDescent="0.35">
      <c r="N1184"/>
      <c r="O1184"/>
    </row>
    <row r="1185" spans="14:15" x14ac:dyDescent="0.35">
      <c r="N1185"/>
      <c r="O1185"/>
    </row>
    <row r="1186" spans="14:15" x14ac:dyDescent="0.35">
      <c r="N1186"/>
      <c r="O1186"/>
    </row>
    <row r="1187" spans="14:15" x14ac:dyDescent="0.35">
      <c r="N1187"/>
      <c r="O1187"/>
    </row>
    <row r="1188" spans="14:15" x14ac:dyDescent="0.35">
      <c r="N1188"/>
      <c r="O1188"/>
    </row>
    <row r="1189" spans="14:15" x14ac:dyDescent="0.35">
      <c r="N1189"/>
      <c r="O1189"/>
    </row>
    <row r="1190" spans="14:15" x14ac:dyDescent="0.35">
      <c r="N1190"/>
      <c r="O1190"/>
    </row>
    <row r="1191" spans="14:15" x14ac:dyDescent="0.35">
      <c r="N1191"/>
      <c r="O1191"/>
    </row>
    <row r="1192" spans="14:15" x14ac:dyDescent="0.35">
      <c r="N1192"/>
      <c r="O1192"/>
    </row>
    <row r="1193" spans="14:15" x14ac:dyDescent="0.35">
      <c r="N1193"/>
      <c r="O1193"/>
    </row>
    <row r="1194" spans="14:15" x14ac:dyDescent="0.35">
      <c r="N1194"/>
      <c r="O1194"/>
    </row>
    <row r="1195" spans="14:15" x14ac:dyDescent="0.35">
      <c r="N1195"/>
      <c r="O1195"/>
    </row>
    <row r="1196" spans="14:15" x14ac:dyDescent="0.35">
      <c r="N1196"/>
      <c r="O1196"/>
    </row>
    <row r="1197" spans="14:15" x14ac:dyDescent="0.35">
      <c r="N1197"/>
      <c r="O1197"/>
    </row>
    <row r="1198" spans="14:15" x14ac:dyDescent="0.35">
      <c r="N1198"/>
      <c r="O1198"/>
    </row>
    <row r="1199" spans="14:15" x14ac:dyDescent="0.35">
      <c r="N1199"/>
      <c r="O1199"/>
    </row>
    <row r="1200" spans="14:15" x14ac:dyDescent="0.35">
      <c r="N1200"/>
      <c r="O1200"/>
    </row>
    <row r="1201" spans="14:15" x14ac:dyDescent="0.35">
      <c r="N1201"/>
      <c r="O1201"/>
    </row>
    <row r="1202" spans="14:15" x14ac:dyDescent="0.35">
      <c r="N1202"/>
      <c r="O1202"/>
    </row>
    <row r="1203" spans="14:15" x14ac:dyDescent="0.35">
      <c r="N1203"/>
      <c r="O1203"/>
    </row>
    <row r="1204" spans="14:15" x14ac:dyDescent="0.35">
      <c r="N1204"/>
      <c r="O1204"/>
    </row>
    <row r="1205" spans="14:15" x14ac:dyDescent="0.35">
      <c r="N1205"/>
      <c r="O1205"/>
    </row>
    <row r="1206" spans="14:15" x14ac:dyDescent="0.35">
      <c r="N1206"/>
      <c r="O1206"/>
    </row>
    <row r="1207" spans="14:15" x14ac:dyDescent="0.35">
      <c r="N1207"/>
      <c r="O1207"/>
    </row>
    <row r="1208" spans="14:15" x14ac:dyDescent="0.35">
      <c r="N1208"/>
      <c r="O1208"/>
    </row>
    <row r="1209" spans="14:15" x14ac:dyDescent="0.35">
      <c r="N1209"/>
      <c r="O1209"/>
    </row>
    <row r="1210" spans="14:15" x14ac:dyDescent="0.35">
      <c r="N1210"/>
      <c r="O1210"/>
    </row>
    <row r="1211" spans="14:15" x14ac:dyDescent="0.35">
      <c r="N1211"/>
      <c r="O1211"/>
    </row>
    <row r="1212" spans="14:15" x14ac:dyDescent="0.35">
      <c r="N1212"/>
      <c r="O1212"/>
    </row>
    <row r="1213" spans="14:15" x14ac:dyDescent="0.35">
      <c r="N1213"/>
      <c r="O1213"/>
    </row>
    <row r="1214" spans="14:15" x14ac:dyDescent="0.35">
      <c r="N1214"/>
      <c r="O1214"/>
    </row>
    <row r="1215" spans="14:15" x14ac:dyDescent="0.35">
      <c r="N1215"/>
      <c r="O1215"/>
    </row>
    <row r="1216" spans="14:15" x14ac:dyDescent="0.35">
      <c r="N1216"/>
      <c r="O1216"/>
    </row>
    <row r="1217" spans="14:15" x14ac:dyDescent="0.35">
      <c r="N1217"/>
      <c r="O1217"/>
    </row>
    <row r="1218" spans="14:15" x14ac:dyDescent="0.35">
      <c r="N1218"/>
      <c r="O1218"/>
    </row>
    <row r="1219" spans="14:15" x14ac:dyDescent="0.35">
      <c r="N1219"/>
      <c r="O1219"/>
    </row>
    <row r="1220" spans="14:15" x14ac:dyDescent="0.35">
      <c r="N1220"/>
      <c r="O1220"/>
    </row>
    <row r="1221" spans="14:15" x14ac:dyDescent="0.35">
      <c r="N1221"/>
      <c r="O1221"/>
    </row>
    <row r="1222" spans="14:15" x14ac:dyDescent="0.35">
      <c r="N1222"/>
      <c r="O1222"/>
    </row>
    <row r="1223" spans="14:15" x14ac:dyDescent="0.35">
      <c r="N1223"/>
      <c r="O1223"/>
    </row>
    <row r="1224" spans="14:15" x14ac:dyDescent="0.35">
      <c r="N1224"/>
      <c r="O1224"/>
    </row>
    <row r="1225" spans="14:15" x14ac:dyDescent="0.35">
      <c r="N1225"/>
      <c r="O1225"/>
    </row>
    <row r="1226" spans="14:15" x14ac:dyDescent="0.35">
      <c r="N1226"/>
      <c r="O1226"/>
    </row>
    <row r="1227" spans="14:15" x14ac:dyDescent="0.35">
      <c r="N1227"/>
      <c r="O1227"/>
    </row>
    <row r="1228" spans="14:15" x14ac:dyDescent="0.35">
      <c r="N1228"/>
      <c r="O1228"/>
    </row>
    <row r="1229" spans="14:15" x14ac:dyDescent="0.35">
      <c r="N1229"/>
      <c r="O1229"/>
    </row>
    <row r="1230" spans="14:15" x14ac:dyDescent="0.35">
      <c r="N1230"/>
      <c r="O1230"/>
    </row>
    <row r="1231" spans="14:15" x14ac:dyDescent="0.35">
      <c r="N1231"/>
      <c r="O1231"/>
    </row>
    <row r="1232" spans="14:15" x14ac:dyDescent="0.35">
      <c r="N1232"/>
      <c r="O1232"/>
    </row>
    <row r="1233" spans="14:15" x14ac:dyDescent="0.35">
      <c r="N1233"/>
      <c r="O1233"/>
    </row>
    <row r="1234" spans="14:15" x14ac:dyDescent="0.35">
      <c r="N1234"/>
      <c r="O1234"/>
    </row>
    <row r="1235" spans="14:15" x14ac:dyDescent="0.35">
      <c r="N1235"/>
      <c r="O1235"/>
    </row>
    <row r="1236" spans="14:15" x14ac:dyDescent="0.35">
      <c r="N1236"/>
      <c r="O1236"/>
    </row>
    <row r="1237" spans="14:15" x14ac:dyDescent="0.35">
      <c r="N1237"/>
      <c r="O1237"/>
    </row>
    <row r="1238" spans="14:15" x14ac:dyDescent="0.35">
      <c r="N1238"/>
      <c r="O1238"/>
    </row>
    <row r="1239" spans="14:15" x14ac:dyDescent="0.35">
      <c r="N1239"/>
      <c r="O1239"/>
    </row>
    <row r="1240" spans="14:15" x14ac:dyDescent="0.35">
      <c r="N1240"/>
      <c r="O1240"/>
    </row>
    <row r="1241" spans="14:15" x14ac:dyDescent="0.35">
      <c r="N1241"/>
      <c r="O1241"/>
    </row>
    <row r="1242" spans="14:15" x14ac:dyDescent="0.35">
      <c r="N1242"/>
      <c r="O1242"/>
    </row>
    <row r="1243" spans="14:15" x14ac:dyDescent="0.35">
      <c r="N1243"/>
      <c r="O1243"/>
    </row>
    <row r="1244" spans="14:15" x14ac:dyDescent="0.35">
      <c r="N1244"/>
      <c r="O1244"/>
    </row>
    <row r="1245" spans="14:15" x14ac:dyDescent="0.35">
      <c r="N1245"/>
      <c r="O1245"/>
    </row>
    <row r="1246" spans="14:15" x14ac:dyDescent="0.35">
      <c r="N1246"/>
      <c r="O1246"/>
    </row>
    <row r="1247" spans="14:15" x14ac:dyDescent="0.35">
      <c r="N1247"/>
      <c r="O1247"/>
    </row>
    <row r="1248" spans="14:15" x14ac:dyDescent="0.35">
      <c r="N1248"/>
      <c r="O1248"/>
    </row>
    <row r="1249" spans="14:15" x14ac:dyDescent="0.35">
      <c r="N1249"/>
      <c r="O1249"/>
    </row>
    <row r="1250" spans="14:15" x14ac:dyDescent="0.35">
      <c r="N1250"/>
      <c r="O1250"/>
    </row>
    <row r="1251" spans="14:15" x14ac:dyDescent="0.35">
      <c r="N1251"/>
      <c r="O1251"/>
    </row>
    <row r="1252" spans="14:15" x14ac:dyDescent="0.35">
      <c r="N1252"/>
      <c r="O1252"/>
    </row>
    <row r="1253" spans="14:15" x14ac:dyDescent="0.35">
      <c r="N1253"/>
      <c r="O1253"/>
    </row>
    <row r="1254" spans="14:15" x14ac:dyDescent="0.35">
      <c r="N1254"/>
      <c r="O1254"/>
    </row>
    <row r="1255" spans="14:15" x14ac:dyDescent="0.35">
      <c r="N1255"/>
      <c r="O1255"/>
    </row>
    <row r="1256" spans="14:15" x14ac:dyDescent="0.35">
      <c r="N1256"/>
      <c r="O1256"/>
    </row>
    <row r="1257" spans="14:15" x14ac:dyDescent="0.35">
      <c r="N1257"/>
      <c r="O1257"/>
    </row>
    <row r="1258" spans="14:15" x14ac:dyDescent="0.35">
      <c r="N1258"/>
      <c r="O1258"/>
    </row>
    <row r="1259" spans="14:15" x14ac:dyDescent="0.35">
      <c r="N1259"/>
      <c r="O1259"/>
    </row>
    <row r="1260" spans="14:15" x14ac:dyDescent="0.35">
      <c r="N1260"/>
      <c r="O1260"/>
    </row>
    <row r="1261" spans="14:15" x14ac:dyDescent="0.35">
      <c r="N1261"/>
      <c r="O1261"/>
    </row>
    <row r="1262" spans="14:15" x14ac:dyDescent="0.35">
      <c r="N1262"/>
      <c r="O1262"/>
    </row>
    <row r="1263" spans="14:15" x14ac:dyDescent="0.35">
      <c r="N1263"/>
      <c r="O1263"/>
    </row>
    <row r="1264" spans="14:15" x14ac:dyDescent="0.35">
      <c r="N1264"/>
      <c r="O1264"/>
    </row>
    <row r="1265" spans="14:15" x14ac:dyDescent="0.35">
      <c r="N1265"/>
      <c r="O1265"/>
    </row>
    <row r="1266" spans="14:15" x14ac:dyDescent="0.35">
      <c r="N1266"/>
      <c r="O1266"/>
    </row>
    <row r="1267" spans="14:15" x14ac:dyDescent="0.35">
      <c r="N1267"/>
      <c r="O1267"/>
    </row>
    <row r="1268" spans="14:15" x14ac:dyDescent="0.35">
      <c r="N1268"/>
      <c r="O1268"/>
    </row>
    <row r="1269" spans="14:15" x14ac:dyDescent="0.35">
      <c r="N1269"/>
      <c r="O1269"/>
    </row>
    <row r="1270" spans="14:15" x14ac:dyDescent="0.35">
      <c r="N1270"/>
      <c r="O1270"/>
    </row>
    <row r="1271" spans="14:15" x14ac:dyDescent="0.35">
      <c r="N1271"/>
      <c r="O1271"/>
    </row>
    <row r="1272" spans="14:15" x14ac:dyDescent="0.35">
      <c r="N1272"/>
      <c r="O1272"/>
    </row>
    <row r="1273" spans="14:15" x14ac:dyDescent="0.35">
      <c r="N1273"/>
      <c r="O1273"/>
    </row>
    <row r="1274" spans="14:15" x14ac:dyDescent="0.35">
      <c r="N1274"/>
      <c r="O1274"/>
    </row>
    <row r="1275" spans="14:15" x14ac:dyDescent="0.35">
      <c r="N1275"/>
      <c r="O1275"/>
    </row>
    <row r="1276" spans="14:15" x14ac:dyDescent="0.35">
      <c r="N1276"/>
      <c r="O1276"/>
    </row>
    <row r="1277" spans="14:15" x14ac:dyDescent="0.35">
      <c r="N1277"/>
      <c r="O1277"/>
    </row>
    <row r="1278" spans="14:15" x14ac:dyDescent="0.35">
      <c r="N1278"/>
      <c r="O1278"/>
    </row>
    <row r="1279" spans="14:15" x14ac:dyDescent="0.35">
      <c r="N1279"/>
      <c r="O1279"/>
    </row>
    <row r="1280" spans="14:15" x14ac:dyDescent="0.35">
      <c r="N1280"/>
      <c r="O1280"/>
    </row>
    <row r="1281" spans="14:15" x14ac:dyDescent="0.35">
      <c r="N1281"/>
      <c r="O1281"/>
    </row>
    <row r="1282" spans="14:15" x14ac:dyDescent="0.35">
      <c r="N1282"/>
      <c r="O1282"/>
    </row>
    <row r="1283" spans="14:15" x14ac:dyDescent="0.35">
      <c r="N1283"/>
      <c r="O1283"/>
    </row>
    <row r="1284" spans="14:15" x14ac:dyDescent="0.35">
      <c r="N1284"/>
      <c r="O1284"/>
    </row>
    <row r="1285" spans="14:15" x14ac:dyDescent="0.35">
      <c r="N1285"/>
      <c r="O1285"/>
    </row>
    <row r="1286" spans="14:15" x14ac:dyDescent="0.35">
      <c r="N1286"/>
      <c r="O1286"/>
    </row>
    <row r="1287" spans="14:15" x14ac:dyDescent="0.35">
      <c r="N1287"/>
      <c r="O1287"/>
    </row>
    <row r="1288" spans="14:15" x14ac:dyDescent="0.35">
      <c r="N1288"/>
      <c r="O1288"/>
    </row>
    <row r="1289" spans="14:15" x14ac:dyDescent="0.35">
      <c r="N1289"/>
      <c r="O1289"/>
    </row>
    <row r="1290" spans="14:15" x14ac:dyDescent="0.35">
      <c r="N1290"/>
      <c r="O1290"/>
    </row>
    <row r="1291" spans="14:15" x14ac:dyDescent="0.35">
      <c r="N1291"/>
      <c r="O1291"/>
    </row>
    <row r="1292" spans="14:15" x14ac:dyDescent="0.35">
      <c r="N1292"/>
      <c r="O1292"/>
    </row>
    <row r="1293" spans="14:15" x14ac:dyDescent="0.35">
      <c r="N1293"/>
      <c r="O1293"/>
    </row>
    <row r="1294" spans="14:15" x14ac:dyDescent="0.35">
      <c r="N1294"/>
      <c r="O1294"/>
    </row>
    <row r="1295" spans="14:15" x14ac:dyDescent="0.35">
      <c r="N1295"/>
      <c r="O1295"/>
    </row>
    <row r="1296" spans="14:15" x14ac:dyDescent="0.35">
      <c r="N1296"/>
      <c r="O1296"/>
    </row>
    <row r="1297" spans="14:15" x14ac:dyDescent="0.35">
      <c r="N1297"/>
      <c r="O1297"/>
    </row>
    <row r="1298" spans="14:15" x14ac:dyDescent="0.35">
      <c r="N1298"/>
      <c r="O1298"/>
    </row>
    <row r="1299" spans="14:15" x14ac:dyDescent="0.35">
      <c r="N1299"/>
      <c r="O1299"/>
    </row>
    <row r="1300" spans="14:15" x14ac:dyDescent="0.35">
      <c r="N1300"/>
      <c r="O1300"/>
    </row>
    <row r="1301" spans="14:15" x14ac:dyDescent="0.35">
      <c r="N1301"/>
      <c r="O1301"/>
    </row>
    <row r="1302" spans="14:15" x14ac:dyDescent="0.35">
      <c r="N1302"/>
      <c r="O1302"/>
    </row>
    <row r="1303" spans="14:15" x14ac:dyDescent="0.35">
      <c r="N1303"/>
      <c r="O1303"/>
    </row>
    <row r="1304" spans="14:15" x14ac:dyDescent="0.35">
      <c r="N1304"/>
      <c r="O1304"/>
    </row>
    <row r="1305" spans="14:15" x14ac:dyDescent="0.35">
      <c r="N1305"/>
      <c r="O1305"/>
    </row>
    <row r="1306" spans="14:15" x14ac:dyDescent="0.35">
      <c r="N1306"/>
      <c r="O1306"/>
    </row>
    <row r="1307" spans="14:15" x14ac:dyDescent="0.35">
      <c r="N1307"/>
      <c r="O1307"/>
    </row>
    <row r="1308" spans="14:15" x14ac:dyDescent="0.35">
      <c r="N1308"/>
      <c r="O1308"/>
    </row>
    <row r="1309" spans="14:15" x14ac:dyDescent="0.35">
      <c r="N1309"/>
      <c r="O1309"/>
    </row>
    <row r="1310" spans="14:15" x14ac:dyDescent="0.35">
      <c r="N1310"/>
      <c r="O1310"/>
    </row>
    <row r="1311" spans="14:15" x14ac:dyDescent="0.35">
      <c r="N1311"/>
      <c r="O1311"/>
    </row>
    <row r="1312" spans="14:15" x14ac:dyDescent="0.35">
      <c r="N1312"/>
      <c r="O1312"/>
    </row>
    <row r="1313" spans="14:15" x14ac:dyDescent="0.35">
      <c r="N1313"/>
      <c r="O1313"/>
    </row>
    <row r="1314" spans="14:15" x14ac:dyDescent="0.35">
      <c r="N1314"/>
      <c r="O1314"/>
    </row>
    <row r="1315" spans="14:15" x14ac:dyDescent="0.35">
      <c r="N1315"/>
      <c r="O1315"/>
    </row>
    <row r="1316" spans="14:15" x14ac:dyDescent="0.35">
      <c r="N1316"/>
      <c r="O1316"/>
    </row>
    <row r="1317" spans="14:15" x14ac:dyDescent="0.35">
      <c r="N1317"/>
      <c r="O1317"/>
    </row>
    <row r="1318" spans="14:15" x14ac:dyDescent="0.35">
      <c r="N1318"/>
      <c r="O1318"/>
    </row>
    <row r="1319" spans="14:15" x14ac:dyDescent="0.35">
      <c r="N1319"/>
      <c r="O1319"/>
    </row>
    <row r="1320" spans="14:15" x14ac:dyDescent="0.35">
      <c r="N1320"/>
      <c r="O1320"/>
    </row>
    <row r="1321" spans="14:15" x14ac:dyDescent="0.35">
      <c r="N1321"/>
      <c r="O1321"/>
    </row>
    <row r="1322" spans="14:15" x14ac:dyDescent="0.35">
      <c r="N1322"/>
      <c r="O1322"/>
    </row>
    <row r="1323" spans="14:15" x14ac:dyDescent="0.35">
      <c r="N1323"/>
      <c r="O1323"/>
    </row>
    <row r="1324" spans="14:15" x14ac:dyDescent="0.35">
      <c r="N1324"/>
      <c r="O1324"/>
    </row>
    <row r="1325" spans="14:15" x14ac:dyDescent="0.35">
      <c r="N1325"/>
      <c r="O1325"/>
    </row>
    <row r="1326" spans="14:15" x14ac:dyDescent="0.35">
      <c r="N1326"/>
      <c r="O1326"/>
    </row>
    <row r="1327" spans="14:15" x14ac:dyDescent="0.35">
      <c r="N1327"/>
      <c r="O1327"/>
    </row>
    <row r="1328" spans="14:15" x14ac:dyDescent="0.35">
      <c r="N1328"/>
      <c r="O1328"/>
    </row>
    <row r="1329" spans="14:15" x14ac:dyDescent="0.35">
      <c r="N1329"/>
      <c r="O1329"/>
    </row>
    <row r="1330" spans="14:15" x14ac:dyDescent="0.35">
      <c r="N1330"/>
      <c r="O1330"/>
    </row>
    <row r="1331" spans="14:15" x14ac:dyDescent="0.35">
      <c r="N1331"/>
      <c r="O1331"/>
    </row>
    <row r="1332" spans="14:15" x14ac:dyDescent="0.35">
      <c r="N1332"/>
      <c r="O1332"/>
    </row>
    <row r="1333" spans="14:15" x14ac:dyDescent="0.35">
      <c r="N1333"/>
      <c r="O1333"/>
    </row>
    <row r="1334" spans="14:15" x14ac:dyDescent="0.35">
      <c r="N1334"/>
      <c r="O1334"/>
    </row>
    <row r="1335" spans="14:15" x14ac:dyDescent="0.35">
      <c r="N1335"/>
      <c r="O1335"/>
    </row>
    <row r="1336" spans="14:15" x14ac:dyDescent="0.35">
      <c r="N1336"/>
      <c r="O1336"/>
    </row>
    <row r="1337" spans="14:15" x14ac:dyDescent="0.35">
      <c r="N1337"/>
      <c r="O1337"/>
    </row>
    <row r="1338" spans="14:15" x14ac:dyDescent="0.35">
      <c r="N1338"/>
      <c r="O1338"/>
    </row>
    <row r="1339" spans="14:15" x14ac:dyDescent="0.35">
      <c r="N1339"/>
      <c r="O1339"/>
    </row>
    <row r="1340" spans="14:15" x14ac:dyDescent="0.35">
      <c r="N1340"/>
      <c r="O1340"/>
    </row>
    <row r="1341" spans="14:15" x14ac:dyDescent="0.35">
      <c r="N1341"/>
      <c r="O1341"/>
    </row>
    <row r="1342" spans="14:15" x14ac:dyDescent="0.35">
      <c r="N1342"/>
      <c r="O1342"/>
    </row>
    <row r="1343" spans="14:15" x14ac:dyDescent="0.35">
      <c r="N1343"/>
      <c r="O1343"/>
    </row>
    <row r="1344" spans="14:15" x14ac:dyDescent="0.35">
      <c r="N1344"/>
      <c r="O1344"/>
    </row>
    <row r="1345" spans="14:15" x14ac:dyDescent="0.35">
      <c r="N1345"/>
      <c r="O1345"/>
    </row>
    <row r="1346" spans="14:15" x14ac:dyDescent="0.35">
      <c r="N1346"/>
      <c r="O1346"/>
    </row>
    <row r="1347" spans="14:15" x14ac:dyDescent="0.35">
      <c r="N1347"/>
      <c r="O1347"/>
    </row>
    <row r="1348" spans="14:15" x14ac:dyDescent="0.35">
      <c r="N1348"/>
      <c r="O1348"/>
    </row>
    <row r="1349" spans="14:15" x14ac:dyDescent="0.35">
      <c r="N1349"/>
      <c r="O1349"/>
    </row>
    <row r="1350" spans="14:15" x14ac:dyDescent="0.35">
      <c r="N1350"/>
      <c r="O1350"/>
    </row>
    <row r="1351" spans="14:15" x14ac:dyDescent="0.35">
      <c r="N1351"/>
      <c r="O1351"/>
    </row>
    <row r="1352" spans="14:15" x14ac:dyDescent="0.35">
      <c r="N1352"/>
      <c r="O1352"/>
    </row>
    <row r="1353" spans="14:15" x14ac:dyDescent="0.35">
      <c r="N1353"/>
      <c r="O1353"/>
    </row>
    <row r="1354" spans="14:15" x14ac:dyDescent="0.35">
      <c r="N1354"/>
      <c r="O1354"/>
    </row>
    <row r="1355" spans="14:15" x14ac:dyDescent="0.35">
      <c r="N1355"/>
      <c r="O1355"/>
    </row>
    <row r="1356" spans="14:15" x14ac:dyDescent="0.35">
      <c r="N1356"/>
      <c r="O1356"/>
    </row>
    <row r="1357" spans="14:15" x14ac:dyDescent="0.35">
      <c r="N1357"/>
      <c r="O1357"/>
    </row>
    <row r="1358" spans="14:15" x14ac:dyDescent="0.35">
      <c r="N1358"/>
      <c r="O1358"/>
    </row>
    <row r="1359" spans="14:15" x14ac:dyDescent="0.35">
      <c r="N1359"/>
      <c r="O1359"/>
    </row>
    <row r="1360" spans="14:15" x14ac:dyDescent="0.35">
      <c r="N1360"/>
      <c r="O1360"/>
    </row>
    <row r="1361" spans="14:15" x14ac:dyDescent="0.35">
      <c r="N1361"/>
      <c r="O1361"/>
    </row>
    <row r="1362" spans="14:15" x14ac:dyDescent="0.35">
      <c r="N1362"/>
      <c r="O1362"/>
    </row>
    <row r="1363" spans="14:15" x14ac:dyDescent="0.35">
      <c r="N1363"/>
      <c r="O1363"/>
    </row>
    <row r="1364" spans="14:15" x14ac:dyDescent="0.35">
      <c r="N1364"/>
      <c r="O1364"/>
    </row>
    <row r="1365" spans="14:15" x14ac:dyDescent="0.35">
      <c r="N1365"/>
      <c r="O1365"/>
    </row>
    <row r="1366" spans="14:15" x14ac:dyDescent="0.35">
      <c r="N1366"/>
      <c r="O1366"/>
    </row>
    <row r="1367" spans="14:15" x14ac:dyDescent="0.35">
      <c r="N1367"/>
      <c r="O1367"/>
    </row>
    <row r="1368" spans="14:15" x14ac:dyDescent="0.35">
      <c r="N1368"/>
      <c r="O1368"/>
    </row>
    <row r="1369" spans="14:15" x14ac:dyDescent="0.35">
      <c r="N1369"/>
      <c r="O1369"/>
    </row>
    <row r="1370" spans="14:15" x14ac:dyDescent="0.35">
      <c r="N1370"/>
      <c r="O1370"/>
    </row>
    <row r="1371" spans="14:15" x14ac:dyDescent="0.35">
      <c r="N1371"/>
      <c r="O1371"/>
    </row>
    <row r="1372" spans="14:15" x14ac:dyDescent="0.35">
      <c r="N1372"/>
      <c r="O1372"/>
    </row>
    <row r="1373" spans="14:15" x14ac:dyDescent="0.35">
      <c r="N1373"/>
      <c r="O1373"/>
    </row>
    <row r="1374" spans="14:15" x14ac:dyDescent="0.35">
      <c r="N1374"/>
      <c r="O1374"/>
    </row>
    <row r="1375" spans="14:15" x14ac:dyDescent="0.35">
      <c r="N1375"/>
      <c r="O1375"/>
    </row>
    <row r="1376" spans="14:15" x14ac:dyDescent="0.35">
      <c r="N1376"/>
      <c r="O1376"/>
    </row>
    <row r="1377" spans="14:15" x14ac:dyDescent="0.35">
      <c r="N1377"/>
      <c r="O1377"/>
    </row>
    <row r="1378" spans="14:15" x14ac:dyDescent="0.35">
      <c r="N1378"/>
      <c r="O1378"/>
    </row>
    <row r="1379" spans="14:15" x14ac:dyDescent="0.35">
      <c r="N1379"/>
      <c r="O1379"/>
    </row>
    <row r="1380" spans="14:15" x14ac:dyDescent="0.35">
      <c r="N1380"/>
      <c r="O1380"/>
    </row>
    <row r="1381" spans="14:15" x14ac:dyDescent="0.35">
      <c r="N1381"/>
      <c r="O1381"/>
    </row>
    <row r="1382" spans="14:15" x14ac:dyDescent="0.35">
      <c r="N1382"/>
      <c r="O1382"/>
    </row>
    <row r="1383" spans="14:15" x14ac:dyDescent="0.35">
      <c r="N1383"/>
      <c r="O1383"/>
    </row>
    <row r="1384" spans="14:15" x14ac:dyDescent="0.35">
      <c r="N1384"/>
      <c r="O1384"/>
    </row>
    <row r="1385" spans="14:15" x14ac:dyDescent="0.35">
      <c r="N1385"/>
      <c r="O1385"/>
    </row>
    <row r="1386" spans="14:15" x14ac:dyDescent="0.35">
      <c r="N1386"/>
      <c r="O1386"/>
    </row>
    <row r="1387" spans="14:15" x14ac:dyDescent="0.35">
      <c r="N1387"/>
      <c r="O1387"/>
    </row>
    <row r="1388" spans="14:15" x14ac:dyDescent="0.35">
      <c r="N1388"/>
      <c r="O1388"/>
    </row>
    <row r="1389" spans="14:15" x14ac:dyDescent="0.35">
      <c r="N1389"/>
      <c r="O1389"/>
    </row>
    <row r="1390" spans="14:15" x14ac:dyDescent="0.35">
      <c r="N1390"/>
      <c r="O1390"/>
    </row>
    <row r="1391" spans="14:15" x14ac:dyDescent="0.35">
      <c r="N1391"/>
      <c r="O1391"/>
    </row>
    <row r="1392" spans="14:15" x14ac:dyDescent="0.35">
      <c r="N1392"/>
      <c r="O1392"/>
    </row>
    <row r="1393" spans="14:15" x14ac:dyDescent="0.35">
      <c r="N1393"/>
      <c r="O1393"/>
    </row>
    <row r="1394" spans="14:15" x14ac:dyDescent="0.35">
      <c r="N1394"/>
      <c r="O1394"/>
    </row>
    <row r="1395" spans="14:15" x14ac:dyDescent="0.35">
      <c r="N1395"/>
      <c r="O1395"/>
    </row>
    <row r="1396" spans="14:15" x14ac:dyDescent="0.35">
      <c r="N1396"/>
      <c r="O1396"/>
    </row>
    <row r="1397" spans="14:15" x14ac:dyDescent="0.35">
      <c r="N1397"/>
      <c r="O1397"/>
    </row>
    <row r="1398" spans="14:15" x14ac:dyDescent="0.35">
      <c r="N1398"/>
      <c r="O1398"/>
    </row>
    <row r="1399" spans="14:15" x14ac:dyDescent="0.35">
      <c r="N1399"/>
      <c r="O1399"/>
    </row>
    <row r="1400" spans="14:15" x14ac:dyDescent="0.35">
      <c r="N1400"/>
      <c r="O1400"/>
    </row>
    <row r="1401" spans="14:15" x14ac:dyDescent="0.35">
      <c r="N1401"/>
      <c r="O1401"/>
    </row>
    <row r="1402" spans="14:15" x14ac:dyDescent="0.35">
      <c r="N1402"/>
      <c r="O1402"/>
    </row>
    <row r="1403" spans="14:15" x14ac:dyDescent="0.35">
      <c r="N1403"/>
      <c r="O1403"/>
    </row>
    <row r="1404" spans="14:15" x14ac:dyDescent="0.35">
      <c r="N1404"/>
      <c r="O1404"/>
    </row>
    <row r="1405" spans="14:15" x14ac:dyDescent="0.35">
      <c r="N1405"/>
      <c r="O1405"/>
    </row>
    <row r="1406" spans="14:15" x14ac:dyDescent="0.35">
      <c r="N1406"/>
      <c r="O1406"/>
    </row>
    <row r="1407" spans="14:15" x14ac:dyDescent="0.35">
      <c r="N1407"/>
      <c r="O1407"/>
    </row>
    <row r="1408" spans="14:15" x14ac:dyDescent="0.35">
      <c r="N1408"/>
      <c r="O1408"/>
    </row>
    <row r="1409" spans="14:15" x14ac:dyDescent="0.35">
      <c r="N1409"/>
      <c r="O1409"/>
    </row>
    <row r="1410" spans="14:15" x14ac:dyDescent="0.35">
      <c r="N1410"/>
      <c r="O1410"/>
    </row>
    <row r="1411" spans="14:15" x14ac:dyDescent="0.35">
      <c r="N1411"/>
      <c r="O1411"/>
    </row>
    <row r="1412" spans="14:15" x14ac:dyDescent="0.35">
      <c r="N1412"/>
      <c r="O1412"/>
    </row>
    <row r="1413" spans="14:15" x14ac:dyDescent="0.35">
      <c r="N1413"/>
      <c r="O1413"/>
    </row>
    <row r="1414" spans="14:15" x14ac:dyDescent="0.35">
      <c r="N1414"/>
      <c r="O1414"/>
    </row>
    <row r="1415" spans="14:15" x14ac:dyDescent="0.35">
      <c r="N1415"/>
      <c r="O1415"/>
    </row>
    <row r="1416" spans="14:15" x14ac:dyDescent="0.35">
      <c r="N1416"/>
      <c r="O1416"/>
    </row>
    <row r="1417" spans="14:15" x14ac:dyDescent="0.35">
      <c r="N1417"/>
      <c r="O1417"/>
    </row>
    <row r="1418" spans="14:15" x14ac:dyDescent="0.35">
      <c r="N1418"/>
      <c r="O1418"/>
    </row>
    <row r="1419" spans="14:15" x14ac:dyDescent="0.35">
      <c r="N1419"/>
      <c r="O1419"/>
    </row>
    <row r="1420" spans="14:15" x14ac:dyDescent="0.35">
      <c r="N1420"/>
      <c r="O1420"/>
    </row>
    <row r="1421" spans="14:15" x14ac:dyDescent="0.35">
      <c r="N1421"/>
      <c r="O1421"/>
    </row>
    <row r="1422" spans="14:15" x14ac:dyDescent="0.35">
      <c r="N1422"/>
      <c r="O1422"/>
    </row>
    <row r="1423" spans="14:15" x14ac:dyDescent="0.35">
      <c r="N1423"/>
      <c r="O1423"/>
    </row>
    <row r="1424" spans="14:15" x14ac:dyDescent="0.35">
      <c r="N1424"/>
      <c r="O1424"/>
    </row>
    <row r="1425" spans="14:15" x14ac:dyDescent="0.35">
      <c r="N1425"/>
      <c r="O1425"/>
    </row>
    <row r="1426" spans="14:15" x14ac:dyDescent="0.35">
      <c r="N1426"/>
      <c r="O1426"/>
    </row>
    <row r="1427" spans="14:15" x14ac:dyDescent="0.35">
      <c r="N1427"/>
      <c r="O1427"/>
    </row>
    <row r="1428" spans="14:15" x14ac:dyDescent="0.35">
      <c r="N1428"/>
      <c r="O1428"/>
    </row>
    <row r="1429" spans="14:15" x14ac:dyDescent="0.35">
      <c r="N1429"/>
      <c r="O1429"/>
    </row>
    <row r="1430" spans="14:15" x14ac:dyDescent="0.35">
      <c r="N1430"/>
      <c r="O1430"/>
    </row>
    <row r="1431" spans="14:15" x14ac:dyDescent="0.35">
      <c r="N1431"/>
      <c r="O1431"/>
    </row>
    <row r="1432" spans="14:15" x14ac:dyDescent="0.35">
      <c r="N1432"/>
      <c r="O1432"/>
    </row>
    <row r="1433" spans="14:15" x14ac:dyDescent="0.35">
      <c r="N1433"/>
      <c r="O1433"/>
    </row>
    <row r="1434" spans="14:15" x14ac:dyDescent="0.35">
      <c r="N1434"/>
      <c r="O1434"/>
    </row>
    <row r="1435" spans="14:15" x14ac:dyDescent="0.35">
      <c r="N1435"/>
      <c r="O1435"/>
    </row>
    <row r="1436" spans="14:15" x14ac:dyDescent="0.35">
      <c r="N1436"/>
      <c r="O1436"/>
    </row>
    <row r="1437" spans="14:15" x14ac:dyDescent="0.35">
      <c r="N1437"/>
      <c r="O1437"/>
    </row>
    <row r="1438" spans="14:15" x14ac:dyDescent="0.35">
      <c r="N1438"/>
      <c r="O1438"/>
    </row>
    <row r="1439" spans="14:15" x14ac:dyDescent="0.35">
      <c r="N1439"/>
      <c r="O1439"/>
    </row>
    <row r="1440" spans="14:15" x14ac:dyDescent="0.35">
      <c r="N1440"/>
      <c r="O1440"/>
    </row>
    <row r="1441" spans="14:15" x14ac:dyDescent="0.35">
      <c r="N1441"/>
      <c r="O1441"/>
    </row>
    <row r="1442" spans="14:15" x14ac:dyDescent="0.35">
      <c r="N1442"/>
      <c r="O1442"/>
    </row>
    <row r="1443" spans="14:15" x14ac:dyDescent="0.35">
      <c r="N1443"/>
      <c r="O1443"/>
    </row>
    <row r="1444" spans="14:15" x14ac:dyDescent="0.35">
      <c r="N1444"/>
      <c r="O1444"/>
    </row>
    <row r="1445" spans="14:15" x14ac:dyDescent="0.35">
      <c r="N1445"/>
      <c r="O1445"/>
    </row>
    <row r="1446" spans="14:15" x14ac:dyDescent="0.35">
      <c r="N1446"/>
      <c r="O1446"/>
    </row>
    <row r="1447" spans="14:15" x14ac:dyDescent="0.35">
      <c r="N1447"/>
      <c r="O1447"/>
    </row>
    <row r="1448" spans="14:15" x14ac:dyDescent="0.35">
      <c r="N1448"/>
      <c r="O1448"/>
    </row>
    <row r="1449" spans="14:15" x14ac:dyDescent="0.35">
      <c r="N1449"/>
      <c r="O1449"/>
    </row>
    <row r="1450" spans="14:15" x14ac:dyDescent="0.35">
      <c r="N1450"/>
      <c r="O1450"/>
    </row>
    <row r="1451" spans="14:15" x14ac:dyDescent="0.35">
      <c r="N1451"/>
      <c r="O1451"/>
    </row>
    <row r="1452" spans="14:15" x14ac:dyDescent="0.35">
      <c r="N1452"/>
      <c r="O1452"/>
    </row>
    <row r="1453" spans="14:15" x14ac:dyDescent="0.35">
      <c r="N1453"/>
      <c r="O1453"/>
    </row>
    <row r="1454" spans="14:15" x14ac:dyDescent="0.35">
      <c r="N1454"/>
      <c r="O1454"/>
    </row>
    <row r="1455" spans="14:15" x14ac:dyDescent="0.35">
      <c r="N1455"/>
      <c r="O1455"/>
    </row>
    <row r="1456" spans="14:15" x14ac:dyDescent="0.35">
      <c r="N1456"/>
      <c r="O1456"/>
    </row>
    <row r="1457" spans="14:15" x14ac:dyDescent="0.35">
      <c r="N1457"/>
      <c r="O1457"/>
    </row>
    <row r="1458" spans="14:15" x14ac:dyDescent="0.35">
      <c r="N1458"/>
      <c r="O1458"/>
    </row>
    <row r="1459" spans="14:15" x14ac:dyDescent="0.35">
      <c r="N1459"/>
      <c r="O1459"/>
    </row>
    <row r="1460" spans="14:15" x14ac:dyDescent="0.35">
      <c r="N1460"/>
      <c r="O1460"/>
    </row>
    <row r="1461" spans="14:15" x14ac:dyDescent="0.35">
      <c r="N1461"/>
      <c r="O1461"/>
    </row>
    <row r="1462" spans="14:15" x14ac:dyDescent="0.35">
      <c r="N1462"/>
      <c r="O1462"/>
    </row>
    <row r="1463" spans="14:15" x14ac:dyDescent="0.35">
      <c r="N1463"/>
      <c r="O1463"/>
    </row>
    <row r="1464" spans="14:15" x14ac:dyDescent="0.35">
      <c r="N1464"/>
      <c r="O1464"/>
    </row>
    <row r="1465" spans="14:15" x14ac:dyDescent="0.35">
      <c r="N1465"/>
      <c r="O1465"/>
    </row>
    <row r="1466" spans="14:15" x14ac:dyDescent="0.35">
      <c r="N1466"/>
      <c r="O1466"/>
    </row>
    <row r="1467" spans="14:15" x14ac:dyDescent="0.35">
      <c r="N1467"/>
      <c r="O1467"/>
    </row>
    <row r="1468" spans="14:15" x14ac:dyDescent="0.35">
      <c r="N1468"/>
      <c r="O1468"/>
    </row>
    <row r="1469" spans="14:15" x14ac:dyDescent="0.35">
      <c r="N1469"/>
      <c r="O1469"/>
    </row>
    <row r="1470" spans="14:15" x14ac:dyDescent="0.35">
      <c r="N1470"/>
      <c r="O1470"/>
    </row>
    <row r="1471" spans="14:15" x14ac:dyDescent="0.35">
      <c r="N1471"/>
      <c r="O1471"/>
    </row>
    <row r="1472" spans="14:15" x14ac:dyDescent="0.35">
      <c r="N1472"/>
      <c r="O1472"/>
    </row>
    <row r="1473" spans="14:15" x14ac:dyDescent="0.35">
      <c r="N1473"/>
      <c r="O1473"/>
    </row>
    <row r="1474" spans="14:15" x14ac:dyDescent="0.35">
      <c r="N1474"/>
      <c r="O1474"/>
    </row>
    <row r="1475" spans="14:15" x14ac:dyDescent="0.35">
      <c r="N1475"/>
      <c r="O1475"/>
    </row>
    <row r="1476" spans="14:15" x14ac:dyDescent="0.35">
      <c r="N1476"/>
      <c r="O1476"/>
    </row>
    <row r="1477" spans="14:15" x14ac:dyDescent="0.35">
      <c r="N1477"/>
      <c r="O1477"/>
    </row>
    <row r="1478" spans="14:15" x14ac:dyDescent="0.35">
      <c r="N1478"/>
      <c r="O1478"/>
    </row>
    <row r="1479" spans="14:15" x14ac:dyDescent="0.35">
      <c r="N1479"/>
      <c r="O1479"/>
    </row>
    <row r="1480" spans="14:15" x14ac:dyDescent="0.35">
      <c r="N1480"/>
      <c r="O1480"/>
    </row>
    <row r="1481" spans="14:15" x14ac:dyDescent="0.35">
      <c r="N1481"/>
      <c r="O1481"/>
    </row>
    <row r="1482" spans="14:15" x14ac:dyDescent="0.35">
      <c r="N1482"/>
      <c r="O1482"/>
    </row>
    <row r="1483" spans="14:15" x14ac:dyDescent="0.35">
      <c r="N1483"/>
      <c r="O1483"/>
    </row>
    <row r="1484" spans="14:15" x14ac:dyDescent="0.35">
      <c r="N1484"/>
      <c r="O1484"/>
    </row>
    <row r="1485" spans="14:15" x14ac:dyDescent="0.35">
      <c r="N1485"/>
      <c r="O1485"/>
    </row>
    <row r="1486" spans="14:15" x14ac:dyDescent="0.35">
      <c r="N1486"/>
      <c r="O1486"/>
    </row>
    <row r="1487" spans="14:15" x14ac:dyDescent="0.35">
      <c r="N1487"/>
      <c r="O1487"/>
    </row>
    <row r="1488" spans="14:15" x14ac:dyDescent="0.35">
      <c r="N1488"/>
      <c r="O1488"/>
    </row>
    <row r="1489" spans="14:15" x14ac:dyDescent="0.35">
      <c r="N1489"/>
      <c r="O1489"/>
    </row>
    <row r="1490" spans="14:15" x14ac:dyDescent="0.35">
      <c r="N1490"/>
      <c r="O1490"/>
    </row>
    <row r="1491" spans="14:15" x14ac:dyDescent="0.35">
      <c r="N1491"/>
      <c r="O1491"/>
    </row>
    <row r="1492" spans="14:15" x14ac:dyDescent="0.35">
      <c r="N1492"/>
      <c r="O1492"/>
    </row>
    <row r="1493" spans="14:15" x14ac:dyDescent="0.35">
      <c r="N1493"/>
      <c r="O1493"/>
    </row>
    <row r="1494" spans="14:15" x14ac:dyDescent="0.35">
      <c r="N1494"/>
      <c r="O1494"/>
    </row>
    <row r="1495" spans="14:15" x14ac:dyDescent="0.35">
      <c r="N1495"/>
      <c r="O1495"/>
    </row>
    <row r="1496" spans="14:15" x14ac:dyDescent="0.35">
      <c r="N1496"/>
      <c r="O1496"/>
    </row>
    <row r="1497" spans="14:15" x14ac:dyDescent="0.35">
      <c r="N1497"/>
      <c r="O1497"/>
    </row>
    <row r="1498" spans="14:15" x14ac:dyDescent="0.35">
      <c r="N1498"/>
      <c r="O1498"/>
    </row>
    <row r="1499" spans="14:15" x14ac:dyDescent="0.35">
      <c r="N1499"/>
      <c r="O1499"/>
    </row>
    <row r="1500" spans="14:15" x14ac:dyDescent="0.35">
      <c r="N1500"/>
      <c r="O1500"/>
    </row>
    <row r="1501" spans="14:15" x14ac:dyDescent="0.35">
      <c r="N1501"/>
      <c r="O1501"/>
    </row>
    <row r="1502" spans="14:15" x14ac:dyDescent="0.35">
      <c r="N1502"/>
      <c r="O1502"/>
    </row>
    <row r="1503" spans="14:15" x14ac:dyDescent="0.35">
      <c r="N1503"/>
      <c r="O1503"/>
    </row>
    <row r="1504" spans="14:15" x14ac:dyDescent="0.35">
      <c r="N1504"/>
      <c r="O1504"/>
    </row>
    <row r="1505" spans="14:15" x14ac:dyDescent="0.35">
      <c r="N1505"/>
      <c r="O1505"/>
    </row>
    <row r="1506" spans="14:15" x14ac:dyDescent="0.35">
      <c r="N1506"/>
      <c r="O1506"/>
    </row>
    <row r="1507" spans="14:15" x14ac:dyDescent="0.35">
      <c r="N1507"/>
      <c r="O1507"/>
    </row>
    <row r="1508" spans="14:15" x14ac:dyDescent="0.35">
      <c r="N1508"/>
      <c r="O1508"/>
    </row>
    <row r="1509" spans="14:15" x14ac:dyDescent="0.35">
      <c r="N1509"/>
      <c r="O1509"/>
    </row>
    <row r="1510" spans="14:15" x14ac:dyDescent="0.35">
      <c r="N1510"/>
      <c r="O1510"/>
    </row>
    <row r="1511" spans="14:15" x14ac:dyDescent="0.35">
      <c r="N1511"/>
      <c r="O1511"/>
    </row>
    <row r="1512" spans="14:15" x14ac:dyDescent="0.35">
      <c r="N1512"/>
      <c r="O1512"/>
    </row>
    <row r="1513" spans="14:15" x14ac:dyDescent="0.35">
      <c r="N1513"/>
      <c r="O1513"/>
    </row>
    <row r="1514" spans="14:15" x14ac:dyDescent="0.35">
      <c r="N1514"/>
      <c r="O1514"/>
    </row>
    <row r="1515" spans="14:15" x14ac:dyDescent="0.35">
      <c r="N1515"/>
      <c r="O1515"/>
    </row>
    <row r="1516" spans="14:15" x14ac:dyDescent="0.35">
      <c r="N1516"/>
      <c r="O1516"/>
    </row>
    <row r="1517" spans="14:15" x14ac:dyDescent="0.35">
      <c r="N1517"/>
      <c r="O1517"/>
    </row>
    <row r="1518" spans="14:15" x14ac:dyDescent="0.35">
      <c r="N1518"/>
      <c r="O1518"/>
    </row>
    <row r="1519" spans="14:15" x14ac:dyDescent="0.35">
      <c r="N1519"/>
      <c r="O1519"/>
    </row>
    <row r="1520" spans="14:15" x14ac:dyDescent="0.35">
      <c r="N1520"/>
      <c r="O1520"/>
    </row>
    <row r="1521" spans="14:15" x14ac:dyDescent="0.35">
      <c r="N1521"/>
      <c r="O1521"/>
    </row>
    <row r="1522" spans="14:15" x14ac:dyDescent="0.35">
      <c r="N1522"/>
      <c r="O1522"/>
    </row>
    <row r="1523" spans="14:15" x14ac:dyDescent="0.35">
      <c r="N1523"/>
      <c r="O1523"/>
    </row>
    <row r="1524" spans="14:15" x14ac:dyDescent="0.35">
      <c r="N1524"/>
      <c r="O1524"/>
    </row>
    <row r="1525" spans="14:15" x14ac:dyDescent="0.35">
      <c r="N1525"/>
      <c r="O1525"/>
    </row>
    <row r="1526" spans="14:15" x14ac:dyDescent="0.35">
      <c r="N1526"/>
      <c r="O1526"/>
    </row>
    <row r="1527" spans="14:15" x14ac:dyDescent="0.35">
      <c r="N1527"/>
      <c r="O1527"/>
    </row>
    <row r="1528" spans="14:15" x14ac:dyDescent="0.35">
      <c r="N1528"/>
      <c r="O1528"/>
    </row>
    <row r="1529" spans="14:15" x14ac:dyDescent="0.35">
      <c r="N1529"/>
      <c r="O1529"/>
    </row>
    <row r="1530" spans="14:15" x14ac:dyDescent="0.35">
      <c r="N1530"/>
      <c r="O1530"/>
    </row>
    <row r="1531" spans="14:15" x14ac:dyDescent="0.35">
      <c r="N1531"/>
      <c r="O1531"/>
    </row>
    <row r="1532" spans="14:15" x14ac:dyDescent="0.35">
      <c r="N1532"/>
      <c r="O1532"/>
    </row>
    <row r="1533" spans="14:15" x14ac:dyDescent="0.35">
      <c r="N1533"/>
      <c r="O1533"/>
    </row>
    <row r="1534" spans="14:15" x14ac:dyDescent="0.35">
      <c r="N1534"/>
      <c r="O1534"/>
    </row>
    <row r="1535" spans="14:15" x14ac:dyDescent="0.35">
      <c r="N1535"/>
      <c r="O1535"/>
    </row>
    <row r="1536" spans="14:15" x14ac:dyDescent="0.35">
      <c r="N1536"/>
      <c r="O1536"/>
    </row>
    <row r="1537" spans="14:15" x14ac:dyDescent="0.35">
      <c r="N1537"/>
      <c r="O1537"/>
    </row>
    <row r="1538" spans="14:15" x14ac:dyDescent="0.35">
      <c r="N1538"/>
      <c r="O1538"/>
    </row>
    <row r="1539" spans="14:15" x14ac:dyDescent="0.35">
      <c r="N1539"/>
      <c r="O1539"/>
    </row>
    <row r="1540" spans="14:15" x14ac:dyDescent="0.35">
      <c r="N1540"/>
      <c r="O1540"/>
    </row>
    <row r="1541" spans="14:15" x14ac:dyDescent="0.35">
      <c r="N1541"/>
      <c r="O1541"/>
    </row>
    <row r="1542" spans="14:15" x14ac:dyDescent="0.35">
      <c r="N1542"/>
      <c r="O1542"/>
    </row>
    <row r="1543" spans="14:15" x14ac:dyDescent="0.35">
      <c r="N1543"/>
      <c r="O1543"/>
    </row>
    <row r="1544" spans="14:15" x14ac:dyDescent="0.35">
      <c r="N1544"/>
      <c r="O1544"/>
    </row>
    <row r="1545" spans="14:15" x14ac:dyDescent="0.35">
      <c r="N1545"/>
      <c r="O1545"/>
    </row>
    <row r="1546" spans="14:15" x14ac:dyDescent="0.35">
      <c r="N1546"/>
      <c r="O1546"/>
    </row>
    <row r="1547" spans="14:15" x14ac:dyDescent="0.35">
      <c r="N1547"/>
      <c r="O1547"/>
    </row>
    <row r="1548" spans="14:15" x14ac:dyDescent="0.35">
      <c r="N1548"/>
      <c r="O1548"/>
    </row>
    <row r="1549" spans="14:15" x14ac:dyDescent="0.35">
      <c r="N1549"/>
      <c r="O1549"/>
    </row>
    <row r="1550" spans="14:15" x14ac:dyDescent="0.35">
      <c r="N1550"/>
      <c r="O1550"/>
    </row>
    <row r="1551" spans="14:15" x14ac:dyDescent="0.35">
      <c r="N1551"/>
      <c r="O1551"/>
    </row>
    <row r="1552" spans="14:15" x14ac:dyDescent="0.35">
      <c r="N1552"/>
      <c r="O1552"/>
    </row>
    <row r="1553" spans="14:15" x14ac:dyDescent="0.35">
      <c r="N1553"/>
      <c r="O1553"/>
    </row>
    <row r="1554" spans="14:15" x14ac:dyDescent="0.35">
      <c r="N1554"/>
      <c r="O1554"/>
    </row>
    <row r="1555" spans="14:15" x14ac:dyDescent="0.35">
      <c r="N1555"/>
      <c r="O1555"/>
    </row>
    <row r="1556" spans="14:15" x14ac:dyDescent="0.35">
      <c r="N1556"/>
      <c r="O1556"/>
    </row>
    <row r="1557" spans="14:15" x14ac:dyDescent="0.35">
      <c r="N1557"/>
      <c r="O1557"/>
    </row>
    <row r="1558" spans="14:15" x14ac:dyDescent="0.35">
      <c r="N1558"/>
      <c r="O1558"/>
    </row>
    <row r="1559" spans="14:15" x14ac:dyDescent="0.35">
      <c r="N1559"/>
      <c r="O1559"/>
    </row>
    <row r="1560" spans="14:15" x14ac:dyDescent="0.35">
      <c r="N1560"/>
      <c r="O1560"/>
    </row>
    <row r="1561" spans="14:15" x14ac:dyDescent="0.35">
      <c r="N1561"/>
      <c r="O1561"/>
    </row>
    <row r="1562" spans="14:15" x14ac:dyDescent="0.35">
      <c r="N1562"/>
      <c r="O1562"/>
    </row>
    <row r="1563" spans="14:15" x14ac:dyDescent="0.35">
      <c r="N1563"/>
      <c r="O1563"/>
    </row>
    <row r="1564" spans="14:15" x14ac:dyDescent="0.35">
      <c r="N1564"/>
      <c r="O1564"/>
    </row>
    <row r="1565" spans="14:15" x14ac:dyDescent="0.35">
      <c r="N1565"/>
      <c r="O1565"/>
    </row>
    <row r="1566" spans="14:15" x14ac:dyDescent="0.35">
      <c r="N1566"/>
      <c r="O1566"/>
    </row>
    <row r="1567" spans="14:15" x14ac:dyDescent="0.35">
      <c r="N1567"/>
      <c r="O1567"/>
    </row>
    <row r="1568" spans="14:15" x14ac:dyDescent="0.35">
      <c r="N1568"/>
      <c r="O1568"/>
    </row>
    <row r="1569" spans="14:15" x14ac:dyDescent="0.35">
      <c r="N1569"/>
      <c r="O1569"/>
    </row>
    <row r="1570" spans="14:15" x14ac:dyDescent="0.35">
      <c r="N1570"/>
      <c r="O1570"/>
    </row>
    <row r="1571" spans="14:15" x14ac:dyDescent="0.35">
      <c r="N1571"/>
      <c r="O1571"/>
    </row>
    <row r="1572" spans="14:15" x14ac:dyDescent="0.35">
      <c r="N1572"/>
      <c r="O1572"/>
    </row>
    <row r="1573" spans="14:15" x14ac:dyDescent="0.35">
      <c r="N1573"/>
      <c r="O1573"/>
    </row>
    <row r="1574" spans="14:15" x14ac:dyDescent="0.35">
      <c r="N1574"/>
      <c r="O1574"/>
    </row>
    <row r="1575" spans="14:15" x14ac:dyDescent="0.35">
      <c r="N1575"/>
      <c r="O1575"/>
    </row>
    <row r="1576" spans="14:15" x14ac:dyDescent="0.35">
      <c r="N1576"/>
      <c r="O1576"/>
    </row>
    <row r="1577" spans="14:15" x14ac:dyDescent="0.35">
      <c r="N1577"/>
      <c r="O1577"/>
    </row>
    <row r="1578" spans="14:15" x14ac:dyDescent="0.35">
      <c r="N1578"/>
      <c r="O1578"/>
    </row>
    <row r="1579" spans="14:15" x14ac:dyDescent="0.35">
      <c r="N1579"/>
      <c r="O1579"/>
    </row>
    <row r="1580" spans="14:15" x14ac:dyDescent="0.35">
      <c r="N1580"/>
      <c r="O1580"/>
    </row>
    <row r="1581" spans="14:15" x14ac:dyDescent="0.35">
      <c r="N1581"/>
      <c r="O1581"/>
    </row>
    <row r="1582" spans="14:15" x14ac:dyDescent="0.35">
      <c r="N1582"/>
      <c r="O1582"/>
    </row>
    <row r="1583" spans="14:15" x14ac:dyDescent="0.35">
      <c r="N1583"/>
      <c r="O1583"/>
    </row>
    <row r="1584" spans="14:15" x14ac:dyDescent="0.35">
      <c r="N1584"/>
      <c r="O1584"/>
    </row>
    <row r="1585" spans="14:15" x14ac:dyDescent="0.35">
      <c r="N1585"/>
      <c r="O1585"/>
    </row>
    <row r="1586" spans="14:15" x14ac:dyDescent="0.35">
      <c r="N1586"/>
      <c r="O1586"/>
    </row>
    <row r="1587" spans="14:15" x14ac:dyDescent="0.35">
      <c r="N1587"/>
      <c r="O1587"/>
    </row>
    <row r="1588" spans="14:15" x14ac:dyDescent="0.35">
      <c r="N1588"/>
      <c r="O1588"/>
    </row>
    <row r="1589" spans="14:15" x14ac:dyDescent="0.35">
      <c r="N1589"/>
      <c r="O1589"/>
    </row>
    <row r="1590" spans="14:15" x14ac:dyDescent="0.35">
      <c r="N1590"/>
      <c r="O1590"/>
    </row>
    <row r="1591" spans="14:15" x14ac:dyDescent="0.35">
      <c r="N1591"/>
      <c r="O1591"/>
    </row>
    <row r="1592" spans="14:15" x14ac:dyDescent="0.35">
      <c r="N1592"/>
      <c r="O1592"/>
    </row>
    <row r="1593" spans="14:15" x14ac:dyDescent="0.35">
      <c r="N1593"/>
      <c r="O1593"/>
    </row>
    <row r="1594" spans="14:15" x14ac:dyDescent="0.35">
      <c r="N1594"/>
      <c r="O1594"/>
    </row>
    <row r="1595" spans="14:15" x14ac:dyDescent="0.35">
      <c r="N1595"/>
      <c r="O1595"/>
    </row>
    <row r="1596" spans="14:15" x14ac:dyDescent="0.35">
      <c r="N1596"/>
      <c r="O1596"/>
    </row>
    <row r="1597" spans="14:15" x14ac:dyDescent="0.35">
      <c r="N1597"/>
      <c r="O1597"/>
    </row>
    <row r="1598" spans="14:15" x14ac:dyDescent="0.35">
      <c r="N1598"/>
      <c r="O1598"/>
    </row>
    <row r="1599" spans="14:15" x14ac:dyDescent="0.35">
      <c r="N1599"/>
      <c r="O1599"/>
    </row>
    <row r="1600" spans="14:15" x14ac:dyDescent="0.35">
      <c r="N1600"/>
      <c r="O1600"/>
    </row>
    <row r="1601" spans="14:15" x14ac:dyDescent="0.35">
      <c r="N1601"/>
      <c r="O1601"/>
    </row>
    <row r="1602" spans="14:15" x14ac:dyDescent="0.35">
      <c r="N1602"/>
      <c r="O1602"/>
    </row>
    <row r="1603" spans="14:15" x14ac:dyDescent="0.35">
      <c r="N1603"/>
      <c r="O1603"/>
    </row>
    <row r="1604" spans="14:15" x14ac:dyDescent="0.35">
      <c r="N1604"/>
      <c r="O1604"/>
    </row>
    <row r="1605" spans="14:15" x14ac:dyDescent="0.35">
      <c r="N1605"/>
      <c r="O1605"/>
    </row>
    <row r="1606" spans="14:15" x14ac:dyDescent="0.35">
      <c r="N1606"/>
      <c r="O1606"/>
    </row>
    <row r="1607" spans="14:15" x14ac:dyDescent="0.35">
      <c r="N1607"/>
      <c r="O1607"/>
    </row>
    <row r="1608" spans="14:15" x14ac:dyDescent="0.35">
      <c r="N1608"/>
      <c r="O1608"/>
    </row>
    <row r="1609" spans="14:15" x14ac:dyDescent="0.35">
      <c r="N1609"/>
      <c r="O1609"/>
    </row>
    <row r="1610" spans="14:15" x14ac:dyDescent="0.35">
      <c r="N1610"/>
      <c r="O1610"/>
    </row>
    <row r="1611" spans="14:15" x14ac:dyDescent="0.35">
      <c r="N1611"/>
      <c r="O1611"/>
    </row>
    <row r="1612" spans="14:15" x14ac:dyDescent="0.35">
      <c r="N1612"/>
      <c r="O1612"/>
    </row>
    <row r="1613" spans="14:15" x14ac:dyDescent="0.35">
      <c r="N1613"/>
      <c r="O1613"/>
    </row>
    <row r="1614" spans="14:15" x14ac:dyDescent="0.35">
      <c r="N1614"/>
      <c r="O1614"/>
    </row>
    <row r="1615" spans="14:15" x14ac:dyDescent="0.35">
      <c r="N1615"/>
      <c r="O1615"/>
    </row>
    <row r="1616" spans="14:15" x14ac:dyDescent="0.35">
      <c r="N1616"/>
      <c r="O1616"/>
    </row>
    <row r="1617" spans="14:15" x14ac:dyDescent="0.35">
      <c r="N1617"/>
      <c r="O1617"/>
    </row>
    <row r="1618" spans="14:15" x14ac:dyDescent="0.35">
      <c r="N1618"/>
      <c r="O1618"/>
    </row>
    <row r="1619" spans="14:15" x14ac:dyDescent="0.35">
      <c r="N1619"/>
      <c r="O1619"/>
    </row>
    <row r="1620" spans="14:15" x14ac:dyDescent="0.35">
      <c r="N1620"/>
      <c r="O1620"/>
    </row>
    <row r="1621" spans="14:15" x14ac:dyDescent="0.35">
      <c r="N1621"/>
      <c r="O1621"/>
    </row>
    <row r="1622" spans="14:15" x14ac:dyDescent="0.35">
      <c r="N1622"/>
      <c r="O1622"/>
    </row>
    <row r="1623" spans="14:15" x14ac:dyDescent="0.35">
      <c r="N1623"/>
      <c r="O1623"/>
    </row>
    <row r="1624" spans="14:15" x14ac:dyDescent="0.35">
      <c r="N1624"/>
      <c r="O1624"/>
    </row>
    <row r="1625" spans="14:15" x14ac:dyDescent="0.35">
      <c r="N1625"/>
      <c r="O1625"/>
    </row>
    <row r="1626" spans="14:15" x14ac:dyDescent="0.35">
      <c r="N1626"/>
      <c r="O1626"/>
    </row>
    <row r="1627" spans="14:15" x14ac:dyDescent="0.35">
      <c r="N1627"/>
      <c r="O1627"/>
    </row>
    <row r="1628" spans="14:15" x14ac:dyDescent="0.35">
      <c r="N1628"/>
      <c r="O1628"/>
    </row>
    <row r="1629" spans="14:15" x14ac:dyDescent="0.35">
      <c r="N1629"/>
      <c r="O1629"/>
    </row>
    <row r="1630" spans="14:15" x14ac:dyDescent="0.35">
      <c r="N1630"/>
      <c r="O1630"/>
    </row>
    <row r="1631" spans="14:15" x14ac:dyDescent="0.35">
      <c r="N1631"/>
      <c r="O1631"/>
    </row>
    <row r="1632" spans="14:15" x14ac:dyDescent="0.35">
      <c r="N1632"/>
      <c r="O1632"/>
    </row>
    <row r="1633" spans="14:15" x14ac:dyDescent="0.35">
      <c r="N1633"/>
      <c r="O1633"/>
    </row>
    <row r="1634" spans="14:15" x14ac:dyDescent="0.35">
      <c r="N1634"/>
      <c r="O1634"/>
    </row>
    <row r="1635" spans="14:15" x14ac:dyDescent="0.35">
      <c r="N1635"/>
      <c r="O1635"/>
    </row>
    <row r="1636" spans="14:15" x14ac:dyDescent="0.35">
      <c r="N1636"/>
      <c r="O1636"/>
    </row>
    <row r="1637" spans="14:15" x14ac:dyDescent="0.35">
      <c r="N1637"/>
      <c r="O1637"/>
    </row>
    <row r="1638" spans="14:15" x14ac:dyDescent="0.35">
      <c r="N1638"/>
      <c r="O1638"/>
    </row>
    <row r="1639" spans="14:15" x14ac:dyDescent="0.35">
      <c r="N1639"/>
      <c r="O1639"/>
    </row>
    <row r="1640" spans="14:15" x14ac:dyDescent="0.35">
      <c r="N1640"/>
      <c r="O1640"/>
    </row>
    <row r="1641" spans="14:15" x14ac:dyDescent="0.35">
      <c r="N1641"/>
      <c r="O1641"/>
    </row>
    <row r="1642" spans="14:15" x14ac:dyDescent="0.35">
      <c r="N1642"/>
      <c r="O1642"/>
    </row>
    <row r="1643" spans="14:15" x14ac:dyDescent="0.35">
      <c r="N1643"/>
      <c r="O1643"/>
    </row>
    <row r="1644" spans="14:15" x14ac:dyDescent="0.35">
      <c r="N1644"/>
      <c r="O1644"/>
    </row>
    <row r="1645" spans="14:15" x14ac:dyDescent="0.35">
      <c r="N1645"/>
      <c r="O1645"/>
    </row>
    <row r="1646" spans="14:15" x14ac:dyDescent="0.35">
      <c r="N1646"/>
      <c r="O1646"/>
    </row>
    <row r="1647" spans="14:15" x14ac:dyDescent="0.35">
      <c r="N1647"/>
      <c r="O1647"/>
    </row>
    <row r="1648" spans="14:15" x14ac:dyDescent="0.35">
      <c r="N1648"/>
      <c r="O1648"/>
    </row>
    <row r="1649" spans="14:15" x14ac:dyDescent="0.35">
      <c r="N1649"/>
      <c r="O1649"/>
    </row>
    <row r="1650" spans="14:15" x14ac:dyDescent="0.35">
      <c r="N1650"/>
      <c r="O1650"/>
    </row>
    <row r="1651" spans="14:15" x14ac:dyDescent="0.35">
      <c r="N1651"/>
      <c r="O1651"/>
    </row>
    <row r="1652" spans="14:15" x14ac:dyDescent="0.35">
      <c r="N1652"/>
      <c r="O1652"/>
    </row>
    <row r="1653" spans="14:15" x14ac:dyDescent="0.35">
      <c r="N1653"/>
      <c r="O1653"/>
    </row>
    <row r="1654" spans="14:15" x14ac:dyDescent="0.35">
      <c r="N1654"/>
      <c r="O1654"/>
    </row>
    <row r="1655" spans="14:15" x14ac:dyDescent="0.35">
      <c r="N1655"/>
      <c r="O1655"/>
    </row>
    <row r="1656" spans="14:15" x14ac:dyDescent="0.35">
      <c r="N1656"/>
      <c r="O1656"/>
    </row>
    <row r="1657" spans="14:15" x14ac:dyDescent="0.35">
      <c r="N1657"/>
      <c r="O1657"/>
    </row>
    <row r="1658" spans="14:15" x14ac:dyDescent="0.35">
      <c r="N1658"/>
      <c r="O1658"/>
    </row>
    <row r="1659" spans="14:15" x14ac:dyDescent="0.35">
      <c r="N1659"/>
      <c r="O1659"/>
    </row>
    <row r="1660" spans="14:15" x14ac:dyDescent="0.35">
      <c r="N1660"/>
      <c r="O1660"/>
    </row>
    <row r="1661" spans="14:15" x14ac:dyDescent="0.35">
      <c r="N1661"/>
      <c r="O1661"/>
    </row>
    <row r="1662" spans="14:15" x14ac:dyDescent="0.35">
      <c r="N1662"/>
      <c r="O1662"/>
    </row>
    <row r="1663" spans="14:15" x14ac:dyDescent="0.35">
      <c r="N1663"/>
      <c r="O1663"/>
    </row>
    <row r="1664" spans="14:15" x14ac:dyDescent="0.35">
      <c r="N1664"/>
      <c r="O1664"/>
    </row>
    <row r="1665" spans="14:15" x14ac:dyDescent="0.35">
      <c r="N1665"/>
      <c r="O1665"/>
    </row>
    <row r="1666" spans="14:15" x14ac:dyDescent="0.35">
      <c r="N1666"/>
      <c r="O1666"/>
    </row>
    <row r="1667" spans="14:15" x14ac:dyDescent="0.35">
      <c r="N1667"/>
      <c r="O1667"/>
    </row>
    <row r="1668" spans="14:15" x14ac:dyDescent="0.35">
      <c r="N1668"/>
      <c r="O1668"/>
    </row>
    <row r="1669" spans="14:15" x14ac:dyDescent="0.35">
      <c r="N1669"/>
      <c r="O1669"/>
    </row>
    <row r="1670" spans="14:15" x14ac:dyDescent="0.35">
      <c r="N1670"/>
      <c r="O1670"/>
    </row>
    <row r="1671" spans="14:15" x14ac:dyDescent="0.35">
      <c r="N1671"/>
      <c r="O1671"/>
    </row>
    <row r="1672" spans="14:15" x14ac:dyDescent="0.35">
      <c r="N1672"/>
      <c r="O1672"/>
    </row>
    <row r="1673" spans="14:15" x14ac:dyDescent="0.35">
      <c r="N1673"/>
      <c r="O1673"/>
    </row>
    <row r="1674" spans="14:15" x14ac:dyDescent="0.35">
      <c r="N1674"/>
      <c r="O1674"/>
    </row>
    <row r="1675" spans="14:15" x14ac:dyDescent="0.35">
      <c r="N1675"/>
      <c r="O1675"/>
    </row>
    <row r="1676" spans="14:15" x14ac:dyDescent="0.35">
      <c r="N1676"/>
      <c r="O1676"/>
    </row>
    <row r="1677" spans="14:15" x14ac:dyDescent="0.35">
      <c r="N1677"/>
      <c r="O1677"/>
    </row>
    <row r="1678" spans="14:15" x14ac:dyDescent="0.35">
      <c r="N1678"/>
      <c r="O1678"/>
    </row>
    <row r="1679" spans="14:15" x14ac:dyDescent="0.35">
      <c r="N1679"/>
      <c r="O1679"/>
    </row>
    <row r="1680" spans="14:15" x14ac:dyDescent="0.35">
      <c r="N1680"/>
      <c r="O1680"/>
    </row>
    <row r="1681" spans="14:15" x14ac:dyDescent="0.35">
      <c r="N1681"/>
      <c r="O1681"/>
    </row>
    <row r="1682" spans="14:15" x14ac:dyDescent="0.35">
      <c r="N1682"/>
      <c r="O1682"/>
    </row>
    <row r="1683" spans="14:15" x14ac:dyDescent="0.35">
      <c r="N1683"/>
      <c r="O1683"/>
    </row>
    <row r="1684" spans="14:15" x14ac:dyDescent="0.35">
      <c r="N1684"/>
      <c r="O1684"/>
    </row>
    <row r="1685" spans="14:15" x14ac:dyDescent="0.35">
      <c r="N1685"/>
      <c r="O1685"/>
    </row>
    <row r="1686" spans="14:15" x14ac:dyDescent="0.35">
      <c r="N1686"/>
      <c r="O1686"/>
    </row>
    <row r="1687" spans="14:15" x14ac:dyDescent="0.35">
      <c r="N1687"/>
      <c r="O1687"/>
    </row>
    <row r="1688" spans="14:15" x14ac:dyDescent="0.35">
      <c r="N1688"/>
      <c r="O1688"/>
    </row>
    <row r="1689" spans="14:15" x14ac:dyDescent="0.35">
      <c r="N1689"/>
      <c r="O1689"/>
    </row>
    <row r="1690" spans="14:15" x14ac:dyDescent="0.35">
      <c r="N1690"/>
      <c r="O1690"/>
    </row>
    <row r="1691" spans="14:15" x14ac:dyDescent="0.35">
      <c r="N1691"/>
      <c r="O1691"/>
    </row>
    <row r="1692" spans="14:15" x14ac:dyDescent="0.35">
      <c r="N1692"/>
      <c r="O1692"/>
    </row>
    <row r="1693" spans="14:15" x14ac:dyDescent="0.35">
      <c r="N1693"/>
      <c r="O1693"/>
    </row>
    <row r="1694" spans="14:15" x14ac:dyDescent="0.35">
      <c r="N1694"/>
      <c r="O1694"/>
    </row>
    <row r="1695" spans="14:15" x14ac:dyDescent="0.35">
      <c r="N1695"/>
      <c r="O1695"/>
    </row>
    <row r="1696" spans="14:15" x14ac:dyDescent="0.35">
      <c r="N1696"/>
      <c r="O1696"/>
    </row>
    <row r="1697" spans="14:15" x14ac:dyDescent="0.35">
      <c r="N1697"/>
      <c r="O1697"/>
    </row>
    <row r="1698" spans="14:15" x14ac:dyDescent="0.35">
      <c r="N1698"/>
      <c r="O1698"/>
    </row>
    <row r="1699" spans="14:15" x14ac:dyDescent="0.35">
      <c r="N1699"/>
      <c r="O1699"/>
    </row>
    <row r="1700" spans="14:15" x14ac:dyDescent="0.35">
      <c r="N1700"/>
      <c r="O1700"/>
    </row>
    <row r="1701" spans="14:15" x14ac:dyDescent="0.35">
      <c r="N1701"/>
      <c r="O1701"/>
    </row>
    <row r="1702" spans="14:15" x14ac:dyDescent="0.35">
      <c r="N1702"/>
      <c r="O1702"/>
    </row>
    <row r="1703" spans="14:15" x14ac:dyDescent="0.35">
      <c r="N1703"/>
      <c r="O1703"/>
    </row>
    <row r="1704" spans="14:15" x14ac:dyDescent="0.35">
      <c r="N1704"/>
      <c r="O1704"/>
    </row>
    <row r="1705" spans="14:15" x14ac:dyDescent="0.35">
      <c r="N1705"/>
      <c r="O1705"/>
    </row>
    <row r="1706" spans="14:15" x14ac:dyDescent="0.35">
      <c r="N1706"/>
      <c r="O1706"/>
    </row>
    <row r="1707" spans="14:15" x14ac:dyDescent="0.35">
      <c r="N1707"/>
      <c r="O1707"/>
    </row>
    <row r="1708" spans="14:15" x14ac:dyDescent="0.35">
      <c r="N1708"/>
      <c r="O1708"/>
    </row>
    <row r="1709" spans="14:15" x14ac:dyDescent="0.35">
      <c r="N1709"/>
      <c r="O1709"/>
    </row>
    <row r="1710" spans="14:15" x14ac:dyDescent="0.35">
      <c r="N1710"/>
      <c r="O1710"/>
    </row>
    <row r="1711" spans="14:15" x14ac:dyDescent="0.35">
      <c r="N1711"/>
      <c r="O1711"/>
    </row>
    <row r="1712" spans="14:15" x14ac:dyDescent="0.35">
      <c r="N1712"/>
      <c r="O1712"/>
    </row>
    <row r="1713" spans="14:15" x14ac:dyDescent="0.35">
      <c r="N1713"/>
      <c r="O1713"/>
    </row>
    <row r="1714" spans="14:15" x14ac:dyDescent="0.35">
      <c r="N1714"/>
      <c r="O1714"/>
    </row>
    <row r="1715" spans="14:15" x14ac:dyDescent="0.35">
      <c r="N1715"/>
      <c r="O1715"/>
    </row>
    <row r="1716" spans="14:15" x14ac:dyDescent="0.35">
      <c r="N1716"/>
      <c r="O1716"/>
    </row>
    <row r="1717" spans="14:15" x14ac:dyDescent="0.35">
      <c r="N1717"/>
      <c r="O1717"/>
    </row>
    <row r="1718" spans="14:15" x14ac:dyDescent="0.35">
      <c r="N1718"/>
      <c r="O1718"/>
    </row>
    <row r="1719" spans="14:15" x14ac:dyDescent="0.35">
      <c r="N1719"/>
      <c r="O1719"/>
    </row>
    <row r="1720" spans="14:15" x14ac:dyDescent="0.35">
      <c r="N1720"/>
      <c r="O1720"/>
    </row>
    <row r="1721" spans="14:15" x14ac:dyDescent="0.35">
      <c r="N1721"/>
      <c r="O1721"/>
    </row>
    <row r="1722" spans="14:15" x14ac:dyDescent="0.35">
      <c r="N1722"/>
      <c r="O1722"/>
    </row>
    <row r="1723" spans="14:15" x14ac:dyDescent="0.35">
      <c r="N1723"/>
      <c r="O1723"/>
    </row>
    <row r="1724" spans="14:15" x14ac:dyDescent="0.35">
      <c r="N1724"/>
      <c r="O1724"/>
    </row>
    <row r="1725" spans="14:15" x14ac:dyDescent="0.35">
      <c r="N1725"/>
      <c r="O1725"/>
    </row>
    <row r="1726" spans="14:15" x14ac:dyDescent="0.35">
      <c r="N1726"/>
      <c r="O1726"/>
    </row>
    <row r="1727" spans="14:15" x14ac:dyDescent="0.35">
      <c r="N1727"/>
      <c r="O1727"/>
    </row>
    <row r="1728" spans="14:15" x14ac:dyDescent="0.35">
      <c r="N1728"/>
      <c r="O1728"/>
    </row>
    <row r="1729" spans="14:15" x14ac:dyDescent="0.35">
      <c r="N1729"/>
      <c r="O1729"/>
    </row>
    <row r="1730" spans="14:15" x14ac:dyDescent="0.35">
      <c r="N1730"/>
      <c r="O1730"/>
    </row>
    <row r="1731" spans="14:15" x14ac:dyDescent="0.35">
      <c r="N1731"/>
      <c r="O1731"/>
    </row>
    <row r="1732" spans="14:15" x14ac:dyDescent="0.35">
      <c r="N1732"/>
      <c r="O1732"/>
    </row>
    <row r="1733" spans="14:15" x14ac:dyDescent="0.35">
      <c r="N1733"/>
      <c r="O1733"/>
    </row>
    <row r="1734" spans="14:15" x14ac:dyDescent="0.35">
      <c r="N1734"/>
      <c r="O1734"/>
    </row>
    <row r="1735" spans="14:15" x14ac:dyDescent="0.35">
      <c r="N1735"/>
      <c r="O1735"/>
    </row>
    <row r="1736" spans="14:15" x14ac:dyDescent="0.35">
      <c r="N1736"/>
      <c r="O1736"/>
    </row>
    <row r="1737" spans="14:15" x14ac:dyDescent="0.35">
      <c r="N1737"/>
      <c r="O1737"/>
    </row>
    <row r="1738" spans="14:15" x14ac:dyDescent="0.35">
      <c r="N1738"/>
      <c r="O1738"/>
    </row>
    <row r="1739" spans="14:15" x14ac:dyDescent="0.35">
      <c r="N1739"/>
      <c r="O1739"/>
    </row>
    <row r="1740" spans="14:15" x14ac:dyDescent="0.35">
      <c r="N1740"/>
      <c r="O1740"/>
    </row>
    <row r="1741" spans="14:15" x14ac:dyDescent="0.35">
      <c r="N1741"/>
      <c r="O1741"/>
    </row>
    <row r="1742" spans="14:15" x14ac:dyDescent="0.35">
      <c r="N1742"/>
      <c r="O1742"/>
    </row>
    <row r="1743" spans="14:15" x14ac:dyDescent="0.35">
      <c r="N1743"/>
      <c r="O1743"/>
    </row>
    <row r="1744" spans="14:15" x14ac:dyDescent="0.35">
      <c r="N1744"/>
      <c r="O1744"/>
    </row>
    <row r="1745" spans="14:15" x14ac:dyDescent="0.35">
      <c r="N1745"/>
      <c r="O1745"/>
    </row>
    <row r="1746" spans="14:15" x14ac:dyDescent="0.35">
      <c r="N1746"/>
      <c r="O1746"/>
    </row>
    <row r="1747" spans="14:15" x14ac:dyDescent="0.35">
      <c r="N1747"/>
      <c r="O1747"/>
    </row>
    <row r="1748" spans="14:15" x14ac:dyDescent="0.35">
      <c r="N1748"/>
      <c r="O1748"/>
    </row>
    <row r="1749" spans="14:15" x14ac:dyDescent="0.35">
      <c r="N1749"/>
      <c r="O1749"/>
    </row>
    <row r="1750" spans="14:15" x14ac:dyDescent="0.35">
      <c r="N1750"/>
      <c r="O1750"/>
    </row>
    <row r="1751" spans="14:15" x14ac:dyDescent="0.35">
      <c r="N1751"/>
      <c r="O1751"/>
    </row>
    <row r="1752" spans="14:15" x14ac:dyDescent="0.35">
      <c r="N1752"/>
      <c r="O1752"/>
    </row>
    <row r="1753" spans="14:15" x14ac:dyDescent="0.35">
      <c r="N1753"/>
      <c r="O1753"/>
    </row>
    <row r="1754" spans="14:15" x14ac:dyDescent="0.35">
      <c r="N1754"/>
      <c r="O1754"/>
    </row>
    <row r="1755" spans="14:15" x14ac:dyDescent="0.35">
      <c r="N1755"/>
      <c r="O1755"/>
    </row>
    <row r="1756" spans="14:15" x14ac:dyDescent="0.35">
      <c r="N1756"/>
      <c r="O1756"/>
    </row>
    <row r="1757" spans="14:15" x14ac:dyDescent="0.35">
      <c r="N1757"/>
      <c r="O1757"/>
    </row>
    <row r="1758" spans="14:15" x14ac:dyDescent="0.35">
      <c r="N1758"/>
      <c r="O1758"/>
    </row>
    <row r="1759" spans="14:15" x14ac:dyDescent="0.35">
      <c r="N1759"/>
      <c r="O1759"/>
    </row>
    <row r="1760" spans="14:15" x14ac:dyDescent="0.35">
      <c r="N1760"/>
      <c r="O1760"/>
    </row>
    <row r="1761" spans="14:15" x14ac:dyDescent="0.35">
      <c r="N1761"/>
      <c r="O1761"/>
    </row>
    <row r="1762" spans="14:15" x14ac:dyDescent="0.35">
      <c r="N1762"/>
      <c r="O1762"/>
    </row>
    <row r="1763" spans="14:15" x14ac:dyDescent="0.35">
      <c r="N1763"/>
      <c r="O1763"/>
    </row>
    <row r="1764" spans="14:15" x14ac:dyDescent="0.35">
      <c r="N1764"/>
      <c r="O1764"/>
    </row>
    <row r="1765" spans="14:15" x14ac:dyDescent="0.35">
      <c r="N1765"/>
      <c r="O1765"/>
    </row>
    <row r="1766" spans="14:15" x14ac:dyDescent="0.35">
      <c r="N1766"/>
      <c r="O1766"/>
    </row>
    <row r="1767" spans="14:15" x14ac:dyDescent="0.35">
      <c r="N1767"/>
      <c r="O1767"/>
    </row>
    <row r="1768" spans="14:15" x14ac:dyDescent="0.35">
      <c r="N1768"/>
      <c r="O1768"/>
    </row>
    <row r="1769" spans="14:15" x14ac:dyDescent="0.35">
      <c r="N1769"/>
      <c r="O1769"/>
    </row>
    <row r="1770" spans="14:15" x14ac:dyDescent="0.35">
      <c r="N1770"/>
      <c r="O1770"/>
    </row>
    <row r="1771" spans="14:15" x14ac:dyDescent="0.35">
      <c r="N1771"/>
      <c r="O1771"/>
    </row>
    <row r="1772" spans="14:15" x14ac:dyDescent="0.35">
      <c r="N1772"/>
      <c r="O1772"/>
    </row>
    <row r="1773" spans="14:15" x14ac:dyDescent="0.35">
      <c r="N1773"/>
      <c r="O1773"/>
    </row>
    <row r="1774" spans="14:15" x14ac:dyDescent="0.35">
      <c r="N1774"/>
      <c r="O1774"/>
    </row>
    <row r="1775" spans="14:15" x14ac:dyDescent="0.35">
      <c r="N1775"/>
      <c r="O1775"/>
    </row>
    <row r="1776" spans="14:15" x14ac:dyDescent="0.35">
      <c r="N1776"/>
      <c r="O1776"/>
    </row>
    <row r="1777" spans="14:15" x14ac:dyDescent="0.35">
      <c r="N1777"/>
      <c r="O1777"/>
    </row>
    <row r="1778" spans="14:15" x14ac:dyDescent="0.35">
      <c r="N1778"/>
      <c r="O1778"/>
    </row>
    <row r="1779" spans="14:15" x14ac:dyDescent="0.35">
      <c r="N1779"/>
      <c r="O1779"/>
    </row>
    <row r="1780" spans="14:15" x14ac:dyDescent="0.35">
      <c r="N1780"/>
      <c r="O1780"/>
    </row>
    <row r="1781" spans="14:15" x14ac:dyDescent="0.35">
      <c r="N1781"/>
      <c r="O1781"/>
    </row>
    <row r="1782" spans="14:15" x14ac:dyDescent="0.35">
      <c r="N1782"/>
      <c r="O1782"/>
    </row>
    <row r="1783" spans="14:15" x14ac:dyDescent="0.35">
      <c r="N1783"/>
      <c r="O1783"/>
    </row>
    <row r="1784" spans="14:15" x14ac:dyDescent="0.35">
      <c r="N1784"/>
      <c r="O1784"/>
    </row>
    <row r="1785" spans="14:15" x14ac:dyDescent="0.35">
      <c r="N1785"/>
      <c r="O1785"/>
    </row>
    <row r="1786" spans="14:15" x14ac:dyDescent="0.35">
      <c r="N1786"/>
      <c r="O1786"/>
    </row>
    <row r="1787" spans="14:15" x14ac:dyDescent="0.35">
      <c r="N1787"/>
      <c r="O1787"/>
    </row>
    <row r="1788" spans="14:15" x14ac:dyDescent="0.35">
      <c r="N1788"/>
      <c r="O1788"/>
    </row>
    <row r="1789" spans="14:15" x14ac:dyDescent="0.35">
      <c r="N1789"/>
      <c r="O1789"/>
    </row>
    <row r="1790" spans="14:15" x14ac:dyDescent="0.35">
      <c r="N1790"/>
      <c r="O1790"/>
    </row>
    <row r="1791" spans="14:15" x14ac:dyDescent="0.35">
      <c r="N1791"/>
      <c r="O1791"/>
    </row>
    <row r="1792" spans="14:15" x14ac:dyDescent="0.35">
      <c r="N1792"/>
      <c r="O1792"/>
    </row>
    <row r="1793" spans="14:15" x14ac:dyDescent="0.35">
      <c r="N1793"/>
      <c r="O1793"/>
    </row>
    <row r="1794" spans="14:15" x14ac:dyDescent="0.35">
      <c r="N1794"/>
      <c r="O1794"/>
    </row>
    <row r="1795" spans="14:15" x14ac:dyDescent="0.35">
      <c r="N1795"/>
      <c r="O1795"/>
    </row>
    <row r="1796" spans="14:15" x14ac:dyDescent="0.35">
      <c r="N1796"/>
      <c r="O1796"/>
    </row>
    <row r="1797" spans="14:15" x14ac:dyDescent="0.35">
      <c r="N1797"/>
      <c r="O1797"/>
    </row>
    <row r="1798" spans="14:15" x14ac:dyDescent="0.35">
      <c r="N1798"/>
      <c r="O1798"/>
    </row>
    <row r="1799" spans="14:15" x14ac:dyDescent="0.35">
      <c r="N1799"/>
      <c r="O1799"/>
    </row>
    <row r="1800" spans="14:15" x14ac:dyDescent="0.35">
      <c r="N1800"/>
      <c r="O1800"/>
    </row>
    <row r="1801" spans="14:15" x14ac:dyDescent="0.35">
      <c r="N1801"/>
      <c r="O1801"/>
    </row>
    <row r="1802" spans="14:15" x14ac:dyDescent="0.35">
      <c r="N1802"/>
      <c r="O1802"/>
    </row>
    <row r="1803" spans="14:15" x14ac:dyDescent="0.35">
      <c r="N1803"/>
      <c r="O1803"/>
    </row>
    <row r="1804" spans="14:15" x14ac:dyDescent="0.35">
      <c r="N1804"/>
      <c r="O1804"/>
    </row>
    <row r="1805" spans="14:15" x14ac:dyDescent="0.35">
      <c r="N1805"/>
      <c r="O1805"/>
    </row>
    <row r="1806" spans="14:15" x14ac:dyDescent="0.35">
      <c r="N1806"/>
      <c r="O1806"/>
    </row>
    <row r="1807" spans="14:15" x14ac:dyDescent="0.35">
      <c r="N1807"/>
      <c r="O1807"/>
    </row>
    <row r="1808" spans="14:15" x14ac:dyDescent="0.35">
      <c r="N1808"/>
      <c r="O1808"/>
    </row>
    <row r="1809" spans="14:15" x14ac:dyDescent="0.35">
      <c r="N1809"/>
      <c r="O1809"/>
    </row>
    <row r="1810" spans="14:15" x14ac:dyDescent="0.35">
      <c r="N1810"/>
      <c r="O1810"/>
    </row>
    <row r="1811" spans="14:15" x14ac:dyDescent="0.35">
      <c r="N1811"/>
      <c r="O1811"/>
    </row>
    <row r="1812" spans="14:15" x14ac:dyDescent="0.35">
      <c r="N1812"/>
      <c r="O1812"/>
    </row>
    <row r="1813" spans="14:15" x14ac:dyDescent="0.35">
      <c r="N1813"/>
      <c r="O1813"/>
    </row>
    <row r="1814" spans="14:15" x14ac:dyDescent="0.35">
      <c r="N1814"/>
      <c r="O1814"/>
    </row>
    <row r="1815" spans="14:15" x14ac:dyDescent="0.35">
      <c r="N1815"/>
      <c r="O1815"/>
    </row>
    <row r="1816" spans="14:15" x14ac:dyDescent="0.35">
      <c r="N1816"/>
      <c r="O1816"/>
    </row>
    <row r="1817" spans="14:15" x14ac:dyDescent="0.35">
      <c r="N1817"/>
      <c r="O1817"/>
    </row>
    <row r="1818" spans="14:15" x14ac:dyDescent="0.35">
      <c r="N1818"/>
      <c r="O1818"/>
    </row>
    <row r="1819" spans="14:15" x14ac:dyDescent="0.35">
      <c r="N1819"/>
      <c r="O1819"/>
    </row>
    <row r="1820" spans="14:15" x14ac:dyDescent="0.35">
      <c r="N1820"/>
      <c r="O1820"/>
    </row>
    <row r="1821" spans="14:15" x14ac:dyDescent="0.35">
      <c r="N1821"/>
      <c r="O1821"/>
    </row>
    <row r="1822" spans="14:15" x14ac:dyDescent="0.35">
      <c r="N1822"/>
      <c r="O1822"/>
    </row>
    <row r="1823" spans="14:15" x14ac:dyDescent="0.35">
      <c r="N1823"/>
      <c r="O1823"/>
    </row>
    <row r="1824" spans="14:15" x14ac:dyDescent="0.35">
      <c r="N1824"/>
      <c r="O1824"/>
    </row>
    <row r="1825" spans="14:15" x14ac:dyDescent="0.35">
      <c r="N1825"/>
      <c r="O1825"/>
    </row>
    <row r="1826" spans="14:15" x14ac:dyDescent="0.35">
      <c r="N1826"/>
      <c r="O1826"/>
    </row>
    <row r="1827" spans="14:15" x14ac:dyDescent="0.35">
      <c r="N1827"/>
      <c r="O1827"/>
    </row>
    <row r="1828" spans="14:15" x14ac:dyDescent="0.35">
      <c r="N1828"/>
      <c r="O1828"/>
    </row>
    <row r="1829" spans="14:15" x14ac:dyDescent="0.35">
      <c r="N1829"/>
      <c r="O1829"/>
    </row>
    <row r="1830" spans="14:15" x14ac:dyDescent="0.35">
      <c r="N1830"/>
      <c r="O1830"/>
    </row>
    <row r="1831" spans="14:15" x14ac:dyDescent="0.35">
      <c r="N1831"/>
      <c r="O1831"/>
    </row>
    <row r="1832" spans="14:15" x14ac:dyDescent="0.35">
      <c r="N1832"/>
      <c r="O1832"/>
    </row>
    <row r="1833" spans="14:15" x14ac:dyDescent="0.35">
      <c r="N1833"/>
      <c r="O1833"/>
    </row>
    <row r="1834" spans="14:15" x14ac:dyDescent="0.35">
      <c r="N1834"/>
      <c r="O1834"/>
    </row>
    <row r="1835" spans="14:15" x14ac:dyDescent="0.35">
      <c r="N1835"/>
      <c r="O1835"/>
    </row>
    <row r="1836" spans="14:15" x14ac:dyDescent="0.35">
      <c r="N1836"/>
      <c r="O1836"/>
    </row>
    <row r="1837" spans="14:15" x14ac:dyDescent="0.35">
      <c r="N1837"/>
      <c r="O1837"/>
    </row>
    <row r="1838" spans="14:15" x14ac:dyDescent="0.35">
      <c r="N1838"/>
      <c r="O1838"/>
    </row>
    <row r="1839" spans="14:15" x14ac:dyDescent="0.35">
      <c r="N1839"/>
      <c r="O1839"/>
    </row>
    <row r="1840" spans="14:15" x14ac:dyDescent="0.35">
      <c r="N1840"/>
      <c r="O1840"/>
    </row>
    <row r="1841" spans="14:15" x14ac:dyDescent="0.35">
      <c r="N1841"/>
      <c r="O1841"/>
    </row>
    <row r="1842" spans="14:15" x14ac:dyDescent="0.35">
      <c r="N1842"/>
      <c r="O1842"/>
    </row>
    <row r="1843" spans="14:15" x14ac:dyDescent="0.35">
      <c r="N1843"/>
      <c r="O1843"/>
    </row>
    <row r="1844" spans="14:15" x14ac:dyDescent="0.35">
      <c r="N1844"/>
      <c r="O1844"/>
    </row>
    <row r="1845" spans="14:15" x14ac:dyDescent="0.35">
      <c r="N1845"/>
      <c r="O1845"/>
    </row>
    <row r="1846" spans="14:15" x14ac:dyDescent="0.35">
      <c r="N1846"/>
      <c r="O1846"/>
    </row>
    <row r="1847" spans="14:15" x14ac:dyDescent="0.35">
      <c r="N1847"/>
      <c r="O1847"/>
    </row>
    <row r="1848" spans="14:15" x14ac:dyDescent="0.35">
      <c r="N1848"/>
      <c r="O1848"/>
    </row>
    <row r="1849" spans="14:15" x14ac:dyDescent="0.35">
      <c r="N1849"/>
      <c r="O1849"/>
    </row>
    <row r="1850" spans="14:15" x14ac:dyDescent="0.35">
      <c r="N1850"/>
      <c r="O1850"/>
    </row>
    <row r="1851" spans="14:15" x14ac:dyDescent="0.35">
      <c r="N1851"/>
      <c r="O1851"/>
    </row>
    <row r="1852" spans="14:15" x14ac:dyDescent="0.35">
      <c r="N1852"/>
      <c r="O1852"/>
    </row>
    <row r="1853" spans="14:15" x14ac:dyDescent="0.35">
      <c r="N1853"/>
      <c r="O1853"/>
    </row>
    <row r="1854" spans="14:15" x14ac:dyDescent="0.35">
      <c r="N1854"/>
      <c r="O1854"/>
    </row>
    <row r="1855" spans="14:15" x14ac:dyDescent="0.35">
      <c r="N1855"/>
      <c r="O1855"/>
    </row>
    <row r="1856" spans="14:15" x14ac:dyDescent="0.35">
      <c r="N1856"/>
      <c r="O1856"/>
    </row>
    <row r="1857" spans="14:15" x14ac:dyDescent="0.35">
      <c r="N1857"/>
      <c r="O1857"/>
    </row>
    <row r="1858" spans="14:15" x14ac:dyDescent="0.35">
      <c r="N1858"/>
      <c r="O1858"/>
    </row>
    <row r="1859" spans="14:15" x14ac:dyDescent="0.35">
      <c r="N1859"/>
      <c r="O1859"/>
    </row>
    <row r="1860" spans="14:15" x14ac:dyDescent="0.35">
      <c r="N1860"/>
      <c r="O1860"/>
    </row>
    <row r="1861" spans="14:15" x14ac:dyDescent="0.35">
      <c r="N1861"/>
      <c r="O1861"/>
    </row>
    <row r="1862" spans="14:15" x14ac:dyDescent="0.35">
      <c r="N1862"/>
      <c r="O1862"/>
    </row>
    <row r="1863" spans="14:15" x14ac:dyDescent="0.35">
      <c r="N1863"/>
      <c r="O1863"/>
    </row>
    <row r="1864" spans="14:15" x14ac:dyDescent="0.35">
      <c r="N1864"/>
      <c r="O1864"/>
    </row>
    <row r="1865" spans="14:15" x14ac:dyDescent="0.35">
      <c r="N1865"/>
      <c r="O1865"/>
    </row>
    <row r="1866" spans="14:15" x14ac:dyDescent="0.35">
      <c r="N1866"/>
      <c r="O1866"/>
    </row>
    <row r="1867" spans="14:15" x14ac:dyDescent="0.35">
      <c r="N1867"/>
      <c r="O1867"/>
    </row>
    <row r="1868" spans="14:15" x14ac:dyDescent="0.35">
      <c r="N1868"/>
      <c r="O1868"/>
    </row>
    <row r="1869" spans="14:15" x14ac:dyDescent="0.35">
      <c r="N1869"/>
      <c r="O1869"/>
    </row>
    <row r="1870" spans="14:15" x14ac:dyDescent="0.35">
      <c r="N1870"/>
      <c r="O1870"/>
    </row>
    <row r="1871" spans="14:15" x14ac:dyDescent="0.35">
      <c r="N1871"/>
      <c r="O1871"/>
    </row>
    <row r="1872" spans="14:15" x14ac:dyDescent="0.35">
      <c r="N1872"/>
      <c r="O1872"/>
    </row>
    <row r="1873" spans="14:15" x14ac:dyDescent="0.35">
      <c r="N1873"/>
      <c r="O1873"/>
    </row>
    <row r="1874" spans="14:15" x14ac:dyDescent="0.35">
      <c r="N1874"/>
      <c r="O1874"/>
    </row>
    <row r="1875" spans="14:15" x14ac:dyDescent="0.35">
      <c r="N1875"/>
      <c r="O1875"/>
    </row>
    <row r="1876" spans="14:15" x14ac:dyDescent="0.35">
      <c r="N1876"/>
      <c r="O1876"/>
    </row>
    <row r="1877" spans="14:15" x14ac:dyDescent="0.35">
      <c r="N1877"/>
      <c r="O1877"/>
    </row>
    <row r="1878" spans="14:15" x14ac:dyDescent="0.35">
      <c r="N1878"/>
      <c r="O1878"/>
    </row>
    <row r="1879" spans="14:15" x14ac:dyDescent="0.35">
      <c r="N1879"/>
      <c r="O1879"/>
    </row>
    <row r="1880" spans="14:15" x14ac:dyDescent="0.35">
      <c r="N1880"/>
      <c r="O1880"/>
    </row>
    <row r="1881" spans="14:15" x14ac:dyDescent="0.35">
      <c r="N1881"/>
      <c r="O1881"/>
    </row>
    <row r="1882" spans="14:15" x14ac:dyDescent="0.35">
      <c r="N1882"/>
      <c r="O1882"/>
    </row>
    <row r="1883" spans="14:15" x14ac:dyDescent="0.35">
      <c r="N1883"/>
      <c r="O1883"/>
    </row>
    <row r="1884" spans="14:15" x14ac:dyDescent="0.35">
      <c r="N1884"/>
      <c r="O1884"/>
    </row>
    <row r="1885" spans="14:15" x14ac:dyDescent="0.35">
      <c r="N1885"/>
      <c r="O1885"/>
    </row>
    <row r="1886" spans="14:15" x14ac:dyDescent="0.35">
      <c r="N1886"/>
      <c r="O1886"/>
    </row>
    <row r="1887" spans="14:15" x14ac:dyDescent="0.35">
      <c r="N1887"/>
      <c r="O1887"/>
    </row>
    <row r="1888" spans="14:15" x14ac:dyDescent="0.35">
      <c r="N1888"/>
      <c r="O1888"/>
    </row>
    <row r="1889" spans="14:15" x14ac:dyDescent="0.35">
      <c r="N1889"/>
      <c r="O1889"/>
    </row>
    <row r="1890" spans="14:15" x14ac:dyDescent="0.35">
      <c r="N1890"/>
      <c r="O1890"/>
    </row>
    <row r="1891" spans="14:15" x14ac:dyDescent="0.35">
      <c r="N1891"/>
      <c r="O1891"/>
    </row>
    <row r="1892" spans="14:15" x14ac:dyDescent="0.35">
      <c r="N1892"/>
      <c r="O1892"/>
    </row>
    <row r="1893" spans="14:15" x14ac:dyDescent="0.35">
      <c r="N1893"/>
      <c r="O1893"/>
    </row>
    <row r="1894" spans="14:15" x14ac:dyDescent="0.35">
      <c r="N1894"/>
      <c r="O1894"/>
    </row>
    <row r="1895" spans="14:15" x14ac:dyDescent="0.35">
      <c r="N1895"/>
      <c r="O1895"/>
    </row>
    <row r="1896" spans="14:15" x14ac:dyDescent="0.35">
      <c r="N1896"/>
      <c r="O1896"/>
    </row>
    <row r="1897" spans="14:15" x14ac:dyDescent="0.35">
      <c r="N1897"/>
      <c r="O1897"/>
    </row>
    <row r="1898" spans="14:15" x14ac:dyDescent="0.35">
      <c r="N1898"/>
      <c r="O1898"/>
    </row>
    <row r="1899" spans="14:15" x14ac:dyDescent="0.35">
      <c r="N1899"/>
      <c r="O1899"/>
    </row>
    <row r="1900" spans="14:15" x14ac:dyDescent="0.35">
      <c r="N1900"/>
      <c r="O1900"/>
    </row>
    <row r="1901" spans="14:15" x14ac:dyDescent="0.35">
      <c r="N1901"/>
      <c r="O1901"/>
    </row>
    <row r="1902" spans="14:15" x14ac:dyDescent="0.35">
      <c r="N1902"/>
      <c r="O1902"/>
    </row>
    <row r="1903" spans="14:15" x14ac:dyDescent="0.35">
      <c r="N1903"/>
      <c r="O1903"/>
    </row>
    <row r="1904" spans="14:15" x14ac:dyDescent="0.35">
      <c r="N1904"/>
      <c r="O1904"/>
    </row>
    <row r="1905" spans="14:15" x14ac:dyDescent="0.35">
      <c r="N1905"/>
      <c r="O1905"/>
    </row>
    <row r="1906" spans="14:15" x14ac:dyDescent="0.35">
      <c r="N1906"/>
      <c r="O1906"/>
    </row>
    <row r="1907" spans="14:15" x14ac:dyDescent="0.35">
      <c r="N1907"/>
      <c r="O1907"/>
    </row>
    <row r="1908" spans="14:15" x14ac:dyDescent="0.35">
      <c r="N1908"/>
      <c r="O1908"/>
    </row>
    <row r="1909" spans="14:15" x14ac:dyDescent="0.35">
      <c r="N1909"/>
      <c r="O1909"/>
    </row>
    <row r="1910" spans="14:15" x14ac:dyDescent="0.35">
      <c r="N1910"/>
      <c r="O1910"/>
    </row>
    <row r="1911" spans="14:15" x14ac:dyDescent="0.35">
      <c r="N1911"/>
      <c r="O1911"/>
    </row>
    <row r="1912" spans="14:15" x14ac:dyDescent="0.35">
      <c r="N1912"/>
      <c r="O1912"/>
    </row>
    <row r="1913" spans="14:15" x14ac:dyDescent="0.35">
      <c r="N1913"/>
      <c r="O1913"/>
    </row>
    <row r="1914" spans="14:15" x14ac:dyDescent="0.35">
      <c r="N1914"/>
      <c r="O1914"/>
    </row>
    <row r="1915" spans="14:15" x14ac:dyDescent="0.35">
      <c r="N1915"/>
      <c r="O1915"/>
    </row>
    <row r="1916" spans="14:15" x14ac:dyDescent="0.35">
      <c r="N1916"/>
      <c r="O1916"/>
    </row>
    <row r="1917" spans="14:15" x14ac:dyDescent="0.35">
      <c r="N1917"/>
      <c r="O1917"/>
    </row>
    <row r="1918" spans="14:15" x14ac:dyDescent="0.35">
      <c r="N1918"/>
      <c r="O1918"/>
    </row>
    <row r="1919" spans="14:15" x14ac:dyDescent="0.35">
      <c r="N1919"/>
      <c r="O1919"/>
    </row>
    <row r="1920" spans="14:15" x14ac:dyDescent="0.35">
      <c r="N1920"/>
      <c r="O1920"/>
    </row>
    <row r="1921" spans="14:15" x14ac:dyDescent="0.35">
      <c r="N1921"/>
      <c r="O1921"/>
    </row>
    <row r="1922" spans="14:15" x14ac:dyDescent="0.35">
      <c r="N1922"/>
      <c r="O1922"/>
    </row>
    <row r="1923" spans="14:15" x14ac:dyDescent="0.35">
      <c r="N1923"/>
      <c r="O1923"/>
    </row>
    <row r="1924" spans="14:15" x14ac:dyDescent="0.35">
      <c r="N1924"/>
      <c r="O1924"/>
    </row>
    <row r="1925" spans="14:15" x14ac:dyDescent="0.35">
      <c r="N1925"/>
      <c r="O1925"/>
    </row>
    <row r="1926" spans="14:15" x14ac:dyDescent="0.35">
      <c r="N1926"/>
      <c r="O1926"/>
    </row>
    <row r="1927" spans="14:15" x14ac:dyDescent="0.35">
      <c r="N1927"/>
      <c r="O1927"/>
    </row>
    <row r="1928" spans="14:15" x14ac:dyDescent="0.35">
      <c r="N1928"/>
      <c r="O1928"/>
    </row>
    <row r="1929" spans="14:15" x14ac:dyDescent="0.35">
      <c r="N1929"/>
      <c r="O1929"/>
    </row>
    <row r="1930" spans="14:15" x14ac:dyDescent="0.35">
      <c r="N1930"/>
      <c r="O1930"/>
    </row>
    <row r="1931" spans="14:15" x14ac:dyDescent="0.35">
      <c r="N1931"/>
      <c r="O1931"/>
    </row>
    <row r="1932" spans="14:15" x14ac:dyDescent="0.35">
      <c r="N1932"/>
      <c r="O1932"/>
    </row>
    <row r="1933" spans="14:15" x14ac:dyDescent="0.35">
      <c r="N1933"/>
      <c r="O1933"/>
    </row>
    <row r="1934" spans="14:15" x14ac:dyDescent="0.35">
      <c r="N1934"/>
      <c r="O1934"/>
    </row>
    <row r="1935" spans="14:15" x14ac:dyDescent="0.35">
      <c r="N1935"/>
      <c r="O1935"/>
    </row>
    <row r="1936" spans="14:15" x14ac:dyDescent="0.35">
      <c r="N1936"/>
      <c r="O1936"/>
    </row>
    <row r="1937" spans="14:15" x14ac:dyDescent="0.35">
      <c r="N1937"/>
      <c r="O1937"/>
    </row>
    <row r="1938" spans="14:15" x14ac:dyDescent="0.35">
      <c r="N1938"/>
      <c r="O1938"/>
    </row>
    <row r="1939" spans="14:15" x14ac:dyDescent="0.35">
      <c r="N1939"/>
      <c r="O1939"/>
    </row>
    <row r="1940" spans="14:15" x14ac:dyDescent="0.35">
      <c r="N1940"/>
      <c r="O1940"/>
    </row>
    <row r="1941" spans="14:15" x14ac:dyDescent="0.35">
      <c r="N1941"/>
      <c r="O1941"/>
    </row>
    <row r="1942" spans="14:15" x14ac:dyDescent="0.35">
      <c r="N1942"/>
      <c r="O1942"/>
    </row>
    <row r="1943" spans="14:15" x14ac:dyDescent="0.35">
      <c r="N1943"/>
      <c r="O1943"/>
    </row>
    <row r="1944" spans="14:15" x14ac:dyDescent="0.35">
      <c r="N1944"/>
      <c r="O1944"/>
    </row>
    <row r="1945" spans="14:15" x14ac:dyDescent="0.35">
      <c r="N1945"/>
      <c r="O1945"/>
    </row>
    <row r="1946" spans="14:15" x14ac:dyDescent="0.35">
      <c r="N1946"/>
      <c r="O1946"/>
    </row>
    <row r="1947" spans="14:15" x14ac:dyDescent="0.35">
      <c r="N1947"/>
      <c r="O1947"/>
    </row>
    <row r="1948" spans="14:15" x14ac:dyDescent="0.35">
      <c r="N1948"/>
      <c r="O1948"/>
    </row>
    <row r="1949" spans="14:15" x14ac:dyDescent="0.35">
      <c r="N1949"/>
      <c r="O1949"/>
    </row>
    <row r="1950" spans="14:15" x14ac:dyDescent="0.35">
      <c r="N1950"/>
      <c r="O1950"/>
    </row>
    <row r="1951" spans="14:15" x14ac:dyDescent="0.35">
      <c r="N1951"/>
      <c r="O1951"/>
    </row>
    <row r="1952" spans="14:15" x14ac:dyDescent="0.35">
      <c r="N1952"/>
      <c r="O1952"/>
    </row>
    <row r="1953" spans="14:15" x14ac:dyDescent="0.35">
      <c r="N1953"/>
      <c r="O1953"/>
    </row>
    <row r="1954" spans="14:15" x14ac:dyDescent="0.35">
      <c r="N1954"/>
      <c r="O1954"/>
    </row>
    <row r="1955" spans="14:15" x14ac:dyDescent="0.35">
      <c r="N1955"/>
      <c r="O1955"/>
    </row>
    <row r="1956" spans="14:15" x14ac:dyDescent="0.35">
      <c r="N1956"/>
      <c r="O1956"/>
    </row>
    <row r="1957" spans="14:15" x14ac:dyDescent="0.35">
      <c r="N1957"/>
      <c r="O1957"/>
    </row>
    <row r="1958" spans="14:15" x14ac:dyDescent="0.35">
      <c r="N1958"/>
      <c r="O1958"/>
    </row>
    <row r="1959" spans="14:15" x14ac:dyDescent="0.35">
      <c r="N1959"/>
      <c r="O1959"/>
    </row>
    <row r="1960" spans="14:15" x14ac:dyDescent="0.35">
      <c r="N1960"/>
      <c r="O1960"/>
    </row>
    <row r="1961" spans="14:15" x14ac:dyDescent="0.35">
      <c r="N1961"/>
      <c r="O1961"/>
    </row>
    <row r="1962" spans="14:15" x14ac:dyDescent="0.35">
      <c r="N1962"/>
      <c r="O1962"/>
    </row>
    <row r="1963" spans="14:15" x14ac:dyDescent="0.35">
      <c r="N1963"/>
      <c r="O1963"/>
    </row>
    <row r="1964" spans="14:15" x14ac:dyDescent="0.35">
      <c r="N1964"/>
      <c r="O1964"/>
    </row>
    <row r="1965" spans="14:15" x14ac:dyDescent="0.35">
      <c r="N1965"/>
      <c r="O1965"/>
    </row>
    <row r="1966" spans="14:15" x14ac:dyDescent="0.35">
      <c r="N1966"/>
      <c r="O1966"/>
    </row>
    <row r="1967" spans="14:15" x14ac:dyDescent="0.35">
      <c r="N1967"/>
      <c r="O1967"/>
    </row>
    <row r="1968" spans="14:15" x14ac:dyDescent="0.35">
      <c r="N1968"/>
      <c r="O1968"/>
    </row>
    <row r="1969" spans="14:15" x14ac:dyDescent="0.35">
      <c r="N1969"/>
      <c r="O1969"/>
    </row>
    <row r="1970" spans="14:15" x14ac:dyDescent="0.35">
      <c r="N1970"/>
      <c r="O1970"/>
    </row>
    <row r="1971" spans="14:15" x14ac:dyDescent="0.35">
      <c r="N1971"/>
      <c r="O1971"/>
    </row>
    <row r="1972" spans="14:15" x14ac:dyDescent="0.35">
      <c r="N1972"/>
      <c r="O1972"/>
    </row>
    <row r="1973" spans="14:15" x14ac:dyDescent="0.35">
      <c r="N1973"/>
      <c r="O1973"/>
    </row>
    <row r="1974" spans="14:15" x14ac:dyDescent="0.35">
      <c r="N1974"/>
      <c r="O1974"/>
    </row>
    <row r="1975" spans="14:15" x14ac:dyDescent="0.35">
      <c r="N1975"/>
      <c r="O1975"/>
    </row>
    <row r="1976" spans="14:15" x14ac:dyDescent="0.35">
      <c r="N1976"/>
      <c r="O1976"/>
    </row>
    <row r="1977" spans="14:15" x14ac:dyDescent="0.35">
      <c r="N1977"/>
      <c r="O1977"/>
    </row>
    <row r="1978" spans="14:15" x14ac:dyDescent="0.35">
      <c r="N1978"/>
      <c r="O1978"/>
    </row>
    <row r="1979" spans="14:15" x14ac:dyDescent="0.35">
      <c r="N1979"/>
      <c r="O1979"/>
    </row>
    <row r="1980" spans="14:15" x14ac:dyDescent="0.35">
      <c r="N1980"/>
      <c r="O1980"/>
    </row>
    <row r="1981" spans="14:15" x14ac:dyDescent="0.35">
      <c r="N1981"/>
      <c r="O1981"/>
    </row>
    <row r="1982" spans="14:15" x14ac:dyDescent="0.35">
      <c r="N1982"/>
      <c r="O1982"/>
    </row>
    <row r="1983" spans="14:15" x14ac:dyDescent="0.35">
      <c r="N1983"/>
      <c r="O1983"/>
    </row>
    <row r="1984" spans="14:15" x14ac:dyDescent="0.35">
      <c r="N1984"/>
      <c r="O1984"/>
    </row>
    <row r="1985" spans="14:15" x14ac:dyDescent="0.35">
      <c r="N1985"/>
      <c r="O1985"/>
    </row>
    <row r="1986" spans="14:15" x14ac:dyDescent="0.35">
      <c r="N1986"/>
      <c r="O1986"/>
    </row>
    <row r="1987" spans="14:15" x14ac:dyDescent="0.35">
      <c r="N1987"/>
      <c r="O1987"/>
    </row>
    <row r="1988" spans="14:15" x14ac:dyDescent="0.35">
      <c r="N1988"/>
      <c r="O1988"/>
    </row>
    <row r="1989" spans="14:15" x14ac:dyDescent="0.35">
      <c r="N1989"/>
      <c r="O1989"/>
    </row>
    <row r="1990" spans="14:15" x14ac:dyDescent="0.35">
      <c r="N1990"/>
      <c r="O1990"/>
    </row>
    <row r="1991" spans="14:15" x14ac:dyDescent="0.35">
      <c r="N1991"/>
      <c r="O1991"/>
    </row>
    <row r="1992" spans="14:15" x14ac:dyDescent="0.35">
      <c r="N1992"/>
      <c r="O1992"/>
    </row>
    <row r="1993" spans="14:15" x14ac:dyDescent="0.35">
      <c r="N1993"/>
      <c r="O1993"/>
    </row>
    <row r="1994" spans="14:15" x14ac:dyDescent="0.35">
      <c r="N1994"/>
      <c r="O1994"/>
    </row>
    <row r="1995" spans="14:15" x14ac:dyDescent="0.35">
      <c r="N1995"/>
      <c r="O1995"/>
    </row>
    <row r="1996" spans="14:15" x14ac:dyDescent="0.35">
      <c r="N1996"/>
      <c r="O1996"/>
    </row>
    <row r="1997" spans="14:15" x14ac:dyDescent="0.35">
      <c r="N1997"/>
      <c r="O1997"/>
    </row>
    <row r="1998" spans="14:15" x14ac:dyDescent="0.35">
      <c r="N1998"/>
      <c r="O1998"/>
    </row>
    <row r="1999" spans="14:15" x14ac:dyDescent="0.35">
      <c r="N1999"/>
      <c r="O1999"/>
    </row>
    <row r="2000" spans="14:15" x14ac:dyDescent="0.35">
      <c r="N2000"/>
      <c r="O2000"/>
    </row>
    <row r="2001" spans="14:15" x14ac:dyDescent="0.35">
      <c r="N2001"/>
      <c r="O2001"/>
    </row>
    <row r="2002" spans="14:15" x14ac:dyDescent="0.35">
      <c r="N2002"/>
      <c r="O2002"/>
    </row>
    <row r="2003" spans="14:15" x14ac:dyDescent="0.35">
      <c r="N2003"/>
      <c r="O2003"/>
    </row>
    <row r="2004" spans="14:15" x14ac:dyDescent="0.35">
      <c r="N2004"/>
      <c r="O2004"/>
    </row>
    <row r="2005" spans="14:15" x14ac:dyDescent="0.35">
      <c r="N2005"/>
      <c r="O2005"/>
    </row>
    <row r="2006" spans="14:15" x14ac:dyDescent="0.35">
      <c r="N2006"/>
      <c r="O2006"/>
    </row>
    <row r="2007" spans="14:15" x14ac:dyDescent="0.35">
      <c r="N2007"/>
      <c r="O2007"/>
    </row>
    <row r="2008" spans="14:15" x14ac:dyDescent="0.35">
      <c r="N2008"/>
      <c r="O2008"/>
    </row>
    <row r="2009" spans="14:15" x14ac:dyDescent="0.35">
      <c r="N2009"/>
      <c r="O2009"/>
    </row>
    <row r="2010" spans="14:15" x14ac:dyDescent="0.35">
      <c r="N2010"/>
      <c r="O2010"/>
    </row>
    <row r="2011" spans="14:15" x14ac:dyDescent="0.35">
      <c r="N2011"/>
      <c r="O2011"/>
    </row>
    <row r="2012" spans="14:15" x14ac:dyDescent="0.35">
      <c r="N2012"/>
      <c r="O2012"/>
    </row>
    <row r="2013" spans="14:15" x14ac:dyDescent="0.35">
      <c r="N2013"/>
      <c r="O2013"/>
    </row>
    <row r="2014" spans="14:15" x14ac:dyDescent="0.35">
      <c r="N2014"/>
      <c r="O2014"/>
    </row>
    <row r="2015" spans="14:15" x14ac:dyDescent="0.35">
      <c r="N2015"/>
      <c r="O2015"/>
    </row>
    <row r="2016" spans="14:15" x14ac:dyDescent="0.35">
      <c r="N2016"/>
      <c r="O2016"/>
    </row>
    <row r="2017" spans="14:15" x14ac:dyDescent="0.35">
      <c r="N2017"/>
      <c r="O2017"/>
    </row>
    <row r="2018" spans="14:15" x14ac:dyDescent="0.35">
      <c r="N2018"/>
      <c r="O2018"/>
    </row>
    <row r="2019" spans="14:15" x14ac:dyDescent="0.35">
      <c r="N2019"/>
      <c r="O2019"/>
    </row>
    <row r="2020" spans="14:15" x14ac:dyDescent="0.35">
      <c r="N2020"/>
      <c r="O2020"/>
    </row>
    <row r="2021" spans="14:15" x14ac:dyDescent="0.35">
      <c r="N2021"/>
      <c r="O2021"/>
    </row>
    <row r="2022" spans="14:15" x14ac:dyDescent="0.35">
      <c r="N2022"/>
      <c r="O2022"/>
    </row>
    <row r="2023" spans="14:15" x14ac:dyDescent="0.35">
      <c r="N2023"/>
      <c r="O2023"/>
    </row>
    <row r="2024" spans="14:15" x14ac:dyDescent="0.35">
      <c r="N2024"/>
      <c r="O2024"/>
    </row>
    <row r="2025" spans="14:15" x14ac:dyDescent="0.35">
      <c r="N2025"/>
      <c r="O2025"/>
    </row>
    <row r="2026" spans="14:15" x14ac:dyDescent="0.35">
      <c r="N2026"/>
      <c r="O2026"/>
    </row>
    <row r="2027" spans="14:15" x14ac:dyDescent="0.35">
      <c r="N2027"/>
      <c r="O2027"/>
    </row>
    <row r="2028" spans="14:15" x14ac:dyDescent="0.35">
      <c r="N2028"/>
      <c r="O2028"/>
    </row>
    <row r="2029" spans="14:15" x14ac:dyDescent="0.35">
      <c r="N2029"/>
      <c r="O2029"/>
    </row>
    <row r="2030" spans="14:15" x14ac:dyDescent="0.35">
      <c r="N2030"/>
      <c r="O2030"/>
    </row>
    <row r="2031" spans="14:15" x14ac:dyDescent="0.35">
      <c r="N2031"/>
      <c r="O2031"/>
    </row>
    <row r="2032" spans="14:15" x14ac:dyDescent="0.35">
      <c r="N2032"/>
      <c r="O2032"/>
    </row>
    <row r="2033" spans="14:15" x14ac:dyDescent="0.35">
      <c r="N2033"/>
      <c r="O2033"/>
    </row>
    <row r="2034" spans="14:15" x14ac:dyDescent="0.35">
      <c r="N2034"/>
      <c r="O2034"/>
    </row>
    <row r="2035" spans="14:15" x14ac:dyDescent="0.35">
      <c r="N2035"/>
      <c r="O2035"/>
    </row>
    <row r="2036" spans="14:15" x14ac:dyDescent="0.35">
      <c r="N2036"/>
      <c r="O2036"/>
    </row>
    <row r="2037" spans="14:15" x14ac:dyDescent="0.35">
      <c r="N2037"/>
      <c r="O2037"/>
    </row>
    <row r="2038" spans="14:15" x14ac:dyDescent="0.35">
      <c r="N2038"/>
      <c r="O2038"/>
    </row>
    <row r="2039" spans="14:15" x14ac:dyDescent="0.35">
      <c r="N2039"/>
      <c r="O2039"/>
    </row>
    <row r="2040" spans="14:15" x14ac:dyDescent="0.35">
      <c r="N2040"/>
      <c r="O2040"/>
    </row>
    <row r="2041" spans="14:15" x14ac:dyDescent="0.35">
      <c r="N2041"/>
      <c r="O2041"/>
    </row>
    <row r="2042" spans="14:15" x14ac:dyDescent="0.35">
      <c r="N2042"/>
      <c r="O2042"/>
    </row>
    <row r="2043" spans="14:15" x14ac:dyDescent="0.35">
      <c r="N2043"/>
      <c r="O2043"/>
    </row>
    <row r="2044" spans="14:15" x14ac:dyDescent="0.35">
      <c r="N2044"/>
      <c r="O2044"/>
    </row>
    <row r="2045" spans="14:15" x14ac:dyDescent="0.35">
      <c r="N2045"/>
      <c r="O2045"/>
    </row>
    <row r="2046" spans="14:15" x14ac:dyDescent="0.35">
      <c r="N2046"/>
      <c r="O2046"/>
    </row>
    <row r="2047" spans="14:15" x14ac:dyDescent="0.35">
      <c r="N2047"/>
      <c r="O2047"/>
    </row>
    <row r="2048" spans="14:15" x14ac:dyDescent="0.35">
      <c r="N2048"/>
      <c r="O2048"/>
    </row>
    <row r="2049" spans="14:15" x14ac:dyDescent="0.35">
      <c r="N2049"/>
      <c r="O2049"/>
    </row>
    <row r="2050" spans="14:15" x14ac:dyDescent="0.35">
      <c r="N2050"/>
      <c r="O2050"/>
    </row>
    <row r="2051" spans="14:15" x14ac:dyDescent="0.35">
      <c r="N2051"/>
      <c r="O2051"/>
    </row>
    <row r="2052" spans="14:15" x14ac:dyDescent="0.35">
      <c r="N2052"/>
      <c r="O2052"/>
    </row>
    <row r="2053" spans="14:15" x14ac:dyDescent="0.35">
      <c r="N2053"/>
      <c r="O2053"/>
    </row>
    <row r="2054" spans="14:15" x14ac:dyDescent="0.35">
      <c r="N2054"/>
      <c r="O2054"/>
    </row>
    <row r="2055" spans="14:15" x14ac:dyDescent="0.35">
      <c r="N2055"/>
      <c r="O2055"/>
    </row>
    <row r="2056" spans="14:15" x14ac:dyDescent="0.35">
      <c r="N2056"/>
      <c r="O2056"/>
    </row>
    <row r="2057" spans="14:15" x14ac:dyDescent="0.35">
      <c r="N2057"/>
      <c r="O2057"/>
    </row>
    <row r="2058" spans="14:15" x14ac:dyDescent="0.35">
      <c r="N2058"/>
      <c r="O2058"/>
    </row>
    <row r="2059" spans="14:15" x14ac:dyDescent="0.35">
      <c r="N2059"/>
      <c r="O2059"/>
    </row>
    <row r="2060" spans="14:15" x14ac:dyDescent="0.35">
      <c r="N2060"/>
      <c r="O2060"/>
    </row>
    <row r="2061" spans="14:15" x14ac:dyDescent="0.35">
      <c r="N2061"/>
      <c r="O2061"/>
    </row>
    <row r="2062" spans="14:15" x14ac:dyDescent="0.35">
      <c r="N2062"/>
      <c r="O2062"/>
    </row>
    <row r="2063" spans="14:15" x14ac:dyDescent="0.35">
      <c r="N2063"/>
      <c r="O2063"/>
    </row>
    <row r="2064" spans="14:15" x14ac:dyDescent="0.35">
      <c r="N2064"/>
      <c r="O2064"/>
    </row>
    <row r="2065" spans="14:15" x14ac:dyDescent="0.35">
      <c r="N2065"/>
      <c r="O2065"/>
    </row>
    <row r="2066" spans="14:15" x14ac:dyDescent="0.35">
      <c r="N2066"/>
      <c r="O2066"/>
    </row>
    <row r="2067" spans="14:15" x14ac:dyDescent="0.35">
      <c r="N2067"/>
      <c r="O2067"/>
    </row>
    <row r="2068" spans="14:15" x14ac:dyDescent="0.35">
      <c r="N2068"/>
      <c r="O2068"/>
    </row>
    <row r="2069" spans="14:15" x14ac:dyDescent="0.35">
      <c r="N2069"/>
      <c r="O2069"/>
    </row>
    <row r="2070" spans="14:15" x14ac:dyDescent="0.35">
      <c r="N2070"/>
      <c r="O2070"/>
    </row>
    <row r="2071" spans="14:15" x14ac:dyDescent="0.35">
      <c r="N2071"/>
      <c r="O2071"/>
    </row>
    <row r="2072" spans="14:15" x14ac:dyDescent="0.35">
      <c r="N2072"/>
      <c r="O2072"/>
    </row>
    <row r="2073" spans="14:15" x14ac:dyDescent="0.35">
      <c r="N2073"/>
      <c r="O2073"/>
    </row>
    <row r="2074" spans="14:15" x14ac:dyDescent="0.35">
      <c r="N2074"/>
      <c r="O2074"/>
    </row>
    <row r="2075" spans="14:15" x14ac:dyDescent="0.35">
      <c r="N2075"/>
      <c r="O2075"/>
    </row>
    <row r="2076" spans="14:15" x14ac:dyDescent="0.35">
      <c r="N2076"/>
      <c r="O2076"/>
    </row>
    <row r="2077" spans="14:15" x14ac:dyDescent="0.35">
      <c r="N2077"/>
      <c r="O2077"/>
    </row>
    <row r="2078" spans="14:15" x14ac:dyDescent="0.35">
      <c r="N2078"/>
      <c r="O2078"/>
    </row>
    <row r="2079" spans="14:15" x14ac:dyDescent="0.35">
      <c r="N2079"/>
      <c r="O2079"/>
    </row>
    <row r="2080" spans="14:15" x14ac:dyDescent="0.35">
      <c r="N2080"/>
      <c r="O2080"/>
    </row>
    <row r="2081" spans="14:15" x14ac:dyDescent="0.35">
      <c r="N2081"/>
      <c r="O2081"/>
    </row>
    <row r="2082" spans="14:15" x14ac:dyDescent="0.35">
      <c r="N2082"/>
      <c r="O2082"/>
    </row>
    <row r="2083" spans="14:15" x14ac:dyDescent="0.35">
      <c r="N2083"/>
      <c r="O2083"/>
    </row>
    <row r="2084" spans="14:15" x14ac:dyDescent="0.35">
      <c r="N2084"/>
      <c r="O2084"/>
    </row>
    <row r="2085" spans="14:15" x14ac:dyDescent="0.35">
      <c r="N2085"/>
      <c r="O2085"/>
    </row>
    <row r="2086" spans="14:15" x14ac:dyDescent="0.35">
      <c r="N2086"/>
      <c r="O2086"/>
    </row>
    <row r="2087" spans="14:15" x14ac:dyDescent="0.35">
      <c r="N2087"/>
      <c r="O2087"/>
    </row>
    <row r="2088" spans="14:15" x14ac:dyDescent="0.35">
      <c r="N2088"/>
      <c r="O2088"/>
    </row>
    <row r="2089" spans="14:15" x14ac:dyDescent="0.35">
      <c r="N2089"/>
      <c r="O2089"/>
    </row>
    <row r="2090" spans="14:15" x14ac:dyDescent="0.35">
      <c r="N2090"/>
      <c r="O2090"/>
    </row>
    <row r="2091" spans="14:15" x14ac:dyDescent="0.35">
      <c r="N2091"/>
      <c r="O2091"/>
    </row>
    <row r="2092" spans="14:15" x14ac:dyDescent="0.35">
      <c r="N2092"/>
      <c r="O2092"/>
    </row>
    <row r="2093" spans="14:15" x14ac:dyDescent="0.35">
      <c r="N2093"/>
      <c r="O2093"/>
    </row>
    <row r="2094" spans="14:15" x14ac:dyDescent="0.35">
      <c r="N2094"/>
      <c r="O2094"/>
    </row>
    <row r="2095" spans="14:15" x14ac:dyDescent="0.35">
      <c r="N2095"/>
      <c r="O2095"/>
    </row>
    <row r="2096" spans="14:15" x14ac:dyDescent="0.35">
      <c r="N2096"/>
      <c r="O2096"/>
    </row>
    <row r="2097" spans="14:15" x14ac:dyDescent="0.35">
      <c r="N2097"/>
      <c r="O2097"/>
    </row>
    <row r="2098" spans="14:15" x14ac:dyDescent="0.35">
      <c r="N2098"/>
      <c r="O2098"/>
    </row>
    <row r="2099" spans="14:15" x14ac:dyDescent="0.35">
      <c r="N2099"/>
      <c r="O2099"/>
    </row>
    <row r="2100" spans="14:15" x14ac:dyDescent="0.35">
      <c r="N2100"/>
      <c r="O2100"/>
    </row>
    <row r="2101" spans="14:15" x14ac:dyDescent="0.35">
      <c r="N2101"/>
      <c r="O2101"/>
    </row>
    <row r="2102" spans="14:15" x14ac:dyDescent="0.35">
      <c r="N2102"/>
      <c r="O2102"/>
    </row>
    <row r="2103" spans="14:15" x14ac:dyDescent="0.35">
      <c r="N2103"/>
      <c r="O2103"/>
    </row>
    <row r="2104" spans="14:15" x14ac:dyDescent="0.35">
      <c r="N2104"/>
      <c r="O2104"/>
    </row>
    <row r="2105" spans="14:15" x14ac:dyDescent="0.35">
      <c r="N2105"/>
      <c r="O2105"/>
    </row>
    <row r="2106" spans="14:15" x14ac:dyDescent="0.35">
      <c r="N2106"/>
      <c r="O2106"/>
    </row>
    <row r="2107" spans="14:15" x14ac:dyDescent="0.35">
      <c r="N2107"/>
      <c r="O2107"/>
    </row>
    <row r="2108" spans="14:15" x14ac:dyDescent="0.35">
      <c r="N2108"/>
      <c r="O2108"/>
    </row>
    <row r="2109" spans="14:15" x14ac:dyDescent="0.35">
      <c r="N2109"/>
      <c r="O2109"/>
    </row>
    <row r="2110" spans="14:15" x14ac:dyDescent="0.35">
      <c r="N2110"/>
      <c r="O2110"/>
    </row>
    <row r="2111" spans="14:15" x14ac:dyDescent="0.35">
      <c r="N2111"/>
      <c r="O2111"/>
    </row>
    <row r="2112" spans="14:15" x14ac:dyDescent="0.35">
      <c r="N2112"/>
      <c r="O2112"/>
    </row>
    <row r="2113" spans="14:15" x14ac:dyDescent="0.35">
      <c r="N2113"/>
      <c r="O2113"/>
    </row>
    <row r="2114" spans="14:15" x14ac:dyDescent="0.35">
      <c r="N2114"/>
      <c r="O2114"/>
    </row>
    <row r="2115" spans="14:15" x14ac:dyDescent="0.35">
      <c r="N2115"/>
      <c r="O2115"/>
    </row>
    <row r="2116" spans="14:15" x14ac:dyDescent="0.35">
      <c r="N2116"/>
      <c r="O2116"/>
    </row>
    <row r="2117" spans="14:15" x14ac:dyDescent="0.35">
      <c r="N2117"/>
      <c r="O2117"/>
    </row>
    <row r="2118" spans="14:15" x14ac:dyDescent="0.35">
      <c r="N2118"/>
      <c r="O2118"/>
    </row>
    <row r="2119" spans="14:15" x14ac:dyDescent="0.35">
      <c r="N2119"/>
      <c r="O2119"/>
    </row>
    <row r="2120" spans="14:15" x14ac:dyDescent="0.35">
      <c r="N2120"/>
      <c r="O2120"/>
    </row>
    <row r="2121" spans="14:15" x14ac:dyDescent="0.35">
      <c r="N2121"/>
      <c r="O2121"/>
    </row>
    <row r="2122" spans="14:15" x14ac:dyDescent="0.35">
      <c r="N2122"/>
      <c r="O2122"/>
    </row>
    <row r="2123" spans="14:15" x14ac:dyDescent="0.35">
      <c r="N2123"/>
      <c r="O2123"/>
    </row>
    <row r="2124" spans="14:15" x14ac:dyDescent="0.35">
      <c r="N2124"/>
      <c r="O2124"/>
    </row>
    <row r="2125" spans="14:15" x14ac:dyDescent="0.35">
      <c r="N2125"/>
      <c r="O2125"/>
    </row>
    <row r="2126" spans="14:15" x14ac:dyDescent="0.35">
      <c r="N2126"/>
      <c r="O2126"/>
    </row>
    <row r="2127" spans="14:15" x14ac:dyDescent="0.35">
      <c r="N2127"/>
      <c r="O2127"/>
    </row>
    <row r="2128" spans="14:15" x14ac:dyDescent="0.35">
      <c r="N2128"/>
      <c r="O2128"/>
    </row>
    <row r="2129" spans="14:15" x14ac:dyDescent="0.35">
      <c r="N2129"/>
      <c r="O2129"/>
    </row>
    <row r="2130" spans="14:15" x14ac:dyDescent="0.35">
      <c r="N2130"/>
      <c r="O2130"/>
    </row>
    <row r="2131" spans="14:15" x14ac:dyDescent="0.35">
      <c r="N2131"/>
      <c r="O2131"/>
    </row>
    <row r="2132" spans="14:15" x14ac:dyDescent="0.35">
      <c r="N2132"/>
      <c r="O2132"/>
    </row>
    <row r="2133" spans="14:15" x14ac:dyDescent="0.35">
      <c r="N2133"/>
      <c r="O2133"/>
    </row>
    <row r="2134" spans="14:15" x14ac:dyDescent="0.35">
      <c r="N2134"/>
      <c r="O2134"/>
    </row>
    <row r="2135" spans="14:15" x14ac:dyDescent="0.35">
      <c r="N2135"/>
      <c r="O2135"/>
    </row>
    <row r="2136" spans="14:15" x14ac:dyDescent="0.35">
      <c r="N2136"/>
      <c r="O2136"/>
    </row>
    <row r="2137" spans="14:15" x14ac:dyDescent="0.35">
      <c r="N2137"/>
      <c r="O2137"/>
    </row>
    <row r="2138" spans="14:15" x14ac:dyDescent="0.35">
      <c r="N2138"/>
      <c r="O2138"/>
    </row>
    <row r="2139" spans="14:15" x14ac:dyDescent="0.35">
      <c r="N2139"/>
      <c r="O2139"/>
    </row>
    <row r="2140" spans="14:15" x14ac:dyDescent="0.35">
      <c r="N2140"/>
      <c r="O2140"/>
    </row>
    <row r="2141" spans="14:15" x14ac:dyDescent="0.35">
      <c r="N2141"/>
      <c r="O2141"/>
    </row>
    <row r="2142" spans="14:15" x14ac:dyDescent="0.35">
      <c r="N2142"/>
      <c r="O2142"/>
    </row>
    <row r="2143" spans="14:15" x14ac:dyDescent="0.35">
      <c r="N2143"/>
      <c r="O2143"/>
    </row>
    <row r="2144" spans="14:15" x14ac:dyDescent="0.35">
      <c r="N2144"/>
      <c r="O2144"/>
    </row>
    <row r="2145" spans="13:25" x14ac:dyDescent="0.35">
      <c r="N2145"/>
      <c r="O2145"/>
    </row>
    <row r="2146" spans="13:25" x14ac:dyDescent="0.35">
      <c r="N2146"/>
      <c r="O2146"/>
    </row>
    <row r="2147" spans="13:25" x14ac:dyDescent="0.35">
      <c r="N2147"/>
      <c r="O2147"/>
    </row>
    <row r="2148" spans="13:25" x14ac:dyDescent="0.35">
      <c r="N2148"/>
      <c r="O2148"/>
    </row>
    <row r="2149" spans="13:25" x14ac:dyDescent="0.35">
      <c r="N2149"/>
      <c r="O2149"/>
    </row>
    <row r="2150" spans="13:25" x14ac:dyDescent="0.35">
      <c r="N2150"/>
      <c r="O2150"/>
    </row>
    <row r="2151" spans="13:25" x14ac:dyDescent="0.35">
      <c r="N2151"/>
      <c r="O2151"/>
    </row>
    <row r="2152" spans="13:25" x14ac:dyDescent="0.35">
      <c r="M2152" s="13"/>
      <c r="N2152"/>
      <c r="O2152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</row>
    <row r="2153" spans="13:25" x14ac:dyDescent="0.35">
      <c r="M2153" s="13"/>
      <c r="N2153"/>
      <c r="O215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</row>
    <row r="2154" spans="13:25" x14ac:dyDescent="0.35">
      <c r="M2154" s="13"/>
      <c r="N2154"/>
      <c r="O2154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</row>
    <row r="2155" spans="13:25" x14ac:dyDescent="0.35">
      <c r="M2155" s="13"/>
      <c r="N2155"/>
      <c r="O2155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</row>
    <row r="2156" spans="13:25" x14ac:dyDescent="0.35">
      <c r="M2156" s="13"/>
      <c r="N2156"/>
      <c r="O2156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</row>
    <row r="2157" spans="13:25" x14ac:dyDescent="0.35">
      <c r="M2157" s="13"/>
      <c r="N2157"/>
      <c r="O2157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</row>
    <row r="2158" spans="13:25" x14ac:dyDescent="0.35">
      <c r="M2158" s="13"/>
      <c r="N2158"/>
      <c r="O2158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</row>
    <row r="2159" spans="13:25" x14ac:dyDescent="0.35">
      <c r="M2159" s="13"/>
      <c r="N2159"/>
      <c r="O2159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</row>
    <row r="2160" spans="13:25" x14ac:dyDescent="0.35">
      <c r="M2160" s="13"/>
      <c r="N2160"/>
      <c r="O2160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</row>
    <row r="2161" spans="13:25" x14ac:dyDescent="0.35">
      <c r="M2161" s="13"/>
      <c r="N2161"/>
      <c r="O2161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</row>
    <row r="2162" spans="13:25" x14ac:dyDescent="0.35">
      <c r="M2162" s="13"/>
      <c r="N2162"/>
      <c r="O2162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</row>
    <row r="2163" spans="13:25" x14ac:dyDescent="0.35">
      <c r="M2163" s="13"/>
      <c r="N2163"/>
      <c r="O216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</row>
    <row r="2164" spans="13:25" x14ac:dyDescent="0.35">
      <c r="M2164" s="13"/>
      <c r="N2164"/>
      <c r="O2164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</row>
    <row r="2165" spans="13:25" x14ac:dyDescent="0.35">
      <c r="M2165" s="13"/>
      <c r="N2165"/>
      <c r="O2165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</row>
    <row r="2166" spans="13:25" x14ac:dyDescent="0.35">
      <c r="N2166"/>
      <c r="O2166"/>
    </row>
    <row r="2167" spans="13:25" x14ac:dyDescent="0.35">
      <c r="N2167"/>
      <c r="O2167"/>
    </row>
    <row r="2168" spans="13:25" x14ac:dyDescent="0.35">
      <c r="N2168"/>
      <c r="O2168"/>
    </row>
    <row r="2169" spans="13:25" x14ac:dyDescent="0.35">
      <c r="N2169"/>
      <c r="O2169"/>
    </row>
    <row r="2170" spans="13:25" x14ac:dyDescent="0.35">
      <c r="N2170"/>
      <c r="O2170"/>
    </row>
    <row r="2171" spans="13:25" x14ac:dyDescent="0.35">
      <c r="N2171"/>
      <c r="O2171"/>
    </row>
    <row r="2172" spans="13:25" x14ac:dyDescent="0.35">
      <c r="N2172"/>
      <c r="O2172"/>
    </row>
    <row r="2173" spans="13:25" x14ac:dyDescent="0.35">
      <c r="N2173"/>
      <c r="O2173"/>
    </row>
    <row r="2174" spans="13:25" x14ac:dyDescent="0.35">
      <c r="N2174"/>
      <c r="O2174"/>
    </row>
    <row r="2175" spans="13:25" x14ac:dyDescent="0.35">
      <c r="N2175"/>
      <c r="O2175"/>
    </row>
    <row r="2176" spans="13:25" x14ac:dyDescent="0.35">
      <c r="N2176"/>
      <c r="O2176"/>
    </row>
    <row r="2177" spans="14:15" x14ac:dyDescent="0.35">
      <c r="N2177"/>
      <c r="O2177"/>
    </row>
    <row r="2178" spans="14:15" x14ac:dyDescent="0.35">
      <c r="N2178"/>
      <c r="O2178"/>
    </row>
    <row r="2179" spans="14:15" x14ac:dyDescent="0.35">
      <c r="N2179"/>
      <c r="O2179"/>
    </row>
    <row r="2180" spans="14:15" x14ac:dyDescent="0.35">
      <c r="N2180"/>
      <c r="O2180"/>
    </row>
    <row r="2181" spans="14:15" x14ac:dyDescent="0.35">
      <c r="N2181"/>
      <c r="O2181"/>
    </row>
    <row r="2182" spans="14:15" x14ac:dyDescent="0.35">
      <c r="N2182"/>
      <c r="O2182"/>
    </row>
    <row r="2183" spans="14:15" x14ac:dyDescent="0.35">
      <c r="N2183"/>
      <c r="O2183"/>
    </row>
    <row r="2184" spans="14:15" x14ac:dyDescent="0.35">
      <c r="N2184"/>
      <c r="O2184"/>
    </row>
    <row r="2185" spans="14:15" x14ac:dyDescent="0.35">
      <c r="N2185"/>
      <c r="O2185"/>
    </row>
    <row r="2186" spans="14:15" x14ac:dyDescent="0.35">
      <c r="N2186"/>
      <c r="O2186"/>
    </row>
    <row r="2187" spans="14:15" x14ac:dyDescent="0.35">
      <c r="N2187"/>
      <c r="O2187"/>
    </row>
    <row r="2188" spans="14:15" x14ac:dyDescent="0.35">
      <c r="N2188"/>
      <c r="O2188"/>
    </row>
    <row r="2189" spans="14:15" x14ac:dyDescent="0.35">
      <c r="N2189"/>
      <c r="O2189"/>
    </row>
    <row r="2190" spans="14:15" x14ac:dyDescent="0.35">
      <c r="N2190"/>
      <c r="O2190"/>
    </row>
    <row r="2191" spans="14:15" x14ac:dyDescent="0.35">
      <c r="N2191"/>
      <c r="O2191"/>
    </row>
    <row r="2192" spans="14:15" x14ac:dyDescent="0.35">
      <c r="N2192"/>
      <c r="O2192"/>
    </row>
    <row r="2193" spans="14:15" x14ac:dyDescent="0.35">
      <c r="N2193"/>
      <c r="O2193"/>
    </row>
    <row r="2194" spans="14:15" x14ac:dyDescent="0.35">
      <c r="N2194"/>
      <c r="O2194"/>
    </row>
    <row r="2195" spans="14:15" x14ac:dyDescent="0.35">
      <c r="N2195"/>
      <c r="O2195"/>
    </row>
    <row r="2196" spans="14:15" x14ac:dyDescent="0.35">
      <c r="N2196"/>
      <c r="O2196"/>
    </row>
    <row r="2197" spans="14:15" x14ac:dyDescent="0.35">
      <c r="N2197"/>
      <c r="O2197"/>
    </row>
    <row r="2198" spans="14:15" x14ac:dyDescent="0.35">
      <c r="N2198"/>
      <c r="O2198"/>
    </row>
    <row r="2199" spans="14:15" x14ac:dyDescent="0.35">
      <c r="N2199"/>
      <c r="O2199"/>
    </row>
    <row r="2200" spans="14:15" x14ac:dyDescent="0.35">
      <c r="N2200"/>
      <c r="O2200"/>
    </row>
    <row r="2201" spans="14:15" x14ac:dyDescent="0.35">
      <c r="N2201"/>
      <c r="O2201"/>
    </row>
    <row r="2202" spans="14:15" x14ac:dyDescent="0.35">
      <c r="N2202"/>
      <c r="O2202"/>
    </row>
    <row r="2203" spans="14:15" x14ac:dyDescent="0.35">
      <c r="N2203"/>
      <c r="O2203"/>
    </row>
    <row r="2204" spans="14:15" x14ac:dyDescent="0.35">
      <c r="N2204"/>
      <c r="O2204"/>
    </row>
    <row r="2205" spans="14:15" x14ac:dyDescent="0.35">
      <c r="N2205"/>
      <c r="O2205"/>
    </row>
    <row r="2206" spans="14:15" x14ac:dyDescent="0.35">
      <c r="N2206"/>
      <c r="O2206"/>
    </row>
    <row r="2207" spans="14:15" x14ac:dyDescent="0.35">
      <c r="N2207"/>
      <c r="O2207"/>
    </row>
    <row r="2208" spans="14:15" x14ac:dyDescent="0.35">
      <c r="N2208"/>
      <c r="O2208"/>
    </row>
    <row r="2209" spans="13:25" x14ac:dyDescent="0.35">
      <c r="N2209"/>
      <c r="O2209"/>
    </row>
    <row r="2210" spans="13:25" x14ac:dyDescent="0.35">
      <c r="N2210"/>
      <c r="O2210"/>
    </row>
    <row r="2211" spans="13:25" x14ac:dyDescent="0.35">
      <c r="N2211"/>
      <c r="O2211"/>
    </row>
    <row r="2212" spans="13:25" x14ac:dyDescent="0.35">
      <c r="N2212"/>
      <c r="O2212"/>
    </row>
    <row r="2213" spans="13:25" x14ac:dyDescent="0.35">
      <c r="N2213"/>
      <c r="O2213"/>
    </row>
    <row r="2214" spans="13:25" x14ac:dyDescent="0.35">
      <c r="N2214"/>
      <c r="O2214"/>
    </row>
    <row r="2215" spans="13:25" x14ac:dyDescent="0.35">
      <c r="N2215"/>
      <c r="O2215"/>
    </row>
    <row r="2216" spans="13:25" x14ac:dyDescent="0.35">
      <c r="N2216"/>
      <c r="O2216"/>
    </row>
    <row r="2217" spans="13:25" x14ac:dyDescent="0.35">
      <c r="N2217"/>
      <c r="O2217"/>
    </row>
    <row r="2218" spans="13:25" x14ac:dyDescent="0.35">
      <c r="M2218" s="13"/>
      <c r="N2218"/>
      <c r="O2218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</row>
    <row r="2219" spans="13:25" x14ac:dyDescent="0.35">
      <c r="M2219" s="13"/>
      <c r="N2219"/>
      <c r="O2219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</row>
    <row r="2220" spans="13:25" x14ac:dyDescent="0.35">
      <c r="M2220" s="13"/>
      <c r="N2220"/>
      <c r="O2220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</row>
    <row r="2221" spans="13:25" x14ac:dyDescent="0.35">
      <c r="M2221" s="13"/>
      <c r="N2221"/>
      <c r="O2221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</row>
    <row r="2222" spans="13:25" x14ac:dyDescent="0.35">
      <c r="M2222" s="13"/>
      <c r="N2222"/>
      <c r="O2222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</row>
    <row r="2223" spans="13:25" x14ac:dyDescent="0.35">
      <c r="M2223" s="13"/>
      <c r="N2223"/>
      <c r="O222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</row>
    <row r="2224" spans="13:25" x14ac:dyDescent="0.35">
      <c r="M2224" s="13"/>
      <c r="N2224"/>
      <c r="O2224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</row>
    <row r="2225" spans="13:25" x14ac:dyDescent="0.35">
      <c r="M2225" s="13"/>
      <c r="N2225"/>
      <c r="O2225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</row>
    <row r="2226" spans="13:25" x14ac:dyDescent="0.35">
      <c r="M2226" s="13"/>
      <c r="N2226"/>
      <c r="O2226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</row>
    <row r="2227" spans="13:25" x14ac:dyDescent="0.35">
      <c r="N2227"/>
      <c r="O2227"/>
    </row>
    <row r="2228" spans="13:25" x14ac:dyDescent="0.35">
      <c r="N2228"/>
      <c r="O2228"/>
    </row>
    <row r="2229" spans="13:25" x14ac:dyDescent="0.35">
      <c r="N2229"/>
      <c r="O2229"/>
    </row>
    <row r="2230" spans="13:25" x14ac:dyDescent="0.35">
      <c r="N2230"/>
      <c r="O2230"/>
    </row>
    <row r="2231" spans="13:25" x14ac:dyDescent="0.35">
      <c r="N2231"/>
      <c r="O2231"/>
    </row>
    <row r="2232" spans="13:25" x14ac:dyDescent="0.35">
      <c r="N2232"/>
      <c r="O2232"/>
    </row>
    <row r="2233" spans="13:25" x14ac:dyDescent="0.35">
      <c r="N2233"/>
      <c r="O2233"/>
    </row>
    <row r="2234" spans="13:25" x14ac:dyDescent="0.35">
      <c r="N2234"/>
      <c r="O2234"/>
    </row>
    <row r="2235" spans="13:25" x14ac:dyDescent="0.35">
      <c r="N2235"/>
      <c r="O2235"/>
    </row>
    <row r="2236" spans="13:25" x14ac:dyDescent="0.35">
      <c r="N2236"/>
      <c r="O2236"/>
    </row>
    <row r="2237" spans="13:25" x14ac:dyDescent="0.35">
      <c r="N2237"/>
      <c r="O2237"/>
    </row>
    <row r="2238" spans="13:25" x14ac:dyDescent="0.35">
      <c r="M2238" s="13"/>
      <c r="N2238"/>
      <c r="O2238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</row>
    <row r="2239" spans="13:25" x14ac:dyDescent="0.35">
      <c r="M2239" s="13"/>
      <c r="N2239"/>
      <c r="O2239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</row>
    <row r="2240" spans="13:25" x14ac:dyDescent="0.35">
      <c r="N2240"/>
      <c r="O2240"/>
    </row>
    <row r="2241" spans="14:15" x14ac:dyDescent="0.35">
      <c r="N2241"/>
      <c r="O2241"/>
    </row>
    <row r="2242" spans="14:15" x14ac:dyDescent="0.35">
      <c r="N2242"/>
      <c r="O2242"/>
    </row>
    <row r="2243" spans="14:15" x14ac:dyDescent="0.35">
      <c r="N2243"/>
      <c r="O2243"/>
    </row>
    <row r="2244" spans="14:15" x14ac:dyDescent="0.35">
      <c r="N2244"/>
      <c r="O2244"/>
    </row>
    <row r="2245" spans="14:15" x14ac:dyDescent="0.35">
      <c r="N2245"/>
      <c r="O2245"/>
    </row>
    <row r="2246" spans="14:15" x14ac:dyDescent="0.35">
      <c r="N2246"/>
      <c r="O2246"/>
    </row>
    <row r="2247" spans="14:15" x14ac:dyDescent="0.35">
      <c r="N2247"/>
      <c r="O2247"/>
    </row>
    <row r="2248" spans="14:15" x14ac:dyDescent="0.35">
      <c r="N2248"/>
      <c r="O2248"/>
    </row>
    <row r="2249" spans="14:15" x14ac:dyDescent="0.35">
      <c r="N2249"/>
      <c r="O2249"/>
    </row>
    <row r="2250" spans="14:15" x14ac:dyDescent="0.35">
      <c r="N2250"/>
      <c r="O2250"/>
    </row>
    <row r="2251" spans="14:15" x14ac:dyDescent="0.35">
      <c r="N2251"/>
      <c r="O2251"/>
    </row>
    <row r="2252" spans="14:15" x14ac:dyDescent="0.35">
      <c r="N2252"/>
      <c r="O2252"/>
    </row>
    <row r="2253" spans="14:15" x14ac:dyDescent="0.35">
      <c r="N2253"/>
      <c r="O2253"/>
    </row>
    <row r="2254" spans="14:15" x14ac:dyDescent="0.35">
      <c r="N2254"/>
      <c r="O2254"/>
    </row>
    <row r="2255" spans="14:15" x14ac:dyDescent="0.35">
      <c r="N2255"/>
      <c r="O2255"/>
    </row>
    <row r="2256" spans="14:15" x14ac:dyDescent="0.35">
      <c r="N2256"/>
      <c r="O2256"/>
    </row>
    <row r="2257" spans="14:15" x14ac:dyDescent="0.35">
      <c r="N2257"/>
      <c r="O2257"/>
    </row>
    <row r="2258" spans="14:15" x14ac:dyDescent="0.35">
      <c r="N2258"/>
      <c r="O2258"/>
    </row>
    <row r="2259" spans="14:15" x14ac:dyDescent="0.35">
      <c r="N2259"/>
      <c r="O2259"/>
    </row>
    <row r="2260" spans="14:15" x14ac:dyDescent="0.35">
      <c r="N2260"/>
      <c r="O2260"/>
    </row>
    <row r="2261" spans="14:15" x14ac:dyDescent="0.35">
      <c r="N2261"/>
      <c r="O2261"/>
    </row>
    <row r="2262" spans="14:15" x14ac:dyDescent="0.35">
      <c r="N2262"/>
      <c r="O2262"/>
    </row>
    <row r="2263" spans="14:15" x14ac:dyDescent="0.35">
      <c r="N2263"/>
      <c r="O2263"/>
    </row>
    <row r="2264" spans="14:15" x14ac:dyDescent="0.35">
      <c r="N2264"/>
      <c r="O2264"/>
    </row>
    <row r="2265" spans="14:15" x14ac:dyDescent="0.35">
      <c r="N2265"/>
      <c r="O2265"/>
    </row>
    <row r="2266" spans="14:15" x14ac:dyDescent="0.35">
      <c r="N2266"/>
      <c r="O2266"/>
    </row>
    <row r="2267" spans="14:15" x14ac:dyDescent="0.35">
      <c r="N2267"/>
      <c r="O2267"/>
    </row>
    <row r="2268" spans="14:15" x14ac:dyDescent="0.35">
      <c r="N2268"/>
      <c r="O2268"/>
    </row>
    <row r="2269" spans="14:15" x14ac:dyDescent="0.35">
      <c r="N2269"/>
      <c r="O2269"/>
    </row>
    <row r="2270" spans="14:15" x14ac:dyDescent="0.35">
      <c r="N2270"/>
      <c r="O2270"/>
    </row>
    <row r="2271" spans="14:15" x14ac:dyDescent="0.35">
      <c r="N2271"/>
      <c r="O2271"/>
    </row>
    <row r="2272" spans="14:15" x14ac:dyDescent="0.35">
      <c r="N2272"/>
      <c r="O2272"/>
    </row>
    <row r="2273" spans="14:15" x14ac:dyDescent="0.35">
      <c r="N2273"/>
      <c r="O2273"/>
    </row>
    <row r="2274" spans="14:15" x14ac:dyDescent="0.35">
      <c r="N2274"/>
      <c r="O2274"/>
    </row>
    <row r="2275" spans="14:15" x14ac:dyDescent="0.35">
      <c r="N2275"/>
      <c r="O2275"/>
    </row>
    <row r="2276" spans="14:15" x14ac:dyDescent="0.35">
      <c r="N2276"/>
      <c r="O2276"/>
    </row>
    <row r="2277" spans="14:15" x14ac:dyDescent="0.35">
      <c r="N2277"/>
      <c r="O2277"/>
    </row>
    <row r="2278" spans="14:15" x14ac:dyDescent="0.35">
      <c r="N2278"/>
      <c r="O2278"/>
    </row>
    <row r="2279" spans="14:15" x14ac:dyDescent="0.35">
      <c r="N2279"/>
      <c r="O2279"/>
    </row>
    <row r="2280" spans="14:15" x14ac:dyDescent="0.35">
      <c r="N2280"/>
      <c r="O2280"/>
    </row>
    <row r="2281" spans="14:15" x14ac:dyDescent="0.35">
      <c r="N2281"/>
      <c r="O2281"/>
    </row>
    <row r="2282" spans="14:15" x14ac:dyDescent="0.35">
      <c r="N2282"/>
      <c r="O2282"/>
    </row>
    <row r="2283" spans="14:15" x14ac:dyDescent="0.35">
      <c r="N2283"/>
      <c r="O2283"/>
    </row>
    <row r="2284" spans="14:15" x14ac:dyDescent="0.35">
      <c r="N2284"/>
      <c r="O2284"/>
    </row>
    <row r="2285" spans="14:15" x14ac:dyDescent="0.35">
      <c r="N2285"/>
      <c r="O2285"/>
    </row>
    <row r="2286" spans="14:15" x14ac:dyDescent="0.35">
      <c r="N2286"/>
      <c r="O2286"/>
    </row>
    <row r="2287" spans="14:15" x14ac:dyDescent="0.35">
      <c r="N2287"/>
      <c r="O2287"/>
    </row>
    <row r="2288" spans="14:15" x14ac:dyDescent="0.35">
      <c r="N2288"/>
      <c r="O2288"/>
    </row>
    <row r="2289" spans="14:15" x14ac:dyDescent="0.35">
      <c r="N2289"/>
      <c r="O2289"/>
    </row>
    <row r="2290" spans="14:15" x14ac:dyDescent="0.35">
      <c r="N2290"/>
      <c r="O2290"/>
    </row>
    <row r="2291" spans="14:15" x14ac:dyDescent="0.35">
      <c r="N2291"/>
      <c r="O2291"/>
    </row>
    <row r="2292" spans="14:15" x14ac:dyDescent="0.35">
      <c r="N2292"/>
      <c r="O2292"/>
    </row>
    <row r="2293" spans="14:15" x14ac:dyDescent="0.35">
      <c r="N2293"/>
      <c r="O2293"/>
    </row>
    <row r="2294" spans="14:15" x14ac:dyDescent="0.35">
      <c r="N2294"/>
      <c r="O2294"/>
    </row>
    <row r="2295" spans="14:15" x14ac:dyDescent="0.35">
      <c r="N2295"/>
      <c r="O2295"/>
    </row>
    <row r="2296" spans="14:15" x14ac:dyDescent="0.35">
      <c r="N2296"/>
      <c r="O2296"/>
    </row>
    <row r="2297" spans="14:15" x14ac:dyDescent="0.35">
      <c r="N2297"/>
      <c r="O2297"/>
    </row>
    <row r="2298" spans="14:15" x14ac:dyDescent="0.35">
      <c r="N2298"/>
      <c r="O2298"/>
    </row>
    <row r="2299" spans="14:15" x14ac:dyDescent="0.35">
      <c r="N2299"/>
      <c r="O2299"/>
    </row>
    <row r="2300" spans="14:15" x14ac:dyDescent="0.35">
      <c r="N2300"/>
      <c r="O2300"/>
    </row>
    <row r="2301" spans="14:15" x14ac:dyDescent="0.35">
      <c r="N2301"/>
      <c r="O2301"/>
    </row>
    <row r="2302" spans="14:15" x14ac:dyDescent="0.35">
      <c r="N2302"/>
      <c r="O2302"/>
    </row>
    <row r="2303" spans="14:15" x14ac:dyDescent="0.35">
      <c r="N2303"/>
      <c r="O2303"/>
    </row>
    <row r="2304" spans="14:15" x14ac:dyDescent="0.35">
      <c r="N2304"/>
      <c r="O2304"/>
    </row>
    <row r="2305" spans="14:15" x14ac:dyDescent="0.35">
      <c r="N2305"/>
      <c r="O2305"/>
    </row>
    <row r="2306" spans="14:15" x14ac:dyDescent="0.35">
      <c r="N2306"/>
      <c r="O2306"/>
    </row>
    <row r="2307" spans="14:15" x14ac:dyDescent="0.35">
      <c r="N2307"/>
      <c r="O2307"/>
    </row>
    <row r="2308" spans="14:15" x14ac:dyDescent="0.35">
      <c r="N2308"/>
      <c r="O2308"/>
    </row>
    <row r="2309" spans="14:15" x14ac:dyDescent="0.35">
      <c r="N2309"/>
      <c r="O2309"/>
    </row>
    <row r="2310" spans="14:15" x14ac:dyDescent="0.35">
      <c r="N2310"/>
      <c r="O2310"/>
    </row>
    <row r="2311" spans="14:15" x14ac:dyDescent="0.35">
      <c r="N2311"/>
      <c r="O2311"/>
    </row>
    <row r="2312" spans="14:15" x14ac:dyDescent="0.35">
      <c r="N2312"/>
      <c r="O2312"/>
    </row>
    <row r="2313" spans="14:15" x14ac:dyDescent="0.35">
      <c r="N2313"/>
      <c r="O2313"/>
    </row>
    <row r="2314" spans="14:15" x14ac:dyDescent="0.35">
      <c r="N2314"/>
      <c r="O2314"/>
    </row>
    <row r="2315" spans="14:15" x14ac:dyDescent="0.35">
      <c r="N2315"/>
      <c r="O2315"/>
    </row>
    <row r="2316" spans="14:15" x14ac:dyDescent="0.35">
      <c r="N2316"/>
      <c r="O2316"/>
    </row>
    <row r="2317" spans="14:15" x14ac:dyDescent="0.35">
      <c r="N2317"/>
      <c r="O2317"/>
    </row>
    <row r="2318" spans="14:15" x14ac:dyDescent="0.35">
      <c r="N2318"/>
      <c r="O2318"/>
    </row>
    <row r="2319" spans="14:15" x14ac:dyDescent="0.35">
      <c r="N2319"/>
      <c r="O2319"/>
    </row>
    <row r="2320" spans="14:15" x14ac:dyDescent="0.35">
      <c r="N2320"/>
      <c r="O2320"/>
    </row>
    <row r="2321" spans="14:15" x14ac:dyDescent="0.35">
      <c r="N2321"/>
      <c r="O2321"/>
    </row>
    <row r="2322" spans="14:15" x14ac:dyDescent="0.35">
      <c r="N2322"/>
      <c r="O2322"/>
    </row>
    <row r="2323" spans="14:15" x14ac:dyDescent="0.35">
      <c r="N2323"/>
      <c r="O2323"/>
    </row>
    <row r="2324" spans="14:15" x14ac:dyDescent="0.35">
      <c r="N2324"/>
      <c r="O2324"/>
    </row>
    <row r="2325" spans="14:15" x14ac:dyDescent="0.35">
      <c r="N2325"/>
      <c r="O2325"/>
    </row>
    <row r="2326" spans="14:15" x14ac:dyDescent="0.35">
      <c r="N2326"/>
      <c r="O2326"/>
    </row>
    <row r="2327" spans="14:15" x14ac:dyDescent="0.35">
      <c r="N2327"/>
      <c r="O2327"/>
    </row>
    <row r="2328" spans="14:15" x14ac:dyDescent="0.35">
      <c r="N2328"/>
      <c r="O2328"/>
    </row>
    <row r="2329" spans="14:15" x14ac:dyDescent="0.35">
      <c r="N2329"/>
      <c r="O2329"/>
    </row>
    <row r="2330" spans="14:15" x14ac:dyDescent="0.35">
      <c r="N2330"/>
      <c r="O2330"/>
    </row>
    <row r="2331" spans="14:15" x14ac:dyDescent="0.35">
      <c r="N2331"/>
      <c r="O2331"/>
    </row>
    <row r="2332" spans="14:15" x14ac:dyDescent="0.35">
      <c r="N2332"/>
      <c r="O2332"/>
    </row>
    <row r="2333" spans="14:15" x14ac:dyDescent="0.35">
      <c r="N2333"/>
      <c r="O2333"/>
    </row>
    <row r="2334" spans="14:15" x14ac:dyDescent="0.35">
      <c r="N2334"/>
      <c r="O2334"/>
    </row>
    <row r="2335" spans="14:15" x14ac:dyDescent="0.35">
      <c r="N2335"/>
      <c r="O2335"/>
    </row>
    <row r="2336" spans="14:15" x14ac:dyDescent="0.35">
      <c r="N2336"/>
      <c r="O2336"/>
    </row>
    <row r="2337" spans="14:15" x14ac:dyDescent="0.35">
      <c r="N2337"/>
      <c r="O2337"/>
    </row>
    <row r="2338" spans="14:15" x14ac:dyDescent="0.35">
      <c r="N2338"/>
      <c r="O2338"/>
    </row>
    <row r="2339" spans="14:15" x14ac:dyDescent="0.35">
      <c r="N2339"/>
      <c r="O2339"/>
    </row>
    <row r="2340" spans="14:15" x14ac:dyDescent="0.35">
      <c r="N2340"/>
      <c r="O2340"/>
    </row>
    <row r="2341" spans="14:15" x14ac:dyDescent="0.35">
      <c r="N2341"/>
      <c r="O2341"/>
    </row>
    <row r="2342" spans="14:15" x14ac:dyDescent="0.35">
      <c r="N2342"/>
      <c r="O2342"/>
    </row>
    <row r="2343" spans="14:15" x14ac:dyDescent="0.35">
      <c r="N2343"/>
      <c r="O2343"/>
    </row>
    <row r="2344" spans="14:15" x14ac:dyDescent="0.35">
      <c r="N2344"/>
      <c r="O2344"/>
    </row>
    <row r="2345" spans="14:15" x14ac:dyDescent="0.35">
      <c r="N2345"/>
      <c r="O2345"/>
    </row>
    <row r="2346" spans="14:15" x14ac:dyDescent="0.35">
      <c r="N2346"/>
      <c r="O2346"/>
    </row>
    <row r="2347" spans="14:15" x14ac:dyDescent="0.35">
      <c r="N2347"/>
      <c r="O2347"/>
    </row>
    <row r="2348" spans="14:15" x14ac:dyDescent="0.35">
      <c r="N2348"/>
      <c r="O2348"/>
    </row>
    <row r="2349" spans="14:15" x14ac:dyDescent="0.35">
      <c r="N2349"/>
      <c r="O2349"/>
    </row>
    <row r="2350" spans="14:15" x14ac:dyDescent="0.35">
      <c r="N2350"/>
      <c r="O2350"/>
    </row>
    <row r="2351" spans="14:15" x14ac:dyDescent="0.35">
      <c r="N2351"/>
      <c r="O2351"/>
    </row>
    <row r="2352" spans="14:15" x14ac:dyDescent="0.35">
      <c r="N2352"/>
      <c r="O2352"/>
    </row>
    <row r="2353" spans="14:15" x14ac:dyDescent="0.35">
      <c r="N2353"/>
      <c r="O2353"/>
    </row>
    <row r="2354" spans="14:15" x14ac:dyDescent="0.35">
      <c r="N2354"/>
      <c r="O2354"/>
    </row>
    <row r="2355" spans="14:15" x14ac:dyDescent="0.35">
      <c r="N2355"/>
      <c r="O2355"/>
    </row>
    <row r="2356" spans="14:15" x14ac:dyDescent="0.35">
      <c r="N2356"/>
      <c r="O2356"/>
    </row>
    <row r="2357" spans="14:15" x14ac:dyDescent="0.35">
      <c r="N2357"/>
      <c r="O2357"/>
    </row>
    <row r="2358" spans="14:15" x14ac:dyDescent="0.35">
      <c r="N2358"/>
      <c r="O2358"/>
    </row>
    <row r="2359" spans="14:15" x14ac:dyDescent="0.35">
      <c r="N2359"/>
      <c r="O2359"/>
    </row>
    <row r="2360" spans="14:15" x14ac:dyDescent="0.35">
      <c r="N2360"/>
      <c r="O2360"/>
    </row>
    <row r="2361" spans="14:15" x14ac:dyDescent="0.35">
      <c r="N2361"/>
      <c r="O2361"/>
    </row>
    <row r="2362" spans="14:15" x14ac:dyDescent="0.35">
      <c r="N2362"/>
      <c r="O2362"/>
    </row>
    <row r="2363" spans="14:15" x14ac:dyDescent="0.35">
      <c r="N2363"/>
      <c r="O2363"/>
    </row>
    <row r="2364" spans="14:15" x14ac:dyDescent="0.35">
      <c r="N2364"/>
      <c r="O2364"/>
    </row>
    <row r="2365" spans="14:15" x14ac:dyDescent="0.35">
      <c r="N2365"/>
      <c r="O2365"/>
    </row>
    <row r="2366" spans="14:15" x14ac:dyDescent="0.35">
      <c r="N2366"/>
      <c r="O2366"/>
    </row>
    <row r="2367" spans="14:15" x14ac:dyDescent="0.35">
      <c r="N2367"/>
      <c r="O2367"/>
    </row>
    <row r="2368" spans="14:15" x14ac:dyDescent="0.35">
      <c r="N2368"/>
      <c r="O2368"/>
    </row>
    <row r="2369" spans="14:15" x14ac:dyDescent="0.35">
      <c r="N2369"/>
      <c r="O2369"/>
    </row>
    <row r="2370" spans="14:15" x14ac:dyDescent="0.35">
      <c r="N2370"/>
      <c r="O2370"/>
    </row>
    <row r="2371" spans="14:15" x14ac:dyDescent="0.35">
      <c r="N2371"/>
      <c r="O2371"/>
    </row>
    <row r="2372" spans="14:15" x14ac:dyDescent="0.35">
      <c r="N2372"/>
      <c r="O2372"/>
    </row>
    <row r="2373" spans="14:15" x14ac:dyDescent="0.35">
      <c r="N2373"/>
      <c r="O2373"/>
    </row>
    <row r="2374" spans="14:15" x14ac:dyDescent="0.35">
      <c r="N2374"/>
      <c r="O2374"/>
    </row>
    <row r="2375" spans="14:15" x14ac:dyDescent="0.35">
      <c r="N2375"/>
      <c r="O2375"/>
    </row>
    <row r="2376" spans="14:15" x14ac:dyDescent="0.35">
      <c r="N2376"/>
      <c r="O2376"/>
    </row>
    <row r="2377" spans="14:15" x14ac:dyDescent="0.35">
      <c r="N2377"/>
      <c r="O2377"/>
    </row>
    <row r="2378" spans="14:15" x14ac:dyDescent="0.35">
      <c r="N2378"/>
      <c r="O2378"/>
    </row>
    <row r="2379" spans="14:15" x14ac:dyDescent="0.35">
      <c r="N2379"/>
      <c r="O2379"/>
    </row>
    <row r="2380" spans="14:15" x14ac:dyDescent="0.35">
      <c r="N2380"/>
      <c r="O2380"/>
    </row>
    <row r="2381" spans="14:15" x14ac:dyDescent="0.35">
      <c r="N2381"/>
      <c r="O2381"/>
    </row>
    <row r="2382" spans="14:15" x14ac:dyDescent="0.35">
      <c r="N2382"/>
      <c r="O2382"/>
    </row>
    <row r="2383" spans="14:15" x14ac:dyDescent="0.35">
      <c r="N2383"/>
      <c r="O2383"/>
    </row>
    <row r="2384" spans="14:15" x14ac:dyDescent="0.35">
      <c r="N2384"/>
      <c r="O2384"/>
    </row>
    <row r="2385" spans="14:15" x14ac:dyDescent="0.35">
      <c r="N2385"/>
      <c r="O2385"/>
    </row>
    <row r="2386" spans="14:15" x14ac:dyDescent="0.35">
      <c r="N2386"/>
      <c r="O2386"/>
    </row>
    <row r="2387" spans="14:15" x14ac:dyDescent="0.35">
      <c r="N2387"/>
      <c r="O2387"/>
    </row>
    <row r="2388" spans="14:15" x14ac:dyDescent="0.35">
      <c r="N2388"/>
      <c r="O2388"/>
    </row>
    <row r="2389" spans="14:15" x14ac:dyDescent="0.35">
      <c r="N2389"/>
      <c r="O2389"/>
    </row>
    <row r="2390" spans="14:15" x14ac:dyDescent="0.35">
      <c r="N2390"/>
      <c r="O2390"/>
    </row>
    <row r="2391" spans="14:15" x14ac:dyDescent="0.35">
      <c r="N2391"/>
      <c r="O2391"/>
    </row>
    <row r="2392" spans="14:15" x14ac:dyDescent="0.35">
      <c r="N2392"/>
      <c r="O2392"/>
    </row>
    <row r="2393" spans="14:15" x14ac:dyDescent="0.35">
      <c r="N2393"/>
      <c r="O2393"/>
    </row>
    <row r="2394" spans="14:15" x14ac:dyDescent="0.35">
      <c r="N2394"/>
      <c r="O2394"/>
    </row>
    <row r="2395" spans="14:15" x14ac:dyDescent="0.35">
      <c r="N2395"/>
      <c r="O2395"/>
    </row>
    <row r="2396" spans="14:15" x14ac:dyDescent="0.35">
      <c r="N2396"/>
      <c r="O2396"/>
    </row>
    <row r="2397" spans="14:15" x14ac:dyDescent="0.35">
      <c r="N2397"/>
      <c r="O2397"/>
    </row>
    <row r="2398" spans="14:15" x14ac:dyDescent="0.35">
      <c r="N2398"/>
      <c r="O2398"/>
    </row>
    <row r="2399" spans="14:15" x14ac:dyDescent="0.35">
      <c r="N2399"/>
      <c r="O2399"/>
    </row>
    <row r="2400" spans="14:15" x14ac:dyDescent="0.35">
      <c r="N2400"/>
      <c r="O2400"/>
    </row>
    <row r="2401" spans="14:15" x14ac:dyDescent="0.35">
      <c r="N2401"/>
      <c r="O2401"/>
    </row>
    <row r="2402" spans="14:15" x14ac:dyDescent="0.35">
      <c r="N2402"/>
      <c r="O2402"/>
    </row>
    <row r="2403" spans="14:15" x14ac:dyDescent="0.35">
      <c r="N2403"/>
      <c r="O2403"/>
    </row>
    <row r="2404" spans="14:15" x14ac:dyDescent="0.35">
      <c r="N2404"/>
      <c r="O2404"/>
    </row>
    <row r="2405" spans="14:15" x14ac:dyDescent="0.35">
      <c r="N2405"/>
      <c r="O2405"/>
    </row>
    <row r="2406" spans="14:15" x14ac:dyDescent="0.35">
      <c r="N2406"/>
      <c r="O2406"/>
    </row>
    <row r="2407" spans="14:15" x14ac:dyDescent="0.35">
      <c r="N2407"/>
      <c r="O2407"/>
    </row>
    <row r="2408" spans="14:15" x14ac:dyDescent="0.35">
      <c r="N2408"/>
      <c r="O2408"/>
    </row>
    <row r="2409" spans="14:15" x14ac:dyDescent="0.35">
      <c r="N2409"/>
      <c r="O2409"/>
    </row>
    <row r="2410" spans="14:15" x14ac:dyDescent="0.35">
      <c r="N2410"/>
      <c r="O2410"/>
    </row>
    <row r="2411" spans="14:15" x14ac:dyDescent="0.35">
      <c r="N2411"/>
      <c r="O2411"/>
    </row>
    <row r="2412" spans="14:15" x14ac:dyDescent="0.35">
      <c r="N2412"/>
      <c r="O2412"/>
    </row>
    <row r="2413" spans="14:15" x14ac:dyDescent="0.35">
      <c r="N2413"/>
      <c r="O2413"/>
    </row>
    <row r="2414" spans="14:15" x14ac:dyDescent="0.35">
      <c r="N2414"/>
      <c r="O2414"/>
    </row>
    <row r="2415" spans="14:15" x14ac:dyDescent="0.35">
      <c r="N2415"/>
      <c r="O2415"/>
    </row>
    <row r="2416" spans="14:15" x14ac:dyDescent="0.35">
      <c r="N2416"/>
      <c r="O2416"/>
    </row>
    <row r="2417" spans="14:15" x14ac:dyDescent="0.35">
      <c r="N2417"/>
      <c r="O2417"/>
    </row>
    <row r="2418" spans="14:15" x14ac:dyDescent="0.35">
      <c r="N2418"/>
      <c r="O2418"/>
    </row>
    <row r="2419" spans="14:15" x14ac:dyDescent="0.35">
      <c r="N2419"/>
      <c r="O2419"/>
    </row>
    <row r="2420" spans="14:15" x14ac:dyDescent="0.35">
      <c r="N2420"/>
      <c r="O2420"/>
    </row>
    <row r="2421" spans="14:15" x14ac:dyDescent="0.35">
      <c r="N2421"/>
      <c r="O2421"/>
    </row>
    <row r="2422" spans="14:15" x14ac:dyDescent="0.35">
      <c r="N2422"/>
      <c r="O2422"/>
    </row>
    <row r="2423" spans="14:15" x14ac:dyDescent="0.35">
      <c r="N2423"/>
      <c r="O2423"/>
    </row>
    <row r="2424" spans="14:15" x14ac:dyDescent="0.35">
      <c r="N2424"/>
      <c r="O2424"/>
    </row>
    <row r="2425" spans="14:15" x14ac:dyDescent="0.35">
      <c r="N2425"/>
      <c r="O2425"/>
    </row>
    <row r="2426" spans="14:15" x14ac:dyDescent="0.35">
      <c r="N2426"/>
      <c r="O2426"/>
    </row>
    <row r="2427" spans="14:15" x14ac:dyDescent="0.35">
      <c r="N2427"/>
      <c r="O2427"/>
    </row>
    <row r="2428" spans="14:15" x14ac:dyDescent="0.35">
      <c r="N2428"/>
      <c r="O2428"/>
    </row>
    <row r="2429" spans="14:15" x14ac:dyDescent="0.35">
      <c r="N2429"/>
      <c r="O2429"/>
    </row>
    <row r="2430" spans="14:15" x14ac:dyDescent="0.35">
      <c r="N2430"/>
      <c r="O2430"/>
    </row>
    <row r="2431" spans="14:15" x14ac:dyDescent="0.35">
      <c r="N2431"/>
      <c r="O2431"/>
    </row>
    <row r="2432" spans="14:15" x14ac:dyDescent="0.35">
      <c r="N2432"/>
      <c r="O2432"/>
    </row>
    <row r="2433" spans="14:15" x14ac:dyDescent="0.35">
      <c r="N2433"/>
      <c r="O2433"/>
    </row>
    <row r="2434" spans="14:15" x14ac:dyDescent="0.35">
      <c r="N2434"/>
      <c r="O2434"/>
    </row>
    <row r="2435" spans="14:15" x14ac:dyDescent="0.35">
      <c r="N2435"/>
      <c r="O2435"/>
    </row>
    <row r="2436" spans="14:15" x14ac:dyDescent="0.35">
      <c r="N2436"/>
      <c r="O2436"/>
    </row>
    <row r="2437" spans="14:15" x14ac:dyDescent="0.35">
      <c r="N2437"/>
      <c r="O2437"/>
    </row>
    <row r="2438" spans="14:15" x14ac:dyDescent="0.35">
      <c r="N2438"/>
      <c r="O2438"/>
    </row>
    <row r="2439" spans="14:15" x14ac:dyDescent="0.35">
      <c r="N2439"/>
      <c r="O2439"/>
    </row>
    <row r="2440" spans="14:15" x14ac:dyDescent="0.35">
      <c r="N2440"/>
      <c r="O2440"/>
    </row>
    <row r="2441" spans="14:15" x14ac:dyDescent="0.35">
      <c r="N2441"/>
      <c r="O2441"/>
    </row>
    <row r="2442" spans="14:15" x14ac:dyDescent="0.35">
      <c r="N2442"/>
      <c r="O2442"/>
    </row>
    <row r="2443" spans="14:15" x14ac:dyDescent="0.35">
      <c r="N2443"/>
      <c r="O2443"/>
    </row>
    <row r="2444" spans="14:15" x14ac:dyDescent="0.35">
      <c r="N2444"/>
      <c r="O2444"/>
    </row>
    <row r="2445" spans="14:15" x14ac:dyDescent="0.35">
      <c r="N2445"/>
      <c r="O2445"/>
    </row>
    <row r="2446" spans="14:15" x14ac:dyDescent="0.35">
      <c r="N2446"/>
      <c r="O2446"/>
    </row>
    <row r="2447" spans="14:15" x14ac:dyDescent="0.35">
      <c r="N2447"/>
      <c r="O2447"/>
    </row>
    <row r="2448" spans="14:15" x14ac:dyDescent="0.35">
      <c r="N2448"/>
      <c r="O2448"/>
    </row>
    <row r="2449" spans="14:15" x14ac:dyDescent="0.35">
      <c r="N2449"/>
      <c r="O2449"/>
    </row>
    <row r="2450" spans="14:15" x14ac:dyDescent="0.35">
      <c r="N2450"/>
      <c r="O2450"/>
    </row>
    <row r="2451" spans="14:15" x14ac:dyDescent="0.35">
      <c r="N2451"/>
      <c r="O2451"/>
    </row>
    <row r="2452" spans="14:15" x14ac:dyDescent="0.35">
      <c r="N2452"/>
      <c r="O2452"/>
    </row>
    <row r="2453" spans="14:15" x14ac:dyDescent="0.35">
      <c r="N2453"/>
      <c r="O2453"/>
    </row>
    <row r="2454" spans="14:15" x14ac:dyDescent="0.35">
      <c r="N2454"/>
      <c r="O2454"/>
    </row>
    <row r="2455" spans="14:15" x14ac:dyDescent="0.35">
      <c r="N2455"/>
      <c r="O2455"/>
    </row>
    <row r="2456" spans="14:15" x14ac:dyDescent="0.35">
      <c r="N2456"/>
      <c r="O2456"/>
    </row>
    <row r="2457" spans="14:15" x14ac:dyDescent="0.35">
      <c r="N2457"/>
      <c r="O2457"/>
    </row>
    <row r="2458" spans="14:15" x14ac:dyDescent="0.35">
      <c r="N2458"/>
      <c r="O2458"/>
    </row>
    <row r="2459" spans="14:15" x14ac:dyDescent="0.35">
      <c r="N2459"/>
      <c r="O2459"/>
    </row>
    <row r="2460" spans="14:15" x14ac:dyDescent="0.35">
      <c r="N2460"/>
      <c r="O2460"/>
    </row>
    <row r="2461" spans="14:15" x14ac:dyDescent="0.35">
      <c r="N2461"/>
      <c r="O2461"/>
    </row>
    <row r="2462" spans="14:15" x14ac:dyDescent="0.35">
      <c r="N2462"/>
      <c r="O2462"/>
    </row>
    <row r="2463" spans="14:15" x14ac:dyDescent="0.35">
      <c r="N2463"/>
      <c r="O2463"/>
    </row>
    <row r="2464" spans="14:15" x14ac:dyDescent="0.35">
      <c r="N2464"/>
      <c r="O2464"/>
    </row>
    <row r="2465" spans="14:15" x14ac:dyDescent="0.35">
      <c r="N2465"/>
      <c r="O2465"/>
    </row>
    <row r="2466" spans="14:15" x14ac:dyDescent="0.35">
      <c r="N2466"/>
      <c r="O2466"/>
    </row>
    <row r="2467" spans="14:15" x14ac:dyDescent="0.35">
      <c r="N2467"/>
      <c r="O2467"/>
    </row>
    <row r="2468" spans="14:15" x14ac:dyDescent="0.35">
      <c r="N2468"/>
      <c r="O2468"/>
    </row>
    <row r="2469" spans="14:15" x14ac:dyDescent="0.35">
      <c r="N2469"/>
      <c r="O2469"/>
    </row>
    <row r="2470" spans="14:15" x14ac:dyDescent="0.35">
      <c r="N2470"/>
      <c r="O2470"/>
    </row>
    <row r="2471" spans="14:15" x14ac:dyDescent="0.35">
      <c r="N2471"/>
      <c r="O2471"/>
    </row>
    <row r="2472" spans="14:15" x14ac:dyDescent="0.35">
      <c r="N2472"/>
      <c r="O2472"/>
    </row>
    <row r="2473" spans="14:15" x14ac:dyDescent="0.35">
      <c r="N2473"/>
      <c r="O2473"/>
    </row>
    <row r="2474" spans="14:15" x14ac:dyDescent="0.35">
      <c r="N2474"/>
      <c r="O2474"/>
    </row>
    <row r="2475" spans="14:15" x14ac:dyDescent="0.35">
      <c r="N2475"/>
      <c r="O2475"/>
    </row>
    <row r="2476" spans="14:15" x14ac:dyDescent="0.35">
      <c r="N2476"/>
      <c r="O2476"/>
    </row>
    <row r="2477" spans="14:15" x14ac:dyDescent="0.35">
      <c r="N2477"/>
      <c r="O2477"/>
    </row>
    <row r="2478" spans="14:15" x14ac:dyDescent="0.35">
      <c r="N2478"/>
      <c r="O2478"/>
    </row>
    <row r="2479" spans="14:15" x14ac:dyDescent="0.35">
      <c r="N2479"/>
      <c r="O2479"/>
    </row>
    <row r="2480" spans="14:15" x14ac:dyDescent="0.35">
      <c r="N2480"/>
      <c r="O2480"/>
    </row>
    <row r="2481" spans="13:25" x14ac:dyDescent="0.35">
      <c r="N2481"/>
      <c r="O2481"/>
    </row>
    <row r="2482" spans="13:25" x14ac:dyDescent="0.35">
      <c r="N2482"/>
      <c r="O2482"/>
    </row>
    <row r="2483" spans="13:25" x14ac:dyDescent="0.35">
      <c r="N2483"/>
      <c r="O2483"/>
    </row>
    <row r="2484" spans="13:25" x14ac:dyDescent="0.35">
      <c r="N2484"/>
      <c r="O2484"/>
    </row>
    <row r="2485" spans="13:25" x14ac:dyDescent="0.35">
      <c r="N2485"/>
      <c r="O2485"/>
    </row>
    <row r="2486" spans="13:25" x14ac:dyDescent="0.35">
      <c r="N2486"/>
      <c r="O2486"/>
    </row>
    <row r="2487" spans="13:25" x14ac:dyDescent="0.35">
      <c r="N2487"/>
      <c r="O2487"/>
    </row>
    <row r="2488" spans="13:25" x14ac:dyDescent="0.35">
      <c r="N2488"/>
      <c r="O2488"/>
    </row>
    <row r="2489" spans="13:25" x14ac:dyDescent="0.35">
      <c r="M2489" s="14"/>
      <c r="N2489"/>
      <c r="O2489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</row>
    <row r="2490" spans="13:25" x14ac:dyDescent="0.35">
      <c r="N2490"/>
      <c r="O2490"/>
    </row>
    <row r="2491" spans="13:25" x14ac:dyDescent="0.35">
      <c r="N2491"/>
      <c r="O2491"/>
    </row>
    <row r="2492" spans="13:25" x14ac:dyDescent="0.35">
      <c r="N2492"/>
      <c r="O2492"/>
    </row>
    <row r="2493" spans="13:25" x14ac:dyDescent="0.35">
      <c r="N2493"/>
      <c r="O2493"/>
    </row>
    <row r="2494" spans="13:25" x14ac:dyDescent="0.35">
      <c r="N2494"/>
      <c r="O2494"/>
    </row>
    <row r="2495" spans="13:25" x14ac:dyDescent="0.35">
      <c r="N2495"/>
      <c r="O2495"/>
    </row>
    <row r="2496" spans="13:25" x14ac:dyDescent="0.35">
      <c r="N2496"/>
      <c r="O2496"/>
    </row>
    <row r="2497" spans="14:15" x14ac:dyDescent="0.35">
      <c r="N2497"/>
      <c r="O2497"/>
    </row>
    <row r="2498" spans="14:15" x14ac:dyDescent="0.35">
      <c r="N2498"/>
      <c r="O2498"/>
    </row>
    <row r="2499" spans="14:15" x14ac:dyDescent="0.35">
      <c r="N2499"/>
      <c r="O2499"/>
    </row>
    <row r="2500" spans="14:15" x14ac:dyDescent="0.35">
      <c r="N2500"/>
      <c r="O2500"/>
    </row>
    <row r="2501" spans="14:15" x14ac:dyDescent="0.35">
      <c r="N2501"/>
      <c r="O2501"/>
    </row>
    <row r="2502" spans="14:15" x14ac:dyDescent="0.35">
      <c r="N2502"/>
      <c r="O2502"/>
    </row>
    <row r="2503" spans="14:15" x14ac:dyDescent="0.35">
      <c r="N2503"/>
      <c r="O2503"/>
    </row>
    <row r="2504" spans="14:15" x14ac:dyDescent="0.35">
      <c r="N2504"/>
      <c r="O2504"/>
    </row>
    <row r="2505" spans="14:15" x14ac:dyDescent="0.35">
      <c r="N2505"/>
      <c r="O2505"/>
    </row>
    <row r="2506" spans="14:15" x14ac:dyDescent="0.35">
      <c r="N2506"/>
      <c r="O2506"/>
    </row>
    <row r="2507" spans="14:15" x14ac:dyDescent="0.35">
      <c r="N2507"/>
      <c r="O2507"/>
    </row>
    <row r="2508" spans="14:15" x14ac:dyDescent="0.35">
      <c r="N2508"/>
      <c r="O2508"/>
    </row>
    <row r="2509" spans="14:15" x14ac:dyDescent="0.35">
      <c r="N2509"/>
      <c r="O2509"/>
    </row>
    <row r="2510" spans="14:15" x14ac:dyDescent="0.35">
      <c r="N2510"/>
      <c r="O2510"/>
    </row>
    <row r="2511" spans="14:15" x14ac:dyDescent="0.35">
      <c r="N2511"/>
      <c r="O2511"/>
    </row>
    <row r="2512" spans="14:15" x14ac:dyDescent="0.35">
      <c r="N2512"/>
      <c r="O2512"/>
    </row>
    <row r="2513" spans="14:15" x14ac:dyDescent="0.35">
      <c r="N2513"/>
      <c r="O2513"/>
    </row>
    <row r="2514" spans="14:15" x14ac:dyDescent="0.35">
      <c r="N2514"/>
      <c r="O2514"/>
    </row>
    <row r="2515" spans="14:15" x14ac:dyDescent="0.35">
      <c r="N2515"/>
      <c r="O2515"/>
    </row>
    <row r="2516" spans="14:15" x14ac:dyDescent="0.35">
      <c r="N2516"/>
      <c r="O2516"/>
    </row>
    <row r="2517" spans="14:15" x14ac:dyDescent="0.35">
      <c r="N2517"/>
      <c r="O2517"/>
    </row>
    <row r="2518" spans="14:15" x14ac:dyDescent="0.35">
      <c r="N2518"/>
      <c r="O2518"/>
    </row>
    <row r="2519" spans="14:15" x14ac:dyDescent="0.35">
      <c r="N2519"/>
      <c r="O2519"/>
    </row>
    <row r="2520" spans="14:15" x14ac:dyDescent="0.35">
      <c r="N2520"/>
      <c r="O2520"/>
    </row>
    <row r="2521" spans="14:15" x14ac:dyDescent="0.35">
      <c r="N2521"/>
      <c r="O2521"/>
    </row>
    <row r="2522" spans="14:15" x14ac:dyDescent="0.35">
      <c r="N2522"/>
      <c r="O2522"/>
    </row>
    <row r="2523" spans="14:15" x14ac:dyDescent="0.35">
      <c r="N2523"/>
      <c r="O2523"/>
    </row>
    <row r="2524" spans="14:15" x14ac:dyDescent="0.35">
      <c r="N2524"/>
      <c r="O2524"/>
    </row>
    <row r="2525" spans="14:15" x14ac:dyDescent="0.35">
      <c r="N2525"/>
      <c r="O2525"/>
    </row>
    <row r="2526" spans="14:15" x14ac:dyDescent="0.35">
      <c r="N2526"/>
      <c r="O2526"/>
    </row>
    <row r="2527" spans="14:15" x14ac:dyDescent="0.35">
      <c r="N2527"/>
      <c r="O2527"/>
    </row>
    <row r="2528" spans="14:15" x14ac:dyDescent="0.35">
      <c r="N2528"/>
      <c r="O2528"/>
    </row>
    <row r="2529" spans="13:25" x14ac:dyDescent="0.35">
      <c r="N2529"/>
      <c r="O2529"/>
    </row>
    <row r="2530" spans="13:25" x14ac:dyDescent="0.35">
      <c r="N2530"/>
      <c r="O2530"/>
    </row>
    <row r="2531" spans="13:25" x14ac:dyDescent="0.35">
      <c r="N2531"/>
      <c r="O2531"/>
    </row>
    <row r="2532" spans="13:25" x14ac:dyDescent="0.35">
      <c r="N2532"/>
      <c r="O2532"/>
    </row>
    <row r="2533" spans="13:25" x14ac:dyDescent="0.35">
      <c r="N2533"/>
      <c r="O2533"/>
    </row>
    <row r="2534" spans="13:25" x14ac:dyDescent="0.35">
      <c r="N2534"/>
      <c r="O2534"/>
    </row>
    <row r="2535" spans="13:25" x14ac:dyDescent="0.35">
      <c r="N2535"/>
      <c r="O2535"/>
    </row>
    <row r="2536" spans="13:25" x14ac:dyDescent="0.35">
      <c r="M2536" s="14"/>
      <c r="N2536"/>
      <c r="O2536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</row>
    <row r="2537" spans="13:25" x14ac:dyDescent="0.35">
      <c r="N2537"/>
      <c r="O2537"/>
    </row>
    <row r="2538" spans="13:25" x14ac:dyDescent="0.35">
      <c r="N2538"/>
      <c r="O2538"/>
    </row>
    <row r="2539" spans="13:25" x14ac:dyDescent="0.35">
      <c r="N2539"/>
      <c r="O2539"/>
    </row>
    <row r="2540" spans="13:25" x14ac:dyDescent="0.35">
      <c r="N2540"/>
      <c r="O2540"/>
    </row>
    <row r="2541" spans="13:25" x14ac:dyDescent="0.35">
      <c r="N2541"/>
      <c r="O2541"/>
    </row>
    <row r="2542" spans="13:25" x14ac:dyDescent="0.35">
      <c r="N2542"/>
      <c r="O2542"/>
    </row>
    <row r="2543" spans="13:25" x14ac:dyDescent="0.35">
      <c r="N2543"/>
      <c r="O2543"/>
    </row>
    <row r="2544" spans="13:25" x14ac:dyDescent="0.35">
      <c r="N2544"/>
      <c r="O2544"/>
    </row>
    <row r="2545" spans="14:15" x14ac:dyDescent="0.35">
      <c r="N2545"/>
      <c r="O2545"/>
    </row>
    <row r="2546" spans="14:15" x14ac:dyDescent="0.35">
      <c r="N2546"/>
      <c r="O2546"/>
    </row>
    <row r="2547" spans="14:15" x14ac:dyDescent="0.35">
      <c r="N2547"/>
      <c r="O2547"/>
    </row>
    <row r="2548" spans="14:15" x14ac:dyDescent="0.35">
      <c r="N2548"/>
      <c r="O2548"/>
    </row>
    <row r="2549" spans="14:15" x14ac:dyDescent="0.35">
      <c r="N2549"/>
      <c r="O2549"/>
    </row>
    <row r="2550" spans="14:15" x14ac:dyDescent="0.35">
      <c r="N2550"/>
      <c r="O2550"/>
    </row>
    <row r="2551" spans="14:15" x14ac:dyDescent="0.35">
      <c r="N2551"/>
      <c r="O2551"/>
    </row>
    <row r="2552" spans="14:15" x14ac:dyDescent="0.35">
      <c r="N2552"/>
      <c r="O2552"/>
    </row>
    <row r="2553" spans="14:15" x14ac:dyDescent="0.35">
      <c r="N2553"/>
      <c r="O2553"/>
    </row>
    <row r="2554" spans="14:15" x14ac:dyDescent="0.35">
      <c r="N2554"/>
      <c r="O2554"/>
    </row>
    <row r="2555" spans="14:15" x14ac:dyDescent="0.35">
      <c r="N2555"/>
      <c r="O2555"/>
    </row>
    <row r="2556" spans="14:15" x14ac:dyDescent="0.35">
      <c r="N2556"/>
      <c r="O2556"/>
    </row>
    <row r="2557" spans="14:15" x14ac:dyDescent="0.35">
      <c r="N2557"/>
      <c r="O2557"/>
    </row>
    <row r="2558" spans="14:15" x14ac:dyDescent="0.35">
      <c r="N2558"/>
      <c r="O2558"/>
    </row>
    <row r="2559" spans="14:15" x14ac:dyDescent="0.35">
      <c r="N2559"/>
      <c r="O2559"/>
    </row>
    <row r="2560" spans="14:15" x14ac:dyDescent="0.35">
      <c r="N2560"/>
      <c r="O2560"/>
    </row>
    <row r="2561" spans="14:15" x14ac:dyDescent="0.35">
      <c r="N2561"/>
      <c r="O2561"/>
    </row>
    <row r="2562" spans="14:15" x14ac:dyDescent="0.35">
      <c r="N2562"/>
      <c r="O2562"/>
    </row>
    <row r="2563" spans="14:15" x14ac:dyDescent="0.35">
      <c r="N2563"/>
      <c r="O2563"/>
    </row>
    <row r="2564" spans="14:15" x14ac:dyDescent="0.35">
      <c r="N2564"/>
      <c r="O2564"/>
    </row>
    <row r="2565" spans="14:15" x14ac:dyDescent="0.35">
      <c r="N2565"/>
      <c r="O2565"/>
    </row>
    <row r="2566" spans="14:15" x14ac:dyDescent="0.35">
      <c r="N2566"/>
      <c r="O2566"/>
    </row>
    <row r="2567" spans="14:15" x14ac:dyDescent="0.35">
      <c r="N2567"/>
      <c r="O2567"/>
    </row>
    <row r="2568" spans="14:15" x14ac:dyDescent="0.35">
      <c r="N2568"/>
      <c r="O2568"/>
    </row>
    <row r="2569" spans="14:15" x14ac:dyDescent="0.35">
      <c r="N2569"/>
      <c r="O2569"/>
    </row>
    <row r="2570" spans="14:15" x14ac:dyDescent="0.35">
      <c r="N2570"/>
      <c r="O2570"/>
    </row>
    <row r="2571" spans="14:15" x14ac:dyDescent="0.35">
      <c r="N2571"/>
      <c r="O2571"/>
    </row>
    <row r="2572" spans="14:15" x14ac:dyDescent="0.35">
      <c r="N2572"/>
      <c r="O2572"/>
    </row>
    <row r="2573" spans="14:15" x14ac:dyDescent="0.35">
      <c r="N2573"/>
      <c r="O2573"/>
    </row>
    <row r="2574" spans="14:15" x14ac:dyDescent="0.35">
      <c r="N2574"/>
      <c r="O2574"/>
    </row>
    <row r="2575" spans="14:15" x14ac:dyDescent="0.35">
      <c r="N2575"/>
      <c r="O2575"/>
    </row>
    <row r="2576" spans="14:15" x14ac:dyDescent="0.35">
      <c r="N2576"/>
      <c r="O2576"/>
    </row>
    <row r="2577" spans="14:15" x14ac:dyDescent="0.35">
      <c r="N2577"/>
      <c r="O2577"/>
    </row>
    <row r="2578" spans="14:15" x14ac:dyDescent="0.35">
      <c r="N2578"/>
      <c r="O2578"/>
    </row>
    <row r="2579" spans="14:15" x14ac:dyDescent="0.35">
      <c r="N2579"/>
      <c r="O2579"/>
    </row>
    <row r="2580" spans="14:15" x14ac:dyDescent="0.35">
      <c r="N2580"/>
      <c r="O2580"/>
    </row>
    <row r="2581" spans="14:15" x14ac:dyDescent="0.35">
      <c r="N2581"/>
      <c r="O2581"/>
    </row>
    <row r="2582" spans="14:15" x14ac:dyDescent="0.35">
      <c r="N2582"/>
      <c r="O2582"/>
    </row>
    <row r="2583" spans="14:15" x14ac:dyDescent="0.35">
      <c r="N2583"/>
      <c r="O2583"/>
    </row>
    <row r="2584" spans="14:15" x14ac:dyDescent="0.35">
      <c r="N2584"/>
      <c r="O2584"/>
    </row>
    <row r="2585" spans="14:15" x14ac:dyDescent="0.35">
      <c r="N2585"/>
      <c r="O2585"/>
    </row>
    <row r="2586" spans="14:15" x14ac:dyDescent="0.35">
      <c r="N2586"/>
      <c r="O2586"/>
    </row>
    <row r="2587" spans="14:15" x14ac:dyDescent="0.35">
      <c r="N2587"/>
      <c r="O2587"/>
    </row>
    <row r="2588" spans="14:15" x14ac:dyDescent="0.35">
      <c r="N2588"/>
      <c r="O2588"/>
    </row>
    <row r="2589" spans="14:15" x14ac:dyDescent="0.35">
      <c r="N2589"/>
      <c r="O2589"/>
    </row>
    <row r="2590" spans="14:15" x14ac:dyDescent="0.35">
      <c r="N2590"/>
      <c r="O2590"/>
    </row>
    <row r="2591" spans="14:15" x14ac:dyDescent="0.35">
      <c r="N2591"/>
      <c r="O2591"/>
    </row>
    <row r="2592" spans="14:15" x14ac:dyDescent="0.35">
      <c r="N2592"/>
      <c r="O2592"/>
    </row>
    <row r="2593" spans="14:15" x14ac:dyDescent="0.35">
      <c r="N2593"/>
      <c r="O2593"/>
    </row>
    <row r="2594" spans="14:15" x14ac:dyDescent="0.35">
      <c r="N2594"/>
      <c r="O2594"/>
    </row>
    <row r="2595" spans="14:15" x14ac:dyDescent="0.35">
      <c r="N2595"/>
      <c r="O2595"/>
    </row>
    <row r="2596" spans="14:15" x14ac:dyDescent="0.35">
      <c r="N2596"/>
      <c r="O2596"/>
    </row>
    <row r="2597" spans="14:15" x14ac:dyDescent="0.35">
      <c r="N2597"/>
      <c r="O2597"/>
    </row>
    <row r="2598" spans="14:15" x14ac:dyDescent="0.35">
      <c r="N2598"/>
      <c r="O2598"/>
    </row>
    <row r="2599" spans="14:15" x14ac:dyDescent="0.35">
      <c r="N2599"/>
      <c r="O2599"/>
    </row>
    <row r="2600" spans="14:15" x14ac:dyDescent="0.35">
      <c r="N2600"/>
      <c r="O2600"/>
    </row>
    <row r="2601" spans="14:15" x14ac:dyDescent="0.35">
      <c r="N2601"/>
      <c r="O2601"/>
    </row>
    <row r="2602" spans="14:15" x14ac:dyDescent="0.35">
      <c r="N2602"/>
      <c r="O2602"/>
    </row>
    <row r="2603" spans="14:15" x14ac:dyDescent="0.35">
      <c r="N2603"/>
      <c r="O2603"/>
    </row>
    <row r="2604" spans="14:15" x14ac:dyDescent="0.35">
      <c r="N2604"/>
      <c r="O2604"/>
    </row>
    <row r="2605" spans="14:15" x14ac:dyDescent="0.35">
      <c r="N2605"/>
      <c r="O2605"/>
    </row>
    <row r="2606" spans="14:15" x14ac:dyDescent="0.35">
      <c r="N2606"/>
      <c r="O2606"/>
    </row>
    <row r="2607" spans="14:15" x14ac:dyDescent="0.35">
      <c r="N2607"/>
      <c r="O2607"/>
    </row>
    <row r="2608" spans="14:15" x14ac:dyDescent="0.35">
      <c r="N2608"/>
      <c r="O2608"/>
    </row>
    <row r="2609" spans="14:15" x14ac:dyDescent="0.35">
      <c r="N2609"/>
      <c r="O2609"/>
    </row>
    <row r="2610" spans="14:15" x14ac:dyDescent="0.35">
      <c r="N2610"/>
      <c r="O2610"/>
    </row>
    <row r="2611" spans="14:15" x14ac:dyDescent="0.35">
      <c r="N2611"/>
      <c r="O2611"/>
    </row>
    <row r="2612" spans="14:15" x14ac:dyDescent="0.35">
      <c r="N2612"/>
      <c r="O2612"/>
    </row>
    <row r="2613" spans="14:15" x14ac:dyDescent="0.35">
      <c r="N2613"/>
      <c r="O2613"/>
    </row>
    <row r="2614" spans="14:15" x14ac:dyDescent="0.35">
      <c r="N2614"/>
      <c r="O2614"/>
    </row>
    <row r="2615" spans="14:15" x14ac:dyDescent="0.35">
      <c r="N2615"/>
      <c r="O2615"/>
    </row>
    <row r="2616" spans="14:15" x14ac:dyDescent="0.35">
      <c r="N2616"/>
      <c r="O2616"/>
    </row>
    <row r="2617" spans="14:15" x14ac:dyDescent="0.35">
      <c r="N2617"/>
      <c r="O2617"/>
    </row>
    <row r="2618" spans="14:15" x14ac:dyDescent="0.35">
      <c r="N2618"/>
      <c r="O2618"/>
    </row>
    <row r="2619" spans="14:15" x14ac:dyDescent="0.35">
      <c r="N2619"/>
      <c r="O2619"/>
    </row>
    <row r="2620" spans="14:15" x14ac:dyDescent="0.35">
      <c r="N2620"/>
      <c r="O2620"/>
    </row>
    <row r="2621" spans="14:15" x14ac:dyDescent="0.35">
      <c r="N2621"/>
      <c r="O2621"/>
    </row>
    <row r="2622" spans="14:15" x14ac:dyDescent="0.35">
      <c r="N2622"/>
      <c r="O2622"/>
    </row>
    <row r="2623" spans="14:15" x14ac:dyDescent="0.35">
      <c r="N2623"/>
      <c r="O2623"/>
    </row>
    <row r="2624" spans="14:15" x14ac:dyDescent="0.35">
      <c r="N2624"/>
      <c r="O2624"/>
    </row>
    <row r="2625" spans="1:25" x14ac:dyDescent="0.35">
      <c r="N2625"/>
      <c r="O2625"/>
    </row>
    <row r="2626" spans="1:25" x14ac:dyDescent="0.35">
      <c r="N2626"/>
      <c r="O2626"/>
    </row>
    <row r="2627" spans="1:25" x14ac:dyDescent="0.35">
      <c r="N2627"/>
      <c r="O2627"/>
    </row>
    <row r="2628" spans="1:25" x14ac:dyDescent="0.35">
      <c r="N2628"/>
      <c r="O2628"/>
    </row>
    <row r="2629" spans="1:25" x14ac:dyDescent="0.35">
      <c r="N2629"/>
      <c r="O2629"/>
    </row>
    <row r="2630" spans="1:25" x14ac:dyDescent="0.35">
      <c r="N2630"/>
      <c r="O2630"/>
    </row>
    <row r="2631" spans="1:25" x14ac:dyDescent="0.35">
      <c r="N2631"/>
      <c r="O2631"/>
    </row>
    <row r="2632" spans="1:25" x14ac:dyDescent="0.35">
      <c r="N2632"/>
      <c r="O2632"/>
    </row>
    <row r="2633" spans="1:25" x14ac:dyDescent="0.35">
      <c r="N2633"/>
      <c r="O2633"/>
    </row>
    <row r="2634" spans="1:25" x14ac:dyDescent="0.35">
      <c r="N2634"/>
      <c r="O2634"/>
    </row>
    <row r="2635" spans="1:25" x14ac:dyDescent="0.35">
      <c r="N2635"/>
      <c r="O2635"/>
    </row>
    <row r="2636" spans="1:25" x14ac:dyDescent="0.35">
      <c r="N2636"/>
      <c r="O2636"/>
    </row>
    <row r="2637" spans="1:25" x14ac:dyDescent="0.35">
      <c r="N2637"/>
      <c r="O2637"/>
    </row>
    <row r="2638" spans="1:25" s="13" customFormat="1" x14ac:dyDescent="0.35">
      <c r="A2638" s="5"/>
      <c r="B2638" s="5"/>
      <c r="C2638" s="5"/>
      <c r="D2638" s="6"/>
      <c r="E2638" s="5"/>
      <c r="F2638" s="6"/>
      <c r="G2638" s="5"/>
      <c r="H2638" s="5"/>
      <c r="I2638" s="5"/>
      <c r="J2638" s="5"/>
      <c r="M2638" s="5"/>
      <c r="N2638"/>
      <c r="O2638"/>
      <c r="P2638" s="5"/>
      <c r="Q2638" s="5"/>
      <c r="R2638" s="5"/>
      <c r="S2638" s="5"/>
      <c r="T2638" s="5"/>
      <c r="U2638" s="5"/>
      <c r="V2638" s="5"/>
      <c r="W2638" s="5"/>
      <c r="X2638" s="5"/>
      <c r="Y2638" s="5"/>
    </row>
    <row r="2639" spans="1:25" s="13" customFormat="1" x14ac:dyDescent="0.35">
      <c r="A2639" s="5"/>
      <c r="B2639" s="5"/>
      <c r="C2639" s="5"/>
      <c r="D2639" s="6"/>
      <c r="E2639" s="5"/>
      <c r="F2639" s="6"/>
      <c r="G2639" s="5"/>
      <c r="H2639" s="5"/>
      <c r="I2639" s="5"/>
      <c r="J2639" s="5"/>
      <c r="M2639" s="5"/>
      <c r="N2639"/>
      <c r="O2639"/>
      <c r="P2639" s="5"/>
      <c r="Q2639" s="5"/>
      <c r="R2639" s="5"/>
      <c r="S2639" s="5"/>
      <c r="T2639" s="5"/>
      <c r="U2639" s="5"/>
      <c r="V2639" s="5"/>
      <c r="W2639" s="5"/>
      <c r="X2639" s="5"/>
      <c r="Y2639" s="5"/>
    </row>
    <row r="2640" spans="1:25" s="13" customFormat="1" x14ac:dyDescent="0.35">
      <c r="A2640" s="5"/>
      <c r="B2640" s="5"/>
      <c r="C2640" s="5"/>
      <c r="D2640" s="6"/>
      <c r="E2640" s="5"/>
      <c r="F2640" s="6"/>
      <c r="G2640" s="5"/>
      <c r="H2640" s="5"/>
      <c r="I2640" s="5"/>
      <c r="J2640" s="5"/>
      <c r="M2640" s="5"/>
      <c r="N2640"/>
      <c r="O2640"/>
      <c r="P2640" s="5"/>
      <c r="Q2640" s="5"/>
      <c r="R2640" s="5"/>
      <c r="S2640" s="5"/>
      <c r="T2640" s="5"/>
      <c r="U2640" s="5"/>
      <c r="V2640" s="5"/>
      <c r="W2640" s="5"/>
      <c r="X2640" s="5"/>
      <c r="Y2640" s="5"/>
    </row>
    <row r="2641" spans="1:25" s="13" customFormat="1" x14ac:dyDescent="0.35">
      <c r="A2641" s="5"/>
      <c r="B2641" s="5"/>
      <c r="C2641" s="5"/>
      <c r="D2641" s="6"/>
      <c r="E2641" s="5"/>
      <c r="F2641" s="6"/>
      <c r="G2641" s="5"/>
      <c r="H2641" s="5"/>
      <c r="I2641" s="5"/>
      <c r="J2641" s="5"/>
      <c r="M2641" s="5"/>
      <c r="N2641"/>
      <c r="O2641"/>
      <c r="P2641" s="5"/>
      <c r="Q2641" s="5"/>
      <c r="R2641" s="5"/>
      <c r="S2641" s="5"/>
      <c r="T2641" s="5"/>
      <c r="U2641" s="5"/>
      <c r="V2641" s="5"/>
      <c r="W2641" s="5"/>
      <c r="X2641" s="5"/>
      <c r="Y2641" s="5"/>
    </row>
    <row r="2642" spans="1:25" s="13" customFormat="1" x14ac:dyDescent="0.35">
      <c r="A2642" s="5"/>
      <c r="B2642" s="5"/>
      <c r="C2642" s="5"/>
      <c r="D2642" s="6"/>
      <c r="E2642" s="5"/>
      <c r="F2642" s="6"/>
      <c r="G2642" s="5"/>
      <c r="H2642" s="5"/>
      <c r="I2642" s="5"/>
      <c r="J2642" s="5"/>
      <c r="M2642" s="5"/>
      <c r="N2642"/>
      <c r="O2642"/>
      <c r="P2642" s="5"/>
      <c r="Q2642" s="5"/>
      <c r="R2642" s="5"/>
      <c r="S2642" s="5"/>
      <c r="T2642" s="5"/>
      <c r="U2642" s="5"/>
      <c r="V2642" s="5"/>
      <c r="W2642" s="5"/>
      <c r="X2642" s="5"/>
      <c r="Y2642" s="5"/>
    </row>
    <row r="2643" spans="1:25" s="13" customFormat="1" x14ac:dyDescent="0.35">
      <c r="A2643" s="5"/>
      <c r="B2643" s="5"/>
      <c r="C2643" s="5"/>
      <c r="D2643" s="6"/>
      <c r="E2643" s="5"/>
      <c r="F2643" s="6"/>
      <c r="G2643" s="5"/>
      <c r="H2643" s="5"/>
      <c r="I2643" s="5"/>
      <c r="J2643" s="5"/>
      <c r="M2643" s="5"/>
      <c r="N2643"/>
      <c r="O2643"/>
      <c r="P2643" s="5"/>
      <c r="Q2643" s="5"/>
      <c r="R2643" s="5"/>
      <c r="S2643" s="5"/>
      <c r="T2643" s="5"/>
      <c r="U2643" s="5"/>
      <c r="V2643" s="5"/>
      <c r="W2643" s="5"/>
      <c r="X2643" s="5"/>
      <c r="Y2643" s="5"/>
    </row>
    <row r="2644" spans="1:25" s="13" customFormat="1" x14ac:dyDescent="0.35">
      <c r="A2644" s="5"/>
      <c r="B2644" s="5"/>
      <c r="C2644" s="5"/>
      <c r="D2644" s="6"/>
      <c r="E2644" s="5"/>
      <c r="F2644" s="6"/>
      <c r="G2644" s="5"/>
      <c r="H2644" s="5"/>
      <c r="I2644" s="5"/>
      <c r="J2644" s="5"/>
      <c r="N2644"/>
      <c r="O2644"/>
    </row>
    <row r="2645" spans="1:25" s="13" customFormat="1" x14ac:dyDescent="0.35">
      <c r="A2645" s="5"/>
      <c r="B2645" s="5"/>
      <c r="C2645" s="5"/>
      <c r="D2645" s="6"/>
      <c r="E2645" s="5"/>
      <c r="F2645" s="6"/>
      <c r="G2645" s="5"/>
      <c r="H2645" s="5"/>
      <c r="I2645" s="5"/>
      <c r="J2645" s="5"/>
      <c r="M2645" s="5"/>
      <c r="N2645"/>
      <c r="O2645"/>
      <c r="P2645" s="5"/>
      <c r="Q2645" s="5"/>
      <c r="R2645" s="5"/>
      <c r="S2645" s="5"/>
      <c r="T2645" s="5"/>
      <c r="U2645" s="5"/>
      <c r="V2645" s="5"/>
      <c r="W2645" s="5"/>
      <c r="X2645" s="5"/>
      <c r="Y2645" s="5"/>
    </row>
    <row r="2646" spans="1:25" s="13" customFormat="1" x14ac:dyDescent="0.35">
      <c r="A2646" s="5"/>
      <c r="B2646" s="5"/>
      <c r="C2646" s="5"/>
      <c r="D2646" s="6"/>
      <c r="E2646" s="5"/>
      <c r="F2646" s="6"/>
      <c r="G2646" s="5"/>
      <c r="H2646" s="5"/>
      <c r="I2646" s="5"/>
      <c r="J2646" s="5"/>
      <c r="M2646" s="5"/>
      <c r="N2646"/>
      <c r="O2646"/>
      <c r="P2646" s="5"/>
      <c r="Q2646" s="5"/>
      <c r="R2646" s="5"/>
      <c r="S2646" s="5"/>
      <c r="T2646" s="5"/>
      <c r="U2646" s="5"/>
      <c r="V2646" s="5"/>
      <c r="W2646" s="5"/>
      <c r="X2646" s="5"/>
      <c r="Y2646" s="5"/>
    </row>
    <row r="2647" spans="1:25" s="13" customFormat="1" x14ac:dyDescent="0.35">
      <c r="A2647" s="5"/>
      <c r="B2647" s="5"/>
      <c r="C2647" s="5"/>
      <c r="D2647" s="6"/>
      <c r="E2647" s="5"/>
      <c r="F2647" s="6"/>
      <c r="G2647" s="5"/>
      <c r="H2647" s="5"/>
      <c r="I2647" s="5"/>
      <c r="J2647" s="5"/>
      <c r="M2647" s="5"/>
      <c r="N2647"/>
      <c r="O2647"/>
      <c r="P2647" s="5"/>
      <c r="Q2647" s="5"/>
      <c r="R2647" s="5"/>
      <c r="S2647" s="5"/>
      <c r="T2647" s="5"/>
      <c r="U2647" s="5"/>
      <c r="V2647" s="5"/>
      <c r="W2647" s="5"/>
      <c r="X2647" s="5"/>
      <c r="Y2647" s="5"/>
    </row>
    <row r="2648" spans="1:25" s="13" customFormat="1" x14ac:dyDescent="0.35">
      <c r="A2648" s="5"/>
      <c r="B2648" s="5"/>
      <c r="C2648" s="5"/>
      <c r="D2648" s="6"/>
      <c r="E2648" s="5"/>
      <c r="F2648" s="6"/>
      <c r="G2648" s="5"/>
      <c r="H2648" s="5"/>
      <c r="I2648" s="5"/>
      <c r="J2648" s="5"/>
      <c r="M2648" s="5"/>
      <c r="N2648"/>
      <c r="O2648"/>
      <c r="P2648" s="5"/>
      <c r="Q2648" s="5"/>
      <c r="R2648" s="5"/>
      <c r="S2648" s="5"/>
      <c r="T2648" s="5"/>
      <c r="U2648" s="5"/>
      <c r="V2648" s="5"/>
      <c r="W2648" s="5"/>
      <c r="X2648" s="5"/>
      <c r="Y2648" s="5"/>
    </row>
    <row r="2649" spans="1:25" s="13" customFormat="1" x14ac:dyDescent="0.35">
      <c r="A2649" s="5"/>
      <c r="B2649" s="5"/>
      <c r="C2649" s="5"/>
      <c r="D2649" s="6"/>
      <c r="E2649" s="5"/>
      <c r="F2649" s="6"/>
      <c r="G2649" s="5"/>
      <c r="H2649" s="5"/>
      <c r="I2649" s="5"/>
      <c r="J2649" s="5"/>
      <c r="M2649" s="5"/>
      <c r="N2649"/>
      <c r="O2649"/>
      <c r="P2649" s="5"/>
      <c r="Q2649" s="5"/>
      <c r="R2649" s="5"/>
      <c r="S2649" s="5"/>
      <c r="T2649" s="5"/>
      <c r="U2649" s="5"/>
      <c r="V2649" s="5"/>
      <c r="W2649" s="5"/>
      <c r="X2649" s="5"/>
      <c r="Y2649" s="5"/>
    </row>
    <row r="2650" spans="1:25" s="13" customFormat="1" x14ac:dyDescent="0.35">
      <c r="A2650" s="5"/>
      <c r="B2650" s="5"/>
      <c r="C2650" s="5"/>
      <c r="D2650" s="6"/>
      <c r="E2650" s="5"/>
      <c r="F2650" s="6"/>
      <c r="G2650" s="5"/>
      <c r="H2650" s="5"/>
      <c r="I2650" s="5"/>
      <c r="J2650" s="5"/>
      <c r="M2650" s="5"/>
      <c r="N2650"/>
      <c r="O2650"/>
      <c r="P2650" s="5"/>
      <c r="Q2650" s="5"/>
      <c r="R2650" s="5"/>
      <c r="S2650" s="5"/>
      <c r="T2650" s="5"/>
      <c r="U2650" s="5"/>
      <c r="V2650" s="5"/>
      <c r="W2650" s="5"/>
      <c r="X2650" s="5"/>
      <c r="Y2650" s="5"/>
    </row>
    <row r="2651" spans="1:25" s="13" customFormat="1" x14ac:dyDescent="0.35">
      <c r="A2651" s="5"/>
      <c r="B2651" s="5"/>
      <c r="C2651" s="5"/>
      <c r="D2651" s="6"/>
      <c r="E2651" s="5"/>
      <c r="F2651" s="6"/>
      <c r="G2651" s="5"/>
      <c r="H2651" s="5"/>
      <c r="I2651" s="5"/>
      <c r="J2651" s="5"/>
      <c r="M2651" s="5"/>
      <c r="N2651"/>
      <c r="O2651"/>
      <c r="P2651" s="5"/>
      <c r="Q2651" s="5"/>
      <c r="R2651" s="5"/>
      <c r="S2651" s="5"/>
      <c r="T2651" s="5"/>
      <c r="U2651" s="5"/>
      <c r="V2651" s="5"/>
      <c r="W2651" s="5"/>
      <c r="X2651" s="5"/>
      <c r="Y2651" s="5"/>
    </row>
    <row r="2652" spans="1:25" x14ac:dyDescent="0.35">
      <c r="N2652"/>
      <c r="O2652"/>
    </row>
    <row r="2653" spans="1:25" x14ac:dyDescent="0.35">
      <c r="N2653"/>
      <c r="O2653"/>
    </row>
    <row r="2654" spans="1:25" x14ac:dyDescent="0.35">
      <c r="N2654"/>
      <c r="O2654"/>
    </row>
    <row r="2655" spans="1:25" x14ac:dyDescent="0.35">
      <c r="N2655"/>
      <c r="O2655"/>
    </row>
    <row r="2656" spans="1:25" x14ac:dyDescent="0.35">
      <c r="N2656"/>
      <c r="O2656"/>
    </row>
    <row r="2657" spans="14:15" x14ac:dyDescent="0.35">
      <c r="N2657"/>
      <c r="O2657"/>
    </row>
    <row r="2658" spans="14:15" x14ac:dyDescent="0.35">
      <c r="N2658"/>
      <c r="O2658"/>
    </row>
    <row r="2659" spans="14:15" x14ac:dyDescent="0.35">
      <c r="N2659"/>
      <c r="O2659"/>
    </row>
    <row r="2660" spans="14:15" x14ac:dyDescent="0.35">
      <c r="N2660"/>
      <c r="O2660"/>
    </row>
    <row r="2661" spans="14:15" x14ac:dyDescent="0.35">
      <c r="N2661"/>
      <c r="O2661"/>
    </row>
    <row r="2662" spans="14:15" x14ac:dyDescent="0.35">
      <c r="N2662"/>
      <c r="O2662"/>
    </row>
    <row r="2663" spans="14:15" x14ac:dyDescent="0.35">
      <c r="N2663"/>
      <c r="O2663"/>
    </row>
    <row r="2664" spans="14:15" x14ac:dyDescent="0.35">
      <c r="N2664"/>
      <c r="O2664"/>
    </row>
    <row r="2665" spans="14:15" x14ac:dyDescent="0.35">
      <c r="N2665"/>
      <c r="O2665"/>
    </row>
    <row r="2666" spans="14:15" x14ac:dyDescent="0.35">
      <c r="N2666"/>
      <c r="O2666"/>
    </row>
    <row r="2667" spans="14:15" x14ac:dyDescent="0.35">
      <c r="N2667"/>
      <c r="O2667"/>
    </row>
    <row r="2668" spans="14:15" x14ac:dyDescent="0.35">
      <c r="N2668"/>
      <c r="O2668"/>
    </row>
    <row r="2669" spans="14:15" x14ac:dyDescent="0.35">
      <c r="N2669"/>
      <c r="O2669"/>
    </row>
    <row r="2670" spans="14:15" x14ac:dyDescent="0.35">
      <c r="N2670"/>
      <c r="O2670"/>
    </row>
    <row r="2671" spans="14:15" x14ac:dyDescent="0.35">
      <c r="N2671"/>
      <c r="O2671"/>
    </row>
    <row r="2672" spans="14:15" x14ac:dyDescent="0.35">
      <c r="N2672"/>
      <c r="O2672"/>
    </row>
    <row r="2673" spans="14:15" x14ac:dyDescent="0.35">
      <c r="N2673"/>
      <c r="O2673"/>
    </row>
    <row r="2674" spans="14:15" x14ac:dyDescent="0.35">
      <c r="N2674"/>
      <c r="O2674"/>
    </row>
    <row r="2675" spans="14:15" x14ac:dyDescent="0.35">
      <c r="N2675"/>
      <c r="O2675"/>
    </row>
    <row r="2676" spans="14:15" x14ac:dyDescent="0.35">
      <c r="N2676"/>
      <c r="O2676"/>
    </row>
    <row r="2677" spans="14:15" x14ac:dyDescent="0.35">
      <c r="N2677"/>
      <c r="O2677"/>
    </row>
    <row r="2678" spans="14:15" x14ac:dyDescent="0.35">
      <c r="N2678"/>
      <c r="O2678"/>
    </row>
    <row r="2679" spans="14:15" x14ac:dyDescent="0.35">
      <c r="N2679"/>
      <c r="O2679"/>
    </row>
    <row r="2680" spans="14:15" x14ac:dyDescent="0.35">
      <c r="N2680"/>
      <c r="O2680"/>
    </row>
    <row r="2681" spans="14:15" x14ac:dyDescent="0.35">
      <c r="N2681"/>
      <c r="O2681"/>
    </row>
    <row r="2682" spans="14:15" x14ac:dyDescent="0.35">
      <c r="N2682"/>
      <c r="O2682"/>
    </row>
    <row r="2683" spans="14:15" x14ac:dyDescent="0.35">
      <c r="N2683"/>
      <c r="O2683"/>
    </row>
    <row r="2684" spans="14:15" x14ac:dyDescent="0.35">
      <c r="N2684"/>
      <c r="O2684"/>
    </row>
    <row r="2685" spans="14:15" x14ac:dyDescent="0.35">
      <c r="N2685"/>
      <c r="O2685"/>
    </row>
    <row r="2686" spans="14:15" x14ac:dyDescent="0.35">
      <c r="N2686"/>
      <c r="O2686"/>
    </row>
    <row r="2687" spans="14:15" x14ac:dyDescent="0.35">
      <c r="N2687"/>
      <c r="O2687"/>
    </row>
    <row r="2688" spans="14:15" x14ac:dyDescent="0.35">
      <c r="N2688"/>
      <c r="O2688"/>
    </row>
    <row r="2689" spans="1:25" x14ac:dyDescent="0.35">
      <c r="N2689"/>
      <c r="O2689"/>
    </row>
    <row r="2690" spans="1:25" x14ac:dyDescent="0.35">
      <c r="N2690"/>
      <c r="O2690"/>
    </row>
    <row r="2691" spans="1:25" x14ac:dyDescent="0.35">
      <c r="N2691"/>
      <c r="O2691"/>
    </row>
    <row r="2692" spans="1:25" x14ac:dyDescent="0.35">
      <c r="N2692"/>
      <c r="O2692"/>
    </row>
    <row r="2693" spans="1:25" x14ac:dyDescent="0.35">
      <c r="N2693"/>
      <c r="O2693"/>
    </row>
    <row r="2694" spans="1:25" x14ac:dyDescent="0.35">
      <c r="N2694"/>
      <c r="O2694"/>
    </row>
    <row r="2695" spans="1:25" x14ac:dyDescent="0.35">
      <c r="N2695"/>
      <c r="O2695"/>
    </row>
    <row r="2696" spans="1:25" x14ac:dyDescent="0.35">
      <c r="N2696"/>
      <c r="O2696"/>
    </row>
    <row r="2697" spans="1:25" x14ac:dyDescent="0.35">
      <c r="N2697"/>
      <c r="O2697"/>
    </row>
    <row r="2698" spans="1:25" x14ac:dyDescent="0.35">
      <c r="N2698"/>
      <c r="O2698"/>
    </row>
    <row r="2699" spans="1:25" x14ac:dyDescent="0.35">
      <c r="N2699"/>
      <c r="O2699"/>
    </row>
    <row r="2700" spans="1:25" x14ac:dyDescent="0.35">
      <c r="N2700"/>
      <c r="O2700"/>
    </row>
    <row r="2701" spans="1:25" x14ac:dyDescent="0.35">
      <c r="N2701"/>
      <c r="O2701"/>
    </row>
    <row r="2702" spans="1:25" x14ac:dyDescent="0.35">
      <c r="N2702"/>
      <c r="O2702"/>
    </row>
    <row r="2703" spans="1:25" x14ac:dyDescent="0.35">
      <c r="N2703"/>
      <c r="O2703"/>
    </row>
    <row r="2704" spans="1:25" s="13" customFormat="1" x14ac:dyDescent="0.35">
      <c r="A2704" s="5"/>
      <c r="B2704" s="5"/>
      <c r="C2704" s="5"/>
      <c r="D2704" s="6"/>
      <c r="E2704" s="5"/>
      <c r="F2704" s="6"/>
      <c r="G2704" s="5"/>
      <c r="H2704" s="5"/>
      <c r="I2704" s="5"/>
      <c r="J2704" s="5"/>
      <c r="M2704" s="5"/>
      <c r="N2704"/>
      <c r="O2704"/>
      <c r="P2704" s="5"/>
      <c r="Q2704" s="5"/>
      <c r="R2704" s="5"/>
      <c r="S2704" s="5"/>
      <c r="T2704" s="5"/>
      <c r="U2704" s="5"/>
      <c r="V2704" s="5"/>
      <c r="W2704" s="5"/>
      <c r="X2704" s="5"/>
      <c r="Y2704" s="5"/>
    </row>
    <row r="2705" spans="1:25" s="13" customFormat="1" x14ac:dyDescent="0.35">
      <c r="A2705" s="5"/>
      <c r="B2705" s="5"/>
      <c r="C2705" s="5"/>
      <c r="D2705" s="6"/>
      <c r="E2705" s="5"/>
      <c r="F2705" s="6"/>
      <c r="G2705" s="5"/>
      <c r="H2705" s="5"/>
      <c r="I2705" s="5"/>
      <c r="J2705" s="5"/>
      <c r="M2705" s="5"/>
      <c r="N2705"/>
      <c r="O2705"/>
      <c r="P2705" s="5"/>
      <c r="Q2705" s="5"/>
      <c r="R2705" s="5"/>
      <c r="S2705" s="5"/>
      <c r="T2705" s="5"/>
      <c r="U2705" s="5"/>
      <c r="V2705" s="5"/>
      <c r="W2705" s="5"/>
      <c r="X2705" s="5"/>
      <c r="Y2705" s="5"/>
    </row>
    <row r="2706" spans="1:25" s="13" customFormat="1" x14ac:dyDescent="0.35">
      <c r="A2706" s="5"/>
      <c r="B2706" s="5"/>
      <c r="C2706" s="5"/>
      <c r="D2706" s="6"/>
      <c r="E2706" s="5"/>
      <c r="F2706" s="6"/>
      <c r="G2706" s="5"/>
      <c r="H2706" s="5"/>
      <c r="I2706" s="5"/>
      <c r="J2706" s="5"/>
      <c r="M2706" s="5"/>
      <c r="N2706"/>
      <c r="O2706"/>
      <c r="P2706" s="5"/>
      <c r="Q2706" s="5"/>
      <c r="R2706" s="5"/>
      <c r="S2706" s="5"/>
      <c r="T2706" s="5"/>
      <c r="U2706" s="5"/>
      <c r="V2706" s="5"/>
      <c r="W2706" s="5"/>
      <c r="X2706" s="5"/>
      <c r="Y2706" s="5"/>
    </row>
    <row r="2707" spans="1:25" s="13" customFormat="1" x14ac:dyDescent="0.35">
      <c r="A2707" s="5"/>
      <c r="B2707" s="5"/>
      <c r="C2707" s="5"/>
      <c r="D2707" s="6"/>
      <c r="E2707" s="5"/>
      <c r="F2707" s="6"/>
      <c r="G2707" s="5"/>
      <c r="H2707" s="5"/>
      <c r="I2707" s="5"/>
      <c r="J2707" s="5"/>
      <c r="M2707" s="5"/>
      <c r="N2707"/>
      <c r="O2707"/>
      <c r="P2707" s="5"/>
      <c r="Q2707" s="5"/>
      <c r="R2707" s="5"/>
      <c r="S2707" s="5"/>
      <c r="T2707" s="5"/>
      <c r="U2707" s="5"/>
      <c r="V2707" s="5"/>
      <c r="W2707" s="5"/>
      <c r="X2707" s="5"/>
      <c r="Y2707" s="5"/>
    </row>
    <row r="2708" spans="1:25" s="13" customFormat="1" x14ac:dyDescent="0.35">
      <c r="A2708" s="5"/>
      <c r="B2708" s="5"/>
      <c r="C2708" s="5"/>
      <c r="D2708" s="6"/>
      <c r="E2708" s="5"/>
      <c r="F2708" s="6"/>
      <c r="G2708" s="5"/>
      <c r="H2708" s="5"/>
      <c r="I2708" s="5"/>
      <c r="J2708" s="5"/>
      <c r="M2708" s="5"/>
      <c r="N2708"/>
      <c r="O2708"/>
      <c r="P2708" s="5"/>
      <c r="Q2708" s="5"/>
      <c r="R2708" s="5"/>
      <c r="S2708" s="5"/>
      <c r="T2708" s="5"/>
      <c r="U2708" s="5"/>
      <c r="V2708" s="5"/>
      <c r="W2708" s="5"/>
      <c r="X2708" s="5"/>
      <c r="Y2708" s="5"/>
    </row>
    <row r="2709" spans="1:25" s="13" customFormat="1" x14ac:dyDescent="0.35">
      <c r="A2709" s="5"/>
      <c r="B2709" s="5"/>
      <c r="C2709" s="5"/>
      <c r="D2709" s="6"/>
      <c r="E2709" s="5"/>
      <c r="F2709" s="6"/>
      <c r="G2709" s="5"/>
      <c r="H2709" s="5"/>
      <c r="I2709" s="5"/>
      <c r="J2709" s="5"/>
      <c r="M2709" s="5"/>
      <c r="N2709"/>
      <c r="O2709"/>
      <c r="P2709" s="5"/>
      <c r="Q2709" s="5"/>
      <c r="R2709" s="5"/>
      <c r="S2709" s="5"/>
      <c r="T2709" s="5"/>
      <c r="U2709" s="5"/>
      <c r="V2709" s="5"/>
      <c r="W2709" s="5"/>
      <c r="X2709" s="5"/>
      <c r="Y2709" s="5"/>
    </row>
    <row r="2710" spans="1:25" s="13" customFormat="1" x14ac:dyDescent="0.35">
      <c r="A2710" s="5"/>
      <c r="B2710" s="5"/>
      <c r="C2710" s="5"/>
      <c r="D2710" s="6"/>
      <c r="E2710" s="5"/>
      <c r="F2710" s="6"/>
      <c r="G2710" s="5"/>
      <c r="H2710" s="5"/>
      <c r="I2710" s="5"/>
      <c r="J2710" s="5"/>
      <c r="M2710" s="5"/>
      <c r="N2710"/>
      <c r="O2710"/>
      <c r="P2710" s="5"/>
      <c r="Q2710" s="5"/>
      <c r="R2710" s="5"/>
      <c r="S2710" s="5"/>
      <c r="T2710" s="5"/>
      <c r="U2710" s="5"/>
      <c r="V2710" s="5"/>
      <c r="W2710" s="5"/>
      <c r="X2710" s="5"/>
      <c r="Y2710" s="5"/>
    </row>
    <row r="2711" spans="1:25" s="13" customFormat="1" x14ac:dyDescent="0.35">
      <c r="A2711" s="5"/>
      <c r="B2711" s="5"/>
      <c r="C2711" s="5"/>
      <c r="D2711" s="6"/>
      <c r="E2711" s="5"/>
      <c r="F2711" s="6"/>
      <c r="G2711" s="5"/>
      <c r="H2711" s="5"/>
      <c r="I2711" s="5"/>
      <c r="J2711" s="5"/>
      <c r="M2711" s="5"/>
      <c r="N2711"/>
      <c r="O2711"/>
      <c r="P2711" s="5"/>
      <c r="Q2711" s="5"/>
      <c r="R2711" s="5"/>
      <c r="S2711" s="5"/>
      <c r="T2711" s="5"/>
      <c r="U2711" s="5"/>
      <c r="V2711" s="5"/>
      <c r="W2711" s="5"/>
      <c r="X2711" s="5"/>
      <c r="Y2711" s="5"/>
    </row>
    <row r="2712" spans="1:25" s="13" customFormat="1" x14ac:dyDescent="0.35">
      <c r="A2712" s="5"/>
      <c r="B2712" s="5"/>
      <c r="C2712" s="5"/>
      <c r="D2712" s="6"/>
      <c r="E2712" s="5"/>
      <c r="F2712" s="6"/>
      <c r="G2712" s="5"/>
      <c r="H2712" s="5"/>
      <c r="I2712" s="5"/>
      <c r="J2712" s="5"/>
      <c r="M2712" s="5"/>
      <c r="N2712"/>
      <c r="O2712"/>
      <c r="P2712" s="5"/>
      <c r="Q2712" s="5"/>
      <c r="R2712" s="5"/>
      <c r="S2712" s="5"/>
      <c r="T2712" s="5"/>
      <c r="U2712" s="5"/>
      <c r="V2712" s="5"/>
      <c r="W2712" s="5"/>
      <c r="X2712" s="5"/>
      <c r="Y2712" s="5"/>
    </row>
    <row r="2713" spans="1:25" x14ac:dyDescent="0.35">
      <c r="N2713"/>
      <c r="O2713"/>
    </row>
    <row r="2714" spans="1:25" x14ac:dyDescent="0.35">
      <c r="N2714"/>
      <c r="O2714"/>
    </row>
    <row r="2715" spans="1:25" x14ac:dyDescent="0.35">
      <c r="N2715"/>
      <c r="O2715"/>
    </row>
    <row r="2716" spans="1:25" x14ac:dyDescent="0.35">
      <c r="N2716"/>
      <c r="O2716"/>
    </row>
    <row r="2717" spans="1:25" x14ac:dyDescent="0.35">
      <c r="N2717"/>
      <c r="O2717"/>
    </row>
    <row r="2718" spans="1:25" x14ac:dyDescent="0.35">
      <c r="N2718"/>
      <c r="O2718"/>
    </row>
    <row r="2719" spans="1:25" x14ac:dyDescent="0.35">
      <c r="N2719"/>
      <c r="O2719"/>
    </row>
    <row r="2720" spans="1:25" x14ac:dyDescent="0.35">
      <c r="N2720"/>
      <c r="O2720"/>
    </row>
    <row r="2721" spans="1:25" x14ac:dyDescent="0.35">
      <c r="N2721"/>
      <c r="O2721"/>
    </row>
    <row r="2722" spans="1:25" x14ac:dyDescent="0.35">
      <c r="N2722"/>
      <c r="O2722"/>
    </row>
    <row r="2723" spans="1:25" x14ac:dyDescent="0.35">
      <c r="N2723"/>
      <c r="O2723"/>
    </row>
    <row r="2724" spans="1:25" s="13" customFormat="1" x14ac:dyDescent="0.35">
      <c r="A2724" s="5"/>
      <c r="B2724" s="5"/>
      <c r="C2724" s="5"/>
      <c r="D2724" s="6"/>
      <c r="E2724" s="5"/>
      <c r="F2724" s="6"/>
      <c r="G2724" s="5"/>
      <c r="H2724" s="5"/>
      <c r="I2724" s="5"/>
      <c r="J2724" s="5"/>
      <c r="M2724" s="5"/>
      <c r="N2724"/>
      <c r="O2724"/>
      <c r="P2724" s="5"/>
      <c r="Q2724" s="5"/>
      <c r="R2724" s="5"/>
      <c r="S2724" s="5"/>
      <c r="T2724" s="5"/>
      <c r="U2724" s="5"/>
      <c r="V2724" s="5"/>
      <c r="W2724" s="5"/>
      <c r="X2724" s="5"/>
      <c r="Y2724" s="5"/>
    </row>
    <row r="2725" spans="1:25" s="13" customFormat="1" x14ac:dyDescent="0.35">
      <c r="A2725" s="5"/>
      <c r="B2725" s="5"/>
      <c r="C2725" s="5"/>
      <c r="D2725" s="6"/>
      <c r="E2725" s="5"/>
      <c r="F2725" s="6"/>
      <c r="G2725" s="5"/>
      <c r="H2725" s="5"/>
      <c r="I2725" s="5"/>
      <c r="J2725" s="5"/>
      <c r="M2725" s="5"/>
      <c r="N2725"/>
      <c r="O2725"/>
      <c r="P2725" s="5"/>
      <c r="Q2725" s="5"/>
      <c r="R2725" s="5"/>
      <c r="S2725" s="5"/>
      <c r="T2725" s="5"/>
      <c r="U2725" s="5"/>
      <c r="V2725" s="5"/>
      <c r="W2725" s="5"/>
      <c r="X2725" s="5"/>
      <c r="Y2725" s="5"/>
    </row>
    <row r="2726" spans="1:25" x14ac:dyDescent="0.35">
      <c r="N2726"/>
      <c r="O2726"/>
    </row>
    <row r="2727" spans="1:25" x14ac:dyDescent="0.35">
      <c r="N2727"/>
      <c r="O2727"/>
    </row>
    <row r="2728" spans="1:25" x14ac:dyDescent="0.35">
      <c r="N2728"/>
      <c r="O2728"/>
    </row>
    <row r="2729" spans="1:25" x14ac:dyDescent="0.35">
      <c r="N2729"/>
      <c r="O2729"/>
    </row>
    <row r="2730" spans="1:25" x14ac:dyDescent="0.35">
      <c r="N2730"/>
      <c r="O2730"/>
    </row>
    <row r="2731" spans="1:25" x14ac:dyDescent="0.35">
      <c r="N2731"/>
      <c r="O2731"/>
    </row>
    <row r="2732" spans="1:25" x14ac:dyDescent="0.35">
      <c r="N2732"/>
      <c r="O2732"/>
    </row>
    <row r="2733" spans="1:25" x14ac:dyDescent="0.35">
      <c r="N2733"/>
      <c r="O2733"/>
    </row>
    <row r="2734" spans="1:25" x14ac:dyDescent="0.35">
      <c r="N2734"/>
      <c r="O2734"/>
    </row>
    <row r="2735" spans="1:25" x14ac:dyDescent="0.35">
      <c r="N2735"/>
      <c r="O2735"/>
    </row>
    <row r="2736" spans="1:25" x14ac:dyDescent="0.35">
      <c r="N2736"/>
      <c r="O2736"/>
    </row>
    <row r="2737" spans="14:15" x14ac:dyDescent="0.35">
      <c r="N2737"/>
      <c r="O2737"/>
    </row>
    <row r="2738" spans="14:15" x14ac:dyDescent="0.35">
      <c r="N2738"/>
      <c r="O2738"/>
    </row>
    <row r="2739" spans="14:15" x14ac:dyDescent="0.35">
      <c r="N2739"/>
      <c r="O2739"/>
    </row>
    <row r="2740" spans="14:15" x14ac:dyDescent="0.35">
      <c r="N2740"/>
      <c r="O2740"/>
    </row>
    <row r="2741" spans="14:15" x14ac:dyDescent="0.35">
      <c r="N2741"/>
      <c r="O2741"/>
    </row>
    <row r="2742" spans="14:15" x14ac:dyDescent="0.35">
      <c r="N2742"/>
      <c r="O2742"/>
    </row>
    <row r="2743" spans="14:15" x14ac:dyDescent="0.35">
      <c r="N2743"/>
      <c r="O2743"/>
    </row>
    <row r="2744" spans="14:15" x14ac:dyDescent="0.35">
      <c r="N2744"/>
      <c r="O2744"/>
    </row>
    <row r="2745" spans="14:15" x14ac:dyDescent="0.35">
      <c r="N2745"/>
      <c r="O2745"/>
    </row>
    <row r="2746" spans="14:15" x14ac:dyDescent="0.35">
      <c r="N2746"/>
      <c r="O2746"/>
    </row>
    <row r="2747" spans="14:15" x14ac:dyDescent="0.35">
      <c r="N2747"/>
      <c r="O2747"/>
    </row>
    <row r="2748" spans="14:15" x14ac:dyDescent="0.35">
      <c r="N2748"/>
      <c r="O2748"/>
    </row>
    <row r="2749" spans="14:15" x14ac:dyDescent="0.35">
      <c r="N2749"/>
      <c r="O2749"/>
    </row>
    <row r="2750" spans="14:15" x14ac:dyDescent="0.35">
      <c r="N2750"/>
      <c r="O2750"/>
    </row>
    <row r="2751" spans="14:15" x14ac:dyDescent="0.35">
      <c r="N2751"/>
      <c r="O2751"/>
    </row>
    <row r="2752" spans="14:15" x14ac:dyDescent="0.35">
      <c r="N2752"/>
      <c r="O2752"/>
    </row>
    <row r="2753" spans="14:15" x14ac:dyDescent="0.35">
      <c r="N2753"/>
      <c r="O2753"/>
    </row>
    <row r="2754" spans="14:15" x14ac:dyDescent="0.35">
      <c r="N2754"/>
      <c r="O2754"/>
    </row>
    <row r="2755" spans="14:15" x14ac:dyDescent="0.35">
      <c r="N2755"/>
      <c r="O2755"/>
    </row>
    <row r="2756" spans="14:15" x14ac:dyDescent="0.35">
      <c r="N2756"/>
      <c r="O2756"/>
    </row>
    <row r="2757" spans="14:15" x14ac:dyDescent="0.35">
      <c r="N2757"/>
      <c r="O2757"/>
    </row>
    <row r="2758" spans="14:15" x14ac:dyDescent="0.35">
      <c r="N2758"/>
      <c r="O2758"/>
    </row>
    <row r="2759" spans="14:15" x14ac:dyDescent="0.35">
      <c r="N2759"/>
      <c r="O2759"/>
    </row>
    <row r="2760" spans="14:15" x14ac:dyDescent="0.35">
      <c r="N2760"/>
      <c r="O2760"/>
    </row>
    <row r="2761" spans="14:15" x14ac:dyDescent="0.35">
      <c r="N2761"/>
      <c r="O2761"/>
    </row>
    <row r="2762" spans="14:15" x14ac:dyDescent="0.35">
      <c r="N2762"/>
      <c r="O2762"/>
    </row>
    <row r="2763" spans="14:15" x14ac:dyDescent="0.35">
      <c r="N2763"/>
      <c r="O2763"/>
    </row>
    <row r="2764" spans="14:15" x14ac:dyDescent="0.35">
      <c r="N2764"/>
      <c r="O2764"/>
    </row>
    <row r="2765" spans="14:15" x14ac:dyDescent="0.35">
      <c r="N2765"/>
      <c r="O2765"/>
    </row>
    <row r="2766" spans="14:15" x14ac:dyDescent="0.35">
      <c r="N2766"/>
      <c r="O2766"/>
    </row>
    <row r="2767" spans="14:15" x14ac:dyDescent="0.35">
      <c r="N2767"/>
      <c r="O2767"/>
    </row>
    <row r="2768" spans="14:15" x14ac:dyDescent="0.35">
      <c r="N2768"/>
      <c r="O2768"/>
    </row>
    <row r="2769" spans="14:15" x14ac:dyDescent="0.35">
      <c r="N2769"/>
      <c r="O2769"/>
    </row>
    <row r="2770" spans="14:15" x14ac:dyDescent="0.35">
      <c r="N2770"/>
      <c r="O2770"/>
    </row>
    <row r="2771" spans="14:15" x14ac:dyDescent="0.35">
      <c r="N2771"/>
      <c r="O2771"/>
    </row>
    <row r="2772" spans="14:15" x14ac:dyDescent="0.35">
      <c r="N2772"/>
      <c r="O2772"/>
    </row>
    <row r="2773" spans="14:15" x14ac:dyDescent="0.35">
      <c r="N2773"/>
      <c r="O2773"/>
    </row>
    <row r="2774" spans="14:15" x14ac:dyDescent="0.35">
      <c r="N2774"/>
      <c r="O2774"/>
    </row>
    <row r="2775" spans="14:15" x14ac:dyDescent="0.35">
      <c r="N2775"/>
      <c r="O2775"/>
    </row>
    <row r="2776" spans="14:15" x14ac:dyDescent="0.35">
      <c r="N2776"/>
      <c r="O2776"/>
    </row>
    <row r="2777" spans="14:15" x14ac:dyDescent="0.35">
      <c r="N2777"/>
      <c r="O2777"/>
    </row>
    <row r="2778" spans="14:15" x14ac:dyDescent="0.35">
      <c r="N2778"/>
      <c r="O2778"/>
    </row>
    <row r="2779" spans="14:15" x14ac:dyDescent="0.35">
      <c r="N2779"/>
      <c r="O2779"/>
    </row>
    <row r="2780" spans="14:15" x14ac:dyDescent="0.35">
      <c r="N2780"/>
      <c r="O2780"/>
    </row>
    <row r="2781" spans="14:15" x14ac:dyDescent="0.35">
      <c r="N2781"/>
      <c r="O2781"/>
    </row>
    <row r="2782" spans="14:15" x14ac:dyDescent="0.35">
      <c r="N2782"/>
      <c r="O2782"/>
    </row>
    <row r="2783" spans="14:15" x14ac:dyDescent="0.35">
      <c r="N2783"/>
      <c r="O2783"/>
    </row>
    <row r="2784" spans="14:15" x14ac:dyDescent="0.35">
      <c r="N2784"/>
      <c r="O2784"/>
    </row>
    <row r="2785" spans="14:15" x14ac:dyDescent="0.35">
      <c r="N2785"/>
      <c r="O2785"/>
    </row>
    <row r="2786" spans="14:15" x14ac:dyDescent="0.35">
      <c r="N2786"/>
      <c r="O2786"/>
    </row>
    <row r="2787" spans="14:15" x14ac:dyDescent="0.35">
      <c r="N2787"/>
      <c r="O2787"/>
    </row>
    <row r="2788" spans="14:15" x14ac:dyDescent="0.35">
      <c r="N2788"/>
      <c r="O2788"/>
    </row>
    <row r="2789" spans="14:15" x14ac:dyDescent="0.35">
      <c r="N2789"/>
      <c r="O2789"/>
    </row>
    <row r="2790" spans="14:15" x14ac:dyDescent="0.35">
      <c r="N2790"/>
      <c r="O2790"/>
    </row>
    <row r="2791" spans="14:15" x14ac:dyDescent="0.35">
      <c r="N2791"/>
      <c r="O2791"/>
    </row>
    <row r="2792" spans="14:15" x14ac:dyDescent="0.35">
      <c r="N2792"/>
      <c r="O2792"/>
    </row>
    <row r="2793" spans="14:15" x14ac:dyDescent="0.35">
      <c r="N2793"/>
      <c r="O2793"/>
    </row>
    <row r="2794" spans="14:15" x14ac:dyDescent="0.35">
      <c r="N2794"/>
      <c r="O2794"/>
    </row>
    <row r="2795" spans="14:15" x14ac:dyDescent="0.35">
      <c r="N2795"/>
      <c r="O2795"/>
    </row>
    <row r="2796" spans="14:15" x14ac:dyDescent="0.35">
      <c r="N2796"/>
      <c r="O2796"/>
    </row>
    <row r="2797" spans="14:15" x14ac:dyDescent="0.35">
      <c r="N2797"/>
      <c r="O2797"/>
    </row>
    <row r="2798" spans="14:15" x14ac:dyDescent="0.35">
      <c r="N2798"/>
      <c r="O2798"/>
    </row>
    <row r="2799" spans="14:15" x14ac:dyDescent="0.35">
      <c r="N2799"/>
      <c r="O2799"/>
    </row>
    <row r="2800" spans="14:15" x14ac:dyDescent="0.35">
      <c r="N2800"/>
      <c r="O2800"/>
    </row>
    <row r="2801" spans="14:15" x14ac:dyDescent="0.35">
      <c r="N2801"/>
      <c r="O2801"/>
    </row>
    <row r="2802" spans="14:15" x14ac:dyDescent="0.35">
      <c r="N2802"/>
      <c r="O2802"/>
    </row>
    <row r="2803" spans="14:15" x14ac:dyDescent="0.35">
      <c r="N2803"/>
      <c r="O2803"/>
    </row>
    <row r="2804" spans="14:15" x14ac:dyDescent="0.35">
      <c r="N2804"/>
      <c r="O2804"/>
    </row>
    <row r="2805" spans="14:15" x14ac:dyDescent="0.35">
      <c r="N2805"/>
      <c r="O2805"/>
    </row>
    <row r="2806" spans="14:15" x14ac:dyDescent="0.35">
      <c r="N2806"/>
      <c r="O2806"/>
    </row>
    <row r="2807" spans="14:15" x14ac:dyDescent="0.35">
      <c r="N2807"/>
      <c r="O2807"/>
    </row>
    <row r="2808" spans="14:15" x14ac:dyDescent="0.35">
      <c r="N2808"/>
      <c r="O2808"/>
    </row>
    <row r="2809" spans="14:15" x14ac:dyDescent="0.35">
      <c r="N2809"/>
      <c r="O2809"/>
    </row>
    <row r="2810" spans="14:15" x14ac:dyDescent="0.35">
      <c r="N2810"/>
      <c r="O2810"/>
    </row>
    <row r="2811" spans="14:15" x14ac:dyDescent="0.35">
      <c r="N2811"/>
      <c r="O2811"/>
    </row>
    <row r="2812" spans="14:15" x14ac:dyDescent="0.35">
      <c r="N2812"/>
      <c r="O2812"/>
    </row>
    <row r="2813" spans="14:15" x14ac:dyDescent="0.35">
      <c r="N2813"/>
      <c r="O2813"/>
    </row>
    <row r="2814" spans="14:15" x14ac:dyDescent="0.35">
      <c r="N2814"/>
      <c r="O2814"/>
    </row>
    <row r="2815" spans="14:15" x14ac:dyDescent="0.35">
      <c r="N2815"/>
      <c r="O2815"/>
    </row>
    <row r="2816" spans="14:15" x14ac:dyDescent="0.35">
      <c r="N2816"/>
      <c r="O2816"/>
    </row>
    <row r="2817" spans="14:15" x14ac:dyDescent="0.35">
      <c r="N2817"/>
      <c r="O2817"/>
    </row>
    <row r="2818" spans="14:15" x14ac:dyDescent="0.35">
      <c r="N2818"/>
      <c r="O2818"/>
    </row>
    <row r="2819" spans="14:15" x14ac:dyDescent="0.35">
      <c r="N2819"/>
      <c r="O2819"/>
    </row>
    <row r="2820" spans="14:15" x14ac:dyDescent="0.35">
      <c r="N2820"/>
      <c r="O2820"/>
    </row>
    <row r="2821" spans="14:15" x14ac:dyDescent="0.35">
      <c r="N2821"/>
      <c r="O2821"/>
    </row>
    <row r="2822" spans="14:15" x14ac:dyDescent="0.35">
      <c r="N2822"/>
      <c r="O2822"/>
    </row>
    <row r="2823" spans="14:15" x14ac:dyDescent="0.35">
      <c r="N2823"/>
      <c r="O2823"/>
    </row>
    <row r="2824" spans="14:15" x14ac:dyDescent="0.35">
      <c r="N2824"/>
      <c r="O2824"/>
    </row>
    <row r="2825" spans="14:15" x14ac:dyDescent="0.35">
      <c r="N2825"/>
      <c r="O2825"/>
    </row>
    <row r="2826" spans="14:15" x14ac:dyDescent="0.35">
      <c r="N2826"/>
      <c r="O2826"/>
    </row>
    <row r="2827" spans="14:15" x14ac:dyDescent="0.35">
      <c r="N2827"/>
      <c r="O2827"/>
    </row>
    <row r="2828" spans="14:15" x14ac:dyDescent="0.35">
      <c r="N2828"/>
      <c r="O2828"/>
    </row>
    <row r="2829" spans="14:15" x14ac:dyDescent="0.35">
      <c r="N2829"/>
      <c r="O2829"/>
    </row>
    <row r="2830" spans="14:15" x14ac:dyDescent="0.35">
      <c r="N2830"/>
      <c r="O2830"/>
    </row>
    <row r="2831" spans="14:15" x14ac:dyDescent="0.35">
      <c r="N2831"/>
      <c r="O2831"/>
    </row>
    <row r="2832" spans="14:15" x14ac:dyDescent="0.35">
      <c r="N2832"/>
      <c r="O2832"/>
    </row>
    <row r="2833" spans="14:15" x14ac:dyDescent="0.35">
      <c r="N2833"/>
      <c r="O2833"/>
    </row>
    <row r="2834" spans="14:15" x14ac:dyDescent="0.35">
      <c r="N2834"/>
      <c r="O2834"/>
    </row>
    <row r="2835" spans="14:15" x14ac:dyDescent="0.35">
      <c r="N2835"/>
      <c r="O2835"/>
    </row>
    <row r="2836" spans="14:15" x14ac:dyDescent="0.35">
      <c r="N2836"/>
      <c r="O2836"/>
    </row>
    <row r="2837" spans="14:15" x14ac:dyDescent="0.35">
      <c r="N2837"/>
      <c r="O2837"/>
    </row>
    <row r="2838" spans="14:15" x14ac:dyDescent="0.35">
      <c r="N2838"/>
      <c r="O2838"/>
    </row>
    <row r="2839" spans="14:15" x14ac:dyDescent="0.35">
      <c r="N2839"/>
      <c r="O2839"/>
    </row>
    <row r="2840" spans="14:15" x14ac:dyDescent="0.35">
      <c r="N2840"/>
      <c r="O2840"/>
    </row>
    <row r="2841" spans="14:15" x14ac:dyDescent="0.35">
      <c r="N2841"/>
      <c r="O2841"/>
    </row>
    <row r="2842" spans="14:15" x14ac:dyDescent="0.35">
      <c r="N2842"/>
      <c r="O2842"/>
    </row>
    <row r="2843" spans="14:15" x14ac:dyDescent="0.35">
      <c r="N2843"/>
      <c r="O2843"/>
    </row>
    <row r="2844" spans="14:15" x14ac:dyDescent="0.35">
      <c r="N2844"/>
      <c r="O2844"/>
    </row>
    <row r="2845" spans="14:15" x14ac:dyDescent="0.35">
      <c r="N2845"/>
      <c r="O2845"/>
    </row>
    <row r="2846" spans="14:15" x14ac:dyDescent="0.35">
      <c r="N2846"/>
      <c r="O2846"/>
    </row>
    <row r="2847" spans="14:15" x14ac:dyDescent="0.35">
      <c r="N2847"/>
      <c r="O2847"/>
    </row>
    <row r="2848" spans="14:15" x14ac:dyDescent="0.35">
      <c r="N2848"/>
      <c r="O2848"/>
    </row>
    <row r="2849" spans="14:15" x14ac:dyDescent="0.35">
      <c r="N2849"/>
      <c r="O2849"/>
    </row>
    <row r="2850" spans="14:15" x14ac:dyDescent="0.35">
      <c r="N2850"/>
      <c r="O2850"/>
    </row>
    <row r="2851" spans="14:15" x14ac:dyDescent="0.35">
      <c r="N2851"/>
      <c r="O2851"/>
    </row>
    <row r="2852" spans="14:15" x14ac:dyDescent="0.35">
      <c r="N2852"/>
      <c r="O2852"/>
    </row>
    <row r="2853" spans="14:15" x14ac:dyDescent="0.35">
      <c r="N2853"/>
      <c r="O2853"/>
    </row>
    <row r="2854" spans="14:15" x14ac:dyDescent="0.35">
      <c r="N2854"/>
      <c r="O2854"/>
    </row>
    <row r="2855" spans="14:15" x14ac:dyDescent="0.35">
      <c r="N2855"/>
      <c r="O2855"/>
    </row>
    <row r="2856" spans="14:15" x14ac:dyDescent="0.35">
      <c r="N2856"/>
      <c r="O2856"/>
    </row>
    <row r="2857" spans="14:15" x14ac:dyDescent="0.35">
      <c r="N2857"/>
      <c r="O2857"/>
    </row>
    <row r="2858" spans="14:15" x14ac:dyDescent="0.35">
      <c r="N2858"/>
      <c r="O2858"/>
    </row>
    <row r="2859" spans="14:15" x14ac:dyDescent="0.35">
      <c r="N2859"/>
      <c r="O2859"/>
    </row>
    <row r="2860" spans="14:15" x14ac:dyDescent="0.35">
      <c r="N2860"/>
      <c r="O2860"/>
    </row>
    <row r="2861" spans="14:15" x14ac:dyDescent="0.35">
      <c r="N2861"/>
      <c r="O2861"/>
    </row>
    <row r="2862" spans="14:15" x14ac:dyDescent="0.35">
      <c r="N2862"/>
      <c r="O2862"/>
    </row>
    <row r="2863" spans="14:15" x14ac:dyDescent="0.35">
      <c r="N2863"/>
      <c r="O2863"/>
    </row>
    <row r="2864" spans="14:15" x14ac:dyDescent="0.35">
      <c r="N2864"/>
      <c r="O2864"/>
    </row>
    <row r="2865" spans="14:15" x14ac:dyDescent="0.35">
      <c r="N2865"/>
      <c r="O2865"/>
    </row>
    <row r="2866" spans="14:15" x14ac:dyDescent="0.35">
      <c r="N2866"/>
      <c r="O2866"/>
    </row>
    <row r="2867" spans="14:15" x14ac:dyDescent="0.35">
      <c r="N2867"/>
      <c r="O2867"/>
    </row>
    <row r="2868" spans="14:15" x14ac:dyDescent="0.35">
      <c r="N2868"/>
      <c r="O2868"/>
    </row>
    <row r="2869" spans="14:15" x14ac:dyDescent="0.35">
      <c r="N2869"/>
      <c r="O2869"/>
    </row>
    <row r="2870" spans="14:15" x14ac:dyDescent="0.35">
      <c r="N2870"/>
      <c r="O2870"/>
    </row>
    <row r="2871" spans="14:15" x14ac:dyDescent="0.35">
      <c r="N2871"/>
      <c r="O2871"/>
    </row>
    <row r="2872" spans="14:15" x14ac:dyDescent="0.35">
      <c r="N2872"/>
      <c r="O2872"/>
    </row>
    <row r="2873" spans="14:15" x14ac:dyDescent="0.35">
      <c r="N2873"/>
      <c r="O2873"/>
    </row>
    <row r="2874" spans="14:15" x14ac:dyDescent="0.35">
      <c r="N2874"/>
      <c r="O2874"/>
    </row>
    <row r="2875" spans="14:15" x14ac:dyDescent="0.35">
      <c r="N2875"/>
      <c r="O2875"/>
    </row>
    <row r="2876" spans="14:15" x14ac:dyDescent="0.35">
      <c r="N2876"/>
      <c r="O2876"/>
    </row>
    <row r="2877" spans="14:15" x14ac:dyDescent="0.35">
      <c r="N2877"/>
      <c r="O2877"/>
    </row>
    <row r="2878" spans="14:15" x14ac:dyDescent="0.35">
      <c r="N2878"/>
      <c r="O2878"/>
    </row>
    <row r="2879" spans="14:15" x14ac:dyDescent="0.35">
      <c r="N2879"/>
      <c r="O2879"/>
    </row>
    <row r="2880" spans="14:15" x14ac:dyDescent="0.35">
      <c r="N2880"/>
      <c r="O2880"/>
    </row>
    <row r="2881" spans="14:15" x14ac:dyDescent="0.35">
      <c r="N2881"/>
      <c r="O2881"/>
    </row>
    <row r="2882" spans="14:15" x14ac:dyDescent="0.35">
      <c r="N2882"/>
      <c r="O2882"/>
    </row>
    <row r="2883" spans="14:15" x14ac:dyDescent="0.35">
      <c r="N2883"/>
      <c r="O2883"/>
    </row>
    <row r="2884" spans="14:15" x14ac:dyDescent="0.35">
      <c r="N2884"/>
      <c r="O2884"/>
    </row>
    <row r="2885" spans="14:15" x14ac:dyDescent="0.35">
      <c r="N2885"/>
      <c r="O2885"/>
    </row>
    <row r="2886" spans="14:15" x14ac:dyDescent="0.35">
      <c r="N2886"/>
      <c r="O2886"/>
    </row>
    <row r="2887" spans="14:15" x14ac:dyDescent="0.35">
      <c r="N2887"/>
      <c r="O2887"/>
    </row>
    <row r="2888" spans="14:15" x14ac:dyDescent="0.35">
      <c r="N2888"/>
      <c r="O2888"/>
    </row>
    <row r="2889" spans="14:15" x14ac:dyDescent="0.35">
      <c r="N2889"/>
      <c r="O2889"/>
    </row>
    <row r="2890" spans="14:15" x14ac:dyDescent="0.35">
      <c r="N2890"/>
      <c r="O2890"/>
    </row>
    <row r="2891" spans="14:15" x14ac:dyDescent="0.35">
      <c r="N2891"/>
      <c r="O2891"/>
    </row>
    <row r="2892" spans="14:15" x14ac:dyDescent="0.35">
      <c r="N2892"/>
      <c r="O2892"/>
    </row>
    <row r="2893" spans="14:15" x14ac:dyDescent="0.35">
      <c r="N2893"/>
      <c r="O2893"/>
    </row>
    <row r="2894" spans="14:15" x14ac:dyDescent="0.35">
      <c r="N2894"/>
      <c r="O2894"/>
    </row>
    <row r="2895" spans="14:15" x14ac:dyDescent="0.35">
      <c r="N2895"/>
      <c r="O2895"/>
    </row>
    <row r="2896" spans="14:15" x14ac:dyDescent="0.35">
      <c r="N2896"/>
      <c r="O2896"/>
    </row>
    <row r="2897" spans="14:15" x14ac:dyDescent="0.35">
      <c r="N2897"/>
      <c r="O2897"/>
    </row>
    <row r="2898" spans="14:15" x14ac:dyDescent="0.35">
      <c r="N2898"/>
      <c r="O2898"/>
    </row>
    <row r="2899" spans="14:15" x14ac:dyDescent="0.35">
      <c r="N2899"/>
      <c r="O2899"/>
    </row>
    <row r="2900" spans="14:15" x14ac:dyDescent="0.35">
      <c r="N2900"/>
      <c r="O2900"/>
    </row>
    <row r="2901" spans="14:15" x14ac:dyDescent="0.35">
      <c r="N2901"/>
      <c r="O2901"/>
    </row>
    <row r="2902" spans="14:15" x14ac:dyDescent="0.35">
      <c r="N2902"/>
      <c r="O2902"/>
    </row>
    <row r="2903" spans="14:15" x14ac:dyDescent="0.35">
      <c r="N2903"/>
      <c r="O2903"/>
    </row>
    <row r="2904" spans="14:15" x14ac:dyDescent="0.35">
      <c r="N2904"/>
      <c r="O2904"/>
    </row>
    <row r="2905" spans="14:15" x14ac:dyDescent="0.35">
      <c r="N2905"/>
      <c r="O2905"/>
    </row>
    <row r="2906" spans="14:15" x14ac:dyDescent="0.35">
      <c r="N2906"/>
      <c r="O2906"/>
    </row>
    <row r="2907" spans="14:15" x14ac:dyDescent="0.35">
      <c r="N2907"/>
      <c r="O2907"/>
    </row>
    <row r="2908" spans="14:15" x14ac:dyDescent="0.35">
      <c r="N2908"/>
      <c r="O2908"/>
    </row>
    <row r="2909" spans="14:15" x14ac:dyDescent="0.35">
      <c r="N2909"/>
      <c r="O2909"/>
    </row>
    <row r="2910" spans="14:15" x14ac:dyDescent="0.35">
      <c r="N2910"/>
      <c r="O2910"/>
    </row>
    <row r="2911" spans="14:15" x14ac:dyDescent="0.35">
      <c r="N2911"/>
      <c r="O2911"/>
    </row>
    <row r="2912" spans="14:15" x14ac:dyDescent="0.35">
      <c r="N2912"/>
      <c r="O2912"/>
    </row>
    <row r="2913" spans="14:15" x14ac:dyDescent="0.35">
      <c r="N2913"/>
      <c r="O2913"/>
    </row>
    <row r="2914" spans="14:15" x14ac:dyDescent="0.35">
      <c r="N2914"/>
      <c r="O2914"/>
    </row>
    <row r="2915" spans="14:15" x14ac:dyDescent="0.35">
      <c r="N2915"/>
      <c r="O2915"/>
    </row>
    <row r="2916" spans="14:15" x14ac:dyDescent="0.35">
      <c r="N2916"/>
      <c r="O2916"/>
    </row>
    <row r="2917" spans="14:15" x14ac:dyDescent="0.35">
      <c r="N2917"/>
      <c r="O2917"/>
    </row>
    <row r="2918" spans="14:15" x14ac:dyDescent="0.35">
      <c r="N2918"/>
      <c r="O2918"/>
    </row>
    <row r="2919" spans="14:15" x14ac:dyDescent="0.35">
      <c r="N2919"/>
      <c r="O2919"/>
    </row>
    <row r="2920" spans="14:15" x14ac:dyDescent="0.35">
      <c r="N2920"/>
      <c r="O2920"/>
    </row>
    <row r="2921" spans="14:15" x14ac:dyDescent="0.35">
      <c r="N2921"/>
      <c r="O2921"/>
    </row>
    <row r="2922" spans="14:15" x14ac:dyDescent="0.35">
      <c r="N2922"/>
      <c r="O2922"/>
    </row>
    <row r="2923" spans="14:15" x14ac:dyDescent="0.35">
      <c r="N2923"/>
      <c r="O2923"/>
    </row>
    <row r="2924" spans="14:15" x14ac:dyDescent="0.35">
      <c r="N2924"/>
      <c r="O2924"/>
    </row>
    <row r="2925" spans="14:15" x14ac:dyDescent="0.35">
      <c r="N2925"/>
      <c r="O2925"/>
    </row>
    <row r="2926" spans="14:15" x14ac:dyDescent="0.35">
      <c r="N2926"/>
      <c r="O2926"/>
    </row>
    <row r="2927" spans="14:15" x14ac:dyDescent="0.35">
      <c r="N2927"/>
      <c r="O2927"/>
    </row>
    <row r="2928" spans="14:15" x14ac:dyDescent="0.35">
      <c r="N2928"/>
      <c r="O2928"/>
    </row>
    <row r="2929" spans="14:15" x14ac:dyDescent="0.35">
      <c r="N2929"/>
      <c r="O2929"/>
    </row>
    <row r="2930" spans="14:15" x14ac:dyDescent="0.35">
      <c r="N2930"/>
      <c r="O2930"/>
    </row>
    <row r="2931" spans="14:15" x14ac:dyDescent="0.35">
      <c r="N2931"/>
      <c r="O2931"/>
    </row>
    <row r="2932" spans="14:15" x14ac:dyDescent="0.35">
      <c r="N2932"/>
      <c r="O2932"/>
    </row>
    <row r="2933" spans="14:15" x14ac:dyDescent="0.35">
      <c r="N2933"/>
      <c r="O2933"/>
    </row>
    <row r="2934" spans="14:15" x14ac:dyDescent="0.35">
      <c r="N2934"/>
      <c r="O2934"/>
    </row>
    <row r="2935" spans="14:15" x14ac:dyDescent="0.35">
      <c r="N2935"/>
      <c r="O2935"/>
    </row>
    <row r="2936" spans="14:15" x14ac:dyDescent="0.35">
      <c r="N2936"/>
      <c r="O2936"/>
    </row>
    <row r="2937" spans="14:15" x14ac:dyDescent="0.35">
      <c r="N2937"/>
      <c r="O2937"/>
    </row>
    <row r="2938" spans="14:15" x14ac:dyDescent="0.35">
      <c r="N2938"/>
      <c r="O2938"/>
    </row>
    <row r="2939" spans="14:15" x14ac:dyDescent="0.35">
      <c r="N2939"/>
      <c r="O2939"/>
    </row>
    <row r="2940" spans="14:15" x14ac:dyDescent="0.35">
      <c r="N2940"/>
      <c r="O2940"/>
    </row>
    <row r="2941" spans="14:15" x14ac:dyDescent="0.35">
      <c r="N2941"/>
      <c r="O2941"/>
    </row>
    <row r="2942" spans="14:15" x14ac:dyDescent="0.35">
      <c r="N2942"/>
      <c r="O2942"/>
    </row>
    <row r="2943" spans="14:15" x14ac:dyDescent="0.35">
      <c r="N2943"/>
      <c r="O2943"/>
    </row>
    <row r="2944" spans="14:15" x14ac:dyDescent="0.35">
      <c r="N2944"/>
      <c r="O2944"/>
    </row>
    <row r="2945" spans="14:15" x14ac:dyDescent="0.35">
      <c r="N2945"/>
      <c r="O2945"/>
    </row>
    <row r="2946" spans="14:15" x14ac:dyDescent="0.35">
      <c r="N2946"/>
      <c r="O2946"/>
    </row>
    <row r="2947" spans="14:15" x14ac:dyDescent="0.35">
      <c r="N2947"/>
      <c r="O2947"/>
    </row>
    <row r="2948" spans="14:15" x14ac:dyDescent="0.35">
      <c r="N2948"/>
      <c r="O2948"/>
    </row>
    <row r="2949" spans="14:15" x14ac:dyDescent="0.35">
      <c r="N2949"/>
      <c r="O2949"/>
    </row>
    <row r="2950" spans="14:15" x14ac:dyDescent="0.35">
      <c r="N2950"/>
      <c r="O2950"/>
    </row>
    <row r="2951" spans="14:15" x14ac:dyDescent="0.35">
      <c r="N2951"/>
      <c r="O2951"/>
    </row>
    <row r="2952" spans="14:15" x14ac:dyDescent="0.35">
      <c r="N2952"/>
      <c r="O2952"/>
    </row>
    <row r="2953" spans="14:15" x14ac:dyDescent="0.35">
      <c r="N2953"/>
      <c r="O2953"/>
    </row>
    <row r="2954" spans="14:15" x14ac:dyDescent="0.35">
      <c r="N2954"/>
      <c r="O2954"/>
    </row>
    <row r="2955" spans="14:15" x14ac:dyDescent="0.35">
      <c r="N2955"/>
      <c r="O2955"/>
    </row>
    <row r="2956" spans="14:15" x14ac:dyDescent="0.35">
      <c r="N2956"/>
      <c r="O2956"/>
    </row>
    <row r="2957" spans="14:15" x14ac:dyDescent="0.35">
      <c r="N2957"/>
      <c r="O2957"/>
    </row>
    <row r="2958" spans="14:15" x14ac:dyDescent="0.35">
      <c r="N2958"/>
      <c r="O2958"/>
    </row>
    <row r="2959" spans="14:15" x14ac:dyDescent="0.35">
      <c r="N2959"/>
      <c r="O2959"/>
    </row>
    <row r="2960" spans="14:15" x14ac:dyDescent="0.35">
      <c r="N2960"/>
      <c r="O2960"/>
    </row>
    <row r="2961" spans="1:25" x14ac:dyDescent="0.35">
      <c r="N2961"/>
      <c r="O2961"/>
    </row>
    <row r="2962" spans="1:25" x14ac:dyDescent="0.35">
      <c r="N2962"/>
      <c r="O2962"/>
    </row>
    <row r="2963" spans="1:25" x14ac:dyDescent="0.35">
      <c r="N2963"/>
      <c r="O2963"/>
    </row>
    <row r="2964" spans="1:25" x14ac:dyDescent="0.35">
      <c r="N2964"/>
      <c r="O2964"/>
    </row>
    <row r="2965" spans="1:25" x14ac:dyDescent="0.35">
      <c r="N2965"/>
      <c r="O2965"/>
    </row>
    <row r="2966" spans="1:25" x14ac:dyDescent="0.35">
      <c r="N2966"/>
      <c r="O2966"/>
    </row>
    <row r="2967" spans="1:25" x14ac:dyDescent="0.35">
      <c r="N2967"/>
      <c r="O2967"/>
    </row>
    <row r="2968" spans="1:25" x14ac:dyDescent="0.35">
      <c r="N2968"/>
      <c r="O2968"/>
    </row>
    <row r="2969" spans="1:25" x14ac:dyDescent="0.35">
      <c r="N2969"/>
      <c r="O2969"/>
    </row>
    <row r="2970" spans="1:25" x14ac:dyDescent="0.35">
      <c r="N2970"/>
      <c r="O2970"/>
    </row>
    <row r="2971" spans="1:25" x14ac:dyDescent="0.35">
      <c r="N2971"/>
      <c r="O2971"/>
    </row>
    <row r="2972" spans="1:25" x14ac:dyDescent="0.35">
      <c r="N2972"/>
      <c r="O2972"/>
    </row>
    <row r="2973" spans="1:25" x14ac:dyDescent="0.35">
      <c r="N2973"/>
      <c r="O2973"/>
    </row>
    <row r="2974" spans="1:25" x14ac:dyDescent="0.35">
      <c r="N2974"/>
      <c r="O2974"/>
    </row>
    <row r="2975" spans="1:25" s="14" customFormat="1" x14ac:dyDescent="0.35">
      <c r="A2975" s="5"/>
      <c r="B2975" s="5"/>
      <c r="C2975" s="5"/>
      <c r="D2975" s="6"/>
      <c r="E2975" s="5"/>
      <c r="F2975" s="6"/>
      <c r="G2975" s="5"/>
      <c r="H2975" s="5"/>
      <c r="I2975" s="5"/>
      <c r="J2975" s="5"/>
      <c r="M2975" s="5"/>
      <c r="N2975"/>
      <c r="O2975"/>
      <c r="P2975" s="5"/>
      <c r="Q2975" s="5"/>
      <c r="R2975" s="5"/>
      <c r="S2975" s="5"/>
      <c r="T2975" s="5"/>
      <c r="U2975" s="5"/>
      <c r="V2975" s="5"/>
      <c r="W2975" s="5"/>
      <c r="X2975" s="5"/>
      <c r="Y2975" s="5"/>
    </row>
    <row r="2976" spans="1:25" x14ac:dyDescent="0.35">
      <c r="N2976"/>
      <c r="O2976"/>
    </row>
    <row r="2977" spans="14:15" x14ac:dyDescent="0.35">
      <c r="N2977"/>
      <c r="O2977"/>
    </row>
    <row r="2978" spans="14:15" x14ac:dyDescent="0.35">
      <c r="N2978"/>
      <c r="O2978"/>
    </row>
    <row r="2979" spans="14:15" x14ac:dyDescent="0.35">
      <c r="N2979"/>
      <c r="O2979"/>
    </row>
    <row r="2980" spans="14:15" x14ac:dyDescent="0.35">
      <c r="N2980"/>
      <c r="O2980"/>
    </row>
    <row r="2981" spans="14:15" x14ac:dyDescent="0.35">
      <c r="N2981"/>
      <c r="O2981"/>
    </row>
    <row r="2982" spans="14:15" x14ac:dyDescent="0.35">
      <c r="N2982"/>
      <c r="O2982"/>
    </row>
    <row r="2983" spans="14:15" x14ac:dyDescent="0.35">
      <c r="N2983"/>
      <c r="O2983"/>
    </row>
    <row r="2984" spans="14:15" x14ac:dyDescent="0.35">
      <c r="N2984"/>
      <c r="O2984"/>
    </row>
    <row r="2985" spans="14:15" x14ac:dyDescent="0.35">
      <c r="N2985"/>
      <c r="O2985"/>
    </row>
    <row r="2986" spans="14:15" x14ac:dyDescent="0.35">
      <c r="N2986"/>
      <c r="O2986"/>
    </row>
    <row r="2987" spans="14:15" x14ac:dyDescent="0.35">
      <c r="N2987"/>
      <c r="O2987"/>
    </row>
    <row r="2988" spans="14:15" x14ac:dyDescent="0.35">
      <c r="N2988"/>
      <c r="O2988"/>
    </row>
    <row r="2989" spans="14:15" x14ac:dyDescent="0.35">
      <c r="N2989"/>
      <c r="O2989"/>
    </row>
    <row r="2990" spans="14:15" x14ac:dyDescent="0.35">
      <c r="N2990"/>
      <c r="O2990"/>
    </row>
    <row r="2991" spans="14:15" x14ac:dyDescent="0.35">
      <c r="N2991"/>
      <c r="O2991"/>
    </row>
    <row r="2992" spans="14:15" x14ac:dyDescent="0.35">
      <c r="N2992"/>
      <c r="O2992"/>
    </row>
    <row r="2993" spans="14:15" x14ac:dyDescent="0.35">
      <c r="N2993"/>
      <c r="O2993"/>
    </row>
    <row r="2994" spans="14:15" x14ac:dyDescent="0.35">
      <c r="N2994"/>
      <c r="O2994"/>
    </row>
    <row r="2995" spans="14:15" x14ac:dyDescent="0.35">
      <c r="N2995"/>
      <c r="O2995"/>
    </row>
    <row r="2996" spans="14:15" x14ac:dyDescent="0.35">
      <c r="N2996"/>
      <c r="O2996"/>
    </row>
    <row r="2997" spans="14:15" x14ac:dyDescent="0.35">
      <c r="N2997"/>
      <c r="O2997"/>
    </row>
    <row r="2998" spans="14:15" x14ac:dyDescent="0.35">
      <c r="N2998"/>
      <c r="O2998"/>
    </row>
    <row r="2999" spans="14:15" x14ac:dyDescent="0.35">
      <c r="N2999"/>
      <c r="O2999"/>
    </row>
    <row r="3000" spans="14:15" x14ac:dyDescent="0.35">
      <c r="N3000"/>
      <c r="O3000"/>
    </row>
    <row r="3001" spans="14:15" x14ac:dyDescent="0.35">
      <c r="N3001"/>
      <c r="O3001"/>
    </row>
    <row r="3002" spans="14:15" x14ac:dyDescent="0.35">
      <c r="N3002"/>
      <c r="O3002"/>
    </row>
    <row r="3003" spans="14:15" x14ac:dyDescent="0.35">
      <c r="N3003"/>
      <c r="O3003"/>
    </row>
    <row r="3004" spans="14:15" x14ac:dyDescent="0.35">
      <c r="N3004"/>
      <c r="O3004"/>
    </row>
    <row r="3005" spans="14:15" x14ac:dyDescent="0.35">
      <c r="N3005"/>
      <c r="O3005"/>
    </row>
    <row r="3006" spans="14:15" x14ac:dyDescent="0.35">
      <c r="N3006"/>
      <c r="O3006"/>
    </row>
    <row r="3007" spans="14:15" x14ac:dyDescent="0.35">
      <c r="N3007"/>
      <c r="O3007"/>
    </row>
    <row r="3008" spans="14:15" x14ac:dyDescent="0.35">
      <c r="N3008"/>
      <c r="O3008"/>
    </row>
    <row r="3009" spans="1:25" x14ac:dyDescent="0.35">
      <c r="N3009"/>
      <c r="O3009"/>
    </row>
    <row r="3010" spans="1:25" x14ac:dyDescent="0.35">
      <c r="N3010"/>
      <c r="O3010"/>
    </row>
    <row r="3011" spans="1:25" x14ac:dyDescent="0.35">
      <c r="N3011"/>
      <c r="O3011"/>
    </row>
    <row r="3012" spans="1:25" x14ac:dyDescent="0.35">
      <c r="N3012"/>
      <c r="O3012"/>
    </row>
    <row r="3013" spans="1:25" x14ac:dyDescent="0.35">
      <c r="N3013"/>
      <c r="O3013"/>
    </row>
    <row r="3014" spans="1:25" x14ac:dyDescent="0.35">
      <c r="N3014"/>
      <c r="O3014"/>
    </row>
    <row r="3015" spans="1:25" x14ac:dyDescent="0.35">
      <c r="N3015"/>
      <c r="O3015"/>
    </row>
    <row r="3016" spans="1:25" x14ac:dyDescent="0.35">
      <c r="N3016"/>
      <c r="O3016"/>
    </row>
    <row r="3017" spans="1:25" x14ac:dyDescent="0.35">
      <c r="N3017"/>
      <c r="O3017"/>
    </row>
    <row r="3018" spans="1:25" x14ac:dyDescent="0.35">
      <c r="N3018"/>
      <c r="O3018"/>
    </row>
    <row r="3019" spans="1:25" x14ac:dyDescent="0.35">
      <c r="N3019"/>
      <c r="O3019"/>
    </row>
    <row r="3020" spans="1:25" x14ac:dyDescent="0.35">
      <c r="N3020"/>
      <c r="O3020"/>
    </row>
    <row r="3021" spans="1:25" x14ac:dyDescent="0.35">
      <c r="N3021"/>
      <c r="O3021"/>
    </row>
    <row r="3022" spans="1:25" s="14" customFormat="1" x14ac:dyDescent="0.35">
      <c r="A3022" s="5"/>
      <c r="B3022" s="5"/>
      <c r="C3022" s="5"/>
      <c r="D3022" s="6"/>
      <c r="E3022" s="5"/>
      <c r="F3022" s="6"/>
      <c r="G3022" s="5"/>
      <c r="H3022" s="5"/>
      <c r="I3022" s="5"/>
      <c r="J3022" s="5"/>
      <c r="M3022" s="5"/>
      <c r="N3022"/>
      <c r="O3022"/>
      <c r="P3022" s="5"/>
      <c r="Q3022" s="5"/>
      <c r="R3022" s="5"/>
      <c r="S3022" s="5"/>
      <c r="T3022" s="5"/>
      <c r="U3022" s="5"/>
      <c r="V3022" s="5"/>
      <c r="W3022" s="5"/>
      <c r="X3022" s="5"/>
      <c r="Y3022" s="5"/>
    </row>
    <row r="3023" spans="1:25" x14ac:dyDescent="0.35">
      <c r="N3023"/>
      <c r="O3023"/>
    </row>
    <row r="3024" spans="1:25" x14ac:dyDescent="0.35">
      <c r="N3024"/>
      <c r="O3024"/>
    </row>
    <row r="3025" spans="14:15" x14ac:dyDescent="0.35">
      <c r="N3025"/>
      <c r="O3025"/>
    </row>
    <row r="3026" spans="14:15" x14ac:dyDescent="0.35">
      <c r="N3026"/>
      <c r="O3026"/>
    </row>
    <row r="3027" spans="14:15" x14ac:dyDescent="0.35">
      <c r="N3027"/>
      <c r="O3027"/>
    </row>
    <row r="3028" spans="14:15" x14ac:dyDescent="0.35">
      <c r="N3028"/>
      <c r="O3028"/>
    </row>
    <row r="3029" spans="14:15" x14ac:dyDescent="0.35">
      <c r="N3029"/>
      <c r="O3029"/>
    </row>
    <row r="3030" spans="14:15" x14ac:dyDescent="0.35">
      <c r="N3030"/>
      <c r="O3030"/>
    </row>
    <row r="3031" spans="14:15" x14ac:dyDescent="0.35">
      <c r="N3031"/>
      <c r="O3031"/>
    </row>
    <row r="3032" spans="14:15" x14ac:dyDescent="0.35">
      <c r="N3032"/>
      <c r="O3032"/>
    </row>
    <row r="3033" spans="14:15" x14ac:dyDescent="0.35">
      <c r="N3033"/>
      <c r="O3033"/>
    </row>
    <row r="3034" spans="14:15" x14ac:dyDescent="0.35">
      <c r="N3034"/>
      <c r="O3034"/>
    </row>
    <row r="3035" spans="14:15" x14ac:dyDescent="0.35">
      <c r="N3035"/>
      <c r="O3035"/>
    </row>
    <row r="3036" spans="14:15" x14ac:dyDescent="0.35">
      <c r="N3036"/>
      <c r="O3036"/>
    </row>
    <row r="3037" spans="14:15" x14ac:dyDescent="0.35">
      <c r="N3037"/>
      <c r="O3037"/>
    </row>
    <row r="3038" spans="14:15" x14ac:dyDescent="0.35">
      <c r="N3038"/>
      <c r="O3038"/>
    </row>
    <row r="3039" spans="14:15" x14ac:dyDescent="0.35">
      <c r="N3039"/>
      <c r="O3039"/>
    </row>
    <row r="3040" spans="14:15" x14ac:dyDescent="0.35">
      <c r="N3040"/>
      <c r="O3040"/>
    </row>
    <row r="3041" spans="14:15" x14ac:dyDescent="0.35">
      <c r="N3041"/>
      <c r="O3041"/>
    </row>
    <row r="3042" spans="14:15" x14ac:dyDescent="0.35">
      <c r="N3042"/>
      <c r="O3042"/>
    </row>
    <row r="3043" spans="14:15" x14ac:dyDescent="0.35">
      <c r="N3043"/>
      <c r="O3043"/>
    </row>
    <row r="3044" spans="14:15" x14ac:dyDescent="0.35">
      <c r="N3044"/>
      <c r="O3044"/>
    </row>
    <row r="3045" spans="14:15" x14ac:dyDescent="0.35">
      <c r="N3045"/>
      <c r="O3045"/>
    </row>
    <row r="3046" spans="14:15" x14ac:dyDescent="0.35">
      <c r="N3046"/>
      <c r="O3046"/>
    </row>
    <row r="3047" spans="14:15" x14ac:dyDescent="0.35">
      <c r="N3047"/>
      <c r="O3047"/>
    </row>
    <row r="3048" spans="14:15" x14ac:dyDescent="0.35">
      <c r="N3048"/>
      <c r="O3048"/>
    </row>
    <row r="3049" spans="14:15" x14ac:dyDescent="0.35">
      <c r="N3049"/>
      <c r="O3049"/>
    </row>
    <row r="3050" spans="14:15" x14ac:dyDescent="0.35">
      <c r="N3050"/>
      <c r="O3050"/>
    </row>
    <row r="3051" spans="14:15" x14ac:dyDescent="0.35">
      <c r="N3051"/>
      <c r="O3051"/>
    </row>
    <row r="3052" spans="14:15" x14ac:dyDescent="0.35">
      <c r="N3052"/>
      <c r="O3052"/>
    </row>
    <row r="3053" spans="14:15" x14ac:dyDescent="0.35">
      <c r="N3053"/>
      <c r="O3053"/>
    </row>
    <row r="3054" spans="14:15" x14ac:dyDescent="0.35">
      <c r="N3054"/>
      <c r="O3054"/>
    </row>
    <row r="3055" spans="14:15" x14ac:dyDescent="0.35">
      <c r="N3055"/>
      <c r="O3055"/>
    </row>
    <row r="3056" spans="14:15" x14ac:dyDescent="0.35">
      <c r="N3056"/>
      <c r="O3056"/>
    </row>
    <row r="3057" spans="14:15" x14ac:dyDescent="0.35">
      <c r="N3057"/>
      <c r="O3057"/>
    </row>
    <row r="3058" spans="14:15" x14ac:dyDescent="0.35">
      <c r="N3058"/>
      <c r="O3058"/>
    </row>
    <row r="3059" spans="14:15" x14ac:dyDescent="0.35">
      <c r="N3059"/>
      <c r="O3059"/>
    </row>
    <row r="3060" spans="14:15" x14ac:dyDescent="0.35">
      <c r="N3060"/>
      <c r="O3060"/>
    </row>
    <row r="3061" spans="14:15" x14ac:dyDescent="0.35">
      <c r="N3061"/>
      <c r="O3061"/>
    </row>
    <row r="3062" spans="14:15" x14ac:dyDescent="0.35">
      <c r="N3062"/>
      <c r="O3062"/>
    </row>
    <row r="3063" spans="14:15" x14ac:dyDescent="0.35">
      <c r="N3063"/>
      <c r="O3063"/>
    </row>
    <row r="3064" spans="14:15" x14ac:dyDescent="0.35">
      <c r="N3064"/>
      <c r="O3064"/>
    </row>
    <row r="3065" spans="14:15" x14ac:dyDescent="0.35">
      <c r="N3065"/>
      <c r="O3065"/>
    </row>
    <row r="3066" spans="14:15" x14ac:dyDescent="0.35">
      <c r="N3066"/>
      <c r="O3066"/>
    </row>
    <row r="3067" spans="14:15" x14ac:dyDescent="0.35">
      <c r="N3067"/>
      <c r="O3067"/>
    </row>
    <row r="3068" spans="14:15" x14ac:dyDescent="0.35">
      <c r="N3068"/>
      <c r="O3068"/>
    </row>
    <row r="3069" spans="14:15" x14ac:dyDescent="0.35">
      <c r="N3069"/>
      <c r="O3069"/>
    </row>
    <row r="3070" spans="14:15" x14ac:dyDescent="0.35">
      <c r="N3070"/>
      <c r="O3070"/>
    </row>
    <row r="3071" spans="14:15" x14ac:dyDescent="0.35">
      <c r="N3071"/>
      <c r="O3071"/>
    </row>
    <row r="3072" spans="14:15" x14ac:dyDescent="0.35">
      <c r="N3072"/>
      <c r="O3072"/>
    </row>
    <row r="3073" spans="14:15" x14ac:dyDescent="0.35">
      <c r="N3073"/>
      <c r="O3073"/>
    </row>
    <row r="3074" spans="14:15" x14ac:dyDescent="0.35">
      <c r="N3074"/>
      <c r="O3074"/>
    </row>
    <row r="3075" spans="14:15" x14ac:dyDescent="0.35">
      <c r="N3075"/>
      <c r="O3075"/>
    </row>
    <row r="3076" spans="14:15" x14ac:dyDescent="0.35">
      <c r="N3076"/>
      <c r="O3076"/>
    </row>
    <row r="3077" spans="14:15" x14ac:dyDescent="0.35">
      <c r="N3077"/>
      <c r="O3077"/>
    </row>
    <row r="3078" spans="14:15" x14ac:dyDescent="0.35">
      <c r="N3078"/>
      <c r="O3078"/>
    </row>
    <row r="3079" spans="14:15" x14ac:dyDescent="0.35">
      <c r="N3079"/>
      <c r="O3079"/>
    </row>
    <row r="3080" spans="14:15" x14ac:dyDescent="0.35">
      <c r="N3080"/>
      <c r="O3080"/>
    </row>
    <row r="3081" spans="14:15" x14ac:dyDescent="0.35">
      <c r="N3081"/>
      <c r="O3081"/>
    </row>
    <row r="3082" spans="14:15" x14ac:dyDescent="0.35">
      <c r="N3082"/>
      <c r="O3082"/>
    </row>
    <row r="3083" spans="14:15" x14ac:dyDescent="0.35">
      <c r="N3083"/>
      <c r="O3083"/>
    </row>
    <row r="3084" spans="14:15" x14ac:dyDescent="0.35">
      <c r="N3084"/>
      <c r="O3084"/>
    </row>
    <row r="3085" spans="14:15" x14ac:dyDescent="0.35">
      <c r="N3085"/>
      <c r="O3085"/>
    </row>
    <row r="3086" spans="14:15" x14ac:dyDescent="0.35">
      <c r="N3086"/>
      <c r="O3086"/>
    </row>
    <row r="3087" spans="14:15" x14ac:dyDescent="0.35">
      <c r="N3087"/>
      <c r="O3087"/>
    </row>
    <row r="3088" spans="14:15" x14ac:dyDescent="0.35">
      <c r="N3088"/>
      <c r="O3088"/>
    </row>
    <row r="3089" spans="13:25" x14ac:dyDescent="0.35">
      <c r="N3089"/>
      <c r="O3089"/>
    </row>
    <row r="3090" spans="13:25" x14ac:dyDescent="0.35">
      <c r="M3090" s="13"/>
      <c r="N3090"/>
      <c r="O3090"/>
      <c r="P3090" s="13"/>
      <c r="Q3090" s="13"/>
      <c r="R3090" s="13"/>
      <c r="S3090" s="13"/>
      <c r="T3090" s="13"/>
      <c r="U3090" s="13"/>
      <c r="V3090" s="13"/>
      <c r="W3090" s="13"/>
      <c r="X3090" s="13"/>
      <c r="Y3090" s="13"/>
    </row>
    <row r="3091" spans="13:25" x14ac:dyDescent="0.35">
      <c r="M3091" s="13"/>
      <c r="N3091"/>
      <c r="O3091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</row>
    <row r="3092" spans="13:25" x14ac:dyDescent="0.35">
      <c r="M3092" s="13"/>
      <c r="N3092"/>
      <c r="O3092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</row>
    <row r="3093" spans="13:25" x14ac:dyDescent="0.35">
      <c r="M3093" s="13"/>
      <c r="N3093"/>
      <c r="O309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</row>
    <row r="3094" spans="13:25" x14ac:dyDescent="0.35">
      <c r="M3094" s="13"/>
      <c r="N3094"/>
      <c r="O3094"/>
      <c r="P3094" s="13"/>
      <c r="Q3094" s="13"/>
      <c r="R3094" s="13"/>
      <c r="S3094" s="13"/>
      <c r="T3094" s="13"/>
      <c r="U3094" s="13"/>
      <c r="V3094" s="13"/>
      <c r="W3094" s="13"/>
      <c r="X3094" s="13"/>
      <c r="Y3094" s="13"/>
    </row>
    <row r="3095" spans="13:25" x14ac:dyDescent="0.35">
      <c r="M3095" s="13"/>
      <c r="N3095"/>
      <c r="O3095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</row>
    <row r="3096" spans="13:25" x14ac:dyDescent="0.35">
      <c r="M3096" s="13"/>
      <c r="N3096"/>
      <c r="O3096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</row>
    <row r="3097" spans="13:25" x14ac:dyDescent="0.35">
      <c r="M3097" s="13"/>
      <c r="N3097"/>
      <c r="O3097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</row>
    <row r="3098" spans="13:25" x14ac:dyDescent="0.35">
      <c r="M3098" s="13"/>
      <c r="N3098"/>
      <c r="O3098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</row>
    <row r="3099" spans="13:25" x14ac:dyDescent="0.35">
      <c r="M3099" s="13"/>
      <c r="N3099"/>
      <c r="O3099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</row>
    <row r="3100" spans="13:25" x14ac:dyDescent="0.35">
      <c r="N3100"/>
      <c r="O3100"/>
    </row>
    <row r="3101" spans="13:25" x14ac:dyDescent="0.35">
      <c r="N3101"/>
      <c r="O3101"/>
    </row>
    <row r="3102" spans="13:25" x14ac:dyDescent="0.35">
      <c r="N3102"/>
      <c r="O3102"/>
    </row>
    <row r="3103" spans="13:25" x14ac:dyDescent="0.35">
      <c r="N3103"/>
      <c r="O3103"/>
    </row>
    <row r="3104" spans="13:25" x14ac:dyDescent="0.35">
      <c r="N3104"/>
      <c r="O3104"/>
    </row>
    <row r="3105" spans="14:15" x14ac:dyDescent="0.35">
      <c r="N3105"/>
      <c r="O3105"/>
    </row>
    <row r="3106" spans="14:15" x14ac:dyDescent="0.35">
      <c r="N3106"/>
      <c r="O3106"/>
    </row>
    <row r="3107" spans="14:15" x14ac:dyDescent="0.35">
      <c r="N3107"/>
      <c r="O3107"/>
    </row>
    <row r="3108" spans="14:15" x14ac:dyDescent="0.35">
      <c r="N3108"/>
      <c r="O3108"/>
    </row>
    <row r="3109" spans="14:15" x14ac:dyDescent="0.35">
      <c r="N3109"/>
      <c r="O3109"/>
    </row>
    <row r="3110" spans="14:15" x14ac:dyDescent="0.35">
      <c r="N3110"/>
      <c r="O3110"/>
    </row>
    <row r="3111" spans="14:15" x14ac:dyDescent="0.35">
      <c r="N3111"/>
      <c r="O3111"/>
    </row>
    <row r="3112" spans="14:15" x14ac:dyDescent="0.35">
      <c r="N3112"/>
      <c r="O3112"/>
    </row>
    <row r="3113" spans="14:15" x14ac:dyDescent="0.35">
      <c r="N3113"/>
      <c r="O3113"/>
    </row>
    <row r="3114" spans="14:15" x14ac:dyDescent="0.35">
      <c r="N3114"/>
      <c r="O3114"/>
    </row>
    <row r="3115" spans="14:15" x14ac:dyDescent="0.35">
      <c r="N3115"/>
      <c r="O3115"/>
    </row>
    <row r="3116" spans="14:15" x14ac:dyDescent="0.35">
      <c r="N3116"/>
      <c r="O3116"/>
    </row>
    <row r="3117" spans="14:15" x14ac:dyDescent="0.35">
      <c r="N3117"/>
      <c r="O3117"/>
    </row>
    <row r="3118" spans="14:15" x14ac:dyDescent="0.35">
      <c r="N3118"/>
      <c r="O3118"/>
    </row>
    <row r="3119" spans="14:15" x14ac:dyDescent="0.35">
      <c r="N3119"/>
      <c r="O3119"/>
    </row>
    <row r="3120" spans="14:15" x14ac:dyDescent="0.35">
      <c r="N3120"/>
      <c r="O3120"/>
    </row>
    <row r="3121" spans="1:25" x14ac:dyDescent="0.35">
      <c r="N3121"/>
      <c r="O3121"/>
    </row>
    <row r="3122" spans="1:25" x14ac:dyDescent="0.35">
      <c r="N3122"/>
      <c r="O3122"/>
    </row>
    <row r="3123" spans="1:25" x14ac:dyDescent="0.35">
      <c r="N3123"/>
      <c r="O3123"/>
    </row>
    <row r="3124" spans="1:25" x14ac:dyDescent="0.35">
      <c r="N3124"/>
      <c r="O3124"/>
    </row>
    <row r="3125" spans="1:25" x14ac:dyDescent="0.35">
      <c r="N3125"/>
      <c r="O3125"/>
    </row>
    <row r="3126" spans="1:25" x14ac:dyDescent="0.35">
      <c r="N3126"/>
      <c r="O3126"/>
    </row>
    <row r="3127" spans="1:25" x14ac:dyDescent="0.35">
      <c r="M3127" s="13"/>
      <c r="N3127"/>
      <c r="O3127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</row>
    <row r="3128" spans="1:25" x14ac:dyDescent="0.35">
      <c r="M3128" s="13"/>
      <c r="N3128"/>
      <c r="O3128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</row>
    <row r="3129" spans="1:25" x14ac:dyDescent="0.35">
      <c r="M3129" s="13"/>
      <c r="N3129"/>
      <c r="O3129"/>
      <c r="P3129" s="13"/>
      <c r="Q3129" s="13"/>
      <c r="R3129" s="13"/>
      <c r="S3129" s="13"/>
      <c r="T3129" s="13"/>
      <c r="U3129" s="13"/>
      <c r="V3129" s="13"/>
      <c r="W3129" s="13"/>
      <c r="X3129" s="13"/>
      <c r="Y3129" s="13"/>
    </row>
    <row r="3130" spans="1:25" s="13" customFormat="1" x14ac:dyDescent="0.35">
      <c r="A3130" s="5"/>
      <c r="B3130" s="5"/>
      <c r="C3130" s="5"/>
      <c r="D3130" s="6"/>
      <c r="E3130" s="5"/>
      <c r="F3130" s="6"/>
      <c r="G3130" s="5"/>
      <c r="H3130" s="5"/>
      <c r="I3130" s="5"/>
      <c r="J3130" s="5"/>
      <c r="N3130"/>
      <c r="O3130"/>
    </row>
    <row r="3131" spans="1:25" x14ac:dyDescent="0.35">
      <c r="N3131"/>
      <c r="O3131"/>
    </row>
    <row r="3132" spans="1:25" x14ac:dyDescent="0.35">
      <c r="N3132"/>
      <c r="O3132"/>
    </row>
    <row r="3133" spans="1:25" x14ac:dyDescent="0.35">
      <c r="M3133" s="13"/>
      <c r="N3133"/>
      <c r="O313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</row>
    <row r="3134" spans="1:25" x14ac:dyDescent="0.35">
      <c r="M3134" s="13"/>
      <c r="N3134"/>
      <c r="O3134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</row>
    <row r="3135" spans="1:25" x14ac:dyDescent="0.35">
      <c r="M3135" s="13"/>
      <c r="N3135"/>
      <c r="O3135"/>
      <c r="P3135" s="13"/>
      <c r="Q3135" s="13"/>
      <c r="R3135" s="13"/>
      <c r="S3135" s="13"/>
      <c r="T3135" s="13"/>
      <c r="U3135" s="13"/>
      <c r="V3135" s="13"/>
      <c r="W3135" s="13"/>
      <c r="X3135" s="13"/>
      <c r="Y3135" s="13"/>
    </row>
    <row r="3136" spans="1:25" x14ac:dyDescent="0.35">
      <c r="M3136" s="13"/>
      <c r="N3136"/>
      <c r="O3136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</row>
    <row r="3137" spans="13:25" x14ac:dyDescent="0.35">
      <c r="M3137" s="13"/>
      <c r="N3137"/>
      <c r="O3137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</row>
    <row r="3138" spans="13:25" x14ac:dyDescent="0.35">
      <c r="M3138" s="13"/>
      <c r="N3138"/>
      <c r="O3138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</row>
    <row r="3139" spans="13:25" x14ac:dyDescent="0.35">
      <c r="M3139" s="13"/>
      <c r="N3139"/>
      <c r="O3139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</row>
    <row r="3140" spans="13:25" x14ac:dyDescent="0.35">
      <c r="M3140" s="13"/>
      <c r="N3140"/>
      <c r="O3140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</row>
    <row r="3141" spans="13:25" x14ac:dyDescent="0.35">
      <c r="M3141" s="13"/>
      <c r="N3141"/>
      <c r="O3141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</row>
    <row r="3142" spans="13:25" x14ac:dyDescent="0.35">
      <c r="M3142" s="13"/>
      <c r="N3142"/>
      <c r="O3142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</row>
    <row r="3143" spans="13:25" x14ac:dyDescent="0.35">
      <c r="N3143"/>
      <c r="O3143"/>
    </row>
    <row r="3144" spans="13:25" x14ac:dyDescent="0.35">
      <c r="N3144"/>
      <c r="O3144"/>
    </row>
    <row r="3145" spans="13:25" x14ac:dyDescent="0.35">
      <c r="N3145"/>
      <c r="O3145"/>
    </row>
    <row r="3146" spans="13:25" x14ac:dyDescent="0.35">
      <c r="N3146"/>
      <c r="O3146"/>
    </row>
    <row r="3147" spans="13:25" x14ac:dyDescent="0.35">
      <c r="N3147"/>
      <c r="O3147"/>
    </row>
    <row r="3148" spans="13:25" x14ac:dyDescent="0.35">
      <c r="N3148"/>
      <c r="O3148"/>
    </row>
    <row r="3149" spans="13:25" x14ac:dyDescent="0.35">
      <c r="N3149"/>
      <c r="O3149"/>
    </row>
    <row r="3150" spans="13:25" x14ac:dyDescent="0.35">
      <c r="N3150"/>
      <c r="O3150"/>
    </row>
    <row r="3151" spans="13:25" x14ac:dyDescent="0.35">
      <c r="N3151"/>
      <c r="O3151"/>
    </row>
    <row r="3152" spans="13:25" x14ac:dyDescent="0.35">
      <c r="N3152"/>
      <c r="O3152"/>
    </row>
    <row r="3153" spans="14:15" x14ac:dyDescent="0.35">
      <c r="N3153"/>
      <c r="O3153"/>
    </row>
    <row r="3154" spans="14:15" x14ac:dyDescent="0.35">
      <c r="N3154"/>
      <c r="O3154"/>
    </row>
    <row r="3155" spans="14:15" x14ac:dyDescent="0.35">
      <c r="N3155"/>
      <c r="O3155"/>
    </row>
    <row r="3156" spans="14:15" x14ac:dyDescent="0.35">
      <c r="N3156"/>
      <c r="O3156"/>
    </row>
    <row r="3157" spans="14:15" x14ac:dyDescent="0.35">
      <c r="N3157"/>
      <c r="O3157"/>
    </row>
    <row r="3158" spans="14:15" x14ac:dyDescent="0.35">
      <c r="N3158"/>
      <c r="O3158"/>
    </row>
    <row r="3159" spans="14:15" x14ac:dyDescent="0.35">
      <c r="N3159"/>
      <c r="O3159"/>
    </row>
    <row r="3160" spans="14:15" x14ac:dyDescent="0.35">
      <c r="N3160"/>
      <c r="O3160"/>
    </row>
    <row r="3161" spans="14:15" x14ac:dyDescent="0.35">
      <c r="N3161"/>
      <c r="O3161"/>
    </row>
    <row r="3162" spans="14:15" x14ac:dyDescent="0.35">
      <c r="N3162"/>
      <c r="O3162"/>
    </row>
    <row r="3163" spans="14:15" x14ac:dyDescent="0.35">
      <c r="N3163"/>
      <c r="O3163"/>
    </row>
    <row r="3164" spans="14:15" x14ac:dyDescent="0.35">
      <c r="N3164"/>
      <c r="O3164"/>
    </row>
    <row r="3165" spans="14:15" x14ac:dyDescent="0.35">
      <c r="N3165"/>
      <c r="O3165"/>
    </row>
    <row r="3166" spans="14:15" x14ac:dyDescent="0.35">
      <c r="N3166"/>
      <c r="O3166"/>
    </row>
    <row r="3167" spans="14:15" x14ac:dyDescent="0.35">
      <c r="N3167"/>
      <c r="O3167"/>
    </row>
    <row r="3168" spans="14:15" x14ac:dyDescent="0.35">
      <c r="N3168"/>
      <c r="O3168"/>
    </row>
    <row r="3169" spans="14:15" x14ac:dyDescent="0.35">
      <c r="N3169"/>
      <c r="O3169"/>
    </row>
    <row r="3170" spans="14:15" x14ac:dyDescent="0.35">
      <c r="N3170"/>
      <c r="O3170"/>
    </row>
    <row r="3171" spans="14:15" x14ac:dyDescent="0.35">
      <c r="N3171"/>
      <c r="O3171"/>
    </row>
    <row r="3172" spans="14:15" x14ac:dyDescent="0.35">
      <c r="N3172"/>
      <c r="O3172"/>
    </row>
    <row r="3173" spans="14:15" x14ac:dyDescent="0.35">
      <c r="N3173"/>
      <c r="O3173"/>
    </row>
    <row r="3174" spans="14:15" x14ac:dyDescent="0.35">
      <c r="N3174"/>
      <c r="O3174"/>
    </row>
    <row r="3175" spans="14:15" x14ac:dyDescent="0.35">
      <c r="N3175"/>
      <c r="O3175"/>
    </row>
    <row r="3176" spans="14:15" x14ac:dyDescent="0.35">
      <c r="N3176"/>
      <c r="O3176"/>
    </row>
    <row r="3177" spans="14:15" x14ac:dyDescent="0.35">
      <c r="N3177"/>
      <c r="O3177"/>
    </row>
    <row r="3178" spans="14:15" x14ac:dyDescent="0.35">
      <c r="N3178"/>
      <c r="O3178"/>
    </row>
    <row r="3179" spans="14:15" x14ac:dyDescent="0.35">
      <c r="N3179"/>
      <c r="O3179"/>
    </row>
    <row r="3180" spans="14:15" x14ac:dyDescent="0.35">
      <c r="N3180"/>
      <c r="O3180"/>
    </row>
    <row r="3181" spans="14:15" x14ac:dyDescent="0.35">
      <c r="N3181"/>
      <c r="O3181"/>
    </row>
    <row r="3182" spans="14:15" x14ac:dyDescent="0.35">
      <c r="N3182"/>
      <c r="O3182"/>
    </row>
    <row r="3183" spans="14:15" x14ac:dyDescent="0.35">
      <c r="N3183"/>
      <c r="O3183"/>
    </row>
    <row r="3184" spans="14:15" x14ac:dyDescent="0.35">
      <c r="N3184"/>
      <c r="O3184"/>
    </row>
    <row r="3185" spans="14:15" x14ac:dyDescent="0.35">
      <c r="N3185"/>
      <c r="O3185"/>
    </row>
    <row r="3186" spans="14:15" x14ac:dyDescent="0.35">
      <c r="N3186"/>
      <c r="O3186"/>
    </row>
    <row r="3187" spans="14:15" x14ac:dyDescent="0.35">
      <c r="N3187"/>
      <c r="O3187"/>
    </row>
    <row r="3188" spans="14:15" x14ac:dyDescent="0.35">
      <c r="N3188"/>
      <c r="O3188"/>
    </row>
    <row r="3189" spans="14:15" x14ac:dyDescent="0.35">
      <c r="N3189"/>
      <c r="O3189"/>
    </row>
    <row r="3190" spans="14:15" x14ac:dyDescent="0.35">
      <c r="N3190"/>
      <c r="O3190"/>
    </row>
    <row r="3191" spans="14:15" x14ac:dyDescent="0.35">
      <c r="N3191"/>
      <c r="O3191"/>
    </row>
    <row r="3192" spans="14:15" x14ac:dyDescent="0.35">
      <c r="N3192"/>
      <c r="O3192"/>
    </row>
    <row r="3193" spans="14:15" x14ac:dyDescent="0.35">
      <c r="N3193"/>
      <c r="O3193"/>
    </row>
    <row r="3194" spans="14:15" x14ac:dyDescent="0.35">
      <c r="N3194"/>
      <c r="O3194"/>
    </row>
    <row r="3195" spans="14:15" x14ac:dyDescent="0.35">
      <c r="N3195"/>
      <c r="O3195"/>
    </row>
    <row r="3196" spans="14:15" x14ac:dyDescent="0.35">
      <c r="N3196"/>
      <c r="O3196"/>
    </row>
    <row r="3197" spans="14:15" x14ac:dyDescent="0.35">
      <c r="N3197"/>
      <c r="O3197"/>
    </row>
    <row r="3198" spans="14:15" x14ac:dyDescent="0.35">
      <c r="N3198"/>
      <c r="O3198"/>
    </row>
    <row r="3199" spans="14:15" x14ac:dyDescent="0.35">
      <c r="N3199"/>
      <c r="O3199"/>
    </row>
    <row r="3200" spans="14:15" x14ac:dyDescent="0.35">
      <c r="N3200"/>
      <c r="O3200"/>
    </row>
    <row r="3201" spans="13:25" x14ac:dyDescent="0.35">
      <c r="N3201"/>
      <c r="O3201"/>
    </row>
    <row r="3202" spans="13:25" x14ac:dyDescent="0.35">
      <c r="N3202"/>
      <c r="O3202"/>
    </row>
    <row r="3203" spans="13:25" x14ac:dyDescent="0.35">
      <c r="N3203"/>
      <c r="O3203"/>
    </row>
    <row r="3204" spans="13:25" x14ac:dyDescent="0.35">
      <c r="N3204"/>
      <c r="O3204"/>
    </row>
    <row r="3205" spans="13:25" x14ac:dyDescent="0.35">
      <c r="N3205"/>
      <c r="O3205"/>
    </row>
    <row r="3206" spans="13:25" x14ac:dyDescent="0.35">
      <c r="N3206"/>
      <c r="O3206"/>
    </row>
    <row r="3207" spans="13:25" x14ac:dyDescent="0.35">
      <c r="N3207"/>
      <c r="O3207"/>
    </row>
    <row r="3208" spans="13:25" x14ac:dyDescent="0.35">
      <c r="N3208"/>
      <c r="O3208"/>
    </row>
    <row r="3209" spans="13:25" x14ac:dyDescent="0.35">
      <c r="N3209"/>
      <c r="O3209"/>
    </row>
    <row r="3210" spans="13:25" x14ac:dyDescent="0.35">
      <c r="N3210"/>
      <c r="O3210"/>
    </row>
    <row r="3211" spans="13:25" x14ac:dyDescent="0.35">
      <c r="N3211"/>
      <c r="O3211"/>
    </row>
    <row r="3212" spans="13:25" x14ac:dyDescent="0.35">
      <c r="N3212"/>
      <c r="O3212"/>
    </row>
    <row r="3213" spans="13:25" x14ac:dyDescent="0.35">
      <c r="N3213"/>
      <c r="O3213"/>
    </row>
    <row r="3214" spans="13:25" x14ac:dyDescent="0.35">
      <c r="N3214"/>
      <c r="O3214"/>
    </row>
    <row r="3215" spans="13:25" x14ac:dyDescent="0.35">
      <c r="N3215"/>
      <c r="O3215"/>
    </row>
    <row r="3216" spans="13:25" x14ac:dyDescent="0.35">
      <c r="M3216" s="13"/>
      <c r="N3216"/>
      <c r="O3216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</row>
    <row r="3217" spans="13:25" x14ac:dyDescent="0.35">
      <c r="M3217" s="13"/>
      <c r="N3217"/>
      <c r="O3217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</row>
    <row r="3218" spans="13:25" x14ac:dyDescent="0.35">
      <c r="M3218" s="13"/>
      <c r="N3218"/>
      <c r="O3218"/>
      <c r="P3218" s="13"/>
      <c r="Q3218" s="13"/>
      <c r="R3218" s="13"/>
      <c r="S3218" s="13"/>
      <c r="T3218" s="13"/>
      <c r="U3218" s="13"/>
      <c r="V3218" s="13"/>
      <c r="W3218" s="13"/>
      <c r="X3218" s="13"/>
      <c r="Y3218" s="13"/>
    </row>
    <row r="3219" spans="13:25" x14ac:dyDescent="0.35">
      <c r="M3219" s="13"/>
      <c r="N3219"/>
      <c r="O3219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</row>
    <row r="3220" spans="13:25" x14ac:dyDescent="0.35">
      <c r="M3220" s="13"/>
      <c r="N3220"/>
      <c r="O3220"/>
      <c r="P3220" s="13"/>
      <c r="Q3220" s="13"/>
      <c r="R3220" s="13"/>
      <c r="S3220" s="13"/>
      <c r="T3220" s="13"/>
      <c r="U3220" s="13"/>
      <c r="V3220" s="13"/>
      <c r="W3220" s="13"/>
      <c r="X3220" s="13"/>
      <c r="Y3220" s="13"/>
    </row>
    <row r="3221" spans="13:25" x14ac:dyDescent="0.35">
      <c r="M3221" s="13"/>
      <c r="N3221"/>
      <c r="O3221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</row>
    <row r="3222" spans="13:25" x14ac:dyDescent="0.35">
      <c r="N3222"/>
      <c r="O3222"/>
    </row>
    <row r="3223" spans="13:25" x14ac:dyDescent="0.35">
      <c r="N3223"/>
      <c r="O3223"/>
    </row>
    <row r="3224" spans="13:25" x14ac:dyDescent="0.35">
      <c r="N3224"/>
      <c r="O3224"/>
    </row>
    <row r="3225" spans="13:25" x14ac:dyDescent="0.35">
      <c r="N3225"/>
      <c r="O3225"/>
    </row>
    <row r="3226" spans="13:25" x14ac:dyDescent="0.35">
      <c r="N3226"/>
      <c r="O3226"/>
    </row>
    <row r="3227" spans="13:25" x14ac:dyDescent="0.35">
      <c r="N3227"/>
      <c r="O3227"/>
    </row>
    <row r="3228" spans="13:25" x14ac:dyDescent="0.35">
      <c r="N3228"/>
      <c r="O3228"/>
    </row>
    <row r="3229" spans="13:25" x14ac:dyDescent="0.35">
      <c r="N3229"/>
      <c r="O3229"/>
    </row>
    <row r="3230" spans="13:25" x14ac:dyDescent="0.35">
      <c r="N3230"/>
      <c r="O3230"/>
    </row>
    <row r="3231" spans="13:25" x14ac:dyDescent="0.35">
      <c r="N3231"/>
      <c r="O3231"/>
    </row>
    <row r="3232" spans="13:25" x14ac:dyDescent="0.35">
      <c r="N3232"/>
      <c r="O3232"/>
    </row>
    <row r="3233" spans="14:15" x14ac:dyDescent="0.35">
      <c r="N3233"/>
      <c r="O3233"/>
    </row>
    <row r="3234" spans="14:15" x14ac:dyDescent="0.35">
      <c r="N3234"/>
      <c r="O3234"/>
    </row>
    <row r="3235" spans="14:15" x14ac:dyDescent="0.35">
      <c r="N3235"/>
      <c r="O3235"/>
    </row>
    <row r="3236" spans="14:15" x14ac:dyDescent="0.35">
      <c r="N3236"/>
      <c r="O3236"/>
    </row>
    <row r="3237" spans="14:15" x14ac:dyDescent="0.35">
      <c r="N3237"/>
      <c r="O3237"/>
    </row>
    <row r="3238" spans="14:15" x14ac:dyDescent="0.35">
      <c r="N3238"/>
      <c r="O3238"/>
    </row>
    <row r="3239" spans="14:15" x14ac:dyDescent="0.35">
      <c r="N3239"/>
      <c r="O3239"/>
    </row>
    <row r="3240" spans="14:15" x14ac:dyDescent="0.35">
      <c r="N3240"/>
      <c r="O3240"/>
    </row>
    <row r="3241" spans="14:15" x14ac:dyDescent="0.35">
      <c r="N3241"/>
      <c r="O3241"/>
    </row>
    <row r="3242" spans="14:15" x14ac:dyDescent="0.35">
      <c r="N3242"/>
      <c r="O3242"/>
    </row>
    <row r="3243" spans="14:15" x14ac:dyDescent="0.35">
      <c r="N3243"/>
      <c r="O3243"/>
    </row>
    <row r="3244" spans="14:15" x14ac:dyDescent="0.35">
      <c r="N3244"/>
      <c r="O3244"/>
    </row>
    <row r="3245" spans="14:15" x14ac:dyDescent="0.35">
      <c r="N3245"/>
      <c r="O3245"/>
    </row>
    <row r="3246" spans="14:15" x14ac:dyDescent="0.35">
      <c r="N3246"/>
      <c r="O3246"/>
    </row>
    <row r="3247" spans="14:15" x14ac:dyDescent="0.35">
      <c r="N3247"/>
      <c r="O3247"/>
    </row>
    <row r="3248" spans="14:15" x14ac:dyDescent="0.35">
      <c r="N3248"/>
      <c r="O3248"/>
    </row>
    <row r="3249" spans="14:15" x14ac:dyDescent="0.35">
      <c r="N3249"/>
      <c r="O3249"/>
    </row>
    <row r="3250" spans="14:15" x14ac:dyDescent="0.35">
      <c r="N3250"/>
      <c r="O3250"/>
    </row>
    <row r="3251" spans="14:15" x14ac:dyDescent="0.35">
      <c r="N3251"/>
      <c r="O3251"/>
    </row>
    <row r="3252" spans="14:15" x14ac:dyDescent="0.35">
      <c r="N3252"/>
      <c r="O3252"/>
    </row>
    <row r="3253" spans="14:15" x14ac:dyDescent="0.35">
      <c r="N3253"/>
      <c r="O3253"/>
    </row>
    <row r="3254" spans="14:15" x14ac:dyDescent="0.35">
      <c r="N3254"/>
      <c r="O3254"/>
    </row>
    <row r="3255" spans="14:15" x14ac:dyDescent="0.35">
      <c r="N3255"/>
      <c r="O3255"/>
    </row>
    <row r="3256" spans="14:15" x14ac:dyDescent="0.35">
      <c r="N3256"/>
      <c r="O3256"/>
    </row>
    <row r="3257" spans="14:15" x14ac:dyDescent="0.35">
      <c r="N3257"/>
      <c r="O3257"/>
    </row>
    <row r="3258" spans="14:15" x14ac:dyDescent="0.35">
      <c r="N3258"/>
      <c r="O3258"/>
    </row>
    <row r="3259" spans="14:15" x14ac:dyDescent="0.35">
      <c r="N3259"/>
      <c r="O3259"/>
    </row>
    <row r="3260" spans="14:15" x14ac:dyDescent="0.35">
      <c r="N3260"/>
      <c r="O3260"/>
    </row>
    <row r="3261" spans="14:15" x14ac:dyDescent="0.35">
      <c r="N3261"/>
      <c r="O3261"/>
    </row>
    <row r="3262" spans="14:15" x14ac:dyDescent="0.35">
      <c r="N3262"/>
      <c r="O3262"/>
    </row>
    <row r="3263" spans="14:15" x14ac:dyDescent="0.35">
      <c r="N3263"/>
      <c r="O3263"/>
    </row>
    <row r="3264" spans="14:15" x14ac:dyDescent="0.35">
      <c r="N3264"/>
      <c r="O3264"/>
    </row>
    <row r="3265" spans="14:15" x14ac:dyDescent="0.35">
      <c r="N3265"/>
      <c r="O3265"/>
    </row>
    <row r="3266" spans="14:15" x14ac:dyDescent="0.35">
      <c r="N3266"/>
      <c r="O3266"/>
    </row>
    <row r="3267" spans="14:15" x14ac:dyDescent="0.35">
      <c r="N3267"/>
      <c r="O3267"/>
    </row>
    <row r="3268" spans="14:15" x14ac:dyDescent="0.35">
      <c r="N3268"/>
      <c r="O3268"/>
    </row>
    <row r="3269" spans="14:15" x14ac:dyDescent="0.35">
      <c r="N3269"/>
      <c r="O3269"/>
    </row>
    <row r="3270" spans="14:15" x14ac:dyDescent="0.35">
      <c r="N3270"/>
      <c r="O3270"/>
    </row>
    <row r="3271" spans="14:15" x14ac:dyDescent="0.35">
      <c r="N3271"/>
      <c r="O3271"/>
    </row>
    <row r="3272" spans="14:15" x14ac:dyDescent="0.35">
      <c r="N3272"/>
      <c r="O3272"/>
    </row>
    <row r="3273" spans="14:15" x14ac:dyDescent="0.35">
      <c r="N3273"/>
      <c r="O3273"/>
    </row>
    <row r="3274" spans="14:15" x14ac:dyDescent="0.35">
      <c r="N3274"/>
      <c r="O3274"/>
    </row>
    <row r="3275" spans="14:15" x14ac:dyDescent="0.35">
      <c r="N3275"/>
      <c r="O3275"/>
    </row>
    <row r="3276" spans="14:15" x14ac:dyDescent="0.35">
      <c r="N3276"/>
      <c r="O3276"/>
    </row>
    <row r="3277" spans="14:15" x14ac:dyDescent="0.35">
      <c r="N3277"/>
      <c r="O3277"/>
    </row>
    <row r="3278" spans="14:15" x14ac:dyDescent="0.35">
      <c r="N3278"/>
      <c r="O3278"/>
    </row>
    <row r="3279" spans="14:15" x14ac:dyDescent="0.35">
      <c r="N3279"/>
      <c r="O3279"/>
    </row>
    <row r="3280" spans="14:15" x14ac:dyDescent="0.35">
      <c r="N3280"/>
      <c r="O3280"/>
    </row>
    <row r="3281" spans="14:15" x14ac:dyDescent="0.35">
      <c r="N3281"/>
      <c r="O3281"/>
    </row>
    <row r="3282" spans="14:15" x14ac:dyDescent="0.35">
      <c r="N3282"/>
      <c r="O3282"/>
    </row>
    <row r="3283" spans="14:15" x14ac:dyDescent="0.35">
      <c r="N3283"/>
      <c r="O3283"/>
    </row>
    <row r="3284" spans="14:15" x14ac:dyDescent="0.35">
      <c r="N3284"/>
      <c r="O3284"/>
    </row>
    <row r="3285" spans="14:15" x14ac:dyDescent="0.35">
      <c r="N3285"/>
      <c r="O3285"/>
    </row>
    <row r="3286" spans="14:15" x14ac:dyDescent="0.35">
      <c r="N3286"/>
      <c r="O3286"/>
    </row>
    <row r="3287" spans="14:15" x14ac:dyDescent="0.35">
      <c r="N3287"/>
      <c r="O3287"/>
    </row>
    <row r="3288" spans="14:15" x14ac:dyDescent="0.35">
      <c r="N3288"/>
      <c r="O3288"/>
    </row>
    <row r="3289" spans="14:15" x14ac:dyDescent="0.35">
      <c r="N3289"/>
      <c r="O3289"/>
    </row>
    <row r="3290" spans="14:15" x14ac:dyDescent="0.35">
      <c r="N3290"/>
      <c r="O3290"/>
    </row>
    <row r="3291" spans="14:15" x14ac:dyDescent="0.35">
      <c r="N3291"/>
      <c r="O3291"/>
    </row>
    <row r="3292" spans="14:15" x14ac:dyDescent="0.35">
      <c r="N3292"/>
      <c r="O3292"/>
    </row>
    <row r="3293" spans="14:15" x14ac:dyDescent="0.35">
      <c r="N3293"/>
      <c r="O3293"/>
    </row>
    <row r="3294" spans="14:15" x14ac:dyDescent="0.35">
      <c r="N3294"/>
      <c r="O3294"/>
    </row>
    <row r="3295" spans="14:15" x14ac:dyDescent="0.35">
      <c r="N3295"/>
      <c r="O3295"/>
    </row>
    <row r="3296" spans="14:15" x14ac:dyDescent="0.35">
      <c r="N3296"/>
      <c r="O3296"/>
    </row>
    <row r="3297" spans="14:15" x14ac:dyDescent="0.35">
      <c r="N3297"/>
      <c r="O3297"/>
    </row>
    <row r="3298" spans="14:15" x14ac:dyDescent="0.35">
      <c r="N3298"/>
      <c r="O3298"/>
    </row>
    <row r="3299" spans="14:15" x14ac:dyDescent="0.35">
      <c r="N3299"/>
      <c r="O3299"/>
    </row>
    <row r="3300" spans="14:15" x14ac:dyDescent="0.35">
      <c r="N3300"/>
      <c r="O3300"/>
    </row>
    <row r="3301" spans="14:15" x14ac:dyDescent="0.35">
      <c r="N3301"/>
      <c r="O3301"/>
    </row>
    <row r="3302" spans="14:15" x14ac:dyDescent="0.35">
      <c r="N3302"/>
      <c r="O3302"/>
    </row>
    <row r="3303" spans="14:15" x14ac:dyDescent="0.35">
      <c r="N3303"/>
      <c r="O3303"/>
    </row>
    <row r="3304" spans="14:15" x14ac:dyDescent="0.35">
      <c r="N3304"/>
      <c r="O3304"/>
    </row>
    <row r="3305" spans="14:15" x14ac:dyDescent="0.35">
      <c r="N3305"/>
      <c r="O3305"/>
    </row>
    <row r="3306" spans="14:15" x14ac:dyDescent="0.35">
      <c r="N3306"/>
      <c r="O3306"/>
    </row>
    <row r="3307" spans="14:15" x14ac:dyDescent="0.35">
      <c r="N3307"/>
      <c r="O3307"/>
    </row>
    <row r="3308" spans="14:15" x14ac:dyDescent="0.35">
      <c r="N3308"/>
      <c r="O3308"/>
    </row>
    <row r="3309" spans="14:15" x14ac:dyDescent="0.35">
      <c r="N3309"/>
      <c r="O3309"/>
    </row>
    <row r="3310" spans="14:15" x14ac:dyDescent="0.35">
      <c r="N3310"/>
      <c r="O3310"/>
    </row>
    <row r="3311" spans="14:15" x14ac:dyDescent="0.35">
      <c r="N3311"/>
      <c r="O3311"/>
    </row>
    <row r="3312" spans="14:15" x14ac:dyDescent="0.35">
      <c r="N3312"/>
      <c r="O3312"/>
    </row>
    <row r="3313" spans="14:15" x14ac:dyDescent="0.35">
      <c r="N3313"/>
      <c r="O3313"/>
    </row>
    <row r="3314" spans="14:15" x14ac:dyDescent="0.35">
      <c r="N3314"/>
      <c r="O3314"/>
    </row>
    <row r="3315" spans="14:15" x14ac:dyDescent="0.35">
      <c r="N3315"/>
      <c r="O3315"/>
    </row>
    <row r="3316" spans="14:15" x14ac:dyDescent="0.35">
      <c r="N3316"/>
      <c r="O3316"/>
    </row>
    <row r="3317" spans="14:15" x14ac:dyDescent="0.35">
      <c r="N3317"/>
      <c r="O3317"/>
    </row>
    <row r="3318" spans="14:15" x14ac:dyDescent="0.35">
      <c r="N3318"/>
      <c r="O3318"/>
    </row>
    <row r="3319" spans="14:15" x14ac:dyDescent="0.35">
      <c r="N3319"/>
      <c r="O3319"/>
    </row>
    <row r="3320" spans="14:15" x14ac:dyDescent="0.35">
      <c r="N3320"/>
      <c r="O3320"/>
    </row>
    <row r="3321" spans="14:15" x14ac:dyDescent="0.35">
      <c r="N3321"/>
      <c r="O3321"/>
    </row>
    <row r="3322" spans="14:15" x14ac:dyDescent="0.35">
      <c r="N3322"/>
      <c r="O3322"/>
    </row>
    <row r="3323" spans="14:15" x14ac:dyDescent="0.35">
      <c r="N3323"/>
      <c r="O3323"/>
    </row>
    <row r="3324" spans="14:15" x14ac:dyDescent="0.35">
      <c r="N3324"/>
      <c r="O3324"/>
    </row>
    <row r="3325" spans="14:15" x14ac:dyDescent="0.35">
      <c r="N3325"/>
      <c r="O3325"/>
    </row>
    <row r="3326" spans="14:15" x14ac:dyDescent="0.35">
      <c r="N3326"/>
      <c r="O3326"/>
    </row>
    <row r="3327" spans="14:15" x14ac:dyDescent="0.35">
      <c r="N3327"/>
      <c r="O3327"/>
    </row>
    <row r="3328" spans="14:15" x14ac:dyDescent="0.35">
      <c r="N3328"/>
      <c r="O3328"/>
    </row>
    <row r="3329" spans="14:15" x14ac:dyDescent="0.35">
      <c r="N3329"/>
      <c r="O3329"/>
    </row>
    <row r="3330" spans="14:15" x14ac:dyDescent="0.35">
      <c r="N3330"/>
      <c r="O3330"/>
    </row>
    <row r="3331" spans="14:15" x14ac:dyDescent="0.35">
      <c r="N3331"/>
      <c r="O3331"/>
    </row>
    <row r="3332" spans="14:15" x14ac:dyDescent="0.35">
      <c r="N3332"/>
      <c r="O3332"/>
    </row>
    <row r="3333" spans="14:15" x14ac:dyDescent="0.35">
      <c r="N3333"/>
      <c r="O3333"/>
    </row>
    <row r="3334" spans="14:15" x14ac:dyDescent="0.35">
      <c r="N3334"/>
      <c r="O3334"/>
    </row>
    <row r="3335" spans="14:15" x14ac:dyDescent="0.35">
      <c r="N3335"/>
      <c r="O3335"/>
    </row>
    <row r="3336" spans="14:15" x14ac:dyDescent="0.35">
      <c r="N3336"/>
      <c r="O3336"/>
    </row>
    <row r="3337" spans="14:15" x14ac:dyDescent="0.35">
      <c r="N3337"/>
      <c r="O3337"/>
    </row>
    <row r="3338" spans="14:15" x14ac:dyDescent="0.35">
      <c r="N3338"/>
      <c r="O3338"/>
    </row>
    <row r="3339" spans="14:15" x14ac:dyDescent="0.35">
      <c r="N3339"/>
      <c r="O3339"/>
    </row>
    <row r="3340" spans="14:15" x14ac:dyDescent="0.35">
      <c r="N3340"/>
      <c r="O3340"/>
    </row>
    <row r="3341" spans="14:15" x14ac:dyDescent="0.35">
      <c r="N3341"/>
      <c r="O3341"/>
    </row>
    <row r="3342" spans="14:15" x14ac:dyDescent="0.35">
      <c r="N3342"/>
      <c r="O3342"/>
    </row>
    <row r="3343" spans="14:15" x14ac:dyDescent="0.35">
      <c r="N3343"/>
      <c r="O3343"/>
    </row>
    <row r="3344" spans="14:15" x14ac:dyDescent="0.35">
      <c r="N3344"/>
      <c r="O3344"/>
    </row>
    <row r="3345" spans="14:15" x14ac:dyDescent="0.35">
      <c r="N3345"/>
      <c r="O3345"/>
    </row>
    <row r="3346" spans="14:15" x14ac:dyDescent="0.35">
      <c r="N3346"/>
      <c r="O3346"/>
    </row>
    <row r="3347" spans="14:15" x14ac:dyDescent="0.35">
      <c r="N3347"/>
      <c r="O3347"/>
    </row>
    <row r="3348" spans="14:15" x14ac:dyDescent="0.35">
      <c r="N3348"/>
      <c r="O3348"/>
    </row>
    <row r="3349" spans="14:15" x14ac:dyDescent="0.35">
      <c r="N3349"/>
      <c r="O3349"/>
    </row>
    <row r="3350" spans="14:15" x14ac:dyDescent="0.35">
      <c r="N3350"/>
      <c r="O3350"/>
    </row>
    <row r="3351" spans="14:15" x14ac:dyDescent="0.35">
      <c r="N3351"/>
      <c r="O3351"/>
    </row>
    <row r="3352" spans="14:15" x14ac:dyDescent="0.35">
      <c r="N3352"/>
      <c r="O3352"/>
    </row>
    <row r="3353" spans="14:15" x14ac:dyDescent="0.35">
      <c r="N3353"/>
      <c r="O3353"/>
    </row>
    <row r="3354" spans="14:15" x14ac:dyDescent="0.35">
      <c r="N3354"/>
      <c r="O3354"/>
    </row>
    <row r="3355" spans="14:15" x14ac:dyDescent="0.35">
      <c r="N3355"/>
      <c r="O3355"/>
    </row>
    <row r="3356" spans="14:15" x14ac:dyDescent="0.35">
      <c r="N3356"/>
      <c r="O3356"/>
    </row>
    <row r="3357" spans="14:15" x14ac:dyDescent="0.35">
      <c r="N3357"/>
      <c r="O3357"/>
    </row>
    <row r="3358" spans="14:15" x14ac:dyDescent="0.35">
      <c r="N3358"/>
      <c r="O3358"/>
    </row>
    <row r="3359" spans="14:15" x14ac:dyDescent="0.35">
      <c r="N3359"/>
      <c r="O3359"/>
    </row>
    <row r="3360" spans="14:15" x14ac:dyDescent="0.35">
      <c r="N3360"/>
      <c r="O3360"/>
    </row>
    <row r="3361" spans="14:15" x14ac:dyDescent="0.35">
      <c r="N3361"/>
      <c r="O3361"/>
    </row>
    <row r="3362" spans="14:15" x14ac:dyDescent="0.35">
      <c r="N3362"/>
      <c r="O3362"/>
    </row>
    <row r="3363" spans="14:15" x14ac:dyDescent="0.35">
      <c r="N3363"/>
      <c r="O3363"/>
    </row>
    <row r="3364" spans="14:15" x14ac:dyDescent="0.35">
      <c r="N3364"/>
      <c r="O3364"/>
    </row>
    <row r="3365" spans="14:15" x14ac:dyDescent="0.35">
      <c r="N3365"/>
      <c r="O3365"/>
    </row>
    <row r="3366" spans="14:15" x14ac:dyDescent="0.35">
      <c r="N3366"/>
      <c r="O3366"/>
    </row>
    <row r="3367" spans="14:15" x14ac:dyDescent="0.35">
      <c r="N3367"/>
      <c r="O3367"/>
    </row>
    <row r="3368" spans="14:15" x14ac:dyDescent="0.35">
      <c r="N3368"/>
      <c r="O3368"/>
    </row>
    <row r="3369" spans="14:15" x14ac:dyDescent="0.35">
      <c r="N3369"/>
      <c r="O3369"/>
    </row>
    <row r="3370" spans="14:15" x14ac:dyDescent="0.35">
      <c r="N3370"/>
      <c r="O3370"/>
    </row>
    <row r="3371" spans="14:15" x14ac:dyDescent="0.35">
      <c r="N3371"/>
      <c r="O3371"/>
    </row>
    <row r="3372" spans="14:15" x14ac:dyDescent="0.35">
      <c r="N3372"/>
      <c r="O3372"/>
    </row>
    <row r="3373" spans="14:15" x14ac:dyDescent="0.35">
      <c r="N3373"/>
      <c r="O3373"/>
    </row>
    <row r="3374" spans="14:15" x14ac:dyDescent="0.35">
      <c r="N3374"/>
      <c r="O3374"/>
    </row>
    <row r="3375" spans="14:15" x14ac:dyDescent="0.35">
      <c r="N3375"/>
      <c r="O3375"/>
    </row>
    <row r="3376" spans="14:15" x14ac:dyDescent="0.35">
      <c r="N3376"/>
      <c r="O3376"/>
    </row>
    <row r="3377" spans="14:15" x14ac:dyDescent="0.35">
      <c r="N3377"/>
      <c r="O3377"/>
    </row>
    <row r="3378" spans="14:15" x14ac:dyDescent="0.35">
      <c r="N3378"/>
      <c r="O3378"/>
    </row>
    <row r="3379" spans="14:15" x14ac:dyDescent="0.35">
      <c r="N3379"/>
      <c r="O3379"/>
    </row>
    <row r="3380" spans="14:15" x14ac:dyDescent="0.35">
      <c r="N3380"/>
      <c r="O3380"/>
    </row>
    <row r="3381" spans="14:15" x14ac:dyDescent="0.35">
      <c r="N3381"/>
      <c r="O3381"/>
    </row>
    <row r="3382" spans="14:15" x14ac:dyDescent="0.35">
      <c r="N3382"/>
      <c r="O3382"/>
    </row>
    <row r="3383" spans="14:15" x14ac:dyDescent="0.35">
      <c r="N3383"/>
      <c r="O3383"/>
    </row>
    <row r="3384" spans="14:15" x14ac:dyDescent="0.35">
      <c r="N3384"/>
      <c r="O3384"/>
    </row>
    <row r="3385" spans="14:15" x14ac:dyDescent="0.35">
      <c r="N3385"/>
      <c r="O3385"/>
    </row>
    <row r="3386" spans="14:15" x14ac:dyDescent="0.35">
      <c r="N3386"/>
      <c r="O3386"/>
    </row>
    <row r="3387" spans="14:15" x14ac:dyDescent="0.35">
      <c r="N3387"/>
      <c r="O3387"/>
    </row>
    <row r="3388" spans="14:15" x14ac:dyDescent="0.35">
      <c r="N3388"/>
      <c r="O3388"/>
    </row>
    <row r="3389" spans="14:15" x14ac:dyDescent="0.35">
      <c r="N3389"/>
      <c r="O3389"/>
    </row>
    <row r="3390" spans="14:15" x14ac:dyDescent="0.35">
      <c r="N3390"/>
      <c r="O3390"/>
    </row>
    <row r="3391" spans="14:15" x14ac:dyDescent="0.35">
      <c r="N3391"/>
      <c r="O3391"/>
    </row>
    <row r="3392" spans="14:15" x14ac:dyDescent="0.35">
      <c r="N3392"/>
      <c r="O3392"/>
    </row>
    <row r="3393" spans="14:15" x14ac:dyDescent="0.35">
      <c r="N3393"/>
      <c r="O3393"/>
    </row>
    <row r="3394" spans="14:15" x14ac:dyDescent="0.35">
      <c r="N3394"/>
      <c r="O3394"/>
    </row>
    <row r="3395" spans="14:15" x14ac:dyDescent="0.35">
      <c r="N3395"/>
      <c r="O3395"/>
    </row>
    <row r="3396" spans="14:15" x14ac:dyDescent="0.35">
      <c r="N3396"/>
      <c r="O3396"/>
    </row>
    <row r="3397" spans="14:15" x14ac:dyDescent="0.35">
      <c r="N3397"/>
      <c r="O3397"/>
    </row>
    <row r="3398" spans="14:15" ht="15.75" customHeight="1" x14ac:dyDescent="0.35">
      <c r="N3398"/>
      <c r="O3398"/>
    </row>
    <row r="3399" spans="14:15" x14ac:dyDescent="0.35">
      <c r="N3399"/>
      <c r="O3399"/>
    </row>
    <row r="3400" spans="14:15" x14ac:dyDescent="0.35">
      <c r="N3400"/>
      <c r="O3400"/>
    </row>
    <row r="3401" spans="14:15" x14ac:dyDescent="0.35">
      <c r="N3401"/>
      <c r="O3401"/>
    </row>
    <row r="3402" spans="14:15" x14ac:dyDescent="0.35">
      <c r="N3402"/>
      <c r="O3402"/>
    </row>
    <row r="3403" spans="14:15" x14ac:dyDescent="0.35">
      <c r="N3403"/>
      <c r="O3403"/>
    </row>
    <row r="3404" spans="14:15" x14ac:dyDescent="0.35">
      <c r="N3404"/>
      <c r="O3404"/>
    </row>
    <row r="3405" spans="14:15" x14ac:dyDescent="0.35">
      <c r="N3405"/>
      <c r="O3405"/>
    </row>
    <row r="3406" spans="14:15" x14ac:dyDescent="0.35">
      <c r="N3406"/>
      <c r="O3406"/>
    </row>
    <row r="3407" spans="14:15" x14ac:dyDescent="0.35">
      <c r="N3407"/>
      <c r="O3407"/>
    </row>
    <row r="3408" spans="14:15" x14ac:dyDescent="0.35">
      <c r="N3408"/>
      <c r="O3408"/>
    </row>
    <row r="3409" spans="14:15" x14ac:dyDescent="0.35">
      <c r="N3409"/>
      <c r="O3409"/>
    </row>
    <row r="3410" spans="14:15" x14ac:dyDescent="0.35">
      <c r="N3410"/>
      <c r="O3410"/>
    </row>
    <row r="3411" spans="14:15" x14ac:dyDescent="0.35">
      <c r="N3411"/>
      <c r="O3411"/>
    </row>
    <row r="3412" spans="14:15" x14ac:dyDescent="0.35">
      <c r="N3412"/>
      <c r="O3412"/>
    </row>
    <row r="3413" spans="14:15" x14ac:dyDescent="0.35">
      <c r="N3413"/>
      <c r="O3413"/>
    </row>
    <row r="3414" spans="14:15" x14ac:dyDescent="0.35">
      <c r="N3414"/>
      <c r="O3414"/>
    </row>
    <row r="3415" spans="14:15" x14ac:dyDescent="0.35">
      <c r="N3415"/>
      <c r="O3415"/>
    </row>
    <row r="3416" spans="14:15" x14ac:dyDescent="0.35">
      <c r="N3416"/>
      <c r="O3416"/>
    </row>
    <row r="3417" spans="14:15" x14ac:dyDescent="0.35">
      <c r="N3417"/>
      <c r="O3417"/>
    </row>
    <row r="3418" spans="14:15" x14ac:dyDescent="0.35">
      <c r="N3418"/>
      <c r="O3418"/>
    </row>
    <row r="3419" spans="14:15" x14ac:dyDescent="0.35">
      <c r="N3419"/>
      <c r="O3419"/>
    </row>
    <row r="3420" spans="14:15" x14ac:dyDescent="0.35">
      <c r="N3420"/>
      <c r="O3420"/>
    </row>
    <row r="3421" spans="14:15" x14ac:dyDescent="0.35">
      <c r="N3421"/>
      <c r="O3421"/>
    </row>
    <row r="3422" spans="14:15" x14ac:dyDescent="0.35">
      <c r="N3422"/>
      <c r="O3422"/>
    </row>
    <row r="3423" spans="14:15" x14ac:dyDescent="0.35">
      <c r="N3423"/>
      <c r="O3423"/>
    </row>
    <row r="3424" spans="14:15" x14ac:dyDescent="0.35">
      <c r="N3424"/>
      <c r="O3424"/>
    </row>
    <row r="3425" spans="14:15" x14ac:dyDescent="0.35">
      <c r="N3425"/>
      <c r="O3425"/>
    </row>
    <row r="3426" spans="14:15" x14ac:dyDescent="0.35">
      <c r="N3426"/>
      <c r="O3426"/>
    </row>
    <row r="3427" spans="14:15" x14ac:dyDescent="0.35">
      <c r="N3427"/>
      <c r="O3427"/>
    </row>
    <row r="3428" spans="14:15" x14ac:dyDescent="0.35">
      <c r="N3428"/>
      <c r="O3428"/>
    </row>
    <row r="3429" spans="14:15" x14ac:dyDescent="0.35">
      <c r="N3429"/>
      <c r="O3429"/>
    </row>
    <row r="3430" spans="14:15" x14ac:dyDescent="0.35">
      <c r="N3430"/>
      <c r="O3430"/>
    </row>
    <row r="3431" spans="14:15" x14ac:dyDescent="0.35">
      <c r="N3431"/>
      <c r="O3431"/>
    </row>
    <row r="3432" spans="14:15" x14ac:dyDescent="0.35">
      <c r="N3432"/>
      <c r="O3432"/>
    </row>
    <row r="3433" spans="14:15" x14ac:dyDescent="0.35">
      <c r="N3433"/>
      <c r="O3433"/>
    </row>
    <row r="3434" spans="14:15" x14ac:dyDescent="0.35">
      <c r="N3434"/>
      <c r="O3434"/>
    </row>
    <row r="3435" spans="14:15" x14ac:dyDescent="0.35">
      <c r="N3435"/>
      <c r="O3435"/>
    </row>
    <row r="3436" spans="14:15" x14ac:dyDescent="0.35">
      <c r="N3436"/>
      <c r="O3436"/>
    </row>
    <row r="3437" spans="14:15" x14ac:dyDescent="0.35">
      <c r="N3437"/>
      <c r="O3437"/>
    </row>
    <row r="3438" spans="14:15" x14ac:dyDescent="0.35">
      <c r="N3438"/>
      <c r="O3438"/>
    </row>
    <row r="3439" spans="14:15" x14ac:dyDescent="0.35">
      <c r="N3439"/>
      <c r="O3439"/>
    </row>
    <row r="3440" spans="14:15" x14ac:dyDescent="0.35">
      <c r="N3440"/>
      <c r="O3440"/>
    </row>
    <row r="3441" spans="14:15" x14ac:dyDescent="0.35">
      <c r="N3441"/>
      <c r="O3441"/>
    </row>
    <row r="3442" spans="14:15" x14ac:dyDescent="0.35">
      <c r="N3442"/>
      <c r="O3442"/>
    </row>
    <row r="3443" spans="14:15" x14ac:dyDescent="0.35">
      <c r="N3443"/>
      <c r="O3443"/>
    </row>
    <row r="3444" spans="14:15" x14ac:dyDescent="0.35">
      <c r="N3444"/>
      <c r="O3444"/>
    </row>
    <row r="3445" spans="14:15" x14ac:dyDescent="0.35">
      <c r="N3445"/>
      <c r="O3445"/>
    </row>
    <row r="3446" spans="14:15" x14ac:dyDescent="0.35">
      <c r="N3446"/>
      <c r="O3446"/>
    </row>
    <row r="3447" spans="14:15" x14ac:dyDescent="0.35">
      <c r="N3447"/>
      <c r="O3447"/>
    </row>
    <row r="3448" spans="14:15" x14ac:dyDescent="0.35">
      <c r="N3448"/>
      <c r="O3448"/>
    </row>
    <row r="3449" spans="14:15" x14ac:dyDescent="0.35">
      <c r="N3449"/>
      <c r="O3449"/>
    </row>
    <row r="3450" spans="14:15" x14ac:dyDescent="0.35">
      <c r="N3450"/>
      <c r="O3450"/>
    </row>
    <row r="3451" spans="14:15" x14ac:dyDescent="0.35">
      <c r="N3451"/>
      <c r="O3451"/>
    </row>
    <row r="3452" spans="14:15" x14ac:dyDescent="0.35">
      <c r="N3452"/>
      <c r="O3452"/>
    </row>
    <row r="3453" spans="14:15" x14ac:dyDescent="0.35">
      <c r="N3453"/>
      <c r="O3453"/>
    </row>
    <row r="3454" spans="14:15" x14ac:dyDescent="0.35">
      <c r="N3454"/>
      <c r="O3454"/>
    </row>
    <row r="3455" spans="14:15" x14ac:dyDescent="0.35">
      <c r="N3455"/>
      <c r="O3455"/>
    </row>
    <row r="3456" spans="14:15" x14ac:dyDescent="0.35">
      <c r="N3456"/>
      <c r="O3456"/>
    </row>
    <row r="3457" spans="14:15" x14ac:dyDescent="0.35">
      <c r="N3457"/>
      <c r="O3457"/>
    </row>
    <row r="3458" spans="14:15" x14ac:dyDescent="0.35">
      <c r="N3458"/>
      <c r="O3458"/>
    </row>
    <row r="3459" spans="14:15" x14ac:dyDescent="0.35">
      <c r="N3459"/>
      <c r="O3459"/>
    </row>
    <row r="3460" spans="14:15" x14ac:dyDescent="0.35">
      <c r="N3460"/>
      <c r="O3460"/>
    </row>
    <row r="3461" spans="14:15" x14ac:dyDescent="0.35">
      <c r="N3461"/>
      <c r="O3461"/>
    </row>
    <row r="3462" spans="14:15" x14ac:dyDescent="0.35">
      <c r="N3462"/>
      <c r="O3462"/>
    </row>
    <row r="3463" spans="14:15" x14ac:dyDescent="0.35">
      <c r="N3463"/>
      <c r="O3463"/>
    </row>
    <row r="3464" spans="14:15" x14ac:dyDescent="0.35">
      <c r="N3464"/>
      <c r="O3464"/>
    </row>
    <row r="3465" spans="14:15" x14ac:dyDescent="0.35">
      <c r="N3465"/>
      <c r="O3465"/>
    </row>
    <row r="3466" spans="14:15" x14ac:dyDescent="0.35">
      <c r="N3466"/>
      <c r="O3466"/>
    </row>
    <row r="3467" spans="14:15" x14ac:dyDescent="0.35">
      <c r="N3467"/>
      <c r="O3467"/>
    </row>
    <row r="3468" spans="14:15" x14ac:dyDescent="0.35">
      <c r="N3468"/>
      <c r="O3468"/>
    </row>
    <row r="3469" spans="14:15" x14ac:dyDescent="0.35">
      <c r="N3469"/>
      <c r="O3469"/>
    </row>
    <row r="3470" spans="14:15" x14ac:dyDescent="0.35">
      <c r="N3470"/>
      <c r="O3470"/>
    </row>
    <row r="3471" spans="14:15" x14ac:dyDescent="0.35">
      <c r="N3471"/>
      <c r="O3471"/>
    </row>
    <row r="3472" spans="14:15" x14ac:dyDescent="0.35">
      <c r="N3472"/>
      <c r="O3472"/>
    </row>
    <row r="3473" spans="14:15" x14ac:dyDescent="0.35">
      <c r="N3473"/>
      <c r="O3473"/>
    </row>
    <row r="3474" spans="14:15" x14ac:dyDescent="0.35">
      <c r="N3474"/>
      <c r="O3474"/>
    </row>
    <row r="3475" spans="14:15" x14ac:dyDescent="0.35">
      <c r="N3475"/>
      <c r="O3475"/>
    </row>
    <row r="3476" spans="14:15" x14ac:dyDescent="0.35">
      <c r="N3476"/>
      <c r="O3476"/>
    </row>
    <row r="3477" spans="14:15" x14ac:dyDescent="0.35">
      <c r="N3477"/>
      <c r="O3477"/>
    </row>
    <row r="3478" spans="14:15" x14ac:dyDescent="0.35">
      <c r="N3478"/>
      <c r="O3478"/>
    </row>
    <row r="3479" spans="14:15" x14ac:dyDescent="0.35">
      <c r="N3479"/>
      <c r="O3479"/>
    </row>
    <row r="3480" spans="14:15" x14ac:dyDescent="0.35">
      <c r="N3480"/>
      <c r="O3480"/>
    </row>
    <row r="3481" spans="14:15" x14ac:dyDescent="0.35">
      <c r="N3481"/>
      <c r="O3481"/>
    </row>
    <row r="3482" spans="14:15" x14ac:dyDescent="0.35">
      <c r="N3482"/>
      <c r="O3482"/>
    </row>
    <row r="3483" spans="14:15" x14ac:dyDescent="0.35">
      <c r="N3483"/>
      <c r="O3483"/>
    </row>
    <row r="3484" spans="14:15" x14ac:dyDescent="0.35">
      <c r="N3484"/>
      <c r="O3484"/>
    </row>
    <row r="3485" spans="14:15" x14ac:dyDescent="0.35">
      <c r="N3485"/>
      <c r="O3485"/>
    </row>
    <row r="3486" spans="14:15" x14ac:dyDescent="0.35">
      <c r="N3486"/>
      <c r="O3486"/>
    </row>
    <row r="3487" spans="14:15" x14ac:dyDescent="0.35">
      <c r="N3487"/>
      <c r="O3487"/>
    </row>
    <row r="3488" spans="14:15" x14ac:dyDescent="0.35">
      <c r="N3488"/>
      <c r="O3488"/>
    </row>
    <row r="3489" spans="14:15" x14ac:dyDescent="0.35">
      <c r="N3489"/>
      <c r="O3489"/>
    </row>
    <row r="3490" spans="14:15" x14ac:dyDescent="0.35">
      <c r="N3490"/>
      <c r="O3490"/>
    </row>
    <row r="3491" spans="14:15" x14ac:dyDescent="0.35">
      <c r="N3491"/>
      <c r="O3491"/>
    </row>
    <row r="3492" spans="14:15" x14ac:dyDescent="0.35">
      <c r="N3492"/>
      <c r="O3492"/>
    </row>
    <row r="3493" spans="14:15" x14ac:dyDescent="0.35">
      <c r="N3493"/>
      <c r="O3493"/>
    </row>
    <row r="3494" spans="14:15" x14ac:dyDescent="0.35">
      <c r="N3494"/>
      <c r="O3494"/>
    </row>
    <row r="3495" spans="14:15" x14ac:dyDescent="0.35">
      <c r="N3495"/>
      <c r="O3495"/>
    </row>
    <row r="3496" spans="14:15" x14ac:dyDescent="0.35">
      <c r="N3496"/>
      <c r="O3496"/>
    </row>
    <row r="3497" spans="14:15" x14ac:dyDescent="0.35">
      <c r="N3497"/>
      <c r="O3497"/>
    </row>
    <row r="3498" spans="14:15" x14ac:dyDescent="0.35">
      <c r="N3498"/>
      <c r="O3498"/>
    </row>
    <row r="3499" spans="14:15" x14ac:dyDescent="0.35">
      <c r="N3499"/>
      <c r="O3499"/>
    </row>
    <row r="3500" spans="14:15" x14ac:dyDescent="0.35">
      <c r="N3500"/>
      <c r="O3500"/>
    </row>
    <row r="3501" spans="14:15" x14ac:dyDescent="0.35">
      <c r="N3501"/>
      <c r="O3501"/>
    </row>
    <row r="3502" spans="14:15" x14ac:dyDescent="0.35">
      <c r="N3502"/>
      <c r="O3502"/>
    </row>
    <row r="3503" spans="14:15" x14ac:dyDescent="0.35">
      <c r="N3503"/>
      <c r="O3503"/>
    </row>
    <row r="3504" spans="14:15" x14ac:dyDescent="0.35">
      <c r="N3504"/>
      <c r="O3504"/>
    </row>
    <row r="3505" spans="14:15" x14ac:dyDescent="0.35">
      <c r="N3505"/>
      <c r="O3505"/>
    </row>
    <row r="3506" spans="14:15" x14ac:dyDescent="0.35">
      <c r="N3506"/>
      <c r="O3506"/>
    </row>
    <row r="3507" spans="14:15" x14ac:dyDescent="0.35">
      <c r="N3507"/>
      <c r="O3507"/>
    </row>
    <row r="3508" spans="14:15" x14ac:dyDescent="0.35">
      <c r="N3508"/>
      <c r="O3508"/>
    </row>
    <row r="3509" spans="14:15" x14ac:dyDescent="0.35">
      <c r="N3509"/>
      <c r="O3509"/>
    </row>
    <row r="3510" spans="14:15" x14ac:dyDescent="0.35">
      <c r="N3510"/>
      <c r="O3510"/>
    </row>
    <row r="3511" spans="14:15" x14ac:dyDescent="0.35">
      <c r="N3511"/>
      <c r="O3511"/>
    </row>
    <row r="3512" spans="14:15" x14ac:dyDescent="0.35">
      <c r="N3512"/>
      <c r="O3512"/>
    </row>
    <row r="3513" spans="14:15" x14ac:dyDescent="0.35">
      <c r="N3513"/>
      <c r="O3513"/>
    </row>
    <row r="3514" spans="14:15" x14ac:dyDescent="0.35">
      <c r="N3514"/>
      <c r="O3514"/>
    </row>
    <row r="3515" spans="14:15" x14ac:dyDescent="0.35">
      <c r="N3515"/>
      <c r="O3515"/>
    </row>
    <row r="3516" spans="14:15" x14ac:dyDescent="0.35">
      <c r="N3516"/>
      <c r="O3516"/>
    </row>
    <row r="3517" spans="14:15" x14ac:dyDescent="0.35">
      <c r="N3517"/>
      <c r="O3517"/>
    </row>
    <row r="3518" spans="14:15" x14ac:dyDescent="0.35">
      <c r="N3518"/>
      <c r="O3518"/>
    </row>
    <row r="3519" spans="14:15" x14ac:dyDescent="0.35">
      <c r="N3519"/>
      <c r="O3519"/>
    </row>
    <row r="3520" spans="14:15" x14ac:dyDescent="0.35">
      <c r="N3520"/>
      <c r="O3520"/>
    </row>
    <row r="3521" spans="14:15" x14ac:dyDescent="0.35">
      <c r="N3521"/>
      <c r="O3521"/>
    </row>
    <row r="3522" spans="14:15" x14ac:dyDescent="0.35">
      <c r="N3522"/>
      <c r="O3522"/>
    </row>
    <row r="3523" spans="14:15" x14ac:dyDescent="0.35">
      <c r="N3523"/>
      <c r="O3523"/>
    </row>
    <row r="3524" spans="14:15" x14ac:dyDescent="0.35">
      <c r="N3524"/>
      <c r="O3524"/>
    </row>
    <row r="3525" spans="14:15" x14ac:dyDescent="0.35">
      <c r="N3525"/>
      <c r="O3525"/>
    </row>
    <row r="3526" spans="14:15" x14ac:dyDescent="0.35">
      <c r="N3526"/>
      <c r="O3526"/>
    </row>
    <row r="3527" spans="14:15" x14ac:dyDescent="0.35">
      <c r="N3527"/>
      <c r="O3527"/>
    </row>
    <row r="3528" spans="14:15" x14ac:dyDescent="0.35">
      <c r="N3528"/>
      <c r="O3528"/>
    </row>
    <row r="3529" spans="14:15" x14ac:dyDescent="0.35">
      <c r="N3529"/>
      <c r="O3529"/>
    </row>
    <row r="3530" spans="14:15" x14ac:dyDescent="0.35">
      <c r="N3530"/>
      <c r="O3530"/>
    </row>
    <row r="3531" spans="14:15" x14ac:dyDescent="0.35">
      <c r="N3531"/>
      <c r="O3531"/>
    </row>
    <row r="3532" spans="14:15" x14ac:dyDescent="0.35">
      <c r="N3532"/>
      <c r="O3532"/>
    </row>
    <row r="3533" spans="14:15" x14ac:dyDescent="0.35">
      <c r="N3533"/>
      <c r="O3533"/>
    </row>
    <row r="3534" spans="14:15" x14ac:dyDescent="0.35">
      <c r="N3534"/>
      <c r="O3534"/>
    </row>
    <row r="3535" spans="14:15" x14ac:dyDescent="0.35">
      <c r="N3535"/>
      <c r="O3535"/>
    </row>
    <row r="3536" spans="14:15" x14ac:dyDescent="0.35">
      <c r="N3536"/>
      <c r="O3536"/>
    </row>
    <row r="3537" spans="14:15" x14ac:dyDescent="0.35">
      <c r="N3537"/>
      <c r="O3537"/>
    </row>
    <row r="3538" spans="14:15" x14ac:dyDescent="0.35">
      <c r="N3538"/>
      <c r="O3538"/>
    </row>
    <row r="3539" spans="14:15" x14ac:dyDescent="0.35">
      <c r="N3539"/>
      <c r="O3539"/>
    </row>
    <row r="3540" spans="14:15" x14ac:dyDescent="0.35">
      <c r="N3540"/>
      <c r="O3540"/>
    </row>
    <row r="3541" spans="14:15" x14ac:dyDescent="0.35">
      <c r="N3541"/>
      <c r="O3541"/>
    </row>
    <row r="3542" spans="14:15" x14ac:dyDescent="0.35">
      <c r="N3542"/>
      <c r="O3542"/>
    </row>
    <row r="3543" spans="14:15" x14ac:dyDescent="0.35">
      <c r="N3543"/>
      <c r="O3543"/>
    </row>
    <row r="3544" spans="14:15" x14ac:dyDescent="0.35">
      <c r="N3544"/>
      <c r="O3544"/>
    </row>
    <row r="3545" spans="14:15" x14ac:dyDescent="0.35">
      <c r="N3545"/>
      <c r="O3545"/>
    </row>
    <row r="3546" spans="14:15" x14ac:dyDescent="0.35">
      <c r="N3546"/>
      <c r="O3546"/>
    </row>
    <row r="3547" spans="14:15" x14ac:dyDescent="0.35">
      <c r="N3547"/>
      <c r="O3547"/>
    </row>
    <row r="3548" spans="14:15" x14ac:dyDescent="0.35">
      <c r="N3548"/>
      <c r="O3548"/>
    </row>
    <row r="3549" spans="14:15" x14ac:dyDescent="0.35">
      <c r="N3549"/>
      <c r="O3549"/>
    </row>
    <row r="3550" spans="14:15" x14ac:dyDescent="0.35">
      <c r="N3550"/>
      <c r="O3550"/>
    </row>
    <row r="3551" spans="14:15" x14ac:dyDescent="0.35">
      <c r="N3551"/>
      <c r="O3551"/>
    </row>
    <row r="3552" spans="14:15" x14ac:dyDescent="0.35">
      <c r="N3552"/>
      <c r="O3552"/>
    </row>
    <row r="3553" spans="14:15" x14ac:dyDescent="0.35">
      <c r="N3553"/>
      <c r="O3553"/>
    </row>
    <row r="3554" spans="14:15" x14ac:dyDescent="0.35">
      <c r="N3554"/>
      <c r="O3554"/>
    </row>
    <row r="3555" spans="14:15" x14ac:dyDescent="0.35">
      <c r="N3555"/>
      <c r="O3555"/>
    </row>
    <row r="3556" spans="14:15" x14ac:dyDescent="0.35">
      <c r="N3556"/>
      <c r="O3556"/>
    </row>
    <row r="3557" spans="14:15" x14ac:dyDescent="0.35">
      <c r="N3557"/>
      <c r="O3557"/>
    </row>
    <row r="3558" spans="14:15" x14ac:dyDescent="0.35">
      <c r="N3558"/>
      <c r="O3558"/>
    </row>
    <row r="3559" spans="14:15" x14ac:dyDescent="0.35">
      <c r="N3559"/>
      <c r="O3559"/>
    </row>
    <row r="3560" spans="14:15" x14ac:dyDescent="0.35">
      <c r="N3560"/>
      <c r="O3560"/>
    </row>
    <row r="3561" spans="14:15" x14ac:dyDescent="0.35">
      <c r="N3561"/>
      <c r="O3561"/>
    </row>
    <row r="3562" spans="14:15" x14ac:dyDescent="0.35">
      <c r="N3562"/>
      <c r="O3562"/>
    </row>
    <row r="3563" spans="14:15" x14ac:dyDescent="0.35">
      <c r="N3563"/>
      <c r="O3563"/>
    </row>
    <row r="3564" spans="14:15" x14ac:dyDescent="0.35">
      <c r="N3564"/>
      <c r="O3564"/>
    </row>
    <row r="3565" spans="14:15" x14ac:dyDescent="0.35">
      <c r="N3565"/>
      <c r="O3565"/>
    </row>
    <row r="3566" spans="14:15" x14ac:dyDescent="0.35">
      <c r="N3566"/>
      <c r="O3566"/>
    </row>
    <row r="3567" spans="14:15" x14ac:dyDescent="0.35">
      <c r="N3567"/>
      <c r="O3567"/>
    </row>
    <row r="3568" spans="14:15" x14ac:dyDescent="0.35">
      <c r="N3568"/>
      <c r="O3568"/>
    </row>
    <row r="3569" spans="1:25" x14ac:dyDescent="0.35">
      <c r="N3569"/>
      <c r="O3569"/>
    </row>
    <row r="3570" spans="1:25" x14ac:dyDescent="0.35">
      <c r="N3570"/>
      <c r="O3570"/>
    </row>
    <row r="3571" spans="1:25" x14ac:dyDescent="0.35">
      <c r="N3571"/>
      <c r="O3571"/>
    </row>
    <row r="3572" spans="1:25" x14ac:dyDescent="0.35">
      <c r="N3572"/>
      <c r="O3572"/>
    </row>
    <row r="3573" spans="1:25" x14ac:dyDescent="0.35">
      <c r="N3573"/>
      <c r="O3573"/>
    </row>
    <row r="3574" spans="1:25" x14ac:dyDescent="0.35">
      <c r="N3574"/>
      <c r="O3574"/>
    </row>
    <row r="3575" spans="1:25" x14ac:dyDescent="0.35">
      <c r="N3575"/>
      <c r="O3575"/>
    </row>
    <row r="3576" spans="1:25" s="13" customFormat="1" x14ac:dyDescent="0.35">
      <c r="A3576" s="5"/>
      <c r="B3576" s="5"/>
      <c r="C3576" s="5"/>
      <c r="D3576" s="6"/>
      <c r="E3576" s="5"/>
      <c r="F3576" s="6"/>
      <c r="G3576" s="5"/>
      <c r="H3576" s="5"/>
      <c r="I3576" s="5"/>
      <c r="J3576" s="5"/>
      <c r="M3576" s="5"/>
      <c r="N3576"/>
      <c r="O3576"/>
      <c r="P3576" s="5"/>
      <c r="Q3576" s="5"/>
      <c r="R3576" s="5"/>
      <c r="S3576" s="5"/>
      <c r="T3576" s="5"/>
      <c r="U3576" s="5"/>
      <c r="V3576" s="5"/>
      <c r="W3576" s="5"/>
      <c r="X3576" s="5"/>
      <c r="Y3576" s="5"/>
    </row>
    <row r="3577" spans="1:25" s="13" customFormat="1" x14ac:dyDescent="0.35">
      <c r="A3577" s="5"/>
      <c r="B3577" s="5"/>
      <c r="C3577" s="5"/>
      <c r="D3577" s="6"/>
      <c r="E3577" s="5"/>
      <c r="F3577" s="6"/>
      <c r="G3577" s="5"/>
      <c r="H3577" s="5"/>
      <c r="I3577" s="5"/>
      <c r="J3577" s="5"/>
      <c r="M3577" s="5"/>
      <c r="N3577"/>
      <c r="O3577"/>
      <c r="P3577" s="5"/>
      <c r="Q3577" s="5"/>
      <c r="R3577" s="5"/>
      <c r="S3577" s="5"/>
      <c r="T3577" s="5"/>
      <c r="U3577" s="5"/>
      <c r="V3577" s="5"/>
      <c r="W3577" s="5"/>
      <c r="X3577" s="5"/>
      <c r="Y3577" s="5"/>
    </row>
    <row r="3578" spans="1:25" s="13" customFormat="1" x14ac:dyDescent="0.35">
      <c r="A3578" s="5"/>
      <c r="B3578" s="5"/>
      <c r="C3578" s="5"/>
      <c r="D3578" s="6"/>
      <c r="E3578" s="5"/>
      <c r="F3578" s="6"/>
      <c r="G3578" s="5"/>
      <c r="H3578" s="5"/>
      <c r="I3578" s="5"/>
      <c r="J3578" s="5"/>
      <c r="M3578" s="5"/>
      <c r="N3578"/>
      <c r="O3578"/>
      <c r="P3578" s="5"/>
      <c r="Q3578" s="5"/>
      <c r="R3578" s="5"/>
      <c r="S3578" s="5"/>
      <c r="T3578" s="5"/>
      <c r="U3578" s="5"/>
      <c r="V3578" s="5"/>
      <c r="W3578" s="5"/>
      <c r="X3578" s="5"/>
      <c r="Y3578" s="5"/>
    </row>
    <row r="3579" spans="1:25" s="13" customFormat="1" x14ac:dyDescent="0.35">
      <c r="A3579" s="5"/>
      <c r="B3579" s="5"/>
      <c r="C3579" s="5"/>
      <c r="D3579" s="6"/>
      <c r="E3579" s="5"/>
      <c r="F3579" s="6"/>
      <c r="G3579" s="5"/>
      <c r="H3579" s="5"/>
      <c r="I3579" s="5"/>
      <c r="J3579" s="5"/>
      <c r="M3579" s="5"/>
      <c r="N3579"/>
      <c r="O3579"/>
      <c r="P3579" s="5"/>
      <c r="Q3579" s="5"/>
      <c r="R3579" s="5"/>
      <c r="S3579" s="5"/>
      <c r="T3579" s="5"/>
      <c r="U3579" s="5"/>
      <c r="V3579" s="5"/>
      <c r="W3579" s="5"/>
      <c r="X3579" s="5"/>
      <c r="Y3579" s="5"/>
    </row>
    <row r="3580" spans="1:25" s="13" customFormat="1" x14ac:dyDescent="0.35">
      <c r="A3580" s="5"/>
      <c r="B3580" s="5"/>
      <c r="C3580" s="5"/>
      <c r="D3580" s="6"/>
      <c r="E3580" s="5"/>
      <c r="F3580" s="6"/>
      <c r="G3580" s="5"/>
      <c r="H3580" s="5"/>
      <c r="I3580" s="5"/>
      <c r="J3580" s="5"/>
      <c r="M3580" s="5"/>
      <c r="N3580"/>
      <c r="O3580"/>
      <c r="P3580" s="5"/>
      <c r="Q3580" s="5"/>
      <c r="R3580" s="5"/>
      <c r="S3580" s="5"/>
      <c r="T3580" s="5"/>
      <c r="U3580" s="5"/>
      <c r="V3580" s="5"/>
      <c r="W3580" s="5"/>
      <c r="X3580" s="5"/>
      <c r="Y3580" s="5"/>
    </row>
    <row r="3581" spans="1:25" s="13" customFormat="1" x14ac:dyDescent="0.35">
      <c r="A3581" s="5"/>
      <c r="B3581" s="5"/>
      <c r="C3581" s="5"/>
      <c r="D3581" s="6"/>
      <c r="E3581" s="5"/>
      <c r="F3581" s="6"/>
      <c r="G3581" s="5"/>
      <c r="H3581" s="5"/>
      <c r="I3581" s="5"/>
      <c r="J3581" s="5"/>
      <c r="M3581" s="5"/>
      <c r="N3581"/>
      <c r="O3581"/>
      <c r="P3581" s="5"/>
      <c r="Q3581" s="5"/>
      <c r="R3581" s="5"/>
      <c r="S3581" s="5"/>
      <c r="T3581" s="5"/>
      <c r="U3581" s="5"/>
      <c r="V3581" s="5"/>
      <c r="W3581" s="5"/>
      <c r="X3581" s="5"/>
      <c r="Y3581" s="5"/>
    </row>
    <row r="3582" spans="1:25" s="13" customFormat="1" x14ac:dyDescent="0.35">
      <c r="A3582" s="5"/>
      <c r="B3582" s="5"/>
      <c r="C3582" s="5"/>
      <c r="D3582" s="6"/>
      <c r="E3582" s="5"/>
      <c r="F3582" s="6"/>
      <c r="G3582" s="5"/>
      <c r="H3582" s="5"/>
      <c r="I3582" s="5"/>
      <c r="J3582" s="5"/>
      <c r="M3582" s="5"/>
      <c r="N3582"/>
      <c r="O3582"/>
      <c r="P3582" s="5"/>
      <c r="Q3582" s="5"/>
      <c r="R3582" s="5"/>
      <c r="S3582" s="5"/>
      <c r="T3582" s="5"/>
      <c r="U3582" s="5"/>
      <c r="V3582" s="5"/>
      <c r="W3582" s="5"/>
      <c r="X3582" s="5"/>
      <c r="Y3582" s="5"/>
    </row>
    <row r="3583" spans="1:25" s="13" customFormat="1" x14ac:dyDescent="0.35">
      <c r="A3583" s="5"/>
      <c r="B3583" s="5"/>
      <c r="C3583" s="5"/>
      <c r="D3583" s="6"/>
      <c r="E3583" s="5"/>
      <c r="F3583" s="6"/>
      <c r="G3583" s="5"/>
      <c r="H3583" s="5"/>
      <c r="I3583" s="5"/>
      <c r="J3583" s="5"/>
      <c r="M3583" s="5"/>
      <c r="N3583"/>
      <c r="O3583"/>
      <c r="P3583" s="5"/>
      <c r="Q3583" s="5"/>
      <c r="R3583" s="5"/>
      <c r="S3583" s="5"/>
      <c r="T3583" s="5"/>
      <c r="U3583" s="5"/>
      <c r="V3583" s="5"/>
      <c r="W3583" s="5"/>
      <c r="X3583" s="5"/>
      <c r="Y3583" s="5"/>
    </row>
    <row r="3584" spans="1:25" s="13" customFormat="1" x14ac:dyDescent="0.35">
      <c r="A3584" s="5"/>
      <c r="B3584" s="5"/>
      <c r="C3584" s="5"/>
      <c r="D3584" s="6"/>
      <c r="E3584" s="5"/>
      <c r="F3584" s="6"/>
      <c r="G3584" s="5"/>
      <c r="H3584" s="5"/>
      <c r="I3584" s="5"/>
      <c r="J3584" s="5"/>
      <c r="M3584" s="5"/>
      <c r="N3584"/>
      <c r="O3584"/>
      <c r="P3584" s="5"/>
      <c r="Q3584" s="5"/>
      <c r="R3584" s="5"/>
      <c r="S3584" s="5"/>
      <c r="T3584" s="5"/>
      <c r="U3584" s="5"/>
      <c r="V3584" s="5"/>
      <c r="W3584" s="5"/>
      <c r="X3584" s="5"/>
      <c r="Y3584" s="5"/>
    </row>
    <row r="3585" spans="1:25" s="13" customFormat="1" x14ac:dyDescent="0.35">
      <c r="A3585" s="5"/>
      <c r="B3585" s="5"/>
      <c r="C3585" s="5"/>
      <c r="D3585" s="6"/>
      <c r="E3585" s="5"/>
      <c r="F3585" s="6"/>
      <c r="G3585" s="5"/>
      <c r="H3585" s="5"/>
      <c r="I3585" s="5"/>
      <c r="J3585" s="5"/>
      <c r="M3585" s="5"/>
      <c r="N3585"/>
      <c r="O3585"/>
      <c r="P3585" s="5"/>
      <c r="Q3585" s="5"/>
      <c r="R3585" s="5"/>
      <c r="S3585" s="5"/>
      <c r="T3585" s="5"/>
      <c r="U3585" s="5"/>
      <c r="V3585" s="5"/>
      <c r="W3585" s="5"/>
      <c r="X3585" s="5"/>
      <c r="Y3585" s="5"/>
    </row>
    <row r="3586" spans="1:25" x14ac:dyDescent="0.35">
      <c r="N3586"/>
      <c r="O3586"/>
    </row>
    <row r="3587" spans="1:25" x14ac:dyDescent="0.35">
      <c r="N3587"/>
      <c r="O3587"/>
    </row>
    <row r="3588" spans="1:25" x14ac:dyDescent="0.35">
      <c r="N3588"/>
      <c r="O3588"/>
    </row>
    <row r="3589" spans="1:25" x14ac:dyDescent="0.35">
      <c r="N3589"/>
      <c r="O3589"/>
    </row>
    <row r="3590" spans="1:25" x14ac:dyDescent="0.35">
      <c r="N3590"/>
      <c r="O3590"/>
    </row>
    <row r="3591" spans="1:25" x14ac:dyDescent="0.35">
      <c r="N3591"/>
      <c r="O3591"/>
    </row>
    <row r="3592" spans="1:25" x14ac:dyDescent="0.35">
      <c r="N3592"/>
      <c r="O3592"/>
    </row>
    <row r="3593" spans="1:25" x14ac:dyDescent="0.35">
      <c r="N3593"/>
      <c r="O3593"/>
    </row>
    <row r="3594" spans="1:25" x14ac:dyDescent="0.35">
      <c r="N3594"/>
      <c r="O3594"/>
    </row>
    <row r="3595" spans="1:25" x14ac:dyDescent="0.35">
      <c r="N3595"/>
      <c r="O3595"/>
    </row>
    <row r="3596" spans="1:25" x14ac:dyDescent="0.35">
      <c r="N3596"/>
      <c r="O3596"/>
    </row>
    <row r="3597" spans="1:25" x14ac:dyDescent="0.35">
      <c r="N3597"/>
      <c r="O3597"/>
    </row>
    <row r="3613" spans="1:25" s="13" customFormat="1" x14ac:dyDescent="0.35">
      <c r="A3613" s="5"/>
      <c r="B3613" s="5"/>
      <c r="C3613" s="5"/>
      <c r="D3613" s="6"/>
      <c r="E3613" s="5"/>
      <c r="F3613" s="6"/>
      <c r="G3613" s="5"/>
      <c r="H3613" s="5"/>
      <c r="I3613" s="5"/>
      <c r="J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</row>
    <row r="3614" spans="1:25" s="13" customFormat="1" x14ac:dyDescent="0.35">
      <c r="A3614" s="5"/>
      <c r="B3614" s="5"/>
      <c r="C3614" s="5"/>
      <c r="D3614" s="6"/>
      <c r="E3614" s="5"/>
      <c r="F3614" s="6"/>
      <c r="G3614" s="5"/>
      <c r="H3614" s="5"/>
      <c r="I3614" s="5"/>
      <c r="J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</row>
    <row r="3615" spans="1:25" s="13" customFormat="1" x14ac:dyDescent="0.35">
      <c r="A3615" s="5"/>
      <c r="B3615" s="5"/>
      <c r="C3615" s="5"/>
      <c r="D3615" s="6"/>
      <c r="E3615" s="5"/>
      <c r="F3615" s="6"/>
      <c r="G3615" s="5"/>
      <c r="H3615" s="5"/>
      <c r="I3615" s="5"/>
      <c r="J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</row>
    <row r="3616" spans="1:25" s="13" customFormat="1" x14ac:dyDescent="0.35">
      <c r="A3616" s="5"/>
      <c r="B3616" s="5"/>
      <c r="C3616" s="5"/>
      <c r="D3616" s="6"/>
      <c r="E3616" s="5"/>
      <c r="F3616" s="6"/>
      <c r="G3616" s="5"/>
      <c r="H3616" s="5"/>
      <c r="I3616" s="5"/>
      <c r="J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</row>
    <row r="3619" spans="1:25" s="13" customFormat="1" x14ac:dyDescent="0.35">
      <c r="A3619" s="5"/>
      <c r="B3619" s="5"/>
      <c r="C3619" s="5"/>
      <c r="D3619" s="6"/>
      <c r="E3619" s="5"/>
      <c r="F3619" s="6"/>
      <c r="G3619" s="5"/>
      <c r="H3619" s="5"/>
      <c r="I3619" s="5"/>
      <c r="J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</row>
    <row r="3620" spans="1:25" s="13" customFormat="1" x14ac:dyDescent="0.35">
      <c r="A3620" s="5"/>
      <c r="B3620" s="5"/>
      <c r="C3620" s="5"/>
      <c r="D3620" s="6"/>
      <c r="E3620" s="5"/>
      <c r="F3620" s="6"/>
      <c r="G3620" s="5"/>
      <c r="H3620" s="5"/>
      <c r="I3620" s="5"/>
      <c r="J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</row>
    <row r="3621" spans="1:25" s="13" customFormat="1" x14ac:dyDescent="0.35">
      <c r="A3621" s="5"/>
      <c r="B3621" s="5"/>
      <c r="C3621" s="5"/>
      <c r="D3621" s="6"/>
      <c r="E3621" s="5"/>
      <c r="F3621" s="6"/>
      <c r="G3621" s="5"/>
      <c r="H3621" s="5"/>
      <c r="I3621" s="5"/>
      <c r="J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</row>
    <row r="3622" spans="1:25" s="13" customFormat="1" x14ac:dyDescent="0.35">
      <c r="A3622" s="5"/>
      <c r="B3622" s="5"/>
      <c r="C3622" s="5"/>
      <c r="D3622" s="6"/>
      <c r="E3622" s="5"/>
      <c r="F3622" s="6"/>
      <c r="G3622" s="5"/>
      <c r="H3622" s="5"/>
      <c r="I3622" s="5"/>
      <c r="J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</row>
    <row r="3623" spans="1:25" s="13" customFormat="1" x14ac:dyDescent="0.35">
      <c r="A3623" s="5"/>
      <c r="B3623" s="5"/>
      <c r="C3623" s="5"/>
      <c r="D3623" s="6"/>
      <c r="E3623" s="5"/>
      <c r="F3623" s="6"/>
      <c r="G3623" s="5"/>
      <c r="H3623" s="5"/>
      <c r="I3623" s="5"/>
      <c r="J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</row>
    <row r="3624" spans="1:25" s="13" customFormat="1" x14ac:dyDescent="0.35">
      <c r="A3624" s="5"/>
      <c r="B3624" s="5"/>
      <c r="C3624" s="5"/>
      <c r="D3624" s="6"/>
      <c r="E3624" s="5"/>
      <c r="F3624" s="6"/>
      <c r="G3624" s="5"/>
      <c r="H3624" s="5"/>
      <c r="I3624" s="5"/>
      <c r="J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</row>
    <row r="3625" spans="1:25" s="13" customFormat="1" x14ac:dyDescent="0.35">
      <c r="A3625" s="5"/>
      <c r="B3625" s="5"/>
      <c r="C3625" s="5"/>
      <c r="D3625" s="6"/>
      <c r="E3625" s="5"/>
      <c r="F3625" s="6"/>
      <c r="G3625" s="5"/>
      <c r="H3625" s="5"/>
      <c r="I3625" s="5"/>
      <c r="J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</row>
    <row r="3626" spans="1:25" s="13" customFormat="1" x14ac:dyDescent="0.35">
      <c r="A3626" s="5"/>
      <c r="B3626" s="5"/>
      <c r="C3626" s="5"/>
      <c r="D3626" s="6"/>
      <c r="E3626" s="5"/>
      <c r="F3626" s="6"/>
      <c r="G3626" s="5"/>
      <c r="H3626" s="5"/>
      <c r="I3626" s="5"/>
      <c r="J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</row>
    <row r="3627" spans="1:25" s="13" customFormat="1" x14ac:dyDescent="0.35">
      <c r="A3627" s="5"/>
      <c r="B3627" s="5"/>
      <c r="C3627" s="5"/>
      <c r="D3627" s="6"/>
      <c r="E3627" s="5"/>
      <c r="F3627" s="6"/>
      <c r="G3627" s="5"/>
      <c r="H3627" s="5"/>
      <c r="I3627" s="5"/>
      <c r="J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</row>
    <row r="3628" spans="1:25" s="13" customFormat="1" x14ac:dyDescent="0.35">
      <c r="A3628" s="5"/>
      <c r="B3628" s="5"/>
      <c r="C3628" s="5"/>
      <c r="D3628" s="6"/>
      <c r="E3628" s="5"/>
      <c r="F3628" s="6"/>
      <c r="G3628" s="5"/>
      <c r="H3628" s="5"/>
      <c r="I3628" s="5"/>
      <c r="J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</row>
    <row r="3664" spans="13:25" x14ac:dyDescent="0.35">
      <c r="M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</row>
    <row r="3665" spans="13:25" x14ac:dyDescent="0.35">
      <c r="M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</row>
    <row r="3666" spans="13:25" x14ac:dyDescent="0.35">
      <c r="M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</row>
    <row r="3667" spans="13:25" x14ac:dyDescent="0.35">
      <c r="M3667" s="13"/>
      <c r="O3667" s="13"/>
      <c r="P3667" s="13"/>
      <c r="Q3667" s="13"/>
      <c r="R3667" s="13"/>
      <c r="S3667" s="13"/>
      <c r="T3667" s="13"/>
      <c r="U3667" s="13"/>
      <c r="V3667" s="13"/>
      <c r="W3667" s="13"/>
      <c r="X3667" s="13"/>
      <c r="Y3667" s="13"/>
    </row>
    <row r="3668" spans="13:25" x14ac:dyDescent="0.35">
      <c r="M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</row>
    <row r="3669" spans="13:25" x14ac:dyDescent="0.35">
      <c r="M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</row>
    <row r="3670" spans="13:25" x14ac:dyDescent="0.35">
      <c r="M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</row>
    <row r="3702" spans="1:25" s="13" customFormat="1" x14ac:dyDescent="0.35">
      <c r="A3702" s="5"/>
      <c r="B3702" s="5"/>
      <c r="C3702" s="5"/>
      <c r="D3702" s="6"/>
      <c r="E3702" s="5"/>
      <c r="F3702" s="6"/>
      <c r="G3702" s="5"/>
      <c r="H3702" s="5"/>
      <c r="I3702" s="5"/>
      <c r="J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</row>
    <row r="3703" spans="1:25" s="13" customFormat="1" x14ac:dyDescent="0.35">
      <c r="A3703" s="5"/>
      <c r="B3703" s="5"/>
      <c r="C3703" s="5"/>
      <c r="D3703" s="6"/>
      <c r="E3703" s="5"/>
      <c r="F3703" s="6"/>
      <c r="G3703" s="5"/>
      <c r="H3703" s="5"/>
      <c r="I3703" s="5"/>
      <c r="J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</row>
    <row r="3704" spans="1:25" s="13" customFormat="1" x14ac:dyDescent="0.35">
      <c r="A3704" s="5"/>
      <c r="B3704" s="5"/>
      <c r="C3704" s="5"/>
      <c r="D3704" s="6"/>
      <c r="E3704" s="5"/>
      <c r="F3704" s="6"/>
      <c r="G3704" s="5"/>
      <c r="H3704" s="5"/>
      <c r="I3704" s="5"/>
      <c r="J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</row>
    <row r="3705" spans="1:25" s="13" customFormat="1" x14ac:dyDescent="0.35">
      <c r="A3705" s="5"/>
      <c r="B3705" s="5"/>
      <c r="C3705" s="5"/>
      <c r="D3705" s="6"/>
      <c r="E3705" s="5"/>
      <c r="F3705" s="6"/>
      <c r="G3705" s="5"/>
      <c r="H3705" s="5"/>
      <c r="I3705" s="5"/>
      <c r="J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</row>
    <row r="3706" spans="1:25" s="13" customFormat="1" x14ac:dyDescent="0.35">
      <c r="A3706" s="5"/>
      <c r="B3706" s="5"/>
      <c r="C3706" s="5"/>
      <c r="D3706" s="6"/>
      <c r="E3706" s="5"/>
      <c r="F3706" s="6"/>
      <c r="G3706" s="5"/>
      <c r="H3706" s="5"/>
      <c r="I3706" s="5"/>
      <c r="J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</row>
    <row r="3707" spans="1:25" s="13" customFormat="1" x14ac:dyDescent="0.35">
      <c r="A3707" s="5"/>
      <c r="B3707" s="5"/>
      <c r="C3707" s="5"/>
      <c r="D3707" s="6"/>
      <c r="E3707" s="5"/>
      <c r="F3707" s="6"/>
      <c r="G3707" s="5"/>
      <c r="H3707" s="5"/>
      <c r="I3707" s="5"/>
      <c r="J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</row>
    <row r="3735" spans="13:25" x14ac:dyDescent="0.35">
      <c r="M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</row>
    <row r="3736" spans="13:25" x14ac:dyDescent="0.35">
      <c r="M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</row>
    <row r="3751" spans="13:25" x14ac:dyDescent="0.35">
      <c r="M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</row>
    <row r="3856" spans="13:25" x14ac:dyDescent="0.35">
      <c r="M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</row>
    <row r="3891" spans="13:25" x14ac:dyDescent="0.35">
      <c r="M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</row>
    <row r="4150" spans="1:25" s="13" customFormat="1" x14ac:dyDescent="0.35">
      <c r="A4150" s="5"/>
      <c r="B4150" s="5"/>
      <c r="C4150" s="5"/>
      <c r="D4150" s="6"/>
      <c r="E4150" s="5"/>
      <c r="F4150" s="6"/>
      <c r="G4150" s="5"/>
      <c r="H4150" s="5"/>
      <c r="I4150" s="5"/>
      <c r="J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</row>
    <row r="4151" spans="1:25" s="13" customFormat="1" x14ac:dyDescent="0.35">
      <c r="A4151" s="5"/>
      <c r="B4151" s="5"/>
      <c r="C4151" s="5"/>
      <c r="D4151" s="6"/>
      <c r="E4151" s="5"/>
      <c r="F4151" s="6"/>
      <c r="G4151" s="5"/>
      <c r="H4151" s="5"/>
      <c r="I4151" s="5"/>
      <c r="J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</row>
    <row r="4152" spans="1:25" s="13" customFormat="1" x14ac:dyDescent="0.35">
      <c r="A4152" s="5"/>
      <c r="B4152" s="5"/>
      <c r="C4152" s="5"/>
      <c r="D4152" s="6"/>
      <c r="E4152" s="5"/>
      <c r="F4152" s="6"/>
      <c r="G4152" s="5"/>
      <c r="H4152" s="5"/>
      <c r="I4152" s="5"/>
      <c r="J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</row>
    <row r="4153" spans="1:25" s="13" customFormat="1" x14ac:dyDescent="0.35">
      <c r="A4153" s="5"/>
      <c r="B4153" s="5"/>
      <c r="C4153" s="5"/>
      <c r="D4153" s="6"/>
      <c r="E4153" s="5"/>
      <c r="F4153" s="6"/>
      <c r="G4153" s="5"/>
      <c r="H4153" s="5"/>
      <c r="I4153" s="5"/>
      <c r="J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</row>
    <row r="4154" spans="1:25" s="13" customFormat="1" x14ac:dyDescent="0.35">
      <c r="A4154" s="5"/>
      <c r="B4154" s="5"/>
      <c r="C4154" s="5"/>
      <c r="D4154" s="6"/>
      <c r="E4154" s="5"/>
      <c r="F4154" s="6"/>
      <c r="G4154" s="5"/>
      <c r="H4154" s="5"/>
      <c r="I4154" s="5"/>
      <c r="J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</row>
    <row r="4155" spans="1:25" s="13" customFormat="1" x14ac:dyDescent="0.35">
      <c r="A4155" s="5"/>
      <c r="B4155" s="5"/>
      <c r="C4155" s="5"/>
      <c r="D4155" s="6"/>
      <c r="E4155" s="5"/>
      <c r="F4155" s="6"/>
      <c r="G4155" s="5"/>
      <c r="H4155" s="5"/>
      <c r="I4155" s="5"/>
      <c r="J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</row>
    <row r="4156" spans="1:25" s="13" customFormat="1" x14ac:dyDescent="0.35">
      <c r="A4156" s="5"/>
      <c r="B4156" s="5"/>
      <c r="C4156" s="5"/>
      <c r="D4156" s="6"/>
      <c r="E4156" s="5"/>
      <c r="F4156" s="6"/>
      <c r="G4156" s="5"/>
      <c r="H4156" s="5"/>
      <c r="I4156" s="5"/>
      <c r="J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</row>
    <row r="4221" spans="1:25" s="13" customFormat="1" x14ac:dyDescent="0.35">
      <c r="A4221" s="5"/>
      <c r="B4221" s="5"/>
      <c r="C4221" s="5"/>
      <c r="D4221" s="6"/>
      <c r="E4221" s="5"/>
      <c r="F4221" s="6"/>
      <c r="G4221" s="5"/>
      <c r="H4221" s="5"/>
      <c r="I4221" s="5"/>
      <c r="J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</row>
    <row r="4222" spans="1:25" s="13" customFormat="1" x14ac:dyDescent="0.35">
      <c r="A4222" s="5"/>
      <c r="B4222" s="5"/>
      <c r="C4222" s="5"/>
      <c r="D4222" s="6"/>
      <c r="E4222" s="5"/>
      <c r="F4222" s="6"/>
      <c r="G4222" s="5"/>
      <c r="H4222" s="5"/>
      <c r="I4222" s="5"/>
      <c r="J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</row>
    <row r="4237" spans="1:25" s="13" customFormat="1" x14ac:dyDescent="0.35">
      <c r="A4237" s="5"/>
      <c r="B4237" s="5"/>
      <c r="C4237" s="5"/>
      <c r="D4237" s="6"/>
      <c r="E4237" s="5"/>
      <c r="F4237" s="6"/>
      <c r="G4237" s="5"/>
      <c r="H4237" s="5"/>
      <c r="I4237" s="5"/>
      <c r="J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</row>
    <row r="4342" spans="1:25" s="13" customFormat="1" x14ac:dyDescent="0.35">
      <c r="A4342" s="5"/>
      <c r="B4342" s="5"/>
      <c r="C4342" s="5"/>
      <c r="D4342" s="6"/>
      <c r="E4342" s="5"/>
      <c r="F4342" s="6"/>
      <c r="G4342" s="5"/>
      <c r="H4342" s="5"/>
      <c r="I4342" s="5"/>
      <c r="J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</row>
    <row r="4357" ht="14.25" customHeight="1" x14ac:dyDescent="0.35"/>
    <row r="4377" spans="1:25" s="13" customFormat="1" x14ac:dyDescent="0.35">
      <c r="A4377" s="5"/>
      <c r="B4377" s="5"/>
      <c r="C4377" s="5"/>
      <c r="D4377" s="6"/>
      <c r="E4377" s="5"/>
      <c r="F4377" s="6"/>
      <c r="G4377" s="5"/>
      <c r="H4377" s="5"/>
      <c r="I4377" s="5"/>
      <c r="J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</row>
    <row r="4543" spans="16:22" x14ac:dyDescent="0.35">
      <c r="P4543" s="15"/>
      <c r="Q4543" s="15"/>
      <c r="R4543" s="15"/>
      <c r="S4543" s="15"/>
      <c r="U4543" s="15"/>
      <c r="V4543" s="16"/>
    </row>
    <row r="4544" spans="16:22" x14ac:dyDescent="0.35">
      <c r="P4544" s="15"/>
      <c r="Q4544" s="15"/>
      <c r="R4544" s="15"/>
      <c r="S4544" s="15"/>
      <c r="U4544" s="15"/>
    </row>
    <row r="4545" spans="16:22" x14ac:dyDescent="0.35">
      <c r="P4545" s="15"/>
      <c r="Q4545" s="15"/>
      <c r="R4545" s="15"/>
      <c r="S4545" s="15"/>
      <c r="U4545" s="15"/>
      <c r="V4545" s="16"/>
    </row>
    <row r="4546" spans="16:22" x14ac:dyDescent="0.35">
      <c r="P4546" s="15"/>
      <c r="Q4546" s="15"/>
      <c r="R4546" s="15"/>
      <c r="S4546" s="15"/>
      <c r="U4546" s="15"/>
    </row>
    <row r="4547" spans="16:22" x14ac:dyDescent="0.35">
      <c r="P4547" s="15"/>
      <c r="Q4547" s="15"/>
      <c r="R4547" s="15"/>
      <c r="S4547" s="15"/>
      <c r="U4547" s="15"/>
      <c r="V4547" s="16"/>
    </row>
    <row r="4548" spans="16:22" x14ac:dyDescent="0.35">
      <c r="P4548" s="15"/>
      <c r="Q4548" s="15"/>
      <c r="R4548" s="15"/>
      <c r="S4548" s="15"/>
      <c r="U4548" s="15"/>
    </row>
    <row r="4549" spans="16:22" x14ac:dyDescent="0.35">
      <c r="P4549" s="15"/>
      <c r="Q4549" s="15"/>
      <c r="R4549" s="15"/>
      <c r="S4549" s="15"/>
      <c r="U4549" s="15"/>
      <c r="V4549" s="16"/>
    </row>
    <row r="4550" spans="16:22" x14ac:dyDescent="0.35">
      <c r="P4550" s="15"/>
      <c r="Q4550" s="15"/>
      <c r="R4550" s="15"/>
      <c r="S4550" s="15"/>
      <c r="U4550" s="15"/>
    </row>
    <row r="4551" spans="16:22" x14ac:dyDescent="0.35">
      <c r="P4551" s="15"/>
      <c r="Q4551" s="15"/>
      <c r="R4551" s="15"/>
      <c r="S4551" s="15"/>
      <c r="U4551" s="15"/>
      <c r="V4551" s="16"/>
    </row>
    <row r="4552" spans="16:22" x14ac:dyDescent="0.35">
      <c r="P4552" s="15"/>
      <c r="Q4552" s="15"/>
      <c r="R4552" s="15"/>
      <c r="S4552" s="15"/>
      <c r="U4552" s="15"/>
    </row>
    <row r="4553" spans="16:22" x14ac:dyDescent="0.35">
      <c r="P4553" s="15"/>
      <c r="Q4553" s="15"/>
      <c r="R4553" s="15"/>
      <c r="S4553" s="15"/>
      <c r="U4553" s="15"/>
      <c r="V4553" s="16"/>
    </row>
    <row r="4554" spans="16:22" x14ac:dyDescent="0.35">
      <c r="P4554" s="15"/>
      <c r="Q4554" s="15"/>
      <c r="R4554" s="15"/>
      <c r="S4554" s="15"/>
      <c r="U4554" s="15"/>
    </row>
    <row r="4555" spans="16:22" x14ac:dyDescent="0.35">
      <c r="P4555" s="15"/>
      <c r="Q4555" s="15"/>
      <c r="R4555" s="15"/>
      <c r="S4555" s="15"/>
      <c r="U4555" s="15"/>
      <c r="V4555" s="16"/>
    </row>
    <row r="4556" spans="16:22" x14ac:dyDescent="0.35">
      <c r="P4556" s="15"/>
      <c r="Q4556" s="15"/>
      <c r="R4556" s="15"/>
      <c r="S4556" s="15"/>
      <c r="U4556" s="15"/>
    </row>
    <row r="4557" spans="16:22" x14ac:dyDescent="0.35">
      <c r="P4557" s="15"/>
      <c r="Q4557" s="15"/>
      <c r="R4557" s="15"/>
      <c r="S4557" s="15"/>
      <c r="U4557" s="15"/>
      <c r="V4557" s="16"/>
    </row>
    <row r="4558" spans="16:22" x14ac:dyDescent="0.35">
      <c r="P4558" s="15"/>
      <c r="Q4558" s="15"/>
      <c r="R4558" s="15"/>
      <c r="S4558" s="15"/>
      <c r="U4558" s="15"/>
    </row>
    <row r="4559" spans="16:22" x14ac:dyDescent="0.35">
      <c r="P4559" s="15"/>
      <c r="Q4559" s="15"/>
      <c r="R4559" s="15"/>
      <c r="S4559" s="15"/>
      <c r="U4559" s="15"/>
      <c r="V4559" s="16"/>
    </row>
    <row r="4560" spans="16:22" x14ac:dyDescent="0.35">
      <c r="P4560" s="15"/>
      <c r="Q4560" s="15"/>
      <c r="R4560" s="15"/>
      <c r="S4560" s="15"/>
      <c r="U4560" s="15"/>
    </row>
    <row r="4561" spans="16:22" x14ac:dyDescent="0.35">
      <c r="P4561" s="15"/>
      <c r="Q4561" s="15"/>
      <c r="R4561" s="15"/>
      <c r="S4561" s="15"/>
      <c r="U4561" s="15"/>
      <c r="V4561" s="16"/>
    </row>
    <row r="4562" spans="16:22" x14ac:dyDescent="0.35">
      <c r="P4562" s="15"/>
      <c r="Q4562" s="15"/>
      <c r="R4562" s="15"/>
      <c r="S4562" s="15"/>
      <c r="U4562" s="15"/>
    </row>
    <row r="4563" spans="16:22" x14ac:dyDescent="0.35">
      <c r="P4563" s="15"/>
      <c r="Q4563" s="15"/>
      <c r="R4563" s="15"/>
      <c r="S4563" s="15"/>
      <c r="U4563" s="15"/>
      <c r="V4563" s="16"/>
    </row>
    <row r="4564" spans="16:22" x14ac:dyDescent="0.35">
      <c r="P4564" s="15"/>
      <c r="Q4564" s="15"/>
      <c r="R4564" s="15"/>
      <c r="S4564" s="15"/>
      <c r="U4564" s="15"/>
    </row>
    <row r="4565" spans="16:22" x14ac:dyDescent="0.35">
      <c r="P4565" s="15"/>
      <c r="Q4565" s="15"/>
      <c r="R4565" s="15"/>
      <c r="S4565" s="15"/>
      <c r="U4565" s="15"/>
      <c r="V4565" s="16"/>
    </row>
    <row r="4566" spans="16:22" x14ac:dyDescent="0.35">
      <c r="P4566" s="15"/>
      <c r="Q4566" s="15"/>
      <c r="R4566" s="15"/>
      <c r="S4566" s="15"/>
      <c r="U4566" s="15"/>
    </row>
    <row r="4567" spans="16:22" x14ac:dyDescent="0.35">
      <c r="P4567" s="15"/>
      <c r="Q4567" s="15"/>
      <c r="R4567" s="15"/>
      <c r="S4567" s="15"/>
      <c r="U4567" s="15"/>
      <c r="V4567" s="16"/>
    </row>
    <row r="4568" spans="16:22" x14ac:dyDescent="0.35">
      <c r="P4568" s="15"/>
      <c r="Q4568" s="15"/>
      <c r="R4568" s="15"/>
      <c r="S4568" s="15"/>
      <c r="U4568" s="15"/>
    </row>
    <row r="4569" spans="16:22" x14ac:dyDescent="0.35">
      <c r="P4569" s="15"/>
      <c r="Q4569" s="15"/>
      <c r="R4569" s="15"/>
      <c r="S4569" s="15"/>
      <c r="U4569" s="15"/>
      <c r="V4569" s="16"/>
    </row>
    <row r="4570" spans="16:22" x14ac:dyDescent="0.35">
      <c r="P4570" s="15"/>
      <c r="Q4570" s="15"/>
      <c r="R4570" s="15"/>
      <c r="S4570" s="15"/>
      <c r="U4570" s="15"/>
    </row>
    <row r="4571" spans="16:22" x14ac:dyDescent="0.35">
      <c r="P4571" s="15"/>
      <c r="Q4571" s="15"/>
      <c r="R4571" s="15"/>
      <c r="S4571" s="15"/>
      <c r="U4571" s="15"/>
      <c r="V4571" s="16"/>
    </row>
    <row r="4572" spans="16:22" x14ac:dyDescent="0.35">
      <c r="P4572" s="15"/>
      <c r="Q4572" s="15"/>
      <c r="R4572" s="15"/>
      <c r="S4572" s="15"/>
      <c r="U4572" s="15"/>
    </row>
    <row r="4573" spans="16:22" x14ac:dyDescent="0.35">
      <c r="P4573" s="15"/>
      <c r="Q4573" s="15"/>
      <c r="R4573" s="15"/>
      <c r="S4573" s="15"/>
      <c r="U4573" s="15"/>
      <c r="V4573" s="16"/>
    </row>
    <row r="4574" spans="16:22" x14ac:dyDescent="0.35">
      <c r="P4574" s="15"/>
      <c r="Q4574" s="15"/>
      <c r="R4574" s="15"/>
      <c r="S4574" s="15"/>
      <c r="U4574" s="15"/>
    </row>
    <row r="4575" spans="16:22" x14ac:dyDescent="0.35">
      <c r="P4575" s="15"/>
      <c r="Q4575" s="15"/>
      <c r="R4575" s="15"/>
      <c r="S4575" s="15"/>
      <c r="U4575" s="15"/>
      <c r="V4575" s="16"/>
    </row>
    <row r="4576" spans="16:22" x14ac:dyDescent="0.35">
      <c r="P4576" s="15"/>
      <c r="Q4576" s="15"/>
      <c r="R4576" s="15"/>
      <c r="S4576" s="15"/>
      <c r="U4576" s="15"/>
    </row>
    <row r="4577" spans="16:22" x14ac:dyDescent="0.35">
      <c r="P4577" s="15"/>
      <c r="Q4577" s="15"/>
      <c r="R4577" s="15"/>
      <c r="S4577" s="15"/>
      <c r="U4577" s="15"/>
      <c r="V4577" s="16"/>
    </row>
    <row r="4578" spans="16:22" x14ac:dyDescent="0.35">
      <c r="P4578" s="15"/>
      <c r="Q4578" s="15"/>
      <c r="R4578" s="15"/>
      <c r="S4578" s="15"/>
      <c r="U4578" s="15"/>
    </row>
    <row r="4579" spans="16:22" x14ac:dyDescent="0.35">
      <c r="P4579" s="15"/>
      <c r="Q4579" s="15"/>
      <c r="R4579" s="15"/>
      <c r="S4579" s="15"/>
      <c r="U4579" s="15"/>
      <c r="V4579" s="16"/>
    </row>
    <row r="4580" spans="16:22" x14ac:dyDescent="0.35">
      <c r="P4580" s="15"/>
      <c r="Q4580" s="15"/>
      <c r="R4580" s="15"/>
      <c r="S4580" s="15"/>
      <c r="U4580" s="15"/>
    </row>
    <row r="4581" spans="16:22" x14ac:dyDescent="0.35">
      <c r="P4581" s="15"/>
      <c r="Q4581" s="15"/>
      <c r="R4581" s="15"/>
      <c r="S4581" s="15"/>
      <c r="U4581" s="15"/>
      <c r="V4581" s="16"/>
    </row>
    <row r="4582" spans="16:22" x14ac:dyDescent="0.35">
      <c r="P4582" s="15"/>
      <c r="Q4582" s="15"/>
      <c r="R4582" s="15"/>
      <c r="S4582" s="15"/>
      <c r="U4582" s="15"/>
    </row>
    <row r="4583" spans="16:22" x14ac:dyDescent="0.35">
      <c r="P4583" s="15"/>
      <c r="Q4583" s="15"/>
      <c r="R4583" s="15"/>
      <c r="S4583" s="15"/>
      <c r="U4583" s="15"/>
      <c r="V4583" s="16"/>
    </row>
    <row r="4584" spans="16:22" x14ac:dyDescent="0.35">
      <c r="P4584" s="15"/>
      <c r="Q4584" s="15"/>
      <c r="R4584" s="15"/>
      <c r="S4584" s="15"/>
      <c r="U4584" s="15"/>
    </row>
    <row r="4585" spans="16:22" x14ac:dyDescent="0.35">
      <c r="P4585" s="15"/>
      <c r="Q4585" s="15"/>
      <c r="R4585" s="15"/>
      <c r="S4585" s="15"/>
      <c r="U4585" s="15"/>
      <c r="V4585" s="16"/>
    </row>
    <row r="4586" spans="16:22" x14ac:dyDescent="0.35">
      <c r="P4586" s="15"/>
      <c r="Q4586" s="15"/>
      <c r="R4586" s="15"/>
      <c r="S4586" s="15"/>
      <c r="U4586" s="15"/>
    </row>
    <row r="4587" spans="16:22" x14ac:dyDescent="0.35">
      <c r="P4587" s="15"/>
      <c r="Q4587" s="15"/>
      <c r="R4587" s="15"/>
      <c r="S4587" s="15"/>
      <c r="U4587" s="15"/>
      <c r="V4587" s="16"/>
    </row>
    <row r="4588" spans="16:22" x14ac:dyDescent="0.35">
      <c r="P4588" s="15"/>
      <c r="Q4588" s="15"/>
      <c r="R4588" s="15"/>
      <c r="S4588" s="15"/>
      <c r="U4588" s="15"/>
    </row>
    <row r="4589" spans="16:22" x14ac:dyDescent="0.35">
      <c r="P4589" s="15"/>
      <c r="Q4589" s="15"/>
      <c r="R4589" s="15"/>
      <c r="S4589" s="15"/>
      <c r="U4589" s="15"/>
      <c r="V4589" s="16"/>
    </row>
    <row r="4590" spans="16:22" x14ac:dyDescent="0.35">
      <c r="P4590" s="15"/>
      <c r="Q4590" s="15"/>
      <c r="R4590" s="15"/>
      <c r="S4590" s="15"/>
      <c r="U4590" s="15"/>
    </row>
    <row r="4591" spans="16:22" x14ac:dyDescent="0.35">
      <c r="P4591" s="15"/>
      <c r="Q4591" s="15"/>
      <c r="R4591" s="15"/>
      <c r="S4591" s="15"/>
      <c r="U4591" s="15"/>
      <c r="V4591" s="16"/>
    </row>
    <row r="4592" spans="16:22" x14ac:dyDescent="0.35">
      <c r="P4592" s="15"/>
      <c r="Q4592" s="15"/>
      <c r="R4592" s="15"/>
      <c r="S4592" s="15"/>
      <c r="U4592" s="15"/>
    </row>
    <row r="4593" spans="16:22" x14ac:dyDescent="0.35">
      <c r="P4593" s="15"/>
      <c r="Q4593" s="15"/>
      <c r="R4593" s="15"/>
      <c r="S4593" s="15"/>
      <c r="U4593" s="15"/>
      <c r="V4593" s="16"/>
    </row>
    <row r="4594" spans="16:22" x14ac:dyDescent="0.35">
      <c r="P4594" s="15"/>
      <c r="Q4594" s="15"/>
      <c r="R4594" s="15"/>
      <c r="S4594" s="15"/>
      <c r="U4594" s="15"/>
    </row>
    <row r="4595" spans="16:22" x14ac:dyDescent="0.35">
      <c r="P4595" s="15"/>
      <c r="Q4595" s="15"/>
      <c r="R4595" s="15"/>
      <c r="S4595" s="15"/>
      <c r="U4595" s="15"/>
      <c r="V4595" s="16"/>
    </row>
    <row r="4596" spans="16:22" x14ac:dyDescent="0.35">
      <c r="P4596" s="15"/>
      <c r="Q4596" s="15"/>
      <c r="R4596" s="15"/>
      <c r="S4596" s="15"/>
      <c r="U4596" s="15"/>
    </row>
    <row r="4597" spans="16:22" x14ac:dyDescent="0.35">
      <c r="P4597" s="15"/>
      <c r="Q4597" s="15"/>
      <c r="R4597" s="15"/>
      <c r="S4597" s="15"/>
      <c r="U4597" s="15"/>
      <c r="V4597" s="16"/>
    </row>
    <row r="4598" spans="16:22" x14ac:dyDescent="0.35">
      <c r="P4598" s="15"/>
      <c r="Q4598" s="15"/>
      <c r="R4598" s="15"/>
      <c r="S4598" s="15"/>
      <c r="U4598" s="15"/>
    </row>
    <row r="4599" spans="16:22" x14ac:dyDescent="0.35">
      <c r="P4599" s="15"/>
      <c r="Q4599" s="15"/>
      <c r="R4599" s="15"/>
      <c r="S4599" s="15"/>
      <c r="U4599" s="15"/>
      <c r="V4599" s="16"/>
    </row>
    <row r="4600" spans="16:22" x14ac:dyDescent="0.35">
      <c r="P4600" s="15"/>
      <c r="Q4600" s="15"/>
      <c r="R4600" s="15"/>
      <c r="S4600" s="15"/>
      <c r="U4600" s="15"/>
    </row>
    <row r="4601" spans="16:22" x14ac:dyDescent="0.35">
      <c r="P4601" s="15"/>
      <c r="Q4601" s="15"/>
      <c r="R4601" s="15"/>
      <c r="S4601" s="15"/>
      <c r="U4601" s="15"/>
      <c r="V4601" s="16"/>
    </row>
    <row r="4602" spans="16:22" x14ac:dyDescent="0.35">
      <c r="P4602" s="15"/>
      <c r="Q4602" s="15"/>
      <c r="R4602" s="15"/>
      <c r="S4602" s="15"/>
      <c r="U4602" s="15"/>
    </row>
    <row r="4603" spans="16:22" x14ac:dyDescent="0.35">
      <c r="P4603" s="15"/>
      <c r="Q4603" s="15"/>
      <c r="R4603" s="15"/>
      <c r="S4603" s="15"/>
      <c r="U4603" s="15"/>
      <c r="V4603" s="16"/>
    </row>
    <row r="4604" spans="16:22" x14ac:dyDescent="0.35">
      <c r="P4604" s="15"/>
      <c r="Q4604" s="15"/>
      <c r="R4604" s="15"/>
      <c r="S4604" s="15"/>
      <c r="U4604" s="15"/>
    </row>
    <row r="4605" spans="16:22" x14ac:dyDescent="0.35">
      <c r="P4605" s="15"/>
      <c r="Q4605" s="15"/>
      <c r="R4605" s="15"/>
      <c r="S4605" s="15"/>
      <c r="U4605" s="15"/>
      <c r="V4605" s="16"/>
    </row>
    <row r="4606" spans="16:22" x14ac:dyDescent="0.35">
      <c r="P4606" s="15"/>
      <c r="Q4606" s="15"/>
      <c r="R4606" s="15"/>
      <c r="S4606" s="15"/>
      <c r="U4606" s="15"/>
    </row>
    <row r="4607" spans="16:22" x14ac:dyDescent="0.35">
      <c r="P4607" s="15"/>
      <c r="Q4607" s="15"/>
      <c r="R4607" s="15"/>
      <c r="S4607" s="15"/>
      <c r="U4607" s="15"/>
      <c r="V4607" s="16"/>
    </row>
    <row r="4608" spans="16:22" x14ac:dyDescent="0.35">
      <c r="P4608" s="15"/>
      <c r="Q4608" s="15"/>
      <c r="R4608" s="15"/>
      <c r="S4608" s="15"/>
      <c r="U4608" s="15"/>
    </row>
    <row r="4609" spans="16:22" x14ac:dyDescent="0.35">
      <c r="P4609" s="15"/>
      <c r="Q4609" s="15"/>
      <c r="R4609" s="15"/>
      <c r="S4609" s="15"/>
      <c r="U4609" s="15"/>
      <c r="V4609" s="16"/>
    </row>
    <row r="4610" spans="16:22" x14ac:dyDescent="0.35">
      <c r="P4610" s="15"/>
      <c r="Q4610" s="15"/>
      <c r="R4610" s="15"/>
      <c r="S4610" s="15"/>
      <c r="U4610" s="15"/>
    </row>
    <row r="4611" spans="16:22" x14ac:dyDescent="0.35">
      <c r="P4611" s="15"/>
      <c r="Q4611" s="15"/>
      <c r="R4611" s="15"/>
      <c r="S4611" s="15"/>
      <c r="U4611" s="15"/>
      <c r="V4611" s="16"/>
    </row>
    <row r="4612" spans="16:22" x14ac:dyDescent="0.35">
      <c r="P4612" s="15"/>
      <c r="Q4612" s="15"/>
      <c r="R4612" s="15"/>
      <c r="S4612" s="15"/>
      <c r="U4612" s="15"/>
    </row>
    <row r="4613" spans="16:22" x14ac:dyDescent="0.35">
      <c r="P4613" s="15"/>
      <c r="Q4613" s="15"/>
      <c r="R4613" s="15"/>
      <c r="S4613" s="15"/>
      <c r="U4613" s="15"/>
      <c r="V4613" s="16"/>
    </row>
    <row r="4614" spans="16:22" x14ac:dyDescent="0.35">
      <c r="P4614" s="15"/>
      <c r="Q4614" s="15"/>
      <c r="R4614" s="15"/>
      <c r="S4614" s="15"/>
      <c r="U4614" s="15"/>
    </row>
    <row r="4615" spans="16:22" x14ac:dyDescent="0.35">
      <c r="P4615" s="15"/>
      <c r="Q4615" s="15"/>
      <c r="R4615" s="15"/>
      <c r="S4615" s="15"/>
      <c r="U4615" s="15"/>
      <c r="V4615" s="16"/>
    </row>
    <row r="4616" spans="16:22" x14ac:dyDescent="0.35">
      <c r="P4616" s="15"/>
      <c r="Q4616" s="15"/>
      <c r="R4616" s="15"/>
      <c r="S4616" s="15"/>
      <c r="U4616" s="15"/>
    </row>
    <row r="4617" spans="16:22" x14ac:dyDescent="0.35">
      <c r="P4617" s="15"/>
      <c r="Q4617" s="15"/>
      <c r="R4617" s="15"/>
      <c r="S4617" s="15"/>
      <c r="U4617" s="15"/>
      <c r="V4617" s="16"/>
    </row>
    <row r="4618" spans="16:22" x14ac:dyDescent="0.35">
      <c r="P4618" s="15"/>
      <c r="Q4618" s="15"/>
      <c r="R4618" s="15"/>
      <c r="S4618" s="15"/>
      <c r="U4618" s="15"/>
    </row>
    <row r="4619" spans="16:22" x14ac:dyDescent="0.35">
      <c r="P4619" s="15"/>
      <c r="Q4619" s="15"/>
      <c r="R4619" s="15"/>
      <c r="S4619" s="15"/>
      <c r="U4619" s="15"/>
      <c r="V4619" s="16"/>
    </row>
    <row r="4620" spans="16:22" x14ac:dyDescent="0.35">
      <c r="P4620" s="15"/>
      <c r="Q4620" s="15"/>
      <c r="R4620" s="15"/>
      <c r="S4620" s="15"/>
      <c r="U4620" s="15"/>
    </row>
    <row r="4621" spans="16:22" x14ac:dyDescent="0.35">
      <c r="P4621" s="15"/>
      <c r="Q4621" s="15"/>
      <c r="R4621" s="15"/>
      <c r="S4621" s="15"/>
      <c r="U4621" s="15"/>
      <c r="V4621" s="16"/>
    </row>
    <row r="4622" spans="16:22" x14ac:dyDescent="0.35">
      <c r="P4622" s="15"/>
      <c r="Q4622" s="15"/>
      <c r="R4622" s="15"/>
      <c r="S4622" s="15"/>
      <c r="U4622" s="15"/>
    </row>
    <row r="4623" spans="16:22" x14ac:dyDescent="0.35">
      <c r="P4623" s="15"/>
      <c r="Q4623" s="15"/>
      <c r="R4623" s="15"/>
      <c r="S4623" s="15"/>
      <c r="U4623" s="15"/>
      <c r="V4623" s="16"/>
    </row>
    <row r="4624" spans="16:22" x14ac:dyDescent="0.35">
      <c r="P4624" s="15"/>
      <c r="Q4624" s="15"/>
      <c r="R4624" s="15"/>
      <c r="S4624" s="15"/>
      <c r="U4624" s="15"/>
    </row>
    <row r="4625" spans="16:22" x14ac:dyDescent="0.35">
      <c r="P4625" s="15"/>
      <c r="Q4625" s="15"/>
      <c r="R4625" s="15"/>
      <c r="S4625" s="15"/>
      <c r="U4625" s="15"/>
      <c r="V4625" s="16"/>
    </row>
    <row r="4626" spans="16:22" x14ac:dyDescent="0.35">
      <c r="P4626" s="15"/>
      <c r="Q4626" s="15"/>
      <c r="R4626" s="15"/>
      <c r="S4626" s="15"/>
      <c r="U4626" s="15"/>
    </row>
    <row r="4627" spans="16:22" x14ac:dyDescent="0.35">
      <c r="P4627" s="15"/>
      <c r="Q4627" s="15"/>
      <c r="R4627" s="15"/>
      <c r="S4627" s="15"/>
      <c r="U4627" s="15"/>
      <c r="V4627" s="16"/>
    </row>
    <row r="4628" spans="16:22" x14ac:dyDescent="0.35">
      <c r="P4628" s="15"/>
      <c r="Q4628" s="15"/>
      <c r="R4628" s="15"/>
      <c r="S4628" s="15"/>
      <c r="U4628" s="15"/>
    </row>
    <row r="4629" spans="16:22" x14ac:dyDescent="0.35">
      <c r="P4629" s="15"/>
      <c r="Q4629" s="15"/>
      <c r="R4629" s="15"/>
      <c r="S4629" s="15"/>
      <c r="U4629" s="15"/>
      <c r="V4629" s="16"/>
    </row>
    <row r="4630" spans="16:22" x14ac:dyDescent="0.35">
      <c r="P4630" s="15"/>
      <c r="Q4630" s="15"/>
      <c r="R4630" s="15"/>
      <c r="S4630" s="15"/>
      <c r="U4630" s="15"/>
    </row>
    <row r="4631" spans="16:22" x14ac:dyDescent="0.35">
      <c r="P4631" s="15"/>
      <c r="Q4631" s="15"/>
      <c r="R4631" s="15"/>
      <c r="S4631" s="15"/>
      <c r="U4631" s="15"/>
      <c r="V4631" s="16"/>
    </row>
    <row r="4632" spans="16:22" x14ac:dyDescent="0.35">
      <c r="P4632" s="15"/>
      <c r="Q4632" s="15"/>
      <c r="R4632" s="15"/>
      <c r="S4632" s="15"/>
      <c r="U4632" s="15"/>
    </row>
    <row r="4633" spans="16:22" x14ac:dyDescent="0.35">
      <c r="P4633" s="15"/>
      <c r="Q4633" s="15"/>
      <c r="R4633" s="15"/>
      <c r="S4633" s="15"/>
      <c r="U4633" s="15"/>
      <c r="V4633" s="16"/>
    </row>
    <row r="4634" spans="16:22" x14ac:dyDescent="0.35">
      <c r="P4634" s="15"/>
      <c r="Q4634" s="15"/>
      <c r="R4634" s="15"/>
      <c r="S4634" s="15"/>
      <c r="U4634" s="15"/>
    </row>
    <row r="4635" spans="16:22" x14ac:dyDescent="0.35">
      <c r="P4635" s="15"/>
      <c r="Q4635" s="15"/>
      <c r="R4635" s="15"/>
      <c r="S4635" s="15"/>
      <c r="U4635" s="15"/>
      <c r="V4635" s="16"/>
    </row>
    <row r="4636" spans="16:22" x14ac:dyDescent="0.35">
      <c r="P4636" s="15"/>
      <c r="Q4636" s="15"/>
      <c r="R4636" s="15"/>
      <c r="S4636" s="15"/>
      <c r="U4636" s="15"/>
    </row>
    <row r="4637" spans="16:22" x14ac:dyDescent="0.35">
      <c r="P4637" s="15"/>
      <c r="Q4637" s="15"/>
      <c r="R4637" s="15"/>
      <c r="S4637" s="15"/>
      <c r="U4637" s="15"/>
      <c r="V4637" s="16"/>
    </row>
    <row r="4638" spans="16:22" x14ac:dyDescent="0.35">
      <c r="P4638" s="15"/>
      <c r="Q4638" s="15"/>
      <c r="R4638" s="15"/>
      <c r="S4638" s="15"/>
      <c r="U4638" s="15"/>
    </row>
    <row r="4639" spans="16:22" x14ac:dyDescent="0.35">
      <c r="P4639" s="15"/>
      <c r="Q4639" s="15"/>
      <c r="R4639" s="15"/>
      <c r="S4639" s="15"/>
      <c r="U4639" s="15"/>
      <c r="V4639" s="16"/>
    </row>
    <row r="4640" spans="16:22" x14ac:dyDescent="0.35">
      <c r="P4640" s="15"/>
      <c r="Q4640" s="15"/>
      <c r="R4640" s="15"/>
      <c r="S4640" s="15"/>
      <c r="U4640" s="15"/>
    </row>
    <row r="4641" spans="16:22" x14ac:dyDescent="0.35">
      <c r="P4641" s="15"/>
      <c r="Q4641" s="15"/>
      <c r="R4641" s="15"/>
      <c r="S4641" s="15"/>
      <c r="U4641" s="15"/>
      <c r="V4641" s="16"/>
    </row>
    <row r="4642" spans="16:22" x14ac:dyDescent="0.35">
      <c r="P4642" s="15"/>
      <c r="Q4642" s="15"/>
      <c r="R4642" s="15"/>
      <c r="S4642" s="15"/>
      <c r="U4642" s="15"/>
    </row>
    <row r="4643" spans="16:22" x14ac:dyDescent="0.35">
      <c r="P4643" s="15"/>
      <c r="Q4643" s="15"/>
      <c r="R4643" s="15"/>
      <c r="S4643" s="15"/>
      <c r="U4643" s="15"/>
      <c r="V4643" s="16"/>
    </row>
    <row r="4644" spans="16:22" x14ac:dyDescent="0.35">
      <c r="P4644" s="15"/>
      <c r="Q4644" s="15"/>
      <c r="R4644" s="15"/>
      <c r="S4644" s="15"/>
      <c r="U4644" s="15"/>
    </row>
    <row r="4645" spans="16:22" x14ac:dyDescent="0.35">
      <c r="P4645" s="15"/>
      <c r="Q4645" s="15"/>
      <c r="R4645" s="15"/>
      <c r="S4645" s="15"/>
      <c r="U4645" s="15"/>
      <c r="V4645" s="16"/>
    </row>
    <row r="4646" spans="16:22" x14ac:dyDescent="0.35">
      <c r="P4646" s="15"/>
      <c r="Q4646" s="15"/>
      <c r="R4646" s="15"/>
      <c r="S4646" s="15"/>
      <c r="U4646" s="15"/>
    </row>
    <row r="4647" spans="16:22" x14ac:dyDescent="0.35">
      <c r="P4647" s="15"/>
      <c r="Q4647" s="15"/>
      <c r="R4647" s="15"/>
      <c r="S4647" s="15"/>
      <c r="U4647" s="15"/>
      <c r="V4647" s="16"/>
    </row>
    <row r="4648" spans="16:22" x14ac:dyDescent="0.35">
      <c r="P4648" s="15"/>
      <c r="Q4648" s="15"/>
      <c r="R4648" s="15"/>
      <c r="S4648" s="15"/>
      <c r="U4648" s="15"/>
    </row>
    <row r="4649" spans="16:22" x14ac:dyDescent="0.35">
      <c r="P4649" s="15"/>
      <c r="Q4649" s="15"/>
      <c r="R4649" s="15"/>
      <c r="S4649" s="15"/>
      <c r="U4649" s="15"/>
      <c r="V4649" s="16"/>
    </row>
    <row r="4650" spans="16:22" x14ac:dyDescent="0.35">
      <c r="P4650" s="15"/>
      <c r="Q4650" s="15"/>
      <c r="R4650" s="15"/>
      <c r="S4650" s="15"/>
      <c r="U4650" s="15"/>
    </row>
    <row r="4651" spans="16:22" x14ac:dyDescent="0.35">
      <c r="P4651" s="15"/>
      <c r="Q4651" s="15"/>
      <c r="R4651" s="15"/>
      <c r="S4651" s="15"/>
      <c r="U4651" s="15"/>
      <c r="V4651" s="16"/>
    </row>
    <row r="4652" spans="16:22" x14ac:dyDescent="0.35">
      <c r="P4652" s="15"/>
      <c r="Q4652" s="15"/>
      <c r="R4652" s="15"/>
      <c r="S4652" s="15"/>
      <c r="U4652" s="15"/>
    </row>
    <row r="4653" spans="16:22" x14ac:dyDescent="0.35">
      <c r="P4653" s="15"/>
      <c r="Q4653" s="15"/>
      <c r="R4653" s="15"/>
      <c r="S4653" s="15"/>
      <c r="U4653" s="15"/>
      <c r="V4653" s="16"/>
    </row>
    <row r="4654" spans="16:22" x14ac:dyDescent="0.35">
      <c r="P4654" s="15"/>
      <c r="Q4654" s="15"/>
      <c r="R4654" s="15"/>
      <c r="S4654" s="15"/>
      <c r="U4654" s="15"/>
    </row>
    <row r="4655" spans="16:22" x14ac:dyDescent="0.35">
      <c r="P4655" s="15"/>
      <c r="Q4655" s="15"/>
      <c r="R4655" s="15"/>
      <c r="S4655" s="15"/>
      <c r="U4655" s="15"/>
      <c r="V4655" s="16"/>
    </row>
    <row r="4656" spans="16:22" x14ac:dyDescent="0.35">
      <c r="P4656" s="15"/>
      <c r="Q4656" s="15"/>
      <c r="R4656" s="15"/>
      <c r="S4656" s="15"/>
      <c r="U4656" s="15"/>
    </row>
    <row r="4657" spans="16:22" x14ac:dyDescent="0.35">
      <c r="P4657" s="15"/>
      <c r="Q4657" s="15"/>
      <c r="R4657" s="15"/>
      <c r="S4657" s="15"/>
      <c r="U4657" s="15"/>
      <c r="V4657" s="16"/>
    </row>
    <row r="4658" spans="16:22" x14ac:dyDescent="0.35">
      <c r="P4658" s="15"/>
      <c r="Q4658" s="15"/>
      <c r="R4658" s="15"/>
      <c r="S4658" s="15"/>
      <c r="U4658" s="15"/>
    </row>
    <row r="4659" spans="16:22" x14ac:dyDescent="0.35">
      <c r="P4659" s="15"/>
      <c r="Q4659" s="15"/>
      <c r="R4659" s="15"/>
      <c r="S4659" s="15"/>
      <c r="U4659" s="15"/>
      <c r="V4659" s="16"/>
    </row>
    <row r="4660" spans="16:22" x14ac:dyDescent="0.35">
      <c r="P4660" s="15"/>
      <c r="Q4660" s="15"/>
      <c r="R4660" s="15"/>
      <c r="S4660" s="15"/>
      <c r="U4660" s="15"/>
    </row>
    <row r="4661" spans="16:22" x14ac:dyDescent="0.35">
      <c r="P4661" s="15"/>
      <c r="Q4661" s="15"/>
      <c r="R4661" s="15"/>
      <c r="S4661" s="15"/>
      <c r="U4661" s="15"/>
      <c r="V4661" s="16"/>
    </row>
    <row r="4662" spans="16:22" x14ac:dyDescent="0.35">
      <c r="P4662" s="15"/>
      <c r="Q4662" s="15"/>
      <c r="R4662" s="15"/>
      <c r="S4662" s="15"/>
      <c r="U4662" s="15"/>
    </row>
    <row r="4663" spans="16:22" x14ac:dyDescent="0.35">
      <c r="P4663" s="15"/>
      <c r="Q4663" s="15"/>
      <c r="R4663" s="15"/>
      <c r="S4663" s="15"/>
      <c r="U4663" s="15"/>
      <c r="V4663" s="16"/>
    </row>
    <row r="4664" spans="16:22" x14ac:dyDescent="0.35">
      <c r="P4664" s="15"/>
      <c r="Q4664" s="15"/>
      <c r="R4664" s="15"/>
      <c r="S4664" s="15"/>
      <c r="U4664" s="15"/>
    </row>
    <row r="4665" spans="16:22" x14ac:dyDescent="0.35">
      <c r="P4665" s="15"/>
      <c r="Q4665" s="15"/>
      <c r="R4665" s="15"/>
      <c r="S4665" s="15"/>
      <c r="U4665" s="15"/>
      <c r="V4665" s="16"/>
    </row>
    <row r="4666" spans="16:22" x14ac:dyDescent="0.35">
      <c r="P4666" s="15"/>
      <c r="Q4666" s="15"/>
      <c r="R4666" s="15"/>
      <c r="S4666" s="15"/>
      <c r="U4666" s="15"/>
    </row>
    <row r="4667" spans="16:22" x14ac:dyDescent="0.35">
      <c r="P4667" s="15"/>
      <c r="Q4667" s="15"/>
      <c r="R4667" s="15"/>
      <c r="S4667" s="15"/>
      <c r="U4667" s="15"/>
      <c r="V4667" s="16"/>
    </row>
    <row r="4668" spans="16:22" x14ac:dyDescent="0.35">
      <c r="P4668" s="15"/>
      <c r="Q4668" s="15"/>
      <c r="R4668" s="15"/>
      <c r="S4668" s="15"/>
      <c r="U4668" s="15"/>
    </row>
    <row r="4669" spans="16:22" x14ac:dyDescent="0.35">
      <c r="P4669" s="15"/>
      <c r="Q4669" s="15"/>
      <c r="R4669" s="15"/>
      <c r="S4669" s="15"/>
      <c r="U4669" s="15"/>
      <c r="V4669" s="16"/>
    </row>
    <row r="4670" spans="16:22" x14ac:dyDescent="0.35">
      <c r="P4670" s="15"/>
      <c r="Q4670" s="15"/>
      <c r="R4670" s="15"/>
      <c r="S4670" s="15"/>
      <c r="U4670" s="15"/>
    </row>
    <row r="4671" spans="16:22" x14ac:dyDescent="0.35">
      <c r="P4671" s="15"/>
      <c r="Q4671" s="15"/>
      <c r="R4671" s="15"/>
      <c r="S4671" s="15"/>
      <c r="U4671" s="15"/>
      <c r="V4671" s="16"/>
    </row>
    <row r="4672" spans="16:22" x14ac:dyDescent="0.35">
      <c r="P4672" s="15"/>
      <c r="Q4672" s="15"/>
      <c r="R4672" s="15"/>
      <c r="S4672" s="15"/>
      <c r="U4672" s="15"/>
    </row>
    <row r="4673" spans="16:22" x14ac:dyDescent="0.35">
      <c r="P4673" s="15"/>
      <c r="Q4673" s="15"/>
      <c r="R4673" s="15"/>
      <c r="S4673" s="15"/>
      <c r="U4673" s="15"/>
      <c r="V4673" s="16"/>
    </row>
    <row r="4674" spans="16:22" x14ac:dyDescent="0.35">
      <c r="P4674" s="15"/>
      <c r="Q4674" s="15"/>
      <c r="R4674" s="15"/>
      <c r="S4674" s="15"/>
      <c r="U4674" s="15"/>
    </row>
    <row r="4675" spans="16:22" x14ac:dyDescent="0.35">
      <c r="P4675" s="15"/>
      <c r="Q4675" s="15"/>
      <c r="R4675" s="15"/>
      <c r="S4675" s="15"/>
      <c r="U4675" s="15"/>
      <c r="V4675" s="16"/>
    </row>
    <row r="4676" spans="16:22" x14ac:dyDescent="0.35">
      <c r="P4676" s="15"/>
      <c r="Q4676" s="15"/>
      <c r="R4676" s="15"/>
      <c r="S4676" s="15"/>
      <c r="U4676" s="15"/>
    </row>
    <row r="4677" spans="16:22" x14ac:dyDescent="0.35">
      <c r="P4677" s="15"/>
      <c r="Q4677" s="15"/>
      <c r="R4677" s="15"/>
      <c r="S4677" s="15"/>
      <c r="U4677" s="15"/>
      <c r="V4677" s="16"/>
    </row>
    <row r="4678" spans="16:22" x14ac:dyDescent="0.35">
      <c r="P4678" s="15"/>
      <c r="Q4678" s="15"/>
      <c r="R4678" s="15"/>
      <c r="S4678" s="15"/>
      <c r="U4678" s="15"/>
    </row>
    <row r="4679" spans="16:22" x14ac:dyDescent="0.35">
      <c r="P4679" s="15"/>
      <c r="Q4679" s="15"/>
      <c r="R4679" s="15"/>
      <c r="S4679" s="15"/>
      <c r="U4679" s="15"/>
      <c r="V4679" s="16"/>
    </row>
    <row r="4680" spans="16:22" x14ac:dyDescent="0.35">
      <c r="P4680" s="15"/>
      <c r="Q4680" s="15"/>
      <c r="R4680" s="15"/>
      <c r="S4680" s="15"/>
      <c r="U4680" s="15"/>
    </row>
    <row r="4681" spans="16:22" x14ac:dyDescent="0.35">
      <c r="P4681" s="15"/>
      <c r="Q4681" s="15"/>
      <c r="R4681" s="15"/>
      <c r="S4681" s="15"/>
      <c r="U4681" s="15"/>
      <c r="V4681" s="16"/>
    </row>
    <row r="4682" spans="16:22" x14ac:dyDescent="0.35">
      <c r="P4682" s="15"/>
      <c r="Q4682" s="15"/>
      <c r="R4682" s="15"/>
      <c r="S4682" s="15"/>
      <c r="U4682" s="15"/>
    </row>
    <row r="4683" spans="16:22" x14ac:dyDescent="0.35">
      <c r="P4683" s="15"/>
      <c r="Q4683" s="15"/>
      <c r="R4683" s="15"/>
      <c r="S4683" s="15"/>
      <c r="U4683" s="15"/>
      <c r="V4683" s="16"/>
    </row>
    <row r="4684" spans="16:22" x14ac:dyDescent="0.35">
      <c r="P4684" s="15"/>
      <c r="Q4684" s="15"/>
      <c r="R4684" s="15"/>
      <c r="S4684" s="15"/>
      <c r="U4684" s="15"/>
    </row>
    <row r="4685" spans="16:22" x14ac:dyDescent="0.35">
      <c r="P4685" s="15"/>
      <c r="Q4685" s="15"/>
      <c r="R4685" s="15"/>
      <c r="S4685" s="15"/>
      <c r="U4685" s="15"/>
      <c r="V4685" s="16"/>
    </row>
    <row r="4686" spans="16:22" x14ac:dyDescent="0.35">
      <c r="P4686" s="15"/>
      <c r="Q4686" s="15"/>
      <c r="R4686" s="15"/>
      <c r="S4686" s="15"/>
      <c r="U4686" s="15"/>
    </row>
    <row r="4687" spans="16:22" x14ac:dyDescent="0.35">
      <c r="P4687" s="15"/>
      <c r="Q4687" s="15"/>
      <c r="R4687" s="15"/>
      <c r="S4687" s="15"/>
      <c r="U4687" s="15"/>
      <c r="V4687" s="16"/>
    </row>
    <row r="4688" spans="16:22" x14ac:dyDescent="0.35">
      <c r="P4688" s="15"/>
      <c r="Q4688" s="15"/>
      <c r="R4688" s="15"/>
      <c r="S4688" s="15"/>
      <c r="U4688" s="15"/>
    </row>
    <row r="4689" spans="16:22" x14ac:dyDescent="0.35">
      <c r="P4689" s="15"/>
      <c r="Q4689" s="15"/>
      <c r="R4689" s="15"/>
      <c r="S4689" s="15"/>
      <c r="U4689" s="15"/>
      <c r="V4689" s="16"/>
    </row>
    <row r="4690" spans="16:22" x14ac:dyDescent="0.35">
      <c r="P4690" s="15"/>
      <c r="Q4690" s="15"/>
      <c r="R4690" s="15"/>
      <c r="S4690" s="15"/>
      <c r="U4690" s="15"/>
    </row>
    <row r="4691" spans="16:22" x14ac:dyDescent="0.35">
      <c r="P4691" s="15"/>
      <c r="Q4691" s="15"/>
      <c r="R4691" s="15"/>
      <c r="S4691" s="15"/>
      <c r="U4691" s="15"/>
      <c r="V4691" s="16"/>
    </row>
    <row r="4692" spans="16:22" x14ac:dyDescent="0.35">
      <c r="P4692" s="15"/>
      <c r="Q4692" s="15"/>
      <c r="R4692" s="15"/>
      <c r="S4692" s="15"/>
      <c r="U4692" s="15"/>
    </row>
    <row r="4693" spans="16:22" x14ac:dyDescent="0.35">
      <c r="P4693" s="15"/>
      <c r="Q4693" s="15"/>
      <c r="R4693" s="15"/>
      <c r="S4693" s="15"/>
      <c r="U4693" s="15"/>
      <c r="V4693" s="16"/>
    </row>
    <row r="4694" spans="16:22" x14ac:dyDescent="0.35">
      <c r="P4694" s="15"/>
      <c r="Q4694" s="15"/>
      <c r="R4694" s="15"/>
      <c r="S4694" s="15"/>
      <c r="U4694" s="15"/>
    </row>
    <row r="4695" spans="16:22" x14ac:dyDescent="0.35">
      <c r="P4695" s="15"/>
      <c r="Q4695" s="15"/>
      <c r="R4695" s="15"/>
      <c r="S4695" s="15"/>
      <c r="U4695" s="15"/>
      <c r="V4695" s="16"/>
    </row>
    <row r="4696" spans="16:22" x14ac:dyDescent="0.35">
      <c r="P4696" s="15"/>
      <c r="Q4696" s="15"/>
      <c r="R4696" s="15"/>
      <c r="S4696" s="15"/>
      <c r="U4696" s="15"/>
    </row>
    <row r="4697" spans="16:22" x14ac:dyDescent="0.35">
      <c r="P4697" s="15"/>
      <c r="Q4697" s="15"/>
      <c r="R4697" s="15"/>
      <c r="S4697" s="15"/>
      <c r="U4697" s="15"/>
      <c r="V4697" s="16"/>
    </row>
    <row r="4698" spans="16:22" x14ac:dyDescent="0.35">
      <c r="P4698" s="15"/>
      <c r="Q4698" s="15"/>
      <c r="R4698" s="15"/>
      <c r="S4698" s="15"/>
      <c r="U4698" s="15"/>
    </row>
    <row r="4699" spans="16:22" x14ac:dyDescent="0.35">
      <c r="P4699" s="15"/>
      <c r="Q4699" s="15"/>
      <c r="R4699" s="15"/>
      <c r="S4699" s="15"/>
      <c r="U4699" s="15"/>
      <c r="V4699" s="16"/>
    </row>
    <row r="4700" spans="16:22" x14ac:dyDescent="0.35">
      <c r="P4700" s="15"/>
      <c r="Q4700" s="15"/>
      <c r="R4700" s="15"/>
      <c r="S4700" s="15"/>
      <c r="U4700" s="15"/>
    </row>
    <row r="4701" spans="16:22" x14ac:dyDescent="0.35">
      <c r="P4701" s="15"/>
      <c r="Q4701" s="15"/>
      <c r="R4701" s="15"/>
      <c r="S4701" s="15"/>
      <c r="U4701" s="15"/>
      <c r="V4701" s="16"/>
    </row>
    <row r="4702" spans="16:22" x14ac:dyDescent="0.35">
      <c r="P4702" s="15"/>
      <c r="Q4702" s="15"/>
      <c r="R4702" s="15"/>
      <c r="S4702" s="15"/>
      <c r="U4702" s="15"/>
    </row>
    <row r="4703" spans="16:22" x14ac:dyDescent="0.35">
      <c r="P4703" s="15"/>
      <c r="Q4703" s="15"/>
      <c r="R4703" s="15"/>
      <c r="S4703" s="15"/>
      <c r="U4703" s="15"/>
      <c r="V4703" s="16"/>
    </row>
    <row r="4704" spans="16:22" x14ac:dyDescent="0.35">
      <c r="P4704" s="15"/>
      <c r="Q4704" s="15"/>
      <c r="R4704" s="15"/>
      <c r="S4704" s="15"/>
      <c r="U4704" s="15"/>
    </row>
    <row r="4705" spans="16:22" x14ac:dyDescent="0.35">
      <c r="P4705" s="15"/>
      <c r="Q4705" s="15"/>
      <c r="R4705" s="15"/>
      <c r="S4705" s="15"/>
      <c r="U4705" s="15"/>
      <c r="V4705" s="16"/>
    </row>
    <row r="4706" spans="16:22" x14ac:dyDescent="0.35">
      <c r="P4706" s="15"/>
      <c r="Q4706" s="15"/>
      <c r="R4706" s="15"/>
      <c r="S4706" s="15"/>
      <c r="U4706" s="15"/>
    </row>
    <row r="4707" spans="16:22" x14ac:dyDescent="0.35">
      <c r="P4707" s="15"/>
      <c r="Q4707" s="15"/>
      <c r="R4707" s="15"/>
      <c r="S4707" s="15"/>
      <c r="U4707" s="15"/>
      <c r="V4707" s="16"/>
    </row>
    <row r="4708" spans="16:22" x14ac:dyDescent="0.35">
      <c r="P4708" s="15"/>
      <c r="Q4708" s="15"/>
      <c r="R4708" s="15"/>
      <c r="S4708" s="15"/>
      <c r="U4708" s="15"/>
    </row>
    <row r="4709" spans="16:22" x14ac:dyDescent="0.35">
      <c r="P4709" s="15"/>
      <c r="Q4709" s="15"/>
      <c r="R4709" s="15"/>
      <c r="S4709" s="15"/>
      <c r="U4709" s="15"/>
      <c r="V4709" s="16"/>
    </row>
    <row r="4710" spans="16:22" x14ac:dyDescent="0.35">
      <c r="P4710" s="15"/>
      <c r="Q4710" s="15"/>
      <c r="R4710" s="15"/>
      <c r="S4710" s="15"/>
      <c r="U4710" s="15"/>
    </row>
    <row r="4711" spans="16:22" x14ac:dyDescent="0.35">
      <c r="P4711" s="15"/>
      <c r="Q4711" s="15"/>
      <c r="R4711" s="15"/>
      <c r="S4711" s="15"/>
      <c r="U4711" s="15"/>
      <c r="V4711" s="16"/>
    </row>
    <row r="4712" spans="16:22" x14ac:dyDescent="0.35">
      <c r="P4712" s="15"/>
      <c r="Q4712" s="15"/>
      <c r="R4712" s="15"/>
      <c r="S4712" s="15"/>
      <c r="U4712" s="15"/>
    </row>
    <row r="4713" spans="16:22" x14ac:dyDescent="0.35">
      <c r="P4713" s="15"/>
      <c r="Q4713" s="15"/>
      <c r="R4713" s="15"/>
      <c r="S4713" s="15"/>
      <c r="U4713" s="15"/>
      <c r="V4713" s="16"/>
    </row>
    <row r="4714" spans="16:22" x14ac:dyDescent="0.35">
      <c r="P4714" s="15"/>
      <c r="Q4714" s="15"/>
      <c r="R4714" s="15"/>
      <c r="S4714" s="15"/>
      <c r="U4714" s="15"/>
    </row>
    <row r="4715" spans="16:22" x14ac:dyDescent="0.35">
      <c r="P4715" s="15"/>
      <c r="Q4715" s="15"/>
      <c r="R4715" s="15"/>
      <c r="S4715" s="15"/>
      <c r="U4715" s="15"/>
      <c r="V4715" s="16"/>
    </row>
    <row r="4716" spans="16:22" x14ac:dyDescent="0.35">
      <c r="P4716" s="15"/>
      <c r="Q4716" s="15"/>
      <c r="R4716" s="15"/>
      <c r="S4716" s="15"/>
      <c r="U4716" s="15"/>
    </row>
    <row r="4717" spans="16:22" x14ac:dyDescent="0.35">
      <c r="P4717" s="15"/>
      <c r="Q4717" s="15"/>
      <c r="R4717" s="15"/>
      <c r="S4717" s="15"/>
      <c r="U4717" s="15"/>
      <c r="V4717" s="16"/>
    </row>
    <row r="4718" spans="16:22" x14ac:dyDescent="0.35">
      <c r="P4718" s="15"/>
      <c r="Q4718" s="15"/>
      <c r="R4718" s="15"/>
      <c r="S4718" s="15"/>
      <c r="U4718" s="15"/>
    </row>
    <row r="4719" spans="16:22" x14ac:dyDescent="0.35">
      <c r="P4719" s="15"/>
      <c r="Q4719" s="15"/>
      <c r="R4719" s="15"/>
      <c r="S4719" s="15"/>
      <c r="U4719" s="15"/>
      <c r="V4719" s="16"/>
    </row>
    <row r="4720" spans="16:22" x14ac:dyDescent="0.35">
      <c r="P4720" s="15"/>
      <c r="Q4720" s="15"/>
      <c r="R4720" s="15"/>
      <c r="S4720" s="15"/>
      <c r="U4720" s="15"/>
    </row>
    <row r="4721" spans="16:22" x14ac:dyDescent="0.35">
      <c r="P4721" s="15"/>
      <c r="Q4721" s="15"/>
      <c r="R4721" s="15"/>
      <c r="S4721" s="15"/>
      <c r="U4721" s="15"/>
      <c r="V4721" s="16"/>
    </row>
    <row r="4722" spans="16:22" x14ac:dyDescent="0.35">
      <c r="P4722" s="15"/>
      <c r="Q4722" s="15"/>
      <c r="R4722" s="15"/>
      <c r="S4722" s="15"/>
      <c r="U4722" s="15"/>
    </row>
    <row r="4723" spans="16:22" x14ac:dyDescent="0.35">
      <c r="P4723" s="15"/>
      <c r="Q4723" s="15"/>
      <c r="R4723" s="15"/>
      <c r="S4723" s="15"/>
      <c r="U4723" s="15"/>
      <c r="V4723" s="16"/>
    </row>
    <row r="4724" spans="16:22" x14ac:dyDescent="0.35">
      <c r="P4724" s="15"/>
      <c r="Q4724" s="15"/>
      <c r="R4724" s="15"/>
      <c r="S4724" s="15"/>
      <c r="U4724" s="15"/>
    </row>
    <row r="4725" spans="16:22" x14ac:dyDescent="0.35">
      <c r="P4725" s="15"/>
      <c r="Q4725" s="15"/>
      <c r="R4725" s="15"/>
      <c r="S4725" s="15"/>
      <c r="U4725" s="15"/>
      <c r="V4725" s="16"/>
    </row>
    <row r="5364" spans="13:25" x14ac:dyDescent="0.35">
      <c r="M5364" s="13"/>
      <c r="O5364" s="13"/>
      <c r="P5364" s="13"/>
      <c r="Q5364" s="13"/>
      <c r="R5364" s="13"/>
      <c r="S5364" s="13"/>
      <c r="T5364" s="13"/>
      <c r="U5364" s="13"/>
      <c r="V5364" s="13"/>
      <c r="W5364" s="13"/>
      <c r="X5364" s="13"/>
      <c r="Y5364" s="13"/>
    </row>
    <row r="5406" spans="13:25" x14ac:dyDescent="0.35">
      <c r="M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3"/>
      <c r="Y5406" s="13"/>
    </row>
    <row r="5407" spans="13:25" x14ac:dyDescent="0.35">
      <c r="M5407" s="13"/>
      <c r="O5407" s="13"/>
      <c r="P5407" s="13"/>
      <c r="Q5407" s="13"/>
      <c r="R5407" s="13"/>
      <c r="S5407" s="13"/>
      <c r="T5407" s="13"/>
      <c r="U5407" s="13"/>
      <c r="V5407" s="13"/>
      <c r="W5407" s="13"/>
      <c r="X5407" s="13"/>
      <c r="Y5407" s="13"/>
    </row>
    <row r="5408" spans="13:25" x14ac:dyDescent="0.35">
      <c r="M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3"/>
      <c r="Y5408" s="13"/>
    </row>
    <row r="5409" spans="13:25" x14ac:dyDescent="0.35">
      <c r="M5409" s="13"/>
      <c r="O5409" s="13"/>
      <c r="P5409" s="13"/>
      <c r="Q5409" s="13"/>
      <c r="R5409" s="13"/>
      <c r="S5409" s="13"/>
      <c r="T5409" s="13"/>
      <c r="U5409" s="13"/>
      <c r="V5409" s="13"/>
      <c r="W5409" s="13"/>
      <c r="X5409" s="13"/>
      <c r="Y5409" s="13"/>
    </row>
    <row r="5410" spans="13:25" x14ac:dyDescent="0.35">
      <c r="M5410" s="13"/>
      <c r="O5410" s="13"/>
      <c r="P5410" s="13"/>
      <c r="Q5410" s="13"/>
      <c r="R5410" s="13"/>
      <c r="S5410" s="13"/>
      <c r="T5410" s="13"/>
      <c r="U5410" s="13"/>
      <c r="V5410" s="13"/>
      <c r="W5410" s="13"/>
      <c r="X5410" s="13"/>
      <c r="Y5410" s="13"/>
    </row>
    <row r="5850" spans="1:25" s="13" customFormat="1" x14ac:dyDescent="0.35">
      <c r="A5850" s="5"/>
      <c r="B5850" s="5"/>
      <c r="C5850" s="5"/>
      <c r="D5850" s="6"/>
      <c r="E5850" s="5"/>
      <c r="F5850" s="6"/>
      <c r="G5850" s="5"/>
      <c r="H5850" s="5"/>
      <c r="I5850" s="5"/>
      <c r="J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</row>
    <row r="5892" spans="1:25" s="13" customFormat="1" x14ac:dyDescent="0.35">
      <c r="A5892" s="5"/>
      <c r="B5892" s="5"/>
      <c r="C5892" s="5"/>
      <c r="D5892" s="6"/>
      <c r="E5892" s="5"/>
      <c r="F5892" s="6"/>
      <c r="G5892" s="5"/>
      <c r="H5892" s="5"/>
      <c r="I5892" s="5"/>
      <c r="J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</row>
    <row r="5893" spans="1:25" s="13" customFormat="1" x14ac:dyDescent="0.35">
      <c r="A5893" s="5"/>
      <c r="B5893" s="5"/>
      <c r="C5893" s="5"/>
      <c r="D5893" s="6"/>
      <c r="E5893" s="5"/>
      <c r="F5893" s="6"/>
      <c r="G5893" s="5"/>
      <c r="H5893" s="5"/>
      <c r="I5893" s="5"/>
      <c r="J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</row>
    <row r="5894" spans="1:25" s="13" customFormat="1" x14ac:dyDescent="0.35">
      <c r="A5894" s="5"/>
      <c r="B5894" s="5"/>
      <c r="C5894" s="5"/>
      <c r="D5894" s="6"/>
      <c r="E5894" s="5"/>
      <c r="F5894" s="6"/>
      <c r="G5894" s="5"/>
      <c r="H5894" s="5"/>
      <c r="I5894" s="5"/>
      <c r="J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</row>
    <row r="5895" spans="1:25" s="13" customFormat="1" x14ac:dyDescent="0.35">
      <c r="A5895" s="5"/>
      <c r="B5895" s="5"/>
      <c r="C5895" s="5"/>
      <c r="D5895" s="6"/>
      <c r="E5895" s="5"/>
      <c r="F5895" s="6"/>
      <c r="G5895" s="5"/>
      <c r="H5895" s="5"/>
      <c r="I5895" s="5"/>
      <c r="J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</row>
    <row r="5896" spans="1:25" s="13" customFormat="1" x14ac:dyDescent="0.35">
      <c r="A5896" s="5"/>
      <c r="B5896" s="5"/>
      <c r="C5896" s="5"/>
      <c r="D5896" s="6"/>
      <c r="E5896" s="5"/>
      <c r="F5896" s="6"/>
      <c r="G5896" s="5"/>
      <c r="H5896" s="5"/>
      <c r="I5896" s="5"/>
      <c r="J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</row>
  </sheetData>
  <autoFilter ref="C2:J166" xr:uid="{00000000-0009-0000-0000-000004000000}">
    <sortState xmlns:xlrd2="http://schemas.microsoft.com/office/spreadsheetml/2017/richdata2" ref="C2:I7028">
      <sortCondition ref="C1:C7028"/>
    </sortState>
  </autoFilter>
  <mergeCells count="2">
    <mergeCell ref="C1:J1"/>
    <mergeCell ref="M1:Y1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63"/>
  <sheetViews>
    <sheetView zoomScale="70" zoomScaleNormal="70" workbookViewId="0">
      <selection activeCell="O1" sqref="O1:V3"/>
    </sheetView>
  </sheetViews>
  <sheetFormatPr defaultRowHeight="14.5" x14ac:dyDescent="0.35"/>
  <cols>
    <col min="4" max="4" width="45.54296875" bestFit="1" customWidth="1"/>
    <col min="5" max="5" width="45.54296875" customWidth="1"/>
    <col min="6" max="6" width="52.54296875" customWidth="1"/>
    <col min="7" max="7" width="12.1796875" bestFit="1" customWidth="1"/>
    <col min="8" max="8" width="8.1796875" bestFit="1" customWidth="1"/>
    <col min="9" max="9" width="6.81640625" bestFit="1" customWidth="1"/>
    <col min="10" max="10" width="10" style="37" bestFit="1" customWidth="1"/>
    <col min="11" max="11" width="15.453125" bestFit="1" customWidth="1"/>
  </cols>
  <sheetData>
    <row r="1" spans="1:22" x14ac:dyDescent="0.3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 s="37">
        <v>8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</row>
    <row r="2" spans="1:22" ht="58" x14ac:dyDescent="0.35">
      <c r="A2" t="s">
        <v>831</v>
      </c>
      <c r="B2" t="s">
        <v>832</v>
      </c>
      <c r="C2" t="s">
        <v>834</v>
      </c>
      <c r="D2" t="s">
        <v>836</v>
      </c>
      <c r="E2" t="s">
        <v>833</v>
      </c>
      <c r="F2" t="s">
        <v>837</v>
      </c>
      <c r="G2" t="s">
        <v>839</v>
      </c>
      <c r="H2" t="s">
        <v>838</v>
      </c>
      <c r="I2" t="s">
        <v>835</v>
      </c>
      <c r="J2" s="37" t="s">
        <v>841</v>
      </c>
      <c r="K2" t="s">
        <v>840</v>
      </c>
      <c r="N2" s="4"/>
      <c r="O2" s="7" t="s">
        <v>182</v>
      </c>
      <c r="P2" s="38" t="s">
        <v>183</v>
      </c>
      <c r="Q2" s="7" t="s">
        <v>184</v>
      </c>
      <c r="R2" s="38" t="s">
        <v>185</v>
      </c>
      <c r="S2" s="7" t="s">
        <v>186</v>
      </c>
      <c r="T2" s="7" t="s">
        <v>178</v>
      </c>
      <c r="U2" s="7" t="s">
        <v>178</v>
      </c>
      <c r="V2" s="7" t="s">
        <v>187</v>
      </c>
    </row>
    <row r="3" spans="1:22" x14ac:dyDescent="0.35">
      <c r="A3">
        <v>1</v>
      </c>
      <c r="B3">
        <v>2015</v>
      </c>
      <c r="C3" t="s">
        <v>219</v>
      </c>
      <c r="D3" t="s">
        <v>984</v>
      </c>
      <c r="E3" t="s">
        <v>1032</v>
      </c>
      <c r="F3" t="s">
        <v>1033</v>
      </c>
      <c r="G3">
        <v>2</v>
      </c>
      <c r="H3" t="s">
        <v>310</v>
      </c>
      <c r="I3">
        <v>1</v>
      </c>
      <c r="J3" s="37">
        <v>297.91000000000003</v>
      </c>
      <c r="K3">
        <v>1</v>
      </c>
      <c r="O3">
        <v>1</v>
      </c>
    </row>
    <row r="4" spans="1:22" x14ac:dyDescent="0.35">
      <c r="A4">
        <v>2</v>
      </c>
      <c r="B4">
        <v>2015</v>
      </c>
      <c r="C4" t="s">
        <v>219</v>
      </c>
      <c r="D4" t="s">
        <v>260</v>
      </c>
      <c r="E4" t="s">
        <v>1115</v>
      </c>
      <c r="F4" t="s">
        <v>851</v>
      </c>
      <c r="G4">
        <v>2</v>
      </c>
      <c r="H4" t="s">
        <v>310</v>
      </c>
      <c r="I4">
        <v>1</v>
      </c>
      <c r="J4" s="37">
        <v>305.83</v>
      </c>
      <c r="K4">
        <v>1</v>
      </c>
    </row>
    <row r="5" spans="1:22" x14ac:dyDescent="0.35">
      <c r="A5">
        <v>3</v>
      </c>
      <c r="B5">
        <v>2015</v>
      </c>
      <c r="C5" t="s">
        <v>219</v>
      </c>
      <c r="D5" t="s">
        <v>984</v>
      </c>
      <c r="E5" t="s">
        <v>1048</v>
      </c>
      <c r="F5" t="s">
        <v>1049</v>
      </c>
      <c r="G5">
        <v>2</v>
      </c>
      <c r="H5" t="s">
        <v>310</v>
      </c>
      <c r="I5">
        <v>1</v>
      </c>
      <c r="J5" s="37">
        <v>307.27</v>
      </c>
      <c r="K5">
        <v>1</v>
      </c>
    </row>
    <row r="6" spans="1:22" x14ac:dyDescent="0.35">
      <c r="A6">
        <v>4</v>
      </c>
      <c r="B6">
        <v>2015</v>
      </c>
      <c r="C6" t="s">
        <v>219</v>
      </c>
      <c r="D6" t="s">
        <v>260</v>
      </c>
      <c r="E6" t="s">
        <v>1114</v>
      </c>
      <c r="F6" t="s">
        <v>850</v>
      </c>
      <c r="G6">
        <v>2</v>
      </c>
      <c r="H6" t="s">
        <v>310</v>
      </c>
      <c r="I6">
        <v>1</v>
      </c>
      <c r="J6" s="37">
        <v>322.64999999999998</v>
      </c>
      <c r="K6">
        <v>1</v>
      </c>
    </row>
    <row r="7" spans="1:22" x14ac:dyDescent="0.35">
      <c r="A7">
        <v>5</v>
      </c>
      <c r="B7">
        <v>2015</v>
      </c>
      <c r="C7" t="s">
        <v>219</v>
      </c>
      <c r="D7" t="s">
        <v>260</v>
      </c>
      <c r="E7" t="s">
        <v>1113</v>
      </c>
      <c r="F7" t="s">
        <v>849</v>
      </c>
      <c r="G7">
        <v>2</v>
      </c>
      <c r="H7" t="s">
        <v>310</v>
      </c>
      <c r="I7">
        <v>1</v>
      </c>
      <c r="J7" s="37">
        <v>324.48</v>
      </c>
      <c r="K7">
        <v>1</v>
      </c>
    </row>
    <row r="8" spans="1:22" x14ac:dyDescent="0.35">
      <c r="A8">
        <v>6</v>
      </c>
      <c r="B8">
        <v>2015</v>
      </c>
      <c r="C8" t="s">
        <v>219</v>
      </c>
      <c r="D8" t="s">
        <v>951</v>
      </c>
      <c r="E8" t="s">
        <v>969</v>
      </c>
      <c r="F8" t="s">
        <v>970</v>
      </c>
      <c r="G8">
        <v>2</v>
      </c>
      <c r="H8" t="s">
        <v>310</v>
      </c>
      <c r="I8">
        <v>1</v>
      </c>
      <c r="J8" s="37">
        <v>332.94</v>
      </c>
      <c r="K8">
        <v>2</v>
      </c>
    </row>
    <row r="9" spans="1:22" x14ac:dyDescent="0.35">
      <c r="A9">
        <v>7</v>
      </c>
      <c r="B9">
        <v>2015</v>
      </c>
      <c r="C9" t="s">
        <v>219</v>
      </c>
      <c r="D9" t="s">
        <v>951</v>
      </c>
      <c r="E9" t="s">
        <v>961</v>
      </c>
      <c r="F9" t="s">
        <v>962</v>
      </c>
      <c r="G9">
        <v>2</v>
      </c>
      <c r="H9" t="s">
        <v>310</v>
      </c>
      <c r="I9">
        <v>1</v>
      </c>
      <c r="J9" s="37">
        <v>335.68</v>
      </c>
      <c r="K9">
        <v>2</v>
      </c>
    </row>
    <row r="10" spans="1:22" x14ac:dyDescent="0.35">
      <c r="A10">
        <v>8</v>
      </c>
      <c r="B10">
        <v>2015</v>
      </c>
      <c r="C10" t="s">
        <v>219</v>
      </c>
      <c r="D10" t="s">
        <v>951</v>
      </c>
      <c r="E10" t="s">
        <v>963</v>
      </c>
      <c r="F10" t="s">
        <v>964</v>
      </c>
      <c r="G10">
        <v>2</v>
      </c>
      <c r="H10" t="s">
        <v>310</v>
      </c>
      <c r="I10">
        <v>1</v>
      </c>
      <c r="J10" s="37">
        <v>354.45</v>
      </c>
      <c r="K10">
        <v>2</v>
      </c>
    </row>
    <row r="11" spans="1:22" x14ac:dyDescent="0.35">
      <c r="A11">
        <v>9</v>
      </c>
      <c r="B11">
        <v>2015</v>
      </c>
      <c r="C11" t="s">
        <v>219</v>
      </c>
      <c r="D11" t="s">
        <v>951</v>
      </c>
      <c r="E11" t="s">
        <v>965</v>
      </c>
      <c r="F11" t="s">
        <v>966</v>
      </c>
      <c r="G11">
        <v>2</v>
      </c>
      <c r="H11" t="s">
        <v>310</v>
      </c>
      <c r="I11">
        <v>1</v>
      </c>
      <c r="J11" s="37">
        <v>357.4</v>
      </c>
      <c r="K11">
        <v>2</v>
      </c>
    </row>
    <row r="12" spans="1:22" x14ac:dyDescent="0.35">
      <c r="A12">
        <v>10</v>
      </c>
      <c r="B12">
        <v>2015</v>
      </c>
      <c r="C12" t="s">
        <v>219</v>
      </c>
      <c r="D12" t="s">
        <v>951</v>
      </c>
      <c r="E12" t="s">
        <v>967</v>
      </c>
      <c r="F12" t="s">
        <v>968</v>
      </c>
      <c r="G12">
        <v>2</v>
      </c>
      <c r="H12" t="s">
        <v>310</v>
      </c>
      <c r="I12">
        <v>1</v>
      </c>
      <c r="J12" s="37">
        <v>368.17</v>
      </c>
      <c r="K12">
        <v>2</v>
      </c>
    </row>
    <row r="13" spans="1:22" x14ac:dyDescent="0.35">
      <c r="A13">
        <v>11</v>
      </c>
      <c r="B13">
        <v>2015</v>
      </c>
      <c r="C13" t="s">
        <v>219</v>
      </c>
      <c r="D13" t="s">
        <v>951</v>
      </c>
      <c r="E13" t="s">
        <v>973</v>
      </c>
      <c r="F13" t="s">
        <v>278</v>
      </c>
      <c r="G13">
        <v>2</v>
      </c>
      <c r="H13" t="s">
        <v>310</v>
      </c>
      <c r="I13">
        <v>1</v>
      </c>
      <c r="J13" s="37">
        <v>373.35</v>
      </c>
      <c r="K13">
        <v>2</v>
      </c>
    </row>
    <row r="14" spans="1:22" x14ac:dyDescent="0.35">
      <c r="A14">
        <v>12</v>
      </c>
      <c r="B14">
        <v>2015</v>
      </c>
      <c r="C14" t="s">
        <v>219</v>
      </c>
      <c r="D14" t="s">
        <v>281</v>
      </c>
      <c r="E14" t="s">
        <v>929</v>
      </c>
      <c r="F14" t="s">
        <v>855</v>
      </c>
      <c r="G14">
        <v>2</v>
      </c>
      <c r="H14" t="s">
        <v>310</v>
      </c>
      <c r="I14">
        <v>2</v>
      </c>
      <c r="J14" s="37">
        <v>186.57</v>
      </c>
      <c r="K14">
        <v>4</v>
      </c>
    </row>
    <row r="15" spans="1:22" x14ac:dyDescent="0.35">
      <c r="A15">
        <v>13</v>
      </c>
      <c r="B15">
        <v>2015</v>
      </c>
      <c r="C15" t="s">
        <v>219</v>
      </c>
      <c r="D15" t="s">
        <v>281</v>
      </c>
      <c r="E15" t="s">
        <v>930</v>
      </c>
      <c r="F15" t="s">
        <v>856</v>
      </c>
      <c r="G15">
        <v>2</v>
      </c>
      <c r="H15" t="s">
        <v>310</v>
      </c>
      <c r="I15">
        <v>2</v>
      </c>
      <c r="J15" s="37">
        <v>191.04</v>
      </c>
      <c r="K15">
        <v>4</v>
      </c>
    </row>
    <row r="16" spans="1:22" x14ac:dyDescent="0.35">
      <c r="A16">
        <v>14</v>
      </c>
      <c r="B16">
        <v>2015</v>
      </c>
      <c r="C16" t="s">
        <v>219</v>
      </c>
      <c r="D16" t="s">
        <v>281</v>
      </c>
      <c r="E16" t="s">
        <v>286</v>
      </c>
      <c r="F16" t="s">
        <v>865</v>
      </c>
      <c r="G16">
        <v>2</v>
      </c>
      <c r="H16" t="s">
        <v>310</v>
      </c>
      <c r="I16">
        <v>2</v>
      </c>
      <c r="J16" s="37">
        <v>196.52</v>
      </c>
      <c r="K16">
        <v>4</v>
      </c>
    </row>
    <row r="17" spans="1:11" x14ac:dyDescent="0.35">
      <c r="A17">
        <v>15</v>
      </c>
      <c r="B17">
        <v>2015</v>
      </c>
      <c r="C17" t="s">
        <v>219</v>
      </c>
      <c r="D17" t="s">
        <v>281</v>
      </c>
      <c r="E17" t="s">
        <v>926</v>
      </c>
      <c r="F17" t="s">
        <v>852</v>
      </c>
      <c r="G17">
        <v>2</v>
      </c>
      <c r="H17" t="s">
        <v>310</v>
      </c>
      <c r="I17">
        <v>2</v>
      </c>
      <c r="J17" s="37">
        <v>198.55</v>
      </c>
      <c r="K17">
        <v>4</v>
      </c>
    </row>
    <row r="18" spans="1:11" x14ac:dyDescent="0.35">
      <c r="A18">
        <v>16</v>
      </c>
      <c r="B18">
        <v>2015</v>
      </c>
      <c r="C18" t="s">
        <v>219</v>
      </c>
      <c r="D18" t="s">
        <v>281</v>
      </c>
      <c r="E18" t="s">
        <v>931</v>
      </c>
      <c r="F18" t="s">
        <v>857</v>
      </c>
      <c r="G18">
        <v>2</v>
      </c>
      <c r="H18" t="s">
        <v>310</v>
      </c>
      <c r="I18">
        <v>2</v>
      </c>
      <c r="J18" s="37">
        <v>199.36</v>
      </c>
      <c r="K18">
        <v>4</v>
      </c>
    </row>
    <row r="19" spans="1:11" x14ac:dyDescent="0.35">
      <c r="A19">
        <v>17</v>
      </c>
      <c r="B19">
        <v>2015</v>
      </c>
      <c r="C19" t="s">
        <v>219</v>
      </c>
      <c r="D19" t="s">
        <v>281</v>
      </c>
      <c r="E19" t="s">
        <v>290</v>
      </c>
      <c r="F19" t="s">
        <v>866</v>
      </c>
      <c r="G19">
        <v>2</v>
      </c>
      <c r="H19" t="s">
        <v>310</v>
      </c>
      <c r="I19">
        <v>2</v>
      </c>
      <c r="J19" s="37">
        <v>201.22</v>
      </c>
      <c r="K19">
        <v>4</v>
      </c>
    </row>
    <row r="20" spans="1:11" x14ac:dyDescent="0.35">
      <c r="A20">
        <v>18</v>
      </c>
      <c r="B20">
        <v>2015</v>
      </c>
      <c r="C20" t="s">
        <v>219</v>
      </c>
      <c r="D20" t="s">
        <v>281</v>
      </c>
      <c r="E20" t="s">
        <v>282</v>
      </c>
      <c r="F20" t="s">
        <v>868</v>
      </c>
      <c r="G20">
        <v>2</v>
      </c>
      <c r="H20" t="s">
        <v>310</v>
      </c>
      <c r="I20">
        <v>2</v>
      </c>
      <c r="J20" s="37">
        <v>203.02</v>
      </c>
      <c r="K20">
        <v>4</v>
      </c>
    </row>
    <row r="21" spans="1:11" x14ac:dyDescent="0.35">
      <c r="A21">
        <v>19</v>
      </c>
      <c r="B21">
        <v>2015</v>
      </c>
      <c r="C21" t="s">
        <v>219</v>
      </c>
      <c r="D21" t="s">
        <v>281</v>
      </c>
      <c r="E21" t="s">
        <v>927</v>
      </c>
      <c r="F21" t="s">
        <v>853</v>
      </c>
      <c r="G21">
        <v>2</v>
      </c>
      <c r="H21" t="s">
        <v>310</v>
      </c>
      <c r="I21">
        <v>2</v>
      </c>
      <c r="J21" s="37">
        <v>203.3</v>
      </c>
      <c r="K21">
        <v>4</v>
      </c>
    </row>
    <row r="22" spans="1:11" x14ac:dyDescent="0.35">
      <c r="A22">
        <v>20</v>
      </c>
      <c r="B22">
        <v>2015</v>
      </c>
      <c r="C22" t="s">
        <v>219</v>
      </c>
      <c r="D22" t="s">
        <v>281</v>
      </c>
      <c r="E22" t="s">
        <v>283</v>
      </c>
      <c r="F22" t="s">
        <v>862</v>
      </c>
      <c r="G22">
        <v>2</v>
      </c>
      <c r="H22" t="s">
        <v>310</v>
      </c>
      <c r="I22">
        <v>2</v>
      </c>
      <c r="J22" s="37">
        <v>204.03</v>
      </c>
      <c r="K22">
        <v>4</v>
      </c>
    </row>
    <row r="23" spans="1:11" x14ac:dyDescent="0.35">
      <c r="A23">
        <v>21</v>
      </c>
      <c r="B23">
        <v>2015</v>
      </c>
      <c r="C23" t="s">
        <v>219</v>
      </c>
      <c r="D23" t="s">
        <v>281</v>
      </c>
      <c r="E23" t="s">
        <v>284</v>
      </c>
      <c r="F23" t="s">
        <v>869</v>
      </c>
      <c r="G23">
        <v>2</v>
      </c>
      <c r="H23" t="s">
        <v>310</v>
      </c>
      <c r="I23">
        <v>2</v>
      </c>
      <c r="J23" s="37">
        <v>207.87</v>
      </c>
      <c r="K23">
        <v>4</v>
      </c>
    </row>
    <row r="24" spans="1:11" x14ac:dyDescent="0.35">
      <c r="A24">
        <v>22</v>
      </c>
      <c r="B24">
        <v>2015</v>
      </c>
      <c r="C24" t="s">
        <v>219</v>
      </c>
      <c r="D24" t="s">
        <v>281</v>
      </c>
      <c r="E24" t="s">
        <v>285</v>
      </c>
      <c r="F24" t="s">
        <v>863</v>
      </c>
      <c r="G24">
        <v>2</v>
      </c>
      <c r="H24" t="s">
        <v>310</v>
      </c>
      <c r="I24">
        <v>2</v>
      </c>
      <c r="J24" s="37">
        <v>208.91</v>
      </c>
      <c r="K24">
        <v>4</v>
      </c>
    </row>
    <row r="25" spans="1:11" x14ac:dyDescent="0.35">
      <c r="A25">
        <v>23</v>
      </c>
      <c r="B25">
        <v>2015</v>
      </c>
      <c r="C25" t="s">
        <v>219</v>
      </c>
      <c r="D25" t="s">
        <v>281</v>
      </c>
      <c r="E25" t="s">
        <v>292</v>
      </c>
      <c r="F25" t="s">
        <v>867</v>
      </c>
      <c r="G25">
        <v>2</v>
      </c>
      <c r="H25" t="s">
        <v>310</v>
      </c>
      <c r="I25">
        <v>2</v>
      </c>
      <c r="J25" s="37">
        <v>209.99</v>
      </c>
      <c r="K25">
        <v>4</v>
      </c>
    </row>
    <row r="26" spans="1:11" x14ac:dyDescent="0.35">
      <c r="A26">
        <v>24</v>
      </c>
      <c r="B26">
        <v>2015</v>
      </c>
      <c r="C26" t="s">
        <v>219</v>
      </c>
      <c r="D26" t="s">
        <v>281</v>
      </c>
      <c r="E26" t="s">
        <v>928</v>
      </c>
      <c r="F26" t="s">
        <v>854</v>
      </c>
      <c r="G26">
        <v>2</v>
      </c>
      <c r="H26" t="s">
        <v>310</v>
      </c>
      <c r="I26">
        <v>2</v>
      </c>
      <c r="J26" s="37">
        <v>212.16</v>
      </c>
      <c r="K26">
        <v>4</v>
      </c>
    </row>
    <row r="27" spans="1:11" x14ac:dyDescent="0.35">
      <c r="A27">
        <v>25</v>
      </c>
      <c r="B27">
        <v>2015</v>
      </c>
      <c r="C27" t="s">
        <v>219</v>
      </c>
      <c r="D27" t="s">
        <v>951</v>
      </c>
      <c r="E27" t="s">
        <v>969</v>
      </c>
      <c r="F27" t="s">
        <v>970</v>
      </c>
      <c r="G27">
        <v>2</v>
      </c>
      <c r="H27" t="s">
        <v>310</v>
      </c>
      <c r="I27">
        <v>2</v>
      </c>
      <c r="J27" s="37">
        <v>214.78</v>
      </c>
      <c r="K27">
        <v>2</v>
      </c>
    </row>
    <row r="28" spans="1:11" x14ac:dyDescent="0.35">
      <c r="A28">
        <v>26</v>
      </c>
      <c r="B28">
        <v>2015</v>
      </c>
      <c r="C28" t="s">
        <v>219</v>
      </c>
      <c r="D28" t="s">
        <v>951</v>
      </c>
      <c r="E28" t="s">
        <v>961</v>
      </c>
      <c r="F28" t="s">
        <v>962</v>
      </c>
      <c r="G28">
        <v>2</v>
      </c>
      <c r="H28" t="s">
        <v>310</v>
      </c>
      <c r="I28">
        <v>2</v>
      </c>
      <c r="J28" s="37">
        <v>216.55</v>
      </c>
      <c r="K28">
        <v>2</v>
      </c>
    </row>
    <row r="29" spans="1:11" x14ac:dyDescent="0.35">
      <c r="A29">
        <v>27</v>
      </c>
      <c r="B29">
        <v>2015</v>
      </c>
      <c r="C29" t="s">
        <v>219</v>
      </c>
      <c r="D29" t="s">
        <v>281</v>
      </c>
      <c r="E29" t="s">
        <v>287</v>
      </c>
      <c r="F29" t="s">
        <v>870</v>
      </c>
      <c r="G29">
        <v>2</v>
      </c>
      <c r="H29" t="s">
        <v>310</v>
      </c>
      <c r="I29">
        <v>2</v>
      </c>
      <c r="J29" s="37">
        <v>216.93</v>
      </c>
      <c r="K29">
        <v>4</v>
      </c>
    </row>
    <row r="30" spans="1:11" x14ac:dyDescent="0.35">
      <c r="A30">
        <v>28</v>
      </c>
      <c r="B30">
        <v>2015</v>
      </c>
      <c r="C30" t="s">
        <v>219</v>
      </c>
      <c r="D30" t="s">
        <v>281</v>
      </c>
      <c r="E30" t="s">
        <v>289</v>
      </c>
      <c r="F30" t="s">
        <v>864</v>
      </c>
      <c r="G30">
        <v>2</v>
      </c>
      <c r="H30" t="s">
        <v>310</v>
      </c>
      <c r="I30">
        <v>2</v>
      </c>
      <c r="J30" s="37">
        <v>218.01</v>
      </c>
      <c r="K30">
        <v>4</v>
      </c>
    </row>
    <row r="31" spans="1:11" x14ac:dyDescent="0.35">
      <c r="A31">
        <v>29</v>
      </c>
      <c r="B31">
        <v>2015</v>
      </c>
      <c r="C31" t="s">
        <v>219</v>
      </c>
      <c r="D31" t="s">
        <v>951</v>
      </c>
      <c r="E31" t="s">
        <v>963</v>
      </c>
      <c r="F31" t="s">
        <v>964</v>
      </c>
      <c r="G31">
        <v>2</v>
      </c>
      <c r="H31" t="s">
        <v>310</v>
      </c>
      <c r="I31">
        <v>2</v>
      </c>
      <c r="J31" s="37">
        <v>228.65</v>
      </c>
      <c r="K31">
        <v>2</v>
      </c>
    </row>
    <row r="32" spans="1:11" x14ac:dyDescent="0.35">
      <c r="A32">
        <v>30</v>
      </c>
      <c r="B32">
        <v>2015</v>
      </c>
      <c r="C32" t="s">
        <v>219</v>
      </c>
      <c r="D32" t="s">
        <v>951</v>
      </c>
      <c r="E32" t="s">
        <v>965</v>
      </c>
      <c r="F32" t="s">
        <v>966</v>
      </c>
      <c r="G32">
        <v>2</v>
      </c>
      <c r="H32" t="s">
        <v>310</v>
      </c>
      <c r="I32">
        <v>2</v>
      </c>
      <c r="J32" s="37">
        <v>230.56</v>
      </c>
      <c r="K32">
        <v>2</v>
      </c>
    </row>
    <row r="33" spans="1:11" x14ac:dyDescent="0.35">
      <c r="A33">
        <v>31</v>
      </c>
      <c r="B33">
        <v>2015</v>
      </c>
      <c r="C33" t="s">
        <v>219</v>
      </c>
      <c r="D33" t="s">
        <v>951</v>
      </c>
      <c r="E33" t="s">
        <v>967</v>
      </c>
      <c r="F33" t="s">
        <v>968</v>
      </c>
      <c r="G33">
        <v>2</v>
      </c>
      <c r="H33" t="s">
        <v>310</v>
      </c>
      <c r="I33">
        <v>2</v>
      </c>
      <c r="J33" s="37">
        <v>237.51</v>
      </c>
      <c r="K33">
        <v>2</v>
      </c>
    </row>
    <row r="34" spans="1:11" x14ac:dyDescent="0.35">
      <c r="A34">
        <v>32</v>
      </c>
      <c r="B34">
        <v>2015</v>
      </c>
      <c r="C34" t="s">
        <v>219</v>
      </c>
      <c r="D34" t="s">
        <v>951</v>
      </c>
      <c r="E34" t="s">
        <v>973</v>
      </c>
      <c r="F34" t="s">
        <v>278</v>
      </c>
      <c r="G34">
        <v>2</v>
      </c>
      <c r="H34" t="s">
        <v>310</v>
      </c>
      <c r="I34">
        <v>2</v>
      </c>
      <c r="J34" s="37">
        <v>240.84</v>
      </c>
      <c r="K34">
        <v>2</v>
      </c>
    </row>
    <row r="35" spans="1:11" x14ac:dyDescent="0.35">
      <c r="A35">
        <v>33</v>
      </c>
      <c r="B35">
        <v>2015</v>
      </c>
      <c r="C35" t="s">
        <v>219</v>
      </c>
      <c r="D35" t="s">
        <v>304</v>
      </c>
      <c r="E35" t="s">
        <v>307</v>
      </c>
      <c r="F35" t="s">
        <v>904</v>
      </c>
      <c r="G35">
        <v>1</v>
      </c>
      <c r="H35" t="s">
        <v>310</v>
      </c>
      <c r="I35">
        <v>2</v>
      </c>
      <c r="J35" s="37">
        <v>241.89</v>
      </c>
      <c r="K35">
        <v>4</v>
      </c>
    </row>
    <row r="36" spans="1:11" x14ac:dyDescent="0.35">
      <c r="A36">
        <v>34</v>
      </c>
      <c r="B36">
        <v>2015</v>
      </c>
      <c r="C36" t="s">
        <v>219</v>
      </c>
      <c r="D36" t="s">
        <v>304</v>
      </c>
      <c r="E36" t="s">
        <v>916</v>
      </c>
      <c r="F36" t="s">
        <v>917</v>
      </c>
      <c r="G36">
        <v>1</v>
      </c>
      <c r="H36" t="s">
        <v>310</v>
      </c>
      <c r="I36">
        <v>2</v>
      </c>
      <c r="J36" s="37">
        <v>241.89</v>
      </c>
      <c r="K36">
        <v>4</v>
      </c>
    </row>
    <row r="37" spans="1:11" x14ac:dyDescent="0.35">
      <c r="A37">
        <v>35</v>
      </c>
      <c r="B37">
        <v>2015</v>
      </c>
      <c r="C37" t="s">
        <v>219</v>
      </c>
      <c r="D37" t="s">
        <v>304</v>
      </c>
      <c r="E37" t="s">
        <v>902</v>
      </c>
      <c r="F37" t="s">
        <v>903</v>
      </c>
      <c r="G37">
        <v>1</v>
      </c>
      <c r="H37" t="s">
        <v>310</v>
      </c>
      <c r="I37">
        <v>2</v>
      </c>
      <c r="J37" s="37">
        <v>241.96</v>
      </c>
      <c r="K37">
        <v>4</v>
      </c>
    </row>
    <row r="38" spans="1:11" x14ac:dyDescent="0.35">
      <c r="A38">
        <v>36</v>
      </c>
      <c r="B38">
        <v>2015</v>
      </c>
      <c r="C38" t="s">
        <v>219</v>
      </c>
      <c r="D38" t="s">
        <v>304</v>
      </c>
      <c r="E38" t="s">
        <v>305</v>
      </c>
      <c r="F38" t="s">
        <v>913</v>
      </c>
      <c r="G38">
        <v>1</v>
      </c>
      <c r="H38" t="s">
        <v>310</v>
      </c>
      <c r="I38">
        <v>2</v>
      </c>
      <c r="J38" s="37">
        <v>242.04</v>
      </c>
      <c r="K38">
        <v>4</v>
      </c>
    </row>
    <row r="39" spans="1:11" x14ac:dyDescent="0.35">
      <c r="A39">
        <v>37</v>
      </c>
      <c r="B39">
        <v>2015</v>
      </c>
      <c r="C39" t="s">
        <v>219</v>
      </c>
      <c r="D39" t="s">
        <v>304</v>
      </c>
      <c r="E39" t="s">
        <v>911</v>
      </c>
      <c r="F39" t="s">
        <v>912</v>
      </c>
      <c r="G39">
        <v>1</v>
      </c>
      <c r="H39" t="s">
        <v>310</v>
      </c>
      <c r="I39">
        <v>2</v>
      </c>
      <c r="J39" s="37">
        <v>242.07</v>
      </c>
      <c r="K39">
        <v>4</v>
      </c>
    </row>
    <row r="40" spans="1:11" x14ac:dyDescent="0.35">
      <c r="A40">
        <v>38</v>
      </c>
      <c r="B40">
        <v>2015</v>
      </c>
      <c r="C40" t="s">
        <v>219</v>
      </c>
      <c r="D40" t="s">
        <v>304</v>
      </c>
      <c r="E40" t="s">
        <v>914</v>
      </c>
      <c r="F40" t="s">
        <v>915</v>
      </c>
      <c r="G40">
        <v>1</v>
      </c>
      <c r="H40" t="s">
        <v>310</v>
      </c>
      <c r="I40">
        <v>2</v>
      </c>
      <c r="J40" s="37">
        <v>242.29</v>
      </c>
      <c r="K40">
        <v>4</v>
      </c>
    </row>
    <row r="41" spans="1:11" x14ac:dyDescent="0.35">
      <c r="A41">
        <v>39</v>
      </c>
      <c r="B41">
        <v>2015</v>
      </c>
      <c r="C41" t="s">
        <v>219</v>
      </c>
      <c r="D41" t="s">
        <v>304</v>
      </c>
      <c r="E41" t="s">
        <v>909</v>
      </c>
      <c r="F41" t="s">
        <v>910</v>
      </c>
      <c r="G41">
        <v>1</v>
      </c>
      <c r="H41" t="s">
        <v>310</v>
      </c>
      <c r="I41">
        <v>2</v>
      </c>
      <c r="J41" s="37">
        <v>242.37</v>
      </c>
      <c r="K41">
        <v>4</v>
      </c>
    </row>
    <row r="42" spans="1:11" x14ac:dyDescent="0.35">
      <c r="A42">
        <v>40</v>
      </c>
      <c r="B42">
        <v>2015</v>
      </c>
      <c r="C42" t="s">
        <v>219</v>
      </c>
      <c r="D42" t="s">
        <v>844</v>
      </c>
      <c r="E42" t="s">
        <v>295</v>
      </c>
      <c r="F42" t="s">
        <v>1088</v>
      </c>
      <c r="G42">
        <v>3</v>
      </c>
      <c r="H42" t="s">
        <v>310</v>
      </c>
      <c r="I42">
        <v>2</v>
      </c>
      <c r="J42" s="37">
        <v>243.3</v>
      </c>
      <c r="K42">
        <v>1</v>
      </c>
    </row>
    <row r="43" spans="1:11" x14ac:dyDescent="0.35">
      <c r="A43">
        <v>41</v>
      </c>
      <c r="B43">
        <v>2015</v>
      </c>
      <c r="C43" t="s">
        <v>219</v>
      </c>
      <c r="D43" t="s">
        <v>304</v>
      </c>
      <c r="E43" t="s">
        <v>900</v>
      </c>
      <c r="F43" t="s">
        <v>901</v>
      </c>
      <c r="G43">
        <v>1</v>
      </c>
      <c r="H43" t="s">
        <v>310</v>
      </c>
      <c r="I43">
        <v>2</v>
      </c>
      <c r="J43" s="37">
        <v>243.94</v>
      </c>
      <c r="K43">
        <v>4</v>
      </c>
    </row>
    <row r="44" spans="1:11" x14ac:dyDescent="0.35">
      <c r="A44">
        <v>42</v>
      </c>
      <c r="B44">
        <v>2015</v>
      </c>
      <c r="C44" t="s">
        <v>219</v>
      </c>
      <c r="D44" t="s">
        <v>304</v>
      </c>
      <c r="E44" t="s">
        <v>898</v>
      </c>
      <c r="F44" t="s">
        <v>899</v>
      </c>
      <c r="G44">
        <v>1</v>
      </c>
      <c r="H44" t="s">
        <v>310</v>
      </c>
      <c r="I44">
        <v>2</v>
      </c>
      <c r="J44" s="37">
        <v>244.51</v>
      </c>
      <c r="K44">
        <v>4</v>
      </c>
    </row>
    <row r="45" spans="1:11" x14ac:dyDescent="0.35">
      <c r="A45">
        <v>43</v>
      </c>
      <c r="B45">
        <v>2015</v>
      </c>
      <c r="C45" t="s">
        <v>219</v>
      </c>
      <c r="D45" t="s">
        <v>304</v>
      </c>
      <c r="E45" t="s">
        <v>907</v>
      </c>
      <c r="F45" t="s">
        <v>908</v>
      </c>
      <c r="G45">
        <v>1</v>
      </c>
      <c r="H45" t="s">
        <v>310</v>
      </c>
      <c r="I45">
        <v>2</v>
      </c>
      <c r="J45" s="37">
        <v>249.86</v>
      </c>
      <c r="K45">
        <v>4</v>
      </c>
    </row>
    <row r="46" spans="1:11" x14ac:dyDescent="0.35">
      <c r="A46">
        <v>44</v>
      </c>
      <c r="B46">
        <v>2015</v>
      </c>
      <c r="C46" t="s">
        <v>219</v>
      </c>
      <c r="D46" t="s">
        <v>304</v>
      </c>
      <c r="E46" t="s">
        <v>905</v>
      </c>
      <c r="F46" t="s">
        <v>906</v>
      </c>
      <c r="G46">
        <v>1</v>
      </c>
      <c r="H46" t="s">
        <v>310</v>
      </c>
      <c r="I46">
        <v>2</v>
      </c>
      <c r="J46" s="37">
        <v>255.11</v>
      </c>
      <c r="K46">
        <v>4</v>
      </c>
    </row>
    <row r="47" spans="1:11" x14ac:dyDescent="0.35">
      <c r="A47">
        <v>45</v>
      </c>
      <c r="B47">
        <v>2015</v>
      </c>
      <c r="C47" t="s">
        <v>219</v>
      </c>
      <c r="D47" t="s">
        <v>245</v>
      </c>
      <c r="E47" t="s">
        <v>300</v>
      </c>
      <c r="F47" t="s">
        <v>301</v>
      </c>
      <c r="G47">
        <v>2</v>
      </c>
      <c r="H47" t="s">
        <v>310</v>
      </c>
      <c r="I47">
        <v>2</v>
      </c>
      <c r="J47" s="37">
        <v>265</v>
      </c>
      <c r="K47">
        <v>1</v>
      </c>
    </row>
    <row r="48" spans="1:11" x14ac:dyDescent="0.35">
      <c r="A48">
        <v>46</v>
      </c>
      <c r="B48">
        <v>2015</v>
      </c>
      <c r="C48" t="s">
        <v>219</v>
      </c>
      <c r="D48" t="s">
        <v>861</v>
      </c>
      <c r="E48" t="s">
        <v>977</v>
      </c>
      <c r="F48" t="s">
        <v>978</v>
      </c>
      <c r="G48">
        <v>1</v>
      </c>
      <c r="H48" t="s">
        <v>310</v>
      </c>
      <c r="I48">
        <v>2</v>
      </c>
      <c r="J48" s="37">
        <v>269.85000000000002</v>
      </c>
      <c r="K48">
        <v>1</v>
      </c>
    </row>
    <row r="49" spans="1:11" x14ac:dyDescent="0.35">
      <c r="A49">
        <v>47</v>
      </c>
      <c r="B49">
        <v>2015</v>
      </c>
      <c r="C49" t="s">
        <v>219</v>
      </c>
      <c r="D49" t="s">
        <v>245</v>
      </c>
      <c r="E49" t="s">
        <v>302</v>
      </c>
      <c r="F49" t="s">
        <v>303</v>
      </c>
      <c r="G49">
        <v>2</v>
      </c>
      <c r="H49" t="s">
        <v>310</v>
      </c>
      <c r="I49">
        <v>2</v>
      </c>
      <c r="J49" s="37">
        <v>274</v>
      </c>
      <c r="K49">
        <v>1</v>
      </c>
    </row>
    <row r="50" spans="1:11" x14ac:dyDescent="0.35">
      <c r="A50">
        <v>48</v>
      </c>
      <c r="B50">
        <v>2015</v>
      </c>
      <c r="C50" t="s">
        <v>219</v>
      </c>
      <c r="D50" t="s">
        <v>861</v>
      </c>
      <c r="E50" t="s">
        <v>980</v>
      </c>
      <c r="F50" t="s">
        <v>218</v>
      </c>
      <c r="G50">
        <v>1</v>
      </c>
      <c r="H50" t="s">
        <v>310</v>
      </c>
      <c r="I50">
        <v>2</v>
      </c>
      <c r="J50" s="37">
        <v>281.02</v>
      </c>
      <c r="K50">
        <v>1</v>
      </c>
    </row>
    <row r="51" spans="1:11" x14ac:dyDescent="0.35">
      <c r="A51">
        <v>49</v>
      </c>
      <c r="B51">
        <v>2015</v>
      </c>
      <c r="C51" t="s">
        <v>219</v>
      </c>
      <c r="D51" t="s">
        <v>861</v>
      </c>
      <c r="E51" t="s">
        <v>975</v>
      </c>
      <c r="F51" t="s">
        <v>976</v>
      </c>
      <c r="G51">
        <v>1</v>
      </c>
      <c r="H51" t="s">
        <v>310</v>
      </c>
      <c r="I51">
        <v>2</v>
      </c>
      <c r="J51" s="37">
        <v>283.23</v>
      </c>
      <c r="K51">
        <v>1</v>
      </c>
    </row>
    <row r="52" spans="1:11" x14ac:dyDescent="0.35">
      <c r="A52">
        <v>50</v>
      </c>
      <c r="B52">
        <v>2015</v>
      </c>
      <c r="C52" t="s">
        <v>219</v>
      </c>
      <c r="D52" t="s">
        <v>260</v>
      </c>
      <c r="E52" t="s">
        <v>1115</v>
      </c>
      <c r="F52" t="s">
        <v>851</v>
      </c>
      <c r="G52">
        <v>2</v>
      </c>
      <c r="H52" t="s">
        <v>310</v>
      </c>
      <c r="I52">
        <v>2</v>
      </c>
      <c r="J52" s="37">
        <v>283.33999999999997</v>
      </c>
      <c r="K52">
        <v>1</v>
      </c>
    </row>
    <row r="53" spans="1:11" x14ac:dyDescent="0.35">
      <c r="A53">
        <v>51</v>
      </c>
      <c r="B53">
        <v>2015</v>
      </c>
      <c r="C53" t="s">
        <v>219</v>
      </c>
      <c r="D53" t="s">
        <v>245</v>
      </c>
      <c r="E53" t="s">
        <v>298</v>
      </c>
      <c r="F53" t="s">
        <v>299</v>
      </c>
      <c r="G53">
        <v>2</v>
      </c>
      <c r="H53" t="s">
        <v>310</v>
      </c>
      <c r="I53">
        <v>2</v>
      </c>
      <c r="J53" s="37">
        <v>285</v>
      </c>
      <c r="K53">
        <v>1</v>
      </c>
    </row>
    <row r="54" spans="1:11" x14ac:dyDescent="0.35">
      <c r="A54">
        <v>52</v>
      </c>
      <c r="B54">
        <v>2015</v>
      </c>
      <c r="C54" t="s">
        <v>219</v>
      </c>
      <c r="D54" t="s">
        <v>260</v>
      </c>
      <c r="E54" t="s">
        <v>1114</v>
      </c>
      <c r="F54" t="s">
        <v>850</v>
      </c>
      <c r="G54">
        <v>2</v>
      </c>
      <c r="H54" t="s">
        <v>310</v>
      </c>
      <c r="I54">
        <v>2</v>
      </c>
      <c r="J54" s="37">
        <v>298.92</v>
      </c>
      <c r="K54">
        <v>1</v>
      </c>
    </row>
    <row r="55" spans="1:11" x14ac:dyDescent="0.35">
      <c r="A55">
        <v>53</v>
      </c>
      <c r="B55">
        <v>2015</v>
      </c>
      <c r="C55" t="s">
        <v>219</v>
      </c>
      <c r="D55" t="s">
        <v>260</v>
      </c>
      <c r="E55" t="s">
        <v>1113</v>
      </c>
      <c r="F55" t="s">
        <v>849</v>
      </c>
      <c r="G55">
        <v>2</v>
      </c>
      <c r="H55" t="s">
        <v>310</v>
      </c>
      <c r="I55">
        <v>2</v>
      </c>
      <c r="J55" s="37">
        <v>300.63</v>
      </c>
      <c r="K55">
        <v>1</v>
      </c>
    </row>
    <row r="56" spans="1:11" x14ac:dyDescent="0.35">
      <c r="A56">
        <v>54</v>
      </c>
      <c r="B56">
        <v>2015</v>
      </c>
      <c r="C56" t="s">
        <v>219</v>
      </c>
      <c r="D56" t="s">
        <v>984</v>
      </c>
      <c r="E56" t="s">
        <v>1034</v>
      </c>
      <c r="F56" t="s">
        <v>1035</v>
      </c>
      <c r="G56">
        <v>2</v>
      </c>
      <c r="H56" t="s">
        <v>310</v>
      </c>
      <c r="I56">
        <v>3</v>
      </c>
      <c r="J56" s="37">
        <v>203.1</v>
      </c>
      <c r="K56">
        <v>1</v>
      </c>
    </row>
    <row r="57" spans="1:11" x14ac:dyDescent="0.35">
      <c r="A57">
        <v>55</v>
      </c>
      <c r="B57">
        <v>2015</v>
      </c>
      <c r="C57" t="s">
        <v>219</v>
      </c>
      <c r="D57" t="s">
        <v>281</v>
      </c>
      <c r="E57" t="s">
        <v>929</v>
      </c>
      <c r="F57" t="s">
        <v>855</v>
      </c>
      <c r="G57">
        <v>2</v>
      </c>
      <c r="H57" t="s">
        <v>310</v>
      </c>
      <c r="I57">
        <v>3</v>
      </c>
      <c r="J57" s="37">
        <v>209.41</v>
      </c>
      <c r="K57">
        <v>4</v>
      </c>
    </row>
    <row r="58" spans="1:11" x14ac:dyDescent="0.35">
      <c r="A58">
        <v>56</v>
      </c>
      <c r="B58">
        <v>2015</v>
      </c>
      <c r="C58" t="s">
        <v>219</v>
      </c>
      <c r="D58" t="s">
        <v>984</v>
      </c>
      <c r="E58" t="s">
        <v>1050</v>
      </c>
      <c r="F58" t="s">
        <v>1051</v>
      </c>
      <c r="G58">
        <v>2</v>
      </c>
      <c r="H58" t="s">
        <v>310</v>
      </c>
      <c r="I58">
        <v>3</v>
      </c>
      <c r="J58" s="37">
        <v>209.49</v>
      </c>
      <c r="K58">
        <v>1</v>
      </c>
    </row>
    <row r="59" spans="1:11" x14ac:dyDescent="0.35">
      <c r="A59">
        <v>57</v>
      </c>
      <c r="B59">
        <v>2015</v>
      </c>
      <c r="C59" t="s">
        <v>219</v>
      </c>
      <c r="D59" t="s">
        <v>844</v>
      </c>
      <c r="E59" t="s">
        <v>308</v>
      </c>
      <c r="F59" t="s">
        <v>1089</v>
      </c>
      <c r="G59">
        <v>2</v>
      </c>
      <c r="H59" t="s">
        <v>310</v>
      </c>
      <c r="I59">
        <v>3</v>
      </c>
      <c r="J59" s="37">
        <v>210.72</v>
      </c>
      <c r="K59">
        <v>1</v>
      </c>
    </row>
    <row r="60" spans="1:11" x14ac:dyDescent="0.35">
      <c r="A60">
        <v>58</v>
      </c>
      <c r="B60">
        <v>2015</v>
      </c>
      <c r="C60" t="s">
        <v>219</v>
      </c>
      <c r="D60" t="s">
        <v>281</v>
      </c>
      <c r="E60" t="s">
        <v>930</v>
      </c>
      <c r="F60" t="s">
        <v>856</v>
      </c>
      <c r="G60">
        <v>2</v>
      </c>
      <c r="H60" t="s">
        <v>310</v>
      </c>
      <c r="I60">
        <v>3</v>
      </c>
      <c r="J60" s="37">
        <v>214.42</v>
      </c>
      <c r="K60">
        <v>4</v>
      </c>
    </row>
    <row r="61" spans="1:11" x14ac:dyDescent="0.35">
      <c r="A61">
        <v>59</v>
      </c>
      <c r="B61">
        <v>2015</v>
      </c>
      <c r="C61" t="s">
        <v>219</v>
      </c>
      <c r="D61" t="s">
        <v>281</v>
      </c>
      <c r="E61" t="s">
        <v>286</v>
      </c>
      <c r="F61" t="s">
        <v>865</v>
      </c>
      <c r="G61">
        <v>2</v>
      </c>
      <c r="H61" t="s">
        <v>310</v>
      </c>
      <c r="I61">
        <v>3</v>
      </c>
      <c r="J61" s="37">
        <v>220.58</v>
      </c>
      <c r="K61">
        <v>4</v>
      </c>
    </row>
    <row r="62" spans="1:11" x14ac:dyDescent="0.35">
      <c r="A62">
        <v>60</v>
      </c>
      <c r="B62">
        <v>2015</v>
      </c>
      <c r="C62" t="s">
        <v>219</v>
      </c>
      <c r="D62" t="s">
        <v>844</v>
      </c>
      <c r="E62" t="s">
        <v>295</v>
      </c>
      <c r="F62" t="s">
        <v>1088</v>
      </c>
      <c r="G62">
        <v>3</v>
      </c>
      <c r="H62" t="s">
        <v>310</v>
      </c>
      <c r="I62">
        <v>3</v>
      </c>
      <c r="J62" s="37">
        <v>220.58</v>
      </c>
      <c r="K62">
        <v>1</v>
      </c>
    </row>
    <row r="63" spans="1:11" x14ac:dyDescent="0.35">
      <c r="A63">
        <v>61</v>
      </c>
      <c r="B63">
        <v>2015</v>
      </c>
      <c r="C63" t="s">
        <v>219</v>
      </c>
      <c r="D63" t="s">
        <v>281</v>
      </c>
      <c r="E63" t="s">
        <v>926</v>
      </c>
      <c r="F63" t="s">
        <v>852</v>
      </c>
      <c r="G63">
        <v>2</v>
      </c>
      <c r="H63" t="s">
        <v>310</v>
      </c>
      <c r="I63">
        <v>3</v>
      </c>
      <c r="J63" s="37">
        <v>222.86</v>
      </c>
      <c r="K63">
        <v>4</v>
      </c>
    </row>
    <row r="64" spans="1:11" x14ac:dyDescent="0.35">
      <c r="A64">
        <v>62</v>
      </c>
      <c r="B64">
        <v>2015</v>
      </c>
      <c r="C64" t="s">
        <v>219</v>
      </c>
      <c r="D64" t="s">
        <v>281</v>
      </c>
      <c r="E64" t="s">
        <v>931</v>
      </c>
      <c r="F64" t="s">
        <v>857</v>
      </c>
      <c r="G64">
        <v>2</v>
      </c>
      <c r="H64" t="s">
        <v>310</v>
      </c>
      <c r="I64">
        <v>3</v>
      </c>
      <c r="J64" s="37">
        <v>223.76</v>
      </c>
      <c r="K64">
        <v>4</v>
      </c>
    </row>
    <row r="65" spans="1:11" x14ac:dyDescent="0.35">
      <c r="A65">
        <v>63</v>
      </c>
      <c r="B65">
        <v>2015</v>
      </c>
      <c r="C65" t="s">
        <v>219</v>
      </c>
      <c r="D65" t="s">
        <v>281</v>
      </c>
      <c r="E65" t="s">
        <v>290</v>
      </c>
      <c r="F65" t="s">
        <v>866</v>
      </c>
      <c r="G65">
        <v>2</v>
      </c>
      <c r="H65" t="s">
        <v>310</v>
      </c>
      <c r="I65">
        <v>3</v>
      </c>
      <c r="J65" s="37">
        <v>225.86</v>
      </c>
      <c r="K65">
        <v>4</v>
      </c>
    </row>
    <row r="66" spans="1:11" x14ac:dyDescent="0.35">
      <c r="A66">
        <v>64</v>
      </c>
      <c r="B66">
        <v>2015</v>
      </c>
      <c r="C66" t="s">
        <v>219</v>
      </c>
      <c r="D66" t="s">
        <v>281</v>
      </c>
      <c r="E66" t="s">
        <v>282</v>
      </c>
      <c r="F66" t="s">
        <v>868</v>
      </c>
      <c r="G66">
        <v>2</v>
      </c>
      <c r="H66" t="s">
        <v>310</v>
      </c>
      <c r="I66">
        <v>3</v>
      </c>
      <c r="J66" s="37">
        <v>227.87</v>
      </c>
      <c r="K66">
        <v>4</v>
      </c>
    </row>
    <row r="67" spans="1:11" x14ac:dyDescent="0.35">
      <c r="A67">
        <v>65</v>
      </c>
      <c r="B67">
        <v>2015</v>
      </c>
      <c r="C67" t="s">
        <v>219</v>
      </c>
      <c r="D67" t="s">
        <v>281</v>
      </c>
      <c r="E67" t="s">
        <v>927</v>
      </c>
      <c r="F67" t="s">
        <v>853</v>
      </c>
      <c r="G67">
        <v>2</v>
      </c>
      <c r="H67" t="s">
        <v>310</v>
      </c>
      <c r="I67">
        <v>3</v>
      </c>
      <c r="J67" s="37">
        <v>228.19</v>
      </c>
      <c r="K67">
        <v>4</v>
      </c>
    </row>
    <row r="68" spans="1:11" x14ac:dyDescent="0.35">
      <c r="A68">
        <v>66</v>
      </c>
      <c r="B68">
        <v>2015</v>
      </c>
      <c r="C68" t="s">
        <v>219</v>
      </c>
      <c r="D68" t="s">
        <v>281</v>
      </c>
      <c r="E68" t="s">
        <v>283</v>
      </c>
      <c r="F68" t="s">
        <v>862</v>
      </c>
      <c r="G68">
        <v>2</v>
      </c>
      <c r="H68" t="s">
        <v>310</v>
      </c>
      <c r="I68">
        <v>3</v>
      </c>
      <c r="J68" s="37">
        <v>229.01</v>
      </c>
      <c r="K68">
        <v>4</v>
      </c>
    </row>
    <row r="69" spans="1:11" x14ac:dyDescent="0.35">
      <c r="A69">
        <v>67</v>
      </c>
      <c r="B69">
        <v>2015</v>
      </c>
      <c r="C69" t="s">
        <v>219</v>
      </c>
      <c r="D69" t="s">
        <v>281</v>
      </c>
      <c r="E69" t="s">
        <v>284</v>
      </c>
      <c r="F69" t="s">
        <v>869</v>
      </c>
      <c r="G69">
        <v>2</v>
      </c>
      <c r="H69" t="s">
        <v>310</v>
      </c>
      <c r="I69">
        <v>3</v>
      </c>
      <c r="J69" s="37">
        <v>233.32</v>
      </c>
      <c r="K69">
        <v>4</v>
      </c>
    </row>
    <row r="70" spans="1:11" x14ac:dyDescent="0.35">
      <c r="A70">
        <v>68</v>
      </c>
      <c r="B70">
        <v>2015</v>
      </c>
      <c r="C70" t="s">
        <v>219</v>
      </c>
      <c r="D70" t="s">
        <v>951</v>
      </c>
      <c r="E70" t="s">
        <v>969</v>
      </c>
      <c r="F70" t="s">
        <v>970</v>
      </c>
      <c r="G70">
        <v>2</v>
      </c>
      <c r="H70" t="s">
        <v>310</v>
      </c>
      <c r="I70">
        <v>3</v>
      </c>
      <c r="J70" s="37">
        <v>233.43</v>
      </c>
      <c r="K70">
        <v>2</v>
      </c>
    </row>
    <row r="71" spans="1:11" x14ac:dyDescent="0.35">
      <c r="A71">
        <v>69</v>
      </c>
      <c r="B71">
        <v>2015</v>
      </c>
      <c r="C71" t="s">
        <v>219</v>
      </c>
      <c r="D71" t="s">
        <v>281</v>
      </c>
      <c r="E71" t="s">
        <v>285</v>
      </c>
      <c r="F71" t="s">
        <v>863</v>
      </c>
      <c r="G71">
        <v>2</v>
      </c>
      <c r="H71" t="s">
        <v>310</v>
      </c>
      <c r="I71">
        <v>3</v>
      </c>
      <c r="J71" s="37">
        <v>234.49</v>
      </c>
      <c r="K71">
        <v>4</v>
      </c>
    </row>
    <row r="72" spans="1:11" x14ac:dyDescent="0.35">
      <c r="A72">
        <v>70</v>
      </c>
      <c r="B72">
        <v>2015</v>
      </c>
      <c r="C72" t="s">
        <v>219</v>
      </c>
      <c r="D72" t="s">
        <v>951</v>
      </c>
      <c r="E72" t="s">
        <v>961</v>
      </c>
      <c r="F72" t="s">
        <v>962</v>
      </c>
      <c r="G72">
        <v>2</v>
      </c>
      <c r="H72" t="s">
        <v>310</v>
      </c>
      <c r="I72">
        <v>3</v>
      </c>
      <c r="J72" s="37">
        <v>235.36</v>
      </c>
      <c r="K72">
        <v>2</v>
      </c>
    </row>
    <row r="73" spans="1:11" x14ac:dyDescent="0.35">
      <c r="A73">
        <v>71</v>
      </c>
      <c r="B73">
        <v>2015</v>
      </c>
      <c r="C73" t="s">
        <v>219</v>
      </c>
      <c r="D73" t="s">
        <v>281</v>
      </c>
      <c r="E73" t="s">
        <v>292</v>
      </c>
      <c r="F73" t="s">
        <v>867</v>
      </c>
      <c r="G73">
        <v>2</v>
      </c>
      <c r="H73" t="s">
        <v>310</v>
      </c>
      <c r="I73">
        <v>3</v>
      </c>
      <c r="J73" s="37">
        <v>235.69</v>
      </c>
      <c r="K73">
        <v>4</v>
      </c>
    </row>
    <row r="74" spans="1:11" x14ac:dyDescent="0.35">
      <c r="A74">
        <v>72</v>
      </c>
      <c r="B74">
        <v>2015</v>
      </c>
      <c r="C74" t="s">
        <v>219</v>
      </c>
      <c r="D74" t="s">
        <v>281</v>
      </c>
      <c r="E74" t="s">
        <v>928</v>
      </c>
      <c r="F74" t="s">
        <v>854</v>
      </c>
      <c r="G74">
        <v>2</v>
      </c>
      <c r="H74" t="s">
        <v>310</v>
      </c>
      <c r="I74">
        <v>3</v>
      </c>
      <c r="J74" s="37">
        <v>238.13</v>
      </c>
      <c r="K74">
        <v>4</v>
      </c>
    </row>
    <row r="75" spans="1:11" x14ac:dyDescent="0.35">
      <c r="A75">
        <v>73</v>
      </c>
      <c r="B75">
        <v>2015</v>
      </c>
      <c r="C75" t="s">
        <v>219</v>
      </c>
      <c r="D75" t="s">
        <v>281</v>
      </c>
      <c r="E75" t="s">
        <v>287</v>
      </c>
      <c r="F75" t="s">
        <v>870</v>
      </c>
      <c r="G75">
        <v>2</v>
      </c>
      <c r="H75" t="s">
        <v>310</v>
      </c>
      <c r="I75">
        <v>3</v>
      </c>
      <c r="J75" s="37">
        <v>243.49</v>
      </c>
      <c r="K75">
        <v>4</v>
      </c>
    </row>
    <row r="76" spans="1:11" x14ac:dyDescent="0.35">
      <c r="A76">
        <v>74</v>
      </c>
      <c r="B76">
        <v>2015</v>
      </c>
      <c r="C76" t="s">
        <v>219</v>
      </c>
      <c r="D76" t="s">
        <v>281</v>
      </c>
      <c r="E76" t="s">
        <v>289</v>
      </c>
      <c r="F76" t="s">
        <v>864</v>
      </c>
      <c r="G76">
        <v>2</v>
      </c>
      <c r="H76" t="s">
        <v>310</v>
      </c>
      <c r="I76">
        <v>3</v>
      </c>
      <c r="J76" s="37">
        <v>244.7</v>
      </c>
      <c r="K76">
        <v>4</v>
      </c>
    </row>
    <row r="77" spans="1:11" x14ac:dyDescent="0.35">
      <c r="A77">
        <v>75</v>
      </c>
      <c r="B77">
        <v>2015</v>
      </c>
      <c r="C77" t="s">
        <v>219</v>
      </c>
      <c r="D77" t="s">
        <v>951</v>
      </c>
      <c r="E77" t="s">
        <v>963</v>
      </c>
      <c r="F77" t="s">
        <v>964</v>
      </c>
      <c r="G77">
        <v>2</v>
      </c>
      <c r="H77" t="s">
        <v>310</v>
      </c>
      <c r="I77">
        <v>3</v>
      </c>
      <c r="J77" s="37">
        <v>248.52</v>
      </c>
      <c r="K77">
        <v>2</v>
      </c>
    </row>
    <row r="78" spans="1:11" x14ac:dyDescent="0.35">
      <c r="A78">
        <v>76</v>
      </c>
      <c r="B78">
        <v>2015</v>
      </c>
      <c r="C78" t="s">
        <v>219</v>
      </c>
      <c r="D78" t="s">
        <v>951</v>
      </c>
      <c r="E78" t="s">
        <v>965</v>
      </c>
      <c r="F78" t="s">
        <v>966</v>
      </c>
      <c r="G78">
        <v>2</v>
      </c>
      <c r="H78" t="s">
        <v>310</v>
      </c>
      <c r="I78">
        <v>3</v>
      </c>
      <c r="J78" s="37">
        <v>250.59</v>
      </c>
      <c r="K78">
        <v>2</v>
      </c>
    </row>
    <row r="79" spans="1:11" x14ac:dyDescent="0.35">
      <c r="A79">
        <v>77</v>
      </c>
      <c r="B79">
        <v>2015</v>
      </c>
      <c r="C79" t="s">
        <v>219</v>
      </c>
      <c r="D79" t="s">
        <v>304</v>
      </c>
      <c r="E79" t="s">
        <v>307</v>
      </c>
      <c r="F79" t="s">
        <v>904</v>
      </c>
      <c r="G79">
        <v>1</v>
      </c>
      <c r="H79" t="s">
        <v>310</v>
      </c>
      <c r="I79">
        <v>3</v>
      </c>
      <c r="J79" s="37">
        <v>256.55</v>
      </c>
      <c r="K79">
        <v>4</v>
      </c>
    </row>
    <row r="80" spans="1:11" x14ac:dyDescent="0.35">
      <c r="A80">
        <v>78</v>
      </c>
      <c r="B80">
        <v>2015</v>
      </c>
      <c r="C80" t="s">
        <v>219</v>
      </c>
      <c r="D80" t="s">
        <v>304</v>
      </c>
      <c r="E80" t="s">
        <v>916</v>
      </c>
      <c r="F80" t="s">
        <v>917</v>
      </c>
      <c r="G80">
        <v>1</v>
      </c>
      <c r="H80" t="s">
        <v>310</v>
      </c>
      <c r="I80">
        <v>3</v>
      </c>
      <c r="J80" s="37">
        <v>256.55</v>
      </c>
      <c r="K80">
        <v>4</v>
      </c>
    </row>
    <row r="81" spans="1:11" x14ac:dyDescent="0.35">
      <c r="A81">
        <v>79</v>
      </c>
      <c r="B81">
        <v>2015</v>
      </c>
      <c r="C81" t="s">
        <v>219</v>
      </c>
      <c r="D81" t="s">
        <v>304</v>
      </c>
      <c r="E81" t="s">
        <v>902</v>
      </c>
      <c r="F81" t="s">
        <v>903</v>
      </c>
      <c r="G81">
        <v>1</v>
      </c>
      <c r="H81" t="s">
        <v>310</v>
      </c>
      <c r="I81">
        <v>3</v>
      </c>
      <c r="J81" s="37">
        <v>256.62</v>
      </c>
      <c r="K81">
        <v>4</v>
      </c>
    </row>
    <row r="82" spans="1:11" x14ac:dyDescent="0.35">
      <c r="A82">
        <v>80</v>
      </c>
      <c r="B82">
        <v>2015</v>
      </c>
      <c r="C82" t="s">
        <v>219</v>
      </c>
      <c r="D82" t="s">
        <v>304</v>
      </c>
      <c r="E82" t="s">
        <v>305</v>
      </c>
      <c r="F82" t="s">
        <v>913</v>
      </c>
      <c r="G82">
        <v>1</v>
      </c>
      <c r="H82" t="s">
        <v>310</v>
      </c>
      <c r="I82">
        <v>3</v>
      </c>
      <c r="J82" s="37">
        <v>256.7</v>
      </c>
      <c r="K82">
        <v>4</v>
      </c>
    </row>
    <row r="83" spans="1:11" x14ac:dyDescent="0.35">
      <c r="A83">
        <v>81</v>
      </c>
      <c r="B83">
        <v>2015</v>
      </c>
      <c r="C83" t="s">
        <v>219</v>
      </c>
      <c r="D83" t="s">
        <v>304</v>
      </c>
      <c r="E83" t="s">
        <v>911</v>
      </c>
      <c r="F83" t="s">
        <v>912</v>
      </c>
      <c r="G83">
        <v>1</v>
      </c>
      <c r="H83" t="s">
        <v>310</v>
      </c>
      <c r="I83">
        <v>3</v>
      </c>
      <c r="J83" s="37">
        <v>256.74</v>
      </c>
      <c r="K83">
        <v>4</v>
      </c>
    </row>
    <row r="84" spans="1:11" x14ac:dyDescent="0.35">
      <c r="A84">
        <v>82</v>
      </c>
      <c r="B84">
        <v>2015</v>
      </c>
      <c r="C84" t="s">
        <v>219</v>
      </c>
      <c r="D84" t="s">
        <v>304</v>
      </c>
      <c r="E84" t="s">
        <v>914</v>
      </c>
      <c r="F84" t="s">
        <v>915</v>
      </c>
      <c r="G84">
        <v>1</v>
      </c>
      <c r="H84" t="s">
        <v>310</v>
      </c>
      <c r="I84">
        <v>3</v>
      </c>
      <c r="J84" s="37">
        <v>256.98</v>
      </c>
      <c r="K84">
        <v>4</v>
      </c>
    </row>
    <row r="85" spans="1:11" x14ac:dyDescent="0.35">
      <c r="A85">
        <v>83</v>
      </c>
      <c r="B85">
        <v>2015</v>
      </c>
      <c r="C85" t="s">
        <v>219</v>
      </c>
      <c r="D85" t="s">
        <v>304</v>
      </c>
      <c r="E85" t="s">
        <v>909</v>
      </c>
      <c r="F85" t="s">
        <v>910</v>
      </c>
      <c r="G85">
        <v>1</v>
      </c>
      <c r="H85" t="s">
        <v>310</v>
      </c>
      <c r="I85">
        <v>3</v>
      </c>
      <c r="J85" s="37">
        <v>257.06</v>
      </c>
      <c r="K85">
        <v>4</v>
      </c>
    </row>
    <row r="86" spans="1:11" x14ac:dyDescent="0.35">
      <c r="A86">
        <v>84</v>
      </c>
      <c r="B86">
        <v>2015</v>
      </c>
      <c r="C86" t="s">
        <v>219</v>
      </c>
      <c r="D86" t="s">
        <v>951</v>
      </c>
      <c r="E86" t="s">
        <v>967</v>
      </c>
      <c r="F86" t="s">
        <v>968</v>
      </c>
      <c r="G86">
        <v>2</v>
      </c>
      <c r="H86" t="s">
        <v>310</v>
      </c>
      <c r="I86">
        <v>3</v>
      </c>
      <c r="J86" s="37">
        <v>258.14</v>
      </c>
      <c r="K86">
        <v>2</v>
      </c>
    </row>
    <row r="87" spans="1:11" x14ac:dyDescent="0.35">
      <c r="A87">
        <v>85</v>
      </c>
      <c r="B87">
        <v>2015</v>
      </c>
      <c r="C87" t="s">
        <v>219</v>
      </c>
      <c r="D87" t="s">
        <v>304</v>
      </c>
      <c r="E87" t="s">
        <v>900</v>
      </c>
      <c r="F87" t="s">
        <v>901</v>
      </c>
      <c r="G87">
        <v>1</v>
      </c>
      <c r="H87" t="s">
        <v>310</v>
      </c>
      <c r="I87">
        <v>3</v>
      </c>
      <c r="J87" s="37">
        <v>258.73</v>
      </c>
      <c r="K87">
        <v>4</v>
      </c>
    </row>
    <row r="88" spans="1:11" x14ac:dyDescent="0.35">
      <c r="A88">
        <v>86</v>
      </c>
      <c r="B88">
        <v>2015</v>
      </c>
      <c r="C88" t="s">
        <v>219</v>
      </c>
      <c r="D88" t="s">
        <v>304</v>
      </c>
      <c r="E88" t="s">
        <v>898</v>
      </c>
      <c r="F88" t="s">
        <v>899</v>
      </c>
      <c r="G88">
        <v>1</v>
      </c>
      <c r="H88" t="s">
        <v>310</v>
      </c>
      <c r="I88">
        <v>3</v>
      </c>
      <c r="J88" s="37">
        <v>259.33</v>
      </c>
      <c r="K88">
        <v>4</v>
      </c>
    </row>
    <row r="89" spans="1:11" x14ac:dyDescent="0.35">
      <c r="A89">
        <v>87</v>
      </c>
      <c r="B89">
        <v>2015</v>
      </c>
      <c r="C89" t="s">
        <v>219</v>
      </c>
      <c r="D89" t="s">
        <v>951</v>
      </c>
      <c r="E89" t="s">
        <v>973</v>
      </c>
      <c r="F89" t="s">
        <v>278</v>
      </c>
      <c r="G89">
        <v>2</v>
      </c>
      <c r="H89" t="s">
        <v>310</v>
      </c>
      <c r="I89">
        <v>3</v>
      </c>
      <c r="J89" s="37">
        <v>261.77</v>
      </c>
      <c r="K89">
        <v>2</v>
      </c>
    </row>
    <row r="90" spans="1:11" x14ac:dyDescent="0.35">
      <c r="A90">
        <v>88</v>
      </c>
      <c r="B90">
        <v>2015</v>
      </c>
      <c r="C90" t="s">
        <v>219</v>
      </c>
      <c r="D90" t="s">
        <v>260</v>
      </c>
      <c r="E90" t="s">
        <v>1115</v>
      </c>
      <c r="F90" t="s">
        <v>851</v>
      </c>
      <c r="G90">
        <v>2</v>
      </c>
      <c r="H90" t="s">
        <v>310</v>
      </c>
      <c r="I90">
        <v>3</v>
      </c>
      <c r="J90" s="37">
        <v>262.05</v>
      </c>
      <c r="K90">
        <v>1</v>
      </c>
    </row>
    <row r="91" spans="1:11" x14ac:dyDescent="0.35">
      <c r="A91">
        <v>89</v>
      </c>
      <c r="B91">
        <v>2015</v>
      </c>
      <c r="C91" t="s">
        <v>219</v>
      </c>
      <c r="D91" t="s">
        <v>245</v>
      </c>
      <c r="E91" t="s">
        <v>300</v>
      </c>
      <c r="F91" t="s">
        <v>301</v>
      </c>
      <c r="G91">
        <v>2</v>
      </c>
      <c r="H91" t="s">
        <v>310</v>
      </c>
      <c r="I91">
        <v>3</v>
      </c>
      <c r="J91" s="37">
        <v>265</v>
      </c>
      <c r="K91">
        <v>1</v>
      </c>
    </row>
    <row r="92" spans="1:11" x14ac:dyDescent="0.35">
      <c r="A92">
        <v>90</v>
      </c>
      <c r="B92">
        <v>2015</v>
      </c>
      <c r="C92" t="s">
        <v>219</v>
      </c>
      <c r="D92" t="s">
        <v>304</v>
      </c>
      <c r="E92" t="s">
        <v>907</v>
      </c>
      <c r="F92" t="s">
        <v>908</v>
      </c>
      <c r="G92">
        <v>1</v>
      </c>
      <c r="H92" t="s">
        <v>310</v>
      </c>
      <c r="I92">
        <v>3</v>
      </c>
      <c r="J92" s="37">
        <v>265.01</v>
      </c>
      <c r="K92">
        <v>4</v>
      </c>
    </row>
    <row r="93" spans="1:11" x14ac:dyDescent="0.35">
      <c r="A93">
        <v>91</v>
      </c>
      <c r="B93">
        <v>2015</v>
      </c>
      <c r="C93" t="s">
        <v>219</v>
      </c>
      <c r="D93" t="s">
        <v>861</v>
      </c>
      <c r="E93" t="s">
        <v>977</v>
      </c>
      <c r="F93" t="s">
        <v>978</v>
      </c>
      <c r="G93">
        <v>1</v>
      </c>
      <c r="H93" t="s">
        <v>310</v>
      </c>
      <c r="I93">
        <v>3</v>
      </c>
      <c r="J93" s="37">
        <v>267.29000000000002</v>
      </c>
      <c r="K93">
        <v>1</v>
      </c>
    </row>
    <row r="94" spans="1:11" x14ac:dyDescent="0.35">
      <c r="A94">
        <v>92</v>
      </c>
      <c r="B94">
        <v>2015</v>
      </c>
      <c r="C94" t="s">
        <v>219</v>
      </c>
      <c r="D94" t="s">
        <v>304</v>
      </c>
      <c r="E94" t="s">
        <v>905</v>
      </c>
      <c r="F94" t="s">
        <v>906</v>
      </c>
      <c r="G94">
        <v>1</v>
      </c>
      <c r="H94" t="s">
        <v>310</v>
      </c>
      <c r="I94">
        <v>3</v>
      </c>
      <c r="J94" s="37">
        <v>270.57</v>
      </c>
      <c r="K94">
        <v>4</v>
      </c>
    </row>
    <row r="95" spans="1:11" x14ac:dyDescent="0.35">
      <c r="A95">
        <v>93</v>
      </c>
      <c r="B95">
        <v>2015</v>
      </c>
      <c r="C95" t="s">
        <v>219</v>
      </c>
      <c r="D95" t="s">
        <v>245</v>
      </c>
      <c r="E95" t="s">
        <v>302</v>
      </c>
      <c r="F95" t="s">
        <v>303</v>
      </c>
      <c r="G95">
        <v>2</v>
      </c>
      <c r="H95" t="s">
        <v>310</v>
      </c>
      <c r="I95">
        <v>3</v>
      </c>
      <c r="J95" s="37">
        <v>274</v>
      </c>
      <c r="K95">
        <v>1</v>
      </c>
    </row>
    <row r="96" spans="1:11" x14ac:dyDescent="0.35">
      <c r="A96">
        <v>94</v>
      </c>
      <c r="B96">
        <v>2015</v>
      </c>
      <c r="C96" t="s">
        <v>219</v>
      </c>
      <c r="D96" t="s">
        <v>260</v>
      </c>
      <c r="E96" t="s">
        <v>1114</v>
      </c>
      <c r="F96" t="s">
        <v>850</v>
      </c>
      <c r="G96">
        <v>2</v>
      </c>
      <c r="H96" t="s">
        <v>310</v>
      </c>
      <c r="I96">
        <v>3</v>
      </c>
      <c r="J96" s="37">
        <v>276.45999999999998</v>
      </c>
      <c r="K96">
        <v>1</v>
      </c>
    </row>
    <row r="97" spans="1:11" x14ac:dyDescent="0.35">
      <c r="A97">
        <v>95</v>
      </c>
      <c r="B97">
        <v>2015</v>
      </c>
      <c r="C97" t="s">
        <v>219</v>
      </c>
      <c r="D97" t="s">
        <v>260</v>
      </c>
      <c r="E97" t="s">
        <v>1113</v>
      </c>
      <c r="F97" t="s">
        <v>849</v>
      </c>
      <c r="G97">
        <v>2</v>
      </c>
      <c r="H97" t="s">
        <v>310</v>
      </c>
      <c r="I97">
        <v>3</v>
      </c>
      <c r="J97" s="37">
        <v>278.02999999999997</v>
      </c>
      <c r="K97">
        <v>1</v>
      </c>
    </row>
    <row r="98" spans="1:11" x14ac:dyDescent="0.35">
      <c r="A98">
        <v>96</v>
      </c>
      <c r="B98">
        <v>2015</v>
      </c>
      <c r="C98" t="s">
        <v>219</v>
      </c>
      <c r="D98" t="s">
        <v>861</v>
      </c>
      <c r="E98" t="s">
        <v>980</v>
      </c>
      <c r="F98" t="s">
        <v>218</v>
      </c>
      <c r="G98">
        <v>1</v>
      </c>
      <c r="H98" t="s">
        <v>310</v>
      </c>
      <c r="I98">
        <v>3</v>
      </c>
      <c r="J98" s="37">
        <v>278.36</v>
      </c>
      <c r="K98">
        <v>1</v>
      </c>
    </row>
    <row r="99" spans="1:11" x14ac:dyDescent="0.35">
      <c r="A99">
        <v>97</v>
      </c>
      <c r="B99">
        <v>2015</v>
      </c>
      <c r="C99" t="s">
        <v>219</v>
      </c>
      <c r="D99" t="s">
        <v>861</v>
      </c>
      <c r="E99" t="s">
        <v>975</v>
      </c>
      <c r="F99" t="s">
        <v>976</v>
      </c>
      <c r="G99">
        <v>1</v>
      </c>
      <c r="H99" t="s">
        <v>310</v>
      </c>
      <c r="I99">
        <v>3</v>
      </c>
      <c r="J99" s="37">
        <v>280.55</v>
      </c>
      <c r="K99">
        <v>1</v>
      </c>
    </row>
    <row r="100" spans="1:11" x14ac:dyDescent="0.35">
      <c r="A100">
        <v>98</v>
      </c>
      <c r="B100">
        <v>2015</v>
      </c>
      <c r="C100" t="s">
        <v>219</v>
      </c>
      <c r="D100" t="s">
        <v>245</v>
      </c>
      <c r="E100" t="s">
        <v>298</v>
      </c>
      <c r="F100" t="s">
        <v>299</v>
      </c>
      <c r="G100">
        <v>2</v>
      </c>
      <c r="H100" t="s">
        <v>310</v>
      </c>
      <c r="I100">
        <v>3</v>
      </c>
      <c r="J100" s="37">
        <v>285</v>
      </c>
      <c r="K100">
        <v>1</v>
      </c>
    </row>
    <row r="101" spans="1:11" x14ac:dyDescent="0.35">
      <c r="A101">
        <v>99</v>
      </c>
      <c r="B101">
        <v>2015</v>
      </c>
      <c r="C101" t="s">
        <v>219</v>
      </c>
      <c r="D101" t="s">
        <v>844</v>
      </c>
      <c r="E101" t="s">
        <v>295</v>
      </c>
      <c r="F101" t="s">
        <v>1088</v>
      </c>
      <c r="G101">
        <v>3</v>
      </c>
      <c r="H101" t="s">
        <v>310</v>
      </c>
      <c r="I101">
        <v>4</v>
      </c>
      <c r="J101" s="37">
        <v>225.56</v>
      </c>
      <c r="K101">
        <v>1</v>
      </c>
    </row>
    <row r="102" spans="1:11" x14ac:dyDescent="0.35">
      <c r="A102">
        <v>100</v>
      </c>
      <c r="B102">
        <v>2015</v>
      </c>
      <c r="C102" t="s">
        <v>219</v>
      </c>
      <c r="D102" t="s">
        <v>304</v>
      </c>
      <c r="E102" t="s">
        <v>307</v>
      </c>
      <c r="F102" t="s">
        <v>904</v>
      </c>
      <c r="G102">
        <v>1</v>
      </c>
      <c r="H102" t="s">
        <v>310</v>
      </c>
      <c r="I102">
        <v>4</v>
      </c>
      <c r="J102" s="37">
        <v>261.43</v>
      </c>
      <c r="K102">
        <v>4</v>
      </c>
    </row>
    <row r="103" spans="1:11" x14ac:dyDescent="0.35">
      <c r="A103">
        <v>101</v>
      </c>
      <c r="B103">
        <v>2015</v>
      </c>
      <c r="C103" t="s">
        <v>219</v>
      </c>
      <c r="D103" t="s">
        <v>304</v>
      </c>
      <c r="E103" t="s">
        <v>916</v>
      </c>
      <c r="F103" t="s">
        <v>917</v>
      </c>
      <c r="G103">
        <v>1</v>
      </c>
      <c r="H103" t="s">
        <v>310</v>
      </c>
      <c r="I103">
        <v>4</v>
      </c>
      <c r="J103" s="37">
        <v>261.43</v>
      </c>
      <c r="K103">
        <v>4</v>
      </c>
    </row>
    <row r="104" spans="1:11" x14ac:dyDescent="0.35">
      <c r="A104">
        <v>102</v>
      </c>
      <c r="B104">
        <v>2015</v>
      </c>
      <c r="C104" t="s">
        <v>219</v>
      </c>
      <c r="D104" t="s">
        <v>304</v>
      </c>
      <c r="E104" t="s">
        <v>902</v>
      </c>
      <c r="F104" t="s">
        <v>903</v>
      </c>
      <c r="G104">
        <v>1</v>
      </c>
      <c r="H104" t="s">
        <v>310</v>
      </c>
      <c r="I104">
        <v>4</v>
      </c>
      <c r="J104" s="37">
        <v>261.51</v>
      </c>
      <c r="K104">
        <v>4</v>
      </c>
    </row>
    <row r="105" spans="1:11" x14ac:dyDescent="0.35">
      <c r="A105">
        <v>103</v>
      </c>
      <c r="B105">
        <v>2015</v>
      </c>
      <c r="C105" t="s">
        <v>219</v>
      </c>
      <c r="D105" t="s">
        <v>304</v>
      </c>
      <c r="E105" t="s">
        <v>305</v>
      </c>
      <c r="F105" t="s">
        <v>913</v>
      </c>
      <c r="G105">
        <v>1</v>
      </c>
      <c r="H105" t="s">
        <v>310</v>
      </c>
      <c r="I105">
        <v>4</v>
      </c>
      <c r="J105" s="37">
        <v>261.58999999999997</v>
      </c>
      <c r="K105">
        <v>4</v>
      </c>
    </row>
    <row r="106" spans="1:11" x14ac:dyDescent="0.35">
      <c r="A106">
        <v>104</v>
      </c>
      <c r="B106">
        <v>2015</v>
      </c>
      <c r="C106" t="s">
        <v>219</v>
      </c>
      <c r="D106" t="s">
        <v>304</v>
      </c>
      <c r="E106" t="s">
        <v>911</v>
      </c>
      <c r="F106" t="s">
        <v>912</v>
      </c>
      <c r="G106">
        <v>1</v>
      </c>
      <c r="H106" t="s">
        <v>310</v>
      </c>
      <c r="I106">
        <v>4</v>
      </c>
      <c r="J106" s="37">
        <v>261.63</v>
      </c>
      <c r="K106">
        <v>4</v>
      </c>
    </row>
    <row r="107" spans="1:11" x14ac:dyDescent="0.35">
      <c r="A107">
        <v>105</v>
      </c>
      <c r="B107">
        <v>2015</v>
      </c>
      <c r="C107" t="s">
        <v>219</v>
      </c>
      <c r="D107" t="s">
        <v>304</v>
      </c>
      <c r="E107" t="s">
        <v>914</v>
      </c>
      <c r="F107" t="s">
        <v>915</v>
      </c>
      <c r="G107">
        <v>1</v>
      </c>
      <c r="H107" t="s">
        <v>310</v>
      </c>
      <c r="I107">
        <v>4</v>
      </c>
      <c r="J107" s="37">
        <v>261.87</v>
      </c>
      <c r="K107">
        <v>4</v>
      </c>
    </row>
    <row r="108" spans="1:11" x14ac:dyDescent="0.35">
      <c r="A108">
        <v>106</v>
      </c>
      <c r="B108">
        <v>2015</v>
      </c>
      <c r="C108" t="s">
        <v>219</v>
      </c>
      <c r="D108" t="s">
        <v>304</v>
      </c>
      <c r="E108" t="s">
        <v>909</v>
      </c>
      <c r="F108" t="s">
        <v>910</v>
      </c>
      <c r="G108">
        <v>1</v>
      </c>
      <c r="H108" t="s">
        <v>310</v>
      </c>
      <c r="I108">
        <v>4</v>
      </c>
      <c r="J108" s="37">
        <v>261.95</v>
      </c>
      <c r="K108">
        <v>4</v>
      </c>
    </row>
    <row r="109" spans="1:11" x14ac:dyDescent="0.35">
      <c r="A109">
        <v>107</v>
      </c>
      <c r="B109">
        <v>2015</v>
      </c>
      <c r="C109" t="s">
        <v>219</v>
      </c>
      <c r="D109" t="s">
        <v>304</v>
      </c>
      <c r="E109" t="s">
        <v>900</v>
      </c>
      <c r="F109" t="s">
        <v>901</v>
      </c>
      <c r="G109">
        <v>1</v>
      </c>
      <c r="H109" t="s">
        <v>310</v>
      </c>
      <c r="I109">
        <v>4</v>
      </c>
      <c r="J109" s="37">
        <v>263.64999999999998</v>
      </c>
      <c r="K109">
        <v>4</v>
      </c>
    </row>
    <row r="110" spans="1:11" x14ac:dyDescent="0.35">
      <c r="A110">
        <v>108</v>
      </c>
      <c r="B110">
        <v>2015</v>
      </c>
      <c r="C110" t="s">
        <v>219</v>
      </c>
      <c r="D110" t="s">
        <v>304</v>
      </c>
      <c r="E110" t="s">
        <v>898</v>
      </c>
      <c r="F110" t="s">
        <v>899</v>
      </c>
      <c r="G110">
        <v>1</v>
      </c>
      <c r="H110" t="s">
        <v>310</v>
      </c>
      <c r="I110">
        <v>4</v>
      </c>
      <c r="J110" s="37">
        <v>264.27</v>
      </c>
      <c r="K110">
        <v>4</v>
      </c>
    </row>
    <row r="111" spans="1:11" x14ac:dyDescent="0.35">
      <c r="A111">
        <v>109</v>
      </c>
      <c r="B111">
        <v>2015</v>
      </c>
      <c r="C111" t="s">
        <v>219</v>
      </c>
      <c r="D111" t="s">
        <v>245</v>
      </c>
      <c r="E111" t="s">
        <v>300</v>
      </c>
      <c r="F111" t="s">
        <v>301</v>
      </c>
      <c r="G111">
        <v>2</v>
      </c>
      <c r="H111" t="s">
        <v>310</v>
      </c>
      <c r="I111">
        <v>4</v>
      </c>
      <c r="J111" s="37">
        <v>265</v>
      </c>
      <c r="K111">
        <v>1</v>
      </c>
    </row>
    <row r="112" spans="1:11" x14ac:dyDescent="0.35">
      <c r="A112">
        <v>110</v>
      </c>
      <c r="B112">
        <v>2015</v>
      </c>
      <c r="C112" t="s">
        <v>219</v>
      </c>
      <c r="D112" t="s">
        <v>951</v>
      </c>
      <c r="E112" t="s">
        <v>969</v>
      </c>
      <c r="F112" t="s">
        <v>970</v>
      </c>
      <c r="G112">
        <v>2</v>
      </c>
      <c r="H112" t="s">
        <v>310</v>
      </c>
      <c r="I112">
        <v>4</v>
      </c>
      <c r="J112" s="37">
        <v>266.37</v>
      </c>
      <c r="K112">
        <v>2</v>
      </c>
    </row>
    <row r="113" spans="1:11" x14ac:dyDescent="0.35">
      <c r="A113">
        <v>111</v>
      </c>
      <c r="B113">
        <v>2015</v>
      </c>
      <c r="C113" t="s">
        <v>219</v>
      </c>
      <c r="D113" t="s">
        <v>951</v>
      </c>
      <c r="E113" t="s">
        <v>961</v>
      </c>
      <c r="F113" t="s">
        <v>962</v>
      </c>
      <c r="G113">
        <v>2</v>
      </c>
      <c r="H113" t="s">
        <v>310</v>
      </c>
      <c r="I113">
        <v>4</v>
      </c>
      <c r="J113" s="37">
        <v>268.57</v>
      </c>
      <c r="K113">
        <v>2</v>
      </c>
    </row>
    <row r="114" spans="1:11" x14ac:dyDescent="0.35">
      <c r="A114">
        <v>112</v>
      </c>
      <c r="B114">
        <v>2015</v>
      </c>
      <c r="C114" t="s">
        <v>219</v>
      </c>
      <c r="D114" t="s">
        <v>304</v>
      </c>
      <c r="E114" t="s">
        <v>907</v>
      </c>
      <c r="F114" t="s">
        <v>908</v>
      </c>
      <c r="G114">
        <v>1</v>
      </c>
      <c r="H114" t="s">
        <v>310</v>
      </c>
      <c r="I114">
        <v>4</v>
      </c>
      <c r="J114" s="37">
        <v>270.05</v>
      </c>
      <c r="K114">
        <v>4</v>
      </c>
    </row>
    <row r="115" spans="1:11" x14ac:dyDescent="0.35">
      <c r="A115">
        <v>113</v>
      </c>
      <c r="B115">
        <v>2015</v>
      </c>
      <c r="C115" t="s">
        <v>219</v>
      </c>
      <c r="D115" t="s">
        <v>245</v>
      </c>
      <c r="E115" t="s">
        <v>302</v>
      </c>
      <c r="F115" t="s">
        <v>303</v>
      </c>
      <c r="G115">
        <v>2</v>
      </c>
      <c r="H115" t="s">
        <v>310</v>
      </c>
      <c r="I115">
        <v>4</v>
      </c>
      <c r="J115" s="37">
        <v>274</v>
      </c>
      <c r="K115">
        <v>1</v>
      </c>
    </row>
    <row r="116" spans="1:11" x14ac:dyDescent="0.35">
      <c r="A116">
        <v>114</v>
      </c>
      <c r="B116">
        <v>2015</v>
      </c>
      <c r="C116" t="s">
        <v>219</v>
      </c>
      <c r="D116" t="s">
        <v>304</v>
      </c>
      <c r="E116" t="s">
        <v>905</v>
      </c>
      <c r="F116" t="s">
        <v>906</v>
      </c>
      <c r="G116">
        <v>1</v>
      </c>
      <c r="H116" t="s">
        <v>310</v>
      </c>
      <c r="I116">
        <v>4</v>
      </c>
      <c r="J116" s="37">
        <v>275.72000000000003</v>
      </c>
      <c r="K116">
        <v>4</v>
      </c>
    </row>
    <row r="117" spans="1:11" x14ac:dyDescent="0.35">
      <c r="A117">
        <v>115</v>
      </c>
      <c r="B117">
        <v>2015</v>
      </c>
      <c r="C117" t="s">
        <v>219</v>
      </c>
      <c r="D117" t="s">
        <v>951</v>
      </c>
      <c r="E117" t="s">
        <v>963</v>
      </c>
      <c r="F117" t="s">
        <v>964</v>
      </c>
      <c r="G117">
        <v>2</v>
      </c>
      <c r="H117" t="s">
        <v>310</v>
      </c>
      <c r="I117">
        <v>4</v>
      </c>
      <c r="J117" s="37">
        <v>283.58</v>
      </c>
      <c r="K117">
        <v>2</v>
      </c>
    </row>
    <row r="118" spans="1:11" x14ac:dyDescent="0.35">
      <c r="A118">
        <v>116</v>
      </c>
      <c r="B118">
        <v>2015</v>
      </c>
      <c r="C118" t="s">
        <v>219</v>
      </c>
      <c r="D118" t="s">
        <v>245</v>
      </c>
      <c r="E118" t="s">
        <v>298</v>
      </c>
      <c r="F118" t="s">
        <v>299</v>
      </c>
      <c r="G118">
        <v>2</v>
      </c>
      <c r="H118" t="s">
        <v>310</v>
      </c>
      <c r="I118">
        <v>4</v>
      </c>
      <c r="J118" s="37">
        <v>285</v>
      </c>
      <c r="K118">
        <v>1</v>
      </c>
    </row>
    <row r="119" spans="1:11" x14ac:dyDescent="0.35">
      <c r="A119">
        <v>117</v>
      </c>
      <c r="B119">
        <v>2015</v>
      </c>
      <c r="C119" t="s">
        <v>219</v>
      </c>
      <c r="D119" t="s">
        <v>951</v>
      </c>
      <c r="E119" t="s">
        <v>965</v>
      </c>
      <c r="F119" t="s">
        <v>966</v>
      </c>
      <c r="G119">
        <v>2</v>
      </c>
      <c r="H119" t="s">
        <v>310</v>
      </c>
      <c r="I119">
        <v>4</v>
      </c>
      <c r="J119" s="37">
        <v>285.95</v>
      </c>
      <c r="K119">
        <v>2</v>
      </c>
    </row>
    <row r="120" spans="1:11" x14ac:dyDescent="0.35">
      <c r="A120">
        <v>118</v>
      </c>
      <c r="B120">
        <v>2015</v>
      </c>
      <c r="C120" t="s">
        <v>219</v>
      </c>
      <c r="D120" t="s">
        <v>951</v>
      </c>
      <c r="E120" t="s">
        <v>967</v>
      </c>
      <c r="F120" t="s">
        <v>968</v>
      </c>
      <c r="G120">
        <v>2</v>
      </c>
      <c r="H120" t="s">
        <v>310</v>
      </c>
      <c r="I120">
        <v>4</v>
      </c>
      <c r="J120" s="37">
        <v>294.56</v>
      </c>
      <c r="K120">
        <v>2</v>
      </c>
    </row>
    <row r="121" spans="1:11" x14ac:dyDescent="0.35">
      <c r="A121">
        <v>119</v>
      </c>
      <c r="B121">
        <v>2015</v>
      </c>
      <c r="C121" t="s">
        <v>219</v>
      </c>
      <c r="D121" t="s">
        <v>951</v>
      </c>
      <c r="E121" t="s">
        <v>973</v>
      </c>
      <c r="F121" t="s">
        <v>278</v>
      </c>
      <c r="G121">
        <v>2</v>
      </c>
      <c r="H121" t="s">
        <v>310</v>
      </c>
      <c r="I121">
        <v>4</v>
      </c>
      <c r="J121" s="37">
        <v>298.7</v>
      </c>
      <c r="K121">
        <v>2</v>
      </c>
    </row>
    <row r="122" spans="1:11" x14ac:dyDescent="0.35">
      <c r="A122">
        <v>120</v>
      </c>
      <c r="B122">
        <v>2015</v>
      </c>
      <c r="C122" t="s">
        <v>219</v>
      </c>
      <c r="D122" t="s">
        <v>260</v>
      </c>
      <c r="E122" t="s">
        <v>1115</v>
      </c>
      <c r="F122" t="s">
        <v>851</v>
      </c>
      <c r="G122">
        <v>2</v>
      </c>
      <c r="H122" t="s">
        <v>310</v>
      </c>
      <c r="I122">
        <v>4</v>
      </c>
      <c r="J122" s="37">
        <v>299.83</v>
      </c>
      <c r="K122">
        <v>1</v>
      </c>
    </row>
    <row r="123" spans="1:11" x14ac:dyDescent="0.35">
      <c r="A123">
        <v>121</v>
      </c>
      <c r="B123">
        <v>2015</v>
      </c>
      <c r="C123" t="s">
        <v>219</v>
      </c>
      <c r="D123" t="s">
        <v>260</v>
      </c>
      <c r="E123" t="s">
        <v>1114</v>
      </c>
      <c r="F123" t="s">
        <v>850</v>
      </c>
      <c r="G123">
        <v>2</v>
      </c>
      <c r="H123" t="s">
        <v>310</v>
      </c>
      <c r="I123">
        <v>4</v>
      </c>
      <c r="J123" s="37">
        <v>316.33</v>
      </c>
      <c r="K123">
        <v>1</v>
      </c>
    </row>
    <row r="124" spans="1:11" x14ac:dyDescent="0.35">
      <c r="A124">
        <v>122</v>
      </c>
      <c r="B124">
        <v>2015</v>
      </c>
      <c r="C124" t="s">
        <v>219</v>
      </c>
      <c r="D124" t="s">
        <v>260</v>
      </c>
      <c r="E124" t="s">
        <v>1113</v>
      </c>
      <c r="F124" t="s">
        <v>849</v>
      </c>
      <c r="G124">
        <v>2</v>
      </c>
      <c r="H124" t="s">
        <v>310</v>
      </c>
      <c r="I124">
        <v>4</v>
      </c>
      <c r="J124" s="37">
        <v>318.12</v>
      </c>
      <c r="K124">
        <v>1</v>
      </c>
    </row>
    <row r="125" spans="1:11" x14ac:dyDescent="0.35">
      <c r="A125">
        <v>123</v>
      </c>
      <c r="B125">
        <v>2015</v>
      </c>
      <c r="C125" t="s">
        <v>219</v>
      </c>
      <c r="D125" t="s">
        <v>984</v>
      </c>
      <c r="E125" t="s">
        <v>1044</v>
      </c>
      <c r="F125" t="s">
        <v>1045</v>
      </c>
      <c r="G125">
        <v>2</v>
      </c>
      <c r="H125" t="s">
        <v>310</v>
      </c>
      <c r="I125">
        <v>5</v>
      </c>
      <c r="J125" s="37">
        <v>202.37</v>
      </c>
      <c r="K125">
        <v>1</v>
      </c>
    </row>
    <row r="126" spans="1:11" x14ac:dyDescent="0.35">
      <c r="A126">
        <v>124</v>
      </c>
      <c r="B126">
        <v>2015</v>
      </c>
      <c r="C126" t="s">
        <v>219</v>
      </c>
      <c r="D126" t="s">
        <v>984</v>
      </c>
      <c r="E126" t="s">
        <v>1060</v>
      </c>
      <c r="F126" t="s">
        <v>1061</v>
      </c>
      <c r="G126">
        <v>2</v>
      </c>
      <c r="H126" t="s">
        <v>310</v>
      </c>
      <c r="I126">
        <v>5</v>
      </c>
      <c r="J126" s="37">
        <v>208.73</v>
      </c>
      <c r="K126">
        <v>1</v>
      </c>
    </row>
    <row r="127" spans="1:11" x14ac:dyDescent="0.35">
      <c r="A127">
        <v>125</v>
      </c>
      <c r="B127">
        <v>2015</v>
      </c>
      <c r="C127" t="s">
        <v>219</v>
      </c>
      <c r="D127" t="s">
        <v>844</v>
      </c>
      <c r="E127" t="s">
        <v>295</v>
      </c>
      <c r="F127" t="s">
        <v>1088</v>
      </c>
      <c r="G127">
        <v>3</v>
      </c>
      <c r="H127" t="s">
        <v>310</v>
      </c>
      <c r="I127">
        <v>5</v>
      </c>
      <c r="J127" s="37">
        <v>219.09</v>
      </c>
      <c r="K127">
        <v>1</v>
      </c>
    </row>
    <row r="128" spans="1:11" x14ac:dyDescent="0.35">
      <c r="A128">
        <v>126</v>
      </c>
      <c r="B128">
        <v>2015</v>
      </c>
      <c r="C128" t="s">
        <v>219</v>
      </c>
      <c r="D128" t="s">
        <v>951</v>
      </c>
      <c r="E128" t="s">
        <v>969</v>
      </c>
      <c r="F128" t="s">
        <v>970</v>
      </c>
      <c r="G128">
        <v>2</v>
      </c>
      <c r="H128" t="s">
        <v>310</v>
      </c>
      <c r="I128">
        <v>5</v>
      </c>
      <c r="J128" s="37">
        <v>225.27</v>
      </c>
      <c r="K128">
        <v>2</v>
      </c>
    </row>
    <row r="129" spans="1:11" x14ac:dyDescent="0.35">
      <c r="A129">
        <v>127</v>
      </c>
      <c r="B129">
        <v>2015</v>
      </c>
      <c r="C129" t="s">
        <v>219</v>
      </c>
      <c r="D129" t="s">
        <v>951</v>
      </c>
      <c r="E129" t="s">
        <v>961</v>
      </c>
      <c r="F129" t="s">
        <v>962</v>
      </c>
      <c r="G129">
        <v>2</v>
      </c>
      <c r="H129" t="s">
        <v>310</v>
      </c>
      <c r="I129">
        <v>5</v>
      </c>
      <c r="J129" s="37">
        <v>227.13</v>
      </c>
      <c r="K129">
        <v>2</v>
      </c>
    </row>
    <row r="130" spans="1:11" x14ac:dyDescent="0.35">
      <c r="A130">
        <v>128</v>
      </c>
      <c r="B130">
        <v>2015</v>
      </c>
      <c r="C130" t="s">
        <v>219</v>
      </c>
      <c r="D130" t="s">
        <v>951</v>
      </c>
      <c r="E130" t="s">
        <v>963</v>
      </c>
      <c r="F130" t="s">
        <v>964</v>
      </c>
      <c r="G130">
        <v>2</v>
      </c>
      <c r="H130" t="s">
        <v>310</v>
      </c>
      <c r="I130">
        <v>5</v>
      </c>
      <c r="J130" s="37">
        <v>239.82</v>
      </c>
      <c r="K130">
        <v>2</v>
      </c>
    </row>
    <row r="131" spans="1:11" x14ac:dyDescent="0.35">
      <c r="A131">
        <v>129</v>
      </c>
      <c r="B131">
        <v>2015</v>
      </c>
      <c r="C131" t="s">
        <v>219</v>
      </c>
      <c r="D131" t="s">
        <v>260</v>
      </c>
      <c r="E131" t="s">
        <v>1115</v>
      </c>
      <c r="F131" t="s">
        <v>851</v>
      </c>
      <c r="G131">
        <v>2</v>
      </c>
      <c r="H131" t="s">
        <v>310</v>
      </c>
      <c r="I131">
        <v>5</v>
      </c>
      <c r="J131" s="37">
        <v>240.46</v>
      </c>
      <c r="K131">
        <v>1</v>
      </c>
    </row>
    <row r="132" spans="1:11" x14ac:dyDescent="0.35">
      <c r="A132">
        <v>130</v>
      </c>
      <c r="B132">
        <v>2015</v>
      </c>
      <c r="C132" t="s">
        <v>219</v>
      </c>
      <c r="D132" t="s">
        <v>951</v>
      </c>
      <c r="E132" t="s">
        <v>965</v>
      </c>
      <c r="F132" t="s">
        <v>966</v>
      </c>
      <c r="G132">
        <v>2</v>
      </c>
      <c r="H132" t="s">
        <v>310</v>
      </c>
      <c r="I132">
        <v>5</v>
      </c>
      <c r="J132" s="37">
        <v>241.83</v>
      </c>
      <c r="K132">
        <v>2</v>
      </c>
    </row>
    <row r="133" spans="1:11" x14ac:dyDescent="0.35">
      <c r="A133">
        <v>131</v>
      </c>
      <c r="B133">
        <v>2015</v>
      </c>
      <c r="C133" t="s">
        <v>219</v>
      </c>
      <c r="D133" t="s">
        <v>951</v>
      </c>
      <c r="E133" t="s">
        <v>967</v>
      </c>
      <c r="F133" t="s">
        <v>968</v>
      </c>
      <c r="G133">
        <v>2</v>
      </c>
      <c r="H133" t="s">
        <v>310</v>
      </c>
      <c r="I133">
        <v>5</v>
      </c>
      <c r="J133" s="37">
        <v>249.11</v>
      </c>
      <c r="K133">
        <v>2</v>
      </c>
    </row>
    <row r="134" spans="1:11" x14ac:dyDescent="0.35">
      <c r="A134">
        <v>132</v>
      </c>
      <c r="B134">
        <v>2015</v>
      </c>
      <c r="C134" t="s">
        <v>219</v>
      </c>
      <c r="D134" t="s">
        <v>951</v>
      </c>
      <c r="E134" t="s">
        <v>973</v>
      </c>
      <c r="F134" t="s">
        <v>278</v>
      </c>
      <c r="G134">
        <v>2</v>
      </c>
      <c r="H134" t="s">
        <v>310</v>
      </c>
      <c r="I134">
        <v>5</v>
      </c>
      <c r="J134" s="37">
        <v>252.61</v>
      </c>
      <c r="K134">
        <v>2</v>
      </c>
    </row>
    <row r="135" spans="1:11" x14ac:dyDescent="0.35">
      <c r="A135">
        <v>133</v>
      </c>
      <c r="B135">
        <v>2015</v>
      </c>
      <c r="C135" t="s">
        <v>219</v>
      </c>
      <c r="D135" t="s">
        <v>260</v>
      </c>
      <c r="E135" t="s">
        <v>1114</v>
      </c>
      <c r="F135" t="s">
        <v>850</v>
      </c>
      <c r="G135">
        <v>2</v>
      </c>
      <c r="H135" t="s">
        <v>310</v>
      </c>
      <c r="I135">
        <v>5</v>
      </c>
      <c r="J135" s="37">
        <v>253.69</v>
      </c>
      <c r="K135">
        <v>1</v>
      </c>
    </row>
    <row r="136" spans="1:11" x14ac:dyDescent="0.35">
      <c r="A136">
        <v>134</v>
      </c>
      <c r="B136">
        <v>2015</v>
      </c>
      <c r="C136" t="s">
        <v>219</v>
      </c>
      <c r="D136" t="s">
        <v>260</v>
      </c>
      <c r="E136" t="s">
        <v>1113</v>
      </c>
      <c r="F136" t="s">
        <v>849</v>
      </c>
      <c r="G136">
        <v>2</v>
      </c>
      <c r="H136" t="s">
        <v>310</v>
      </c>
      <c r="I136">
        <v>5</v>
      </c>
      <c r="J136" s="37">
        <v>255.14</v>
      </c>
      <c r="K136">
        <v>1</v>
      </c>
    </row>
    <row r="137" spans="1:11" x14ac:dyDescent="0.35">
      <c r="A137">
        <v>135</v>
      </c>
      <c r="B137">
        <v>2015</v>
      </c>
      <c r="C137" t="s">
        <v>219</v>
      </c>
      <c r="D137" t="s">
        <v>844</v>
      </c>
      <c r="E137" t="s">
        <v>295</v>
      </c>
      <c r="F137" t="s">
        <v>1088</v>
      </c>
      <c r="G137">
        <v>3</v>
      </c>
      <c r="H137" t="s">
        <v>310</v>
      </c>
      <c r="I137">
        <v>6</v>
      </c>
      <c r="J137" s="37">
        <v>244.43</v>
      </c>
      <c r="K137">
        <v>1</v>
      </c>
    </row>
    <row r="138" spans="1:11" x14ac:dyDescent="0.35">
      <c r="A138">
        <v>136</v>
      </c>
      <c r="B138">
        <v>2015</v>
      </c>
      <c r="C138" t="s">
        <v>219</v>
      </c>
      <c r="D138" t="s">
        <v>984</v>
      </c>
      <c r="E138" t="s">
        <v>1044</v>
      </c>
      <c r="F138" t="s">
        <v>1045</v>
      </c>
      <c r="G138">
        <v>2</v>
      </c>
      <c r="H138" t="s">
        <v>310</v>
      </c>
      <c r="I138">
        <v>6</v>
      </c>
      <c r="J138" s="37">
        <v>249.59</v>
      </c>
      <c r="K138">
        <v>1</v>
      </c>
    </row>
    <row r="139" spans="1:11" x14ac:dyDescent="0.35">
      <c r="A139">
        <v>137</v>
      </c>
      <c r="B139">
        <v>2015</v>
      </c>
      <c r="C139" t="s">
        <v>219</v>
      </c>
      <c r="D139" t="s">
        <v>984</v>
      </c>
      <c r="E139" t="s">
        <v>1060</v>
      </c>
      <c r="F139" t="s">
        <v>1061</v>
      </c>
      <c r="G139">
        <v>2</v>
      </c>
      <c r="H139" t="s">
        <v>310</v>
      </c>
      <c r="I139">
        <v>6</v>
      </c>
      <c r="J139" s="37">
        <v>257.43</v>
      </c>
      <c r="K139">
        <v>1</v>
      </c>
    </row>
    <row r="140" spans="1:11" x14ac:dyDescent="0.35">
      <c r="A140">
        <v>138</v>
      </c>
      <c r="B140">
        <v>2015</v>
      </c>
      <c r="C140" t="s">
        <v>219</v>
      </c>
      <c r="D140" t="s">
        <v>951</v>
      </c>
      <c r="E140" t="s">
        <v>969</v>
      </c>
      <c r="F140" t="s">
        <v>970</v>
      </c>
      <c r="G140">
        <v>2</v>
      </c>
      <c r="H140" t="s">
        <v>310</v>
      </c>
      <c r="I140">
        <v>6</v>
      </c>
      <c r="J140" s="37">
        <v>280.13</v>
      </c>
      <c r="K140">
        <v>2</v>
      </c>
    </row>
    <row r="141" spans="1:11" x14ac:dyDescent="0.35">
      <c r="A141">
        <v>139</v>
      </c>
      <c r="B141">
        <v>2015</v>
      </c>
      <c r="C141" t="s">
        <v>219</v>
      </c>
      <c r="D141" t="s">
        <v>951</v>
      </c>
      <c r="E141" t="s">
        <v>961</v>
      </c>
      <c r="F141" t="s">
        <v>962</v>
      </c>
      <c r="G141">
        <v>2</v>
      </c>
      <c r="H141" t="s">
        <v>310</v>
      </c>
      <c r="I141">
        <v>6</v>
      </c>
      <c r="J141" s="37">
        <v>282.45</v>
      </c>
      <c r="K141">
        <v>2</v>
      </c>
    </row>
    <row r="142" spans="1:11" x14ac:dyDescent="0.35">
      <c r="A142">
        <v>140</v>
      </c>
      <c r="B142">
        <v>2015</v>
      </c>
      <c r="C142" t="s">
        <v>219</v>
      </c>
      <c r="D142" t="s">
        <v>260</v>
      </c>
      <c r="E142" t="s">
        <v>1115</v>
      </c>
      <c r="F142" t="s">
        <v>851</v>
      </c>
      <c r="G142">
        <v>2</v>
      </c>
      <c r="H142" t="s">
        <v>310</v>
      </c>
      <c r="I142">
        <v>6</v>
      </c>
      <c r="J142" s="37">
        <v>289.33999999999997</v>
      </c>
      <c r="K142">
        <v>1</v>
      </c>
    </row>
    <row r="143" spans="1:11" x14ac:dyDescent="0.35">
      <c r="A143">
        <v>141</v>
      </c>
      <c r="B143">
        <v>2015</v>
      </c>
      <c r="C143" t="s">
        <v>219</v>
      </c>
      <c r="D143" t="s">
        <v>951</v>
      </c>
      <c r="E143" t="s">
        <v>963</v>
      </c>
      <c r="F143" t="s">
        <v>964</v>
      </c>
      <c r="G143">
        <v>2</v>
      </c>
      <c r="H143" t="s">
        <v>310</v>
      </c>
      <c r="I143">
        <v>6</v>
      </c>
      <c r="J143" s="37">
        <v>298.24</v>
      </c>
      <c r="K143">
        <v>2</v>
      </c>
    </row>
    <row r="144" spans="1:11" x14ac:dyDescent="0.35">
      <c r="A144">
        <v>142</v>
      </c>
      <c r="B144">
        <v>2015</v>
      </c>
      <c r="C144" t="s">
        <v>219</v>
      </c>
      <c r="D144" t="s">
        <v>951</v>
      </c>
      <c r="E144" t="s">
        <v>965</v>
      </c>
      <c r="F144" t="s">
        <v>966</v>
      </c>
      <c r="G144">
        <v>2</v>
      </c>
      <c r="H144" t="s">
        <v>310</v>
      </c>
      <c r="I144">
        <v>6</v>
      </c>
      <c r="J144" s="37">
        <v>300.70999999999998</v>
      </c>
      <c r="K144">
        <v>2</v>
      </c>
    </row>
    <row r="145" spans="1:11" x14ac:dyDescent="0.35">
      <c r="A145">
        <v>143</v>
      </c>
      <c r="B145">
        <v>2015</v>
      </c>
      <c r="C145" t="s">
        <v>219</v>
      </c>
      <c r="D145" t="s">
        <v>260</v>
      </c>
      <c r="E145" t="s">
        <v>1114</v>
      </c>
      <c r="F145" t="s">
        <v>850</v>
      </c>
      <c r="G145">
        <v>2</v>
      </c>
      <c r="H145" t="s">
        <v>310</v>
      </c>
      <c r="I145">
        <v>6</v>
      </c>
      <c r="J145" s="37">
        <v>305.25</v>
      </c>
      <c r="K145">
        <v>1</v>
      </c>
    </row>
    <row r="146" spans="1:11" x14ac:dyDescent="0.35">
      <c r="A146">
        <v>144</v>
      </c>
      <c r="B146">
        <v>2015</v>
      </c>
      <c r="C146" t="s">
        <v>219</v>
      </c>
      <c r="D146" t="s">
        <v>260</v>
      </c>
      <c r="E146" t="s">
        <v>1113</v>
      </c>
      <c r="F146" t="s">
        <v>849</v>
      </c>
      <c r="G146">
        <v>2</v>
      </c>
      <c r="H146" t="s">
        <v>310</v>
      </c>
      <c r="I146">
        <v>6</v>
      </c>
      <c r="J146" s="37">
        <v>306.99</v>
      </c>
      <c r="K146">
        <v>1</v>
      </c>
    </row>
    <row r="147" spans="1:11" x14ac:dyDescent="0.35">
      <c r="A147">
        <v>145</v>
      </c>
      <c r="B147">
        <v>2015</v>
      </c>
      <c r="C147" t="s">
        <v>219</v>
      </c>
      <c r="D147" t="s">
        <v>951</v>
      </c>
      <c r="E147" t="s">
        <v>967</v>
      </c>
      <c r="F147" t="s">
        <v>968</v>
      </c>
      <c r="G147">
        <v>2</v>
      </c>
      <c r="H147" t="s">
        <v>310</v>
      </c>
      <c r="I147">
        <v>6</v>
      </c>
      <c r="J147" s="37">
        <v>309.77999999999997</v>
      </c>
      <c r="K147">
        <v>2</v>
      </c>
    </row>
    <row r="148" spans="1:11" x14ac:dyDescent="0.35">
      <c r="A148">
        <v>146</v>
      </c>
      <c r="B148">
        <v>2015</v>
      </c>
      <c r="C148" t="s">
        <v>219</v>
      </c>
      <c r="D148" t="s">
        <v>951</v>
      </c>
      <c r="E148" t="s">
        <v>973</v>
      </c>
      <c r="F148" t="s">
        <v>278</v>
      </c>
      <c r="G148">
        <v>2</v>
      </c>
      <c r="H148" t="s">
        <v>310</v>
      </c>
      <c r="I148">
        <v>6</v>
      </c>
      <c r="J148" s="37">
        <v>314.14</v>
      </c>
      <c r="K148">
        <v>2</v>
      </c>
    </row>
    <row r="149" spans="1:11" x14ac:dyDescent="0.35">
      <c r="A149">
        <v>147</v>
      </c>
      <c r="B149">
        <v>2015</v>
      </c>
      <c r="C149" t="s">
        <v>219</v>
      </c>
      <c r="D149" t="s">
        <v>304</v>
      </c>
      <c r="E149" t="s">
        <v>307</v>
      </c>
      <c r="F149" t="s">
        <v>904</v>
      </c>
      <c r="G149">
        <v>1</v>
      </c>
      <c r="H149" t="s">
        <v>310</v>
      </c>
      <c r="I149">
        <v>7</v>
      </c>
      <c r="J149" s="37">
        <v>232.11</v>
      </c>
      <c r="K149">
        <v>4</v>
      </c>
    </row>
    <row r="150" spans="1:11" x14ac:dyDescent="0.35">
      <c r="A150">
        <v>148</v>
      </c>
      <c r="B150">
        <v>2015</v>
      </c>
      <c r="C150" t="s">
        <v>219</v>
      </c>
      <c r="D150" t="s">
        <v>304</v>
      </c>
      <c r="E150" t="s">
        <v>916</v>
      </c>
      <c r="F150" t="s">
        <v>917</v>
      </c>
      <c r="G150">
        <v>1</v>
      </c>
      <c r="H150" t="s">
        <v>310</v>
      </c>
      <c r="I150">
        <v>7</v>
      </c>
      <c r="J150" s="37">
        <v>232.11</v>
      </c>
      <c r="K150">
        <v>4</v>
      </c>
    </row>
    <row r="151" spans="1:11" x14ac:dyDescent="0.35">
      <c r="A151">
        <v>149</v>
      </c>
      <c r="B151">
        <v>2015</v>
      </c>
      <c r="C151" t="s">
        <v>219</v>
      </c>
      <c r="D151" t="s">
        <v>304</v>
      </c>
      <c r="E151" t="s">
        <v>902</v>
      </c>
      <c r="F151" t="s">
        <v>903</v>
      </c>
      <c r="G151">
        <v>1</v>
      </c>
      <c r="H151" t="s">
        <v>310</v>
      </c>
      <c r="I151">
        <v>7</v>
      </c>
      <c r="J151" s="37">
        <v>232.18</v>
      </c>
      <c r="K151">
        <v>4</v>
      </c>
    </row>
    <row r="152" spans="1:11" x14ac:dyDescent="0.35">
      <c r="A152">
        <v>150</v>
      </c>
      <c r="B152">
        <v>2015</v>
      </c>
      <c r="C152" t="s">
        <v>219</v>
      </c>
      <c r="D152" t="s">
        <v>304</v>
      </c>
      <c r="E152" t="s">
        <v>305</v>
      </c>
      <c r="F152" t="s">
        <v>913</v>
      </c>
      <c r="G152">
        <v>1</v>
      </c>
      <c r="H152" t="s">
        <v>310</v>
      </c>
      <c r="I152">
        <v>7</v>
      </c>
      <c r="J152" s="37">
        <v>232.26</v>
      </c>
      <c r="K152">
        <v>4</v>
      </c>
    </row>
    <row r="153" spans="1:11" x14ac:dyDescent="0.35">
      <c r="A153">
        <v>151</v>
      </c>
      <c r="B153">
        <v>2015</v>
      </c>
      <c r="C153" t="s">
        <v>219</v>
      </c>
      <c r="D153" t="s">
        <v>304</v>
      </c>
      <c r="E153" t="s">
        <v>911</v>
      </c>
      <c r="F153" t="s">
        <v>912</v>
      </c>
      <c r="G153">
        <v>1</v>
      </c>
      <c r="H153" t="s">
        <v>310</v>
      </c>
      <c r="I153">
        <v>7</v>
      </c>
      <c r="J153" s="37">
        <v>232.29</v>
      </c>
      <c r="K153">
        <v>4</v>
      </c>
    </row>
    <row r="154" spans="1:11" x14ac:dyDescent="0.35">
      <c r="A154">
        <v>152</v>
      </c>
      <c r="B154">
        <v>2015</v>
      </c>
      <c r="C154" t="s">
        <v>219</v>
      </c>
      <c r="D154" t="s">
        <v>304</v>
      </c>
      <c r="E154" t="s">
        <v>914</v>
      </c>
      <c r="F154" t="s">
        <v>915</v>
      </c>
      <c r="G154">
        <v>1</v>
      </c>
      <c r="H154" t="s">
        <v>310</v>
      </c>
      <c r="I154">
        <v>7</v>
      </c>
      <c r="J154" s="37">
        <v>232.5</v>
      </c>
      <c r="K154">
        <v>4</v>
      </c>
    </row>
    <row r="155" spans="1:11" x14ac:dyDescent="0.35">
      <c r="A155">
        <v>153</v>
      </c>
      <c r="B155">
        <v>2015</v>
      </c>
      <c r="C155" t="s">
        <v>219</v>
      </c>
      <c r="D155" t="s">
        <v>304</v>
      </c>
      <c r="E155" t="s">
        <v>909</v>
      </c>
      <c r="F155" t="s">
        <v>910</v>
      </c>
      <c r="G155">
        <v>1</v>
      </c>
      <c r="H155" t="s">
        <v>310</v>
      </c>
      <c r="I155">
        <v>7</v>
      </c>
      <c r="J155" s="37">
        <v>232.58</v>
      </c>
      <c r="K155">
        <v>4</v>
      </c>
    </row>
    <row r="156" spans="1:11" x14ac:dyDescent="0.35">
      <c r="A156">
        <v>154</v>
      </c>
      <c r="B156">
        <v>2015</v>
      </c>
      <c r="C156" t="s">
        <v>219</v>
      </c>
      <c r="D156" t="s">
        <v>304</v>
      </c>
      <c r="E156" t="s">
        <v>900</v>
      </c>
      <c r="F156" t="s">
        <v>901</v>
      </c>
      <c r="G156">
        <v>1</v>
      </c>
      <c r="H156" t="s">
        <v>310</v>
      </c>
      <c r="I156">
        <v>7</v>
      </c>
      <c r="J156" s="37">
        <v>234.09</v>
      </c>
      <c r="K156">
        <v>4</v>
      </c>
    </row>
    <row r="157" spans="1:11" x14ac:dyDescent="0.35">
      <c r="A157">
        <v>155</v>
      </c>
      <c r="B157">
        <v>2015</v>
      </c>
      <c r="C157" t="s">
        <v>219</v>
      </c>
      <c r="D157" t="s">
        <v>304</v>
      </c>
      <c r="E157" t="s">
        <v>898</v>
      </c>
      <c r="F157" t="s">
        <v>899</v>
      </c>
      <c r="G157">
        <v>1</v>
      </c>
      <c r="H157" t="s">
        <v>310</v>
      </c>
      <c r="I157">
        <v>7</v>
      </c>
      <c r="J157" s="37">
        <v>234.63</v>
      </c>
      <c r="K157">
        <v>4</v>
      </c>
    </row>
    <row r="158" spans="1:11" x14ac:dyDescent="0.35">
      <c r="A158">
        <v>156</v>
      </c>
      <c r="B158">
        <v>2015</v>
      </c>
      <c r="C158" t="s">
        <v>219</v>
      </c>
      <c r="D158" t="s">
        <v>260</v>
      </c>
      <c r="E158" t="s">
        <v>1115</v>
      </c>
      <c r="F158" t="s">
        <v>851</v>
      </c>
      <c r="G158">
        <v>2</v>
      </c>
      <c r="H158" t="s">
        <v>310</v>
      </c>
      <c r="I158">
        <v>7</v>
      </c>
      <c r="J158" s="37">
        <v>238.06</v>
      </c>
      <c r="K158">
        <v>1</v>
      </c>
    </row>
    <row r="159" spans="1:11" x14ac:dyDescent="0.35">
      <c r="A159">
        <v>157</v>
      </c>
      <c r="B159">
        <v>2015</v>
      </c>
      <c r="C159" t="s">
        <v>219</v>
      </c>
      <c r="D159" t="s">
        <v>304</v>
      </c>
      <c r="E159" t="s">
        <v>907</v>
      </c>
      <c r="F159" t="s">
        <v>908</v>
      </c>
      <c r="G159">
        <v>1</v>
      </c>
      <c r="H159" t="s">
        <v>310</v>
      </c>
      <c r="I159">
        <v>7</v>
      </c>
      <c r="J159" s="37">
        <v>239.77</v>
      </c>
      <c r="K159">
        <v>4</v>
      </c>
    </row>
    <row r="160" spans="1:11" x14ac:dyDescent="0.35">
      <c r="A160">
        <v>158</v>
      </c>
      <c r="B160">
        <v>2015</v>
      </c>
      <c r="C160" t="s">
        <v>219</v>
      </c>
      <c r="D160" t="s">
        <v>304</v>
      </c>
      <c r="E160" t="s">
        <v>905</v>
      </c>
      <c r="F160" t="s">
        <v>906</v>
      </c>
      <c r="G160">
        <v>1</v>
      </c>
      <c r="H160" t="s">
        <v>310</v>
      </c>
      <c r="I160">
        <v>7</v>
      </c>
      <c r="J160" s="37">
        <v>244.8</v>
      </c>
      <c r="K160">
        <v>4</v>
      </c>
    </row>
    <row r="161" spans="1:11" x14ac:dyDescent="0.35">
      <c r="A161">
        <v>159</v>
      </c>
      <c r="B161">
        <v>2015</v>
      </c>
      <c r="C161" t="s">
        <v>219</v>
      </c>
      <c r="D161" t="s">
        <v>260</v>
      </c>
      <c r="E161" t="s">
        <v>1114</v>
      </c>
      <c r="F161" t="s">
        <v>850</v>
      </c>
      <c r="G161">
        <v>2</v>
      </c>
      <c r="H161" t="s">
        <v>310</v>
      </c>
      <c r="I161">
        <v>7</v>
      </c>
      <c r="J161" s="37">
        <v>251.16</v>
      </c>
      <c r="K161">
        <v>1</v>
      </c>
    </row>
    <row r="162" spans="1:11" x14ac:dyDescent="0.35">
      <c r="A162">
        <v>160</v>
      </c>
      <c r="B162">
        <v>2015</v>
      </c>
      <c r="C162" t="s">
        <v>219</v>
      </c>
      <c r="D162" t="s">
        <v>260</v>
      </c>
      <c r="E162" t="s">
        <v>1113</v>
      </c>
      <c r="F162" t="s">
        <v>849</v>
      </c>
      <c r="G162">
        <v>2</v>
      </c>
      <c r="H162" t="s">
        <v>310</v>
      </c>
      <c r="I162">
        <v>7</v>
      </c>
      <c r="J162" s="37">
        <v>252.59</v>
      </c>
      <c r="K162">
        <v>1</v>
      </c>
    </row>
    <row r="163" spans="1:11" x14ac:dyDescent="0.35">
      <c r="A163">
        <v>161</v>
      </c>
      <c r="B163">
        <v>2015</v>
      </c>
      <c r="C163" t="s">
        <v>219</v>
      </c>
      <c r="D163" t="s">
        <v>951</v>
      </c>
      <c r="E163" t="s">
        <v>969</v>
      </c>
      <c r="F163" t="s">
        <v>970</v>
      </c>
      <c r="G163">
        <v>2</v>
      </c>
      <c r="H163" t="s">
        <v>310</v>
      </c>
      <c r="I163">
        <v>7</v>
      </c>
      <c r="J163" s="37">
        <v>263.07</v>
      </c>
      <c r="K163">
        <v>2</v>
      </c>
    </row>
    <row r="164" spans="1:11" x14ac:dyDescent="0.35">
      <c r="A164">
        <v>162</v>
      </c>
      <c r="B164">
        <v>2015</v>
      </c>
      <c r="C164" t="s">
        <v>219</v>
      </c>
      <c r="D164" t="s">
        <v>951</v>
      </c>
      <c r="E164" t="s">
        <v>961</v>
      </c>
      <c r="F164" t="s">
        <v>962</v>
      </c>
      <c r="G164">
        <v>2</v>
      </c>
      <c r="H164" t="s">
        <v>310</v>
      </c>
      <c r="I164">
        <v>7</v>
      </c>
      <c r="J164" s="37">
        <v>265.25</v>
      </c>
      <c r="K164">
        <v>2</v>
      </c>
    </row>
    <row r="165" spans="1:11" x14ac:dyDescent="0.35">
      <c r="A165">
        <v>163</v>
      </c>
      <c r="B165">
        <v>2015</v>
      </c>
      <c r="C165" t="s">
        <v>219</v>
      </c>
      <c r="D165" t="s">
        <v>951</v>
      </c>
      <c r="E165" t="s">
        <v>963</v>
      </c>
      <c r="F165" t="s">
        <v>964</v>
      </c>
      <c r="G165">
        <v>2</v>
      </c>
      <c r="H165" t="s">
        <v>310</v>
      </c>
      <c r="I165">
        <v>7</v>
      </c>
      <c r="J165" s="37">
        <v>280.07</v>
      </c>
      <c r="K165">
        <v>2</v>
      </c>
    </row>
    <row r="166" spans="1:11" x14ac:dyDescent="0.35">
      <c r="A166">
        <v>164</v>
      </c>
      <c r="B166">
        <v>2015</v>
      </c>
      <c r="C166" t="s">
        <v>219</v>
      </c>
      <c r="D166" t="s">
        <v>951</v>
      </c>
      <c r="E166" t="s">
        <v>965</v>
      </c>
      <c r="F166" t="s">
        <v>966</v>
      </c>
      <c r="G166">
        <v>2</v>
      </c>
      <c r="H166" t="s">
        <v>310</v>
      </c>
      <c r="I166">
        <v>7</v>
      </c>
      <c r="J166" s="37">
        <v>282.39999999999998</v>
      </c>
      <c r="K166">
        <v>2</v>
      </c>
    </row>
    <row r="167" spans="1:11" x14ac:dyDescent="0.35">
      <c r="A167">
        <v>165</v>
      </c>
      <c r="B167">
        <v>2015</v>
      </c>
      <c r="C167" t="s">
        <v>219</v>
      </c>
      <c r="D167" t="s">
        <v>951</v>
      </c>
      <c r="E167" t="s">
        <v>967</v>
      </c>
      <c r="F167" t="s">
        <v>968</v>
      </c>
      <c r="G167">
        <v>2</v>
      </c>
      <c r="H167" t="s">
        <v>310</v>
      </c>
      <c r="I167">
        <v>7</v>
      </c>
      <c r="J167" s="37">
        <v>290.91000000000003</v>
      </c>
      <c r="K167">
        <v>2</v>
      </c>
    </row>
    <row r="168" spans="1:11" x14ac:dyDescent="0.35">
      <c r="A168">
        <v>166</v>
      </c>
      <c r="B168">
        <v>2015</v>
      </c>
      <c r="C168" t="s">
        <v>219</v>
      </c>
      <c r="D168" t="s">
        <v>951</v>
      </c>
      <c r="E168" t="s">
        <v>973</v>
      </c>
      <c r="F168" t="s">
        <v>278</v>
      </c>
      <c r="G168">
        <v>2</v>
      </c>
      <c r="H168" t="s">
        <v>310</v>
      </c>
      <c r="I168">
        <v>7</v>
      </c>
      <c r="J168" s="37">
        <v>295</v>
      </c>
      <c r="K168">
        <v>2</v>
      </c>
    </row>
    <row r="169" spans="1:11" x14ac:dyDescent="0.35">
      <c r="A169">
        <v>167</v>
      </c>
      <c r="B169">
        <v>2015</v>
      </c>
      <c r="C169" t="s">
        <v>219</v>
      </c>
      <c r="D169" t="s">
        <v>281</v>
      </c>
      <c r="E169" t="s">
        <v>929</v>
      </c>
      <c r="F169" t="s">
        <v>855</v>
      </c>
      <c r="G169">
        <v>2</v>
      </c>
      <c r="H169" t="s">
        <v>310</v>
      </c>
      <c r="I169">
        <v>8</v>
      </c>
      <c r="J169" s="37">
        <v>208.61</v>
      </c>
      <c r="K169">
        <v>4</v>
      </c>
    </row>
    <row r="170" spans="1:11" x14ac:dyDescent="0.35">
      <c r="A170">
        <v>168</v>
      </c>
      <c r="B170">
        <v>2015</v>
      </c>
      <c r="C170" t="s">
        <v>219</v>
      </c>
      <c r="D170" t="s">
        <v>281</v>
      </c>
      <c r="E170" t="s">
        <v>930</v>
      </c>
      <c r="F170" t="s">
        <v>856</v>
      </c>
      <c r="G170">
        <v>2</v>
      </c>
      <c r="H170" t="s">
        <v>310</v>
      </c>
      <c r="I170">
        <v>8</v>
      </c>
      <c r="J170" s="37">
        <v>213.6</v>
      </c>
      <c r="K170">
        <v>4</v>
      </c>
    </row>
    <row r="171" spans="1:11" x14ac:dyDescent="0.35">
      <c r="A171">
        <v>169</v>
      </c>
      <c r="B171">
        <v>2015</v>
      </c>
      <c r="C171" t="s">
        <v>219</v>
      </c>
      <c r="D171" t="s">
        <v>281</v>
      </c>
      <c r="E171" t="s">
        <v>286</v>
      </c>
      <c r="F171" t="s">
        <v>865</v>
      </c>
      <c r="G171">
        <v>2</v>
      </c>
      <c r="H171" t="s">
        <v>310</v>
      </c>
      <c r="I171">
        <v>8</v>
      </c>
      <c r="J171" s="37">
        <v>219.73</v>
      </c>
      <c r="K171">
        <v>4</v>
      </c>
    </row>
    <row r="172" spans="1:11" x14ac:dyDescent="0.35">
      <c r="A172">
        <v>170</v>
      </c>
      <c r="B172">
        <v>2015</v>
      </c>
      <c r="C172" t="s">
        <v>219</v>
      </c>
      <c r="D172" t="s">
        <v>844</v>
      </c>
      <c r="E172" t="s">
        <v>309</v>
      </c>
      <c r="F172" t="s">
        <v>1090</v>
      </c>
      <c r="G172">
        <v>2</v>
      </c>
      <c r="H172" t="s">
        <v>310</v>
      </c>
      <c r="I172">
        <v>8</v>
      </c>
      <c r="J172" s="37">
        <v>221.21</v>
      </c>
      <c r="K172">
        <v>1</v>
      </c>
    </row>
    <row r="173" spans="1:11" x14ac:dyDescent="0.35">
      <c r="A173">
        <v>171</v>
      </c>
      <c r="B173">
        <v>2015</v>
      </c>
      <c r="C173" t="s">
        <v>219</v>
      </c>
      <c r="D173" t="s">
        <v>281</v>
      </c>
      <c r="E173" t="s">
        <v>926</v>
      </c>
      <c r="F173" t="s">
        <v>852</v>
      </c>
      <c r="G173">
        <v>2</v>
      </c>
      <c r="H173" t="s">
        <v>310</v>
      </c>
      <c r="I173">
        <v>8</v>
      </c>
      <c r="J173" s="37">
        <v>222</v>
      </c>
      <c r="K173">
        <v>4</v>
      </c>
    </row>
    <row r="174" spans="1:11" x14ac:dyDescent="0.35">
      <c r="A174">
        <v>172</v>
      </c>
      <c r="B174">
        <v>2015</v>
      </c>
      <c r="C174" t="s">
        <v>219</v>
      </c>
      <c r="D174" t="s">
        <v>984</v>
      </c>
      <c r="E174" t="s">
        <v>1036</v>
      </c>
      <c r="F174" t="s">
        <v>1037</v>
      </c>
      <c r="G174">
        <v>2</v>
      </c>
      <c r="H174" t="s">
        <v>310</v>
      </c>
      <c r="I174">
        <v>8</v>
      </c>
      <c r="J174" s="37">
        <v>222.43</v>
      </c>
      <c r="K174">
        <v>1</v>
      </c>
    </row>
    <row r="175" spans="1:11" x14ac:dyDescent="0.35">
      <c r="A175">
        <v>173</v>
      </c>
      <c r="B175">
        <v>2015</v>
      </c>
      <c r="C175" t="s">
        <v>219</v>
      </c>
      <c r="D175" t="s">
        <v>281</v>
      </c>
      <c r="E175" t="s">
        <v>931</v>
      </c>
      <c r="F175" t="s">
        <v>857</v>
      </c>
      <c r="G175">
        <v>2</v>
      </c>
      <c r="H175" t="s">
        <v>310</v>
      </c>
      <c r="I175">
        <v>8</v>
      </c>
      <c r="J175" s="37">
        <v>222.9</v>
      </c>
      <c r="K175">
        <v>4</v>
      </c>
    </row>
    <row r="176" spans="1:11" x14ac:dyDescent="0.35">
      <c r="A176">
        <v>174</v>
      </c>
      <c r="B176">
        <v>2015</v>
      </c>
      <c r="C176" t="s">
        <v>219</v>
      </c>
      <c r="D176" t="s">
        <v>281</v>
      </c>
      <c r="E176" t="s">
        <v>290</v>
      </c>
      <c r="F176" t="s">
        <v>866</v>
      </c>
      <c r="G176">
        <v>2</v>
      </c>
      <c r="H176" t="s">
        <v>310</v>
      </c>
      <c r="I176">
        <v>8</v>
      </c>
      <c r="J176" s="37">
        <v>224.98</v>
      </c>
      <c r="K176">
        <v>4</v>
      </c>
    </row>
    <row r="177" spans="1:11" x14ac:dyDescent="0.35">
      <c r="A177">
        <v>175</v>
      </c>
      <c r="B177">
        <v>2015</v>
      </c>
      <c r="C177" t="s">
        <v>219</v>
      </c>
      <c r="D177" t="s">
        <v>281</v>
      </c>
      <c r="E177" t="s">
        <v>282</v>
      </c>
      <c r="F177" t="s">
        <v>868</v>
      </c>
      <c r="G177">
        <v>2</v>
      </c>
      <c r="H177" t="s">
        <v>310</v>
      </c>
      <c r="I177">
        <v>8</v>
      </c>
      <c r="J177" s="37">
        <v>226.99</v>
      </c>
      <c r="K177">
        <v>4</v>
      </c>
    </row>
    <row r="178" spans="1:11" x14ac:dyDescent="0.35">
      <c r="A178">
        <v>176</v>
      </c>
      <c r="B178">
        <v>2015</v>
      </c>
      <c r="C178" t="s">
        <v>219</v>
      </c>
      <c r="D178" t="s">
        <v>281</v>
      </c>
      <c r="E178" t="s">
        <v>927</v>
      </c>
      <c r="F178" t="s">
        <v>853</v>
      </c>
      <c r="G178">
        <v>2</v>
      </c>
      <c r="H178" t="s">
        <v>310</v>
      </c>
      <c r="I178">
        <v>8</v>
      </c>
      <c r="J178" s="37">
        <v>227.31</v>
      </c>
      <c r="K178">
        <v>4</v>
      </c>
    </row>
    <row r="179" spans="1:11" x14ac:dyDescent="0.35">
      <c r="A179">
        <v>177</v>
      </c>
      <c r="B179">
        <v>2015</v>
      </c>
      <c r="C179" t="s">
        <v>219</v>
      </c>
      <c r="D179" t="s">
        <v>281</v>
      </c>
      <c r="E179" t="s">
        <v>283</v>
      </c>
      <c r="F179" t="s">
        <v>862</v>
      </c>
      <c r="G179">
        <v>2</v>
      </c>
      <c r="H179" t="s">
        <v>310</v>
      </c>
      <c r="I179">
        <v>8</v>
      </c>
      <c r="J179" s="37">
        <v>228.13</v>
      </c>
      <c r="K179">
        <v>4</v>
      </c>
    </row>
    <row r="180" spans="1:11" x14ac:dyDescent="0.35">
      <c r="A180">
        <v>178</v>
      </c>
      <c r="B180">
        <v>2015</v>
      </c>
      <c r="C180" t="s">
        <v>219</v>
      </c>
      <c r="D180" t="s">
        <v>984</v>
      </c>
      <c r="E180" t="s">
        <v>1052</v>
      </c>
      <c r="F180" t="s">
        <v>1053</v>
      </c>
      <c r="G180">
        <v>2</v>
      </c>
      <c r="H180" t="s">
        <v>310</v>
      </c>
      <c r="I180">
        <v>8</v>
      </c>
      <c r="J180" s="37">
        <v>229.39</v>
      </c>
      <c r="K180">
        <v>1</v>
      </c>
    </row>
    <row r="181" spans="1:11" x14ac:dyDescent="0.35">
      <c r="A181">
        <v>179</v>
      </c>
      <c r="B181">
        <v>2015</v>
      </c>
      <c r="C181" t="s">
        <v>219</v>
      </c>
      <c r="D181" t="s">
        <v>844</v>
      </c>
      <c r="E181" t="s">
        <v>295</v>
      </c>
      <c r="F181" t="s">
        <v>1088</v>
      </c>
      <c r="G181">
        <v>3</v>
      </c>
      <c r="H181" t="s">
        <v>310</v>
      </c>
      <c r="I181">
        <v>8</v>
      </c>
      <c r="J181" s="37">
        <v>229.64</v>
      </c>
      <c r="K181">
        <v>1</v>
      </c>
    </row>
    <row r="182" spans="1:11" x14ac:dyDescent="0.35">
      <c r="A182">
        <v>180</v>
      </c>
      <c r="B182">
        <v>2015</v>
      </c>
      <c r="C182" t="s">
        <v>219</v>
      </c>
      <c r="D182" t="s">
        <v>281</v>
      </c>
      <c r="E182" t="s">
        <v>284</v>
      </c>
      <c r="F182" t="s">
        <v>869</v>
      </c>
      <c r="G182">
        <v>2</v>
      </c>
      <c r="H182" t="s">
        <v>310</v>
      </c>
      <c r="I182">
        <v>8</v>
      </c>
      <c r="J182" s="37">
        <v>232.42</v>
      </c>
      <c r="K182">
        <v>4</v>
      </c>
    </row>
    <row r="183" spans="1:11" x14ac:dyDescent="0.35">
      <c r="A183">
        <v>181</v>
      </c>
      <c r="B183">
        <v>2015</v>
      </c>
      <c r="C183" t="s">
        <v>219</v>
      </c>
      <c r="D183" t="s">
        <v>281</v>
      </c>
      <c r="E183" t="s">
        <v>285</v>
      </c>
      <c r="F183" t="s">
        <v>863</v>
      </c>
      <c r="G183">
        <v>2</v>
      </c>
      <c r="H183" t="s">
        <v>310</v>
      </c>
      <c r="I183">
        <v>8</v>
      </c>
      <c r="J183" s="37">
        <v>233.58</v>
      </c>
      <c r="K183">
        <v>4</v>
      </c>
    </row>
    <row r="184" spans="1:11" x14ac:dyDescent="0.35">
      <c r="A184">
        <v>182</v>
      </c>
      <c r="B184">
        <v>2015</v>
      </c>
      <c r="C184" t="s">
        <v>219</v>
      </c>
      <c r="D184" t="s">
        <v>281</v>
      </c>
      <c r="E184" t="s">
        <v>292</v>
      </c>
      <c r="F184" t="s">
        <v>867</v>
      </c>
      <c r="G184">
        <v>2</v>
      </c>
      <c r="H184" t="s">
        <v>310</v>
      </c>
      <c r="I184">
        <v>8</v>
      </c>
      <c r="J184" s="37">
        <v>234.78</v>
      </c>
      <c r="K184">
        <v>4</v>
      </c>
    </row>
    <row r="185" spans="1:11" x14ac:dyDescent="0.35">
      <c r="A185">
        <v>183</v>
      </c>
      <c r="B185">
        <v>2015</v>
      </c>
      <c r="C185" t="s">
        <v>219</v>
      </c>
      <c r="D185" t="s">
        <v>281</v>
      </c>
      <c r="E185" t="s">
        <v>928</v>
      </c>
      <c r="F185" t="s">
        <v>854</v>
      </c>
      <c r="G185">
        <v>2</v>
      </c>
      <c r="H185" t="s">
        <v>310</v>
      </c>
      <c r="I185">
        <v>8</v>
      </c>
      <c r="J185" s="37">
        <v>237.21</v>
      </c>
      <c r="K185">
        <v>4</v>
      </c>
    </row>
    <row r="186" spans="1:11" x14ac:dyDescent="0.35">
      <c r="A186">
        <v>184</v>
      </c>
      <c r="B186">
        <v>2015</v>
      </c>
      <c r="C186" t="s">
        <v>219</v>
      </c>
      <c r="D186" t="s">
        <v>951</v>
      </c>
      <c r="E186" t="s">
        <v>969</v>
      </c>
      <c r="F186" t="s">
        <v>970</v>
      </c>
      <c r="G186">
        <v>2</v>
      </c>
      <c r="H186" t="s">
        <v>310</v>
      </c>
      <c r="I186">
        <v>8</v>
      </c>
      <c r="J186" s="37">
        <v>238.36</v>
      </c>
      <c r="K186">
        <v>2</v>
      </c>
    </row>
    <row r="187" spans="1:11" x14ac:dyDescent="0.35">
      <c r="A187">
        <v>185</v>
      </c>
      <c r="B187">
        <v>2015</v>
      </c>
      <c r="C187" t="s">
        <v>219</v>
      </c>
      <c r="D187" t="s">
        <v>951</v>
      </c>
      <c r="E187" t="s">
        <v>961</v>
      </c>
      <c r="F187" t="s">
        <v>962</v>
      </c>
      <c r="G187">
        <v>2</v>
      </c>
      <c r="H187" t="s">
        <v>310</v>
      </c>
      <c r="I187">
        <v>8</v>
      </c>
      <c r="J187" s="37">
        <v>240.33</v>
      </c>
      <c r="K187">
        <v>2</v>
      </c>
    </row>
    <row r="188" spans="1:11" x14ac:dyDescent="0.35">
      <c r="A188">
        <v>186</v>
      </c>
      <c r="B188">
        <v>2015</v>
      </c>
      <c r="C188" t="s">
        <v>219</v>
      </c>
      <c r="D188" t="s">
        <v>281</v>
      </c>
      <c r="E188" t="s">
        <v>287</v>
      </c>
      <c r="F188" t="s">
        <v>870</v>
      </c>
      <c r="G188">
        <v>2</v>
      </c>
      <c r="H188" t="s">
        <v>310</v>
      </c>
      <c r="I188">
        <v>8</v>
      </c>
      <c r="J188" s="37">
        <v>242.55</v>
      </c>
      <c r="K188">
        <v>4</v>
      </c>
    </row>
    <row r="189" spans="1:11" x14ac:dyDescent="0.35">
      <c r="A189">
        <v>187</v>
      </c>
      <c r="B189">
        <v>2015</v>
      </c>
      <c r="C189" t="s">
        <v>219</v>
      </c>
      <c r="D189" t="s">
        <v>281</v>
      </c>
      <c r="E189" t="s">
        <v>289</v>
      </c>
      <c r="F189" t="s">
        <v>864</v>
      </c>
      <c r="G189">
        <v>2</v>
      </c>
      <c r="H189" t="s">
        <v>310</v>
      </c>
      <c r="I189">
        <v>8</v>
      </c>
      <c r="J189" s="37">
        <v>243.76</v>
      </c>
      <c r="K189">
        <v>4</v>
      </c>
    </row>
    <row r="190" spans="1:11" x14ac:dyDescent="0.35">
      <c r="A190">
        <v>188</v>
      </c>
      <c r="B190">
        <v>2015</v>
      </c>
      <c r="C190" t="s">
        <v>219</v>
      </c>
      <c r="D190" t="s">
        <v>951</v>
      </c>
      <c r="E190" t="s">
        <v>963</v>
      </c>
      <c r="F190" t="s">
        <v>964</v>
      </c>
      <c r="G190">
        <v>2</v>
      </c>
      <c r="H190" t="s">
        <v>310</v>
      </c>
      <c r="I190">
        <v>8</v>
      </c>
      <c r="J190" s="37">
        <v>253.76</v>
      </c>
      <c r="K190">
        <v>2</v>
      </c>
    </row>
    <row r="191" spans="1:11" x14ac:dyDescent="0.35">
      <c r="A191">
        <v>189</v>
      </c>
      <c r="B191">
        <v>2015</v>
      </c>
      <c r="C191" t="s">
        <v>219</v>
      </c>
      <c r="D191" t="s">
        <v>951</v>
      </c>
      <c r="E191" t="s">
        <v>965</v>
      </c>
      <c r="F191" t="s">
        <v>966</v>
      </c>
      <c r="G191">
        <v>2</v>
      </c>
      <c r="H191" t="s">
        <v>310</v>
      </c>
      <c r="I191">
        <v>8</v>
      </c>
      <c r="J191" s="37">
        <v>255.87</v>
      </c>
      <c r="K191">
        <v>2</v>
      </c>
    </row>
    <row r="192" spans="1:11" x14ac:dyDescent="0.35">
      <c r="A192">
        <v>190</v>
      </c>
      <c r="B192">
        <v>2015</v>
      </c>
      <c r="C192" t="s">
        <v>219</v>
      </c>
      <c r="D192" t="s">
        <v>260</v>
      </c>
      <c r="E192" t="s">
        <v>1115</v>
      </c>
      <c r="F192" t="s">
        <v>851</v>
      </c>
      <c r="G192">
        <v>2</v>
      </c>
      <c r="H192" t="s">
        <v>310</v>
      </c>
      <c r="I192">
        <v>8</v>
      </c>
      <c r="J192" s="37">
        <v>262.05</v>
      </c>
      <c r="K192">
        <v>1</v>
      </c>
    </row>
    <row r="193" spans="1:11" x14ac:dyDescent="0.35">
      <c r="A193">
        <v>191</v>
      </c>
      <c r="B193">
        <v>2015</v>
      </c>
      <c r="C193" t="s">
        <v>219</v>
      </c>
      <c r="D193" t="s">
        <v>951</v>
      </c>
      <c r="E193" t="s">
        <v>967</v>
      </c>
      <c r="F193" t="s">
        <v>968</v>
      </c>
      <c r="G193">
        <v>2</v>
      </c>
      <c r="H193" t="s">
        <v>310</v>
      </c>
      <c r="I193">
        <v>8</v>
      </c>
      <c r="J193" s="37">
        <v>263.58</v>
      </c>
      <c r="K193">
        <v>2</v>
      </c>
    </row>
    <row r="194" spans="1:11" x14ac:dyDescent="0.35">
      <c r="A194">
        <v>192</v>
      </c>
      <c r="B194">
        <v>2015</v>
      </c>
      <c r="C194" t="s">
        <v>219</v>
      </c>
      <c r="D194" t="s">
        <v>245</v>
      </c>
      <c r="E194" t="s">
        <v>300</v>
      </c>
      <c r="F194" t="s">
        <v>301</v>
      </c>
      <c r="G194">
        <v>2</v>
      </c>
      <c r="H194" t="s">
        <v>310</v>
      </c>
      <c r="I194">
        <v>8</v>
      </c>
      <c r="J194" s="37">
        <v>265</v>
      </c>
      <c r="K194">
        <v>1</v>
      </c>
    </row>
    <row r="195" spans="1:11" x14ac:dyDescent="0.35">
      <c r="A195">
        <v>193</v>
      </c>
      <c r="B195">
        <v>2015</v>
      </c>
      <c r="C195" t="s">
        <v>219</v>
      </c>
      <c r="D195" t="s">
        <v>951</v>
      </c>
      <c r="E195" t="s">
        <v>973</v>
      </c>
      <c r="F195" t="s">
        <v>278</v>
      </c>
      <c r="G195">
        <v>2</v>
      </c>
      <c r="H195" t="s">
        <v>310</v>
      </c>
      <c r="I195">
        <v>8</v>
      </c>
      <c r="J195" s="37">
        <v>267.27999999999997</v>
      </c>
      <c r="K195">
        <v>2</v>
      </c>
    </row>
    <row r="196" spans="1:11" x14ac:dyDescent="0.35">
      <c r="A196">
        <v>194</v>
      </c>
      <c r="B196">
        <v>2015</v>
      </c>
      <c r="C196" t="s">
        <v>219</v>
      </c>
      <c r="D196" t="s">
        <v>245</v>
      </c>
      <c r="E196" t="s">
        <v>302</v>
      </c>
      <c r="F196" t="s">
        <v>303</v>
      </c>
      <c r="G196">
        <v>2</v>
      </c>
      <c r="H196" t="s">
        <v>310</v>
      </c>
      <c r="I196">
        <v>8</v>
      </c>
      <c r="J196" s="37">
        <v>274</v>
      </c>
      <c r="K196">
        <v>1</v>
      </c>
    </row>
    <row r="197" spans="1:11" x14ac:dyDescent="0.35">
      <c r="A197">
        <v>195</v>
      </c>
      <c r="B197">
        <v>2015</v>
      </c>
      <c r="C197" t="s">
        <v>219</v>
      </c>
      <c r="D197" t="s">
        <v>260</v>
      </c>
      <c r="E197" t="s">
        <v>1114</v>
      </c>
      <c r="F197" t="s">
        <v>850</v>
      </c>
      <c r="G197">
        <v>2</v>
      </c>
      <c r="H197" t="s">
        <v>310</v>
      </c>
      <c r="I197">
        <v>8</v>
      </c>
      <c r="J197" s="37">
        <v>276.45999999999998</v>
      </c>
      <c r="K197">
        <v>1</v>
      </c>
    </row>
    <row r="198" spans="1:11" x14ac:dyDescent="0.35">
      <c r="A198">
        <v>196</v>
      </c>
      <c r="B198">
        <v>2015</v>
      </c>
      <c r="C198" t="s">
        <v>219</v>
      </c>
      <c r="D198" t="s">
        <v>260</v>
      </c>
      <c r="E198" t="s">
        <v>1113</v>
      </c>
      <c r="F198" t="s">
        <v>849</v>
      </c>
      <c r="G198">
        <v>2</v>
      </c>
      <c r="H198" t="s">
        <v>310</v>
      </c>
      <c r="I198">
        <v>8</v>
      </c>
      <c r="J198" s="37">
        <v>278.02999999999997</v>
      </c>
      <c r="K198">
        <v>1</v>
      </c>
    </row>
    <row r="199" spans="1:11" x14ac:dyDescent="0.35">
      <c r="A199">
        <v>197</v>
      </c>
      <c r="B199">
        <v>2015</v>
      </c>
      <c r="C199" t="s">
        <v>219</v>
      </c>
      <c r="D199" t="s">
        <v>245</v>
      </c>
      <c r="E199" t="s">
        <v>298</v>
      </c>
      <c r="F199" t="s">
        <v>299</v>
      </c>
      <c r="G199">
        <v>2</v>
      </c>
      <c r="H199" t="s">
        <v>310</v>
      </c>
      <c r="I199">
        <v>8</v>
      </c>
      <c r="J199" s="37">
        <v>285</v>
      </c>
      <c r="K199">
        <v>1</v>
      </c>
    </row>
    <row r="200" spans="1:11" x14ac:dyDescent="0.35">
      <c r="A200">
        <v>198</v>
      </c>
      <c r="B200">
        <v>2015</v>
      </c>
      <c r="C200" t="s">
        <v>219</v>
      </c>
      <c r="D200" t="s">
        <v>951</v>
      </c>
      <c r="E200" t="s">
        <v>969</v>
      </c>
      <c r="F200" t="s">
        <v>970</v>
      </c>
      <c r="G200">
        <v>2</v>
      </c>
      <c r="H200" t="s">
        <v>310</v>
      </c>
      <c r="I200">
        <v>9</v>
      </c>
      <c r="J200" s="37">
        <v>226.67</v>
      </c>
      <c r="K200">
        <v>2</v>
      </c>
    </row>
    <row r="201" spans="1:11" x14ac:dyDescent="0.35">
      <c r="A201">
        <v>199</v>
      </c>
      <c r="B201">
        <v>2015</v>
      </c>
      <c r="C201" t="s">
        <v>219</v>
      </c>
      <c r="D201" t="s">
        <v>951</v>
      </c>
      <c r="E201" t="s">
        <v>961</v>
      </c>
      <c r="F201" t="s">
        <v>962</v>
      </c>
      <c r="G201">
        <v>2</v>
      </c>
      <c r="H201" t="s">
        <v>310</v>
      </c>
      <c r="I201">
        <v>9</v>
      </c>
      <c r="J201" s="37">
        <v>228.55</v>
      </c>
      <c r="K201">
        <v>2</v>
      </c>
    </row>
    <row r="202" spans="1:11" x14ac:dyDescent="0.35">
      <c r="A202">
        <v>200</v>
      </c>
      <c r="B202">
        <v>2015</v>
      </c>
      <c r="C202" t="s">
        <v>219</v>
      </c>
      <c r="D202" t="s">
        <v>304</v>
      </c>
      <c r="E202" t="s">
        <v>307</v>
      </c>
      <c r="F202" t="s">
        <v>904</v>
      </c>
      <c r="G202">
        <v>1</v>
      </c>
      <c r="H202" t="s">
        <v>310</v>
      </c>
      <c r="I202">
        <v>9</v>
      </c>
      <c r="J202" s="37">
        <v>232.11</v>
      </c>
      <c r="K202">
        <v>4</v>
      </c>
    </row>
    <row r="203" spans="1:11" x14ac:dyDescent="0.35">
      <c r="A203">
        <v>201</v>
      </c>
      <c r="B203">
        <v>2015</v>
      </c>
      <c r="C203" t="s">
        <v>219</v>
      </c>
      <c r="D203" t="s">
        <v>304</v>
      </c>
      <c r="E203" t="s">
        <v>916</v>
      </c>
      <c r="F203" t="s">
        <v>917</v>
      </c>
      <c r="G203">
        <v>1</v>
      </c>
      <c r="H203" t="s">
        <v>310</v>
      </c>
      <c r="I203">
        <v>9</v>
      </c>
      <c r="J203" s="37">
        <v>232.11</v>
      </c>
      <c r="K203">
        <v>4</v>
      </c>
    </row>
    <row r="204" spans="1:11" x14ac:dyDescent="0.35">
      <c r="A204">
        <v>202</v>
      </c>
      <c r="B204">
        <v>2015</v>
      </c>
      <c r="C204" t="s">
        <v>219</v>
      </c>
      <c r="D204" t="s">
        <v>304</v>
      </c>
      <c r="E204" t="s">
        <v>902</v>
      </c>
      <c r="F204" t="s">
        <v>903</v>
      </c>
      <c r="G204">
        <v>1</v>
      </c>
      <c r="H204" t="s">
        <v>310</v>
      </c>
      <c r="I204">
        <v>9</v>
      </c>
      <c r="J204" s="37">
        <v>232.18</v>
      </c>
      <c r="K204">
        <v>4</v>
      </c>
    </row>
    <row r="205" spans="1:11" x14ac:dyDescent="0.35">
      <c r="A205">
        <v>203</v>
      </c>
      <c r="B205">
        <v>2015</v>
      </c>
      <c r="C205" t="s">
        <v>219</v>
      </c>
      <c r="D205" t="s">
        <v>304</v>
      </c>
      <c r="E205" t="s">
        <v>305</v>
      </c>
      <c r="F205" t="s">
        <v>913</v>
      </c>
      <c r="G205">
        <v>1</v>
      </c>
      <c r="H205" t="s">
        <v>310</v>
      </c>
      <c r="I205">
        <v>9</v>
      </c>
      <c r="J205" s="37">
        <v>232.26</v>
      </c>
      <c r="K205">
        <v>4</v>
      </c>
    </row>
    <row r="206" spans="1:11" x14ac:dyDescent="0.35">
      <c r="A206">
        <v>204</v>
      </c>
      <c r="B206">
        <v>2015</v>
      </c>
      <c r="C206" t="s">
        <v>219</v>
      </c>
      <c r="D206" t="s">
        <v>304</v>
      </c>
      <c r="E206" t="s">
        <v>911</v>
      </c>
      <c r="F206" t="s">
        <v>912</v>
      </c>
      <c r="G206">
        <v>1</v>
      </c>
      <c r="H206" t="s">
        <v>310</v>
      </c>
      <c r="I206">
        <v>9</v>
      </c>
      <c r="J206" s="37">
        <v>232.29</v>
      </c>
      <c r="K206">
        <v>4</v>
      </c>
    </row>
    <row r="207" spans="1:11" x14ac:dyDescent="0.35">
      <c r="A207">
        <v>205</v>
      </c>
      <c r="B207">
        <v>2015</v>
      </c>
      <c r="C207" t="s">
        <v>219</v>
      </c>
      <c r="D207" t="s">
        <v>304</v>
      </c>
      <c r="E207" t="s">
        <v>914</v>
      </c>
      <c r="F207" t="s">
        <v>915</v>
      </c>
      <c r="G207">
        <v>1</v>
      </c>
      <c r="H207" t="s">
        <v>310</v>
      </c>
      <c r="I207">
        <v>9</v>
      </c>
      <c r="J207" s="37">
        <v>232.5</v>
      </c>
      <c r="K207">
        <v>4</v>
      </c>
    </row>
    <row r="208" spans="1:11" x14ac:dyDescent="0.35">
      <c r="A208">
        <v>206</v>
      </c>
      <c r="B208">
        <v>2015</v>
      </c>
      <c r="C208" t="s">
        <v>219</v>
      </c>
      <c r="D208" t="s">
        <v>304</v>
      </c>
      <c r="E208" t="s">
        <v>909</v>
      </c>
      <c r="F208" t="s">
        <v>910</v>
      </c>
      <c r="G208">
        <v>1</v>
      </c>
      <c r="H208" t="s">
        <v>310</v>
      </c>
      <c r="I208">
        <v>9</v>
      </c>
      <c r="J208" s="37">
        <v>232.58</v>
      </c>
      <c r="K208">
        <v>4</v>
      </c>
    </row>
    <row r="209" spans="1:11" x14ac:dyDescent="0.35">
      <c r="A209">
        <v>207</v>
      </c>
      <c r="B209">
        <v>2015</v>
      </c>
      <c r="C209" t="s">
        <v>219</v>
      </c>
      <c r="D209" t="s">
        <v>304</v>
      </c>
      <c r="E209" t="s">
        <v>900</v>
      </c>
      <c r="F209" t="s">
        <v>901</v>
      </c>
      <c r="G209">
        <v>1</v>
      </c>
      <c r="H209" t="s">
        <v>310</v>
      </c>
      <c r="I209">
        <v>9</v>
      </c>
      <c r="J209" s="37">
        <v>234.09</v>
      </c>
      <c r="K209">
        <v>4</v>
      </c>
    </row>
    <row r="210" spans="1:11" x14ac:dyDescent="0.35">
      <c r="A210">
        <v>208</v>
      </c>
      <c r="B210">
        <v>2015</v>
      </c>
      <c r="C210" t="s">
        <v>219</v>
      </c>
      <c r="D210" t="s">
        <v>304</v>
      </c>
      <c r="E210" t="s">
        <v>898</v>
      </c>
      <c r="F210" t="s">
        <v>899</v>
      </c>
      <c r="G210">
        <v>1</v>
      </c>
      <c r="H210" t="s">
        <v>310</v>
      </c>
      <c r="I210">
        <v>9</v>
      </c>
      <c r="J210" s="37">
        <v>234.63</v>
      </c>
      <c r="K210">
        <v>4</v>
      </c>
    </row>
    <row r="211" spans="1:11" x14ac:dyDescent="0.35">
      <c r="A211">
        <v>209</v>
      </c>
      <c r="B211">
        <v>2015</v>
      </c>
      <c r="C211" t="s">
        <v>219</v>
      </c>
      <c r="D211" t="s">
        <v>304</v>
      </c>
      <c r="E211" t="s">
        <v>907</v>
      </c>
      <c r="F211" t="s">
        <v>908</v>
      </c>
      <c r="G211">
        <v>1</v>
      </c>
      <c r="H211" t="s">
        <v>310</v>
      </c>
      <c r="I211">
        <v>9</v>
      </c>
      <c r="J211" s="37">
        <v>239.77</v>
      </c>
      <c r="K211">
        <v>4</v>
      </c>
    </row>
    <row r="212" spans="1:11" x14ac:dyDescent="0.35">
      <c r="A212">
        <v>210</v>
      </c>
      <c r="B212">
        <v>2015</v>
      </c>
      <c r="C212" t="s">
        <v>219</v>
      </c>
      <c r="D212" t="s">
        <v>951</v>
      </c>
      <c r="E212" t="s">
        <v>963</v>
      </c>
      <c r="F212" t="s">
        <v>964</v>
      </c>
      <c r="G212">
        <v>2</v>
      </c>
      <c r="H212" t="s">
        <v>310</v>
      </c>
      <c r="I212">
        <v>9</v>
      </c>
      <c r="J212" s="37">
        <v>241.32</v>
      </c>
      <c r="K212">
        <v>2</v>
      </c>
    </row>
    <row r="213" spans="1:11" x14ac:dyDescent="0.35">
      <c r="A213">
        <v>211</v>
      </c>
      <c r="B213">
        <v>2015</v>
      </c>
      <c r="C213" t="s">
        <v>219</v>
      </c>
      <c r="D213" t="s">
        <v>951</v>
      </c>
      <c r="E213" t="s">
        <v>965</v>
      </c>
      <c r="F213" t="s">
        <v>966</v>
      </c>
      <c r="G213">
        <v>2</v>
      </c>
      <c r="H213" t="s">
        <v>310</v>
      </c>
      <c r="I213">
        <v>9</v>
      </c>
      <c r="J213" s="37">
        <v>243.34</v>
      </c>
      <c r="K213">
        <v>2</v>
      </c>
    </row>
    <row r="214" spans="1:11" x14ac:dyDescent="0.35">
      <c r="A214">
        <v>212</v>
      </c>
      <c r="B214">
        <v>2015</v>
      </c>
      <c r="C214" t="s">
        <v>219</v>
      </c>
      <c r="D214" t="s">
        <v>304</v>
      </c>
      <c r="E214" t="s">
        <v>905</v>
      </c>
      <c r="F214" t="s">
        <v>906</v>
      </c>
      <c r="G214">
        <v>1</v>
      </c>
      <c r="H214" t="s">
        <v>310</v>
      </c>
      <c r="I214">
        <v>9</v>
      </c>
      <c r="J214" s="37">
        <v>244.8</v>
      </c>
      <c r="K214">
        <v>4</v>
      </c>
    </row>
    <row r="215" spans="1:11" x14ac:dyDescent="0.35">
      <c r="A215">
        <v>213</v>
      </c>
      <c r="B215">
        <v>2015</v>
      </c>
      <c r="C215" t="s">
        <v>219</v>
      </c>
      <c r="D215" t="s">
        <v>951</v>
      </c>
      <c r="E215" t="s">
        <v>967</v>
      </c>
      <c r="F215" t="s">
        <v>968</v>
      </c>
      <c r="G215">
        <v>2</v>
      </c>
      <c r="H215" t="s">
        <v>310</v>
      </c>
      <c r="I215">
        <v>9</v>
      </c>
      <c r="J215" s="37">
        <v>250.67</v>
      </c>
      <c r="K215">
        <v>2</v>
      </c>
    </row>
    <row r="216" spans="1:11" x14ac:dyDescent="0.35">
      <c r="A216">
        <v>214</v>
      </c>
      <c r="B216">
        <v>2015</v>
      </c>
      <c r="C216" t="s">
        <v>219</v>
      </c>
      <c r="D216" t="s">
        <v>951</v>
      </c>
      <c r="E216" t="s">
        <v>973</v>
      </c>
      <c r="F216" t="s">
        <v>278</v>
      </c>
      <c r="G216">
        <v>2</v>
      </c>
      <c r="H216" t="s">
        <v>310</v>
      </c>
      <c r="I216">
        <v>9</v>
      </c>
      <c r="J216" s="37">
        <v>254.19</v>
      </c>
      <c r="K216">
        <v>2</v>
      </c>
    </row>
    <row r="217" spans="1:11" x14ac:dyDescent="0.35">
      <c r="A217">
        <v>215</v>
      </c>
      <c r="B217">
        <v>2015</v>
      </c>
      <c r="C217" t="s">
        <v>219</v>
      </c>
      <c r="D217" t="s">
        <v>260</v>
      </c>
      <c r="E217" t="s">
        <v>1115</v>
      </c>
      <c r="F217" t="s">
        <v>851</v>
      </c>
      <c r="G217">
        <v>2</v>
      </c>
      <c r="H217" t="s">
        <v>310</v>
      </c>
      <c r="I217">
        <v>9</v>
      </c>
      <c r="J217" s="37">
        <v>288.14</v>
      </c>
      <c r="K217">
        <v>1</v>
      </c>
    </row>
    <row r="218" spans="1:11" x14ac:dyDescent="0.35">
      <c r="A218">
        <v>216</v>
      </c>
      <c r="B218">
        <v>2015</v>
      </c>
      <c r="C218" t="s">
        <v>219</v>
      </c>
      <c r="D218" t="s">
        <v>260</v>
      </c>
      <c r="E218" t="s">
        <v>1114</v>
      </c>
      <c r="F218" t="s">
        <v>850</v>
      </c>
      <c r="G218">
        <v>2</v>
      </c>
      <c r="H218" t="s">
        <v>310</v>
      </c>
      <c r="I218">
        <v>9</v>
      </c>
      <c r="J218" s="37">
        <v>303.98</v>
      </c>
      <c r="K218">
        <v>1</v>
      </c>
    </row>
    <row r="219" spans="1:11" x14ac:dyDescent="0.35">
      <c r="A219">
        <v>217</v>
      </c>
      <c r="B219">
        <v>2015</v>
      </c>
      <c r="C219" t="s">
        <v>219</v>
      </c>
      <c r="D219" t="s">
        <v>260</v>
      </c>
      <c r="E219" t="s">
        <v>1113</v>
      </c>
      <c r="F219" t="s">
        <v>849</v>
      </c>
      <c r="G219">
        <v>2</v>
      </c>
      <c r="H219" t="s">
        <v>310</v>
      </c>
      <c r="I219">
        <v>9</v>
      </c>
      <c r="J219" s="37">
        <v>305.70999999999998</v>
      </c>
      <c r="K219">
        <v>1</v>
      </c>
    </row>
    <row r="220" spans="1:11" x14ac:dyDescent="0.35">
      <c r="A220">
        <v>218</v>
      </c>
      <c r="B220">
        <v>2015</v>
      </c>
      <c r="C220" t="s">
        <v>219</v>
      </c>
      <c r="D220" t="s">
        <v>844</v>
      </c>
      <c r="E220" t="s">
        <v>308</v>
      </c>
      <c r="F220" t="s">
        <v>1089</v>
      </c>
      <c r="G220">
        <v>2</v>
      </c>
      <c r="H220" t="s">
        <v>310</v>
      </c>
      <c r="I220">
        <v>10</v>
      </c>
      <c r="J220" s="37">
        <v>212.29</v>
      </c>
      <c r="K220">
        <v>1</v>
      </c>
    </row>
    <row r="221" spans="1:11" x14ac:dyDescent="0.35">
      <c r="A221">
        <v>219</v>
      </c>
      <c r="B221">
        <v>2015</v>
      </c>
      <c r="C221" t="s">
        <v>219</v>
      </c>
      <c r="D221" t="s">
        <v>984</v>
      </c>
      <c r="E221" t="s">
        <v>1034</v>
      </c>
      <c r="F221" t="s">
        <v>1035</v>
      </c>
      <c r="G221">
        <v>2</v>
      </c>
      <c r="H221" t="s">
        <v>310</v>
      </c>
      <c r="I221">
        <v>10</v>
      </c>
      <c r="J221" s="37">
        <v>217.73</v>
      </c>
      <c r="K221">
        <v>1</v>
      </c>
    </row>
    <row r="222" spans="1:11" x14ac:dyDescent="0.35">
      <c r="A222">
        <v>220</v>
      </c>
      <c r="B222">
        <v>2015</v>
      </c>
      <c r="C222" t="s">
        <v>219</v>
      </c>
      <c r="D222" t="s">
        <v>951</v>
      </c>
      <c r="E222" t="s">
        <v>969</v>
      </c>
      <c r="F222" t="s">
        <v>970</v>
      </c>
      <c r="G222">
        <v>2</v>
      </c>
      <c r="H222" t="s">
        <v>310</v>
      </c>
      <c r="I222">
        <v>10</v>
      </c>
      <c r="J222" s="37">
        <v>220.71</v>
      </c>
      <c r="K222">
        <v>2</v>
      </c>
    </row>
    <row r="223" spans="1:11" x14ac:dyDescent="0.35">
      <c r="A223">
        <v>221</v>
      </c>
      <c r="B223">
        <v>2015</v>
      </c>
      <c r="C223" t="s">
        <v>219</v>
      </c>
      <c r="D223" t="s">
        <v>844</v>
      </c>
      <c r="E223" t="s">
        <v>295</v>
      </c>
      <c r="F223" t="s">
        <v>1088</v>
      </c>
      <c r="G223">
        <v>3</v>
      </c>
      <c r="H223" t="s">
        <v>310</v>
      </c>
      <c r="I223">
        <v>10</v>
      </c>
      <c r="J223" s="37">
        <v>222.23</v>
      </c>
      <c r="K223">
        <v>1</v>
      </c>
    </row>
    <row r="224" spans="1:11" x14ac:dyDescent="0.35">
      <c r="A224">
        <v>222</v>
      </c>
      <c r="B224">
        <v>2015</v>
      </c>
      <c r="C224" t="s">
        <v>219</v>
      </c>
      <c r="D224" t="s">
        <v>951</v>
      </c>
      <c r="E224" t="s">
        <v>961</v>
      </c>
      <c r="F224" t="s">
        <v>962</v>
      </c>
      <c r="G224">
        <v>2</v>
      </c>
      <c r="H224" t="s">
        <v>310</v>
      </c>
      <c r="I224">
        <v>10</v>
      </c>
      <c r="J224" s="37">
        <v>222.53</v>
      </c>
      <c r="K224">
        <v>2</v>
      </c>
    </row>
    <row r="225" spans="1:11" x14ac:dyDescent="0.35">
      <c r="A225">
        <v>223</v>
      </c>
      <c r="B225">
        <v>2015</v>
      </c>
      <c r="C225" t="s">
        <v>219</v>
      </c>
      <c r="D225" t="s">
        <v>984</v>
      </c>
      <c r="E225" t="s">
        <v>1050</v>
      </c>
      <c r="F225" t="s">
        <v>1051</v>
      </c>
      <c r="G225">
        <v>2</v>
      </c>
      <c r="H225" t="s">
        <v>310</v>
      </c>
      <c r="I225">
        <v>10</v>
      </c>
      <c r="J225" s="37">
        <v>224.57</v>
      </c>
      <c r="K225">
        <v>1</v>
      </c>
    </row>
    <row r="226" spans="1:11" x14ac:dyDescent="0.35">
      <c r="A226">
        <v>224</v>
      </c>
      <c r="B226">
        <v>2015</v>
      </c>
      <c r="C226" t="s">
        <v>219</v>
      </c>
      <c r="D226" t="s">
        <v>984</v>
      </c>
      <c r="E226" t="s">
        <v>1038</v>
      </c>
      <c r="F226" t="s">
        <v>1039</v>
      </c>
      <c r="G226">
        <v>2</v>
      </c>
      <c r="H226" t="s">
        <v>310</v>
      </c>
      <c r="I226">
        <v>10</v>
      </c>
      <c r="J226" s="37">
        <v>233.13</v>
      </c>
      <c r="K226">
        <v>1</v>
      </c>
    </row>
    <row r="227" spans="1:11" x14ac:dyDescent="0.35">
      <c r="A227">
        <v>225</v>
      </c>
      <c r="B227">
        <v>2015</v>
      </c>
      <c r="C227" t="s">
        <v>219</v>
      </c>
      <c r="D227" t="s">
        <v>951</v>
      </c>
      <c r="E227" t="s">
        <v>963</v>
      </c>
      <c r="F227" t="s">
        <v>964</v>
      </c>
      <c r="G227">
        <v>2</v>
      </c>
      <c r="H227" t="s">
        <v>310</v>
      </c>
      <c r="I227">
        <v>10</v>
      </c>
      <c r="J227" s="37">
        <v>234.97</v>
      </c>
      <c r="K227">
        <v>2</v>
      </c>
    </row>
    <row r="228" spans="1:11" x14ac:dyDescent="0.35">
      <c r="A228">
        <v>226</v>
      </c>
      <c r="B228">
        <v>2015</v>
      </c>
      <c r="C228" t="s">
        <v>219</v>
      </c>
      <c r="D228" t="s">
        <v>951</v>
      </c>
      <c r="E228" t="s">
        <v>965</v>
      </c>
      <c r="F228" t="s">
        <v>966</v>
      </c>
      <c r="G228">
        <v>2</v>
      </c>
      <c r="H228" t="s">
        <v>310</v>
      </c>
      <c r="I228">
        <v>10</v>
      </c>
      <c r="J228" s="37">
        <v>236.93</v>
      </c>
      <c r="K228">
        <v>2</v>
      </c>
    </row>
    <row r="229" spans="1:11" x14ac:dyDescent="0.35">
      <c r="A229">
        <v>227</v>
      </c>
      <c r="B229">
        <v>2015</v>
      </c>
      <c r="C229" t="s">
        <v>219</v>
      </c>
      <c r="D229" t="s">
        <v>984</v>
      </c>
      <c r="E229" t="s">
        <v>1054</v>
      </c>
      <c r="F229" t="s">
        <v>1055</v>
      </c>
      <c r="G229">
        <v>2</v>
      </c>
      <c r="H229" t="s">
        <v>310</v>
      </c>
      <c r="I229">
        <v>10</v>
      </c>
      <c r="J229" s="37">
        <v>240.47</v>
      </c>
      <c r="K229">
        <v>1</v>
      </c>
    </row>
    <row r="230" spans="1:11" x14ac:dyDescent="0.35">
      <c r="A230">
        <v>228</v>
      </c>
      <c r="B230">
        <v>2015</v>
      </c>
      <c r="C230" t="s">
        <v>219</v>
      </c>
      <c r="D230" t="s">
        <v>304</v>
      </c>
      <c r="E230" t="s">
        <v>307</v>
      </c>
      <c r="F230" t="s">
        <v>904</v>
      </c>
      <c r="G230">
        <v>1</v>
      </c>
      <c r="H230" t="s">
        <v>310</v>
      </c>
      <c r="I230">
        <v>10</v>
      </c>
      <c r="J230" s="37">
        <v>241.89</v>
      </c>
      <c r="K230">
        <v>4</v>
      </c>
    </row>
    <row r="231" spans="1:11" x14ac:dyDescent="0.35">
      <c r="A231">
        <v>229</v>
      </c>
      <c r="B231">
        <v>2015</v>
      </c>
      <c r="C231" t="s">
        <v>219</v>
      </c>
      <c r="D231" t="s">
        <v>304</v>
      </c>
      <c r="E231" t="s">
        <v>916</v>
      </c>
      <c r="F231" t="s">
        <v>917</v>
      </c>
      <c r="G231">
        <v>1</v>
      </c>
      <c r="H231" t="s">
        <v>310</v>
      </c>
      <c r="I231">
        <v>10</v>
      </c>
      <c r="J231" s="37">
        <v>241.89</v>
      </c>
      <c r="K231">
        <v>4</v>
      </c>
    </row>
    <row r="232" spans="1:11" x14ac:dyDescent="0.35">
      <c r="A232">
        <v>230</v>
      </c>
      <c r="B232">
        <v>2015</v>
      </c>
      <c r="C232" t="s">
        <v>219</v>
      </c>
      <c r="D232" t="s">
        <v>304</v>
      </c>
      <c r="E232" t="s">
        <v>902</v>
      </c>
      <c r="F232" t="s">
        <v>903</v>
      </c>
      <c r="G232">
        <v>1</v>
      </c>
      <c r="H232" t="s">
        <v>310</v>
      </c>
      <c r="I232">
        <v>10</v>
      </c>
      <c r="J232" s="37">
        <v>241.96</v>
      </c>
      <c r="K232">
        <v>4</v>
      </c>
    </row>
    <row r="233" spans="1:11" x14ac:dyDescent="0.35">
      <c r="A233">
        <v>231</v>
      </c>
      <c r="B233">
        <v>2015</v>
      </c>
      <c r="C233" t="s">
        <v>219</v>
      </c>
      <c r="D233" t="s">
        <v>304</v>
      </c>
      <c r="E233" t="s">
        <v>305</v>
      </c>
      <c r="F233" t="s">
        <v>913</v>
      </c>
      <c r="G233">
        <v>1</v>
      </c>
      <c r="H233" t="s">
        <v>310</v>
      </c>
      <c r="I233">
        <v>10</v>
      </c>
      <c r="J233" s="37">
        <v>242.04</v>
      </c>
      <c r="K233">
        <v>4</v>
      </c>
    </row>
    <row r="234" spans="1:11" x14ac:dyDescent="0.35">
      <c r="A234">
        <v>232</v>
      </c>
      <c r="B234">
        <v>2015</v>
      </c>
      <c r="C234" t="s">
        <v>219</v>
      </c>
      <c r="D234" t="s">
        <v>304</v>
      </c>
      <c r="E234" t="s">
        <v>911</v>
      </c>
      <c r="F234" t="s">
        <v>912</v>
      </c>
      <c r="G234">
        <v>1</v>
      </c>
      <c r="H234" t="s">
        <v>310</v>
      </c>
      <c r="I234">
        <v>10</v>
      </c>
      <c r="J234" s="37">
        <v>242.07</v>
      </c>
      <c r="K234">
        <v>4</v>
      </c>
    </row>
    <row r="235" spans="1:11" x14ac:dyDescent="0.35">
      <c r="A235">
        <v>233</v>
      </c>
      <c r="B235">
        <v>2015</v>
      </c>
      <c r="C235" t="s">
        <v>219</v>
      </c>
      <c r="D235" t="s">
        <v>304</v>
      </c>
      <c r="E235" t="s">
        <v>914</v>
      </c>
      <c r="F235" t="s">
        <v>915</v>
      </c>
      <c r="G235">
        <v>1</v>
      </c>
      <c r="H235" t="s">
        <v>310</v>
      </c>
      <c r="I235">
        <v>10</v>
      </c>
      <c r="J235" s="37">
        <v>242.29</v>
      </c>
      <c r="K235">
        <v>4</v>
      </c>
    </row>
    <row r="236" spans="1:11" x14ac:dyDescent="0.35">
      <c r="A236">
        <v>234</v>
      </c>
      <c r="B236">
        <v>2015</v>
      </c>
      <c r="C236" t="s">
        <v>219</v>
      </c>
      <c r="D236" t="s">
        <v>304</v>
      </c>
      <c r="E236" t="s">
        <v>909</v>
      </c>
      <c r="F236" t="s">
        <v>910</v>
      </c>
      <c r="G236">
        <v>1</v>
      </c>
      <c r="H236" t="s">
        <v>310</v>
      </c>
      <c r="I236">
        <v>10</v>
      </c>
      <c r="J236" s="37">
        <v>242.37</v>
      </c>
      <c r="K236">
        <v>4</v>
      </c>
    </row>
    <row r="237" spans="1:11" x14ac:dyDescent="0.35">
      <c r="A237">
        <v>235</v>
      </c>
      <c r="B237">
        <v>2015</v>
      </c>
      <c r="C237" t="s">
        <v>219</v>
      </c>
      <c r="D237" t="s">
        <v>304</v>
      </c>
      <c r="E237" t="s">
        <v>900</v>
      </c>
      <c r="F237" t="s">
        <v>901</v>
      </c>
      <c r="G237">
        <v>1</v>
      </c>
      <c r="H237" t="s">
        <v>310</v>
      </c>
      <c r="I237">
        <v>10</v>
      </c>
      <c r="J237" s="37">
        <v>243.94</v>
      </c>
      <c r="K237">
        <v>4</v>
      </c>
    </row>
    <row r="238" spans="1:11" x14ac:dyDescent="0.35">
      <c r="A238">
        <v>236</v>
      </c>
      <c r="B238">
        <v>2015</v>
      </c>
      <c r="C238" t="s">
        <v>219</v>
      </c>
      <c r="D238" t="s">
        <v>951</v>
      </c>
      <c r="E238" t="s">
        <v>967</v>
      </c>
      <c r="F238" t="s">
        <v>968</v>
      </c>
      <c r="G238">
        <v>2</v>
      </c>
      <c r="H238" t="s">
        <v>310</v>
      </c>
      <c r="I238">
        <v>10</v>
      </c>
      <c r="J238" s="37">
        <v>244.08</v>
      </c>
      <c r="K238">
        <v>2</v>
      </c>
    </row>
    <row r="239" spans="1:11" x14ac:dyDescent="0.35">
      <c r="A239">
        <v>237</v>
      </c>
      <c r="B239">
        <v>2015</v>
      </c>
      <c r="C239" t="s">
        <v>219</v>
      </c>
      <c r="D239" t="s">
        <v>304</v>
      </c>
      <c r="E239" t="s">
        <v>898</v>
      </c>
      <c r="F239" t="s">
        <v>899</v>
      </c>
      <c r="G239">
        <v>1</v>
      </c>
      <c r="H239" t="s">
        <v>310</v>
      </c>
      <c r="I239">
        <v>10</v>
      </c>
      <c r="J239" s="37">
        <v>244.51</v>
      </c>
      <c r="K239">
        <v>4</v>
      </c>
    </row>
    <row r="240" spans="1:11" x14ac:dyDescent="0.35">
      <c r="A240">
        <v>238</v>
      </c>
      <c r="B240">
        <v>2015</v>
      </c>
      <c r="C240" t="s">
        <v>219</v>
      </c>
      <c r="D240" t="s">
        <v>951</v>
      </c>
      <c r="E240" t="s">
        <v>973</v>
      </c>
      <c r="F240" t="s">
        <v>278</v>
      </c>
      <c r="G240">
        <v>2</v>
      </c>
      <c r="H240" t="s">
        <v>310</v>
      </c>
      <c r="I240">
        <v>10</v>
      </c>
      <c r="J240" s="37">
        <v>247.51</v>
      </c>
      <c r="K240">
        <v>2</v>
      </c>
    </row>
    <row r="241" spans="1:11" x14ac:dyDescent="0.35">
      <c r="A241">
        <v>239</v>
      </c>
      <c r="B241">
        <v>2015</v>
      </c>
      <c r="C241" t="s">
        <v>219</v>
      </c>
      <c r="D241" t="s">
        <v>304</v>
      </c>
      <c r="E241" t="s">
        <v>907</v>
      </c>
      <c r="F241" t="s">
        <v>908</v>
      </c>
      <c r="G241">
        <v>1</v>
      </c>
      <c r="H241" t="s">
        <v>310</v>
      </c>
      <c r="I241">
        <v>10</v>
      </c>
      <c r="J241" s="37">
        <v>249.86</v>
      </c>
      <c r="K241">
        <v>4</v>
      </c>
    </row>
    <row r="242" spans="1:11" x14ac:dyDescent="0.35">
      <c r="A242">
        <v>240</v>
      </c>
      <c r="B242">
        <v>2015</v>
      </c>
      <c r="C242" t="s">
        <v>219</v>
      </c>
      <c r="D242" t="s">
        <v>304</v>
      </c>
      <c r="E242" t="s">
        <v>905</v>
      </c>
      <c r="F242" t="s">
        <v>906</v>
      </c>
      <c r="G242">
        <v>1</v>
      </c>
      <c r="H242" t="s">
        <v>310</v>
      </c>
      <c r="I242">
        <v>10</v>
      </c>
      <c r="J242" s="37">
        <v>255.11</v>
      </c>
      <c r="K242">
        <v>4</v>
      </c>
    </row>
    <row r="243" spans="1:11" x14ac:dyDescent="0.35">
      <c r="A243">
        <v>241</v>
      </c>
      <c r="B243">
        <v>2015</v>
      </c>
      <c r="C243" t="s">
        <v>219</v>
      </c>
      <c r="D243" t="s">
        <v>245</v>
      </c>
      <c r="E243" t="s">
        <v>300</v>
      </c>
      <c r="F243" t="s">
        <v>301</v>
      </c>
      <c r="G243">
        <v>2</v>
      </c>
      <c r="H243" t="s">
        <v>310</v>
      </c>
      <c r="I243">
        <v>10</v>
      </c>
      <c r="J243" s="37">
        <v>265</v>
      </c>
      <c r="K243">
        <v>1</v>
      </c>
    </row>
    <row r="244" spans="1:11" x14ac:dyDescent="0.35">
      <c r="A244">
        <v>242</v>
      </c>
      <c r="B244">
        <v>2015</v>
      </c>
      <c r="C244" t="s">
        <v>219</v>
      </c>
      <c r="D244" t="s">
        <v>245</v>
      </c>
      <c r="E244" t="s">
        <v>302</v>
      </c>
      <c r="F244" t="s">
        <v>303</v>
      </c>
      <c r="G244">
        <v>2</v>
      </c>
      <c r="H244" t="s">
        <v>310</v>
      </c>
      <c r="I244">
        <v>10</v>
      </c>
      <c r="J244" s="37">
        <v>274</v>
      </c>
      <c r="K244">
        <v>1</v>
      </c>
    </row>
    <row r="245" spans="1:11" x14ac:dyDescent="0.35">
      <c r="A245">
        <v>243</v>
      </c>
      <c r="B245">
        <v>2015</v>
      </c>
      <c r="C245" t="s">
        <v>219</v>
      </c>
      <c r="D245" t="s">
        <v>260</v>
      </c>
      <c r="E245" t="s">
        <v>1115</v>
      </c>
      <c r="F245" t="s">
        <v>851</v>
      </c>
      <c r="G245">
        <v>2</v>
      </c>
      <c r="H245" t="s">
        <v>310</v>
      </c>
      <c r="I245">
        <v>10</v>
      </c>
      <c r="J245" s="37">
        <v>278.83999999999997</v>
      </c>
      <c r="K245">
        <v>1</v>
      </c>
    </row>
    <row r="246" spans="1:11" x14ac:dyDescent="0.35">
      <c r="A246">
        <v>244</v>
      </c>
      <c r="B246">
        <v>2015</v>
      </c>
      <c r="C246" t="s">
        <v>219</v>
      </c>
      <c r="D246" t="s">
        <v>245</v>
      </c>
      <c r="E246" t="s">
        <v>298</v>
      </c>
      <c r="F246" t="s">
        <v>299</v>
      </c>
      <c r="G246">
        <v>2</v>
      </c>
      <c r="H246" t="s">
        <v>310</v>
      </c>
      <c r="I246">
        <v>10</v>
      </c>
      <c r="J246" s="37">
        <v>285</v>
      </c>
      <c r="K246">
        <v>1</v>
      </c>
    </row>
    <row r="247" spans="1:11" x14ac:dyDescent="0.35">
      <c r="A247">
        <v>245</v>
      </c>
      <c r="B247">
        <v>2015</v>
      </c>
      <c r="C247" t="s">
        <v>219</v>
      </c>
      <c r="D247" t="s">
        <v>260</v>
      </c>
      <c r="E247" t="s">
        <v>1114</v>
      </c>
      <c r="F247" t="s">
        <v>850</v>
      </c>
      <c r="G247">
        <v>2</v>
      </c>
      <c r="H247" t="s">
        <v>310</v>
      </c>
      <c r="I247">
        <v>10</v>
      </c>
      <c r="J247" s="37">
        <v>294.18</v>
      </c>
      <c r="K247">
        <v>1</v>
      </c>
    </row>
    <row r="248" spans="1:11" x14ac:dyDescent="0.35">
      <c r="A248">
        <v>246</v>
      </c>
      <c r="B248">
        <v>2015</v>
      </c>
      <c r="C248" t="s">
        <v>219</v>
      </c>
      <c r="D248" t="s">
        <v>260</v>
      </c>
      <c r="E248" t="s">
        <v>1113</v>
      </c>
      <c r="F248" t="s">
        <v>849</v>
      </c>
      <c r="G248">
        <v>2</v>
      </c>
      <c r="H248" t="s">
        <v>310</v>
      </c>
      <c r="I248">
        <v>10</v>
      </c>
      <c r="J248" s="37">
        <v>295.85000000000002</v>
      </c>
      <c r="K248">
        <v>1</v>
      </c>
    </row>
    <row r="249" spans="1:11" x14ac:dyDescent="0.35">
      <c r="A249">
        <v>247</v>
      </c>
      <c r="B249">
        <v>2015</v>
      </c>
      <c r="C249" t="s">
        <v>219</v>
      </c>
      <c r="D249" t="s">
        <v>984</v>
      </c>
      <c r="E249" t="s">
        <v>1044</v>
      </c>
      <c r="F249" t="s">
        <v>1045</v>
      </c>
      <c r="G249">
        <v>2</v>
      </c>
      <c r="H249" t="s">
        <v>310</v>
      </c>
      <c r="I249">
        <v>11</v>
      </c>
      <c r="J249" s="37">
        <v>237.69</v>
      </c>
      <c r="K249">
        <v>1</v>
      </c>
    </row>
    <row r="250" spans="1:11" x14ac:dyDescent="0.35">
      <c r="A250">
        <v>248</v>
      </c>
      <c r="B250">
        <v>2015</v>
      </c>
      <c r="C250" t="s">
        <v>219</v>
      </c>
      <c r="D250" t="s">
        <v>844</v>
      </c>
      <c r="E250" t="s">
        <v>295</v>
      </c>
      <c r="F250" t="s">
        <v>1088</v>
      </c>
      <c r="G250">
        <v>3</v>
      </c>
      <c r="H250" t="s">
        <v>310</v>
      </c>
      <c r="I250">
        <v>11</v>
      </c>
      <c r="J250" s="37">
        <v>244.43</v>
      </c>
      <c r="K250">
        <v>1</v>
      </c>
    </row>
    <row r="251" spans="1:11" x14ac:dyDescent="0.35">
      <c r="A251">
        <v>249</v>
      </c>
      <c r="B251">
        <v>2015</v>
      </c>
      <c r="C251" t="s">
        <v>219</v>
      </c>
      <c r="D251" t="s">
        <v>984</v>
      </c>
      <c r="E251" t="s">
        <v>1060</v>
      </c>
      <c r="F251" t="s">
        <v>1061</v>
      </c>
      <c r="G251">
        <v>2</v>
      </c>
      <c r="H251" t="s">
        <v>310</v>
      </c>
      <c r="I251">
        <v>11</v>
      </c>
      <c r="J251" s="37">
        <v>245.16</v>
      </c>
      <c r="K251">
        <v>1</v>
      </c>
    </row>
    <row r="252" spans="1:11" x14ac:dyDescent="0.35">
      <c r="A252">
        <v>250</v>
      </c>
      <c r="B252">
        <v>2015</v>
      </c>
      <c r="C252" t="s">
        <v>219</v>
      </c>
      <c r="D252" t="s">
        <v>951</v>
      </c>
      <c r="E252" t="s">
        <v>969</v>
      </c>
      <c r="F252" t="s">
        <v>970</v>
      </c>
      <c r="G252">
        <v>2</v>
      </c>
      <c r="H252" t="s">
        <v>310</v>
      </c>
      <c r="I252">
        <v>11</v>
      </c>
      <c r="J252" s="37">
        <v>266.83</v>
      </c>
      <c r="K252">
        <v>2</v>
      </c>
    </row>
    <row r="253" spans="1:11" x14ac:dyDescent="0.35">
      <c r="A253">
        <v>251</v>
      </c>
      <c r="B253">
        <v>2015</v>
      </c>
      <c r="C253" t="s">
        <v>219</v>
      </c>
      <c r="D253" t="s">
        <v>951</v>
      </c>
      <c r="E253" t="s">
        <v>961</v>
      </c>
      <c r="F253" t="s">
        <v>962</v>
      </c>
      <c r="G253">
        <v>2</v>
      </c>
      <c r="H253" t="s">
        <v>310</v>
      </c>
      <c r="I253">
        <v>11</v>
      </c>
      <c r="J253" s="37">
        <v>269.02999999999997</v>
      </c>
      <c r="K253">
        <v>2</v>
      </c>
    </row>
    <row r="254" spans="1:11" x14ac:dyDescent="0.35">
      <c r="A254">
        <v>252</v>
      </c>
      <c r="B254">
        <v>2015</v>
      </c>
      <c r="C254" t="s">
        <v>219</v>
      </c>
      <c r="D254" t="s">
        <v>951</v>
      </c>
      <c r="E254" t="s">
        <v>963</v>
      </c>
      <c r="F254" t="s">
        <v>964</v>
      </c>
      <c r="G254">
        <v>2</v>
      </c>
      <c r="H254" t="s">
        <v>310</v>
      </c>
      <c r="I254">
        <v>11</v>
      </c>
      <c r="J254" s="37">
        <v>284.07</v>
      </c>
      <c r="K254">
        <v>2</v>
      </c>
    </row>
    <row r="255" spans="1:11" x14ac:dyDescent="0.35">
      <c r="A255">
        <v>253</v>
      </c>
      <c r="B255">
        <v>2015</v>
      </c>
      <c r="C255" t="s">
        <v>219</v>
      </c>
      <c r="D255" t="s">
        <v>951</v>
      </c>
      <c r="E255" t="s">
        <v>965</v>
      </c>
      <c r="F255" t="s">
        <v>966</v>
      </c>
      <c r="G255">
        <v>2</v>
      </c>
      <c r="H255" t="s">
        <v>310</v>
      </c>
      <c r="I255">
        <v>11</v>
      </c>
      <c r="J255" s="37">
        <v>286.44</v>
      </c>
      <c r="K255">
        <v>2</v>
      </c>
    </row>
    <row r="256" spans="1:11" x14ac:dyDescent="0.35">
      <c r="A256">
        <v>254</v>
      </c>
      <c r="B256">
        <v>2015</v>
      </c>
      <c r="C256" t="s">
        <v>219</v>
      </c>
      <c r="D256" t="s">
        <v>951</v>
      </c>
      <c r="E256" t="s">
        <v>967</v>
      </c>
      <c r="F256" t="s">
        <v>968</v>
      </c>
      <c r="G256">
        <v>2</v>
      </c>
      <c r="H256" t="s">
        <v>310</v>
      </c>
      <c r="I256">
        <v>11</v>
      </c>
      <c r="J256" s="37">
        <v>295.07</v>
      </c>
      <c r="K256">
        <v>2</v>
      </c>
    </row>
    <row r="257" spans="1:11" x14ac:dyDescent="0.35">
      <c r="A257">
        <v>255</v>
      </c>
      <c r="B257">
        <v>2015</v>
      </c>
      <c r="C257" t="s">
        <v>219</v>
      </c>
      <c r="D257" t="s">
        <v>951</v>
      </c>
      <c r="E257" t="s">
        <v>973</v>
      </c>
      <c r="F257" t="s">
        <v>278</v>
      </c>
      <c r="G257">
        <v>2</v>
      </c>
      <c r="H257" t="s">
        <v>310</v>
      </c>
      <c r="I257">
        <v>11</v>
      </c>
      <c r="J257" s="37">
        <v>299.20999999999998</v>
      </c>
      <c r="K257">
        <v>2</v>
      </c>
    </row>
    <row r="258" spans="1:11" x14ac:dyDescent="0.35">
      <c r="A258">
        <v>256</v>
      </c>
      <c r="B258">
        <v>2015</v>
      </c>
      <c r="C258" t="s">
        <v>219</v>
      </c>
      <c r="D258" t="s">
        <v>861</v>
      </c>
      <c r="E258" t="s">
        <v>977</v>
      </c>
      <c r="F258" t="s">
        <v>978</v>
      </c>
      <c r="G258">
        <v>1</v>
      </c>
      <c r="H258" t="s">
        <v>310</v>
      </c>
      <c r="I258">
        <v>11</v>
      </c>
      <c r="J258" s="37">
        <v>299.72000000000003</v>
      </c>
      <c r="K258">
        <v>1</v>
      </c>
    </row>
    <row r="259" spans="1:11" x14ac:dyDescent="0.35">
      <c r="A259">
        <v>257</v>
      </c>
      <c r="B259">
        <v>2015</v>
      </c>
      <c r="C259" t="s">
        <v>219</v>
      </c>
      <c r="D259" t="s">
        <v>260</v>
      </c>
      <c r="E259" t="s">
        <v>1115</v>
      </c>
      <c r="F259" t="s">
        <v>851</v>
      </c>
      <c r="G259">
        <v>2</v>
      </c>
      <c r="H259" t="s">
        <v>310</v>
      </c>
      <c r="I259">
        <v>11</v>
      </c>
      <c r="J259" s="37">
        <v>302.23</v>
      </c>
      <c r="K259">
        <v>1</v>
      </c>
    </row>
    <row r="260" spans="1:11" x14ac:dyDescent="0.35">
      <c r="A260">
        <v>258</v>
      </c>
      <c r="B260">
        <v>2015</v>
      </c>
      <c r="C260" t="s">
        <v>219</v>
      </c>
      <c r="D260" t="s">
        <v>861</v>
      </c>
      <c r="E260" t="s">
        <v>980</v>
      </c>
      <c r="F260" t="s">
        <v>218</v>
      </c>
      <c r="G260">
        <v>1</v>
      </c>
      <c r="H260" t="s">
        <v>310</v>
      </c>
      <c r="I260">
        <v>11</v>
      </c>
      <c r="J260" s="37">
        <v>312.13</v>
      </c>
      <c r="K260">
        <v>1</v>
      </c>
    </row>
    <row r="261" spans="1:11" x14ac:dyDescent="0.35">
      <c r="A261">
        <v>259</v>
      </c>
      <c r="B261">
        <v>2015</v>
      </c>
      <c r="C261" t="s">
        <v>219</v>
      </c>
      <c r="D261" t="s">
        <v>861</v>
      </c>
      <c r="E261" t="s">
        <v>975</v>
      </c>
      <c r="F261" t="s">
        <v>976</v>
      </c>
      <c r="G261">
        <v>1</v>
      </c>
      <c r="H261" t="s">
        <v>310</v>
      </c>
      <c r="I261">
        <v>11</v>
      </c>
      <c r="J261" s="37">
        <v>314.58999999999997</v>
      </c>
      <c r="K261">
        <v>1</v>
      </c>
    </row>
    <row r="262" spans="1:11" x14ac:dyDescent="0.35">
      <c r="A262">
        <v>260</v>
      </c>
      <c r="B262">
        <v>2015</v>
      </c>
      <c r="C262" t="s">
        <v>219</v>
      </c>
      <c r="D262" t="s">
        <v>260</v>
      </c>
      <c r="E262" t="s">
        <v>1114</v>
      </c>
      <c r="F262" t="s">
        <v>850</v>
      </c>
      <c r="G262">
        <v>2</v>
      </c>
      <c r="H262" t="s">
        <v>310</v>
      </c>
      <c r="I262">
        <v>11</v>
      </c>
      <c r="J262" s="37">
        <v>318.85000000000002</v>
      </c>
      <c r="K262">
        <v>1</v>
      </c>
    </row>
    <row r="263" spans="1:11" x14ac:dyDescent="0.35">
      <c r="A263">
        <v>261</v>
      </c>
      <c r="B263">
        <v>2015</v>
      </c>
      <c r="C263" t="s">
        <v>219</v>
      </c>
      <c r="D263" t="s">
        <v>260</v>
      </c>
      <c r="E263" t="s">
        <v>1113</v>
      </c>
      <c r="F263" t="s">
        <v>849</v>
      </c>
      <c r="G263">
        <v>2</v>
      </c>
      <c r="H263" t="s">
        <v>310</v>
      </c>
      <c r="I263">
        <v>11</v>
      </c>
      <c r="J263" s="37">
        <v>320.67</v>
      </c>
      <c r="K263">
        <v>1</v>
      </c>
    </row>
    <row r="264" spans="1:11" x14ac:dyDescent="0.35">
      <c r="A264">
        <v>262</v>
      </c>
      <c r="B264">
        <v>2015</v>
      </c>
      <c r="C264" t="s">
        <v>219</v>
      </c>
      <c r="D264" t="s">
        <v>984</v>
      </c>
      <c r="E264" t="s">
        <v>1040</v>
      </c>
      <c r="F264" t="s">
        <v>1041</v>
      </c>
      <c r="G264">
        <v>2</v>
      </c>
      <c r="H264" t="s">
        <v>310</v>
      </c>
      <c r="I264">
        <v>12</v>
      </c>
      <c r="J264" s="37">
        <v>226.43</v>
      </c>
      <c r="K264">
        <v>1</v>
      </c>
    </row>
    <row r="265" spans="1:11" x14ac:dyDescent="0.35">
      <c r="A265">
        <v>263</v>
      </c>
      <c r="B265">
        <v>2015</v>
      </c>
      <c r="C265" t="s">
        <v>219</v>
      </c>
      <c r="D265" t="s">
        <v>951</v>
      </c>
      <c r="E265" t="s">
        <v>969</v>
      </c>
      <c r="F265" t="s">
        <v>970</v>
      </c>
      <c r="G265">
        <v>2</v>
      </c>
      <c r="H265" t="s">
        <v>310</v>
      </c>
      <c r="I265">
        <v>12</v>
      </c>
      <c r="J265" s="37">
        <v>229.63</v>
      </c>
      <c r="K265">
        <v>2</v>
      </c>
    </row>
    <row r="266" spans="1:11" x14ac:dyDescent="0.35">
      <c r="A266">
        <v>264</v>
      </c>
      <c r="B266">
        <v>2015</v>
      </c>
      <c r="C266" t="s">
        <v>219</v>
      </c>
      <c r="D266" t="s">
        <v>951</v>
      </c>
      <c r="E266" t="s">
        <v>961</v>
      </c>
      <c r="F266" t="s">
        <v>962</v>
      </c>
      <c r="G266">
        <v>2</v>
      </c>
      <c r="H266" t="s">
        <v>310</v>
      </c>
      <c r="I266">
        <v>12</v>
      </c>
      <c r="J266" s="37">
        <v>231.52</v>
      </c>
      <c r="K266">
        <v>2</v>
      </c>
    </row>
    <row r="267" spans="1:11" x14ac:dyDescent="0.35">
      <c r="A267">
        <v>265</v>
      </c>
      <c r="B267">
        <v>2015</v>
      </c>
      <c r="C267" t="s">
        <v>219</v>
      </c>
      <c r="D267" t="s">
        <v>984</v>
      </c>
      <c r="E267" t="s">
        <v>1056</v>
      </c>
      <c r="F267" t="s">
        <v>1057</v>
      </c>
      <c r="G267">
        <v>2</v>
      </c>
      <c r="H267" t="s">
        <v>310</v>
      </c>
      <c r="I267">
        <v>12</v>
      </c>
      <c r="J267" s="37">
        <v>233.54</v>
      </c>
      <c r="K267">
        <v>1</v>
      </c>
    </row>
    <row r="268" spans="1:11" x14ac:dyDescent="0.35">
      <c r="A268">
        <v>266</v>
      </c>
      <c r="B268">
        <v>2015</v>
      </c>
      <c r="C268" t="s">
        <v>219</v>
      </c>
      <c r="D268" t="s">
        <v>951</v>
      </c>
      <c r="E268" t="s">
        <v>963</v>
      </c>
      <c r="F268" t="s">
        <v>964</v>
      </c>
      <c r="G268">
        <v>2</v>
      </c>
      <c r="H268" t="s">
        <v>310</v>
      </c>
      <c r="I268">
        <v>12</v>
      </c>
      <c r="J268" s="37">
        <v>244.47</v>
      </c>
      <c r="K268">
        <v>2</v>
      </c>
    </row>
    <row r="269" spans="1:11" x14ac:dyDescent="0.35">
      <c r="A269">
        <v>267</v>
      </c>
      <c r="B269">
        <v>2015</v>
      </c>
      <c r="C269" t="s">
        <v>219</v>
      </c>
      <c r="D269" t="s">
        <v>951</v>
      </c>
      <c r="E269" t="s">
        <v>965</v>
      </c>
      <c r="F269" t="s">
        <v>966</v>
      </c>
      <c r="G269">
        <v>2</v>
      </c>
      <c r="H269" t="s">
        <v>310</v>
      </c>
      <c r="I269">
        <v>12</v>
      </c>
      <c r="J269" s="37">
        <v>246.5</v>
      </c>
      <c r="K269">
        <v>2</v>
      </c>
    </row>
    <row r="270" spans="1:11" x14ac:dyDescent="0.35">
      <c r="A270">
        <v>268</v>
      </c>
      <c r="B270">
        <v>2015</v>
      </c>
      <c r="C270" t="s">
        <v>219</v>
      </c>
      <c r="D270" t="s">
        <v>844</v>
      </c>
      <c r="E270" t="s">
        <v>1091</v>
      </c>
      <c r="F270" t="s">
        <v>1092</v>
      </c>
      <c r="G270">
        <v>2</v>
      </c>
      <c r="H270" t="s">
        <v>310</v>
      </c>
      <c r="I270">
        <v>12</v>
      </c>
      <c r="J270" s="37">
        <v>252.98</v>
      </c>
      <c r="K270">
        <v>1</v>
      </c>
    </row>
    <row r="271" spans="1:11" x14ac:dyDescent="0.35">
      <c r="A271">
        <v>269</v>
      </c>
      <c r="B271">
        <v>2015</v>
      </c>
      <c r="C271" t="s">
        <v>219</v>
      </c>
      <c r="D271" t="s">
        <v>951</v>
      </c>
      <c r="E271" t="s">
        <v>967</v>
      </c>
      <c r="F271" t="s">
        <v>968</v>
      </c>
      <c r="G271">
        <v>2</v>
      </c>
      <c r="H271" t="s">
        <v>310</v>
      </c>
      <c r="I271">
        <v>12</v>
      </c>
      <c r="J271" s="37">
        <v>253.94</v>
      </c>
      <c r="K271">
        <v>2</v>
      </c>
    </row>
    <row r="272" spans="1:11" x14ac:dyDescent="0.35">
      <c r="A272">
        <v>270</v>
      </c>
      <c r="B272">
        <v>2015</v>
      </c>
      <c r="C272" t="s">
        <v>219</v>
      </c>
      <c r="D272" t="s">
        <v>951</v>
      </c>
      <c r="E272" t="s">
        <v>973</v>
      </c>
      <c r="F272" t="s">
        <v>278</v>
      </c>
      <c r="G272">
        <v>2</v>
      </c>
      <c r="H272" t="s">
        <v>310</v>
      </c>
      <c r="I272">
        <v>12</v>
      </c>
      <c r="J272" s="37">
        <v>257.5</v>
      </c>
      <c r="K272">
        <v>2</v>
      </c>
    </row>
    <row r="273" spans="1:11" x14ac:dyDescent="0.35">
      <c r="A273">
        <v>271</v>
      </c>
      <c r="B273">
        <v>2015</v>
      </c>
      <c r="C273" t="s">
        <v>219</v>
      </c>
      <c r="D273" t="s">
        <v>844</v>
      </c>
      <c r="E273" t="s">
        <v>295</v>
      </c>
      <c r="F273" t="s">
        <v>1088</v>
      </c>
      <c r="G273">
        <v>3</v>
      </c>
      <c r="H273" t="s">
        <v>310</v>
      </c>
      <c r="I273">
        <v>12</v>
      </c>
      <c r="J273" s="37">
        <v>267.37</v>
      </c>
      <c r="K273">
        <v>1</v>
      </c>
    </row>
    <row r="274" spans="1:11" x14ac:dyDescent="0.35">
      <c r="A274">
        <v>272</v>
      </c>
      <c r="B274">
        <v>2015</v>
      </c>
      <c r="C274" t="s">
        <v>219</v>
      </c>
      <c r="D274" t="s">
        <v>260</v>
      </c>
      <c r="E274" t="s">
        <v>1115</v>
      </c>
      <c r="F274" t="s">
        <v>851</v>
      </c>
      <c r="G274">
        <v>2</v>
      </c>
      <c r="H274" t="s">
        <v>310</v>
      </c>
      <c r="I274">
        <v>12</v>
      </c>
      <c r="J274" s="37">
        <v>268.35000000000002</v>
      </c>
      <c r="K274">
        <v>1</v>
      </c>
    </row>
    <row r="275" spans="1:11" x14ac:dyDescent="0.35">
      <c r="A275">
        <v>273</v>
      </c>
      <c r="B275">
        <v>2015</v>
      </c>
      <c r="C275" t="s">
        <v>219</v>
      </c>
      <c r="D275" t="s">
        <v>260</v>
      </c>
      <c r="E275" t="s">
        <v>1114</v>
      </c>
      <c r="F275" t="s">
        <v>850</v>
      </c>
      <c r="G275">
        <v>2</v>
      </c>
      <c r="H275" t="s">
        <v>310</v>
      </c>
      <c r="I275">
        <v>12</v>
      </c>
      <c r="J275" s="37">
        <v>283.11</v>
      </c>
      <c r="K275">
        <v>1</v>
      </c>
    </row>
    <row r="276" spans="1:11" x14ac:dyDescent="0.35">
      <c r="A276">
        <v>274</v>
      </c>
      <c r="B276">
        <v>2015</v>
      </c>
      <c r="C276" t="s">
        <v>219</v>
      </c>
      <c r="D276" t="s">
        <v>260</v>
      </c>
      <c r="E276" t="s">
        <v>1113</v>
      </c>
      <c r="F276" t="s">
        <v>849</v>
      </c>
      <c r="G276">
        <v>2</v>
      </c>
      <c r="H276" t="s">
        <v>310</v>
      </c>
      <c r="I276">
        <v>12</v>
      </c>
      <c r="J276" s="37">
        <v>284.72000000000003</v>
      </c>
      <c r="K276">
        <v>1</v>
      </c>
    </row>
    <row r="277" spans="1:11" x14ac:dyDescent="0.35">
      <c r="A277">
        <v>275</v>
      </c>
      <c r="B277">
        <v>2015</v>
      </c>
      <c r="C277" t="s">
        <v>219</v>
      </c>
      <c r="D277" t="s">
        <v>861</v>
      </c>
      <c r="E277" t="s">
        <v>977</v>
      </c>
      <c r="F277" t="s">
        <v>978</v>
      </c>
      <c r="G277">
        <v>1</v>
      </c>
      <c r="H277" t="s">
        <v>310</v>
      </c>
      <c r="I277">
        <v>12</v>
      </c>
      <c r="J277" s="37">
        <v>287.77999999999997</v>
      </c>
      <c r="K277">
        <v>1</v>
      </c>
    </row>
    <row r="278" spans="1:11" x14ac:dyDescent="0.35">
      <c r="A278">
        <v>276</v>
      </c>
      <c r="B278">
        <v>2015</v>
      </c>
      <c r="C278" t="s">
        <v>219</v>
      </c>
      <c r="D278" t="s">
        <v>861</v>
      </c>
      <c r="E278" t="s">
        <v>980</v>
      </c>
      <c r="F278" t="s">
        <v>218</v>
      </c>
      <c r="G278">
        <v>1</v>
      </c>
      <c r="H278" t="s">
        <v>310</v>
      </c>
      <c r="I278">
        <v>12</v>
      </c>
      <c r="J278" s="37">
        <v>299.7</v>
      </c>
      <c r="K278">
        <v>1</v>
      </c>
    </row>
    <row r="279" spans="1:11" x14ac:dyDescent="0.35">
      <c r="A279">
        <v>277</v>
      </c>
      <c r="B279">
        <v>2015</v>
      </c>
      <c r="C279" t="s">
        <v>219</v>
      </c>
      <c r="D279" t="s">
        <v>861</v>
      </c>
      <c r="E279" t="s">
        <v>975</v>
      </c>
      <c r="F279" t="s">
        <v>976</v>
      </c>
      <c r="G279">
        <v>1</v>
      </c>
      <c r="H279" t="s">
        <v>310</v>
      </c>
      <c r="I279">
        <v>12</v>
      </c>
      <c r="J279" s="37">
        <v>302.06</v>
      </c>
      <c r="K279">
        <v>1</v>
      </c>
    </row>
    <row r="280" spans="1:11" x14ac:dyDescent="0.35">
      <c r="A280">
        <v>278</v>
      </c>
      <c r="B280">
        <v>2015</v>
      </c>
      <c r="C280" t="s">
        <v>219</v>
      </c>
      <c r="D280" t="s">
        <v>844</v>
      </c>
      <c r="E280" t="s">
        <v>308</v>
      </c>
      <c r="F280" t="s">
        <v>1089</v>
      </c>
      <c r="G280">
        <v>2</v>
      </c>
      <c r="H280" t="s">
        <v>310</v>
      </c>
      <c r="I280">
        <v>13</v>
      </c>
      <c r="J280" s="37">
        <v>229.61</v>
      </c>
      <c r="K280">
        <v>1</v>
      </c>
    </row>
    <row r="281" spans="1:11" x14ac:dyDescent="0.35">
      <c r="A281">
        <v>279</v>
      </c>
      <c r="B281">
        <v>2015</v>
      </c>
      <c r="C281" t="s">
        <v>219</v>
      </c>
      <c r="D281" t="s">
        <v>844</v>
      </c>
      <c r="E281" t="s">
        <v>295</v>
      </c>
      <c r="F281" t="s">
        <v>1088</v>
      </c>
      <c r="G281">
        <v>3</v>
      </c>
      <c r="H281" t="s">
        <v>310</v>
      </c>
      <c r="I281">
        <v>13</v>
      </c>
      <c r="J281" s="37">
        <v>240.35</v>
      </c>
      <c r="K281">
        <v>1</v>
      </c>
    </row>
    <row r="282" spans="1:11" x14ac:dyDescent="0.35">
      <c r="A282">
        <v>280</v>
      </c>
      <c r="B282">
        <v>2015</v>
      </c>
      <c r="C282" t="s">
        <v>219</v>
      </c>
      <c r="D282" t="s">
        <v>951</v>
      </c>
      <c r="E282" t="s">
        <v>969</v>
      </c>
      <c r="F282" t="s">
        <v>970</v>
      </c>
      <c r="G282">
        <v>2</v>
      </c>
      <c r="H282" t="s">
        <v>310</v>
      </c>
      <c r="I282">
        <v>13</v>
      </c>
      <c r="J282" s="37">
        <v>255.68</v>
      </c>
      <c r="K282">
        <v>2</v>
      </c>
    </row>
    <row r="283" spans="1:11" x14ac:dyDescent="0.35">
      <c r="A283">
        <v>281</v>
      </c>
      <c r="B283">
        <v>2015</v>
      </c>
      <c r="C283" t="s">
        <v>219</v>
      </c>
      <c r="D283" t="s">
        <v>951</v>
      </c>
      <c r="E283" t="s">
        <v>961</v>
      </c>
      <c r="F283" t="s">
        <v>962</v>
      </c>
      <c r="G283">
        <v>2</v>
      </c>
      <c r="H283" t="s">
        <v>310</v>
      </c>
      <c r="I283">
        <v>13</v>
      </c>
      <c r="J283" s="37">
        <v>257.8</v>
      </c>
      <c r="K283">
        <v>2</v>
      </c>
    </row>
    <row r="284" spans="1:11" x14ac:dyDescent="0.35">
      <c r="A284">
        <v>282</v>
      </c>
      <c r="B284">
        <v>2015</v>
      </c>
      <c r="C284" t="s">
        <v>219</v>
      </c>
      <c r="D284" t="s">
        <v>245</v>
      </c>
      <c r="E284" t="s">
        <v>300</v>
      </c>
      <c r="F284" t="s">
        <v>301</v>
      </c>
      <c r="G284">
        <v>2</v>
      </c>
      <c r="H284" t="s">
        <v>310</v>
      </c>
      <c r="I284">
        <v>13</v>
      </c>
      <c r="J284" s="37">
        <v>265</v>
      </c>
      <c r="K284">
        <v>1</v>
      </c>
    </row>
    <row r="285" spans="1:11" x14ac:dyDescent="0.35">
      <c r="A285">
        <v>283</v>
      </c>
      <c r="B285">
        <v>2015</v>
      </c>
      <c r="C285" t="s">
        <v>219</v>
      </c>
      <c r="D285" t="s">
        <v>304</v>
      </c>
      <c r="E285" t="s">
        <v>307</v>
      </c>
      <c r="F285" t="s">
        <v>904</v>
      </c>
      <c r="G285">
        <v>1</v>
      </c>
      <c r="H285" t="s">
        <v>310</v>
      </c>
      <c r="I285">
        <v>13</v>
      </c>
      <c r="J285" s="37">
        <v>268.76</v>
      </c>
      <c r="K285">
        <v>4</v>
      </c>
    </row>
    <row r="286" spans="1:11" x14ac:dyDescent="0.35">
      <c r="A286">
        <v>284</v>
      </c>
      <c r="B286">
        <v>2015</v>
      </c>
      <c r="C286" t="s">
        <v>219</v>
      </c>
      <c r="D286" t="s">
        <v>304</v>
      </c>
      <c r="E286" t="s">
        <v>916</v>
      </c>
      <c r="F286" t="s">
        <v>917</v>
      </c>
      <c r="G286">
        <v>1</v>
      </c>
      <c r="H286" t="s">
        <v>310</v>
      </c>
      <c r="I286">
        <v>13</v>
      </c>
      <c r="J286" s="37">
        <v>268.76</v>
      </c>
      <c r="K286">
        <v>4</v>
      </c>
    </row>
    <row r="287" spans="1:11" x14ac:dyDescent="0.35">
      <c r="A287">
        <v>285</v>
      </c>
      <c r="B287">
        <v>2015</v>
      </c>
      <c r="C287" t="s">
        <v>219</v>
      </c>
      <c r="D287" t="s">
        <v>304</v>
      </c>
      <c r="E287" t="s">
        <v>902</v>
      </c>
      <c r="F287" t="s">
        <v>903</v>
      </c>
      <c r="G287">
        <v>1</v>
      </c>
      <c r="H287" t="s">
        <v>310</v>
      </c>
      <c r="I287">
        <v>13</v>
      </c>
      <c r="J287" s="37">
        <v>268.83999999999997</v>
      </c>
      <c r="K287">
        <v>4</v>
      </c>
    </row>
    <row r="288" spans="1:11" x14ac:dyDescent="0.35">
      <c r="A288">
        <v>286</v>
      </c>
      <c r="B288">
        <v>2015</v>
      </c>
      <c r="C288" t="s">
        <v>219</v>
      </c>
      <c r="D288" t="s">
        <v>304</v>
      </c>
      <c r="E288" t="s">
        <v>305</v>
      </c>
      <c r="F288" t="s">
        <v>913</v>
      </c>
      <c r="G288">
        <v>1</v>
      </c>
      <c r="H288" t="s">
        <v>310</v>
      </c>
      <c r="I288">
        <v>13</v>
      </c>
      <c r="J288" s="37">
        <v>268.93</v>
      </c>
      <c r="K288">
        <v>4</v>
      </c>
    </row>
    <row r="289" spans="1:11" x14ac:dyDescent="0.35">
      <c r="A289">
        <v>287</v>
      </c>
      <c r="B289">
        <v>2015</v>
      </c>
      <c r="C289" t="s">
        <v>219</v>
      </c>
      <c r="D289" t="s">
        <v>304</v>
      </c>
      <c r="E289" t="s">
        <v>911</v>
      </c>
      <c r="F289" t="s">
        <v>912</v>
      </c>
      <c r="G289">
        <v>1</v>
      </c>
      <c r="H289" t="s">
        <v>310</v>
      </c>
      <c r="I289">
        <v>13</v>
      </c>
      <c r="J289" s="37">
        <v>268.97000000000003</v>
      </c>
      <c r="K289">
        <v>4</v>
      </c>
    </row>
    <row r="290" spans="1:11" x14ac:dyDescent="0.35">
      <c r="A290">
        <v>288</v>
      </c>
      <c r="B290">
        <v>2015</v>
      </c>
      <c r="C290" t="s">
        <v>219</v>
      </c>
      <c r="D290" t="s">
        <v>304</v>
      </c>
      <c r="E290" t="s">
        <v>914</v>
      </c>
      <c r="F290" t="s">
        <v>915</v>
      </c>
      <c r="G290">
        <v>1</v>
      </c>
      <c r="H290" t="s">
        <v>310</v>
      </c>
      <c r="I290">
        <v>13</v>
      </c>
      <c r="J290" s="37">
        <v>269.20999999999998</v>
      </c>
      <c r="K290">
        <v>4</v>
      </c>
    </row>
    <row r="291" spans="1:11" x14ac:dyDescent="0.35">
      <c r="A291">
        <v>289</v>
      </c>
      <c r="B291">
        <v>2015</v>
      </c>
      <c r="C291" t="s">
        <v>219</v>
      </c>
      <c r="D291" t="s">
        <v>304</v>
      </c>
      <c r="E291" t="s">
        <v>909</v>
      </c>
      <c r="F291" t="s">
        <v>910</v>
      </c>
      <c r="G291">
        <v>1</v>
      </c>
      <c r="H291" t="s">
        <v>310</v>
      </c>
      <c r="I291">
        <v>13</v>
      </c>
      <c r="J291" s="37">
        <v>269.3</v>
      </c>
      <c r="K291">
        <v>4</v>
      </c>
    </row>
    <row r="292" spans="1:11" x14ac:dyDescent="0.35">
      <c r="A292">
        <v>290</v>
      </c>
      <c r="B292">
        <v>2015</v>
      </c>
      <c r="C292" t="s">
        <v>219</v>
      </c>
      <c r="D292" t="s">
        <v>304</v>
      </c>
      <c r="E292" t="s">
        <v>900</v>
      </c>
      <c r="F292" t="s">
        <v>901</v>
      </c>
      <c r="G292">
        <v>1</v>
      </c>
      <c r="H292" t="s">
        <v>310</v>
      </c>
      <c r="I292">
        <v>13</v>
      </c>
      <c r="J292" s="37">
        <v>271.05</v>
      </c>
      <c r="K292">
        <v>4</v>
      </c>
    </row>
    <row r="293" spans="1:11" x14ac:dyDescent="0.35">
      <c r="A293">
        <v>291</v>
      </c>
      <c r="B293">
        <v>2015</v>
      </c>
      <c r="C293" t="s">
        <v>219</v>
      </c>
      <c r="D293" t="s">
        <v>304</v>
      </c>
      <c r="E293" t="s">
        <v>898</v>
      </c>
      <c r="F293" t="s">
        <v>899</v>
      </c>
      <c r="G293">
        <v>1</v>
      </c>
      <c r="H293" t="s">
        <v>310</v>
      </c>
      <c r="I293">
        <v>13</v>
      </c>
      <c r="J293" s="37">
        <v>271.68</v>
      </c>
      <c r="K293">
        <v>4</v>
      </c>
    </row>
    <row r="294" spans="1:11" x14ac:dyDescent="0.35">
      <c r="A294">
        <v>292</v>
      </c>
      <c r="B294">
        <v>2015</v>
      </c>
      <c r="C294" t="s">
        <v>219</v>
      </c>
      <c r="D294" t="s">
        <v>951</v>
      </c>
      <c r="E294" t="s">
        <v>963</v>
      </c>
      <c r="F294" t="s">
        <v>964</v>
      </c>
      <c r="G294">
        <v>2</v>
      </c>
      <c r="H294" t="s">
        <v>310</v>
      </c>
      <c r="I294">
        <v>13</v>
      </c>
      <c r="J294" s="37">
        <v>272.20999999999998</v>
      </c>
      <c r="K294">
        <v>2</v>
      </c>
    </row>
    <row r="295" spans="1:11" x14ac:dyDescent="0.35">
      <c r="A295">
        <v>293</v>
      </c>
      <c r="B295">
        <v>2015</v>
      </c>
      <c r="C295" t="s">
        <v>219</v>
      </c>
      <c r="D295" t="s">
        <v>245</v>
      </c>
      <c r="E295" t="s">
        <v>302</v>
      </c>
      <c r="F295" t="s">
        <v>303</v>
      </c>
      <c r="G295">
        <v>2</v>
      </c>
      <c r="H295" t="s">
        <v>310</v>
      </c>
      <c r="I295">
        <v>13</v>
      </c>
      <c r="J295" s="37">
        <v>274</v>
      </c>
      <c r="K295">
        <v>1</v>
      </c>
    </row>
    <row r="296" spans="1:11" x14ac:dyDescent="0.35">
      <c r="A296">
        <v>294</v>
      </c>
      <c r="B296">
        <v>2015</v>
      </c>
      <c r="C296" t="s">
        <v>219</v>
      </c>
      <c r="D296" t="s">
        <v>951</v>
      </c>
      <c r="E296" t="s">
        <v>965</v>
      </c>
      <c r="F296" t="s">
        <v>966</v>
      </c>
      <c r="G296">
        <v>2</v>
      </c>
      <c r="H296" t="s">
        <v>310</v>
      </c>
      <c r="I296">
        <v>13</v>
      </c>
      <c r="J296" s="37">
        <v>274.47000000000003</v>
      </c>
      <c r="K296">
        <v>2</v>
      </c>
    </row>
    <row r="297" spans="1:11" x14ac:dyDescent="0.35">
      <c r="A297">
        <v>295</v>
      </c>
      <c r="B297">
        <v>2015</v>
      </c>
      <c r="C297" t="s">
        <v>219</v>
      </c>
      <c r="D297" t="s">
        <v>304</v>
      </c>
      <c r="E297" t="s">
        <v>907</v>
      </c>
      <c r="F297" t="s">
        <v>908</v>
      </c>
      <c r="G297">
        <v>1</v>
      </c>
      <c r="H297" t="s">
        <v>310</v>
      </c>
      <c r="I297">
        <v>13</v>
      </c>
      <c r="J297" s="37">
        <v>277.62</v>
      </c>
      <c r="K297">
        <v>4</v>
      </c>
    </row>
    <row r="298" spans="1:11" x14ac:dyDescent="0.35">
      <c r="A298">
        <v>296</v>
      </c>
      <c r="B298">
        <v>2015</v>
      </c>
      <c r="C298" t="s">
        <v>219</v>
      </c>
      <c r="D298" t="s">
        <v>951</v>
      </c>
      <c r="E298" t="s">
        <v>967</v>
      </c>
      <c r="F298" t="s">
        <v>968</v>
      </c>
      <c r="G298">
        <v>2</v>
      </c>
      <c r="H298" t="s">
        <v>310</v>
      </c>
      <c r="I298">
        <v>13</v>
      </c>
      <c r="J298" s="37">
        <v>282.74</v>
      </c>
      <c r="K298">
        <v>2</v>
      </c>
    </row>
    <row r="299" spans="1:11" x14ac:dyDescent="0.35">
      <c r="A299">
        <v>297</v>
      </c>
      <c r="B299">
        <v>2015</v>
      </c>
      <c r="C299" t="s">
        <v>219</v>
      </c>
      <c r="D299" t="s">
        <v>304</v>
      </c>
      <c r="E299" t="s">
        <v>905</v>
      </c>
      <c r="F299" t="s">
        <v>906</v>
      </c>
      <c r="G299">
        <v>1</v>
      </c>
      <c r="H299" t="s">
        <v>310</v>
      </c>
      <c r="I299">
        <v>13</v>
      </c>
      <c r="J299" s="37">
        <v>283.45</v>
      </c>
      <c r="K299">
        <v>4</v>
      </c>
    </row>
    <row r="300" spans="1:11" x14ac:dyDescent="0.35">
      <c r="A300">
        <v>298</v>
      </c>
      <c r="B300">
        <v>2015</v>
      </c>
      <c r="C300" t="s">
        <v>219</v>
      </c>
      <c r="D300" t="s">
        <v>245</v>
      </c>
      <c r="E300" t="s">
        <v>298</v>
      </c>
      <c r="F300" t="s">
        <v>299</v>
      </c>
      <c r="G300">
        <v>2</v>
      </c>
      <c r="H300" t="s">
        <v>310</v>
      </c>
      <c r="I300">
        <v>13</v>
      </c>
      <c r="J300" s="37">
        <v>285</v>
      </c>
      <c r="K300">
        <v>1</v>
      </c>
    </row>
    <row r="301" spans="1:11" x14ac:dyDescent="0.35">
      <c r="A301">
        <v>299</v>
      </c>
      <c r="B301">
        <v>2015</v>
      </c>
      <c r="C301" t="s">
        <v>219</v>
      </c>
      <c r="D301" t="s">
        <v>951</v>
      </c>
      <c r="E301" t="s">
        <v>973</v>
      </c>
      <c r="F301" t="s">
        <v>278</v>
      </c>
      <c r="G301">
        <v>2</v>
      </c>
      <c r="H301" t="s">
        <v>310</v>
      </c>
      <c r="I301">
        <v>13</v>
      </c>
      <c r="J301" s="37">
        <v>286.70999999999998</v>
      </c>
      <c r="K301">
        <v>2</v>
      </c>
    </row>
    <row r="302" spans="1:11" x14ac:dyDescent="0.35">
      <c r="A302">
        <v>300</v>
      </c>
      <c r="B302">
        <v>2015</v>
      </c>
      <c r="C302" t="s">
        <v>219</v>
      </c>
      <c r="D302" t="s">
        <v>260</v>
      </c>
      <c r="E302" t="s">
        <v>1115</v>
      </c>
      <c r="F302" t="s">
        <v>851</v>
      </c>
      <c r="G302">
        <v>2</v>
      </c>
      <c r="H302" t="s">
        <v>310</v>
      </c>
      <c r="I302">
        <v>13</v>
      </c>
      <c r="J302" s="37">
        <v>295.33999999999997</v>
      </c>
      <c r="K302">
        <v>1</v>
      </c>
    </row>
    <row r="303" spans="1:11" x14ac:dyDescent="0.35">
      <c r="A303">
        <v>301</v>
      </c>
      <c r="B303">
        <v>2015</v>
      </c>
      <c r="C303" t="s">
        <v>219</v>
      </c>
      <c r="D303" t="s">
        <v>861</v>
      </c>
      <c r="E303" t="s">
        <v>977</v>
      </c>
      <c r="F303" t="s">
        <v>978</v>
      </c>
      <c r="G303">
        <v>1</v>
      </c>
      <c r="H303" t="s">
        <v>310</v>
      </c>
      <c r="I303">
        <v>13</v>
      </c>
      <c r="J303" s="37">
        <v>304.97000000000003</v>
      </c>
      <c r="K303">
        <v>1</v>
      </c>
    </row>
    <row r="304" spans="1:11" x14ac:dyDescent="0.35">
      <c r="A304">
        <v>302</v>
      </c>
      <c r="B304">
        <v>2015</v>
      </c>
      <c r="C304" t="s">
        <v>219</v>
      </c>
      <c r="D304" t="s">
        <v>260</v>
      </c>
      <c r="E304" t="s">
        <v>1114</v>
      </c>
      <c r="F304" t="s">
        <v>850</v>
      </c>
      <c r="G304">
        <v>2</v>
      </c>
      <c r="H304" t="s">
        <v>310</v>
      </c>
      <c r="I304">
        <v>13</v>
      </c>
      <c r="J304" s="37">
        <v>311.58</v>
      </c>
      <c r="K304">
        <v>1</v>
      </c>
    </row>
    <row r="305" spans="1:11" x14ac:dyDescent="0.35">
      <c r="A305">
        <v>303</v>
      </c>
      <c r="B305">
        <v>2015</v>
      </c>
      <c r="C305" t="s">
        <v>219</v>
      </c>
      <c r="D305" t="s">
        <v>260</v>
      </c>
      <c r="E305" t="s">
        <v>1113</v>
      </c>
      <c r="F305" t="s">
        <v>849</v>
      </c>
      <c r="G305">
        <v>2</v>
      </c>
      <c r="H305" t="s">
        <v>310</v>
      </c>
      <c r="I305">
        <v>13</v>
      </c>
      <c r="J305" s="37">
        <v>313.35000000000002</v>
      </c>
      <c r="K305">
        <v>1</v>
      </c>
    </row>
    <row r="306" spans="1:11" x14ac:dyDescent="0.35">
      <c r="A306">
        <v>304</v>
      </c>
      <c r="B306">
        <v>2015</v>
      </c>
      <c r="C306" t="s">
        <v>219</v>
      </c>
      <c r="D306" t="s">
        <v>861</v>
      </c>
      <c r="E306" t="s">
        <v>980</v>
      </c>
      <c r="F306" t="s">
        <v>218</v>
      </c>
      <c r="G306">
        <v>1</v>
      </c>
      <c r="H306" t="s">
        <v>310</v>
      </c>
      <c r="I306">
        <v>13</v>
      </c>
      <c r="J306" s="37">
        <v>317.60000000000002</v>
      </c>
      <c r="K306">
        <v>1</v>
      </c>
    </row>
    <row r="307" spans="1:11" x14ac:dyDescent="0.35">
      <c r="A307">
        <v>305</v>
      </c>
      <c r="B307">
        <v>2015</v>
      </c>
      <c r="C307" t="s">
        <v>219</v>
      </c>
      <c r="D307" t="s">
        <v>861</v>
      </c>
      <c r="E307" t="s">
        <v>975</v>
      </c>
      <c r="F307" t="s">
        <v>976</v>
      </c>
      <c r="G307">
        <v>1</v>
      </c>
      <c r="H307" t="s">
        <v>310</v>
      </c>
      <c r="I307">
        <v>13</v>
      </c>
      <c r="J307" s="37">
        <v>320.10000000000002</v>
      </c>
      <c r="K307">
        <v>1</v>
      </c>
    </row>
    <row r="308" spans="1:11" x14ac:dyDescent="0.35">
      <c r="A308">
        <v>306</v>
      </c>
      <c r="B308">
        <v>2015</v>
      </c>
      <c r="C308" t="s">
        <v>219</v>
      </c>
      <c r="D308" t="s">
        <v>984</v>
      </c>
      <c r="E308" t="s">
        <v>1042</v>
      </c>
      <c r="F308" t="s">
        <v>1043</v>
      </c>
      <c r="G308">
        <v>2</v>
      </c>
      <c r="H308" t="s">
        <v>310</v>
      </c>
      <c r="I308">
        <v>14</v>
      </c>
      <c r="J308" s="37">
        <v>190.6</v>
      </c>
      <c r="K308">
        <v>1</v>
      </c>
    </row>
    <row r="309" spans="1:11" x14ac:dyDescent="0.35">
      <c r="A309">
        <v>307</v>
      </c>
      <c r="B309">
        <v>2015</v>
      </c>
      <c r="C309" t="s">
        <v>219</v>
      </c>
      <c r="D309" t="s">
        <v>844</v>
      </c>
      <c r="E309" t="s">
        <v>1093</v>
      </c>
      <c r="F309" t="s">
        <v>1094</v>
      </c>
      <c r="G309">
        <v>2</v>
      </c>
      <c r="H309" t="s">
        <v>310</v>
      </c>
      <c r="I309">
        <v>14</v>
      </c>
      <c r="J309" s="37">
        <v>195.44</v>
      </c>
      <c r="K309">
        <v>1</v>
      </c>
    </row>
    <row r="310" spans="1:11" x14ac:dyDescent="0.35">
      <c r="A310">
        <v>308</v>
      </c>
      <c r="B310">
        <v>2015</v>
      </c>
      <c r="C310" t="s">
        <v>219</v>
      </c>
      <c r="D310" t="s">
        <v>984</v>
      </c>
      <c r="E310" t="s">
        <v>1058</v>
      </c>
      <c r="F310" t="s">
        <v>1059</v>
      </c>
      <c r="G310">
        <v>2</v>
      </c>
      <c r="H310" t="s">
        <v>310</v>
      </c>
      <c r="I310">
        <v>14</v>
      </c>
      <c r="J310" s="37">
        <v>196.58</v>
      </c>
      <c r="K310">
        <v>1</v>
      </c>
    </row>
    <row r="311" spans="1:11" x14ac:dyDescent="0.35">
      <c r="A311">
        <v>309</v>
      </c>
      <c r="B311">
        <v>2015</v>
      </c>
      <c r="C311" t="s">
        <v>219</v>
      </c>
      <c r="D311" t="s">
        <v>984</v>
      </c>
      <c r="E311" t="s">
        <v>1044</v>
      </c>
      <c r="F311" t="s">
        <v>1045</v>
      </c>
      <c r="G311">
        <v>2</v>
      </c>
      <c r="H311" t="s">
        <v>310</v>
      </c>
      <c r="I311">
        <v>14</v>
      </c>
      <c r="J311" s="37">
        <v>214.87</v>
      </c>
      <c r="K311">
        <v>1</v>
      </c>
    </row>
    <row r="312" spans="1:11" x14ac:dyDescent="0.35">
      <c r="A312">
        <v>310</v>
      </c>
      <c r="B312">
        <v>2015</v>
      </c>
      <c r="C312" t="s">
        <v>219</v>
      </c>
      <c r="D312" t="s">
        <v>844</v>
      </c>
      <c r="E312" t="s">
        <v>295</v>
      </c>
      <c r="F312" t="s">
        <v>1088</v>
      </c>
      <c r="G312">
        <v>3</v>
      </c>
      <c r="H312" t="s">
        <v>310</v>
      </c>
      <c r="I312">
        <v>14</v>
      </c>
      <c r="J312" s="37">
        <v>216.93</v>
      </c>
      <c r="K312">
        <v>1</v>
      </c>
    </row>
    <row r="313" spans="1:11" x14ac:dyDescent="0.35">
      <c r="A313">
        <v>311</v>
      </c>
      <c r="B313">
        <v>2015</v>
      </c>
      <c r="C313" t="s">
        <v>219</v>
      </c>
      <c r="D313" t="s">
        <v>984</v>
      </c>
      <c r="E313" t="s">
        <v>1060</v>
      </c>
      <c r="F313" t="s">
        <v>1061</v>
      </c>
      <c r="G313">
        <v>2</v>
      </c>
      <c r="H313" t="s">
        <v>310</v>
      </c>
      <c r="I313">
        <v>14</v>
      </c>
      <c r="J313" s="37">
        <v>221.62</v>
      </c>
      <c r="K313">
        <v>1</v>
      </c>
    </row>
    <row r="314" spans="1:11" x14ac:dyDescent="0.35">
      <c r="A314">
        <v>312</v>
      </c>
      <c r="B314">
        <v>2015</v>
      </c>
      <c r="C314" t="s">
        <v>219</v>
      </c>
      <c r="D314" t="s">
        <v>260</v>
      </c>
      <c r="E314" t="s">
        <v>1115</v>
      </c>
      <c r="F314" t="s">
        <v>851</v>
      </c>
      <c r="G314">
        <v>2</v>
      </c>
      <c r="H314" t="s">
        <v>310</v>
      </c>
      <c r="I314">
        <v>14</v>
      </c>
      <c r="J314" s="37">
        <v>225.17</v>
      </c>
      <c r="K314">
        <v>1</v>
      </c>
    </row>
    <row r="315" spans="1:11" x14ac:dyDescent="0.35">
      <c r="A315">
        <v>313</v>
      </c>
      <c r="B315">
        <v>2015</v>
      </c>
      <c r="C315" t="s">
        <v>219</v>
      </c>
      <c r="D315" t="s">
        <v>951</v>
      </c>
      <c r="E315" t="s">
        <v>969</v>
      </c>
      <c r="F315" t="s">
        <v>970</v>
      </c>
      <c r="G315">
        <v>2</v>
      </c>
      <c r="H315" t="s">
        <v>310</v>
      </c>
      <c r="I315">
        <v>14</v>
      </c>
      <c r="J315" s="37">
        <v>235.98</v>
      </c>
      <c r="K315">
        <v>2</v>
      </c>
    </row>
    <row r="316" spans="1:11" x14ac:dyDescent="0.35">
      <c r="A316">
        <v>314</v>
      </c>
      <c r="B316">
        <v>2015</v>
      </c>
      <c r="C316" t="s">
        <v>219</v>
      </c>
      <c r="D316" t="s">
        <v>260</v>
      </c>
      <c r="E316" t="s">
        <v>1114</v>
      </c>
      <c r="F316" t="s">
        <v>850</v>
      </c>
      <c r="G316">
        <v>2</v>
      </c>
      <c r="H316" t="s">
        <v>310</v>
      </c>
      <c r="I316">
        <v>14</v>
      </c>
      <c r="J316" s="37">
        <v>237.56</v>
      </c>
      <c r="K316">
        <v>1</v>
      </c>
    </row>
    <row r="317" spans="1:11" x14ac:dyDescent="0.35">
      <c r="A317">
        <v>315</v>
      </c>
      <c r="B317">
        <v>2015</v>
      </c>
      <c r="C317" t="s">
        <v>219</v>
      </c>
      <c r="D317" t="s">
        <v>951</v>
      </c>
      <c r="E317" t="s">
        <v>961</v>
      </c>
      <c r="F317" t="s">
        <v>962</v>
      </c>
      <c r="G317">
        <v>2</v>
      </c>
      <c r="H317" t="s">
        <v>310</v>
      </c>
      <c r="I317">
        <v>14</v>
      </c>
      <c r="J317" s="37">
        <v>237.93</v>
      </c>
      <c r="K317">
        <v>2</v>
      </c>
    </row>
    <row r="318" spans="1:11" x14ac:dyDescent="0.35">
      <c r="A318">
        <v>316</v>
      </c>
      <c r="B318">
        <v>2015</v>
      </c>
      <c r="C318" t="s">
        <v>219</v>
      </c>
      <c r="D318" t="s">
        <v>260</v>
      </c>
      <c r="E318" t="s">
        <v>1113</v>
      </c>
      <c r="F318" t="s">
        <v>849</v>
      </c>
      <c r="G318">
        <v>2</v>
      </c>
      <c r="H318" t="s">
        <v>310</v>
      </c>
      <c r="I318">
        <v>14</v>
      </c>
      <c r="J318" s="37">
        <v>238.91</v>
      </c>
      <c r="K318">
        <v>1</v>
      </c>
    </row>
    <row r="319" spans="1:11" x14ac:dyDescent="0.35">
      <c r="A319">
        <v>317</v>
      </c>
      <c r="B319">
        <v>2015</v>
      </c>
      <c r="C319" t="s">
        <v>219</v>
      </c>
      <c r="D319" t="s">
        <v>951</v>
      </c>
      <c r="E319" t="s">
        <v>963</v>
      </c>
      <c r="F319" t="s">
        <v>964</v>
      </c>
      <c r="G319">
        <v>2</v>
      </c>
      <c r="H319" t="s">
        <v>310</v>
      </c>
      <c r="I319">
        <v>14</v>
      </c>
      <c r="J319" s="37">
        <v>251.23</v>
      </c>
      <c r="K319">
        <v>2</v>
      </c>
    </row>
    <row r="320" spans="1:11" x14ac:dyDescent="0.35">
      <c r="A320">
        <v>318</v>
      </c>
      <c r="B320">
        <v>2015</v>
      </c>
      <c r="C320" t="s">
        <v>219</v>
      </c>
      <c r="D320" t="s">
        <v>951</v>
      </c>
      <c r="E320" t="s">
        <v>965</v>
      </c>
      <c r="F320" t="s">
        <v>966</v>
      </c>
      <c r="G320">
        <v>2</v>
      </c>
      <c r="H320" t="s">
        <v>310</v>
      </c>
      <c r="I320">
        <v>14</v>
      </c>
      <c r="J320" s="37">
        <v>253.32</v>
      </c>
      <c r="K320">
        <v>2</v>
      </c>
    </row>
    <row r="321" spans="1:11" x14ac:dyDescent="0.35">
      <c r="A321">
        <v>319</v>
      </c>
      <c r="B321">
        <v>2015</v>
      </c>
      <c r="C321" t="s">
        <v>219</v>
      </c>
      <c r="D321" t="s">
        <v>951</v>
      </c>
      <c r="E321" t="s">
        <v>967</v>
      </c>
      <c r="F321" t="s">
        <v>968</v>
      </c>
      <c r="G321">
        <v>2</v>
      </c>
      <c r="H321" t="s">
        <v>310</v>
      </c>
      <c r="I321">
        <v>14</v>
      </c>
      <c r="J321" s="37">
        <v>260.95999999999998</v>
      </c>
      <c r="K321">
        <v>2</v>
      </c>
    </row>
    <row r="322" spans="1:11" x14ac:dyDescent="0.35">
      <c r="A322">
        <v>320</v>
      </c>
      <c r="B322">
        <v>2015</v>
      </c>
      <c r="C322" t="s">
        <v>219</v>
      </c>
      <c r="D322" t="s">
        <v>951</v>
      </c>
      <c r="E322" t="s">
        <v>973</v>
      </c>
      <c r="F322" t="s">
        <v>278</v>
      </c>
      <c r="G322">
        <v>2</v>
      </c>
      <c r="H322" t="s">
        <v>310</v>
      </c>
      <c r="I322">
        <v>14</v>
      </c>
      <c r="J322" s="37">
        <v>264.62</v>
      </c>
      <c r="K322">
        <v>2</v>
      </c>
    </row>
    <row r="323" spans="1:11" x14ac:dyDescent="0.35">
      <c r="A323">
        <v>321</v>
      </c>
      <c r="B323">
        <v>2015</v>
      </c>
      <c r="C323" t="s">
        <v>219</v>
      </c>
      <c r="D323" t="s">
        <v>984</v>
      </c>
      <c r="E323" t="s">
        <v>1046</v>
      </c>
      <c r="F323" t="s">
        <v>1047</v>
      </c>
      <c r="G323">
        <v>2</v>
      </c>
      <c r="H323" t="s">
        <v>310</v>
      </c>
      <c r="I323">
        <v>15</v>
      </c>
      <c r="J323" s="37">
        <v>265.57</v>
      </c>
      <c r="K323">
        <v>1</v>
      </c>
    </row>
    <row r="324" spans="1:11" x14ac:dyDescent="0.35">
      <c r="A324">
        <v>322</v>
      </c>
      <c r="B324">
        <v>2015</v>
      </c>
      <c r="C324" t="s">
        <v>219</v>
      </c>
      <c r="D324" t="s">
        <v>984</v>
      </c>
      <c r="E324" t="s">
        <v>1062</v>
      </c>
      <c r="F324" t="s">
        <v>1063</v>
      </c>
      <c r="G324">
        <v>2</v>
      </c>
      <c r="H324" t="s">
        <v>310</v>
      </c>
      <c r="I324">
        <v>15</v>
      </c>
      <c r="J324" s="37">
        <v>273.89999999999998</v>
      </c>
      <c r="K324">
        <v>1</v>
      </c>
    </row>
    <row r="325" spans="1:11" x14ac:dyDescent="0.35">
      <c r="A325">
        <v>323</v>
      </c>
      <c r="B325">
        <v>2015</v>
      </c>
      <c r="C325" t="s">
        <v>219</v>
      </c>
      <c r="D325" t="s">
        <v>951</v>
      </c>
      <c r="E325" t="s">
        <v>969</v>
      </c>
      <c r="F325" t="s">
        <v>970</v>
      </c>
      <c r="G325">
        <v>2</v>
      </c>
      <c r="H325" t="s">
        <v>310</v>
      </c>
      <c r="I325">
        <v>15</v>
      </c>
      <c r="J325" s="37">
        <v>314.58999999999997</v>
      </c>
      <c r="K325">
        <v>2</v>
      </c>
    </row>
    <row r="326" spans="1:11" x14ac:dyDescent="0.35">
      <c r="A326">
        <v>324</v>
      </c>
      <c r="B326">
        <v>2015</v>
      </c>
      <c r="C326" t="s">
        <v>219</v>
      </c>
      <c r="D326" t="s">
        <v>951</v>
      </c>
      <c r="E326" t="s">
        <v>961</v>
      </c>
      <c r="F326" t="s">
        <v>962</v>
      </c>
      <c r="G326">
        <v>2</v>
      </c>
      <c r="H326" t="s">
        <v>310</v>
      </c>
      <c r="I326">
        <v>15</v>
      </c>
      <c r="J326" s="37">
        <v>317.19</v>
      </c>
      <c r="K326">
        <v>2</v>
      </c>
    </row>
    <row r="327" spans="1:11" x14ac:dyDescent="0.35">
      <c r="A327">
        <v>325</v>
      </c>
      <c r="B327">
        <v>2015</v>
      </c>
      <c r="C327" t="s">
        <v>219</v>
      </c>
      <c r="D327" t="s">
        <v>260</v>
      </c>
      <c r="E327" t="s">
        <v>1115</v>
      </c>
      <c r="F327" t="s">
        <v>851</v>
      </c>
      <c r="G327">
        <v>2</v>
      </c>
      <c r="H327" t="s">
        <v>310</v>
      </c>
      <c r="I327">
        <v>15</v>
      </c>
      <c r="J327" s="37">
        <v>318.72000000000003</v>
      </c>
      <c r="K327">
        <v>1</v>
      </c>
    </row>
    <row r="328" spans="1:11" x14ac:dyDescent="0.35">
      <c r="A328">
        <v>326</v>
      </c>
      <c r="B328">
        <v>2015</v>
      </c>
      <c r="C328" t="s">
        <v>219</v>
      </c>
      <c r="D328" t="s">
        <v>951</v>
      </c>
      <c r="E328" t="s">
        <v>963</v>
      </c>
      <c r="F328" t="s">
        <v>964</v>
      </c>
      <c r="G328">
        <v>2</v>
      </c>
      <c r="H328" t="s">
        <v>310</v>
      </c>
      <c r="I328">
        <v>15</v>
      </c>
      <c r="J328" s="37">
        <v>334.92</v>
      </c>
      <c r="K328">
        <v>2</v>
      </c>
    </row>
    <row r="329" spans="1:11" x14ac:dyDescent="0.35">
      <c r="A329">
        <v>327</v>
      </c>
      <c r="B329">
        <v>2015</v>
      </c>
      <c r="C329" t="s">
        <v>219</v>
      </c>
      <c r="D329" t="s">
        <v>260</v>
      </c>
      <c r="E329" t="s">
        <v>1114</v>
      </c>
      <c r="F329" t="s">
        <v>850</v>
      </c>
      <c r="G329">
        <v>2</v>
      </c>
      <c r="H329" t="s">
        <v>310</v>
      </c>
      <c r="I329">
        <v>15</v>
      </c>
      <c r="J329" s="37">
        <v>336.25</v>
      </c>
      <c r="K329">
        <v>1</v>
      </c>
    </row>
    <row r="330" spans="1:11" x14ac:dyDescent="0.35">
      <c r="A330">
        <v>328</v>
      </c>
      <c r="B330">
        <v>2015</v>
      </c>
      <c r="C330" t="s">
        <v>219</v>
      </c>
      <c r="D330" t="s">
        <v>951</v>
      </c>
      <c r="E330" t="s">
        <v>965</v>
      </c>
      <c r="F330" t="s">
        <v>966</v>
      </c>
      <c r="G330">
        <v>2</v>
      </c>
      <c r="H330" t="s">
        <v>310</v>
      </c>
      <c r="I330">
        <v>15</v>
      </c>
      <c r="J330" s="37">
        <v>337.71</v>
      </c>
      <c r="K330">
        <v>2</v>
      </c>
    </row>
    <row r="331" spans="1:11" x14ac:dyDescent="0.35">
      <c r="A331">
        <v>329</v>
      </c>
      <c r="B331">
        <v>2015</v>
      </c>
      <c r="C331" t="s">
        <v>219</v>
      </c>
      <c r="D331" t="s">
        <v>260</v>
      </c>
      <c r="E331" t="s">
        <v>1113</v>
      </c>
      <c r="F331" t="s">
        <v>849</v>
      </c>
      <c r="G331">
        <v>2</v>
      </c>
      <c r="H331" t="s">
        <v>310</v>
      </c>
      <c r="I331">
        <v>15</v>
      </c>
      <c r="J331" s="37">
        <v>338.17</v>
      </c>
      <c r="K331">
        <v>1</v>
      </c>
    </row>
    <row r="332" spans="1:11" x14ac:dyDescent="0.35">
      <c r="A332">
        <v>330</v>
      </c>
      <c r="B332">
        <v>2015</v>
      </c>
      <c r="C332" t="s">
        <v>219</v>
      </c>
      <c r="D332" t="s">
        <v>951</v>
      </c>
      <c r="E332" t="s">
        <v>967</v>
      </c>
      <c r="F332" t="s">
        <v>968</v>
      </c>
      <c r="G332">
        <v>2</v>
      </c>
      <c r="H332" t="s">
        <v>310</v>
      </c>
      <c r="I332">
        <v>15</v>
      </c>
      <c r="J332" s="37">
        <v>347.89</v>
      </c>
      <c r="K332">
        <v>2</v>
      </c>
    </row>
    <row r="333" spans="1:11" x14ac:dyDescent="0.35">
      <c r="A333">
        <v>331</v>
      </c>
      <c r="B333">
        <v>2015</v>
      </c>
      <c r="C333" t="s">
        <v>219</v>
      </c>
      <c r="D333" t="s">
        <v>951</v>
      </c>
      <c r="E333" t="s">
        <v>973</v>
      </c>
      <c r="F333" t="s">
        <v>278</v>
      </c>
      <c r="G333">
        <v>2</v>
      </c>
      <c r="H333" t="s">
        <v>310</v>
      </c>
      <c r="I333">
        <v>15</v>
      </c>
      <c r="J333" s="37">
        <v>352.78</v>
      </c>
      <c r="K333">
        <v>2</v>
      </c>
    </row>
    <row r="334" spans="1:11" x14ac:dyDescent="0.35">
      <c r="A334">
        <v>332</v>
      </c>
      <c r="B334">
        <v>2015</v>
      </c>
      <c r="C334" t="s">
        <v>219</v>
      </c>
      <c r="D334" t="s">
        <v>951</v>
      </c>
      <c r="E334" t="s">
        <v>969</v>
      </c>
      <c r="F334" t="s">
        <v>970</v>
      </c>
      <c r="G334">
        <v>2</v>
      </c>
      <c r="H334" t="s">
        <v>310</v>
      </c>
      <c r="I334">
        <v>16</v>
      </c>
      <c r="J334" s="37">
        <v>218.97</v>
      </c>
      <c r="K334">
        <v>2</v>
      </c>
    </row>
    <row r="335" spans="1:11" x14ac:dyDescent="0.35">
      <c r="A335">
        <v>333</v>
      </c>
      <c r="B335">
        <v>2015</v>
      </c>
      <c r="C335" t="s">
        <v>219</v>
      </c>
      <c r="D335" t="s">
        <v>951</v>
      </c>
      <c r="E335" t="s">
        <v>961</v>
      </c>
      <c r="F335" t="s">
        <v>962</v>
      </c>
      <c r="G335">
        <v>2</v>
      </c>
      <c r="H335" t="s">
        <v>310</v>
      </c>
      <c r="I335">
        <v>16</v>
      </c>
      <c r="J335" s="37">
        <v>220.78</v>
      </c>
      <c r="K335">
        <v>2</v>
      </c>
    </row>
    <row r="336" spans="1:11" x14ac:dyDescent="0.35">
      <c r="A336">
        <v>334</v>
      </c>
      <c r="B336">
        <v>2015</v>
      </c>
      <c r="C336" t="s">
        <v>219</v>
      </c>
      <c r="D336" t="s">
        <v>951</v>
      </c>
      <c r="E336" t="s">
        <v>963</v>
      </c>
      <c r="F336" t="s">
        <v>964</v>
      </c>
      <c r="G336">
        <v>2</v>
      </c>
      <c r="H336" t="s">
        <v>310</v>
      </c>
      <c r="I336">
        <v>16</v>
      </c>
      <c r="J336" s="37">
        <v>233.12</v>
      </c>
      <c r="K336">
        <v>2</v>
      </c>
    </row>
    <row r="337" spans="1:11" x14ac:dyDescent="0.35">
      <c r="A337">
        <v>335</v>
      </c>
      <c r="B337">
        <v>2015</v>
      </c>
      <c r="C337" t="s">
        <v>219</v>
      </c>
      <c r="D337" t="s">
        <v>951</v>
      </c>
      <c r="E337" t="s">
        <v>965</v>
      </c>
      <c r="F337" t="s">
        <v>966</v>
      </c>
      <c r="G337">
        <v>2</v>
      </c>
      <c r="H337" t="s">
        <v>310</v>
      </c>
      <c r="I337">
        <v>16</v>
      </c>
      <c r="J337" s="37">
        <v>235.06</v>
      </c>
      <c r="K337">
        <v>2</v>
      </c>
    </row>
    <row r="338" spans="1:11" x14ac:dyDescent="0.35">
      <c r="A338">
        <v>336</v>
      </c>
      <c r="B338">
        <v>2015</v>
      </c>
      <c r="C338" t="s">
        <v>219</v>
      </c>
      <c r="D338" t="s">
        <v>951</v>
      </c>
      <c r="E338" t="s">
        <v>967</v>
      </c>
      <c r="F338" t="s">
        <v>968</v>
      </c>
      <c r="G338">
        <v>2</v>
      </c>
      <c r="H338" t="s">
        <v>310</v>
      </c>
      <c r="I338">
        <v>16</v>
      </c>
      <c r="J338" s="37">
        <v>242.14</v>
      </c>
      <c r="K338">
        <v>2</v>
      </c>
    </row>
    <row r="339" spans="1:11" x14ac:dyDescent="0.35">
      <c r="A339">
        <v>337</v>
      </c>
      <c r="B339">
        <v>2015</v>
      </c>
      <c r="C339" t="s">
        <v>219</v>
      </c>
      <c r="D339" t="s">
        <v>844</v>
      </c>
      <c r="E339" t="s">
        <v>295</v>
      </c>
      <c r="F339" t="s">
        <v>1088</v>
      </c>
      <c r="G339">
        <v>3</v>
      </c>
      <c r="H339" t="s">
        <v>310</v>
      </c>
      <c r="I339">
        <v>16</v>
      </c>
      <c r="J339" s="37">
        <v>244.71</v>
      </c>
      <c r="K339">
        <v>1</v>
      </c>
    </row>
    <row r="340" spans="1:11" x14ac:dyDescent="0.35">
      <c r="A340">
        <v>338</v>
      </c>
      <c r="B340">
        <v>2015</v>
      </c>
      <c r="C340" t="s">
        <v>219</v>
      </c>
      <c r="D340" t="s">
        <v>951</v>
      </c>
      <c r="E340" t="s">
        <v>973</v>
      </c>
      <c r="F340" t="s">
        <v>278</v>
      </c>
      <c r="G340">
        <v>2</v>
      </c>
      <c r="H340" t="s">
        <v>310</v>
      </c>
      <c r="I340">
        <v>16</v>
      </c>
      <c r="J340" s="37">
        <v>245.55</v>
      </c>
      <c r="K340">
        <v>2</v>
      </c>
    </row>
    <row r="341" spans="1:11" x14ac:dyDescent="0.35">
      <c r="A341">
        <v>339</v>
      </c>
      <c r="B341">
        <v>2015</v>
      </c>
      <c r="C341" t="s">
        <v>219</v>
      </c>
      <c r="D341" t="s">
        <v>260</v>
      </c>
      <c r="E341" t="s">
        <v>1115</v>
      </c>
      <c r="F341" t="s">
        <v>851</v>
      </c>
      <c r="G341">
        <v>2</v>
      </c>
      <c r="H341" t="s">
        <v>310</v>
      </c>
      <c r="I341">
        <v>16</v>
      </c>
      <c r="J341" s="37">
        <v>254.56</v>
      </c>
      <c r="K341">
        <v>1</v>
      </c>
    </row>
    <row r="342" spans="1:11" x14ac:dyDescent="0.35">
      <c r="A342">
        <v>340</v>
      </c>
      <c r="B342">
        <v>2015</v>
      </c>
      <c r="C342" t="s">
        <v>219</v>
      </c>
      <c r="D342" t="s">
        <v>260</v>
      </c>
      <c r="E342" t="s">
        <v>1114</v>
      </c>
      <c r="F342" t="s">
        <v>850</v>
      </c>
      <c r="G342">
        <v>2</v>
      </c>
      <c r="H342" t="s">
        <v>310</v>
      </c>
      <c r="I342">
        <v>16</v>
      </c>
      <c r="J342" s="37">
        <v>268.56</v>
      </c>
      <c r="K342">
        <v>1</v>
      </c>
    </row>
    <row r="343" spans="1:11" x14ac:dyDescent="0.35">
      <c r="A343">
        <v>341</v>
      </c>
      <c r="B343">
        <v>2015</v>
      </c>
      <c r="C343" t="s">
        <v>219</v>
      </c>
      <c r="D343" t="s">
        <v>260</v>
      </c>
      <c r="E343" t="s">
        <v>1113</v>
      </c>
      <c r="F343" t="s">
        <v>849</v>
      </c>
      <c r="G343">
        <v>2</v>
      </c>
      <c r="H343" t="s">
        <v>310</v>
      </c>
      <c r="I343">
        <v>16</v>
      </c>
      <c r="J343" s="37">
        <v>270.08999999999997</v>
      </c>
      <c r="K343">
        <v>1</v>
      </c>
    </row>
    <row r="344" spans="1:11" x14ac:dyDescent="0.35">
      <c r="A344">
        <v>342</v>
      </c>
      <c r="B344">
        <v>2015</v>
      </c>
      <c r="C344" t="s">
        <v>219</v>
      </c>
      <c r="D344" t="s">
        <v>260</v>
      </c>
      <c r="E344" t="s">
        <v>1112</v>
      </c>
      <c r="F344" t="s">
        <v>848</v>
      </c>
      <c r="G344">
        <v>2</v>
      </c>
      <c r="H344" t="s">
        <v>843</v>
      </c>
      <c r="I344">
        <v>1</v>
      </c>
      <c r="J344" s="37">
        <v>351.09</v>
      </c>
      <c r="K344">
        <v>1</v>
      </c>
    </row>
    <row r="345" spans="1:11" x14ac:dyDescent="0.35">
      <c r="A345">
        <v>343</v>
      </c>
      <c r="B345">
        <v>2015</v>
      </c>
      <c r="C345" t="s">
        <v>219</v>
      </c>
      <c r="D345" t="s">
        <v>260</v>
      </c>
      <c r="E345" t="s">
        <v>1111</v>
      </c>
      <c r="F345" t="s">
        <v>847</v>
      </c>
      <c r="G345">
        <v>2</v>
      </c>
      <c r="H345" t="s">
        <v>843</v>
      </c>
      <c r="I345">
        <v>1</v>
      </c>
      <c r="J345" s="37">
        <v>352.62</v>
      </c>
      <c r="K345">
        <v>1</v>
      </c>
    </row>
    <row r="346" spans="1:11" x14ac:dyDescent="0.35">
      <c r="A346">
        <v>344</v>
      </c>
      <c r="B346">
        <v>2015</v>
      </c>
      <c r="C346" t="s">
        <v>219</v>
      </c>
      <c r="D346" t="s">
        <v>984</v>
      </c>
      <c r="E346" t="s">
        <v>1016</v>
      </c>
      <c r="F346" t="s">
        <v>1017</v>
      </c>
      <c r="G346">
        <v>2</v>
      </c>
      <c r="H346" t="s">
        <v>843</v>
      </c>
      <c r="I346">
        <v>1</v>
      </c>
      <c r="J346" s="37">
        <v>356.67</v>
      </c>
      <c r="K346">
        <v>1</v>
      </c>
    </row>
    <row r="347" spans="1:11" x14ac:dyDescent="0.35">
      <c r="A347">
        <v>345</v>
      </c>
      <c r="B347">
        <v>2015</v>
      </c>
      <c r="C347" t="s">
        <v>219</v>
      </c>
      <c r="D347" t="s">
        <v>951</v>
      </c>
      <c r="E347" t="s">
        <v>971</v>
      </c>
      <c r="F347" t="s">
        <v>972</v>
      </c>
      <c r="G347">
        <v>2</v>
      </c>
      <c r="H347" t="s">
        <v>843</v>
      </c>
      <c r="I347">
        <v>1</v>
      </c>
      <c r="J347" s="37">
        <v>440.24</v>
      </c>
      <c r="K347">
        <v>2</v>
      </c>
    </row>
    <row r="348" spans="1:11" x14ac:dyDescent="0.35">
      <c r="A348">
        <v>346</v>
      </c>
      <c r="B348">
        <v>2015</v>
      </c>
      <c r="C348" t="s">
        <v>219</v>
      </c>
      <c r="D348" t="s">
        <v>281</v>
      </c>
      <c r="E348" t="s">
        <v>944</v>
      </c>
      <c r="F348" t="s">
        <v>880</v>
      </c>
      <c r="G348">
        <v>2</v>
      </c>
      <c r="H348" t="s">
        <v>843</v>
      </c>
      <c r="I348">
        <v>2</v>
      </c>
      <c r="J348" s="37">
        <v>243.42</v>
      </c>
      <c r="K348">
        <v>4</v>
      </c>
    </row>
    <row r="349" spans="1:11" x14ac:dyDescent="0.35">
      <c r="A349">
        <v>347</v>
      </c>
      <c r="B349">
        <v>2015</v>
      </c>
      <c r="C349" t="s">
        <v>219</v>
      </c>
      <c r="D349" t="s">
        <v>281</v>
      </c>
      <c r="E349" t="s">
        <v>947</v>
      </c>
      <c r="F349" t="s">
        <v>883</v>
      </c>
      <c r="G349">
        <v>2</v>
      </c>
      <c r="H349" t="s">
        <v>843</v>
      </c>
      <c r="I349">
        <v>2</v>
      </c>
      <c r="J349" s="37">
        <v>243.62</v>
      </c>
      <c r="K349">
        <v>4</v>
      </c>
    </row>
    <row r="350" spans="1:11" x14ac:dyDescent="0.35">
      <c r="A350">
        <v>348</v>
      </c>
      <c r="B350">
        <v>2015</v>
      </c>
      <c r="C350" t="s">
        <v>219</v>
      </c>
      <c r="D350" t="s">
        <v>281</v>
      </c>
      <c r="E350" t="s">
        <v>945</v>
      </c>
      <c r="F350" t="s">
        <v>881</v>
      </c>
      <c r="G350">
        <v>2</v>
      </c>
      <c r="H350" t="s">
        <v>843</v>
      </c>
      <c r="I350">
        <v>2</v>
      </c>
      <c r="J350" s="37">
        <v>249.24</v>
      </c>
      <c r="K350">
        <v>4</v>
      </c>
    </row>
    <row r="351" spans="1:11" x14ac:dyDescent="0.35">
      <c r="A351">
        <v>349</v>
      </c>
      <c r="B351">
        <v>2015</v>
      </c>
      <c r="C351" t="s">
        <v>219</v>
      </c>
      <c r="D351" t="s">
        <v>281</v>
      </c>
      <c r="E351" t="s">
        <v>948</v>
      </c>
      <c r="F351" t="s">
        <v>884</v>
      </c>
      <c r="G351">
        <v>2</v>
      </c>
      <c r="H351" t="s">
        <v>843</v>
      </c>
      <c r="I351">
        <v>2</v>
      </c>
      <c r="J351" s="37">
        <v>249.45</v>
      </c>
      <c r="K351">
        <v>4</v>
      </c>
    </row>
    <row r="352" spans="1:11" x14ac:dyDescent="0.35">
      <c r="A352">
        <v>350</v>
      </c>
      <c r="B352">
        <v>2015</v>
      </c>
      <c r="C352" t="s">
        <v>219</v>
      </c>
      <c r="D352" t="s">
        <v>281</v>
      </c>
      <c r="E352" t="s">
        <v>946</v>
      </c>
      <c r="F352" t="s">
        <v>882</v>
      </c>
      <c r="G352">
        <v>2</v>
      </c>
      <c r="H352" t="s">
        <v>843</v>
      </c>
      <c r="I352">
        <v>2</v>
      </c>
      <c r="J352" s="37">
        <v>260.10000000000002</v>
      </c>
      <c r="K352">
        <v>4</v>
      </c>
    </row>
    <row r="353" spans="1:11" x14ac:dyDescent="0.35">
      <c r="A353">
        <v>351</v>
      </c>
      <c r="B353">
        <v>2015</v>
      </c>
      <c r="C353" t="s">
        <v>219</v>
      </c>
      <c r="D353" t="s">
        <v>281</v>
      </c>
      <c r="E353" t="s">
        <v>949</v>
      </c>
      <c r="F353" t="s">
        <v>885</v>
      </c>
      <c r="G353">
        <v>2</v>
      </c>
      <c r="H353" t="s">
        <v>843</v>
      </c>
      <c r="I353">
        <v>2</v>
      </c>
      <c r="J353" s="37">
        <v>260.31</v>
      </c>
      <c r="K353">
        <v>4</v>
      </c>
    </row>
    <row r="354" spans="1:11" x14ac:dyDescent="0.35">
      <c r="A354">
        <v>352</v>
      </c>
      <c r="B354">
        <v>2015</v>
      </c>
      <c r="C354" t="s">
        <v>219</v>
      </c>
      <c r="D354" t="s">
        <v>304</v>
      </c>
      <c r="E354" t="s">
        <v>896</v>
      </c>
      <c r="F354" t="s">
        <v>897</v>
      </c>
      <c r="G354">
        <v>1</v>
      </c>
      <c r="H354" t="s">
        <v>843</v>
      </c>
      <c r="I354">
        <v>2</v>
      </c>
      <c r="J354" s="37">
        <v>279.8</v>
      </c>
      <c r="K354">
        <v>4</v>
      </c>
    </row>
    <row r="355" spans="1:11" x14ac:dyDescent="0.35">
      <c r="A355">
        <v>353</v>
      </c>
      <c r="B355">
        <v>2015</v>
      </c>
      <c r="C355" t="s">
        <v>219</v>
      </c>
      <c r="D355" t="s">
        <v>304</v>
      </c>
      <c r="E355" t="s">
        <v>924</v>
      </c>
      <c r="F355" t="s">
        <v>925</v>
      </c>
      <c r="G355">
        <v>1</v>
      </c>
      <c r="H355" t="s">
        <v>843</v>
      </c>
      <c r="I355">
        <v>2</v>
      </c>
      <c r="J355" s="37">
        <v>280.44</v>
      </c>
      <c r="K355">
        <v>4</v>
      </c>
    </row>
    <row r="356" spans="1:11" x14ac:dyDescent="0.35">
      <c r="A356">
        <v>354</v>
      </c>
      <c r="B356">
        <v>2015</v>
      </c>
      <c r="C356" t="s">
        <v>219</v>
      </c>
      <c r="D356" t="s">
        <v>304</v>
      </c>
      <c r="E356" t="s">
        <v>890</v>
      </c>
      <c r="F356" t="s">
        <v>891</v>
      </c>
      <c r="G356">
        <v>1</v>
      </c>
      <c r="H356" t="s">
        <v>843</v>
      </c>
      <c r="I356">
        <v>2</v>
      </c>
      <c r="J356" s="37">
        <v>280.7</v>
      </c>
      <c r="K356">
        <v>4</v>
      </c>
    </row>
    <row r="357" spans="1:11" x14ac:dyDescent="0.35">
      <c r="A357">
        <v>355</v>
      </c>
      <c r="B357">
        <v>2015</v>
      </c>
      <c r="C357" t="s">
        <v>219</v>
      </c>
      <c r="D357" t="s">
        <v>304</v>
      </c>
      <c r="E357" t="s">
        <v>892</v>
      </c>
      <c r="F357" t="s">
        <v>893</v>
      </c>
      <c r="G357">
        <v>1</v>
      </c>
      <c r="H357" t="s">
        <v>843</v>
      </c>
      <c r="I357">
        <v>2</v>
      </c>
      <c r="J357" s="37">
        <v>281.26</v>
      </c>
      <c r="K357">
        <v>4</v>
      </c>
    </row>
    <row r="358" spans="1:11" x14ac:dyDescent="0.35">
      <c r="A358">
        <v>356</v>
      </c>
      <c r="B358">
        <v>2015</v>
      </c>
      <c r="C358" t="s">
        <v>219</v>
      </c>
      <c r="D358" t="s">
        <v>951</v>
      </c>
      <c r="E358" t="s">
        <v>971</v>
      </c>
      <c r="F358" t="s">
        <v>972</v>
      </c>
      <c r="G358">
        <v>2</v>
      </c>
      <c r="H358" t="s">
        <v>843</v>
      </c>
      <c r="I358">
        <v>2</v>
      </c>
      <c r="J358" s="37">
        <v>284</v>
      </c>
      <c r="K358">
        <v>2</v>
      </c>
    </row>
    <row r="359" spans="1:11" x14ac:dyDescent="0.35">
      <c r="A359">
        <v>357</v>
      </c>
      <c r="B359">
        <v>2015</v>
      </c>
      <c r="C359" t="s">
        <v>219</v>
      </c>
      <c r="D359" t="s">
        <v>304</v>
      </c>
      <c r="E359" t="s">
        <v>888</v>
      </c>
      <c r="F359" t="s">
        <v>889</v>
      </c>
      <c r="G359">
        <v>1</v>
      </c>
      <c r="H359" t="s">
        <v>843</v>
      </c>
      <c r="I359">
        <v>2</v>
      </c>
      <c r="J359" s="37">
        <v>286.83999999999997</v>
      </c>
      <c r="K359">
        <v>4</v>
      </c>
    </row>
    <row r="360" spans="1:11" x14ac:dyDescent="0.35">
      <c r="A360">
        <v>358</v>
      </c>
      <c r="B360">
        <v>2015</v>
      </c>
      <c r="C360" t="s">
        <v>219</v>
      </c>
      <c r="D360" t="s">
        <v>304</v>
      </c>
      <c r="E360" t="s">
        <v>894</v>
      </c>
      <c r="F360" t="s">
        <v>895</v>
      </c>
      <c r="G360">
        <v>1</v>
      </c>
      <c r="H360" t="s">
        <v>843</v>
      </c>
      <c r="I360">
        <v>2</v>
      </c>
      <c r="J360" s="37">
        <v>292.91000000000003</v>
      </c>
      <c r="K360">
        <v>4</v>
      </c>
    </row>
    <row r="361" spans="1:11" x14ac:dyDescent="0.35">
      <c r="A361">
        <v>359</v>
      </c>
      <c r="B361">
        <v>2015</v>
      </c>
      <c r="C361" t="s">
        <v>219</v>
      </c>
      <c r="D361" t="s">
        <v>844</v>
      </c>
      <c r="E361" t="s">
        <v>1084</v>
      </c>
      <c r="F361" t="s">
        <v>1085</v>
      </c>
      <c r="G361">
        <v>3</v>
      </c>
      <c r="H361" t="s">
        <v>843</v>
      </c>
      <c r="I361">
        <v>2</v>
      </c>
      <c r="J361" s="37">
        <v>293.75</v>
      </c>
      <c r="K361">
        <v>1</v>
      </c>
    </row>
    <row r="362" spans="1:11" x14ac:dyDescent="0.35">
      <c r="A362">
        <v>360</v>
      </c>
      <c r="B362">
        <v>2015</v>
      </c>
      <c r="C362" t="s">
        <v>219</v>
      </c>
      <c r="D362" t="s">
        <v>245</v>
      </c>
      <c r="E362" t="s">
        <v>1105</v>
      </c>
      <c r="F362" t="s">
        <v>1106</v>
      </c>
      <c r="G362">
        <v>2</v>
      </c>
      <c r="H362" t="s">
        <v>843</v>
      </c>
      <c r="I362">
        <v>2</v>
      </c>
      <c r="J362" s="37">
        <v>300</v>
      </c>
      <c r="K362">
        <v>1</v>
      </c>
    </row>
    <row r="363" spans="1:11" x14ac:dyDescent="0.35">
      <c r="A363">
        <v>361</v>
      </c>
      <c r="B363">
        <v>2015</v>
      </c>
      <c r="C363" t="s">
        <v>219</v>
      </c>
      <c r="D363" t="s">
        <v>245</v>
      </c>
      <c r="E363" t="s">
        <v>1103</v>
      </c>
      <c r="F363" t="s">
        <v>1104</v>
      </c>
      <c r="G363">
        <v>2</v>
      </c>
      <c r="H363" t="s">
        <v>843</v>
      </c>
      <c r="I363">
        <v>2</v>
      </c>
      <c r="J363" s="37">
        <v>303</v>
      </c>
      <c r="K363">
        <v>1</v>
      </c>
    </row>
    <row r="364" spans="1:11" x14ac:dyDescent="0.35">
      <c r="A364">
        <v>362</v>
      </c>
      <c r="B364">
        <v>2015</v>
      </c>
      <c r="C364" t="s">
        <v>219</v>
      </c>
      <c r="D364" t="s">
        <v>861</v>
      </c>
      <c r="E364" t="s">
        <v>974</v>
      </c>
      <c r="F364" t="s">
        <v>886</v>
      </c>
      <c r="G364">
        <v>1</v>
      </c>
      <c r="H364" t="s">
        <v>843</v>
      </c>
      <c r="I364">
        <v>2</v>
      </c>
      <c r="J364" s="37">
        <v>315.52999999999997</v>
      </c>
      <c r="K364">
        <v>1</v>
      </c>
    </row>
    <row r="365" spans="1:11" x14ac:dyDescent="0.35">
      <c r="A365">
        <v>363</v>
      </c>
      <c r="B365">
        <v>2015</v>
      </c>
      <c r="C365" t="s">
        <v>219</v>
      </c>
      <c r="D365" t="s">
        <v>245</v>
      </c>
      <c r="E365" t="s">
        <v>1101</v>
      </c>
      <c r="F365" t="s">
        <v>1102</v>
      </c>
      <c r="G365">
        <v>2</v>
      </c>
      <c r="H365" t="s">
        <v>843</v>
      </c>
      <c r="I365">
        <v>2</v>
      </c>
      <c r="J365" s="37">
        <v>322</v>
      </c>
      <c r="K365">
        <v>1</v>
      </c>
    </row>
    <row r="366" spans="1:11" x14ac:dyDescent="0.35">
      <c r="A366">
        <v>364</v>
      </c>
      <c r="B366">
        <v>2015</v>
      </c>
      <c r="C366" t="s">
        <v>219</v>
      </c>
      <c r="D366" t="s">
        <v>260</v>
      </c>
      <c r="E366" t="s">
        <v>1112</v>
      </c>
      <c r="F366" t="s">
        <v>848</v>
      </c>
      <c r="G366">
        <v>2</v>
      </c>
      <c r="H366" t="s">
        <v>843</v>
      </c>
      <c r="I366">
        <v>2</v>
      </c>
      <c r="J366" s="37">
        <v>325.27999999999997</v>
      </c>
      <c r="K366">
        <v>1</v>
      </c>
    </row>
    <row r="367" spans="1:11" x14ac:dyDescent="0.35">
      <c r="A367">
        <v>365</v>
      </c>
      <c r="B367">
        <v>2015</v>
      </c>
      <c r="C367" t="s">
        <v>219</v>
      </c>
      <c r="D367" t="s">
        <v>260</v>
      </c>
      <c r="E367" t="s">
        <v>1111</v>
      </c>
      <c r="F367" t="s">
        <v>847</v>
      </c>
      <c r="G367">
        <v>2</v>
      </c>
      <c r="H367" t="s">
        <v>843</v>
      </c>
      <c r="I367">
        <v>2</v>
      </c>
      <c r="J367" s="37">
        <v>326.69</v>
      </c>
      <c r="K367">
        <v>1</v>
      </c>
    </row>
    <row r="368" spans="1:11" x14ac:dyDescent="0.35">
      <c r="A368">
        <v>366</v>
      </c>
      <c r="B368">
        <v>2015</v>
      </c>
      <c r="C368" t="s">
        <v>219</v>
      </c>
      <c r="D368" t="s">
        <v>984</v>
      </c>
      <c r="E368" t="s">
        <v>1018</v>
      </c>
      <c r="F368" t="s">
        <v>1019</v>
      </c>
      <c r="G368">
        <v>2</v>
      </c>
      <c r="H368" t="s">
        <v>843</v>
      </c>
      <c r="I368">
        <v>3</v>
      </c>
      <c r="J368" s="37">
        <v>243.2</v>
      </c>
      <c r="K368">
        <v>1</v>
      </c>
    </row>
    <row r="369" spans="1:11" x14ac:dyDescent="0.35">
      <c r="A369">
        <v>367</v>
      </c>
      <c r="B369">
        <v>2015</v>
      </c>
      <c r="C369" t="s">
        <v>219</v>
      </c>
      <c r="D369" t="s">
        <v>844</v>
      </c>
      <c r="E369" t="s">
        <v>1078</v>
      </c>
      <c r="F369" t="s">
        <v>1079</v>
      </c>
      <c r="G369">
        <v>2</v>
      </c>
      <c r="H369" t="s">
        <v>843</v>
      </c>
      <c r="I369">
        <v>3</v>
      </c>
      <c r="J369" s="37">
        <v>253.01</v>
      </c>
      <c r="K369">
        <v>1</v>
      </c>
    </row>
    <row r="370" spans="1:11" x14ac:dyDescent="0.35">
      <c r="A370">
        <v>368</v>
      </c>
      <c r="B370">
        <v>2015</v>
      </c>
      <c r="C370" t="s">
        <v>219</v>
      </c>
      <c r="D370" t="s">
        <v>844</v>
      </c>
      <c r="E370" t="s">
        <v>1084</v>
      </c>
      <c r="F370" t="s">
        <v>1085</v>
      </c>
      <c r="G370">
        <v>3</v>
      </c>
      <c r="H370" t="s">
        <v>843</v>
      </c>
      <c r="I370">
        <v>3</v>
      </c>
      <c r="J370" s="37">
        <v>266.32</v>
      </c>
      <c r="K370">
        <v>1</v>
      </c>
    </row>
    <row r="371" spans="1:11" x14ac:dyDescent="0.35">
      <c r="A371">
        <v>369</v>
      </c>
      <c r="B371">
        <v>2015</v>
      </c>
      <c r="C371" t="s">
        <v>219</v>
      </c>
      <c r="D371" t="s">
        <v>281</v>
      </c>
      <c r="E371" t="s">
        <v>944</v>
      </c>
      <c r="F371" t="s">
        <v>880</v>
      </c>
      <c r="G371">
        <v>2</v>
      </c>
      <c r="H371" t="s">
        <v>843</v>
      </c>
      <c r="I371">
        <v>3</v>
      </c>
      <c r="J371" s="37">
        <v>273.22000000000003</v>
      </c>
      <c r="K371">
        <v>4</v>
      </c>
    </row>
    <row r="372" spans="1:11" x14ac:dyDescent="0.35">
      <c r="A372">
        <v>370</v>
      </c>
      <c r="B372">
        <v>2015</v>
      </c>
      <c r="C372" t="s">
        <v>219</v>
      </c>
      <c r="D372" t="s">
        <v>281</v>
      </c>
      <c r="E372" t="s">
        <v>947</v>
      </c>
      <c r="F372" t="s">
        <v>883</v>
      </c>
      <c r="G372">
        <v>2</v>
      </c>
      <c r="H372" t="s">
        <v>843</v>
      </c>
      <c r="I372">
        <v>3</v>
      </c>
      <c r="J372" s="37">
        <v>273.45</v>
      </c>
      <c r="K372">
        <v>4</v>
      </c>
    </row>
    <row r="373" spans="1:11" x14ac:dyDescent="0.35">
      <c r="A373">
        <v>371</v>
      </c>
      <c r="B373">
        <v>2015</v>
      </c>
      <c r="C373" t="s">
        <v>219</v>
      </c>
      <c r="D373" t="s">
        <v>281</v>
      </c>
      <c r="E373" t="s">
        <v>945</v>
      </c>
      <c r="F373" t="s">
        <v>881</v>
      </c>
      <c r="G373">
        <v>2</v>
      </c>
      <c r="H373" t="s">
        <v>843</v>
      </c>
      <c r="I373">
        <v>3</v>
      </c>
      <c r="J373" s="37">
        <v>279.75</v>
      </c>
      <c r="K373">
        <v>4</v>
      </c>
    </row>
    <row r="374" spans="1:11" x14ac:dyDescent="0.35">
      <c r="A374">
        <v>372</v>
      </c>
      <c r="B374">
        <v>2015</v>
      </c>
      <c r="C374" t="s">
        <v>219</v>
      </c>
      <c r="D374" t="s">
        <v>281</v>
      </c>
      <c r="E374" t="s">
        <v>948</v>
      </c>
      <c r="F374" t="s">
        <v>884</v>
      </c>
      <c r="G374">
        <v>2</v>
      </c>
      <c r="H374" t="s">
        <v>843</v>
      </c>
      <c r="I374">
        <v>3</v>
      </c>
      <c r="J374" s="37">
        <v>279.99</v>
      </c>
      <c r="K374">
        <v>4</v>
      </c>
    </row>
    <row r="375" spans="1:11" x14ac:dyDescent="0.35">
      <c r="A375">
        <v>373</v>
      </c>
      <c r="B375">
        <v>2015</v>
      </c>
      <c r="C375" t="s">
        <v>219</v>
      </c>
      <c r="D375" t="s">
        <v>281</v>
      </c>
      <c r="E375" t="s">
        <v>946</v>
      </c>
      <c r="F375" t="s">
        <v>882</v>
      </c>
      <c r="G375">
        <v>2</v>
      </c>
      <c r="H375" t="s">
        <v>843</v>
      </c>
      <c r="I375">
        <v>3</v>
      </c>
      <c r="J375" s="37">
        <v>291.94</v>
      </c>
      <c r="K375">
        <v>4</v>
      </c>
    </row>
    <row r="376" spans="1:11" x14ac:dyDescent="0.35">
      <c r="A376">
        <v>374</v>
      </c>
      <c r="B376">
        <v>2015</v>
      </c>
      <c r="C376" t="s">
        <v>219</v>
      </c>
      <c r="D376" t="s">
        <v>281</v>
      </c>
      <c r="E376" t="s">
        <v>949</v>
      </c>
      <c r="F376" t="s">
        <v>885</v>
      </c>
      <c r="G376">
        <v>2</v>
      </c>
      <c r="H376" t="s">
        <v>843</v>
      </c>
      <c r="I376">
        <v>3</v>
      </c>
      <c r="J376" s="37">
        <v>292.18</v>
      </c>
      <c r="K376">
        <v>4</v>
      </c>
    </row>
    <row r="377" spans="1:11" x14ac:dyDescent="0.35">
      <c r="A377">
        <v>375</v>
      </c>
      <c r="B377">
        <v>2015</v>
      </c>
      <c r="C377" t="s">
        <v>219</v>
      </c>
      <c r="D377" t="s">
        <v>304</v>
      </c>
      <c r="E377" t="s">
        <v>896</v>
      </c>
      <c r="F377" t="s">
        <v>897</v>
      </c>
      <c r="G377">
        <v>1</v>
      </c>
      <c r="H377" t="s">
        <v>843</v>
      </c>
      <c r="I377">
        <v>3</v>
      </c>
      <c r="J377" s="37">
        <v>296.75</v>
      </c>
      <c r="K377">
        <v>4</v>
      </c>
    </row>
    <row r="378" spans="1:11" x14ac:dyDescent="0.35">
      <c r="A378">
        <v>376</v>
      </c>
      <c r="B378">
        <v>2015</v>
      </c>
      <c r="C378" t="s">
        <v>219</v>
      </c>
      <c r="D378" t="s">
        <v>304</v>
      </c>
      <c r="E378" t="s">
        <v>924</v>
      </c>
      <c r="F378" t="s">
        <v>925</v>
      </c>
      <c r="G378">
        <v>1</v>
      </c>
      <c r="H378" t="s">
        <v>843</v>
      </c>
      <c r="I378">
        <v>3</v>
      </c>
      <c r="J378" s="37">
        <v>297.43</v>
      </c>
      <c r="K378">
        <v>4</v>
      </c>
    </row>
    <row r="379" spans="1:11" x14ac:dyDescent="0.35">
      <c r="A379">
        <v>377</v>
      </c>
      <c r="B379">
        <v>2015</v>
      </c>
      <c r="C379" t="s">
        <v>219</v>
      </c>
      <c r="D379" t="s">
        <v>304</v>
      </c>
      <c r="E379" t="s">
        <v>890</v>
      </c>
      <c r="F379" t="s">
        <v>891</v>
      </c>
      <c r="G379">
        <v>1</v>
      </c>
      <c r="H379" t="s">
        <v>843</v>
      </c>
      <c r="I379">
        <v>3</v>
      </c>
      <c r="J379" s="37">
        <v>297.70999999999998</v>
      </c>
      <c r="K379">
        <v>4</v>
      </c>
    </row>
    <row r="380" spans="1:11" x14ac:dyDescent="0.35">
      <c r="A380">
        <v>378</v>
      </c>
      <c r="B380">
        <v>2015</v>
      </c>
      <c r="C380" t="s">
        <v>219</v>
      </c>
      <c r="D380" t="s">
        <v>304</v>
      </c>
      <c r="E380" t="s">
        <v>892</v>
      </c>
      <c r="F380" t="s">
        <v>893</v>
      </c>
      <c r="G380">
        <v>1</v>
      </c>
      <c r="H380" t="s">
        <v>843</v>
      </c>
      <c r="I380">
        <v>3</v>
      </c>
      <c r="J380" s="37">
        <v>298.31</v>
      </c>
      <c r="K380">
        <v>4</v>
      </c>
    </row>
    <row r="381" spans="1:11" x14ac:dyDescent="0.35">
      <c r="A381">
        <v>379</v>
      </c>
      <c r="B381">
        <v>2015</v>
      </c>
      <c r="C381" t="s">
        <v>219</v>
      </c>
      <c r="D381" t="s">
        <v>245</v>
      </c>
      <c r="E381" t="s">
        <v>1105</v>
      </c>
      <c r="F381" t="s">
        <v>1106</v>
      </c>
      <c r="G381">
        <v>2</v>
      </c>
      <c r="H381" t="s">
        <v>843</v>
      </c>
      <c r="I381">
        <v>3</v>
      </c>
      <c r="J381" s="37">
        <v>300</v>
      </c>
      <c r="K381">
        <v>1</v>
      </c>
    </row>
    <row r="382" spans="1:11" x14ac:dyDescent="0.35">
      <c r="A382">
        <v>380</v>
      </c>
      <c r="B382">
        <v>2015</v>
      </c>
      <c r="C382" t="s">
        <v>219</v>
      </c>
      <c r="D382" t="s">
        <v>260</v>
      </c>
      <c r="E382" t="s">
        <v>1112</v>
      </c>
      <c r="F382" t="s">
        <v>848</v>
      </c>
      <c r="G382">
        <v>2</v>
      </c>
      <c r="H382" t="s">
        <v>843</v>
      </c>
      <c r="I382">
        <v>3</v>
      </c>
      <c r="J382" s="37">
        <v>300.83999999999997</v>
      </c>
      <c r="K382">
        <v>1</v>
      </c>
    </row>
    <row r="383" spans="1:11" x14ac:dyDescent="0.35">
      <c r="A383">
        <v>381</v>
      </c>
      <c r="B383">
        <v>2015</v>
      </c>
      <c r="C383" t="s">
        <v>219</v>
      </c>
      <c r="D383" t="s">
        <v>260</v>
      </c>
      <c r="E383" t="s">
        <v>1111</v>
      </c>
      <c r="F383" t="s">
        <v>847</v>
      </c>
      <c r="G383">
        <v>2</v>
      </c>
      <c r="H383" t="s">
        <v>843</v>
      </c>
      <c r="I383">
        <v>3</v>
      </c>
      <c r="J383" s="37">
        <v>302.14999999999998</v>
      </c>
      <c r="K383">
        <v>1</v>
      </c>
    </row>
    <row r="384" spans="1:11" x14ac:dyDescent="0.35">
      <c r="A384">
        <v>382</v>
      </c>
      <c r="B384">
        <v>2015</v>
      </c>
      <c r="C384" t="s">
        <v>219</v>
      </c>
      <c r="D384" t="s">
        <v>245</v>
      </c>
      <c r="E384" t="s">
        <v>1103</v>
      </c>
      <c r="F384" t="s">
        <v>1104</v>
      </c>
      <c r="G384">
        <v>2</v>
      </c>
      <c r="H384" t="s">
        <v>843</v>
      </c>
      <c r="I384">
        <v>3</v>
      </c>
      <c r="J384" s="37">
        <v>303</v>
      </c>
      <c r="K384">
        <v>1</v>
      </c>
    </row>
    <row r="385" spans="1:11" x14ac:dyDescent="0.35">
      <c r="A385">
        <v>383</v>
      </c>
      <c r="B385">
        <v>2015</v>
      </c>
      <c r="C385" t="s">
        <v>219</v>
      </c>
      <c r="D385" t="s">
        <v>304</v>
      </c>
      <c r="E385" t="s">
        <v>888</v>
      </c>
      <c r="F385" t="s">
        <v>889</v>
      </c>
      <c r="G385">
        <v>1</v>
      </c>
      <c r="H385" t="s">
        <v>843</v>
      </c>
      <c r="I385">
        <v>3</v>
      </c>
      <c r="J385" s="37">
        <v>304.23</v>
      </c>
      <c r="K385">
        <v>4</v>
      </c>
    </row>
    <row r="386" spans="1:11" x14ac:dyDescent="0.35">
      <c r="A386">
        <v>384</v>
      </c>
      <c r="B386">
        <v>2015</v>
      </c>
      <c r="C386" t="s">
        <v>219</v>
      </c>
      <c r="D386" t="s">
        <v>951</v>
      </c>
      <c r="E386" t="s">
        <v>971</v>
      </c>
      <c r="F386" t="s">
        <v>972</v>
      </c>
      <c r="G386">
        <v>2</v>
      </c>
      <c r="H386" t="s">
        <v>843</v>
      </c>
      <c r="I386">
        <v>3</v>
      </c>
      <c r="J386" s="37">
        <v>308.68</v>
      </c>
      <c r="K386">
        <v>2</v>
      </c>
    </row>
    <row r="387" spans="1:11" x14ac:dyDescent="0.35">
      <c r="A387">
        <v>385</v>
      </c>
      <c r="B387">
        <v>2015</v>
      </c>
      <c r="C387" t="s">
        <v>219</v>
      </c>
      <c r="D387" t="s">
        <v>304</v>
      </c>
      <c r="E387" t="s">
        <v>894</v>
      </c>
      <c r="F387" t="s">
        <v>895</v>
      </c>
      <c r="G387">
        <v>1</v>
      </c>
      <c r="H387" t="s">
        <v>843</v>
      </c>
      <c r="I387">
        <v>3</v>
      </c>
      <c r="J387" s="37">
        <v>310.66000000000003</v>
      </c>
      <c r="K387">
        <v>4</v>
      </c>
    </row>
    <row r="388" spans="1:11" x14ac:dyDescent="0.35">
      <c r="A388">
        <v>386</v>
      </c>
      <c r="B388">
        <v>2015</v>
      </c>
      <c r="C388" t="s">
        <v>219</v>
      </c>
      <c r="D388" t="s">
        <v>861</v>
      </c>
      <c r="E388" t="s">
        <v>974</v>
      </c>
      <c r="F388" t="s">
        <v>886</v>
      </c>
      <c r="G388">
        <v>1</v>
      </c>
      <c r="H388" t="s">
        <v>843</v>
      </c>
      <c r="I388">
        <v>3</v>
      </c>
      <c r="J388" s="37">
        <v>312.54000000000002</v>
      </c>
      <c r="K388">
        <v>1</v>
      </c>
    </row>
    <row r="389" spans="1:11" x14ac:dyDescent="0.35">
      <c r="A389">
        <v>387</v>
      </c>
      <c r="B389">
        <v>2015</v>
      </c>
      <c r="C389" t="s">
        <v>219</v>
      </c>
      <c r="D389" t="s">
        <v>245</v>
      </c>
      <c r="E389" t="s">
        <v>1101</v>
      </c>
      <c r="F389" t="s">
        <v>1102</v>
      </c>
      <c r="G389">
        <v>2</v>
      </c>
      <c r="H389" t="s">
        <v>843</v>
      </c>
      <c r="I389">
        <v>3</v>
      </c>
      <c r="J389" s="37">
        <v>322</v>
      </c>
      <c r="K389">
        <v>1</v>
      </c>
    </row>
    <row r="390" spans="1:11" x14ac:dyDescent="0.35">
      <c r="A390">
        <v>388</v>
      </c>
      <c r="B390">
        <v>2015</v>
      </c>
      <c r="C390" t="s">
        <v>219</v>
      </c>
      <c r="D390" t="s">
        <v>844</v>
      </c>
      <c r="E390" t="s">
        <v>1084</v>
      </c>
      <c r="F390" t="s">
        <v>1085</v>
      </c>
      <c r="G390">
        <v>3</v>
      </c>
      <c r="H390" t="s">
        <v>843</v>
      </c>
      <c r="I390">
        <v>4</v>
      </c>
      <c r="J390" s="37">
        <v>272.32</v>
      </c>
      <c r="K390">
        <v>1</v>
      </c>
    </row>
    <row r="391" spans="1:11" x14ac:dyDescent="0.35">
      <c r="A391">
        <v>389</v>
      </c>
      <c r="B391">
        <v>2015</v>
      </c>
      <c r="C391" t="s">
        <v>219</v>
      </c>
      <c r="D391" t="s">
        <v>245</v>
      </c>
      <c r="E391" t="s">
        <v>1105</v>
      </c>
      <c r="F391" t="s">
        <v>1106</v>
      </c>
      <c r="G391">
        <v>2</v>
      </c>
      <c r="H391" t="s">
        <v>843</v>
      </c>
      <c r="I391">
        <v>4</v>
      </c>
      <c r="J391" s="37">
        <v>300</v>
      </c>
      <c r="K391">
        <v>1</v>
      </c>
    </row>
    <row r="392" spans="1:11" x14ac:dyDescent="0.35">
      <c r="A392">
        <v>390</v>
      </c>
      <c r="B392">
        <v>2015</v>
      </c>
      <c r="C392" t="s">
        <v>219</v>
      </c>
      <c r="D392" t="s">
        <v>304</v>
      </c>
      <c r="E392" t="s">
        <v>896</v>
      </c>
      <c r="F392" t="s">
        <v>897</v>
      </c>
      <c r="G392">
        <v>1</v>
      </c>
      <c r="H392" t="s">
        <v>843</v>
      </c>
      <c r="I392">
        <v>4</v>
      </c>
      <c r="J392" s="37">
        <v>302.41000000000003</v>
      </c>
      <c r="K392">
        <v>4</v>
      </c>
    </row>
    <row r="393" spans="1:11" x14ac:dyDescent="0.35">
      <c r="A393">
        <v>391</v>
      </c>
      <c r="B393">
        <v>2015</v>
      </c>
      <c r="C393" t="s">
        <v>219</v>
      </c>
      <c r="D393" t="s">
        <v>245</v>
      </c>
      <c r="E393" t="s">
        <v>1103</v>
      </c>
      <c r="F393" t="s">
        <v>1104</v>
      </c>
      <c r="G393">
        <v>2</v>
      </c>
      <c r="H393" t="s">
        <v>843</v>
      </c>
      <c r="I393">
        <v>4</v>
      </c>
      <c r="J393" s="37">
        <v>303</v>
      </c>
      <c r="K393">
        <v>1</v>
      </c>
    </row>
    <row r="394" spans="1:11" x14ac:dyDescent="0.35">
      <c r="A394">
        <v>392</v>
      </c>
      <c r="B394">
        <v>2015</v>
      </c>
      <c r="C394" t="s">
        <v>219</v>
      </c>
      <c r="D394" t="s">
        <v>304</v>
      </c>
      <c r="E394" t="s">
        <v>924</v>
      </c>
      <c r="F394" t="s">
        <v>925</v>
      </c>
      <c r="G394">
        <v>1</v>
      </c>
      <c r="H394" t="s">
        <v>843</v>
      </c>
      <c r="I394">
        <v>4</v>
      </c>
      <c r="J394" s="37">
        <v>303.10000000000002</v>
      </c>
      <c r="K394">
        <v>4</v>
      </c>
    </row>
    <row r="395" spans="1:11" x14ac:dyDescent="0.35">
      <c r="A395">
        <v>393</v>
      </c>
      <c r="B395">
        <v>2015</v>
      </c>
      <c r="C395" t="s">
        <v>219</v>
      </c>
      <c r="D395" t="s">
        <v>304</v>
      </c>
      <c r="E395" t="s">
        <v>890</v>
      </c>
      <c r="F395" t="s">
        <v>891</v>
      </c>
      <c r="G395">
        <v>1</v>
      </c>
      <c r="H395" t="s">
        <v>843</v>
      </c>
      <c r="I395">
        <v>4</v>
      </c>
      <c r="J395" s="37">
        <v>303.38</v>
      </c>
      <c r="K395">
        <v>4</v>
      </c>
    </row>
    <row r="396" spans="1:11" x14ac:dyDescent="0.35">
      <c r="A396">
        <v>394</v>
      </c>
      <c r="B396">
        <v>2015</v>
      </c>
      <c r="C396" t="s">
        <v>219</v>
      </c>
      <c r="D396" t="s">
        <v>304</v>
      </c>
      <c r="E396" t="s">
        <v>892</v>
      </c>
      <c r="F396" t="s">
        <v>893</v>
      </c>
      <c r="G396">
        <v>1</v>
      </c>
      <c r="H396" t="s">
        <v>843</v>
      </c>
      <c r="I396">
        <v>4</v>
      </c>
      <c r="J396" s="37">
        <v>303.99</v>
      </c>
      <c r="K396">
        <v>4</v>
      </c>
    </row>
    <row r="397" spans="1:11" x14ac:dyDescent="0.35">
      <c r="A397">
        <v>395</v>
      </c>
      <c r="B397">
        <v>2015</v>
      </c>
      <c r="C397" t="s">
        <v>219</v>
      </c>
      <c r="D397" t="s">
        <v>304</v>
      </c>
      <c r="E397" t="s">
        <v>888</v>
      </c>
      <c r="F397" t="s">
        <v>889</v>
      </c>
      <c r="G397">
        <v>1</v>
      </c>
      <c r="H397" t="s">
        <v>843</v>
      </c>
      <c r="I397">
        <v>4</v>
      </c>
      <c r="J397" s="37">
        <v>310.02</v>
      </c>
      <c r="K397">
        <v>4</v>
      </c>
    </row>
    <row r="398" spans="1:11" x14ac:dyDescent="0.35">
      <c r="A398">
        <v>396</v>
      </c>
      <c r="B398">
        <v>2015</v>
      </c>
      <c r="C398" t="s">
        <v>219</v>
      </c>
      <c r="D398" t="s">
        <v>304</v>
      </c>
      <c r="E398" t="s">
        <v>894</v>
      </c>
      <c r="F398" t="s">
        <v>895</v>
      </c>
      <c r="G398">
        <v>1</v>
      </c>
      <c r="H398" t="s">
        <v>843</v>
      </c>
      <c r="I398">
        <v>4</v>
      </c>
      <c r="J398" s="37">
        <v>316.58</v>
      </c>
      <c r="K398">
        <v>4</v>
      </c>
    </row>
    <row r="399" spans="1:11" x14ac:dyDescent="0.35">
      <c r="A399">
        <v>397</v>
      </c>
      <c r="B399">
        <v>2015</v>
      </c>
      <c r="C399" t="s">
        <v>219</v>
      </c>
      <c r="D399" t="s">
        <v>245</v>
      </c>
      <c r="E399" t="s">
        <v>1101</v>
      </c>
      <c r="F399" t="s">
        <v>1102</v>
      </c>
      <c r="G399">
        <v>2</v>
      </c>
      <c r="H399" t="s">
        <v>843</v>
      </c>
      <c r="I399">
        <v>4</v>
      </c>
      <c r="J399" s="37">
        <v>322</v>
      </c>
      <c r="K399">
        <v>1</v>
      </c>
    </row>
    <row r="400" spans="1:11" x14ac:dyDescent="0.35">
      <c r="A400">
        <v>398</v>
      </c>
      <c r="B400">
        <v>2015</v>
      </c>
      <c r="C400" t="s">
        <v>219</v>
      </c>
      <c r="D400" t="s">
        <v>260</v>
      </c>
      <c r="E400" t="s">
        <v>1112</v>
      </c>
      <c r="F400" t="s">
        <v>848</v>
      </c>
      <c r="G400">
        <v>2</v>
      </c>
      <c r="H400" t="s">
        <v>843</v>
      </c>
      <c r="I400">
        <v>4</v>
      </c>
      <c r="J400" s="37">
        <v>344.21</v>
      </c>
      <c r="K400">
        <v>1</v>
      </c>
    </row>
    <row r="401" spans="1:11" x14ac:dyDescent="0.35">
      <c r="A401">
        <v>399</v>
      </c>
      <c r="B401">
        <v>2015</v>
      </c>
      <c r="C401" t="s">
        <v>219</v>
      </c>
      <c r="D401" t="s">
        <v>260</v>
      </c>
      <c r="E401" t="s">
        <v>1111</v>
      </c>
      <c r="F401" t="s">
        <v>847</v>
      </c>
      <c r="G401">
        <v>2</v>
      </c>
      <c r="H401" t="s">
        <v>843</v>
      </c>
      <c r="I401">
        <v>4</v>
      </c>
      <c r="J401" s="37">
        <v>345.7</v>
      </c>
      <c r="K401">
        <v>1</v>
      </c>
    </row>
    <row r="402" spans="1:11" x14ac:dyDescent="0.35">
      <c r="A402">
        <v>400</v>
      </c>
      <c r="B402">
        <v>2015</v>
      </c>
      <c r="C402" t="s">
        <v>219</v>
      </c>
      <c r="D402" t="s">
        <v>951</v>
      </c>
      <c r="E402" t="s">
        <v>971</v>
      </c>
      <c r="F402" t="s">
        <v>972</v>
      </c>
      <c r="G402">
        <v>2</v>
      </c>
      <c r="H402" t="s">
        <v>843</v>
      </c>
      <c r="I402">
        <v>4</v>
      </c>
      <c r="J402" s="37">
        <v>352.22</v>
      </c>
      <c r="K402">
        <v>2</v>
      </c>
    </row>
    <row r="403" spans="1:11" x14ac:dyDescent="0.35">
      <c r="A403">
        <v>401</v>
      </c>
      <c r="B403">
        <v>2015</v>
      </c>
      <c r="C403" t="s">
        <v>219</v>
      </c>
      <c r="D403" t="s">
        <v>984</v>
      </c>
      <c r="E403" t="s">
        <v>1028</v>
      </c>
      <c r="F403" t="s">
        <v>1029</v>
      </c>
      <c r="G403">
        <v>2</v>
      </c>
      <c r="H403" t="s">
        <v>843</v>
      </c>
      <c r="I403">
        <v>5</v>
      </c>
      <c r="J403" s="37">
        <v>242.33</v>
      </c>
      <c r="K403">
        <v>1</v>
      </c>
    </row>
    <row r="404" spans="1:11" x14ac:dyDescent="0.35">
      <c r="A404">
        <v>402</v>
      </c>
      <c r="B404">
        <v>2015</v>
      </c>
      <c r="C404" t="s">
        <v>219</v>
      </c>
      <c r="D404" t="s">
        <v>844</v>
      </c>
      <c r="E404" t="s">
        <v>1084</v>
      </c>
      <c r="F404" t="s">
        <v>1085</v>
      </c>
      <c r="G404">
        <v>3</v>
      </c>
      <c r="H404" t="s">
        <v>843</v>
      </c>
      <c r="I404">
        <v>5</v>
      </c>
      <c r="J404" s="37">
        <v>264.52</v>
      </c>
      <c r="K404">
        <v>1</v>
      </c>
    </row>
    <row r="405" spans="1:11" x14ac:dyDescent="0.35">
      <c r="A405">
        <v>403</v>
      </c>
      <c r="B405">
        <v>2015</v>
      </c>
      <c r="C405" t="s">
        <v>219</v>
      </c>
      <c r="D405" t="s">
        <v>260</v>
      </c>
      <c r="E405" t="s">
        <v>1112</v>
      </c>
      <c r="F405" t="s">
        <v>848</v>
      </c>
      <c r="G405">
        <v>2</v>
      </c>
      <c r="H405" t="s">
        <v>843</v>
      </c>
      <c r="I405">
        <v>5</v>
      </c>
      <c r="J405" s="37">
        <v>276.05</v>
      </c>
      <c r="K405">
        <v>1</v>
      </c>
    </row>
    <row r="406" spans="1:11" x14ac:dyDescent="0.35">
      <c r="A406">
        <v>404</v>
      </c>
      <c r="B406">
        <v>2015</v>
      </c>
      <c r="C406" t="s">
        <v>219</v>
      </c>
      <c r="D406" t="s">
        <v>260</v>
      </c>
      <c r="E406" t="s">
        <v>1111</v>
      </c>
      <c r="F406" t="s">
        <v>847</v>
      </c>
      <c r="G406">
        <v>2</v>
      </c>
      <c r="H406" t="s">
        <v>843</v>
      </c>
      <c r="I406">
        <v>5</v>
      </c>
      <c r="J406" s="37">
        <v>277.26</v>
      </c>
      <c r="K406">
        <v>1</v>
      </c>
    </row>
    <row r="407" spans="1:11" x14ac:dyDescent="0.35">
      <c r="A407">
        <v>405</v>
      </c>
      <c r="B407">
        <v>2015</v>
      </c>
      <c r="C407" t="s">
        <v>219</v>
      </c>
      <c r="D407" t="s">
        <v>951</v>
      </c>
      <c r="E407" t="s">
        <v>971</v>
      </c>
      <c r="F407" t="s">
        <v>972</v>
      </c>
      <c r="G407">
        <v>2</v>
      </c>
      <c r="H407" t="s">
        <v>843</v>
      </c>
      <c r="I407">
        <v>5</v>
      </c>
      <c r="J407" s="37">
        <v>297.87</v>
      </c>
      <c r="K407">
        <v>2</v>
      </c>
    </row>
    <row r="408" spans="1:11" x14ac:dyDescent="0.35">
      <c r="A408">
        <v>406</v>
      </c>
      <c r="B408">
        <v>2015</v>
      </c>
      <c r="C408" t="s">
        <v>219</v>
      </c>
      <c r="D408" t="s">
        <v>844</v>
      </c>
      <c r="E408" t="s">
        <v>1084</v>
      </c>
      <c r="F408" t="s">
        <v>1085</v>
      </c>
      <c r="G408">
        <v>3</v>
      </c>
      <c r="H408" t="s">
        <v>843</v>
      </c>
      <c r="I408">
        <v>6</v>
      </c>
      <c r="J408" s="37">
        <v>295.11</v>
      </c>
      <c r="K408">
        <v>1</v>
      </c>
    </row>
    <row r="409" spans="1:11" x14ac:dyDescent="0.35">
      <c r="A409">
        <v>407</v>
      </c>
      <c r="B409">
        <v>2015</v>
      </c>
      <c r="C409" t="s">
        <v>219</v>
      </c>
      <c r="D409" t="s">
        <v>984</v>
      </c>
      <c r="E409" t="s">
        <v>1028</v>
      </c>
      <c r="F409" t="s">
        <v>1029</v>
      </c>
      <c r="G409">
        <v>2</v>
      </c>
      <c r="H409" t="s">
        <v>843</v>
      </c>
      <c r="I409">
        <v>6</v>
      </c>
      <c r="J409" s="37">
        <v>298.88</v>
      </c>
      <c r="K409">
        <v>1</v>
      </c>
    </row>
    <row r="410" spans="1:11" x14ac:dyDescent="0.35">
      <c r="A410">
        <v>408</v>
      </c>
      <c r="B410">
        <v>2015</v>
      </c>
      <c r="C410" t="s">
        <v>219</v>
      </c>
      <c r="D410" t="s">
        <v>260</v>
      </c>
      <c r="E410" t="s">
        <v>1112</v>
      </c>
      <c r="F410" t="s">
        <v>848</v>
      </c>
      <c r="G410">
        <v>2</v>
      </c>
      <c r="H410" t="s">
        <v>843</v>
      </c>
      <c r="I410">
        <v>6</v>
      </c>
      <c r="J410" s="37">
        <v>332.16</v>
      </c>
      <c r="K410">
        <v>1</v>
      </c>
    </row>
    <row r="411" spans="1:11" x14ac:dyDescent="0.35">
      <c r="A411">
        <v>409</v>
      </c>
      <c r="B411">
        <v>2015</v>
      </c>
      <c r="C411" t="s">
        <v>219</v>
      </c>
      <c r="D411" t="s">
        <v>260</v>
      </c>
      <c r="E411" t="s">
        <v>1111</v>
      </c>
      <c r="F411" t="s">
        <v>847</v>
      </c>
      <c r="G411">
        <v>2</v>
      </c>
      <c r="H411" t="s">
        <v>843</v>
      </c>
      <c r="I411">
        <v>6</v>
      </c>
      <c r="J411" s="37">
        <v>333.61</v>
      </c>
      <c r="K411">
        <v>1</v>
      </c>
    </row>
    <row r="412" spans="1:11" x14ac:dyDescent="0.35">
      <c r="A412">
        <v>410</v>
      </c>
      <c r="B412">
        <v>2015</v>
      </c>
      <c r="C412" t="s">
        <v>219</v>
      </c>
      <c r="D412" t="s">
        <v>951</v>
      </c>
      <c r="E412" t="s">
        <v>971</v>
      </c>
      <c r="F412" t="s">
        <v>972</v>
      </c>
      <c r="G412">
        <v>2</v>
      </c>
      <c r="H412" t="s">
        <v>843</v>
      </c>
      <c r="I412">
        <v>6</v>
      </c>
      <c r="J412" s="37">
        <v>370.43</v>
      </c>
      <c r="K412">
        <v>2</v>
      </c>
    </row>
    <row r="413" spans="1:11" x14ac:dyDescent="0.35">
      <c r="A413">
        <v>411</v>
      </c>
      <c r="B413">
        <v>2015</v>
      </c>
      <c r="C413" t="s">
        <v>219</v>
      </c>
      <c r="D413" t="s">
        <v>304</v>
      </c>
      <c r="E413" t="s">
        <v>896</v>
      </c>
      <c r="F413" t="s">
        <v>897</v>
      </c>
      <c r="G413">
        <v>1</v>
      </c>
      <c r="H413" t="s">
        <v>843</v>
      </c>
      <c r="I413">
        <v>7</v>
      </c>
      <c r="J413" s="37">
        <v>268.49</v>
      </c>
      <c r="K413">
        <v>4</v>
      </c>
    </row>
    <row r="414" spans="1:11" x14ac:dyDescent="0.35">
      <c r="A414">
        <v>412</v>
      </c>
      <c r="B414">
        <v>2015</v>
      </c>
      <c r="C414" t="s">
        <v>219</v>
      </c>
      <c r="D414" t="s">
        <v>304</v>
      </c>
      <c r="E414" t="s">
        <v>924</v>
      </c>
      <c r="F414" t="s">
        <v>925</v>
      </c>
      <c r="G414">
        <v>1</v>
      </c>
      <c r="H414" t="s">
        <v>843</v>
      </c>
      <c r="I414">
        <v>7</v>
      </c>
      <c r="J414" s="37">
        <v>269.11</v>
      </c>
      <c r="K414">
        <v>4</v>
      </c>
    </row>
    <row r="415" spans="1:11" x14ac:dyDescent="0.35">
      <c r="A415">
        <v>413</v>
      </c>
      <c r="B415">
        <v>2015</v>
      </c>
      <c r="C415" t="s">
        <v>219</v>
      </c>
      <c r="D415" t="s">
        <v>304</v>
      </c>
      <c r="E415" t="s">
        <v>890</v>
      </c>
      <c r="F415" t="s">
        <v>891</v>
      </c>
      <c r="G415">
        <v>1</v>
      </c>
      <c r="H415" t="s">
        <v>843</v>
      </c>
      <c r="I415">
        <v>7</v>
      </c>
      <c r="J415" s="37">
        <v>269.36</v>
      </c>
      <c r="K415">
        <v>4</v>
      </c>
    </row>
    <row r="416" spans="1:11" x14ac:dyDescent="0.35">
      <c r="A416">
        <v>414</v>
      </c>
      <c r="B416">
        <v>2015</v>
      </c>
      <c r="C416" t="s">
        <v>219</v>
      </c>
      <c r="D416" t="s">
        <v>304</v>
      </c>
      <c r="E416" t="s">
        <v>892</v>
      </c>
      <c r="F416" t="s">
        <v>893</v>
      </c>
      <c r="G416">
        <v>1</v>
      </c>
      <c r="H416" t="s">
        <v>843</v>
      </c>
      <c r="I416">
        <v>7</v>
      </c>
      <c r="J416" s="37">
        <v>269.89999999999998</v>
      </c>
      <c r="K416">
        <v>4</v>
      </c>
    </row>
    <row r="417" spans="1:11" x14ac:dyDescent="0.35">
      <c r="A417">
        <v>415</v>
      </c>
      <c r="B417">
        <v>2015</v>
      </c>
      <c r="C417" t="s">
        <v>219</v>
      </c>
      <c r="D417" t="s">
        <v>260</v>
      </c>
      <c r="E417" t="s">
        <v>1112</v>
      </c>
      <c r="F417" t="s">
        <v>848</v>
      </c>
      <c r="G417">
        <v>2</v>
      </c>
      <c r="H417" t="s">
        <v>843</v>
      </c>
      <c r="I417">
        <v>7</v>
      </c>
      <c r="J417" s="37">
        <v>273.3</v>
      </c>
      <c r="K417">
        <v>1</v>
      </c>
    </row>
    <row r="418" spans="1:11" x14ac:dyDescent="0.35">
      <c r="A418">
        <v>416</v>
      </c>
      <c r="B418">
        <v>2015</v>
      </c>
      <c r="C418" t="s">
        <v>219</v>
      </c>
      <c r="D418" t="s">
        <v>260</v>
      </c>
      <c r="E418" t="s">
        <v>1111</v>
      </c>
      <c r="F418" t="s">
        <v>847</v>
      </c>
      <c r="G418">
        <v>2</v>
      </c>
      <c r="H418" t="s">
        <v>843</v>
      </c>
      <c r="I418">
        <v>7</v>
      </c>
      <c r="J418" s="37">
        <v>274.49</v>
      </c>
      <c r="K418">
        <v>1</v>
      </c>
    </row>
    <row r="419" spans="1:11" x14ac:dyDescent="0.35">
      <c r="A419">
        <v>417</v>
      </c>
      <c r="B419">
        <v>2015</v>
      </c>
      <c r="C419" t="s">
        <v>219</v>
      </c>
      <c r="D419" t="s">
        <v>304</v>
      </c>
      <c r="E419" t="s">
        <v>888</v>
      </c>
      <c r="F419" t="s">
        <v>889</v>
      </c>
      <c r="G419">
        <v>1</v>
      </c>
      <c r="H419" t="s">
        <v>843</v>
      </c>
      <c r="I419">
        <v>7</v>
      </c>
      <c r="J419" s="37">
        <v>275.25</v>
      </c>
      <c r="K419">
        <v>4</v>
      </c>
    </row>
    <row r="420" spans="1:11" x14ac:dyDescent="0.35">
      <c r="A420">
        <v>418</v>
      </c>
      <c r="B420">
        <v>2015</v>
      </c>
      <c r="C420" t="s">
        <v>219</v>
      </c>
      <c r="D420" t="s">
        <v>304</v>
      </c>
      <c r="E420" t="s">
        <v>894</v>
      </c>
      <c r="F420" t="s">
        <v>895</v>
      </c>
      <c r="G420">
        <v>1</v>
      </c>
      <c r="H420" t="s">
        <v>843</v>
      </c>
      <c r="I420">
        <v>7</v>
      </c>
      <c r="J420" s="37">
        <v>281.08</v>
      </c>
      <c r="K420">
        <v>4</v>
      </c>
    </row>
    <row r="421" spans="1:11" x14ac:dyDescent="0.35">
      <c r="A421">
        <v>419</v>
      </c>
      <c r="B421">
        <v>2015</v>
      </c>
      <c r="C421" t="s">
        <v>219</v>
      </c>
      <c r="D421" t="s">
        <v>951</v>
      </c>
      <c r="E421" t="s">
        <v>971</v>
      </c>
      <c r="F421" t="s">
        <v>972</v>
      </c>
      <c r="G421">
        <v>2</v>
      </c>
      <c r="H421" t="s">
        <v>843</v>
      </c>
      <c r="I421">
        <v>7</v>
      </c>
      <c r="J421" s="37">
        <v>347.86</v>
      </c>
      <c r="K421">
        <v>2</v>
      </c>
    </row>
    <row r="422" spans="1:11" x14ac:dyDescent="0.35">
      <c r="A422">
        <v>420</v>
      </c>
      <c r="B422">
        <v>2015</v>
      </c>
      <c r="C422" t="s">
        <v>219</v>
      </c>
      <c r="D422" t="s">
        <v>844</v>
      </c>
      <c r="E422" t="s">
        <v>1080</v>
      </c>
      <c r="F422" t="s">
        <v>1081</v>
      </c>
      <c r="G422">
        <v>2</v>
      </c>
      <c r="H422" t="s">
        <v>843</v>
      </c>
      <c r="I422">
        <v>8</v>
      </c>
      <c r="J422" s="37">
        <v>265.62</v>
      </c>
      <c r="K422">
        <v>1</v>
      </c>
    </row>
    <row r="423" spans="1:11" x14ac:dyDescent="0.35">
      <c r="A423">
        <v>421</v>
      </c>
      <c r="B423">
        <v>2015</v>
      </c>
      <c r="C423" t="s">
        <v>219</v>
      </c>
      <c r="D423" t="s">
        <v>984</v>
      </c>
      <c r="E423" t="s">
        <v>1020</v>
      </c>
      <c r="F423" t="s">
        <v>1021</v>
      </c>
      <c r="G423">
        <v>2</v>
      </c>
      <c r="H423" t="s">
        <v>843</v>
      </c>
      <c r="I423">
        <v>8</v>
      </c>
      <c r="J423" s="37">
        <v>266.3</v>
      </c>
      <c r="K423">
        <v>1</v>
      </c>
    </row>
    <row r="424" spans="1:11" x14ac:dyDescent="0.35">
      <c r="A424">
        <v>422</v>
      </c>
      <c r="B424">
        <v>2015</v>
      </c>
      <c r="C424" t="s">
        <v>219</v>
      </c>
      <c r="D424" t="s">
        <v>281</v>
      </c>
      <c r="E424" t="s">
        <v>944</v>
      </c>
      <c r="F424" t="s">
        <v>880</v>
      </c>
      <c r="G424">
        <v>2</v>
      </c>
      <c r="H424" t="s">
        <v>843</v>
      </c>
      <c r="I424">
        <v>8</v>
      </c>
      <c r="J424" s="37">
        <v>272.16000000000003</v>
      </c>
      <c r="K424">
        <v>4</v>
      </c>
    </row>
    <row r="425" spans="1:11" x14ac:dyDescent="0.35">
      <c r="A425">
        <v>423</v>
      </c>
      <c r="B425">
        <v>2015</v>
      </c>
      <c r="C425" t="s">
        <v>219</v>
      </c>
      <c r="D425" t="s">
        <v>281</v>
      </c>
      <c r="E425" t="s">
        <v>947</v>
      </c>
      <c r="F425" t="s">
        <v>883</v>
      </c>
      <c r="G425">
        <v>2</v>
      </c>
      <c r="H425" t="s">
        <v>843</v>
      </c>
      <c r="I425">
        <v>8</v>
      </c>
      <c r="J425" s="37">
        <v>272.39</v>
      </c>
      <c r="K425">
        <v>4</v>
      </c>
    </row>
    <row r="426" spans="1:11" x14ac:dyDescent="0.35">
      <c r="A426">
        <v>424</v>
      </c>
      <c r="B426">
        <v>2015</v>
      </c>
      <c r="C426" t="s">
        <v>219</v>
      </c>
      <c r="D426" t="s">
        <v>844</v>
      </c>
      <c r="E426" t="s">
        <v>1084</v>
      </c>
      <c r="F426" t="s">
        <v>1085</v>
      </c>
      <c r="G426">
        <v>3</v>
      </c>
      <c r="H426" t="s">
        <v>843</v>
      </c>
      <c r="I426">
        <v>8</v>
      </c>
      <c r="J426" s="37">
        <v>277.25</v>
      </c>
      <c r="K426">
        <v>1</v>
      </c>
    </row>
    <row r="427" spans="1:11" x14ac:dyDescent="0.35">
      <c r="A427">
        <v>425</v>
      </c>
      <c r="B427">
        <v>2015</v>
      </c>
      <c r="C427" t="s">
        <v>219</v>
      </c>
      <c r="D427" t="s">
        <v>281</v>
      </c>
      <c r="E427" t="s">
        <v>945</v>
      </c>
      <c r="F427" t="s">
        <v>881</v>
      </c>
      <c r="G427">
        <v>2</v>
      </c>
      <c r="H427" t="s">
        <v>843</v>
      </c>
      <c r="I427">
        <v>8</v>
      </c>
      <c r="J427" s="37">
        <v>278.67</v>
      </c>
      <c r="K427">
        <v>4</v>
      </c>
    </row>
    <row r="428" spans="1:11" x14ac:dyDescent="0.35">
      <c r="A428">
        <v>426</v>
      </c>
      <c r="B428">
        <v>2015</v>
      </c>
      <c r="C428" t="s">
        <v>219</v>
      </c>
      <c r="D428" t="s">
        <v>281</v>
      </c>
      <c r="E428" t="s">
        <v>948</v>
      </c>
      <c r="F428" t="s">
        <v>884</v>
      </c>
      <c r="G428">
        <v>2</v>
      </c>
      <c r="H428" t="s">
        <v>843</v>
      </c>
      <c r="I428">
        <v>8</v>
      </c>
      <c r="J428" s="37">
        <v>278.91000000000003</v>
      </c>
      <c r="K428">
        <v>4</v>
      </c>
    </row>
    <row r="429" spans="1:11" x14ac:dyDescent="0.35">
      <c r="A429">
        <v>427</v>
      </c>
      <c r="B429">
        <v>2015</v>
      </c>
      <c r="C429" t="s">
        <v>219</v>
      </c>
      <c r="D429" t="s">
        <v>281</v>
      </c>
      <c r="E429" t="s">
        <v>946</v>
      </c>
      <c r="F429" t="s">
        <v>882</v>
      </c>
      <c r="G429">
        <v>2</v>
      </c>
      <c r="H429" t="s">
        <v>843</v>
      </c>
      <c r="I429">
        <v>8</v>
      </c>
      <c r="J429" s="37">
        <v>290.81</v>
      </c>
      <c r="K429">
        <v>4</v>
      </c>
    </row>
    <row r="430" spans="1:11" x14ac:dyDescent="0.35">
      <c r="A430">
        <v>428</v>
      </c>
      <c r="B430">
        <v>2015</v>
      </c>
      <c r="C430" t="s">
        <v>219</v>
      </c>
      <c r="D430" t="s">
        <v>281</v>
      </c>
      <c r="E430" t="s">
        <v>949</v>
      </c>
      <c r="F430" t="s">
        <v>885</v>
      </c>
      <c r="G430">
        <v>2</v>
      </c>
      <c r="H430" t="s">
        <v>843</v>
      </c>
      <c r="I430">
        <v>8</v>
      </c>
      <c r="J430" s="37">
        <v>291.05</v>
      </c>
      <c r="K430">
        <v>4</v>
      </c>
    </row>
    <row r="431" spans="1:11" x14ac:dyDescent="0.35">
      <c r="A431">
        <v>429</v>
      </c>
      <c r="B431">
        <v>2015</v>
      </c>
      <c r="C431" t="s">
        <v>219</v>
      </c>
      <c r="D431" t="s">
        <v>245</v>
      </c>
      <c r="E431" t="s">
        <v>1105</v>
      </c>
      <c r="F431" t="s">
        <v>1106</v>
      </c>
      <c r="G431">
        <v>2</v>
      </c>
      <c r="H431" t="s">
        <v>843</v>
      </c>
      <c r="I431">
        <v>8</v>
      </c>
      <c r="J431" s="37">
        <v>300</v>
      </c>
      <c r="K431">
        <v>1</v>
      </c>
    </row>
    <row r="432" spans="1:11" x14ac:dyDescent="0.35">
      <c r="A432">
        <v>430</v>
      </c>
      <c r="B432">
        <v>2015</v>
      </c>
      <c r="C432" t="s">
        <v>219</v>
      </c>
      <c r="D432" t="s">
        <v>260</v>
      </c>
      <c r="E432" t="s">
        <v>1112</v>
      </c>
      <c r="F432" t="s">
        <v>848</v>
      </c>
      <c r="G432">
        <v>2</v>
      </c>
      <c r="H432" t="s">
        <v>843</v>
      </c>
      <c r="I432">
        <v>8</v>
      </c>
      <c r="J432" s="37">
        <v>300.83999999999997</v>
      </c>
      <c r="K432">
        <v>1</v>
      </c>
    </row>
    <row r="433" spans="1:11" x14ac:dyDescent="0.35">
      <c r="A433">
        <v>431</v>
      </c>
      <c r="B433">
        <v>2015</v>
      </c>
      <c r="C433" t="s">
        <v>219</v>
      </c>
      <c r="D433" t="s">
        <v>260</v>
      </c>
      <c r="E433" t="s">
        <v>1111</v>
      </c>
      <c r="F433" t="s">
        <v>847</v>
      </c>
      <c r="G433">
        <v>2</v>
      </c>
      <c r="H433" t="s">
        <v>843</v>
      </c>
      <c r="I433">
        <v>8</v>
      </c>
      <c r="J433" s="37">
        <v>302.14999999999998</v>
      </c>
      <c r="K433">
        <v>1</v>
      </c>
    </row>
    <row r="434" spans="1:11" x14ac:dyDescent="0.35">
      <c r="A434">
        <v>432</v>
      </c>
      <c r="B434">
        <v>2015</v>
      </c>
      <c r="C434" t="s">
        <v>219</v>
      </c>
      <c r="D434" t="s">
        <v>245</v>
      </c>
      <c r="E434" t="s">
        <v>1103</v>
      </c>
      <c r="F434" t="s">
        <v>1104</v>
      </c>
      <c r="G434">
        <v>2</v>
      </c>
      <c r="H434" t="s">
        <v>843</v>
      </c>
      <c r="I434">
        <v>8</v>
      </c>
      <c r="J434" s="37">
        <v>303</v>
      </c>
      <c r="K434">
        <v>1</v>
      </c>
    </row>
    <row r="435" spans="1:11" x14ac:dyDescent="0.35">
      <c r="A435">
        <v>433</v>
      </c>
      <c r="B435">
        <v>2015</v>
      </c>
      <c r="C435" t="s">
        <v>219</v>
      </c>
      <c r="D435" t="s">
        <v>951</v>
      </c>
      <c r="E435" t="s">
        <v>971</v>
      </c>
      <c r="F435" t="s">
        <v>972</v>
      </c>
      <c r="G435">
        <v>2</v>
      </c>
      <c r="H435" t="s">
        <v>843</v>
      </c>
      <c r="I435">
        <v>8</v>
      </c>
      <c r="J435" s="37">
        <v>315.18</v>
      </c>
      <c r="K435">
        <v>2</v>
      </c>
    </row>
    <row r="436" spans="1:11" x14ac:dyDescent="0.35">
      <c r="A436">
        <v>434</v>
      </c>
      <c r="B436">
        <v>2015</v>
      </c>
      <c r="C436" t="s">
        <v>219</v>
      </c>
      <c r="D436" t="s">
        <v>245</v>
      </c>
      <c r="E436" t="s">
        <v>1101</v>
      </c>
      <c r="F436" t="s">
        <v>1102</v>
      </c>
      <c r="G436">
        <v>2</v>
      </c>
      <c r="H436" t="s">
        <v>843</v>
      </c>
      <c r="I436">
        <v>8</v>
      </c>
      <c r="J436" s="37">
        <v>322</v>
      </c>
      <c r="K436">
        <v>1</v>
      </c>
    </row>
    <row r="437" spans="1:11" x14ac:dyDescent="0.35">
      <c r="A437">
        <v>435</v>
      </c>
      <c r="B437">
        <v>2015</v>
      </c>
      <c r="C437" t="s">
        <v>219</v>
      </c>
      <c r="D437" t="s">
        <v>304</v>
      </c>
      <c r="E437" t="s">
        <v>896</v>
      </c>
      <c r="F437" t="s">
        <v>897</v>
      </c>
      <c r="G437">
        <v>1</v>
      </c>
      <c r="H437" t="s">
        <v>843</v>
      </c>
      <c r="I437">
        <v>9</v>
      </c>
      <c r="J437" s="37">
        <v>268.49</v>
      </c>
      <c r="K437">
        <v>4</v>
      </c>
    </row>
    <row r="438" spans="1:11" x14ac:dyDescent="0.35">
      <c r="A438">
        <v>436</v>
      </c>
      <c r="B438">
        <v>2015</v>
      </c>
      <c r="C438" t="s">
        <v>219</v>
      </c>
      <c r="D438" t="s">
        <v>304</v>
      </c>
      <c r="E438" t="s">
        <v>924</v>
      </c>
      <c r="F438" t="s">
        <v>925</v>
      </c>
      <c r="G438">
        <v>1</v>
      </c>
      <c r="H438" t="s">
        <v>843</v>
      </c>
      <c r="I438">
        <v>9</v>
      </c>
      <c r="J438" s="37">
        <v>269.11</v>
      </c>
      <c r="K438">
        <v>4</v>
      </c>
    </row>
    <row r="439" spans="1:11" x14ac:dyDescent="0.35">
      <c r="A439">
        <v>437</v>
      </c>
      <c r="B439">
        <v>2015</v>
      </c>
      <c r="C439" t="s">
        <v>219</v>
      </c>
      <c r="D439" t="s">
        <v>304</v>
      </c>
      <c r="E439" t="s">
        <v>890</v>
      </c>
      <c r="F439" t="s">
        <v>891</v>
      </c>
      <c r="G439">
        <v>1</v>
      </c>
      <c r="H439" t="s">
        <v>843</v>
      </c>
      <c r="I439">
        <v>9</v>
      </c>
      <c r="J439" s="37">
        <v>269.36</v>
      </c>
      <c r="K439">
        <v>4</v>
      </c>
    </row>
    <row r="440" spans="1:11" x14ac:dyDescent="0.35">
      <c r="A440">
        <v>438</v>
      </c>
      <c r="B440">
        <v>2015</v>
      </c>
      <c r="C440" t="s">
        <v>219</v>
      </c>
      <c r="D440" t="s">
        <v>304</v>
      </c>
      <c r="E440" t="s">
        <v>892</v>
      </c>
      <c r="F440" t="s">
        <v>893</v>
      </c>
      <c r="G440">
        <v>1</v>
      </c>
      <c r="H440" t="s">
        <v>843</v>
      </c>
      <c r="I440">
        <v>9</v>
      </c>
      <c r="J440" s="37">
        <v>269.89999999999998</v>
      </c>
      <c r="K440">
        <v>4</v>
      </c>
    </row>
    <row r="441" spans="1:11" x14ac:dyDescent="0.35">
      <c r="A441">
        <v>439</v>
      </c>
      <c r="B441">
        <v>2015</v>
      </c>
      <c r="C441" t="s">
        <v>219</v>
      </c>
      <c r="D441" t="s">
        <v>304</v>
      </c>
      <c r="E441" t="s">
        <v>888</v>
      </c>
      <c r="F441" t="s">
        <v>889</v>
      </c>
      <c r="G441">
        <v>1</v>
      </c>
      <c r="H441" t="s">
        <v>843</v>
      </c>
      <c r="I441">
        <v>9</v>
      </c>
      <c r="J441" s="37">
        <v>275.25</v>
      </c>
      <c r="K441">
        <v>4</v>
      </c>
    </row>
    <row r="442" spans="1:11" x14ac:dyDescent="0.35">
      <c r="A442">
        <v>440</v>
      </c>
      <c r="B442">
        <v>2015</v>
      </c>
      <c r="C442" t="s">
        <v>219</v>
      </c>
      <c r="D442" t="s">
        <v>304</v>
      </c>
      <c r="E442" t="s">
        <v>894</v>
      </c>
      <c r="F442" t="s">
        <v>895</v>
      </c>
      <c r="G442">
        <v>1</v>
      </c>
      <c r="H442" t="s">
        <v>843</v>
      </c>
      <c r="I442">
        <v>9</v>
      </c>
      <c r="J442" s="37">
        <v>281.08</v>
      </c>
      <c r="K442">
        <v>4</v>
      </c>
    </row>
    <row r="443" spans="1:11" x14ac:dyDescent="0.35">
      <c r="A443">
        <v>441</v>
      </c>
      <c r="B443">
        <v>2015</v>
      </c>
      <c r="C443" t="s">
        <v>219</v>
      </c>
      <c r="D443" t="s">
        <v>951</v>
      </c>
      <c r="E443" t="s">
        <v>971</v>
      </c>
      <c r="F443" t="s">
        <v>972</v>
      </c>
      <c r="G443">
        <v>2</v>
      </c>
      <c r="H443" t="s">
        <v>843</v>
      </c>
      <c r="I443">
        <v>9</v>
      </c>
      <c r="J443" s="37">
        <v>299.74</v>
      </c>
      <c r="K443">
        <v>2</v>
      </c>
    </row>
    <row r="444" spans="1:11" x14ac:dyDescent="0.35">
      <c r="A444">
        <v>442</v>
      </c>
      <c r="B444">
        <v>2015</v>
      </c>
      <c r="C444" t="s">
        <v>219</v>
      </c>
      <c r="D444" t="s">
        <v>260</v>
      </c>
      <c r="E444" t="s">
        <v>1112</v>
      </c>
      <c r="F444" t="s">
        <v>848</v>
      </c>
      <c r="G444">
        <v>2</v>
      </c>
      <c r="H444" t="s">
        <v>843</v>
      </c>
      <c r="I444">
        <v>9</v>
      </c>
      <c r="J444" s="37">
        <v>330.78</v>
      </c>
      <c r="K444">
        <v>1</v>
      </c>
    </row>
    <row r="445" spans="1:11" x14ac:dyDescent="0.35">
      <c r="A445">
        <v>443</v>
      </c>
      <c r="B445">
        <v>2015</v>
      </c>
      <c r="C445" t="s">
        <v>219</v>
      </c>
      <c r="D445" t="s">
        <v>260</v>
      </c>
      <c r="E445" t="s">
        <v>1111</v>
      </c>
      <c r="F445" t="s">
        <v>847</v>
      </c>
      <c r="G445">
        <v>2</v>
      </c>
      <c r="H445" t="s">
        <v>843</v>
      </c>
      <c r="I445">
        <v>9</v>
      </c>
      <c r="J445" s="37">
        <v>332.23</v>
      </c>
      <c r="K445">
        <v>1</v>
      </c>
    </row>
    <row r="446" spans="1:11" x14ac:dyDescent="0.35">
      <c r="A446">
        <v>444</v>
      </c>
      <c r="B446">
        <v>2015</v>
      </c>
      <c r="C446" t="s">
        <v>219</v>
      </c>
      <c r="D446" t="s">
        <v>844</v>
      </c>
      <c r="E446" t="s">
        <v>1078</v>
      </c>
      <c r="F446" t="s">
        <v>1079</v>
      </c>
      <c r="G446">
        <v>2</v>
      </c>
      <c r="H446" t="s">
        <v>843</v>
      </c>
      <c r="I446">
        <v>10</v>
      </c>
      <c r="J446" s="37">
        <v>254.89</v>
      </c>
      <c r="K446">
        <v>1</v>
      </c>
    </row>
    <row r="447" spans="1:11" x14ac:dyDescent="0.35">
      <c r="A447">
        <v>445</v>
      </c>
      <c r="B447">
        <v>2015</v>
      </c>
      <c r="C447" t="s">
        <v>219</v>
      </c>
      <c r="D447" t="s">
        <v>984</v>
      </c>
      <c r="E447" t="s">
        <v>1018</v>
      </c>
      <c r="F447" t="s">
        <v>1019</v>
      </c>
      <c r="G447">
        <v>2</v>
      </c>
      <c r="H447" t="s">
        <v>843</v>
      </c>
      <c r="I447">
        <v>10</v>
      </c>
      <c r="J447" s="37">
        <v>260.70999999999998</v>
      </c>
      <c r="K447">
        <v>1</v>
      </c>
    </row>
    <row r="448" spans="1:11" x14ac:dyDescent="0.35">
      <c r="A448">
        <v>446</v>
      </c>
      <c r="B448">
        <v>2015</v>
      </c>
      <c r="C448" t="s">
        <v>219</v>
      </c>
      <c r="D448" t="s">
        <v>844</v>
      </c>
      <c r="E448" t="s">
        <v>1084</v>
      </c>
      <c r="F448" t="s">
        <v>1085</v>
      </c>
      <c r="G448">
        <v>3</v>
      </c>
      <c r="H448" t="s">
        <v>843</v>
      </c>
      <c r="I448">
        <v>10</v>
      </c>
      <c r="J448" s="37">
        <v>268.3</v>
      </c>
      <c r="K448">
        <v>1</v>
      </c>
    </row>
    <row r="449" spans="1:11" x14ac:dyDescent="0.35">
      <c r="A449">
        <v>447</v>
      </c>
      <c r="B449">
        <v>2015</v>
      </c>
      <c r="C449" t="s">
        <v>219</v>
      </c>
      <c r="D449" t="s">
        <v>984</v>
      </c>
      <c r="E449" t="s">
        <v>1022</v>
      </c>
      <c r="F449" t="s">
        <v>1023</v>
      </c>
      <c r="G449">
        <v>2</v>
      </c>
      <c r="H449" t="s">
        <v>843</v>
      </c>
      <c r="I449">
        <v>10</v>
      </c>
      <c r="J449" s="37">
        <v>279.14</v>
      </c>
      <c r="K449">
        <v>1</v>
      </c>
    </row>
    <row r="450" spans="1:11" x14ac:dyDescent="0.35">
      <c r="A450">
        <v>448</v>
      </c>
      <c r="B450">
        <v>2015</v>
      </c>
      <c r="C450" t="s">
        <v>219</v>
      </c>
      <c r="D450" t="s">
        <v>304</v>
      </c>
      <c r="E450" t="s">
        <v>896</v>
      </c>
      <c r="F450" t="s">
        <v>897</v>
      </c>
      <c r="G450">
        <v>1</v>
      </c>
      <c r="H450" t="s">
        <v>843</v>
      </c>
      <c r="I450">
        <v>10</v>
      </c>
      <c r="J450" s="37">
        <v>279.8</v>
      </c>
      <c r="K450">
        <v>4</v>
      </c>
    </row>
    <row r="451" spans="1:11" x14ac:dyDescent="0.35">
      <c r="A451">
        <v>449</v>
      </c>
      <c r="B451">
        <v>2015</v>
      </c>
      <c r="C451" t="s">
        <v>219</v>
      </c>
      <c r="D451" t="s">
        <v>304</v>
      </c>
      <c r="E451" t="s">
        <v>924</v>
      </c>
      <c r="F451" t="s">
        <v>925</v>
      </c>
      <c r="G451">
        <v>1</v>
      </c>
      <c r="H451" t="s">
        <v>843</v>
      </c>
      <c r="I451">
        <v>10</v>
      </c>
      <c r="J451" s="37">
        <v>280.44</v>
      </c>
      <c r="K451">
        <v>4</v>
      </c>
    </row>
    <row r="452" spans="1:11" x14ac:dyDescent="0.35">
      <c r="A452">
        <v>450</v>
      </c>
      <c r="B452">
        <v>2015</v>
      </c>
      <c r="C452" t="s">
        <v>219</v>
      </c>
      <c r="D452" t="s">
        <v>304</v>
      </c>
      <c r="E452" t="s">
        <v>890</v>
      </c>
      <c r="F452" t="s">
        <v>891</v>
      </c>
      <c r="G452">
        <v>1</v>
      </c>
      <c r="H452" t="s">
        <v>843</v>
      </c>
      <c r="I452">
        <v>10</v>
      </c>
      <c r="J452" s="37">
        <v>280.7</v>
      </c>
      <c r="K452">
        <v>4</v>
      </c>
    </row>
    <row r="453" spans="1:11" x14ac:dyDescent="0.35">
      <c r="A453">
        <v>451</v>
      </c>
      <c r="B453">
        <v>2015</v>
      </c>
      <c r="C453" t="s">
        <v>219</v>
      </c>
      <c r="D453" t="s">
        <v>304</v>
      </c>
      <c r="E453" t="s">
        <v>892</v>
      </c>
      <c r="F453" t="s">
        <v>893</v>
      </c>
      <c r="G453">
        <v>1</v>
      </c>
      <c r="H453" t="s">
        <v>843</v>
      </c>
      <c r="I453">
        <v>10</v>
      </c>
      <c r="J453" s="37">
        <v>281.26</v>
      </c>
      <c r="K453">
        <v>4</v>
      </c>
    </row>
    <row r="454" spans="1:11" x14ac:dyDescent="0.35">
      <c r="A454">
        <v>452</v>
      </c>
      <c r="B454">
        <v>2015</v>
      </c>
      <c r="C454" t="s">
        <v>219</v>
      </c>
      <c r="D454" t="s">
        <v>304</v>
      </c>
      <c r="E454" t="s">
        <v>888</v>
      </c>
      <c r="F454" t="s">
        <v>889</v>
      </c>
      <c r="G454">
        <v>1</v>
      </c>
      <c r="H454" t="s">
        <v>843</v>
      </c>
      <c r="I454">
        <v>10</v>
      </c>
      <c r="J454" s="37">
        <v>286.83999999999997</v>
      </c>
      <c r="K454">
        <v>4</v>
      </c>
    </row>
    <row r="455" spans="1:11" x14ac:dyDescent="0.35">
      <c r="A455">
        <v>453</v>
      </c>
      <c r="B455">
        <v>2015</v>
      </c>
      <c r="C455" t="s">
        <v>219</v>
      </c>
      <c r="D455" t="s">
        <v>951</v>
      </c>
      <c r="E455" t="s">
        <v>971</v>
      </c>
      <c r="F455" t="s">
        <v>972</v>
      </c>
      <c r="G455">
        <v>2</v>
      </c>
      <c r="H455" t="s">
        <v>843</v>
      </c>
      <c r="I455">
        <v>10</v>
      </c>
      <c r="J455" s="37">
        <v>291.86</v>
      </c>
      <c r="K455">
        <v>2</v>
      </c>
    </row>
    <row r="456" spans="1:11" x14ac:dyDescent="0.35">
      <c r="A456">
        <v>454</v>
      </c>
      <c r="B456">
        <v>2015</v>
      </c>
      <c r="C456" t="s">
        <v>219</v>
      </c>
      <c r="D456" t="s">
        <v>304</v>
      </c>
      <c r="E456" t="s">
        <v>894</v>
      </c>
      <c r="F456" t="s">
        <v>895</v>
      </c>
      <c r="G456">
        <v>1</v>
      </c>
      <c r="H456" t="s">
        <v>843</v>
      </c>
      <c r="I456">
        <v>10</v>
      </c>
      <c r="J456" s="37">
        <v>292.91000000000003</v>
      </c>
      <c r="K456">
        <v>4</v>
      </c>
    </row>
    <row r="457" spans="1:11" x14ac:dyDescent="0.35">
      <c r="A457">
        <v>455</v>
      </c>
      <c r="B457">
        <v>2015</v>
      </c>
      <c r="C457" t="s">
        <v>219</v>
      </c>
      <c r="D457" t="s">
        <v>245</v>
      </c>
      <c r="E457" t="s">
        <v>1105</v>
      </c>
      <c r="F457" t="s">
        <v>1106</v>
      </c>
      <c r="G457">
        <v>2</v>
      </c>
      <c r="H457" t="s">
        <v>843</v>
      </c>
      <c r="I457">
        <v>10</v>
      </c>
      <c r="J457" s="37">
        <v>300</v>
      </c>
      <c r="K457">
        <v>1</v>
      </c>
    </row>
    <row r="458" spans="1:11" x14ac:dyDescent="0.35">
      <c r="A458">
        <v>456</v>
      </c>
      <c r="B458">
        <v>2015</v>
      </c>
      <c r="C458" t="s">
        <v>219</v>
      </c>
      <c r="D458" t="s">
        <v>245</v>
      </c>
      <c r="E458" t="s">
        <v>1103</v>
      </c>
      <c r="F458" t="s">
        <v>1104</v>
      </c>
      <c r="G458">
        <v>2</v>
      </c>
      <c r="H458" t="s">
        <v>843</v>
      </c>
      <c r="I458">
        <v>10</v>
      </c>
      <c r="J458" s="37">
        <v>303</v>
      </c>
      <c r="K458">
        <v>1</v>
      </c>
    </row>
    <row r="459" spans="1:11" x14ac:dyDescent="0.35">
      <c r="A459">
        <v>457</v>
      </c>
      <c r="B459">
        <v>2015</v>
      </c>
      <c r="C459" t="s">
        <v>219</v>
      </c>
      <c r="D459" t="s">
        <v>260</v>
      </c>
      <c r="E459" t="s">
        <v>1112</v>
      </c>
      <c r="F459" t="s">
        <v>848</v>
      </c>
      <c r="G459">
        <v>2</v>
      </c>
      <c r="H459" t="s">
        <v>843</v>
      </c>
      <c r="I459">
        <v>10</v>
      </c>
      <c r="J459" s="37">
        <v>320.11</v>
      </c>
      <c r="K459">
        <v>1</v>
      </c>
    </row>
    <row r="460" spans="1:11" x14ac:dyDescent="0.35">
      <c r="A460">
        <v>458</v>
      </c>
      <c r="B460">
        <v>2015</v>
      </c>
      <c r="C460" t="s">
        <v>219</v>
      </c>
      <c r="D460" t="s">
        <v>260</v>
      </c>
      <c r="E460" t="s">
        <v>1111</v>
      </c>
      <c r="F460" t="s">
        <v>847</v>
      </c>
      <c r="G460">
        <v>2</v>
      </c>
      <c r="H460" t="s">
        <v>843</v>
      </c>
      <c r="I460">
        <v>10</v>
      </c>
      <c r="J460" s="37">
        <v>321.51</v>
      </c>
      <c r="K460">
        <v>1</v>
      </c>
    </row>
    <row r="461" spans="1:11" x14ac:dyDescent="0.35">
      <c r="A461">
        <v>459</v>
      </c>
      <c r="B461">
        <v>2015</v>
      </c>
      <c r="C461" t="s">
        <v>219</v>
      </c>
      <c r="D461" t="s">
        <v>245</v>
      </c>
      <c r="E461" t="s">
        <v>1101</v>
      </c>
      <c r="F461" t="s">
        <v>1102</v>
      </c>
      <c r="G461">
        <v>2</v>
      </c>
      <c r="H461" t="s">
        <v>843</v>
      </c>
      <c r="I461">
        <v>10</v>
      </c>
      <c r="J461" s="37">
        <v>322</v>
      </c>
      <c r="K461">
        <v>1</v>
      </c>
    </row>
    <row r="462" spans="1:11" x14ac:dyDescent="0.35">
      <c r="A462">
        <v>460</v>
      </c>
      <c r="B462">
        <v>2015</v>
      </c>
      <c r="C462" t="s">
        <v>219</v>
      </c>
      <c r="D462" t="s">
        <v>984</v>
      </c>
      <c r="E462" t="s">
        <v>1028</v>
      </c>
      <c r="F462" t="s">
        <v>1029</v>
      </c>
      <c r="G462">
        <v>2</v>
      </c>
      <c r="H462" t="s">
        <v>843</v>
      </c>
      <c r="I462">
        <v>11</v>
      </c>
      <c r="J462" s="37">
        <v>284.62</v>
      </c>
      <c r="K462">
        <v>1</v>
      </c>
    </row>
    <row r="463" spans="1:11" x14ac:dyDescent="0.35">
      <c r="A463">
        <v>461</v>
      </c>
      <c r="B463">
        <v>2015</v>
      </c>
      <c r="C463" t="s">
        <v>219</v>
      </c>
      <c r="D463" t="s">
        <v>844</v>
      </c>
      <c r="E463" t="s">
        <v>1084</v>
      </c>
      <c r="F463" t="s">
        <v>1085</v>
      </c>
      <c r="G463">
        <v>3</v>
      </c>
      <c r="H463" t="s">
        <v>843</v>
      </c>
      <c r="I463">
        <v>11</v>
      </c>
      <c r="J463" s="37">
        <v>295.11</v>
      </c>
      <c r="K463">
        <v>1</v>
      </c>
    </row>
    <row r="464" spans="1:11" x14ac:dyDescent="0.35">
      <c r="A464">
        <v>462</v>
      </c>
      <c r="B464">
        <v>2015</v>
      </c>
      <c r="C464" t="s">
        <v>219</v>
      </c>
      <c r="D464" t="s">
        <v>260</v>
      </c>
      <c r="E464" t="s">
        <v>1112</v>
      </c>
      <c r="F464" t="s">
        <v>848</v>
      </c>
      <c r="G464">
        <v>2</v>
      </c>
      <c r="H464" t="s">
        <v>843</v>
      </c>
      <c r="I464">
        <v>11</v>
      </c>
      <c r="J464" s="37">
        <v>346.96</v>
      </c>
      <c r="K464">
        <v>1</v>
      </c>
    </row>
    <row r="465" spans="1:11" x14ac:dyDescent="0.35">
      <c r="A465">
        <v>463</v>
      </c>
      <c r="B465">
        <v>2015</v>
      </c>
      <c r="C465" t="s">
        <v>219</v>
      </c>
      <c r="D465" t="s">
        <v>260</v>
      </c>
      <c r="E465" t="s">
        <v>1111</v>
      </c>
      <c r="F465" t="s">
        <v>847</v>
      </c>
      <c r="G465">
        <v>2</v>
      </c>
      <c r="H465" t="s">
        <v>843</v>
      </c>
      <c r="I465">
        <v>11</v>
      </c>
      <c r="J465" s="37">
        <v>348.47</v>
      </c>
      <c r="K465">
        <v>1</v>
      </c>
    </row>
    <row r="466" spans="1:11" x14ac:dyDescent="0.35">
      <c r="A466">
        <v>464</v>
      </c>
      <c r="B466">
        <v>2015</v>
      </c>
      <c r="C466" t="s">
        <v>219</v>
      </c>
      <c r="D466" t="s">
        <v>861</v>
      </c>
      <c r="E466" t="s">
        <v>974</v>
      </c>
      <c r="F466" t="s">
        <v>886</v>
      </c>
      <c r="G466">
        <v>1</v>
      </c>
      <c r="H466" t="s">
        <v>843</v>
      </c>
      <c r="I466">
        <v>11</v>
      </c>
      <c r="J466" s="37">
        <v>350.46</v>
      </c>
      <c r="K466">
        <v>1</v>
      </c>
    </row>
    <row r="467" spans="1:11" x14ac:dyDescent="0.35">
      <c r="A467">
        <v>465</v>
      </c>
      <c r="B467">
        <v>2015</v>
      </c>
      <c r="C467" t="s">
        <v>219</v>
      </c>
      <c r="D467" t="s">
        <v>951</v>
      </c>
      <c r="E467" t="s">
        <v>971</v>
      </c>
      <c r="F467" t="s">
        <v>972</v>
      </c>
      <c r="G467">
        <v>2</v>
      </c>
      <c r="H467" t="s">
        <v>843</v>
      </c>
      <c r="I467">
        <v>11</v>
      </c>
      <c r="J467" s="37">
        <v>352.83</v>
      </c>
      <c r="K467">
        <v>2</v>
      </c>
    </row>
    <row r="468" spans="1:11" x14ac:dyDescent="0.35">
      <c r="A468">
        <v>466</v>
      </c>
      <c r="B468">
        <v>2015</v>
      </c>
      <c r="C468" t="s">
        <v>219</v>
      </c>
      <c r="D468" t="s">
        <v>984</v>
      </c>
      <c r="E468" t="s">
        <v>1024</v>
      </c>
      <c r="F468" t="s">
        <v>1025</v>
      </c>
      <c r="G468">
        <v>2</v>
      </c>
      <c r="H468" t="s">
        <v>843</v>
      </c>
      <c r="I468">
        <v>12</v>
      </c>
      <c r="J468" s="37">
        <v>271.08999999999997</v>
      </c>
      <c r="K468">
        <v>1</v>
      </c>
    </row>
    <row r="469" spans="1:11" x14ac:dyDescent="0.35">
      <c r="A469">
        <v>467</v>
      </c>
      <c r="B469">
        <v>2015</v>
      </c>
      <c r="C469" t="s">
        <v>219</v>
      </c>
      <c r="D469" t="s">
        <v>951</v>
      </c>
      <c r="E469" t="s">
        <v>971</v>
      </c>
      <c r="F469" t="s">
        <v>972</v>
      </c>
      <c r="G469">
        <v>2</v>
      </c>
      <c r="H469" t="s">
        <v>843</v>
      </c>
      <c r="I469">
        <v>12</v>
      </c>
      <c r="J469" s="37">
        <v>303.64999999999998</v>
      </c>
      <c r="K469">
        <v>2</v>
      </c>
    </row>
    <row r="470" spans="1:11" x14ac:dyDescent="0.35">
      <c r="A470">
        <v>468</v>
      </c>
      <c r="B470">
        <v>2015</v>
      </c>
      <c r="C470" t="s">
        <v>219</v>
      </c>
      <c r="D470" t="s">
        <v>844</v>
      </c>
      <c r="E470" t="s">
        <v>1082</v>
      </c>
      <c r="F470" t="s">
        <v>1083</v>
      </c>
      <c r="G470">
        <v>2</v>
      </c>
      <c r="H470" t="s">
        <v>843</v>
      </c>
      <c r="I470">
        <v>12</v>
      </c>
      <c r="J470" s="37">
        <v>303.74</v>
      </c>
      <c r="K470">
        <v>1</v>
      </c>
    </row>
    <row r="471" spans="1:11" x14ac:dyDescent="0.35">
      <c r="A471">
        <v>469</v>
      </c>
      <c r="B471">
        <v>2015</v>
      </c>
      <c r="C471" t="s">
        <v>219</v>
      </c>
      <c r="D471" t="s">
        <v>260</v>
      </c>
      <c r="E471" t="s">
        <v>1112</v>
      </c>
      <c r="F471" t="s">
        <v>848</v>
      </c>
      <c r="G471">
        <v>2</v>
      </c>
      <c r="H471" t="s">
        <v>843</v>
      </c>
      <c r="I471">
        <v>12</v>
      </c>
      <c r="J471" s="37">
        <v>308.07</v>
      </c>
      <c r="K471">
        <v>1</v>
      </c>
    </row>
    <row r="472" spans="1:11" x14ac:dyDescent="0.35">
      <c r="A472">
        <v>470</v>
      </c>
      <c r="B472">
        <v>2015</v>
      </c>
      <c r="C472" t="s">
        <v>219</v>
      </c>
      <c r="D472" t="s">
        <v>260</v>
      </c>
      <c r="E472" t="s">
        <v>1111</v>
      </c>
      <c r="F472" t="s">
        <v>847</v>
      </c>
      <c r="G472">
        <v>2</v>
      </c>
      <c r="H472" t="s">
        <v>843</v>
      </c>
      <c r="I472">
        <v>12</v>
      </c>
      <c r="J472" s="37">
        <v>309.41000000000003</v>
      </c>
      <c r="K472">
        <v>1</v>
      </c>
    </row>
    <row r="473" spans="1:11" x14ac:dyDescent="0.35">
      <c r="A473">
        <v>471</v>
      </c>
      <c r="B473">
        <v>2015</v>
      </c>
      <c r="C473" t="s">
        <v>219</v>
      </c>
      <c r="D473" t="s">
        <v>844</v>
      </c>
      <c r="E473" t="s">
        <v>1084</v>
      </c>
      <c r="F473" t="s">
        <v>1085</v>
      </c>
      <c r="G473">
        <v>3</v>
      </c>
      <c r="H473" t="s">
        <v>843</v>
      </c>
      <c r="I473">
        <v>12</v>
      </c>
      <c r="J473" s="37">
        <v>322.8</v>
      </c>
      <c r="K473">
        <v>1</v>
      </c>
    </row>
    <row r="474" spans="1:11" x14ac:dyDescent="0.35">
      <c r="A474">
        <v>472</v>
      </c>
      <c r="B474">
        <v>2015</v>
      </c>
      <c r="C474" t="s">
        <v>219</v>
      </c>
      <c r="D474" t="s">
        <v>861</v>
      </c>
      <c r="E474" t="s">
        <v>974</v>
      </c>
      <c r="F474" t="s">
        <v>886</v>
      </c>
      <c r="G474">
        <v>1</v>
      </c>
      <c r="H474" t="s">
        <v>843</v>
      </c>
      <c r="I474">
        <v>12</v>
      </c>
      <c r="J474" s="37">
        <v>336.5</v>
      </c>
      <c r="K474">
        <v>1</v>
      </c>
    </row>
    <row r="475" spans="1:11" x14ac:dyDescent="0.35">
      <c r="A475">
        <v>473</v>
      </c>
      <c r="B475">
        <v>2015</v>
      </c>
      <c r="C475" t="s">
        <v>219</v>
      </c>
      <c r="D475" t="s">
        <v>844</v>
      </c>
      <c r="E475" t="s">
        <v>1078</v>
      </c>
      <c r="F475" t="s">
        <v>1079</v>
      </c>
      <c r="G475">
        <v>2</v>
      </c>
      <c r="H475" t="s">
        <v>843</v>
      </c>
      <c r="I475">
        <v>13</v>
      </c>
      <c r="J475" s="37">
        <v>275.69</v>
      </c>
      <c r="K475">
        <v>1</v>
      </c>
    </row>
    <row r="476" spans="1:11" x14ac:dyDescent="0.35">
      <c r="A476">
        <v>474</v>
      </c>
      <c r="B476">
        <v>2015</v>
      </c>
      <c r="C476" t="s">
        <v>219</v>
      </c>
      <c r="D476" t="s">
        <v>844</v>
      </c>
      <c r="E476" t="s">
        <v>1084</v>
      </c>
      <c r="F476" t="s">
        <v>1085</v>
      </c>
      <c r="G476">
        <v>3</v>
      </c>
      <c r="H476" t="s">
        <v>843</v>
      </c>
      <c r="I476">
        <v>13</v>
      </c>
      <c r="J476" s="37">
        <v>290.18</v>
      </c>
      <c r="K476">
        <v>1</v>
      </c>
    </row>
    <row r="477" spans="1:11" x14ac:dyDescent="0.35">
      <c r="A477">
        <v>475</v>
      </c>
      <c r="B477">
        <v>2015</v>
      </c>
      <c r="C477" t="s">
        <v>219</v>
      </c>
      <c r="D477" t="s">
        <v>245</v>
      </c>
      <c r="E477" t="s">
        <v>1105</v>
      </c>
      <c r="F477" t="s">
        <v>1106</v>
      </c>
      <c r="G477">
        <v>2</v>
      </c>
      <c r="H477" t="s">
        <v>843</v>
      </c>
      <c r="I477">
        <v>13</v>
      </c>
      <c r="J477" s="37">
        <v>300</v>
      </c>
      <c r="K477">
        <v>1</v>
      </c>
    </row>
    <row r="478" spans="1:11" x14ac:dyDescent="0.35">
      <c r="A478">
        <v>476</v>
      </c>
      <c r="B478">
        <v>2015</v>
      </c>
      <c r="C478" t="s">
        <v>219</v>
      </c>
      <c r="D478" t="s">
        <v>245</v>
      </c>
      <c r="E478" t="s">
        <v>1103</v>
      </c>
      <c r="F478" t="s">
        <v>1104</v>
      </c>
      <c r="G478">
        <v>2</v>
      </c>
      <c r="H478" t="s">
        <v>843</v>
      </c>
      <c r="I478">
        <v>13</v>
      </c>
      <c r="J478" s="37">
        <v>303</v>
      </c>
      <c r="K478">
        <v>1</v>
      </c>
    </row>
    <row r="479" spans="1:11" x14ac:dyDescent="0.35">
      <c r="A479">
        <v>477</v>
      </c>
      <c r="B479">
        <v>2015</v>
      </c>
      <c r="C479" t="s">
        <v>219</v>
      </c>
      <c r="D479" t="s">
        <v>304</v>
      </c>
      <c r="E479" t="s">
        <v>896</v>
      </c>
      <c r="F479" t="s">
        <v>897</v>
      </c>
      <c r="G479">
        <v>1</v>
      </c>
      <c r="H479" t="s">
        <v>843</v>
      </c>
      <c r="I479">
        <v>13</v>
      </c>
      <c r="J479" s="37">
        <v>310.89</v>
      </c>
      <c r="K479">
        <v>4</v>
      </c>
    </row>
    <row r="480" spans="1:11" x14ac:dyDescent="0.35">
      <c r="A480">
        <v>478</v>
      </c>
      <c r="B480">
        <v>2015</v>
      </c>
      <c r="C480" t="s">
        <v>219</v>
      </c>
      <c r="D480" t="s">
        <v>304</v>
      </c>
      <c r="E480" t="s">
        <v>924</v>
      </c>
      <c r="F480" t="s">
        <v>925</v>
      </c>
      <c r="G480">
        <v>1</v>
      </c>
      <c r="H480" t="s">
        <v>843</v>
      </c>
      <c r="I480">
        <v>13</v>
      </c>
      <c r="J480" s="37">
        <v>311.60000000000002</v>
      </c>
      <c r="K480">
        <v>4</v>
      </c>
    </row>
    <row r="481" spans="1:11" x14ac:dyDescent="0.35">
      <c r="A481">
        <v>479</v>
      </c>
      <c r="B481">
        <v>2015</v>
      </c>
      <c r="C481" t="s">
        <v>219</v>
      </c>
      <c r="D481" t="s">
        <v>304</v>
      </c>
      <c r="E481" t="s">
        <v>890</v>
      </c>
      <c r="F481" t="s">
        <v>891</v>
      </c>
      <c r="G481">
        <v>1</v>
      </c>
      <c r="H481" t="s">
        <v>843</v>
      </c>
      <c r="I481">
        <v>13</v>
      </c>
      <c r="J481" s="37">
        <v>311.89</v>
      </c>
      <c r="K481">
        <v>4</v>
      </c>
    </row>
    <row r="482" spans="1:11" x14ac:dyDescent="0.35">
      <c r="A482">
        <v>480</v>
      </c>
      <c r="B482">
        <v>2015</v>
      </c>
      <c r="C482" t="s">
        <v>219</v>
      </c>
      <c r="D482" t="s">
        <v>304</v>
      </c>
      <c r="E482" t="s">
        <v>892</v>
      </c>
      <c r="F482" t="s">
        <v>893</v>
      </c>
      <c r="G482">
        <v>1</v>
      </c>
      <c r="H482" t="s">
        <v>843</v>
      </c>
      <c r="I482">
        <v>13</v>
      </c>
      <c r="J482" s="37">
        <v>312.51</v>
      </c>
      <c r="K482">
        <v>4</v>
      </c>
    </row>
    <row r="483" spans="1:11" x14ac:dyDescent="0.35">
      <c r="A483">
        <v>481</v>
      </c>
      <c r="B483">
        <v>2015</v>
      </c>
      <c r="C483" t="s">
        <v>219</v>
      </c>
      <c r="D483" t="s">
        <v>304</v>
      </c>
      <c r="E483" t="s">
        <v>888</v>
      </c>
      <c r="F483" t="s">
        <v>889</v>
      </c>
      <c r="G483">
        <v>1</v>
      </c>
      <c r="H483" t="s">
        <v>843</v>
      </c>
      <c r="I483">
        <v>13</v>
      </c>
      <c r="J483" s="37">
        <v>318.70999999999998</v>
      </c>
      <c r="K483">
        <v>4</v>
      </c>
    </row>
    <row r="484" spans="1:11" x14ac:dyDescent="0.35">
      <c r="A484">
        <v>482</v>
      </c>
      <c r="B484">
        <v>2015</v>
      </c>
      <c r="C484" t="s">
        <v>219</v>
      </c>
      <c r="D484" t="s">
        <v>245</v>
      </c>
      <c r="E484" t="s">
        <v>1101</v>
      </c>
      <c r="F484" t="s">
        <v>1102</v>
      </c>
      <c r="G484">
        <v>2</v>
      </c>
      <c r="H484" t="s">
        <v>843</v>
      </c>
      <c r="I484">
        <v>13</v>
      </c>
      <c r="J484" s="37">
        <v>322</v>
      </c>
      <c r="K484">
        <v>1</v>
      </c>
    </row>
    <row r="485" spans="1:11" x14ac:dyDescent="0.35">
      <c r="A485">
        <v>483</v>
      </c>
      <c r="B485">
        <v>2015</v>
      </c>
      <c r="C485" t="s">
        <v>219</v>
      </c>
      <c r="D485" t="s">
        <v>304</v>
      </c>
      <c r="E485" t="s">
        <v>894</v>
      </c>
      <c r="F485" t="s">
        <v>895</v>
      </c>
      <c r="G485">
        <v>1</v>
      </c>
      <c r="H485" t="s">
        <v>843</v>
      </c>
      <c r="I485">
        <v>13</v>
      </c>
      <c r="J485" s="37">
        <v>325.45999999999998</v>
      </c>
      <c r="K485">
        <v>4</v>
      </c>
    </row>
    <row r="486" spans="1:11" x14ac:dyDescent="0.35">
      <c r="A486">
        <v>484</v>
      </c>
      <c r="B486">
        <v>2015</v>
      </c>
      <c r="C486" t="s">
        <v>219</v>
      </c>
      <c r="D486" t="s">
        <v>951</v>
      </c>
      <c r="E486" t="s">
        <v>971</v>
      </c>
      <c r="F486" t="s">
        <v>972</v>
      </c>
      <c r="G486">
        <v>2</v>
      </c>
      <c r="H486" t="s">
        <v>843</v>
      </c>
      <c r="I486">
        <v>13</v>
      </c>
      <c r="J486" s="37">
        <v>338.1</v>
      </c>
      <c r="K486">
        <v>2</v>
      </c>
    </row>
    <row r="487" spans="1:11" x14ac:dyDescent="0.35">
      <c r="A487">
        <v>485</v>
      </c>
      <c r="B487">
        <v>2015</v>
      </c>
      <c r="C487" t="s">
        <v>219</v>
      </c>
      <c r="D487" t="s">
        <v>260</v>
      </c>
      <c r="E487" t="s">
        <v>1112</v>
      </c>
      <c r="F487" t="s">
        <v>848</v>
      </c>
      <c r="G487">
        <v>2</v>
      </c>
      <c r="H487" t="s">
        <v>843</v>
      </c>
      <c r="I487">
        <v>13</v>
      </c>
      <c r="J487" s="37">
        <v>339.05</v>
      </c>
      <c r="K487">
        <v>1</v>
      </c>
    </row>
    <row r="488" spans="1:11" x14ac:dyDescent="0.35">
      <c r="A488">
        <v>486</v>
      </c>
      <c r="B488">
        <v>2015</v>
      </c>
      <c r="C488" t="s">
        <v>219</v>
      </c>
      <c r="D488" t="s">
        <v>260</v>
      </c>
      <c r="E488" t="s">
        <v>1111</v>
      </c>
      <c r="F488" t="s">
        <v>847</v>
      </c>
      <c r="G488">
        <v>2</v>
      </c>
      <c r="H488" t="s">
        <v>843</v>
      </c>
      <c r="I488">
        <v>13</v>
      </c>
      <c r="J488" s="37">
        <v>340.53</v>
      </c>
      <c r="K488">
        <v>1</v>
      </c>
    </row>
    <row r="489" spans="1:11" x14ac:dyDescent="0.35">
      <c r="A489">
        <v>487</v>
      </c>
      <c r="B489">
        <v>2015</v>
      </c>
      <c r="C489" t="s">
        <v>219</v>
      </c>
      <c r="D489" t="s">
        <v>861</v>
      </c>
      <c r="E489" t="s">
        <v>974</v>
      </c>
      <c r="F489" t="s">
        <v>886</v>
      </c>
      <c r="G489">
        <v>1</v>
      </c>
      <c r="H489" t="s">
        <v>843</v>
      </c>
      <c r="I489">
        <v>13</v>
      </c>
      <c r="J489" s="37">
        <v>356.6</v>
      </c>
      <c r="K489">
        <v>1</v>
      </c>
    </row>
    <row r="490" spans="1:11" x14ac:dyDescent="0.35">
      <c r="A490">
        <v>488</v>
      </c>
      <c r="B490">
        <v>2015</v>
      </c>
      <c r="C490" t="s">
        <v>219</v>
      </c>
      <c r="D490" t="s">
        <v>984</v>
      </c>
      <c r="E490" t="s">
        <v>1026</v>
      </c>
      <c r="F490" t="s">
        <v>1027</v>
      </c>
      <c r="G490">
        <v>2</v>
      </c>
      <c r="H490" t="s">
        <v>843</v>
      </c>
      <c r="I490">
        <v>14</v>
      </c>
      <c r="J490" s="37">
        <v>228.21</v>
      </c>
      <c r="K490">
        <v>1</v>
      </c>
    </row>
    <row r="491" spans="1:11" x14ac:dyDescent="0.35">
      <c r="A491">
        <v>489</v>
      </c>
      <c r="B491">
        <v>2015</v>
      </c>
      <c r="C491" t="s">
        <v>219</v>
      </c>
      <c r="D491" t="s">
        <v>844</v>
      </c>
      <c r="E491" t="s">
        <v>1086</v>
      </c>
      <c r="F491" t="s">
        <v>1087</v>
      </c>
      <c r="G491">
        <v>2</v>
      </c>
      <c r="H491" t="s">
        <v>843</v>
      </c>
      <c r="I491">
        <v>14</v>
      </c>
      <c r="J491" s="37">
        <v>234.67</v>
      </c>
      <c r="K491">
        <v>1</v>
      </c>
    </row>
    <row r="492" spans="1:11" x14ac:dyDescent="0.35">
      <c r="A492">
        <v>490</v>
      </c>
      <c r="B492">
        <v>2015</v>
      </c>
      <c r="C492" t="s">
        <v>219</v>
      </c>
      <c r="D492" t="s">
        <v>984</v>
      </c>
      <c r="E492" t="s">
        <v>1028</v>
      </c>
      <c r="F492" t="s">
        <v>1029</v>
      </c>
      <c r="G492">
        <v>2</v>
      </c>
      <c r="H492" t="s">
        <v>843</v>
      </c>
      <c r="I492">
        <v>14</v>
      </c>
      <c r="J492" s="37">
        <v>257.3</v>
      </c>
      <c r="K492">
        <v>1</v>
      </c>
    </row>
    <row r="493" spans="1:11" x14ac:dyDescent="0.35">
      <c r="A493">
        <v>491</v>
      </c>
      <c r="B493">
        <v>2015</v>
      </c>
      <c r="C493" t="s">
        <v>219</v>
      </c>
      <c r="D493" t="s">
        <v>260</v>
      </c>
      <c r="E493" t="s">
        <v>1112</v>
      </c>
      <c r="F493" t="s">
        <v>848</v>
      </c>
      <c r="G493">
        <v>2</v>
      </c>
      <c r="H493" t="s">
        <v>843</v>
      </c>
      <c r="I493">
        <v>14</v>
      </c>
      <c r="J493" s="37">
        <v>258.5</v>
      </c>
      <c r="K493">
        <v>1</v>
      </c>
    </row>
    <row r="494" spans="1:11" x14ac:dyDescent="0.35">
      <c r="A494">
        <v>492</v>
      </c>
      <c r="B494">
        <v>2015</v>
      </c>
      <c r="C494" t="s">
        <v>219</v>
      </c>
      <c r="D494" t="s">
        <v>260</v>
      </c>
      <c r="E494" t="s">
        <v>1111</v>
      </c>
      <c r="F494" t="s">
        <v>847</v>
      </c>
      <c r="G494">
        <v>2</v>
      </c>
      <c r="H494" t="s">
        <v>843</v>
      </c>
      <c r="I494">
        <v>14</v>
      </c>
      <c r="J494" s="37">
        <v>259.62</v>
      </c>
      <c r="K494">
        <v>1</v>
      </c>
    </row>
    <row r="495" spans="1:11" x14ac:dyDescent="0.35">
      <c r="A495">
        <v>493</v>
      </c>
      <c r="B495">
        <v>2015</v>
      </c>
      <c r="C495" t="s">
        <v>219</v>
      </c>
      <c r="D495" t="s">
        <v>844</v>
      </c>
      <c r="E495" t="s">
        <v>1084</v>
      </c>
      <c r="F495" t="s">
        <v>1085</v>
      </c>
      <c r="G495">
        <v>3</v>
      </c>
      <c r="H495" t="s">
        <v>843</v>
      </c>
      <c r="I495">
        <v>14</v>
      </c>
      <c r="J495" s="37">
        <v>261.89999999999998</v>
      </c>
      <c r="K495">
        <v>1</v>
      </c>
    </row>
    <row r="496" spans="1:11" x14ac:dyDescent="0.35">
      <c r="A496">
        <v>494</v>
      </c>
      <c r="B496">
        <v>2015</v>
      </c>
      <c r="C496" t="s">
        <v>219</v>
      </c>
      <c r="D496" t="s">
        <v>951</v>
      </c>
      <c r="E496" t="s">
        <v>971</v>
      </c>
      <c r="F496" t="s">
        <v>972</v>
      </c>
      <c r="G496">
        <v>2</v>
      </c>
      <c r="H496" t="s">
        <v>843</v>
      </c>
      <c r="I496">
        <v>14</v>
      </c>
      <c r="J496" s="37">
        <v>312.04000000000002</v>
      </c>
      <c r="K496">
        <v>2</v>
      </c>
    </row>
    <row r="497" spans="1:11" x14ac:dyDescent="0.35">
      <c r="A497">
        <v>495</v>
      </c>
      <c r="B497">
        <v>2015</v>
      </c>
      <c r="C497" t="s">
        <v>219</v>
      </c>
      <c r="D497" t="s">
        <v>984</v>
      </c>
      <c r="E497" t="s">
        <v>1030</v>
      </c>
      <c r="F497" t="s">
        <v>1031</v>
      </c>
      <c r="G497">
        <v>2</v>
      </c>
      <c r="H497" t="s">
        <v>843</v>
      </c>
      <c r="I497">
        <v>15</v>
      </c>
      <c r="J497" s="37">
        <v>317.97000000000003</v>
      </c>
      <c r="K497">
        <v>1</v>
      </c>
    </row>
    <row r="498" spans="1:11" x14ac:dyDescent="0.35">
      <c r="A498">
        <v>496</v>
      </c>
      <c r="B498">
        <v>2015</v>
      </c>
      <c r="C498" t="s">
        <v>219</v>
      </c>
      <c r="D498" t="s">
        <v>260</v>
      </c>
      <c r="E498" t="s">
        <v>1112</v>
      </c>
      <c r="F498" t="s">
        <v>848</v>
      </c>
      <c r="G498">
        <v>2</v>
      </c>
      <c r="H498" t="s">
        <v>843</v>
      </c>
      <c r="I498">
        <v>15</v>
      </c>
      <c r="J498" s="37">
        <v>365.89</v>
      </c>
      <c r="K498">
        <v>1</v>
      </c>
    </row>
    <row r="499" spans="1:11" x14ac:dyDescent="0.35">
      <c r="A499">
        <v>497</v>
      </c>
      <c r="B499">
        <v>2015</v>
      </c>
      <c r="C499" t="s">
        <v>219</v>
      </c>
      <c r="D499" t="s">
        <v>260</v>
      </c>
      <c r="E499" t="s">
        <v>1111</v>
      </c>
      <c r="F499" t="s">
        <v>847</v>
      </c>
      <c r="G499">
        <v>2</v>
      </c>
      <c r="H499" t="s">
        <v>843</v>
      </c>
      <c r="I499">
        <v>15</v>
      </c>
      <c r="J499" s="37">
        <v>367.49</v>
      </c>
      <c r="K499">
        <v>1</v>
      </c>
    </row>
    <row r="500" spans="1:11" x14ac:dyDescent="0.35">
      <c r="A500">
        <v>498</v>
      </c>
      <c r="B500">
        <v>2015</v>
      </c>
      <c r="C500" t="s">
        <v>219</v>
      </c>
      <c r="D500" t="s">
        <v>951</v>
      </c>
      <c r="E500" t="s">
        <v>971</v>
      </c>
      <c r="F500" t="s">
        <v>972</v>
      </c>
      <c r="G500">
        <v>2</v>
      </c>
      <c r="H500" t="s">
        <v>843</v>
      </c>
      <c r="I500">
        <v>15</v>
      </c>
      <c r="J500" s="37">
        <v>415.99</v>
      </c>
      <c r="K500">
        <v>2</v>
      </c>
    </row>
    <row r="501" spans="1:11" x14ac:dyDescent="0.35">
      <c r="A501">
        <v>499</v>
      </c>
      <c r="B501">
        <v>2015</v>
      </c>
      <c r="C501" t="s">
        <v>219</v>
      </c>
      <c r="D501" t="s">
        <v>951</v>
      </c>
      <c r="E501" t="s">
        <v>971</v>
      </c>
      <c r="F501" t="s">
        <v>972</v>
      </c>
      <c r="G501">
        <v>2</v>
      </c>
      <c r="H501" t="s">
        <v>843</v>
      </c>
      <c r="I501">
        <v>16</v>
      </c>
      <c r="J501" s="37">
        <v>289.54000000000002</v>
      </c>
      <c r="K501">
        <v>2</v>
      </c>
    </row>
    <row r="502" spans="1:11" x14ac:dyDescent="0.35">
      <c r="A502">
        <v>500</v>
      </c>
      <c r="B502">
        <v>2015</v>
      </c>
      <c r="C502" t="s">
        <v>219</v>
      </c>
      <c r="D502" t="s">
        <v>260</v>
      </c>
      <c r="E502" t="s">
        <v>1112</v>
      </c>
      <c r="F502" t="s">
        <v>848</v>
      </c>
      <c r="G502">
        <v>2</v>
      </c>
      <c r="H502" t="s">
        <v>843</v>
      </c>
      <c r="I502">
        <v>16</v>
      </c>
      <c r="J502" s="37">
        <v>292.23</v>
      </c>
      <c r="K502">
        <v>1</v>
      </c>
    </row>
    <row r="503" spans="1:11" x14ac:dyDescent="0.35">
      <c r="A503">
        <v>501</v>
      </c>
      <c r="B503">
        <v>2015</v>
      </c>
      <c r="C503" t="s">
        <v>219</v>
      </c>
      <c r="D503" t="s">
        <v>260</v>
      </c>
      <c r="E503" t="s">
        <v>1111</v>
      </c>
      <c r="F503" t="s">
        <v>847</v>
      </c>
      <c r="G503">
        <v>2</v>
      </c>
      <c r="H503" t="s">
        <v>843</v>
      </c>
      <c r="I503">
        <v>16</v>
      </c>
      <c r="J503" s="37">
        <v>293.5</v>
      </c>
      <c r="K503">
        <v>1</v>
      </c>
    </row>
    <row r="504" spans="1:11" x14ac:dyDescent="0.35">
      <c r="A504">
        <v>502</v>
      </c>
      <c r="B504">
        <v>2015</v>
      </c>
      <c r="C504" t="s">
        <v>219</v>
      </c>
      <c r="D504" t="s">
        <v>844</v>
      </c>
      <c r="E504" t="s">
        <v>1084</v>
      </c>
      <c r="F504" t="s">
        <v>1085</v>
      </c>
      <c r="G504">
        <v>3</v>
      </c>
      <c r="H504" t="s">
        <v>843</v>
      </c>
      <c r="I504">
        <v>16</v>
      </c>
      <c r="J504" s="37">
        <v>295.45</v>
      </c>
      <c r="K504">
        <v>1</v>
      </c>
    </row>
    <row r="505" spans="1:11" x14ac:dyDescent="0.35">
      <c r="A505">
        <v>503</v>
      </c>
      <c r="B505">
        <v>2015</v>
      </c>
      <c r="C505" t="s">
        <v>219</v>
      </c>
      <c r="D505" t="s">
        <v>984</v>
      </c>
      <c r="E505" t="s">
        <v>1000</v>
      </c>
      <c r="F505" t="s">
        <v>1001</v>
      </c>
      <c r="G505">
        <v>2</v>
      </c>
      <c r="H505" t="s">
        <v>842</v>
      </c>
      <c r="I505">
        <v>1</v>
      </c>
      <c r="J505" s="37">
        <v>248.3</v>
      </c>
      <c r="K505">
        <v>1</v>
      </c>
    </row>
    <row r="506" spans="1:11" x14ac:dyDescent="0.35">
      <c r="A506">
        <v>504</v>
      </c>
      <c r="B506">
        <v>2015</v>
      </c>
      <c r="C506" t="s">
        <v>219</v>
      </c>
      <c r="D506" t="s">
        <v>260</v>
      </c>
      <c r="E506" t="s">
        <v>1110</v>
      </c>
      <c r="F506" t="s">
        <v>846</v>
      </c>
      <c r="G506">
        <v>2</v>
      </c>
      <c r="H506" t="s">
        <v>842</v>
      </c>
      <c r="I506">
        <v>1</v>
      </c>
      <c r="J506" s="37">
        <v>251.7</v>
      </c>
      <c r="K506">
        <v>1</v>
      </c>
    </row>
    <row r="507" spans="1:11" x14ac:dyDescent="0.35">
      <c r="A507">
        <v>505</v>
      </c>
      <c r="B507">
        <v>2015</v>
      </c>
      <c r="C507" t="s">
        <v>219</v>
      </c>
      <c r="D507" t="s">
        <v>951</v>
      </c>
      <c r="E507" t="s">
        <v>950</v>
      </c>
      <c r="F507" t="s">
        <v>952</v>
      </c>
      <c r="G507">
        <v>2</v>
      </c>
      <c r="H507" t="s">
        <v>842</v>
      </c>
      <c r="I507">
        <v>1</v>
      </c>
      <c r="J507" s="37">
        <v>254.6</v>
      </c>
      <c r="K507">
        <v>2</v>
      </c>
    </row>
    <row r="508" spans="1:11" x14ac:dyDescent="0.35">
      <c r="A508">
        <v>506</v>
      </c>
      <c r="B508">
        <v>2015</v>
      </c>
      <c r="C508" t="s">
        <v>219</v>
      </c>
      <c r="D508" t="s">
        <v>951</v>
      </c>
      <c r="E508" t="s">
        <v>955</v>
      </c>
      <c r="F508" t="s">
        <v>956</v>
      </c>
      <c r="G508">
        <v>2</v>
      </c>
      <c r="H508" t="s">
        <v>842</v>
      </c>
      <c r="I508">
        <v>1</v>
      </c>
      <c r="J508" s="37">
        <v>257.68</v>
      </c>
      <c r="K508">
        <v>2</v>
      </c>
    </row>
    <row r="509" spans="1:11" x14ac:dyDescent="0.35">
      <c r="A509">
        <v>507</v>
      </c>
      <c r="B509">
        <v>2015</v>
      </c>
      <c r="C509" t="s">
        <v>219</v>
      </c>
      <c r="D509" t="s">
        <v>951</v>
      </c>
      <c r="E509" t="s">
        <v>959</v>
      </c>
      <c r="F509" t="s">
        <v>960</v>
      </c>
      <c r="G509">
        <v>2</v>
      </c>
      <c r="H509" t="s">
        <v>842</v>
      </c>
      <c r="I509">
        <v>1</v>
      </c>
      <c r="J509" s="37">
        <v>270.08</v>
      </c>
      <c r="K509">
        <v>2</v>
      </c>
    </row>
    <row r="510" spans="1:11" x14ac:dyDescent="0.35">
      <c r="A510">
        <v>508</v>
      </c>
      <c r="B510">
        <v>2015</v>
      </c>
      <c r="C510" t="s">
        <v>219</v>
      </c>
      <c r="D510" t="s">
        <v>984</v>
      </c>
      <c r="E510" t="s">
        <v>983</v>
      </c>
      <c r="F510" t="s">
        <v>985</v>
      </c>
      <c r="G510">
        <v>2</v>
      </c>
      <c r="H510" t="s">
        <v>842</v>
      </c>
      <c r="I510">
        <v>1</v>
      </c>
      <c r="J510" s="37">
        <v>272.23</v>
      </c>
      <c r="K510">
        <v>1</v>
      </c>
    </row>
    <row r="511" spans="1:11" x14ac:dyDescent="0.35">
      <c r="A511">
        <v>509</v>
      </c>
      <c r="B511">
        <v>2015</v>
      </c>
      <c r="C511" t="s">
        <v>219</v>
      </c>
      <c r="D511" t="s">
        <v>260</v>
      </c>
      <c r="E511" t="s">
        <v>1107</v>
      </c>
      <c r="F511" t="s">
        <v>845</v>
      </c>
      <c r="G511">
        <v>2</v>
      </c>
      <c r="H511" t="s">
        <v>842</v>
      </c>
      <c r="I511">
        <v>1</v>
      </c>
      <c r="J511" s="37">
        <v>274.02</v>
      </c>
      <c r="K511">
        <v>1</v>
      </c>
    </row>
    <row r="512" spans="1:11" x14ac:dyDescent="0.35">
      <c r="A512">
        <v>510</v>
      </c>
      <c r="B512">
        <v>2015</v>
      </c>
      <c r="C512" t="s">
        <v>219</v>
      </c>
      <c r="D512" t="s">
        <v>260</v>
      </c>
      <c r="E512" t="s">
        <v>1108</v>
      </c>
      <c r="F512" t="s">
        <v>1109</v>
      </c>
      <c r="G512">
        <v>2</v>
      </c>
      <c r="H512" t="s">
        <v>842</v>
      </c>
      <c r="I512">
        <v>1</v>
      </c>
      <c r="J512" s="37">
        <v>274.02</v>
      </c>
      <c r="K512">
        <v>1</v>
      </c>
    </row>
    <row r="513" spans="1:11" x14ac:dyDescent="0.35">
      <c r="A513">
        <v>511</v>
      </c>
      <c r="B513">
        <v>2015</v>
      </c>
      <c r="C513" t="s">
        <v>219</v>
      </c>
      <c r="D513" t="s">
        <v>951</v>
      </c>
      <c r="E513" t="s">
        <v>953</v>
      </c>
      <c r="F513" t="s">
        <v>954</v>
      </c>
      <c r="G513">
        <v>2</v>
      </c>
      <c r="H513" t="s">
        <v>842</v>
      </c>
      <c r="I513">
        <v>1</v>
      </c>
      <c r="J513" s="37">
        <v>278.70999999999998</v>
      </c>
      <c r="K513">
        <v>2</v>
      </c>
    </row>
    <row r="514" spans="1:11" x14ac:dyDescent="0.35">
      <c r="A514">
        <v>512</v>
      </c>
      <c r="B514">
        <v>2015</v>
      </c>
      <c r="C514" t="s">
        <v>219</v>
      </c>
      <c r="D514" t="s">
        <v>951</v>
      </c>
      <c r="E514" t="s">
        <v>957</v>
      </c>
      <c r="F514" t="s">
        <v>958</v>
      </c>
      <c r="G514">
        <v>2</v>
      </c>
      <c r="H514" t="s">
        <v>842</v>
      </c>
      <c r="I514">
        <v>1</v>
      </c>
      <c r="J514" s="37">
        <v>291.56</v>
      </c>
      <c r="K514">
        <v>2</v>
      </c>
    </row>
    <row r="515" spans="1:11" x14ac:dyDescent="0.35">
      <c r="A515">
        <v>513</v>
      </c>
      <c r="B515">
        <v>2015</v>
      </c>
      <c r="C515" t="s">
        <v>219</v>
      </c>
      <c r="D515" t="s">
        <v>281</v>
      </c>
      <c r="E515" t="s">
        <v>932</v>
      </c>
      <c r="F515" t="s">
        <v>858</v>
      </c>
      <c r="G515">
        <v>2</v>
      </c>
      <c r="H515" t="s">
        <v>842</v>
      </c>
      <c r="I515">
        <v>2</v>
      </c>
      <c r="J515" s="37">
        <v>149.83000000000001</v>
      </c>
      <c r="K515">
        <v>4</v>
      </c>
    </row>
    <row r="516" spans="1:11" x14ac:dyDescent="0.35">
      <c r="A516">
        <v>514</v>
      </c>
      <c r="B516">
        <v>2015</v>
      </c>
      <c r="C516" t="s">
        <v>219</v>
      </c>
      <c r="D516" t="s">
        <v>281</v>
      </c>
      <c r="E516" t="s">
        <v>935</v>
      </c>
      <c r="F516" t="s">
        <v>871</v>
      </c>
      <c r="G516">
        <v>2</v>
      </c>
      <c r="H516" t="s">
        <v>842</v>
      </c>
      <c r="I516">
        <v>2</v>
      </c>
      <c r="J516" s="37">
        <v>152.06</v>
      </c>
      <c r="K516">
        <v>4</v>
      </c>
    </row>
    <row r="517" spans="1:11" x14ac:dyDescent="0.35">
      <c r="A517">
        <v>515</v>
      </c>
      <c r="B517">
        <v>2015</v>
      </c>
      <c r="C517" t="s">
        <v>219</v>
      </c>
      <c r="D517" t="s">
        <v>281</v>
      </c>
      <c r="E517" t="s">
        <v>938</v>
      </c>
      <c r="F517" t="s">
        <v>874</v>
      </c>
      <c r="G517">
        <v>2</v>
      </c>
      <c r="H517" t="s">
        <v>842</v>
      </c>
      <c r="I517">
        <v>2</v>
      </c>
      <c r="J517" s="37">
        <v>152.66999999999999</v>
      </c>
      <c r="K517">
        <v>4</v>
      </c>
    </row>
    <row r="518" spans="1:11" x14ac:dyDescent="0.35">
      <c r="A518">
        <v>516</v>
      </c>
      <c r="B518">
        <v>2015</v>
      </c>
      <c r="C518" t="s">
        <v>219</v>
      </c>
      <c r="D518" t="s">
        <v>281</v>
      </c>
      <c r="E518" t="s">
        <v>933</v>
      </c>
      <c r="F518" t="s">
        <v>859</v>
      </c>
      <c r="G518">
        <v>2</v>
      </c>
      <c r="H518" t="s">
        <v>842</v>
      </c>
      <c r="I518">
        <v>2</v>
      </c>
      <c r="J518" s="37">
        <v>153.41</v>
      </c>
      <c r="K518">
        <v>4</v>
      </c>
    </row>
    <row r="519" spans="1:11" x14ac:dyDescent="0.35">
      <c r="A519">
        <v>517</v>
      </c>
      <c r="B519">
        <v>2015</v>
      </c>
      <c r="C519" t="s">
        <v>219</v>
      </c>
      <c r="D519" t="s">
        <v>281</v>
      </c>
      <c r="E519" t="s">
        <v>936</v>
      </c>
      <c r="F519" t="s">
        <v>872</v>
      </c>
      <c r="G519">
        <v>2</v>
      </c>
      <c r="H519" t="s">
        <v>842</v>
      </c>
      <c r="I519">
        <v>2</v>
      </c>
      <c r="J519" s="37">
        <v>155.69999999999999</v>
      </c>
      <c r="K519">
        <v>4</v>
      </c>
    </row>
    <row r="520" spans="1:11" x14ac:dyDescent="0.35">
      <c r="A520">
        <v>518</v>
      </c>
      <c r="B520">
        <v>2015</v>
      </c>
      <c r="C520" t="s">
        <v>219</v>
      </c>
      <c r="D520" t="s">
        <v>281</v>
      </c>
      <c r="E520" t="s">
        <v>939</v>
      </c>
      <c r="F520" t="s">
        <v>875</v>
      </c>
      <c r="G520">
        <v>2</v>
      </c>
      <c r="H520" t="s">
        <v>842</v>
      </c>
      <c r="I520">
        <v>2</v>
      </c>
      <c r="J520" s="37">
        <v>156.32</v>
      </c>
      <c r="K520">
        <v>4</v>
      </c>
    </row>
    <row r="521" spans="1:11" x14ac:dyDescent="0.35">
      <c r="A521">
        <v>519</v>
      </c>
      <c r="B521">
        <v>2015</v>
      </c>
      <c r="C521" t="s">
        <v>219</v>
      </c>
      <c r="D521" t="s">
        <v>281</v>
      </c>
      <c r="E521" t="s">
        <v>941</v>
      </c>
      <c r="F521" t="s">
        <v>877</v>
      </c>
      <c r="G521">
        <v>2</v>
      </c>
      <c r="H521" t="s">
        <v>842</v>
      </c>
      <c r="I521">
        <v>2</v>
      </c>
      <c r="J521" s="37">
        <v>159.97999999999999</v>
      </c>
      <c r="K521">
        <v>4</v>
      </c>
    </row>
    <row r="522" spans="1:11" x14ac:dyDescent="0.35">
      <c r="A522">
        <v>520</v>
      </c>
      <c r="B522">
        <v>2015</v>
      </c>
      <c r="C522" t="s">
        <v>219</v>
      </c>
      <c r="D522" t="s">
        <v>281</v>
      </c>
      <c r="E522" t="s">
        <v>934</v>
      </c>
      <c r="F522" t="s">
        <v>860</v>
      </c>
      <c r="G522">
        <v>2</v>
      </c>
      <c r="H522" t="s">
        <v>842</v>
      </c>
      <c r="I522">
        <v>2</v>
      </c>
      <c r="J522" s="37">
        <v>160.09</v>
      </c>
      <c r="K522">
        <v>4</v>
      </c>
    </row>
    <row r="523" spans="1:11" x14ac:dyDescent="0.35">
      <c r="A523">
        <v>521</v>
      </c>
      <c r="B523">
        <v>2015</v>
      </c>
      <c r="C523" t="s">
        <v>219</v>
      </c>
      <c r="D523" t="s">
        <v>281</v>
      </c>
      <c r="E523" t="s">
        <v>937</v>
      </c>
      <c r="F523" t="s">
        <v>873</v>
      </c>
      <c r="G523">
        <v>2</v>
      </c>
      <c r="H523" t="s">
        <v>842</v>
      </c>
      <c r="I523">
        <v>2</v>
      </c>
      <c r="J523" s="37">
        <v>162.47999999999999</v>
      </c>
      <c r="K523">
        <v>4</v>
      </c>
    </row>
    <row r="524" spans="1:11" x14ac:dyDescent="0.35">
      <c r="A524">
        <v>522</v>
      </c>
      <c r="B524">
        <v>2015</v>
      </c>
      <c r="C524" t="s">
        <v>219</v>
      </c>
      <c r="D524" t="s">
        <v>281</v>
      </c>
      <c r="E524" t="s">
        <v>940</v>
      </c>
      <c r="F524" t="s">
        <v>876</v>
      </c>
      <c r="G524">
        <v>2</v>
      </c>
      <c r="H524" t="s">
        <v>842</v>
      </c>
      <c r="I524">
        <v>2</v>
      </c>
      <c r="J524" s="37">
        <v>163.13</v>
      </c>
      <c r="K524">
        <v>4</v>
      </c>
    </row>
    <row r="525" spans="1:11" x14ac:dyDescent="0.35">
      <c r="A525">
        <v>523</v>
      </c>
      <c r="B525">
        <v>2015</v>
      </c>
      <c r="C525" t="s">
        <v>219</v>
      </c>
      <c r="D525" t="s">
        <v>281</v>
      </c>
      <c r="E525" t="s">
        <v>942</v>
      </c>
      <c r="F525" t="s">
        <v>878</v>
      </c>
      <c r="G525">
        <v>2</v>
      </c>
      <c r="H525" t="s">
        <v>842</v>
      </c>
      <c r="I525">
        <v>2</v>
      </c>
      <c r="J525" s="37">
        <v>163.80000000000001</v>
      </c>
      <c r="K525">
        <v>4</v>
      </c>
    </row>
    <row r="526" spans="1:11" x14ac:dyDescent="0.35">
      <c r="A526">
        <v>524</v>
      </c>
      <c r="B526">
        <v>2015</v>
      </c>
      <c r="C526" t="s">
        <v>219</v>
      </c>
      <c r="D526" t="s">
        <v>951</v>
      </c>
      <c r="E526" t="s">
        <v>950</v>
      </c>
      <c r="F526" t="s">
        <v>952</v>
      </c>
      <c r="G526">
        <v>2</v>
      </c>
      <c r="H526" t="s">
        <v>842</v>
      </c>
      <c r="I526">
        <v>2</v>
      </c>
      <c r="J526" s="37">
        <v>164.24</v>
      </c>
      <c r="K526">
        <v>2</v>
      </c>
    </row>
    <row r="527" spans="1:11" x14ac:dyDescent="0.35">
      <c r="A527">
        <v>525</v>
      </c>
      <c r="B527">
        <v>2015</v>
      </c>
      <c r="C527" t="s">
        <v>219</v>
      </c>
      <c r="D527" t="s">
        <v>951</v>
      </c>
      <c r="E527" t="s">
        <v>955</v>
      </c>
      <c r="F527" t="s">
        <v>956</v>
      </c>
      <c r="G527">
        <v>2</v>
      </c>
      <c r="H527" t="s">
        <v>842</v>
      </c>
      <c r="I527">
        <v>2</v>
      </c>
      <c r="J527" s="37">
        <v>166.23</v>
      </c>
      <c r="K527">
        <v>2</v>
      </c>
    </row>
    <row r="528" spans="1:11" x14ac:dyDescent="0.35">
      <c r="A528">
        <v>526</v>
      </c>
      <c r="B528">
        <v>2015</v>
      </c>
      <c r="C528" t="s">
        <v>219</v>
      </c>
      <c r="D528" t="s">
        <v>281</v>
      </c>
      <c r="E528" t="s">
        <v>943</v>
      </c>
      <c r="F528" t="s">
        <v>879</v>
      </c>
      <c r="G528">
        <v>2</v>
      </c>
      <c r="H528" t="s">
        <v>842</v>
      </c>
      <c r="I528">
        <v>2</v>
      </c>
      <c r="J528" s="37">
        <v>170.94</v>
      </c>
      <c r="K528">
        <v>4</v>
      </c>
    </row>
    <row r="529" spans="1:11" x14ac:dyDescent="0.35">
      <c r="A529">
        <v>527</v>
      </c>
      <c r="B529">
        <v>2015</v>
      </c>
      <c r="C529" t="s">
        <v>219</v>
      </c>
      <c r="D529" t="s">
        <v>951</v>
      </c>
      <c r="E529" t="s">
        <v>959</v>
      </c>
      <c r="F529" t="s">
        <v>960</v>
      </c>
      <c r="G529">
        <v>2</v>
      </c>
      <c r="H529" t="s">
        <v>842</v>
      </c>
      <c r="I529">
        <v>2</v>
      </c>
      <c r="J529" s="37">
        <v>174.23</v>
      </c>
      <c r="K529">
        <v>2</v>
      </c>
    </row>
    <row r="530" spans="1:11" x14ac:dyDescent="0.35">
      <c r="A530">
        <v>528</v>
      </c>
      <c r="B530">
        <v>2015</v>
      </c>
      <c r="C530" t="s">
        <v>219</v>
      </c>
      <c r="D530" t="s">
        <v>951</v>
      </c>
      <c r="E530" t="s">
        <v>953</v>
      </c>
      <c r="F530" t="s">
        <v>954</v>
      </c>
      <c r="G530">
        <v>2</v>
      </c>
      <c r="H530" t="s">
        <v>842</v>
      </c>
      <c r="I530">
        <v>2</v>
      </c>
      <c r="J530" s="37">
        <v>179.78</v>
      </c>
      <c r="K530">
        <v>2</v>
      </c>
    </row>
    <row r="531" spans="1:11" x14ac:dyDescent="0.35">
      <c r="A531">
        <v>529</v>
      </c>
      <c r="B531">
        <v>2015</v>
      </c>
      <c r="C531" t="s">
        <v>219</v>
      </c>
      <c r="D531" t="s">
        <v>951</v>
      </c>
      <c r="E531" t="s">
        <v>957</v>
      </c>
      <c r="F531" t="s">
        <v>958</v>
      </c>
      <c r="G531">
        <v>2</v>
      </c>
      <c r="H531" t="s">
        <v>842</v>
      </c>
      <c r="I531">
        <v>2</v>
      </c>
      <c r="J531" s="37">
        <v>188.08</v>
      </c>
      <c r="K531">
        <v>2</v>
      </c>
    </row>
    <row r="532" spans="1:11" x14ac:dyDescent="0.35">
      <c r="A532">
        <v>530</v>
      </c>
      <c r="B532">
        <v>2015</v>
      </c>
      <c r="C532" t="s">
        <v>219</v>
      </c>
      <c r="D532" t="s">
        <v>245</v>
      </c>
      <c r="E532" t="s">
        <v>1097</v>
      </c>
      <c r="F532" t="s">
        <v>1098</v>
      </c>
      <c r="G532">
        <v>2</v>
      </c>
      <c r="H532" t="s">
        <v>842</v>
      </c>
      <c r="I532">
        <v>2</v>
      </c>
      <c r="J532" s="37">
        <v>190</v>
      </c>
      <c r="K532">
        <v>1</v>
      </c>
    </row>
    <row r="533" spans="1:11" x14ac:dyDescent="0.35">
      <c r="A533">
        <v>531</v>
      </c>
      <c r="B533">
        <v>2015</v>
      </c>
      <c r="C533" t="s">
        <v>219</v>
      </c>
      <c r="D533" t="s">
        <v>245</v>
      </c>
      <c r="E533" t="s">
        <v>1095</v>
      </c>
      <c r="F533" t="s">
        <v>1096</v>
      </c>
      <c r="G533">
        <v>2</v>
      </c>
      <c r="H533" t="s">
        <v>842</v>
      </c>
      <c r="I533">
        <v>2</v>
      </c>
      <c r="J533" s="37">
        <v>198</v>
      </c>
      <c r="K533">
        <v>1</v>
      </c>
    </row>
    <row r="534" spans="1:11" x14ac:dyDescent="0.35">
      <c r="A534">
        <v>532</v>
      </c>
      <c r="B534">
        <v>2015</v>
      </c>
      <c r="C534" t="s">
        <v>219</v>
      </c>
      <c r="D534" t="s">
        <v>304</v>
      </c>
      <c r="E534" t="s">
        <v>922</v>
      </c>
      <c r="F534" t="s">
        <v>923</v>
      </c>
      <c r="G534">
        <v>1</v>
      </c>
      <c r="H534" t="s">
        <v>842</v>
      </c>
      <c r="I534">
        <v>2</v>
      </c>
      <c r="J534" s="37">
        <v>205.73</v>
      </c>
      <c r="K534">
        <v>4</v>
      </c>
    </row>
    <row r="535" spans="1:11" x14ac:dyDescent="0.35">
      <c r="A535">
        <v>533</v>
      </c>
      <c r="B535">
        <v>2015</v>
      </c>
      <c r="C535" t="s">
        <v>219</v>
      </c>
      <c r="D535" t="s">
        <v>304</v>
      </c>
      <c r="E535" t="s">
        <v>918</v>
      </c>
      <c r="F535" t="s">
        <v>919</v>
      </c>
      <c r="G535">
        <v>1</v>
      </c>
      <c r="H535" t="s">
        <v>842</v>
      </c>
      <c r="I535">
        <v>2</v>
      </c>
      <c r="J535" s="37">
        <v>205.99</v>
      </c>
      <c r="K535">
        <v>4</v>
      </c>
    </row>
    <row r="536" spans="1:11" x14ac:dyDescent="0.35">
      <c r="A536">
        <v>534</v>
      </c>
      <c r="B536">
        <v>2015</v>
      </c>
      <c r="C536" t="s">
        <v>219</v>
      </c>
      <c r="D536" t="s">
        <v>245</v>
      </c>
      <c r="E536" t="s">
        <v>1099</v>
      </c>
      <c r="F536" t="s">
        <v>1100</v>
      </c>
      <c r="G536">
        <v>2</v>
      </c>
      <c r="H536" t="s">
        <v>842</v>
      </c>
      <c r="I536">
        <v>2</v>
      </c>
      <c r="J536" s="37">
        <v>206</v>
      </c>
      <c r="K536">
        <v>1</v>
      </c>
    </row>
    <row r="537" spans="1:11" x14ac:dyDescent="0.35">
      <c r="A537">
        <v>535</v>
      </c>
      <c r="B537">
        <v>2015</v>
      </c>
      <c r="C537" t="s">
        <v>219</v>
      </c>
      <c r="D537" t="s">
        <v>304</v>
      </c>
      <c r="E537" t="s">
        <v>920</v>
      </c>
      <c r="F537" t="s">
        <v>921</v>
      </c>
      <c r="G537">
        <v>1</v>
      </c>
      <c r="H537" t="s">
        <v>842</v>
      </c>
      <c r="I537">
        <v>2</v>
      </c>
      <c r="J537" s="37">
        <v>206.29</v>
      </c>
      <c r="K537">
        <v>4</v>
      </c>
    </row>
    <row r="538" spans="1:11" x14ac:dyDescent="0.35">
      <c r="A538">
        <v>536</v>
      </c>
      <c r="B538">
        <v>2015</v>
      </c>
      <c r="C538" t="s">
        <v>219</v>
      </c>
      <c r="D538" t="s">
        <v>844</v>
      </c>
      <c r="E538" t="s">
        <v>1074</v>
      </c>
      <c r="F538" t="s">
        <v>1075</v>
      </c>
      <c r="G538">
        <v>3</v>
      </c>
      <c r="H538" t="s">
        <v>842</v>
      </c>
      <c r="I538">
        <v>2</v>
      </c>
      <c r="J538" s="37">
        <v>207.57</v>
      </c>
      <c r="K538">
        <v>1</v>
      </c>
    </row>
    <row r="539" spans="1:11" x14ac:dyDescent="0.35">
      <c r="A539">
        <v>537</v>
      </c>
      <c r="B539">
        <v>2015</v>
      </c>
      <c r="C539" t="s">
        <v>219</v>
      </c>
      <c r="D539" t="s">
        <v>861</v>
      </c>
      <c r="E539" t="s">
        <v>981</v>
      </c>
      <c r="F539" t="s">
        <v>982</v>
      </c>
      <c r="G539">
        <v>1</v>
      </c>
      <c r="H539" t="s">
        <v>842</v>
      </c>
      <c r="I539">
        <v>2</v>
      </c>
      <c r="J539" s="37">
        <v>230.12</v>
      </c>
      <c r="K539">
        <v>1</v>
      </c>
    </row>
    <row r="540" spans="1:11" x14ac:dyDescent="0.35">
      <c r="A540">
        <v>538</v>
      </c>
      <c r="B540">
        <v>2015</v>
      </c>
      <c r="C540" t="s">
        <v>219</v>
      </c>
      <c r="D540" t="s">
        <v>260</v>
      </c>
      <c r="E540" t="s">
        <v>1110</v>
      </c>
      <c r="F540" t="s">
        <v>846</v>
      </c>
      <c r="G540">
        <v>2</v>
      </c>
      <c r="H540" t="s">
        <v>842</v>
      </c>
      <c r="I540">
        <v>2</v>
      </c>
      <c r="J540" s="37">
        <v>233.19</v>
      </c>
      <c r="K540">
        <v>1</v>
      </c>
    </row>
    <row r="541" spans="1:11" x14ac:dyDescent="0.35">
      <c r="A541">
        <v>539</v>
      </c>
      <c r="B541">
        <v>2015</v>
      </c>
      <c r="C541" t="s">
        <v>219</v>
      </c>
      <c r="D541" t="s">
        <v>861</v>
      </c>
      <c r="E541" t="s">
        <v>979</v>
      </c>
      <c r="F541" t="s">
        <v>887</v>
      </c>
      <c r="G541">
        <v>1</v>
      </c>
      <c r="H541" t="s">
        <v>842</v>
      </c>
      <c r="I541">
        <v>2</v>
      </c>
      <c r="J541" s="37">
        <v>242.64</v>
      </c>
      <c r="K541">
        <v>1</v>
      </c>
    </row>
    <row r="542" spans="1:11" x14ac:dyDescent="0.35">
      <c r="A542">
        <v>540</v>
      </c>
      <c r="B542">
        <v>2015</v>
      </c>
      <c r="C542" t="s">
        <v>219</v>
      </c>
      <c r="D542" t="s">
        <v>260</v>
      </c>
      <c r="E542" t="s">
        <v>1107</v>
      </c>
      <c r="F542" t="s">
        <v>845</v>
      </c>
      <c r="G542">
        <v>2</v>
      </c>
      <c r="H542" t="s">
        <v>842</v>
      </c>
      <c r="I542">
        <v>2</v>
      </c>
      <c r="J542" s="37">
        <v>253.88</v>
      </c>
      <c r="K542">
        <v>1</v>
      </c>
    </row>
    <row r="543" spans="1:11" x14ac:dyDescent="0.35">
      <c r="A543">
        <v>541</v>
      </c>
      <c r="B543">
        <v>2015</v>
      </c>
      <c r="C543" t="s">
        <v>219</v>
      </c>
      <c r="D543" t="s">
        <v>260</v>
      </c>
      <c r="E543" t="s">
        <v>1108</v>
      </c>
      <c r="F543" t="s">
        <v>1109</v>
      </c>
      <c r="G543">
        <v>2</v>
      </c>
      <c r="H543" t="s">
        <v>842</v>
      </c>
      <c r="I543">
        <v>2</v>
      </c>
      <c r="J543" s="37">
        <v>253.88</v>
      </c>
      <c r="K543">
        <v>1</v>
      </c>
    </row>
    <row r="544" spans="1:11" x14ac:dyDescent="0.35">
      <c r="A544">
        <v>542</v>
      </c>
      <c r="B544">
        <v>2015</v>
      </c>
      <c r="C544" t="s">
        <v>219</v>
      </c>
      <c r="D544" t="s">
        <v>281</v>
      </c>
      <c r="E544" t="s">
        <v>932</v>
      </c>
      <c r="F544" t="s">
        <v>858</v>
      </c>
      <c r="G544">
        <v>2</v>
      </c>
      <c r="H544" t="s">
        <v>842</v>
      </c>
      <c r="I544">
        <v>3</v>
      </c>
      <c r="J544" s="37">
        <v>168.17</v>
      </c>
      <c r="K544">
        <v>4</v>
      </c>
    </row>
    <row r="545" spans="1:11" x14ac:dyDescent="0.35">
      <c r="A545">
        <v>543</v>
      </c>
      <c r="B545">
        <v>2015</v>
      </c>
      <c r="C545" t="s">
        <v>219</v>
      </c>
      <c r="D545" t="s">
        <v>984</v>
      </c>
      <c r="E545" t="s">
        <v>1002</v>
      </c>
      <c r="F545" t="s">
        <v>1003</v>
      </c>
      <c r="G545">
        <v>2</v>
      </c>
      <c r="H545" t="s">
        <v>842</v>
      </c>
      <c r="I545">
        <v>3</v>
      </c>
      <c r="J545" s="37">
        <v>169.3</v>
      </c>
      <c r="K545">
        <v>1</v>
      </c>
    </row>
    <row r="546" spans="1:11" x14ac:dyDescent="0.35">
      <c r="A546">
        <v>544</v>
      </c>
      <c r="B546">
        <v>2015</v>
      </c>
      <c r="C546" t="s">
        <v>219</v>
      </c>
      <c r="D546" t="s">
        <v>281</v>
      </c>
      <c r="E546" t="s">
        <v>935</v>
      </c>
      <c r="F546" t="s">
        <v>871</v>
      </c>
      <c r="G546">
        <v>2</v>
      </c>
      <c r="H546" t="s">
        <v>842</v>
      </c>
      <c r="I546">
        <v>3</v>
      </c>
      <c r="J546" s="37">
        <v>170.68</v>
      </c>
      <c r="K546">
        <v>4</v>
      </c>
    </row>
    <row r="547" spans="1:11" x14ac:dyDescent="0.35">
      <c r="A547">
        <v>545</v>
      </c>
      <c r="B547">
        <v>2015</v>
      </c>
      <c r="C547" t="s">
        <v>219</v>
      </c>
      <c r="D547" t="s">
        <v>281</v>
      </c>
      <c r="E547" t="s">
        <v>938</v>
      </c>
      <c r="F547" t="s">
        <v>874</v>
      </c>
      <c r="G547">
        <v>2</v>
      </c>
      <c r="H547" t="s">
        <v>842</v>
      </c>
      <c r="I547">
        <v>3</v>
      </c>
      <c r="J547" s="37">
        <v>171.36</v>
      </c>
      <c r="K547">
        <v>4</v>
      </c>
    </row>
    <row r="548" spans="1:11" x14ac:dyDescent="0.35">
      <c r="A548">
        <v>546</v>
      </c>
      <c r="B548">
        <v>2015</v>
      </c>
      <c r="C548" t="s">
        <v>219</v>
      </c>
      <c r="D548" t="s">
        <v>281</v>
      </c>
      <c r="E548" t="s">
        <v>933</v>
      </c>
      <c r="F548" t="s">
        <v>859</v>
      </c>
      <c r="G548">
        <v>2</v>
      </c>
      <c r="H548" t="s">
        <v>842</v>
      </c>
      <c r="I548">
        <v>3</v>
      </c>
      <c r="J548" s="37">
        <v>172.19</v>
      </c>
      <c r="K548">
        <v>4</v>
      </c>
    </row>
    <row r="549" spans="1:11" x14ac:dyDescent="0.35">
      <c r="A549">
        <v>547</v>
      </c>
      <c r="B549">
        <v>2015</v>
      </c>
      <c r="C549" t="s">
        <v>219</v>
      </c>
      <c r="D549" t="s">
        <v>281</v>
      </c>
      <c r="E549" t="s">
        <v>936</v>
      </c>
      <c r="F549" t="s">
        <v>872</v>
      </c>
      <c r="G549">
        <v>2</v>
      </c>
      <c r="H549" t="s">
        <v>842</v>
      </c>
      <c r="I549">
        <v>3</v>
      </c>
      <c r="J549" s="37">
        <v>174.76</v>
      </c>
      <c r="K549">
        <v>4</v>
      </c>
    </row>
    <row r="550" spans="1:11" x14ac:dyDescent="0.35">
      <c r="A550">
        <v>548</v>
      </c>
      <c r="B550">
        <v>2015</v>
      </c>
      <c r="C550" t="s">
        <v>219</v>
      </c>
      <c r="D550" t="s">
        <v>281</v>
      </c>
      <c r="E550" t="s">
        <v>939</v>
      </c>
      <c r="F550" t="s">
        <v>875</v>
      </c>
      <c r="G550">
        <v>2</v>
      </c>
      <c r="H550" t="s">
        <v>842</v>
      </c>
      <c r="I550">
        <v>3</v>
      </c>
      <c r="J550" s="37">
        <v>175.46</v>
      </c>
      <c r="K550">
        <v>4</v>
      </c>
    </row>
    <row r="551" spans="1:11" x14ac:dyDescent="0.35">
      <c r="A551">
        <v>549</v>
      </c>
      <c r="B551">
        <v>2015</v>
      </c>
      <c r="C551" t="s">
        <v>219</v>
      </c>
      <c r="D551" t="s">
        <v>951</v>
      </c>
      <c r="E551" t="s">
        <v>950</v>
      </c>
      <c r="F551" t="s">
        <v>952</v>
      </c>
      <c r="G551">
        <v>2</v>
      </c>
      <c r="H551" t="s">
        <v>842</v>
      </c>
      <c r="I551">
        <v>3</v>
      </c>
      <c r="J551" s="37">
        <v>178.51</v>
      </c>
      <c r="K551">
        <v>2</v>
      </c>
    </row>
    <row r="552" spans="1:11" x14ac:dyDescent="0.35">
      <c r="A552">
        <v>550</v>
      </c>
      <c r="B552">
        <v>2015</v>
      </c>
      <c r="C552" t="s">
        <v>219</v>
      </c>
      <c r="D552" t="s">
        <v>844</v>
      </c>
      <c r="E552" t="s">
        <v>1068</v>
      </c>
      <c r="F552" t="s">
        <v>1069</v>
      </c>
      <c r="G552">
        <v>2</v>
      </c>
      <c r="H552" t="s">
        <v>842</v>
      </c>
      <c r="I552">
        <v>3</v>
      </c>
      <c r="J552" s="37">
        <v>178.78</v>
      </c>
      <c r="K552">
        <v>1</v>
      </c>
    </row>
    <row r="553" spans="1:11" x14ac:dyDescent="0.35">
      <c r="A553">
        <v>551</v>
      </c>
      <c r="B553">
        <v>2015</v>
      </c>
      <c r="C553" t="s">
        <v>219</v>
      </c>
      <c r="D553" t="s">
        <v>281</v>
      </c>
      <c r="E553" t="s">
        <v>941</v>
      </c>
      <c r="F553" t="s">
        <v>877</v>
      </c>
      <c r="G553">
        <v>2</v>
      </c>
      <c r="H553" t="s">
        <v>842</v>
      </c>
      <c r="I553">
        <v>3</v>
      </c>
      <c r="J553" s="37">
        <v>179.56</v>
      </c>
      <c r="K553">
        <v>4</v>
      </c>
    </row>
    <row r="554" spans="1:11" x14ac:dyDescent="0.35">
      <c r="A554">
        <v>552</v>
      </c>
      <c r="B554">
        <v>2015</v>
      </c>
      <c r="C554" t="s">
        <v>219</v>
      </c>
      <c r="D554" t="s">
        <v>281</v>
      </c>
      <c r="E554" t="s">
        <v>934</v>
      </c>
      <c r="F554" t="s">
        <v>860</v>
      </c>
      <c r="G554">
        <v>2</v>
      </c>
      <c r="H554" t="s">
        <v>842</v>
      </c>
      <c r="I554">
        <v>3</v>
      </c>
      <c r="J554" s="37">
        <v>179.69</v>
      </c>
      <c r="K554">
        <v>4</v>
      </c>
    </row>
    <row r="555" spans="1:11" x14ac:dyDescent="0.35">
      <c r="A555">
        <v>553</v>
      </c>
      <c r="B555">
        <v>2015</v>
      </c>
      <c r="C555" t="s">
        <v>219</v>
      </c>
      <c r="D555" t="s">
        <v>951</v>
      </c>
      <c r="E555" t="s">
        <v>955</v>
      </c>
      <c r="F555" t="s">
        <v>956</v>
      </c>
      <c r="G555">
        <v>2</v>
      </c>
      <c r="H555" t="s">
        <v>842</v>
      </c>
      <c r="I555">
        <v>3</v>
      </c>
      <c r="J555" s="37">
        <v>180.68</v>
      </c>
      <c r="K555">
        <v>2</v>
      </c>
    </row>
    <row r="556" spans="1:11" x14ac:dyDescent="0.35">
      <c r="A556">
        <v>554</v>
      </c>
      <c r="B556">
        <v>2015</v>
      </c>
      <c r="C556" t="s">
        <v>219</v>
      </c>
      <c r="D556" t="s">
        <v>281</v>
      </c>
      <c r="E556" t="s">
        <v>937</v>
      </c>
      <c r="F556" t="s">
        <v>873</v>
      </c>
      <c r="G556">
        <v>2</v>
      </c>
      <c r="H556" t="s">
        <v>842</v>
      </c>
      <c r="I556">
        <v>3</v>
      </c>
      <c r="J556" s="37">
        <v>182.37</v>
      </c>
      <c r="K556">
        <v>4</v>
      </c>
    </row>
    <row r="557" spans="1:11" x14ac:dyDescent="0.35">
      <c r="A557">
        <v>555</v>
      </c>
      <c r="B557">
        <v>2015</v>
      </c>
      <c r="C557" t="s">
        <v>219</v>
      </c>
      <c r="D557" t="s">
        <v>281</v>
      </c>
      <c r="E557" t="s">
        <v>940</v>
      </c>
      <c r="F557" t="s">
        <v>876</v>
      </c>
      <c r="G557">
        <v>2</v>
      </c>
      <c r="H557" t="s">
        <v>842</v>
      </c>
      <c r="I557">
        <v>3</v>
      </c>
      <c r="J557" s="37">
        <v>183.1</v>
      </c>
      <c r="K557">
        <v>4</v>
      </c>
    </row>
    <row r="558" spans="1:11" x14ac:dyDescent="0.35">
      <c r="A558">
        <v>556</v>
      </c>
      <c r="B558">
        <v>2015</v>
      </c>
      <c r="C558" t="s">
        <v>219</v>
      </c>
      <c r="D558" t="s">
        <v>281</v>
      </c>
      <c r="E558" t="s">
        <v>942</v>
      </c>
      <c r="F558" t="s">
        <v>878</v>
      </c>
      <c r="G558">
        <v>2</v>
      </c>
      <c r="H558" t="s">
        <v>842</v>
      </c>
      <c r="I558">
        <v>3</v>
      </c>
      <c r="J558" s="37">
        <v>183.86</v>
      </c>
      <c r="K558">
        <v>4</v>
      </c>
    </row>
    <row r="559" spans="1:11" x14ac:dyDescent="0.35">
      <c r="A559">
        <v>557</v>
      </c>
      <c r="B559">
        <v>2015</v>
      </c>
      <c r="C559" t="s">
        <v>219</v>
      </c>
      <c r="D559" t="s">
        <v>984</v>
      </c>
      <c r="E559" t="s">
        <v>986</v>
      </c>
      <c r="F559" t="s">
        <v>987</v>
      </c>
      <c r="G559">
        <v>2</v>
      </c>
      <c r="H559" t="s">
        <v>842</v>
      </c>
      <c r="I559">
        <v>3</v>
      </c>
      <c r="J559" s="37">
        <v>185.6</v>
      </c>
      <c r="K559">
        <v>1</v>
      </c>
    </row>
    <row r="560" spans="1:11" x14ac:dyDescent="0.35">
      <c r="A560">
        <v>558</v>
      </c>
      <c r="B560">
        <v>2015</v>
      </c>
      <c r="C560" t="s">
        <v>219</v>
      </c>
      <c r="D560" t="s">
        <v>844</v>
      </c>
      <c r="E560" t="s">
        <v>1074</v>
      </c>
      <c r="F560" t="s">
        <v>1075</v>
      </c>
      <c r="G560">
        <v>3</v>
      </c>
      <c r="H560" t="s">
        <v>842</v>
      </c>
      <c r="I560">
        <v>3</v>
      </c>
      <c r="J560" s="37">
        <v>188.18</v>
      </c>
      <c r="K560">
        <v>1</v>
      </c>
    </row>
    <row r="561" spans="1:11" x14ac:dyDescent="0.35">
      <c r="A561">
        <v>559</v>
      </c>
      <c r="B561">
        <v>2015</v>
      </c>
      <c r="C561" t="s">
        <v>219</v>
      </c>
      <c r="D561" t="s">
        <v>951</v>
      </c>
      <c r="E561" t="s">
        <v>959</v>
      </c>
      <c r="F561" t="s">
        <v>960</v>
      </c>
      <c r="G561">
        <v>2</v>
      </c>
      <c r="H561" t="s">
        <v>842</v>
      </c>
      <c r="I561">
        <v>3</v>
      </c>
      <c r="J561" s="37">
        <v>189.36</v>
      </c>
      <c r="K561">
        <v>2</v>
      </c>
    </row>
    <row r="562" spans="1:11" x14ac:dyDescent="0.35">
      <c r="A562">
        <v>560</v>
      </c>
      <c r="B562">
        <v>2015</v>
      </c>
      <c r="C562" t="s">
        <v>219</v>
      </c>
      <c r="D562" t="s">
        <v>245</v>
      </c>
      <c r="E562" t="s">
        <v>1097</v>
      </c>
      <c r="F562" t="s">
        <v>1098</v>
      </c>
      <c r="G562">
        <v>2</v>
      </c>
      <c r="H562" t="s">
        <v>842</v>
      </c>
      <c r="I562">
        <v>3</v>
      </c>
      <c r="J562" s="37">
        <v>190</v>
      </c>
      <c r="K562">
        <v>1</v>
      </c>
    </row>
    <row r="563" spans="1:11" x14ac:dyDescent="0.35">
      <c r="A563">
        <v>561</v>
      </c>
      <c r="B563">
        <v>2015</v>
      </c>
      <c r="C563" t="s">
        <v>219</v>
      </c>
      <c r="D563" t="s">
        <v>281</v>
      </c>
      <c r="E563" t="s">
        <v>943</v>
      </c>
      <c r="F563" t="s">
        <v>879</v>
      </c>
      <c r="G563">
        <v>2</v>
      </c>
      <c r="H563" t="s">
        <v>842</v>
      </c>
      <c r="I563">
        <v>3</v>
      </c>
      <c r="J563" s="37">
        <v>191.87</v>
      </c>
      <c r="K563">
        <v>4</v>
      </c>
    </row>
    <row r="564" spans="1:11" x14ac:dyDescent="0.35">
      <c r="A564">
        <v>562</v>
      </c>
      <c r="B564">
        <v>2015</v>
      </c>
      <c r="C564" t="s">
        <v>219</v>
      </c>
      <c r="D564" t="s">
        <v>951</v>
      </c>
      <c r="E564" t="s">
        <v>953</v>
      </c>
      <c r="F564" t="s">
        <v>954</v>
      </c>
      <c r="G564">
        <v>2</v>
      </c>
      <c r="H564" t="s">
        <v>842</v>
      </c>
      <c r="I564">
        <v>3</v>
      </c>
      <c r="J564" s="37">
        <v>195.41</v>
      </c>
      <c r="K564">
        <v>2</v>
      </c>
    </row>
    <row r="565" spans="1:11" x14ac:dyDescent="0.35">
      <c r="A565">
        <v>563</v>
      </c>
      <c r="B565">
        <v>2015</v>
      </c>
      <c r="C565" t="s">
        <v>219</v>
      </c>
      <c r="D565" t="s">
        <v>245</v>
      </c>
      <c r="E565" t="s">
        <v>1095</v>
      </c>
      <c r="F565" t="s">
        <v>1096</v>
      </c>
      <c r="G565">
        <v>2</v>
      </c>
      <c r="H565" t="s">
        <v>842</v>
      </c>
      <c r="I565">
        <v>3</v>
      </c>
      <c r="J565" s="37">
        <v>198</v>
      </c>
      <c r="K565">
        <v>1</v>
      </c>
    </row>
    <row r="566" spans="1:11" x14ac:dyDescent="0.35">
      <c r="A566">
        <v>564</v>
      </c>
      <c r="B566">
        <v>2015</v>
      </c>
      <c r="C566" t="s">
        <v>219</v>
      </c>
      <c r="D566" t="s">
        <v>844</v>
      </c>
      <c r="E566" t="s">
        <v>1064</v>
      </c>
      <c r="F566" t="s">
        <v>1065</v>
      </c>
      <c r="G566">
        <v>2</v>
      </c>
      <c r="H566" t="s">
        <v>842</v>
      </c>
      <c r="I566">
        <v>3</v>
      </c>
      <c r="J566" s="37">
        <v>200.84</v>
      </c>
      <c r="K566">
        <v>1</v>
      </c>
    </row>
    <row r="567" spans="1:11" x14ac:dyDescent="0.35">
      <c r="A567">
        <v>565</v>
      </c>
      <c r="B567">
        <v>2015</v>
      </c>
      <c r="C567" t="s">
        <v>219</v>
      </c>
      <c r="D567" t="s">
        <v>951</v>
      </c>
      <c r="E567" t="s">
        <v>957</v>
      </c>
      <c r="F567" t="s">
        <v>958</v>
      </c>
      <c r="G567">
        <v>2</v>
      </c>
      <c r="H567" t="s">
        <v>842</v>
      </c>
      <c r="I567">
        <v>3</v>
      </c>
      <c r="J567" s="37">
        <v>204.42</v>
      </c>
      <c r="K567">
        <v>2</v>
      </c>
    </row>
    <row r="568" spans="1:11" x14ac:dyDescent="0.35">
      <c r="A568">
        <v>566</v>
      </c>
      <c r="B568">
        <v>2015</v>
      </c>
      <c r="C568" t="s">
        <v>219</v>
      </c>
      <c r="D568" t="s">
        <v>245</v>
      </c>
      <c r="E568" t="s">
        <v>1099</v>
      </c>
      <c r="F568" t="s">
        <v>1100</v>
      </c>
      <c r="G568">
        <v>2</v>
      </c>
      <c r="H568" t="s">
        <v>842</v>
      </c>
      <c r="I568">
        <v>3</v>
      </c>
      <c r="J568" s="37">
        <v>206</v>
      </c>
      <c r="K568">
        <v>1</v>
      </c>
    </row>
    <row r="569" spans="1:11" x14ac:dyDescent="0.35">
      <c r="A569">
        <v>567</v>
      </c>
      <c r="B569">
        <v>2015</v>
      </c>
      <c r="C569" t="s">
        <v>219</v>
      </c>
      <c r="D569" t="s">
        <v>260</v>
      </c>
      <c r="E569" t="s">
        <v>1110</v>
      </c>
      <c r="F569" t="s">
        <v>846</v>
      </c>
      <c r="G569">
        <v>2</v>
      </c>
      <c r="H569" t="s">
        <v>842</v>
      </c>
      <c r="I569">
        <v>3</v>
      </c>
      <c r="J569" s="37">
        <v>215.67</v>
      </c>
      <c r="K569">
        <v>1</v>
      </c>
    </row>
    <row r="570" spans="1:11" x14ac:dyDescent="0.35">
      <c r="A570">
        <v>568</v>
      </c>
      <c r="B570">
        <v>2015</v>
      </c>
      <c r="C570" t="s">
        <v>219</v>
      </c>
      <c r="D570" t="s">
        <v>304</v>
      </c>
      <c r="E570" t="s">
        <v>922</v>
      </c>
      <c r="F570" t="s">
        <v>923</v>
      </c>
      <c r="G570">
        <v>1</v>
      </c>
      <c r="H570" t="s">
        <v>842</v>
      </c>
      <c r="I570">
        <v>3</v>
      </c>
      <c r="J570" s="37">
        <v>218.2</v>
      </c>
      <c r="K570">
        <v>4</v>
      </c>
    </row>
    <row r="571" spans="1:11" x14ac:dyDescent="0.35">
      <c r="A571">
        <v>569</v>
      </c>
      <c r="B571">
        <v>2015</v>
      </c>
      <c r="C571" t="s">
        <v>219</v>
      </c>
      <c r="D571" t="s">
        <v>304</v>
      </c>
      <c r="E571" t="s">
        <v>918</v>
      </c>
      <c r="F571" t="s">
        <v>919</v>
      </c>
      <c r="G571">
        <v>1</v>
      </c>
      <c r="H571" t="s">
        <v>842</v>
      </c>
      <c r="I571">
        <v>3</v>
      </c>
      <c r="J571" s="37">
        <v>218.47</v>
      </c>
      <c r="K571">
        <v>4</v>
      </c>
    </row>
    <row r="572" spans="1:11" x14ac:dyDescent="0.35">
      <c r="A572">
        <v>570</v>
      </c>
      <c r="B572">
        <v>2015</v>
      </c>
      <c r="C572" t="s">
        <v>219</v>
      </c>
      <c r="D572" t="s">
        <v>304</v>
      </c>
      <c r="E572" t="s">
        <v>920</v>
      </c>
      <c r="F572" t="s">
        <v>921</v>
      </c>
      <c r="G572">
        <v>1</v>
      </c>
      <c r="H572" t="s">
        <v>842</v>
      </c>
      <c r="I572">
        <v>3</v>
      </c>
      <c r="J572" s="37">
        <v>218.79</v>
      </c>
      <c r="K572">
        <v>4</v>
      </c>
    </row>
    <row r="573" spans="1:11" x14ac:dyDescent="0.35">
      <c r="A573">
        <v>571</v>
      </c>
      <c r="B573">
        <v>2015</v>
      </c>
      <c r="C573" t="s">
        <v>219</v>
      </c>
      <c r="D573" t="s">
        <v>861</v>
      </c>
      <c r="E573" t="s">
        <v>981</v>
      </c>
      <c r="F573" t="s">
        <v>982</v>
      </c>
      <c r="G573">
        <v>1</v>
      </c>
      <c r="H573" t="s">
        <v>842</v>
      </c>
      <c r="I573">
        <v>3</v>
      </c>
      <c r="J573" s="37">
        <v>227.93</v>
      </c>
      <c r="K573">
        <v>1</v>
      </c>
    </row>
    <row r="574" spans="1:11" x14ac:dyDescent="0.35">
      <c r="A574">
        <v>572</v>
      </c>
      <c r="B574">
        <v>2015</v>
      </c>
      <c r="C574" t="s">
        <v>219</v>
      </c>
      <c r="D574" t="s">
        <v>260</v>
      </c>
      <c r="E574" t="s">
        <v>1107</v>
      </c>
      <c r="F574" t="s">
        <v>845</v>
      </c>
      <c r="G574">
        <v>2</v>
      </c>
      <c r="H574" t="s">
        <v>842</v>
      </c>
      <c r="I574">
        <v>3</v>
      </c>
      <c r="J574" s="37">
        <v>234.8</v>
      </c>
      <c r="K574">
        <v>1</v>
      </c>
    </row>
    <row r="575" spans="1:11" x14ac:dyDescent="0.35">
      <c r="A575">
        <v>573</v>
      </c>
      <c r="B575">
        <v>2015</v>
      </c>
      <c r="C575" t="s">
        <v>219</v>
      </c>
      <c r="D575" t="s">
        <v>260</v>
      </c>
      <c r="E575" t="s">
        <v>1108</v>
      </c>
      <c r="F575" t="s">
        <v>1109</v>
      </c>
      <c r="G575">
        <v>2</v>
      </c>
      <c r="H575" t="s">
        <v>842</v>
      </c>
      <c r="I575">
        <v>3</v>
      </c>
      <c r="J575" s="37">
        <v>234.8</v>
      </c>
      <c r="K575">
        <v>1</v>
      </c>
    </row>
    <row r="576" spans="1:11" x14ac:dyDescent="0.35">
      <c r="A576">
        <v>574</v>
      </c>
      <c r="B576">
        <v>2015</v>
      </c>
      <c r="C576" t="s">
        <v>219</v>
      </c>
      <c r="D576" t="s">
        <v>861</v>
      </c>
      <c r="E576" t="s">
        <v>979</v>
      </c>
      <c r="F576" t="s">
        <v>887</v>
      </c>
      <c r="G576">
        <v>1</v>
      </c>
      <c r="H576" t="s">
        <v>842</v>
      </c>
      <c r="I576">
        <v>3</v>
      </c>
      <c r="J576" s="37">
        <v>240.34</v>
      </c>
      <c r="K576">
        <v>1</v>
      </c>
    </row>
    <row r="577" spans="1:11" x14ac:dyDescent="0.35">
      <c r="A577">
        <v>575</v>
      </c>
      <c r="B577">
        <v>2015</v>
      </c>
      <c r="C577" t="s">
        <v>219</v>
      </c>
      <c r="D577" t="s">
        <v>245</v>
      </c>
      <c r="E577" t="s">
        <v>1097</v>
      </c>
      <c r="F577" t="s">
        <v>1098</v>
      </c>
      <c r="G577">
        <v>2</v>
      </c>
      <c r="H577" t="s">
        <v>842</v>
      </c>
      <c r="I577">
        <v>4</v>
      </c>
      <c r="J577" s="37">
        <v>190</v>
      </c>
      <c r="K577">
        <v>1</v>
      </c>
    </row>
    <row r="578" spans="1:11" x14ac:dyDescent="0.35">
      <c r="A578">
        <v>576</v>
      </c>
      <c r="B578">
        <v>2015</v>
      </c>
      <c r="C578" t="s">
        <v>219</v>
      </c>
      <c r="D578" t="s">
        <v>844</v>
      </c>
      <c r="E578" t="s">
        <v>1074</v>
      </c>
      <c r="F578" t="s">
        <v>1075</v>
      </c>
      <c r="G578">
        <v>3</v>
      </c>
      <c r="H578" t="s">
        <v>842</v>
      </c>
      <c r="I578">
        <v>4</v>
      </c>
      <c r="J578" s="37">
        <v>192.42</v>
      </c>
      <c r="K578">
        <v>1</v>
      </c>
    </row>
    <row r="579" spans="1:11" x14ac:dyDescent="0.35">
      <c r="A579">
        <v>577</v>
      </c>
      <c r="B579">
        <v>2015</v>
      </c>
      <c r="C579" t="s">
        <v>219</v>
      </c>
      <c r="D579" t="s">
        <v>245</v>
      </c>
      <c r="E579" t="s">
        <v>1095</v>
      </c>
      <c r="F579" t="s">
        <v>1096</v>
      </c>
      <c r="G579">
        <v>2</v>
      </c>
      <c r="H579" t="s">
        <v>842</v>
      </c>
      <c r="I579">
        <v>4</v>
      </c>
      <c r="J579" s="37">
        <v>198</v>
      </c>
      <c r="K579">
        <v>1</v>
      </c>
    </row>
    <row r="580" spans="1:11" x14ac:dyDescent="0.35">
      <c r="A580">
        <v>578</v>
      </c>
      <c r="B580">
        <v>2015</v>
      </c>
      <c r="C580" t="s">
        <v>219</v>
      </c>
      <c r="D580" t="s">
        <v>951</v>
      </c>
      <c r="E580" t="s">
        <v>950</v>
      </c>
      <c r="F580" t="s">
        <v>952</v>
      </c>
      <c r="G580">
        <v>2</v>
      </c>
      <c r="H580" t="s">
        <v>842</v>
      </c>
      <c r="I580">
        <v>4</v>
      </c>
      <c r="J580" s="37">
        <v>203.7</v>
      </c>
      <c r="K580">
        <v>2</v>
      </c>
    </row>
    <row r="581" spans="1:11" x14ac:dyDescent="0.35">
      <c r="A581">
        <v>579</v>
      </c>
      <c r="B581">
        <v>2015</v>
      </c>
      <c r="C581" t="s">
        <v>219</v>
      </c>
      <c r="D581" t="s">
        <v>245</v>
      </c>
      <c r="E581" t="s">
        <v>1099</v>
      </c>
      <c r="F581" t="s">
        <v>1100</v>
      </c>
      <c r="G581">
        <v>2</v>
      </c>
      <c r="H581" t="s">
        <v>842</v>
      </c>
      <c r="I581">
        <v>4</v>
      </c>
      <c r="J581" s="37">
        <v>206</v>
      </c>
      <c r="K581">
        <v>1</v>
      </c>
    </row>
    <row r="582" spans="1:11" x14ac:dyDescent="0.35">
      <c r="A582">
        <v>580</v>
      </c>
      <c r="B582">
        <v>2015</v>
      </c>
      <c r="C582" t="s">
        <v>219</v>
      </c>
      <c r="D582" t="s">
        <v>951</v>
      </c>
      <c r="E582" t="s">
        <v>955</v>
      </c>
      <c r="F582" t="s">
        <v>956</v>
      </c>
      <c r="G582">
        <v>2</v>
      </c>
      <c r="H582" t="s">
        <v>842</v>
      </c>
      <c r="I582">
        <v>4</v>
      </c>
      <c r="J582" s="37">
        <v>206.16</v>
      </c>
      <c r="K582">
        <v>2</v>
      </c>
    </row>
    <row r="583" spans="1:11" x14ac:dyDescent="0.35">
      <c r="A583">
        <v>581</v>
      </c>
      <c r="B583">
        <v>2015</v>
      </c>
      <c r="C583" t="s">
        <v>219</v>
      </c>
      <c r="D583" t="s">
        <v>951</v>
      </c>
      <c r="E583" t="s">
        <v>959</v>
      </c>
      <c r="F583" t="s">
        <v>960</v>
      </c>
      <c r="G583">
        <v>2</v>
      </c>
      <c r="H583" t="s">
        <v>842</v>
      </c>
      <c r="I583">
        <v>4</v>
      </c>
      <c r="J583" s="37">
        <v>216.08</v>
      </c>
      <c r="K583">
        <v>2</v>
      </c>
    </row>
    <row r="584" spans="1:11" x14ac:dyDescent="0.35">
      <c r="A584">
        <v>582</v>
      </c>
      <c r="B584">
        <v>2015</v>
      </c>
      <c r="C584" t="s">
        <v>219</v>
      </c>
      <c r="D584" t="s">
        <v>304</v>
      </c>
      <c r="E584" t="s">
        <v>922</v>
      </c>
      <c r="F584" t="s">
        <v>923</v>
      </c>
      <c r="G584">
        <v>1</v>
      </c>
      <c r="H584" t="s">
        <v>842</v>
      </c>
      <c r="I584">
        <v>4</v>
      </c>
      <c r="J584" s="37">
        <v>222.36</v>
      </c>
      <c r="K584">
        <v>4</v>
      </c>
    </row>
    <row r="585" spans="1:11" x14ac:dyDescent="0.35">
      <c r="A585">
        <v>583</v>
      </c>
      <c r="B585">
        <v>2015</v>
      </c>
      <c r="C585" t="s">
        <v>219</v>
      </c>
      <c r="D585" t="s">
        <v>304</v>
      </c>
      <c r="E585" t="s">
        <v>918</v>
      </c>
      <c r="F585" t="s">
        <v>919</v>
      </c>
      <c r="G585">
        <v>1</v>
      </c>
      <c r="H585" t="s">
        <v>842</v>
      </c>
      <c r="I585">
        <v>4</v>
      </c>
      <c r="J585" s="37">
        <v>222.63</v>
      </c>
      <c r="K585">
        <v>4</v>
      </c>
    </row>
    <row r="586" spans="1:11" x14ac:dyDescent="0.35">
      <c r="A586">
        <v>584</v>
      </c>
      <c r="B586">
        <v>2015</v>
      </c>
      <c r="C586" t="s">
        <v>219</v>
      </c>
      <c r="D586" t="s">
        <v>304</v>
      </c>
      <c r="E586" t="s">
        <v>920</v>
      </c>
      <c r="F586" t="s">
        <v>921</v>
      </c>
      <c r="G586">
        <v>1</v>
      </c>
      <c r="H586" t="s">
        <v>842</v>
      </c>
      <c r="I586">
        <v>4</v>
      </c>
      <c r="J586" s="37">
        <v>222.96</v>
      </c>
      <c r="K586">
        <v>4</v>
      </c>
    </row>
    <row r="587" spans="1:11" x14ac:dyDescent="0.35">
      <c r="A587">
        <v>585</v>
      </c>
      <c r="B587">
        <v>2015</v>
      </c>
      <c r="C587" t="s">
        <v>219</v>
      </c>
      <c r="D587" t="s">
        <v>951</v>
      </c>
      <c r="E587" t="s">
        <v>953</v>
      </c>
      <c r="F587" t="s">
        <v>954</v>
      </c>
      <c r="G587">
        <v>2</v>
      </c>
      <c r="H587" t="s">
        <v>842</v>
      </c>
      <c r="I587">
        <v>4</v>
      </c>
      <c r="J587" s="37">
        <v>222.97</v>
      </c>
      <c r="K587">
        <v>2</v>
      </c>
    </row>
    <row r="588" spans="1:11" x14ac:dyDescent="0.35">
      <c r="A588">
        <v>586</v>
      </c>
      <c r="B588">
        <v>2015</v>
      </c>
      <c r="C588" t="s">
        <v>219</v>
      </c>
      <c r="D588" t="s">
        <v>951</v>
      </c>
      <c r="E588" t="s">
        <v>957</v>
      </c>
      <c r="F588" t="s">
        <v>958</v>
      </c>
      <c r="G588">
        <v>2</v>
      </c>
      <c r="H588" t="s">
        <v>842</v>
      </c>
      <c r="I588">
        <v>4</v>
      </c>
      <c r="J588" s="37">
        <v>233.26</v>
      </c>
      <c r="K588">
        <v>2</v>
      </c>
    </row>
    <row r="589" spans="1:11" x14ac:dyDescent="0.35">
      <c r="A589">
        <v>587</v>
      </c>
      <c r="B589">
        <v>2015</v>
      </c>
      <c r="C589" t="s">
        <v>219</v>
      </c>
      <c r="D589" t="s">
        <v>260</v>
      </c>
      <c r="E589" t="s">
        <v>1110</v>
      </c>
      <c r="F589" t="s">
        <v>846</v>
      </c>
      <c r="G589">
        <v>2</v>
      </c>
      <c r="H589" t="s">
        <v>842</v>
      </c>
      <c r="I589">
        <v>4</v>
      </c>
      <c r="J589" s="37">
        <v>246.76</v>
      </c>
      <c r="K589">
        <v>1</v>
      </c>
    </row>
    <row r="590" spans="1:11" x14ac:dyDescent="0.35">
      <c r="A590">
        <v>588</v>
      </c>
      <c r="B590">
        <v>2015</v>
      </c>
      <c r="C590" t="s">
        <v>219</v>
      </c>
      <c r="D590" t="s">
        <v>260</v>
      </c>
      <c r="E590" t="s">
        <v>1107</v>
      </c>
      <c r="F590" t="s">
        <v>845</v>
      </c>
      <c r="G590">
        <v>2</v>
      </c>
      <c r="H590" t="s">
        <v>842</v>
      </c>
      <c r="I590">
        <v>4</v>
      </c>
      <c r="J590" s="37">
        <v>268.64999999999998</v>
      </c>
      <c r="K590">
        <v>1</v>
      </c>
    </row>
    <row r="591" spans="1:11" x14ac:dyDescent="0.35">
      <c r="A591">
        <v>589</v>
      </c>
      <c r="B591">
        <v>2015</v>
      </c>
      <c r="C591" t="s">
        <v>219</v>
      </c>
      <c r="D591" t="s">
        <v>260</v>
      </c>
      <c r="E591" t="s">
        <v>1108</v>
      </c>
      <c r="F591" t="s">
        <v>1109</v>
      </c>
      <c r="G591">
        <v>2</v>
      </c>
      <c r="H591" t="s">
        <v>842</v>
      </c>
      <c r="I591">
        <v>4</v>
      </c>
      <c r="J591" s="37">
        <v>268.64999999999998</v>
      </c>
      <c r="K591">
        <v>1</v>
      </c>
    </row>
    <row r="592" spans="1:11" x14ac:dyDescent="0.35">
      <c r="A592">
        <v>590</v>
      </c>
      <c r="B592">
        <v>2015</v>
      </c>
      <c r="C592" t="s">
        <v>219</v>
      </c>
      <c r="D592" t="s">
        <v>984</v>
      </c>
      <c r="E592" t="s">
        <v>1012</v>
      </c>
      <c r="F592" t="s">
        <v>1013</v>
      </c>
      <c r="G592">
        <v>2</v>
      </c>
      <c r="H592" t="s">
        <v>842</v>
      </c>
      <c r="I592">
        <v>5</v>
      </c>
      <c r="J592" s="37">
        <v>168.71</v>
      </c>
      <c r="K592">
        <v>1</v>
      </c>
    </row>
    <row r="593" spans="1:11" x14ac:dyDescent="0.35">
      <c r="A593">
        <v>591</v>
      </c>
      <c r="B593">
        <v>2015</v>
      </c>
      <c r="C593" t="s">
        <v>219</v>
      </c>
      <c r="D593" t="s">
        <v>951</v>
      </c>
      <c r="E593" t="s">
        <v>950</v>
      </c>
      <c r="F593" t="s">
        <v>952</v>
      </c>
      <c r="G593">
        <v>2</v>
      </c>
      <c r="H593" t="s">
        <v>842</v>
      </c>
      <c r="I593">
        <v>5</v>
      </c>
      <c r="J593" s="37">
        <v>172.27</v>
      </c>
      <c r="K593">
        <v>2</v>
      </c>
    </row>
    <row r="594" spans="1:11" x14ac:dyDescent="0.35">
      <c r="A594">
        <v>592</v>
      </c>
      <c r="B594">
        <v>2015</v>
      </c>
      <c r="C594" t="s">
        <v>219</v>
      </c>
      <c r="D594" t="s">
        <v>951</v>
      </c>
      <c r="E594" t="s">
        <v>955</v>
      </c>
      <c r="F594" t="s">
        <v>956</v>
      </c>
      <c r="G594">
        <v>2</v>
      </c>
      <c r="H594" t="s">
        <v>842</v>
      </c>
      <c r="I594">
        <v>5</v>
      </c>
      <c r="J594" s="37">
        <v>174.36</v>
      </c>
      <c r="K594">
        <v>2</v>
      </c>
    </row>
    <row r="595" spans="1:11" x14ac:dyDescent="0.35">
      <c r="A595">
        <v>593</v>
      </c>
      <c r="B595">
        <v>2015</v>
      </c>
      <c r="C595" t="s">
        <v>219</v>
      </c>
      <c r="D595" t="s">
        <v>951</v>
      </c>
      <c r="E595" t="s">
        <v>959</v>
      </c>
      <c r="F595" t="s">
        <v>960</v>
      </c>
      <c r="G595">
        <v>2</v>
      </c>
      <c r="H595" t="s">
        <v>842</v>
      </c>
      <c r="I595">
        <v>5</v>
      </c>
      <c r="J595" s="37">
        <v>182.74</v>
      </c>
      <c r="K595">
        <v>2</v>
      </c>
    </row>
    <row r="596" spans="1:11" x14ac:dyDescent="0.35">
      <c r="A596">
        <v>594</v>
      </c>
      <c r="B596">
        <v>2015</v>
      </c>
      <c r="C596" t="s">
        <v>219</v>
      </c>
      <c r="D596" t="s">
        <v>984</v>
      </c>
      <c r="E596" t="s">
        <v>996</v>
      </c>
      <c r="F596" t="s">
        <v>997</v>
      </c>
      <c r="G596">
        <v>2</v>
      </c>
      <c r="H596" t="s">
        <v>842</v>
      </c>
      <c r="I596">
        <v>5</v>
      </c>
      <c r="J596" s="37">
        <v>184.93</v>
      </c>
      <c r="K596">
        <v>1</v>
      </c>
    </row>
    <row r="597" spans="1:11" x14ac:dyDescent="0.35">
      <c r="A597">
        <v>595</v>
      </c>
      <c r="B597">
        <v>2015</v>
      </c>
      <c r="C597" t="s">
        <v>219</v>
      </c>
      <c r="D597" t="s">
        <v>844</v>
      </c>
      <c r="E597" t="s">
        <v>1074</v>
      </c>
      <c r="F597" t="s">
        <v>1075</v>
      </c>
      <c r="G597">
        <v>3</v>
      </c>
      <c r="H597" t="s">
        <v>842</v>
      </c>
      <c r="I597">
        <v>5</v>
      </c>
      <c r="J597" s="37">
        <v>186.91</v>
      </c>
      <c r="K597">
        <v>1</v>
      </c>
    </row>
    <row r="598" spans="1:11" x14ac:dyDescent="0.35">
      <c r="A598">
        <v>596</v>
      </c>
      <c r="B598">
        <v>2015</v>
      </c>
      <c r="C598" t="s">
        <v>219</v>
      </c>
      <c r="D598" t="s">
        <v>951</v>
      </c>
      <c r="E598" t="s">
        <v>953</v>
      </c>
      <c r="F598" t="s">
        <v>954</v>
      </c>
      <c r="G598">
        <v>2</v>
      </c>
      <c r="H598" t="s">
        <v>842</v>
      </c>
      <c r="I598">
        <v>5</v>
      </c>
      <c r="J598" s="37">
        <v>188.58</v>
      </c>
      <c r="K598">
        <v>2</v>
      </c>
    </row>
    <row r="599" spans="1:11" x14ac:dyDescent="0.35">
      <c r="A599">
        <v>597</v>
      </c>
      <c r="B599">
        <v>2015</v>
      </c>
      <c r="C599" t="s">
        <v>219</v>
      </c>
      <c r="D599" t="s">
        <v>951</v>
      </c>
      <c r="E599" t="s">
        <v>957</v>
      </c>
      <c r="F599" t="s">
        <v>958</v>
      </c>
      <c r="G599">
        <v>2</v>
      </c>
      <c r="H599" t="s">
        <v>842</v>
      </c>
      <c r="I599">
        <v>5</v>
      </c>
      <c r="J599" s="37">
        <v>197.28</v>
      </c>
      <c r="K599">
        <v>2</v>
      </c>
    </row>
    <row r="600" spans="1:11" x14ac:dyDescent="0.35">
      <c r="A600">
        <v>598</v>
      </c>
      <c r="B600">
        <v>2015</v>
      </c>
      <c r="C600" t="s">
        <v>219</v>
      </c>
      <c r="D600" t="s">
        <v>260</v>
      </c>
      <c r="E600" t="s">
        <v>1110</v>
      </c>
      <c r="F600" t="s">
        <v>846</v>
      </c>
      <c r="G600">
        <v>2</v>
      </c>
      <c r="H600" t="s">
        <v>842</v>
      </c>
      <c r="I600">
        <v>5</v>
      </c>
      <c r="J600" s="37">
        <v>197.9</v>
      </c>
      <c r="K600">
        <v>1</v>
      </c>
    </row>
    <row r="601" spans="1:11" x14ac:dyDescent="0.35">
      <c r="A601">
        <v>599</v>
      </c>
      <c r="B601">
        <v>2015</v>
      </c>
      <c r="C601" t="s">
        <v>219</v>
      </c>
      <c r="D601" t="s">
        <v>260</v>
      </c>
      <c r="E601" t="s">
        <v>1107</v>
      </c>
      <c r="F601" t="s">
        <v>845</v>
      </c>
      <c r="G601">
        <v>2</v>
      </c>
      <c r="H601" t="s">
        <v>842</v>
      </c>
      <c r="I601">
        <v>5</v>
      </c>
      <c r="J601" s="37">
        <v>215.46</v>
      </c>
      <c r="K601">
        <v>1</v>
      </c>
    </row>
    <row r="602" spans="1:11" x14ac:dyDescent="0.35">
      <c r="A602">
        <v>600</v>
      </c>
      <c r="B602">
        <v>2015</v>
      </c>
      <c r="C602" t="s">
        <v>219</v>
      </c>
      <c r="D602" t="s">
        <v>260</v>
      </c>
      <c r="E602" t="s">
        <v>1108</v>
      </c>
      <c r="F602" t="s">
        <v>1109</v>
      </c>
      <c r="G602">
        <v>2</v>
      </c>
      <c r="H602" t="s">
        <v>842</v>
      </c>
      <c r="I602">
        <v>5</v>
      </c>
      <c r="J602" s="37">
        <v>215.46</v>
      </c>
      <c r="K602">
        <v>1</v>
      </c>
    </row>
    <row r="603" spans="1:11" x14ac:dyDescent="0.35">
      <c r="A603">
        <v>601</v>
      </c>
      <c r="B603">
        <v>2015</v>
      </c>
      <c r="C603" t="s">
        <v>219</v>
      </c>
      <c r="D603" t="s">
        <v>984</v>
      </c>
      <c r="E603" t="s">
        <v>1012</v>
      </c>
      <c r="F603" t="s">
        <v>1013</v>
      </c>
      <c r="G603">
        <v>2</v>
      </c>
      <c r="H603" t="s">
        <v>842</v>
      </c>
      <c r="I603">
        <v>6</v>
      </c>
      <c r="J603" s="37">
        <v>208.07</v>
      </c>
      <c r="K603">
        <v>1</v>
      </c>
    </row>
    <row r="604" spans="1:11" x14ac:dyDescent="0.35">
      <c r="A604">
        <v>602</v>
      </c>
      <c r="B604">
        <v>2015</v>
      </c>
      <c r="C604" t="s">
        <v>219</v>
      </c>
      <c r="D604" t="s">
        <v>844</v>
      </c>
      <c r="E604" t="s">
        <v>1074</v>
      </c>
      <c r="F604" t="s">
        <v>1075</v>
      </c>
      <c r="G604">
        <v>3</v>
      </c>
      <c r="H604" t="s">
        <v>842</v>
      </c>
      <c r="I604">
        <v>6</v>
      </c>
      <c r="J604" s="37">
        <v>208.52</v>
      </c>
      <c r="K604">
        <v>1</v>
      </c>
    </row>
    <row r="605" spans="1:11" x14ac:dyDescent="0.35">
      <c r="A605">
        <v>603</v>
      </c>
      <c r="B605">
        <v>2015</v>
      </c>
      <c r="C605" t="s">
        <v>219</v>
      </c>
      <c r="D605" t="s">
        <v>951</v>
      </c>
      <c r="E605" t="s">
        <v>950</v>
      </c>
      <c r="F605" t="s">
        <v>952</v>
      </c>
      <c r="G605">
        <v>2</v>
      </c>
      <c r="H605" t="s">
        <v>842</v>
      </c>
      <c r="I605">
        <v>6</v>
      </c>
      <c r="J605" s="37">
        <v>214.22</v>
      </c>
      <c r="K605">
        <v>2</v>
      </c>
    </row>
    <row r="606" spans="1:11" x14ac:dyDescent="0.35">
      <c r="A606">
        <v>604</v>
      </c>
      <c r="B606">
        <v>2015</v>
      </c>
      <c r="C606" t="s">
        <v>219</v>
      </c>
      <c r="D606" t="s">
        <v>951</v>
      </c>
      <c r="E606" t="s">
        <v>955</v>
      </c>
      <c r="F606" t="s">
        <v>956</v>
      </c>
      <c r="G606">
        <v>2</v>
      </c>
      <c r="H606" t="s">
        <v>842</v>
      </c>
      <c r="I606">
        <v>6</v>
      </c>
      <c r="J606" s="37">
        <v>216.81</v>
      </c>
      <c r="K606">
        <v>2</v>
      </c>
    </row>
    <row r="607" spans="1:11" x14ac:dyDescent="0.35">
      <c r="A607">
        <v>605</v>
      </c>
      <c r="B607">
        <v>2015</v>
      </c>
      <c r="C607" t="s">
        <v>219</v>
      </c>
      <c r="D607" t="s">
        <v>951</v>
      </c>
      <c r="E607" t="s">
        <v>959</v>
      </c>
      <c r="F607" t="s">
        <v>960</v>
      </c>
      <c r="G607">
        <v>2</v>
      </c>
      <c r="H607" t="s">
        <v>842</v>
      </c>
      <c r="I607">
        <v>6</v>
      </c>
      <c r="J607" s="37">
        <v>227.25</v>
      </c>
      <c r="K607">
        <v>2</v>
      </c>
    </row>
    <row r="608" spans="1:11" x14ac:dyDescent="0.35">
      <c r="A608">
        <v>606</v>
      </c>
      <c r="B608">
        <v>2015</v>
      </c>
      <c r="C608" t="s">
        <v>219</v>
      </c>
      <c r="D608" t="s">
        <v>984</v>
      </c>
      <c r="E608" t="s">
        <v>996</v>
      </c>
      <c r="F608" t="s">
        <v>997</v>
      </c>
      <c r="G608">
        <v>2</v>
      </c>
      <c r="H608" t="s">
        <v>842</v>
      </c>
      <c r="I608">
        <v>6</v>
      </c>
      <c r="J608" s="37">
        <v>228.08</v>
      </c>
      <c r="K608">
        <v>1</v>
      </c>
    </row>
    <row r="609" spans="1:11" x14ac:dyDescent="0.35">
      <c r="A609">
        <v>607</v>
      </c>
      <c r="B609">
        <v>2015</v>
      </c>
      <c r="C609" t="s">
        <v>219</v>
      </c>
      <c r="D609" t="s">
        <v>951</v>
      </c>
      <c r="E609" t="s">
        <v>953</v>
      </c>
      <c r="F609" t="s">
        <v>954</v>
      </c>
      <c r="G609">
        <v>2</v>
      </c>
      <c r="H609" t="s">
        <v>842</v>
      </c>
      <c r="I609">
        <v>6</v>
      </c>
      <c r="J609" s="37">
        <v>234.5</v>
      </c>
      <c r="K609">
        <v>2</v>
      </c>
    </row>
    <row r="610" spans="1:11" x14ac:dyDescent="0.35">
      <c r="A610">
        <v>608</v>
      </c>
      <c r="B610">
        <v>2015</v>
      </c>
      <c r="C610" t="s">
        <v>219</v>
      </c>
      <c r="D610" t="s">
        <v>260</v>
      </c>
      <c r="E610" t="s">
        <v>1110</v>
      </c>
      <c r="F610" t="s">
        <v>846</v>
      </c>
      <c r="G610">
        <v>2</v>
      </c>
      <c r="H610" t="s">
        <v>842</v>
      </c>
      <c r="I610">
        <v>6</v>
      </c>
      <c r="J610" s="37">
        <v>238.13</v>
      </c>
      <c r="K610">
        <v>1</v>
      </c>
    </row>
    <row r="611" spans="1:11" x14ac:dyDescent="0.35">
      <c r="A611">
        <v>609</v>
      </c>
      <c r="B611">
        <v>2015</v>
      </c>
      <c r="C611" t="s">
        <v>219</v>
      </c>
      <c r="D611" t="s">
        <v>951</v>
      </c>
      <c r="E611" t="s">
        <v>957</v>
      </c>
      <c r="F611" t="s">
        <v>958</v>
      </c>
      <c r="G611">
        <v>2</v>
      </c>
      <c r="H611" t="s">
        <v>842</v>
      </c>
      <c r="I611">
        <v>6</v>
      </c>
      <c r="J611" s="37">
        <v>245.33</v>
      </c>
      <c r="K611">
        <v>2</v>
      </c>
    </row>
    <row r="612" spans="1:11" x14ac:dyDescent="0.35">
      <c r="A612">
        <v>610</v>
      </c>
      <c r="B612">
        <v>2015</v>
      </c>
      <c r="C612" t="s">
        <v>219</v>
      </c>
      <c r="D612" t="s">
        <v>260</v>
      </c>
      <c r="E612" t="s">
        <v>1107</v>
      </c>
      <c r="F612" t="s">
        <v>845</v>
      </c>
      <c r="G612">
        <v>2</v>
      </c>
      <c r="H612" t="s">
        <v>842</v>
      </c>
      <c r="I612">
        <v>6</v>
      </c>
      <c r="J612" s="37">
        <v>259.24</v>
      </c>
      <c r="K612">
        <v>1</v>
      </c>
    </row>
    <row r="613" spans="1:11" x14ac:dyDescent="0.35">
      <c r="A613">
        <v>611</v>
      </c>
      <c r="B613">
        <v>2015</v>
      </c>
      <c r="C613" t="s">
        <v>219</v>
      </c>
      <c r="D613" t="s">
        <v>260</v>
      </c>
      <c r="E613" t="s">
        <v>1108</v>
      </c>
      <c r="F613" t="s">
        <v>1109</v>
      </c>
      <c r="G613">
        <v>2</v>
      </c>
      <c r="H613" t="s">
        <v>842</v>
      </c>
      <c r="I613">
        <v>6</v>
      </c>
      <c r="J613" s="37">
        <v>259.24</v>
      </c>
      <c r="K613">
        <v>1</v>
      </c>
    </row>
    <row r="614" spans="1:11" x14ac:dyDescent="0.35">
      <c r="A614">
        <v>612</v>
      </c>
      <c r="B614">
        <v>2015</v>
      </c>
      <c r="C614" t="s">
        <v>219</v>
      </c>
      <c r="D614" t="s">
        <v>260</v>
      </c>
      <c r="E614" t="s">
        <v>1110</v>
      </c>
      <c r="F614" t="s">
        <v>846</v>
      </c>
      <c r="G614">
        <v>2</v>
      </c>
      <c r="H614" t="s">
        <v>842</v>
      </c>
      <c r="I614">
        <v>7</v>
      </c>
      <c r="J614" s="37">
        <v>195.93</v>
      </c>
      <c r="K614">
        <v>1</v>
      </c>
    </row>
    <row r="615" spans="1:11" x14ac:dyDescent="0.35">
      <c r="A615">
        <v>613</v>
      </c>
      <c r="B615">
        <v>2015</v>
      </c>
      <c r="C615" t="s">
        <v>219</v>
      </c>
      <c r="D615" t="s">
        <v>304</v>
      </c>
      <c r="E615" t="s">
        <v>922</v>
      </c>
      <c r="F615" t="s">
        <v>923</v>
      </c>
      <c r="G615">
        <v>1</v>
      </c>
      <c r="H615" t="s">
        <v>842</v>
      </c>
      <c r="I615">
        <v>7</v>
      </c>
      <c r="J615" s="37">
        <v>197.42</v>
      </c>
      <c r="K615">
        <v>4</v>
      </c>
    </row>
    <row r="616" spans="1:11" x14ac:dyDescent="0.35">
      <c r="A616">
        <v>614</v>
      </c>
      <c r="B616">
        <v>2015</v>
      </c>
      <c r="C616" t="s">
        <v>219</v>
      </c>
      <c r="D616" t="s">
        <v>304</v>
      </c>
      <c r="E616" t="s">
        <v>918</v>
      </c>
      <c r="F616" t="s">
        <v>919</v>
      </c>
      <c r="G616">
        <v>1</v>
      </c>
      <c r="H616" t="s">
        <v>842</v>
      </c>
      <c r="I616">
        <v>7</v>
      </c>
      <c r="J616" s="37">
        <v>197.67</v>
      </c>
      <c r="K616">
        <v>4</v>
      </c>
    </row>
    <row r="617" spans="1:11" x14ac:dyDescent="0.35">
      <c r="A617">
        <v>615</v>
      </c>
      <c r="B617">
        <v>2015</v>
      </c>
      <c r="C617" t="s">
        <v>219</v>
      </c>
      <c r="D617" t="s">
        <v>304</v>
      </c>
      <c r="E617" t="s">
        <v>920</v>
      </c>
      <c r="F617" t="s">
        <v>921</v>
      </c>
      <c r="G617">
        <v>1</v>
      </c>
      <c r="H617" t="s">
        <v>842</v>
      </c>
      <c r="I617">
        <v>7</v>
      </c>
      <c r="J617" s="37">
        <v>197.95</v>
      </c>
      <c r="K617">
        <v>4</v>
      </c>
    </row>
    <row r="618" spans="1:11" x14ac:dyDescent="0.35">
      <c r="A618">
        <v>616</v>
      </c>
      <c r="B618">
        <v>2015</v>
      </c>
      <c r="C618" t="s">
        <v>219</v>
      </c>
      <c r="D618" t="s">
        <v>951</v>
      </c>
      <c r="E618" t="s">
        <v>950</v>
      </c>
      <c r="F618" t="s">
        <v>952</v>
      </c>
      <c r="G618">
        <v>2</v>
      </c>
      <c r="H618" t="s">
        <v>842</v>
      </c>
      <c r="I618">
        <v>7</v>
      </c>
      <c r="J618" s="37">
        <v>201.17</v>
      </c>
      <c r="K618">
        <v>2</v>
      </c>
    </row>
    <row r="619" spans="1:11" x14ac:dyDescent="0.35">
      <c r="A619">
        <v>617</v>
      </c>
      <c r="B619">
        <v>2015</v>
      </c>
      <c r="C619" t="s">
        <v>219</v>
      </c>
      <c r="D619" t="s">
        <v>951</v>
      </c>
      <c r="E619" t="s">
        <v>955</v>
      </c>
      <c r="F619" t="s">
        <v>956</v>
      </c>
      <c r="G619">
        <v>2</v>
      </c>
      <c r="H619" t="s">
        <v>842</v>
      </c>
      <c r="I619">
        <v>7</v>
      </c>
      <c r="J619" s="37">
        <v>203.62</v>
      </c>
      <c r="K619">
        <v>2</v>
      </c>
    </row>
    <row r="620" spans="1:11" x14ac:dyDescent="0.35">
      <c r="A620">
        <v>618</v>
      </c>
      <c r="B620">
        <v>2015</v>
      </c>
      <c r="C620" t="s">
        <v>219</v>
      </c>
      <c r="D620" t="s">
        <v>260</v>
      </c>
      <c r="E620" t="s">
        <v>1107</v>
      </c>
      <c r="F620" t="s">
        <v>845</v>
      </c>
      <c r="G620">
        <v>2</v>
      </c>
      <c r="H620" t="s">
        <v>842</v>
      </c>
      <c r="I620">
        <v>7</v>
      </c>
      <c r="J620" s="37">
        <v>213.31</v>
      </c>
      <c r="K620">
        <v>1</v>
      </c>
    </row>
    <row r="621" spans="1:11" x14ac:dyDescent="0.35">
      <c r="A621">
        <v>619</v>
      </c>
      <c r="B621">
        <v>2015</v>
      </c>
      <c r="C621" t="s">
        <v>219</v>
      </c>
      <c r="D621" t="s">
        <v>260</v>
      </c>
      <c r="E621" t="s">
        <v>1108</v>
      </c>
      <c r="F621" t="s">
        <v>1109</v>
      </c>
      <c r="G621">
        <v>2</v>
      </c>
      <c r="H621" t="s">
        <v>842</v>
      </c>
      <c r="I621">
        <v>7</v>
      </c>
      <c r="J621" s="37">
        <v>213.31</v>
      </c>
      <c r="K621">
        <v>1</v>
      </c>
    </row>
    <row r="622" spans="1:11" x14ac:dyDescent="0.35">
      <c r="A622">
        <v>620</v>
      </c>
      <c r="B622">
        <v>2015</v>
      </c>
      <c r="C622" t="s">
        <v>219</v>
      </c>
      <c r="D622" t="s">
        <v>951</v>
      </c>
      <c r="E622" t="s">
        <v>959</v>
      </c>
      <c r="F622" t="s">
        <v>960</v>
      </c>
      <c r="G622">
        <v>2</v>
      </c>
      <c r="H622" t="s">
        <v>842</v>
      </c>
      <c r="I622">
        <v>7</v>
      </c>
      <c r="J622" s="37">
        <v>213.4</v>
      </c>
      <c r="K622">
        <v>2</v>
      </c>
    </row>
    <row r="623" spans="1:11" x14ac:dyDescent="0.35">
      <c r="A623">
        <v>621</v>
      </c>
      <c r="B623">
        <v>2015</v>
      </c>
      <c r="C623" t="s">
        <v>219</v>
      </c>
      <c r="D623" t="s">
        <v>951</v>
      </c>
      <c r="E623" t="s">
        <v>953</v>
      </c>
      <c r="F623" t="s">
        <v>954</v>
      </c>
      <c r="G623">
        <v>2</v>
      </c>
      <c r="H623" t="s">
        <v>842</v>
      </c>
      <c r="I623">
        <v>7</v>
      </c>
      <c r="J623" s="37">
        <v>220.22</v>
      </c>
      <c r="K623">
        <v>2</v>
      </c>
    </row>
    <row r="624" spans="1:11" x14ac:dyDescent="0.35">
      <c r="A624">
        <v>622</v>
      </c>
      <c r="B624">
        <v>2015</v>
      </c>
      <c r="C624" t="s">
        <v>219</v>
      </c>
      <c r="D624" t="s">
        <v>951</v>
      </c>
      <c r="E624" t="s">
        <v>957</v>
      </c>
      <c r="F624" t="s">
        <v>958</v>
      </c>
      <c r="G624">
        <v>2</v>
      </c>
      <c r="H624" t="s">
        <v>842</v>
      </c>
      <c r="I624">
        <v>7</v>
      </c>
      <c r="J624" s="37">
        <v>230.38</v>
      </c>
      <c r="K624">
        <v>2</v>
      </c>
    </row>
    <row r="625" spans="1:11" x14ac:dyDescent="0.35">
      <c r="A625">
        <v>623</v>
      </c>
      <c r="B625">
        <v>2015</v>
      </c>
      <c r="C625" t="s">
        <v>219</v>
      </c>
      <c r="D625" t="s">
        <v>281</v>
      </c>
      <c r="E625" t="s">
        <v>932</v>
      </c>
      <c r="F625" t="s">
        <v>858</v>
      </c>
      <c r="G625">
        <v>2</v>
      </c>
      <c r="H625" t="s">
        <v>842</v>
      </c>
      <c r="I625">
        <v>8</v>
      </c>
      <c r="J625" s="37">
        <v>167.52</v>
      </c>
      <c r="K625">
        <v>4</v>
      </c>
    </row>
    <row r="626" spans="1:11" x14ac:dyDescent="0.35">
      <c r="A626">
        <v>624</v>
      </c>
      <c r="B626">
        <v>2015</v>
      </c>
      <c r="C626" t="s">
        <v>219</v>
      </c>
      <c r="D626" t="s">
        <v>281</v>
      </c>
      <c r="E626" t="s">
        <v>935</v>
      </c>
      <c r="F626" t="s">
        <v>871</v>
      </c>
      <c r="G626">
        <v>2</v>
      </c>
      <c r="H626" t="s">
        <v>842</v>
      </c>
      <c r="I626">
        <v>8</v>
      </c>
      <c r="J626" s="37">
        <v>170.02</v>
      </c>
      <c r="K626">
        <v>4</v>
      </c>
    </row>
    <row r="627" spans="1:11" x14ac:dyDescent="0.35">
      <c r="A627">
        <v>625</v>
      </c>
      <c r="B627">
        <v>2015</v>
      </c>
      <c r="C627" t="s">
        <v>219</v>
      </c>
      <c r="D627" t="s">
        <v>281</v>
      </c>
      <c r="E627" t="s">
        <v>938</v>
      </c>
      <c r="F627" t="s">
        <v>874</v>
      </c>
      <c r="G627">
        <v>2</v>
      </c>
      <c r="H627" t="s">
        <v>842</v>
      </c>
      <c r="I627">
        <v>8</v>
      </c>
      <c r="J627" s="37">
        <v>170.7</v>
      </c>
      <c r="K627">
        <v>4</v>
      </c>
    </row>
    <row r="628" spans="1:11" x14ac:dyDescent="0.35">
      <c r="A628">
        <v>626</v>
      </c>
      <c r="B628">
        <v>2015</v>
      </c>
      <c r="C628" t="s">
        <v>219</v>
      </c>
      <c r="D628" t="s">
        <v>281</v>
      </c>
      <c r="E628" t="s">
        <v>933</v>
      </c>
      <c r="F628" t="s">
        <v>859</v>
      </c>
      <c r="G628">
        <v>2</v>
      </c>
      <c r="H628" t="s">
        <v>842</v>
      </c>
      <c r="I628">
        <v>8</v>
      </c>
      <c r="J628" s="37">
        <v>171.53</v>
      </c>
      <c r="K628">
        <v>4</v>
      </c>
    </row>
    <row r="629" spans="1:11" x14ac:dyDescent="0.35">
      <c r="A629">
        <v>627</v>
      </c>
      <c r="B629">
        <v>2015</v>
      </c>
      <c r="C629" t="s">
        <v>219</v>
      </c>
      <c r="D629" t="s">
        <v>281</v>
      </c>
      <c r="E629" t="s">
        <v>936</v>
      </c>
      <c r="F629" t="s">
        <v>872</v>
      </c>
      <c r="G629">
        <v>2</v>
      </c>
      <c r="H629" t="s">
        <v>842</v>
      </c>
      <c r="I629">
        <v>8</v>
      </c>
      <c r="J629" s="37">
        <v>174.08</v>
      </c>
      <c r="K629">
        <v>4</v>
      </c>
    </row>
    <row r="630" spans="1:11" x14ac:dyDescent="0.35">
      <c r="A630">
        <v>628</v>
      </c>
      <c r="B630">
        <v>2015</v>
      </c>
      <c r="C630" t="s">
        <v>219</v>
      </c>
      <c r="D630" t="s">
        <v>281</v>
      </c>
      <c r="E630" t="s">
        <v>939</v>
      </c>
      <c r="F630" t="s">
        <v>875</v>
      </c>
      <c r="G630">
        <v>2</v>
      </c>
      <c r="H630" t="s">
        <v>842</v>
      </c>
      <c r="I630">
        <v>8</v>
      </c>
      <c r="J630" s="37">
        <v>174.78</v>
      </c>
      <c r="K630">
        <v>4</v>
      </c>
    </row>
    <row r="631" spans="1:11" x14ac:dyDescent="0.35">
      <c r="A631">
        <v>629</v>
      </c>
      <c r="B631">
        <v>2015</v>
      </c>
      <c r="C631" t="s">
        <v>219</v>
      </c>
      <c r="D631" t="s">
        <v>281</v>
      </c>
      <c r="E631" t="s">
        <v>941</v>
      </c>
      <c r="F631" t="s">
        <v>877</v>
      </c>
      <c r="G631">
        <v>2</v>
      </c>
      <c r="H631" t="s">
        <v>842</v>
      </c>
      <c r="I631">
        <v>8</v>
      </c>
      <c r="J631" s="37">
        <v>178.87</v>
      </c>
      <c r="K631">
        <v>4</v>
      </c>
    </row>
    <row r="632" spans="1:11" x14ac:dyDescent="0.35">
      <c r="A632">
        <v>630</v>
      </c>
      <c r="B632">
        <v>2015</v>
      </c>
      <c r="C632" t="s">
        <v>219</v>
      </c>
      <c r="D632" t="s">
        <v>281</v>
      </c>
      <c r="E632" t="s">
        <v>934</v>
      </c>
      <c r="F632" t="s">
        <v>860</v>
      </c>
      <c r="G632">
        <v>2</v>
      </c>
      <c r="H632" t="s">
        <v>842</v>
      </c>
      <c r="I632">
        <v>8</v>
      </c>
      <c r="J632" s="37">
        <v>179</v>
      </c>
      <c r="K632">
        <v>4</v>
      </c>
    </row>
    <row r="633" spans="1:11" x14ac:dyDescent="0.35">
      <c r="A633">
        <v>631</v>
      </c>
      <c r="B633">
        <v>2015</v>
      </c>
      <c r="C633" t="s">
        <v>219</v>
      </c>
      <c r="D633" t="s">
        <v>281</v>
      </c>
      <c r="E633" t="s">
        <v>937</v>
      </c>
      <c r="F633" t="s">
        <v>873</v>
      </c>
      <c r="G633">
        <v>2</v>
      </c>
      <c r="H633" t="s">
        <v>842</v>
      </c>
      <c r="I633">
        <v>8</v>
      </c>
      <c r="J633" s="37">
        <v>181.67</v>
      </c>
      <c r="K633">
        <v>4</v>
      </c>
    </row>
    <row r="634" spans="1:11" x14ac:dyDescent="0.35">
      <c r="A634">
        <v>632</v>
      </c>
      <c r="B634">
        <v>2015</v>
      </c>
      <c r="C634" t="s">
        <v>219</v>
      </c>
      <c r="D634" t="s">
        <v>951</v>
      </c>
      <c r="E634" t="s">
        <v>950</v>
      </c>
      <c r="F634" t="s">
        <v>952</v>
      </c>
      <c r="G634">
        <v>2</v>
      </c>
      <c r="H634" t="s">
        <v>842</v>
      </c>
      <c r="I634">
        <v>8</v>
      </c>
      <c r="J634" s="37">
        <v>182.27</v>
      </c>
      <c r="K634">
        <v>2</v>
      </c>
    </row>
    <row r="635" spans="1:11" x14ac:dyDescent="0.35">
      <c r="A635">
        <v>633</v>
      </c>
      <c r="B635">
        <v>2015</v>
      </c>
      <c r="C635" t="s">
        <v>219</v>
      </c>
      <c r="D635" t="s">
        <v>281</v>
      </c>
      <c r="E635" t="s">
        <v>940</v>
      </c>
      <c r="F635" t="s">
        <v>876</v>
      </c>
      <c r="G635">
        <v>2</v>
      </c>
      <c r="H635" t="s">
        <v>842</v>
      </c>
      <c r="I635">
        <v>8</v>
      </c>
      <c r="J635" s="37">
        <v>182.39</v>
      </c>
      <c r="K635">
        <v>4</v>
      </c>
    </row>
    <row r="636" spans="1:11" x14ac:dyDescent="0.35">
      <c r="A636">
        <v>634</v>
      </c>
      <c r="B636">
        <v>2015</v>
      </c>
      <c r="C636" t="s">
        <v>219</v>
      </c>
      <c r="D636" t="s">
        <v>281</v>
      </c>
      <c r="E636" t="s">
        <v>942</v>
      </c>
      <c r="F636" t="s">
        <v>878</v>
      </c>
      <c r="G636">
        <v>2</v>
      </c>
      <c r="H636" t="s">
        <v>842</v>
      </c>
      <c r="I636">
        <v>8</v>
      </c>
      <c r="J636" s="37">
        <v>183.15</v>
      </c>
      <c r="K636">
        <v>4</v>
      </c>
    </row>
    <row r="637" spans="1:11" x14ac:dyDescent="0.35">
      <c r="A637">
        <v>635</v>
      </c>
      <c r="B637">
        <v>2015</v>
      </c>
      <c r="C637" t="s">
        <v>219</v>
      </c>
      <c r="D637" t="s">
        <v>951</v>
      </c>
      <c r="E637" t="s">
        <v>955</v>
      </c>
      <c r="F637" t="s">
        <v>956</v>
      </c>
      <c r="G637">
        <v>2</v>
      </c>
      <c r="H637" t="s">
        <v>842</v>
      </c>
      <c r="I637">
        <v>8</v>
      </c>
      <c r="J637" s="37">
        <v>184.48</v>
      </c>
      <c r="K637">
        <v>2</v>
      </c>
    </row>
    <row r="638" spans="1:11" x14ac:dyDescent="0.35">
      <c r="A638">
        <v>636</v>
      </c>
      <c r="B638">
        <v>2015</v>
      </c>
      <c r="C638" t="s">
        <v>219</v>
      </c>
      <c r="D638" t="s">
        <v>984</v>
      </c>
      <c r="E638" t="s">
        <v>1004</v>
      </c>
      <c r="F638" t="s">
        <v>1005</v>
      </c>
      <c r="G638">
        <v>2</v>
      </c>
      <c r="H638" t="s">
        <v>842</v>
      </c>
      <c r="I638">
        <v>8</v>
      </c>
      <c r="J638" s="37">
        <v>185.41</v>
      </c>
      <c r="K638">
        <v>1</v>
      </c>
    </row>
    <row r="639" spans="1:11" x14ac:dyDescent="0.35">
      <c r="A639">
        <v>637</v>
      </c>
      <c r="B639">
        <v>2015</v>
      </c>
      <c r="C639" t="s">
        <v>219</v>
      </c>
      <c r="D639" t="s">
        <v>844</v>
      </c>
      <c r="E639" t="s">
        <v>1070</v>
      </c>
      <c r="F639" t="s">
        <v>1071</v>
      </c>
      <c r="G639">
        <v>2</v>
      </c>
      <c r="H639" t="s">
        <v>842</v>
      </c>
      <c r="I639">
        <v>8</v>
      </c>
      <c r="J639" s="37">
        <v>187.68</v>
      </c>
      <c r="K639">
        <v>1</v>
      </c>
    </row>
    <row r="640" spans="1:11" x14ac:dyDescent="0.35">
      <c r="A640">
        <v>638</v>
      </c>
      <c r="B640">
        <v>2015</v>
      </c>
      <c r="C640" t="s">
        <v>219</v>
      </c>
      <c r="D640" t="s">
        <v>245</v>
      </c>
      <c r="E640" t="s">
        <v>1097</v>
      </c>
      <c r="F640" t="s">
        <v>1098</v>
      </c>
      <c r="G640">
        <v>2</v>
      </c>
      <c r="H640" t="s">
        <v>842</v>
      </c>
      <c r="I640">
        <v>8</v>
      </c>
      <c r="J640" s="37">
        <v>190</v>
      </c>
      <c r="K640">
        <v>1</v>
      </c>
    </row>
    <row r="641" spans="1:11" x14ac:dyDescent="0.35">
      <c r="A641">
        <v>639</v>
      </c>
      <c r="B641">
        <v>2015</v>
      </c>
      <c r="C641" t="s">
        <v>219</v>
      </c>
      <c r="D641" t="s">
        <v>281</v>
      </c>
      <c r="E641" t="s">
        <v>943</v>
      </c>
      <c r="F641" t="s">
        <v>879</v>
      </c>
      <c r="G641">
        <v>2</v>
      </c>
      <c r="H641" t="s">
        <v>842</v>
      </c>
      <c r="I641">
        <v>8</v>
      </c>
      <c r="J641" s="37">
        <v>191.13</v>
      </c>
      <c r="K641">
        <v>4</v>
      </c>
    </row>
    <row r="642" spans="1:11" x14ac:dyDescent="0.35">
      <c r="A642">
        <v>640</v>
      </c>
      <c r="B642">
        <v>2015</v>
      </c>
      <c r="C642" t="s">
        <v>219</v>
      </c>
      <c r="D642" t="s">
        <v>951</v>
      </c>
      <c r="E642" t="s">
        <v>959</v>
      </c>
      <c r="F642" t="s">
        <v>960</v>
      </c>
      <c r="G642">
        <v>2</v>
      </c>
      <c r="H642" t="s">
        <v>842</v>
      </c>
      <c r="I642">
        <v>8</v>
      </c>
      <c r="J642" s="37">
        <v>193.36</v>
      </c>
      <c r="K642">
        <v>2</v>
      </c>
    </row>
    <row r="643" spans="1:11" x14ac:dyDescent="0.35">
      <c r="A643">
        <v>641</v>
      </c>
      <c r="B643">
        <v>2015</v>
      </c>
      <c r="C643" t="s">
        <v>219</v>
      </c>
      <c r="D643" t="s">
        <v>844</v>
      </c>
      <c r="E643" t="s">
        <v>1074</v>
      </c>
      <c r="F643" t="s">
        <v>1075</v>
      </c>
      <c r="G643">
        <v>3</v>
      </c>
      <c r="H643" t="s">
        <v>842</v>
      </c>
      <c r="I643">
        <v>8</v>
      </c>
      <c r="J643" s="37">
        <v>195.9</v>
      </c>
      <c r="K643">
        <v>1</v>
      </c>
    </row>
    <row r="644" spans="1:11" x14ac:dyDescent="0.35">
      <c r="A644">
        <v>642</v>
      </c>
      <c r="B644">
        <v>2015</v>
      </c>
      <c r="C644" t="s">
        <v>219</v>
      </c>
      <c r="D644" t="s">
        <v>245</v>
      </c>
      <c r="E644" t="s">
        <v>1095</v>
      </c>
      <c r="F644" t="s">
        <v>1096</v>
      </c>
      <c r="G644">
        <v>2</v>
      </c>
      <c r="H644" t="s">
        <v>842</v>
      </c>
      <c r="I644">
        <v>8</v>
      </c>
      <c r="J644" s="37">
        <v>198</v>
      </c>
      <c r="K644">
        <v>1</v>
      </c>
    </row>
    <row r="645" spans="1:11" x14ac:dyDescent="0.35">
      <c r="A645">
        <v>643</v>
      </c>
      <c r="B645">
        <v>2015</v>
      </c>
      <c r="C645" t="s">
        <v>219</v>
      </c>
      <c r="D645" t="s">
        <v>951</v>
      </c>
      <c r="E645" t="s">
        <v>953</v>
      </c>
      <c r="F645" t="s">
        <v>954</v>
      </c>
      <c r="G645">
        <v>2</v>
      </c>
      <c r="H645" t="s">
        <v>842</v>
      </c>
      <c r="I645">
        <v>8</v>
      </c>
      <c r="J645" s="37">
        <v>199.53</v>
      </c>
      <c r="K645">
        <v>2</v>
      </c>
    </row>
    <row r="646" spans="1:11" x14ac:dyDescent="0.35">
      <c r="A646">
        <v>644</v>
      </c>
      <c r="B646">
        <v>2015</v>
      </c>
      <c r="C646" t="s">
        <v>219</v>
      </c>
      <c r="D646" t="s">
        <v>984</v>
      </c>
      <c r="E646" t="s">
        <v>988</v>
      </c>
      <c r="F646" t="s">
        <v>989</v>
      </c>
      <c r="G646">
        <v>2</v>
      </c>
      <c r="H646" t="s">
        <v>842</v>
      </c>
      <c r="I646">
        <v>8</v>
      </c>
      <c r="J646" s="37">
        <v>203.27</v>
      </c>
      <c r="K646">
        <v>1</v>
      </c>
    </row>
    <row r="647" spans="1:11" x14ac:dyDescent="0.35">
      <c r="A647">
        <v>645</v>
      </c>
      <c r="B647">
        <v>2015</v>
      </c>
      <c r="C647" t="s">
        <v>219</v>
      </c>
      <c r="D647" t="s">
        <v>245</v>
      </c>
      <c r="E647" t="s">
        <v>1099</v>
      </c>
      <c r="F647" t="s">
        <v>1100</v>
      </c>
      <c r="G647">
        <v>2</v>
      </c>
      <c r="H647" t="s">
        <v>842</v>
      </c>
      <c r="I647">
        <v>8</v>
      </c>
      <c r="J647" s="37">
        <v>206</v>
      </c>
      <c r="K647">
        <v>1</v>
      </c>
    </row>
    <row r="648" spans="1:11" x14ac:dyDescent="0.35">
      <c r="A648">
        <v>646</v>
      </c>
      <c r="B648">
        <v>2015</v>
      </c>
      <c r="C648" t="s">
        <v>219</v>
      </c>
      <c r="D648" t="s">
        <v>951</v>
      </c>
      <c r="E648" t="s">
        <v>957</v>
      </c>
      <c r="F648" t="s">
        <v>958</v>
      </c>
      <c r="G648">
        <v>2</v>
      </c>
      <c r="H648" t="s">
        <v>842</v>
      </c>
      <c r="I648">
        <v>8</v>
      </c>
      <c r="J648" s="37">
        <v>208.74</v>
      </c>
      <c r="K648">
        <v>2</v>
      </c>
    </row>
    <row r="649" spans="1:11" x14ac:dyDescent="0.35">
      <c r="A649">
        <v>647</v>
      </c>
      <c r="B649">
        <v>2015</v>
      </c>
      <c r="C649" t="s">
        <v>219</v>
      </c>
      <c r="D649" t="s">
        <v>844</v>
      </c>
      <c r="E649" t="s">
        <v>1066</v>
      </c>
      <c r="F649" t="s">
        <v>1067</v>
      </c>
      <c r="G649">
        <v>2</v>
      </c>
      <c r="H649" t="s">
        <v>842</v>
      </c>
      <c r="I649">
        <v>8</v>
      </c>
      <c r="J649" s="37">
        <v>210.85</v>
      </c>
      <c r="K649">
        <v>1</v>
      </c>
    </row>
    <row r="650" spans="1:11" x14ac:dyDescent="0.35">
      <c r="A650">
        <v>648</v>
      </c>
      <c r="B650">
        <v>2015</v>
      </c>
      <c r="C650" t="s">
        <v>219</v>
      </c>
      <c r="D650" t="s">
        <v>260</v>
      </c>
      <c r="E650" t="s">
        <v>1110</v>
      </c>
      <c r="F650" t="s">
        <v>846</v>
      </c>
      <c r="G650">
        <v>2</v>
      </c>
      <c r="H650" t="s">
        <v>842</v>
      </c>
      <c r="I650">
        <v>8</v>
      </c>
      <c r="J650" s="37">
        <v>215.67</v>
      </c>
      <c r="K650">
        <v>1</v>
      </c>
    </row>
    <row r="651" spans="1:11" x14ac:dyDescent="0.35">
      <c r="A651">
        <v>649</v>
      </c>
      <c r="B651">
        <v>2015</v>
      </c>
      <c r="C651" t="s">
        <v>219</v>
      </c>
      <c r="D651" t="s">
        <v>260</v>
      </c>
      <c r="E651" t="s">
        <v>1107</v>
      </c>
      <c r="F651" t="s">
        <v>845</v>
      </c>
      <c r="G651">
        <v>2</v>
      </c>
      <c r="H651" t="s">
        <v>842</v>
      </c>
      <c r="I651">
        <v>8</v>
      </c>
      <c r="J651" s="37">
        <v>234.8</v>
      </c>
      <c r="K651">
        <v>1</v>
      </c>
    </row>
    <row r="652" spans="1:11" x14ac:dyDescent="0.35">
      <c r="A652">
        <v>650</v>
      </c>
      <c r="B652">
        <v>2015</v>
      </c>
      <c r="C652" t="s">
        <v>219</v>
      </c>
      <c r="D652" t="s">
        <v>260</v>
      </c>
      <c r="E652" t="s">
        <v>1108</v>
      </c>
      <c r="F652" t="s">
        <v>1109</v>
      </c>
      <c r="G652">
        <v>2</v>
      </c>
      <c r="H652" t="s">
        <v>842</v>
      </c>
      <c r="I652">
        <v>8</v>
      </c>
      <c r="J652" s="37">
        <v>234.8</v>
      </c>
      <c r="K652">
        <v>1</v>
      </c>
    </row>
    <row r="653" spans="1:11" x14ac:dyDescent="0.35">
      <c r="A653">
        <v>651</v>
      </c>
      <c r="B653">
        <v>2015</v>
      </c>
      <c r="C653" t="s">
        <v>219</v>
      </c>
      <c r="D653" t="s">
        <v>951</v>
      </c>
      <c r="E653" t="s">
        <v>950</v>
      </c>
      <c r="F653" t="s">
        <v>952</v>
      </c>
      <c r="G653">
        <v>2</v>
      </c>
      <c r="H653" t="s">
        <v>842</v>
      </c>
      <c r="I653">
        <v>9</v>
      </c>
      <c r="J653" s="37">
        <v>173.34</v>
      </c>
      <c r="K653">
        <v>2</v>
      </c>
    </row>
    <row r="654" spans="1:11" x14ac:dyDescent="0.35">
      <c r="A654">
        <v>652</v>
      </c>
      <c r="B654">
        <v>2015</v>
      </c>
      <c r="C654" t="s">
        <v>219</v>
      </c>
      <c r="D654" t="s">
        <v>951</v>
      </c>
      <c r="E654" t="s">
        <v>955</v>
      </c>
      <c r="F654" t="s">
        <v>956</v>
      </c>
      <c r="G654">
        <v>2</v>
      </c>
      <c r="H654" t="s">
        <v>842</v>
      </c>
      <c r="I654">
        <v>9</v>
      </c>
      <c r="J654" s="37">
        <v>175.44</v>
      </c>
      <c r="K654">
        <v>2</v>
      </c>
    </row>
    <row r="655" spans="1:11" x14ac:dyDescent="0.35">
      <c r="A655">
        <v>653</v>
      </c>
      <c r="B655">
        <v>2015</v>
      </c>
      <c r="C655" t="s">
        <v>219</v>
      </c>
      <c r="D655" t="s">
        <v>951</v>
      </c>
      <c r="E655" t="s">
        <v>959</v>
      </c>
      <c r="F655" t="s">
        <v>960</v>
      </c>
      <c r="G655">
        <v>2</v>
      </c>
      <c r="H655" t="s">
        <v>842</v>
      </c>
      <c r="I655">
        <v>9</v>
      </c>
      <c r="J655" s="37">
        <v>183.88</v>
      </c>
      <c r="K655">
        <v>2</v>
      </c>
    </row>
    <row r="656" spans="1:11" x14ac:dyDescent="0.35">
      <c r="A656">
        <v>654</v>
      </c>
      <c r="B656">
        <v>2015</v>
      </c>
      <c r="C656" t="s">
        <v>219</v>
      </c>
      <c r="D656" t="s">
        <v>951</v>
      </c>
      <c r="E656" t="s">
        <v>953</v>
      </c>
      <c r="F656" t="s">
        <v>954</v>
      </c>
      <c r="G656">
        <v>2</v>
      </c>
      <c r="H656" t="s">
        <v>842</v>
      </c>
      <c r="I656">
        <v>9</v>
      </c>
      <c r="J656" s="37">
        <v>189.75</v>
      </c>
      <c r="K656">
        <v>2</v>
      </c>
    </row>
    <row r="657" spans="1:11" x14ac:dyDescent="0.35">
      <c r="A657">
        <v>655</v>
      </c>
      <c r="B657">
        <v>2015</v>
      </c>
      <c r="C657" t="s">
        <v>219</v>
      </c>
      <c r="D657" t="s">
        <v>304</v>
      </c>
      <c r="E657" t="s">
        <v>922</v>
      </c>
      <c r="F657" t="s">
        <v>923</v>
      </c>
      <c r="G657">
        <v>1</v>
      </c>
      <c r="H657" t="s">
        <v>842</v>
      </c>
      <c r="I657">
        <v>9</v>
      </c>
      <c r="J657" s="37">
        <v>197.42</v>
      </c>
      <c r="K657">
        <v>4</v>
      </c>
    </row>
    <row r="658" spans="1:11" x14ac:dyDescent="0.35">
      <c r="A658">
        <v>656</v>
      </c>
      <c r="B658">
        <v>2015</v>
      </c>
      <c r="C658" t="s">
        <v>219</v>
      </c>
      <c r="D658" t="s">
        <v>304</v>
      </c>
      <c r="E658" t="s">
        <v>918</v>
      </c>
      <c r="F658" t="s">
        <v>919</v>
      </c>
      <c r="G658">
        <v>1</v>
      </c>
      <c r="H658" t="s">
        <v>842</v>
      </c>
      <c r="I658">
        <v>9</v>
      </c>
      <c r="J658" s="37">
        <v>197.67</v>
      </c>
      <c r="K658">
        <v>4</v>
      </c>
    </row>
    <row r="659" spans="1:11" x14ac:dyDescent="0.35">
      <c r="A659">
        <v>657</v>
      </c>
      <c r="B659">
        <v>2015</v>
      </c>
      <c r="C659" t="s">
        <v>219</v>
      </c>
      <c r="D659" t="s">
        <v>304</v>
      </c>
      <c r="E659" t="s">
        <v>920</v>
      </c>
      <c r="F659" t="s">
        <v>921</v>
      </c>
      <c r="G659">
        <v>1</v>
      </c>
      <c r="H659" t="s">
        <v>842</v>
      </c>
      <c r="I659">
        <v>9</v>
      </c>
      <c r="J659" s="37">
        <v>197.95</v>
      </c>
      <c r="K659">
        <v>4</v>
      </c>
    </row>
    <row r="660" spans="1:11" x14ac:dyDescent="0.35">
      <c r="A660">
        <v>658</v>
      </c>
      <c r="B660">
        <v>2015</v>
      </c>
      <c r="C660" t="s">
        <v>219</v>
      </c>
      <c r="D660" t="s">
        <v>951</v>
      </c>
      <c r="E660" t="s">
        <v>957</v>
      </c>
      <c r="F660" t="s">
        <v>958</v>
      </c>
      <c r="G660">
        <v>2</v>
      </c>
      <c r="H660" t="s">
        <v>842</v>
      </c>
      <c r="I660">
        <v>9</v>
      </c>
      <c r="J660" s="37">
        <v>198.5</v>
      </c>
      <c r="K660">
        <v>2</v>
      </c>
    </row>
    <row r="661" spans="1:11" x14ac:dyDescent="0.35">
      <c r="A661">
        <v>659</v>
      </c>
      <c r="B661">
        <v>2015</v>
      </c>
      <c r="C661" t="s">
        <v>219</v>
      </c>
      <c r="D661" t="s">
        <v>260</v>
      </c>
      <c r="E661" t="s">
        <v>1110</v>
      </c>
      <c r="F661" t="s">
        <v>846</v>
      </c>
      <c r="G661">
        <v>2</v>
      </c>
      <c r="H661" t="s">
        <v>842</v>
      </c>
      <c r="I661">
        <v>9</v>
      </c>
      <c r="J661" s="37">
        <v>237.14</v>
      </c>
      <c r="K661">
        <v>1</v>
      </c>
    </row>
    <row r="662" spans="1:11" x14ac:dyDescent="0.35">
      <c r="A662">
        <v>660</v>
      </c>
      <c r="B662">
        <v>2015</v>
      </c>
      <c r="C662" t="s">
        <v>219</v>
      </c>
      <c r="D662" t="s">
        <v>260</v>
      </c>
      <c r="E662" t="s">
        <v>1107</v>
      </c>
      <c r="F662" t="s">
        <v>845</v>
      </c>
      <c r="G662">
        <v>2</v>
      </c>
      <c r="H662" t="s">
        <v>842</v>
      </c>
      <c r="I662">
        <v>9</v>
      </c>
      <c r="J662" s="37">
        <v>258.17</v>
      </c>
      <c r="K662">
        <v>1</v>
      </c>
    </row>
    <row r="663" spans="1:11" x14ac:dyDescent="0.35">
      <c r="A663">
        <v>661</v>
      </c>
      <c r="B663">
        <v>2015</v>
      </c>
      <c r="C663" t="s">
        <v>219</v>
      </c>
      <c r="D663" t="s">
        <v>260</v>
      </c>
      <c r="E663" t="s">
        <v>1108</v>
      </c>
      <c r="F663" t="s">
        <v>1109</v>
      </c>
      <c r="G663">
        <v>2</v>
      </c>
      <c r="H663" t="s">
        <v>842</v>
      </c>
      <c r="I663">
        <v>9</v>
      </c>
      <c r="J663" s="37">
        <v>258.17</v>
      </c>
      <c r="K663">
        <v>1</v>
      </c>
    </row>
    <row r="664" spans="1:11" x14ac:dyDescent="0.35">
      <c r="A664">
        <v>662</v>
      </c>
      <c r="B664">
        <v>2015</v>
      </c>
      <c r="C664" t="s">
        <v>219</v>
      </c>
      <c r="D664" t="s">
        <v>951</v>
      </c>
      <c r="E664" t="s">
        <v>950</v>
      </c>
      <c r="F664" t="s">
        <v>952</v>
      </c>
      <c r="G664">
        <v>2</v>
      </c>
      <c r="H664" t="s">
        <v>842</v>
      </c>
      <c r="I664">
        <v>10</v>
      </c>
      <c r="J664" s="37">
        <v>168.78</v>
      </c>
      <c r="K664">
        <v>2</v>
      </c>
    </row>
    <row r="665" spans="1:11" x14ac:dyDescent="0.35">
      <c r="A665">
        <v>663</v>
      </c>
      <c r="B665">
        <v>2015</v>
      </c>
      <c r="C665" t="s">
        <v>219</v>
      </c>
      <c r="D665" t="s">
        <v>951</v>
      </c>
      <c r="E665" t="s">
        <v>955</v>
      </c>
      <c r="F665" t="s">
        <v>956</v>
      </c>
      <c r="G665">
        <v>2</v>
      </c>
      <c r="H665" t="s">
        <v>842</v>
      </c>
      <c r="I665">
        <v>10</v>
      </c>
      <c r="J665" s="37">
        <v>170.82</v>
      </c>
      <c r="K665">
        <v>2</v>
      </c>
    </row>
    <row r="666" spans="1:11" x14ac:dyDescent="0.35">
      <c r="A666">
        <v>664</v>
      </c>
      <c r="B666">
        <v>2015</v>
      </c>
      <c r="C666" t="s">
        <v>219</v>
      </c>
      <c r="D666" t="s">
        <v>951</v>
      </c>
      <c r="E666" t="s">
        <v>959</v>
      </c>
      <c r="F666" t="s">
        <v>960</v>
      </c>
      <c r="G666">
        <v>2</v>
      </c>
      <c r="H666" t="s">
        <v>842</v>
      </c>
      <c r="I666">
        <v>10</v>
      </c>
      <c r="J666" s="37">
        <v>179.04</v>
      </c>
      <c r="K666">
        <v>2</v>
      </c>
    </row>
    <row r="667" spans="1:11" x14ac:dyDescent="0.35">
      <c r="A667">
        <v>665</v>
      </c>
      <c r="B667">
        <v>2015</v>
      </c>
      <c r="C667" t="s">
        <v>219</v>
      </c>
      <c r="D667" t="s">
        <v>844</v>
      </c>
      <c r="E667" t="s">
        <v>1068</v>
      </c>
      <c r="F667" t="s">
        <v>1069</v>
      </c>
      <c r="G667">
        <v>2</v>
      </c>
      <c r="H667" t="s">
        <v>842</v>
      </c>
      <c r="I667">
        <v>10</v>
      </c>
      <c r="J667" s="37">
        <v>180.11</v>
      </c>
      <c r="K667">
        <v>1</v>
      </c>
    </row>
    <row r="668" spans="1:11" x14ac:dyDescent="0.35">
      <c r="A668">
        <v>666</v>
      </c>
      <c r="B668">
        <v>2015</v>
      </c>
      <c r="C668" t="s">
        <v>219</v>
      </c>
      <c r="D668" t="s">
        <v>984</v>
      </c>
      <c r="E668" t="s">
        <v>1002</v>
      </c>
      <c r="F668" t="s">
        <v>1003</v>
      </c>
      <c r="G668">
        <v>2</v>
      </c>
      <c r="H668" t="s">
        <v>842</v>
      </c>
      <c r="I668">
        <v>10</v>
      </c>
      <c r="J668" s="37">
        <v>181.49</v>
      </c>
      <c r="K668">
        <v>1</v>
      </c>
    </row>
    <row r="669" spans="1:11" x14ac:dyDescent="0.35">
      <c r="A669">
        <v>667</v>
      </c>
      <c r="B669">
        <v>2015</v>
      </c>
      <c r="C669" t="s">
        <v>219</v>
      </c>
      <c r="D669" t="s">
        <v>951</v>
      </c>
      <c r="E669" t="s">
        <v>953</v>
      </c>
      <c r="F669" t="s">
        <v>954</v>
      </c>
      <c r="G669">
        <v>2</v>
      </c>
      <c r="H669" t="s">
        <v>842</v>
      </c>
      <c r="I669">
        <v>10</v>
      </c>
      <c r="J669" s="37">
        <v>184.76</v>
      </c>
      <c r="K669">
        <v>2</v>
      </c>
    </row>
    <row r="670" spans="1:11" x14ac:dyDescent="0.35">
      <c r="A670">
        <v>668</v>
      </c>
      <c r="B670">
        <v>2015</v>
      </c>
      <c r="C670" t="s">
        <v>219</v>
      </c>
      <c r="D670" t="s">
        <v>844</v>
      </c>
      <c r="E670" t="s">
        <v>1074</v>
      </c>
      <c r="F670" t="s">
        <v>1075</v>
      </c>
      <c r="G670">
        <v>3</v>
      </c>
      <c r="H670" t="s">
        <v>842</v>
      </c>
      <c r="I670">
        <v>10</v>
      </c>
      <c r="J670" s="37">
        <v>189.58</v>
      </c>
      <c r="K670">
        <v>1</v>
      </c>
    </row>
    <row r="671" spans="1:11" x14ac:dyDescent="0.35">
      <c r="A671">
        <v>669</v>
      </c>
      <c r="B671">
        <v>2015</v>
      </c>
      <c r="C671" t="s">
        <v>219</v>
      </c>
      <c r="D671" t="s">
        <v>245</v>
      </c>
      <c r="E671" t="s">
        <v>1097</v>
      </c>
      <c r="F671" t="s">
        <v>1098</v>
      </c>
      <c r="G671">
        <v>2</v>
      </c>
      <c r="H671" t="s">
        <v>842</v>
      </c>
      <c r="I671">
        <v>10</v>
      </c>
      <c r="J671" s="37">
        <v>190</v>
      </c>
      <c r="K671">
        <v>1</v>
      </c>
    </row>
    <row r="672" spans="1:11" x14ac:dyDescent="0.35">
      <c r="A672">
        <v>670</v>
      </c>
      <c r="B672">
        <v>2015</v>
      </c>
      <c r="C672" t="s">
        <v>219</v>
      </c>
      <c r="D672" t="s">
        <v>951</v>
      </c>
      <c r="E672" t="s">
        <v>957</v>
      </c>
      <c r="F672" t="s">
        <v>958</v>
      </c>
      <c r="G672">
        <v>2</v>
      </c>
      <c r="H672" t="s">
        <v>842</v>
      </c>
      <c r="I672">
        <v>10</v>
      </c>
      <c r="J672" s="37">
        <v>193.28</v>
      </c>
      <c r="K672">
        <v>2</v>
      </c>
    </row>
    <row r="673" spans="1:11" x14ac:dyDescent="0.35">
      <c r="A673">
        <v>671</v>
      </c>
      <c r="B673">
        <v>2015</v>
      </c>
      <c r="C673" t="s">
        <v>219</v>
      </c>
      <c r="D673" t="s">
        <v>984</v>
      </c>
      <c r="E673" t="s">
        <v>1006</v>
      </c>
      <c r="F673" t="s">
        <v>1007</v>
      </c>
      <c r="G673">
        <v>2</v>
      </c>
      <c r="H673" t="s">
        <v>842</v>
      </c>
      <c r="I673">
        <v>10</v>
      </c>
      <c r="J673" s="37">
        <v>194.32</v>
      </c>
      <c r="K673">
        <v>1</v>
      </c>
    </row>
    <row r="674" spans="1:11" x14ac:dyDescent="0.35">
      <c r="A674">
        <v>672</v>
      </c>
      <c r="B674">
        <v>2015</v>
      </c>
      <c r="C674" t="s">
        <v>219</v>
      </c>
      <c r="D674" t="s">
        <v>245</v>
      </c>
      <c r="E674" t="s">
        <v>1095</v>
      </c>
      <c r="F674" t="s">
        <v>1096</v>
      </c>
      <c r="G674">
        <v>2</v>
      </c>
      <c r="H674" t="s">
        <v>842</v>
      </c>
      <c r="I674">
        <v>10</v>
      </c>
      <c r="J674" s="37">
        <v>198</v>
      </c>
      <c r="K674">
        <v>1</v>
      </c>
    </row>
    <row r="675" spans="1:11" x14ac:dyDescent="0.35">
      <c r="A675">
        <v>673</v>
      </c>
      <c r="B675">
        <v>2015</v>
      </c>
      <c r="C675" t="s">
        <v>219</v>
      </c>
      <c r="D675" t="s">
        <v>984</v>
      </c>
      <c r="E675" t="s">
        <v>986</v>
      </c>
      <c r="F675" t="s">
        <v>987</v>
      </c>
      <c r="G675">
        <v>2</v>
      </c>
      <c r="H675" t="s">
        <v>842</v>
      </c>
      <c r="I675">
        <v>10</v>
      </c>
      <c r="J675" s="37">
        <v>198.96</v>
      </c>
      <c r="K675">
        <v>1</v>
      </c>
    </row>
    <row r="676" spans="1:11" x14ac:dyDescent="0.35">
      <c r="A676">
        <v>674</v>
      </c>
      <c r="B676">
        <v>2015</v>
      </c>
      <c r="C676" t="s">
        <v>219</v>
      </c>
      <c r="D676" t="s">
        <v>844</v>
      </c>
      <c r="E676" t="s">
        <v>1064</v>
      </c>
      <c r="F676" t="s">
        <v>1065</v>
      </c>
      <c r="G676">
        <v>2</v>
      </c>
      <c r="H676" t="s">
        <v>842</v>
      </c>
      <c r="I676">
        <v>10</v>
      </c>
      <c r="J676" s="37">
        <v>202.34</v>
      </c>
      <c r="K676">
        <v>1</v>
      </c>
    </row>
    <row r="677" spans="1:11" x14ac:dyDescent="0.35">
      <c r="A677">
        <v>675</v>
      </c>
      <c r="B677">
        <v>2015</v>
      </c>
      <c r="C677" t="s">
        <v>219</v>
      </c>
      <c r="D677" t="s">
        <v>304</v>
      </c>
      <c r="E677" t="s">
        <v>922</v>
      </c>
      <c r="F677" t="s">
        <v>923</v>
      </c>
      <c r="G677">
        <v>1</v>
      </c>
      <c r="H677" t="s">
        <v>842</v>
      </c>
      <c r="I677">
        <v>10</v>
      </c>
      <c r="J677" s="37">
        <v>205.73</v>
      </c>
      <c r="K677">
        <v>4</v>
      </c>
    </row>
    <row r="678" spans="1:11" x14ac:dyDescent="0.35">
      <c r="A678">
        <v>676</v>
      </c>
      <c r="B678">
        <v>2015</v>
      </c>
      <c r="C678" t="s">
        <v>219</v>
      </c>
      <c r="D678" t="s">
        <v>304</v>
      </c>
      <c r="E678" t="s">
        <v>918</v>
      </c>
      <c r="F678" t="s">
        <v>919</v>
      </c>
      <c r="G678">
        <v>1</v>
      </c>
      <c r="H678" t="s">
        <v>842</v>
      </c>
      <c r="I678">
        <v>10</v>
      </c>
      <c r="J678" s="37">
        <v>205.99</v>
      </c>
      <c r="K678">
        <v>4</v>
      </c>
    </row>
    <row r="679" spans="1:11" x14ac:dyDescent="0.35">
      <c r="A679">
        <v>677</v>
      </c>
      <c r="B679">
        <v>2015</v>
      </c>
      <c r="C679" t="s">
        <v>219</v>
      </c>
      <c r="D679" t="s">
        <v>245</v>
      </c>
      <c r="E679" t="s">
        <v>1099</v>
      </c>
      <c r="F679" t="s">
        <v>1100</v>
      </c>
      <c r="G679">
        <v>2</v>
      </c>
      <c r="H679" t="s">
        <v>842</v>
      </c>
      <c r="I679">
        <v>10</v>
      </c>
      <c r="J679" s="37">
        <v>206</v>
      </c>
      <c r="K679">
        <v>1</v>
      </c>
    </row>
    <row r="680" spans="1:11" x14ac:dyDescent="0.35">
      <c r="A680">
        <v>678</v>
      </c>
      <c r="B680">
        <v>2015</v>
      </c>
      <c r="C680" t="s">
        <v>219</v>
      </c>
      <c r="D680" t="s">
        <v>304</v>
      </c>
      <c r="E680" t="s">
        <v>920</v>
      </c>
      <c r="F680" t="s">
        <v>921</v>
      </c>
      <c r="G680">
        <v>1</v>
      </c>
      <c r="H680" t="s">
        <v>842</v>
      </c>
      <c r="I680">
        <v>10</v>
      </c>
      <c r="J680" s="37">
        <v>206.29</v>
      </c>
      <c r="K680">
        <v>4</v>
      </c>
    </row>
    <row r="681" spans="1:11" x14ac:dyDescent="0.35">
      <c r="A681">
        <v>679</v>
      </c>
      <c r="B681">
        <v>2015</v>
      </c>
      <c r="C681" t="s">
        <v>219</v>
      </c>
      <c r="D681" t="s">
        <v>984</v>
      </c>
      <c r="E681" t="s">
        <v>990</v>
      </c>
      <c r="F681" t="s">
        <v>991</v>
      </c>
      <c r="G681">
        <v>2</v>
      </c>
      <c r="H681" t="s">
        <v>842</v>
      </c>
      <c r="I681">
        <v>10</v>
      </c>
      <c r="J681" s="37">
        <v>213.05</v>
      </c>
      <c r="K681">
        <v>1</v>
      </c>
    </row>
    <row r="682" spans="1:11" x14ac:dyDescent="0.35">
      <c r="A682">
        <v>680</v>
      </c>
      <c r="B682">
        <v>2015</v>
      </c>
      <c r="C682" t="s">
        <v>219</v>
      </c>
      <c r="D682" t="s">
        <v>260</v>
      </c>
      <c r="E682" t="s">
        <v>1110</v>
      </c>
      <c r="F682" t="s">
        <v>846</v>
      </c>
      <c r="G682">
        <v>2</v>
      </c>
      <c r="H682" t="s">
        <v>842</v>
      </c>
      <c r="I682">
        <v>10</v>
      </c>
      <c r="J682" s="37">
        <v>229.49</v>
      </c>
      <c r="K682">
        <v>1</v>
      </c>
    </row>
    <row r="683" spans="1:11" x14ac:dyDescent="0.35">
      <c r="A683">
        <v>681</v>
      </c>
      <c r="B683">
        <v>2015</v>
      </c>
      <c r="C683" t="s">
        <v>219</v>
      </c>
      <c r="D683" t="s">
        <v>260</v>
      </c>
      <c r="E683" t="s">
        <v>1107</v>
      </c>
      <c r="F683" t="s">
        <v>845</v>
      </c>
      <c r="G683">
        <v>2</v>
      </c>
      <c r="H683" t="s">
        <v>842</v>
      </c>
      <c r="I683">
        <v>10</v>
      </c>
      <c r="J683" s="37">
        <v>249.84</v>
      </c>
      <c r="K683">
        <v>1</v>
      </c>
    </row>
    <row r="684" spans="1:11" x14ac:dyDescent="0.35">
      <c r="A684">
        <v>682</v>
      </c>
      <c r="B684">
        <v>2015</v>
      </c>
      <c r="C684" t="s">
        <v>219</v>
      </c>
      <c r="D684" t="s">
        <v>260</v>
      </c>
      <c r="E684" t="s">
        <v>1108</v>
      </c>
      <c r="F684" t="s">
        <v>1109</v>
      </c>
      <c r="G684">
        <v>2</v>
      </c>
      <c r="H684" t="s">
        <v>842</v>
      </c>
      <c r="I684">
        <v>10</v>
      </c>
      <c r="J684" s="37">
        <v>249.84</v>
      </c>
      <c r="K684">
        <v>1</v>
      </c>
    </row>
    <row r="685" spans="1:11" x14ac:dyDescent="0.35">
      <c r="A685">
        <v>683</v>
      </c>
      <c r="B685">
        <v>2015</v>
      </c>
      <c r="C685" t="s">
        <v>219</v>
      </c>
      <c r="D685" t="s">
        <v>984</v>
      </c>
      <c r="E685" t="s">
        <v>1012</v>
      </c>
      <c r="F685" t="s">
        <v>1013</v>
      </c>
      <c r="G685">
        <v>2</v>
      </c>
      <c r="H685" t="s">
        <v>842</v>
      </c>
      <c r="I685">
        <v>11</v>
      </c>
      <c r="J685" s="37">
        <v>198.15</v>
      </c>
      <c r="K685">
        <v>1</v>
      </c>
    </row>
    <row r="686" spans="1:11" x14ac:dyDescent="0.35">
      <c r="A686">
        <v>684</v>
      </c>
      <c r="B686">
        <v>2015</v>
      </c>
      <c r="C686" t="s">
        <v>219</v>
      </c>
      <c r="D686" t="s">
        <v>951</v>
      </c>
      <c r="E686" t="s">
        <v>950</v>
      </c>
      <c r="F686" t="s">
        <v>952</v>
      </c>
      <c r="G686">
        <v>2</v>
      </c>
      <c r="H686" t="s">
        <v>842</v>
      </c>
      <c r="I686">
        <v>11</v>
      </c>
      <c r="J686" s="37">
        <v>204.05</v>
      </c>
      <c r="K686">
        <v>2</v>
      </c>
    </row>
    <row r="687" spans="1:11" x14ac:dyDescent="0.35">
      <c r="A687">
        <v>685</v>
      </c>
      <c r="B687">
        <v>2015</v>
      </c>
      <c r="C687" t="s">
        <v>219</v>
      </c>
      <c r="D687" t="s">
        <v>951</v>
      </c>
      <c r="E687" t="s">
        <v>955</v>
      </c>
      <c r="F687" t="s">
        <v>956</v>
      </c>
      <c r="G687">
        <v>2</v>
      </c>
      <c r="H687" t="s">
        <v>842</v>
      </c>
      <c r="I687">
        <v>11</v>
      </c>
      <c r="J687" s="37">
        <v>206.52</v>
      </c>
      <c r="K687">
        <v>2</v>
      </c>
    </row>
    <row r="688" spans="1:11" x14ac:dyDescent="0.35">
      <c r="A688">
        <v>686</v>
      </c>
      <c r="B688">
        <v>2015</v>
      </c>
      <c r="C688" t="s">
        <v>219</v>
      </c>
      <c r="D688" t="s">
        <v>844</v>
      </c>
      <c r="E688" t="s">
        <v>1074</v>
      </c>
      <c r="F688" t="s">
        <v>1075</v>
      </c>
      <c r="G688">
        <v>3</v>
      </c>
      <c r="H688" t="s">
        <v>842</v>
      </c>
      <c r="I688">
        <v>11</v>
      </c>
      <c r="J688" s="37">
        <v>208.52</v>
      </c>
      <c r="K688">
        <v>1</v>
      </c>
    </row>
    <row r="689" spans="1:11" x14ac:dyDescent="0.35">
      <c r="A689">
        <v>687</v>
      </c>
      <c r="B689">
        <v>2015</v>
      </c>
      <c r="C689" t="s">
        <v>219</v>
      </c>
      <c r="D689" t="s">
        <v>951</v>
      </c>
      <c r="E689" t="s">
        <v>959</v>
      </c>
      <c r="F689" t="s">
        <v>960</v>
      </c>
      <c r="G689">
        <v>2</v>
      </c>
      <c r="H689" t="s">
        <v>842</v>
      </c>
      <c r="I689">
        <v>11</v>
      </c>
      <c r="J689" s="37">
        <v>216.45</v>
      </c>
      <c r="K689">
        <v>2</v>
      </c>
    </row>
    <row r="690" spans="1:11" x14ac:dyDescent="0.35">
      <c r="A690">
        <v>688</v>
      </c>
      <c r="B690">
        <v>2015</v>
      </c>
      <c r="C690" t="s">
        <v>219</v>
      </c>
      <c r="D690" t="s">
        <v>984</v>
      </c>
      <c r="E690" t="s">
        <v>996</v>
      </c>
      <c r="F690" t="s">
        <v>997</v>
      </c>
      <c r="G690">
        <v>2</v>
      </c>
      <c r="H690" t="s">
        <v>842</v>
      </c>
      <c r="I690">
        <v>11</v>
      </c>
      <c r="J690" s="37">
        <v>217.2</v>
      </c>
      <c r="K690">
        <v>1</v>
      </c>
    </row>
    <row r="691" spans="1:11" x14ac:dyDescent="0.35">
      <c r="A691">
        <v>689</v>
      </c>
      <c r="B691">
        <v>2015</v>
      </c>
      <c r="C691" t="s">
        <v>219</v>
      </c>
      <c r="D691" t="s">
        <v>951</v>
      </c>
      <c r="E691" t="s">
        <v>953</v>
      </c>
      <c r="F691" t="s">
        <v>954</v>
      </c>
      <c r="G691">
        <v>2</v>
      </c>
      <c r="H691" t="s">
        <v>842</v>
      </c>
      <c r="I691">
        <v>11</v>
      </c>
      <c r="J691" s="37">
        <v>223.36</v>
      </c>
      <c r="K691">
        <v>2</v>
      </c>
    </row>
    <row r="692" spans="1:11" x14ac:dyDescent="0.35">
      <c r="A692">
        <v>690</v>
      </c>
      <c r="B692">
        <v>2015</v>
      </c>
      <c r="C692" t="s">
        <v>219</v>
      </c>
      <c r="D692" t="s">
        <v>951</v>
      </c>
      <c r="E692" t="s">
        <v>957</v>
      </c>
      <c r="F692" t="s">
        <v>958</v>
      </c>
      <c r="G692">
        <v>2</v>
      </c>
      <c r="H692" t="s">
        <v>842</v>
      </c>
      <c r="I692">
        <v>11</v>
      </c>
      <c r="J692" s="37">
        <v>233.67</v>
      </c>
      <c r="K692">
        <v>2</v>
      </c>
    </row>
    <row r="693" spans="1:11" x14ac:dyDescent="0.35">
      <c r="A693">
        <v>691</v>
      </c>
      <c r="B693">
        <v>2015</v>
      </c>
      <c r="C693" t="s">
        <v>219</v>
      </c>
      <c r="D693" t="s">
        <v>260</v>
      </c>
      <c r="E693" t="s">
        <v>1110</v>
      </c>
      <c r="F693" t="s">
        <v>846</v>
      </c>
      <c r="G693">
        <v>2</v>
      </c>
      <c r="H693" t="s">
        <v>842</v>
      </c>
      <c r="I693">
        <v>11</v>
      </c>
      <c r="J693" s="37">
        <v>248.73</v>
      </c>
      <c r="K693">
        <v>1</v>
      </c>
    </row>
    <row r="694" spans="1:11" x14ac:dyDescent="0.35">
      <c r="A694">
        <v>692</v>
      </c>
      <c r="B694">
        <v>2015</v>
      </c>
      <c r="C694" t="s">
        <v>219</v>
      </c>
      <c r="D694" t="s">
        <v>861</v>
      </c>
      <c r="E694" t="s">
        <v>981</v>
      </c>
      <c r="F694" t="s">
        <v>982</v>
      </c>
      <c r="G694">
        <v>1</v>
      </c>
      <c r="H694" t="s">
        <v>842</v>
      </c>
      <c r="I694">
        <v>11</v>
      </c>
      <c r="J694" s="37">
        <v>255.59</v>
      </c>
      <c r="K694">
        <v>1</v>
      </c>
    </row>
    <row r="695" spans="1:11" x14ac:dyDescent="0.35">
      <c r="A695">
        <v>693</v>
      </c>
      <c r="B695">
        <v>2015</v>
      </c>
      <c r="C695" t="s">
        <v>219</v>
      </c>
      <c r="D695" t="s">
        <v>861</v>
      </c>
      <c r="E695" t="s">
        <v>979</v>
      </c>
      <c r="F695" t="s">
        <v>887</v>
      </c>
      <c r="G695">
        <v>1</v>
      </c>
      <c r="H695" t="s">
        <v>842</v>
      </c>
      <c r="I695">
        <v>11</v>
      </c>
      <c r="J695" s="37">
        <v>269.5</v>
      </c>
      <c r="K695">
        <v>1</v>
      </c>
    </row>
    <row r="696" spans="1:11" x14ac:dyDescent="0.35">
      <c r="A696">
        <v>694</v>
      </c>
      <c r="B696">
        <v>2015</v>
      </c>
      <c r="C696" t="s">
        <v>219</v>
      </c>
      <c r="D696" t="s">
        <v>260</v>
      </c>
      <c r="E696" t="s">
        <v>1107</v>
      </c>
      <c r="F696" t="s">
        <v>845</v>
      </c>
      <c r="G696">
        <v>2</v>
      </c>
      <c r="H696" t="s">
        <v>842</v>
      </c>
      <c r="I696">
        <v>11</v>
      </c>
      <c r="J696" s="37">
        <v>270.8</v>
      </c>
      <c r="K696">
        <v>1</v>
      </c>
    </row>
    <row r="697" spans="1:11" x14ac:dyDescent="0.35">
      <c r="A697">
        <v>695</v>
      </c>
      <c r="B697">
        <v>2015</v>
      </c>
      <c r="C697" t="s">
        <v>219</v>
      </c>
      <c r="D697" t="s">
        <v>260</v>
      </c>
      <c r="E697" t="s">
        <v>1108</v>
      </c>
      <c r="F697" t="s">
        <v>1109</v>
      </c>
      <c r="G697">
        <v>2</v>
      </c>
      <c r="H697" t="s">
        <v>842</v>
      </c>
      <c r="I697">
        <v>11</v>
      </c>
      <c r="J697" s="37">
        <v>270.8</v>
      </c>
      <c r="K697">
        <v>1</v>
      </c>
    </row>
    <row r="698" spans="1:11" x14ac:dyDescent="0.35">
      <c r="A698">
        <v>696</v>
      </c>
      <c r="B698">
        <v>2015</v>
      </c>
      <c r="C698" t="s">
        <v>219</v>
      </c>
      <c r="D698" t="s">
        <v>951</v>
      </c>
      <c r="E698" t="s">
        <v>950</v>
      </c>
      <c r="F698" t="s">
        <v>952</v>
      </c>
      <c r="G698">
        <v>2</v>
      </c>
      <c r="H698" t="s">
        <v>842</v>
      </c>
      <c r="I698">
        <v>12</v>
      </c>
      <c r="J698" s="37">
        <v>175.6</v>
      </c>
      <c r="K698">
        <v>2</v>
      </c>
    </row>
    <row r="699" spans="1:11" x14ac:dyDescent="0.35">
      <c r="A699">
        <v>697</v>
      </c>
      <c r="B699">
        <v>2015</v>
      </c>
      <c r="C699" t="s">
        <v>219</v>
      </c>
      <c r="D699" t="s">
        <v>951</v>
      </c>
      <c r="E699" t="s">
        <v>955</v>
      </c>
      <c r="F699" t="s">
        <v>956</v>
      </c>
      <c r="G699">
        <v>2</v>
      </c>
      <c r="H699" t="s">
        <v>842</v>
      </c>
      <c r="I699">
        <v>12</v>
      </c>
      <c r="J699" s="37">
        <v>177.73</v>
      </c>
      <c r="K699">
        <v>2</v>
      </c>
    </row>
    <row r="700" spans="1:11" x14ac:dyDescent="0.35">
      <c r="A700">
        <v>698</v>
      </c>
      <c r="B700">
        <v>2015</v>
      </c>
      <c r="C700" t="s">
        <v>219</v>
      </c>
      <c r="D700" t="s">
        <v>951</v>
      </c>
      <c r="E700" t="s">
        <v>959</v>
      </c>
      <c r="F700" t="s">
        <v>960</v>
      </c>
      <c r="G700">
        <v>2</v>
      </c>
      <c r="H700" t="s">
        <v>842</v>
      </c>
      <c r="I700">
        <v>12</v>
      </c>
      <c r="J700" s="37">
        <v>186.28</v>
      </c>
      <c r="K700">
        <v>2</v>
      </c>
    </row>
    <row r="701" spans="1:11" x14ac:dyDescent="0.35">
      <c r="A701">
        <v>699</v>
      </c>
      <c r="B701">
        <v>2015</v>
      </c>
      <c r="C701" t="s">
        <v>219</v>
      </c>
      <c r="D701" t="s">
        <v>984</v>
      </c>
      <c r="E701" t="s">
        <v>1008</v>
      </c>
      <c r="F701" t="s">
        <v>1009</v>
      </c>
      <c r="G701">
        <v>2</v>
      </c>
      <c r="H701" t="s">
        <v>842</v>
      </c>
      <c r="I701">
        <v>12</v>
      </c>
      <c r="J701" s="37">
        <v>188.72</v>
      </c>
      <c r="K701">
        <v>1</v>
      </c>
    </row>
    <row r="702" spans="1:11" x14ac:dyDescent="0.35">
      <c r="A702">
        <v>700</v>
      </c>
      <c r="B702">
        <v>2015</v>
      </c>
      <c r="C702" t="s">
        <v>219</v>
      </c>
      <c r="D702" t="s">
        <v>951</v>
      </c>
      <c r="E702" t="s">
        <v>953</v>
      </c>
      <c r="F702" t="s">
        <v>954</v>
      </c>
      <c r="G702">
        <v>2</v>
      </c>
      <c r="H702" t="s">
        <v>842</v>
      </c>
      <c r="I702">
        <v>12</v>
      </c>
      <c r="J702" s="37">
        <v>192.22</v>
      </c>
      <c r="K702">
        <v>2</v>
      </c>
    </row>
    <row r="703" spans="1:11" x14ac:dyDescent="0.35">
      <c r="A703">
        <v>701</v>
      </c>
      <c r="B703">
        <v>2015</v>
      </c>
      <c r="C703" t="s">
        <v>219</v>
      </c>
      <c r="D703" t="s">
        <v>951</v>
      </c>
      <c r="E703" t="s">
        <v>957</v>
      </c>
      <c r="F703" t="s">
        <v>958</v>
      </c>
      <c r="G703">
        <v>2</v>
      </c>
      <c r="H703" t="s">
        <v>842</v>
      </c>
      <c r="I703">
        <v>12</v>
      </c>
      <c r="J703" s="37">
        <v>201.1</v>
      </c>
      <c r="K703">
        <v>2</v>
      </c>
    </row>
    <row r="704" spans="1:11" x14ac:dyDescent="0.35">
      <c r="A704">
        <v>702</v>
      </c>
      <c r="B704">
        <v>2015</v>
      </c>
      <c r="C704" t="s">
        <v>219</v>
      </c>
      <c r="D704" t="s">
        <v>984</v>
      </c>
      <c r="E704" t="s">
        <v>992</v>
      </c>
      <c r="F704" t="s">
        <v>993</v>
      </c>
      <c r="G704">
        <v>2</v>
      </c>
      <c r="H704" t="s">
        <v>842</v>
      </c>
      <c r="I704">
        <v>12</v>
      </c>
      <c r="J704" s="37">
        <v>206.91</v>
      </c>
      <c r="K704">
        <v>1</v>
      </c>
    </row>
    <row r="705" spans="1:11" x14ac:dyDescent="0.35">
      <c r="A705">
        <v>703</v>
      </c>
      <c r="B705">
        <v>2015</v>
      </c>
      <c r="C705" t="s">
        <v>219</v>
      </c>
      <c r="D705" t="s">
        <v>844</v>
      </c>
      <c r="E705" t="s">
        <v>1072</v>
      </c>
      <c r="F705" t="s">
        <v>1073</v>
      </c>
      <c r="G705">
        <v>2</v>
      </c>
      <c r="H705" t="s">
        <v>842</v>
      </c>
      <c r="I705">
        <v>12</v>
      </c>
      <c r="J705" s="37">
        <v>214.63</v>
      </c>
      <c r="K705">
        <v>1</v>
      </c>
    </row>
    <row r="706" spans="1:11" x14ac:dyDescent="0.35">
      <c r="A706">
        <v>704</v>
      </c>
      <c r="B706">
        <v>2015</v>
      </c>
      <c r="C706" t="s">
        <v>219</v>
      </c>
      <c r="D706" t="s">
        <v>260</v>
      </c>
      <c r="E706" t="s">
        <v>1110</v>
      </c>
      <c r="F706" t="s">
        <v>846</v>
      </c>
      <c r="G706">
        <v>2</v>
      </c>
      <c r="H706" t="s">
        <v>842</v>
      </c>
      <c r="I706">
        <v>12</v>
      </c>
      <c r="J706" s="37">
        <v>220.86</v>
      </c>
      <c r="K706">
        <v>1</v>
      </c>
    </row>
    <row r="707" spans="1:11" x14ac:dyDescent="0.35">
      <c r="A707">
        <v>705</v>
      </c>
      <c r="B707">
        <v>2015</v>
      </c>
      <c r="C707" t="s">
        <v>219</v>
      </c>
      <c r="D707" t="s">
        <v>844</v>
      </c>
      <c r="E707" t="s">
        <v>1074</v>
      </c>
      <c r="F707" t="s">
        <v>1075</v>
      </c>
      <c r="G707">
        <v>3</v>
      </c>
      <c r="H707" t="s">
        <v>842</v>
      </c>
      <c r="I707">
        <v>12</v>
      </c>
      <c r="J707" s="37">
        <v>228.1</v>
      </c>
      <c r="K707">
        <v>1</v>
      </c>
    </row>
    <row r="708" spans="1:11" x14ac:dyDescent="0.35">
      <c r="A708">
        <v>706</v>
      </c>
      <c r="B708">
        <v>2015</v>
      </c>
      <c r="C708" t="s">
        <v>219</v>
      </c>
      <c r="D708" t="s">
        <v>260</v>
      </c>
      <c r="E708" t="s">
        <v>1107</v>
      </c>
      <c r="F708" t="s">
        <v>845</v>
      </c>
      <c r="G708">
        <v>2</v>
      </c>
      <c r="H708" t="s">
        <v>842</v>
      </c>
      <c r="I708">
        <v>12</v>
      </c>
      <c r="J708" s="37">
        <v>240.44</v>
      </c>
      <c r="K708">
        <v>1</v>
      </c>
    </row>
    <row r="709" spans="1:11" x14ac:dyDescent="0.35">
      <c r="A709">
        <v>707</v>
      </c>
      <c r="B709">
        <v>2015</v>
      </c>
      <c r="C709" t="s">
        <v>219</v>
      </c>
      <c r="D709" t="s">
        <v>260</v>
      </c>
      <c r="E709" t="s">
        <v>1108</v>
      </c>
      <c r="F709" t="s">
        <v>1109</v>
      </c>
      <c r="G709">
        <v>2</v>
      </c>
      <c r="H709" t="s">
        <v>842</v>
      </c>
      <c r="I709">
        <v>12</v>
      </c>
      <c r="J709" s="37">
        <v>240.44</v>
      </c>
      <c r="K709">
        <v>1</v>
      </c>
    </row>
    <row r="710" spans="1:11" x14ac:dyDescent="0.35">
      <c r="A710">
        <v>708</v>
      </c>
      <c r="B710">
        <v>2015</v>
      </c>
      <c r="C710" t="s">
        <v>219</v>
      </c>
      <c r="D710" t="s">
        <v>861</v>
      </c>
      <c r="E710" t="s">
        <v>981</v>
      </c>
      <c r="F710" t="s">
        <v>982</v>
      </c>
      <c r="G710">
        <v>1</v>
      </c>
      <c r="H710" t="s">
        <v>842</v>
      </c>
      <c r="I710">
        <v>12</v>
      </c>
      <c r="J710" s="37">
        <v>245.41</v>
      </c>
      <c r="K710">
        <v>1</v>
      </c>
    </row>
    <row r="711" spans="1:11" x14ac:dyDescent="0.35">
      <c r="A711">
        <v>709</v>
      </c>
      <c r="B711">
        <v>2015</v>
      </c>
      <c r="C711" t="s">
        <v>219</v>
      </c>
      <c r="D711" t="s">
        <v>861</v>
      </c>
      <c r="E711" t="s">
        <v>979</v>
      </c>
      <c r="F711" t="s">
        <v>887</v>
      </c>
      <c r="G711">
        <v>1</v>
      </c>
      <c r="H711" t="s">
        <v>842</v>
      </c>
      <c r="I711">
        <v>12</v>
      </c>
      <c r="J711" s="37">
        <v>258.76</v>
      </c>
      <c r="K711">
        <v>1</v>
      </c>
    </row>
    <row r="712" spans="1:11" x14ac:dyDescent="0.35">
      <c r="A712">
        <v>710</v>
      </c>
      <c r="B712">
        <v>2015</v>
      </c>
      <c r="C712" t="s">
        <v>219</v>
      </c>
      <c r="D712" t="s">
        <v>245</v>
      </c>
      <c r="E712" t="s">
        <v>1097</v>
      </c>
      <c r="F712" t="s">
        <v>1098</v>
      </c>
      <c r="G712">
        <v>2</v>
      </c>
      <c r="H712" t="s">
        <v>842</v>
      </c>
      <c r="I712">
        <v>13</v>
      </c>
      <c r="J712" s="37">
        <v>190</v>
      </c>
      <c r="K712">
        <v>1</v>
      </c>
    </row>
    <row r="713" spans="1:11" x14ac:dyDescent="0.35">
      <c r="A713">
        <v>711</v>
      </c>
      <c r="B713">
        <v>2015</v>
      </c>
      <c r="C713" t="s">
        <v>219</v>
      </c>
      <c r="D713" t="s">
        <v>844</v>
      </c>
      <c r="E713" t="s">
        <v>1068</v>
      </c>
      <c r="F713" t="s">
        <v>1069</v>
      </c>
      <c r="G713">
        <v>2</v>
      </c>
      <c r="H713" t="s">
        <v>842</v>
      </c>
      <c r="I713">
        <v>13</v>
      </c>
      <c r="J713" s="37">
        <v>194.79</v>
      </c>
      <c r="K713">
        <v>1</v>
      </c>
    </row>
    <row r="714" spans="1:11" x14ac:dyDescent="0.35">
      <c r="A714">
        <v>712</v>
      </c>
      <c r="B714">
        <v>2015</v>
      </c>
      <c r="C714" t="s">
        <v>219</v>
      </c>
      <c r="D714" t="s">
        <v>951</v>
      </c>
      <c r="E714" t="s">
        <v>950</v>
      </c>
      <c r="F714" t="s">
        <v>952</v>
      </c>
      <c r="G714">
        <v>2</v>
      </c>
      <c r="H714" t="s">
        <v>842</v>
      </c>
      <c r="I714">
        <v>13</v>
      </c>
      <c r="J714" s="37">
        <v>195.53</v>
      </c>
      <c r="K714">
        <v>2</v>
      </c>
    </row>
    <row r="715" spans="1:11" x14ac:dyDescent="0.35">
      <c r="A715">
        <v>713</v>
      </c>
      <c r="B715">
        <v>2015</v>
      </c>
      <c r="C715" t="s">
        <v>219</v>
      </c>
      <c r="D715" t="s">
        <v>951</v>
      </c>
      <c r="E715" t="s">
        <v>955</v>
      </c>
      <c r="F715" t="s">
        <v>956</v>
      </c>
      <c r="G715">
        <v>2</v>
      </c>
      <c r="H715" t="s">
        <v>842</v>
      </c>
      <c r="I715">
        <v>13</v>
      </c>
      <c r="J715" s="37">
        <v>197.89</v>
      </c>
      <c r="K715">
        <v>2</v>
      </c>
    </row>
    <row r="716" spans="1:11" x14ac:dyDescent="0.35">
      <c r="A716">
        <v>714</v>
      </c>
      <c r="B716">
        <v>2015</v>
      </c>
      <c r="C716" t="s">
        <v>219</v>
      </c>
      <c r="D716" t="s">
        <v>245</v>
      </c>
      <c r="E716" t="s">
        <v>1095</v>
      </c>
      <c r="F716" t="s">
        <v>1096</v>
      </c>
      <c r="G716">
        <v>2</v>
      </c>
      <c r="H716" t="s">
        <v>842</v>
      </c>
      <c r="I716">
        <v>13</v>
      </c>
      <c r="J716" s="37">
        <v>198</v>
      </c>
      <c r="K716">
        <v>1</v>
      </c>
    </row>
    <row r="717" spans="1:11" x14ac:dyDescent="0.35">
      <c r="A717">
        <v>715</v>
      </c>
      <c r="B717">
        <v>2015</v>
      </c>
      <c r="C717" t="s">
        <v>219</v>
      </c>
      <c r="D717" t="s">
        <v>844</v>
      </c>
      <c r="E717" t="s">
        <v>1074</v>
      </c>
      <c r="F717" t="s">
        <v>1075</v>
      </c>
      <c r="G717">
        <v>3</v>
      </c>
      <c r="H717" t="s">
        <v>842</v>
      </c>
      <c r="I717">
        <v>13</v>
      </c>
      <c r="J717" s="37">
        <v>205.04</v>
      </c>
      <c r="K717">
        <v>1</v>
      </c>
    </row>
    <row r="718" spans="1:11" x14ac:dyDescent="0.35">
      <c r="A718">
        <v>716</v>
      </c>
      <c r="B718">
        <v>2015</v>
      </c>
      <c r="C718" t="s">
        <v>219</v>
      </c>
      <c r="D718" t="s">
        <v>245</v>
      </c>
      <c r="E718" t="s">
        <v>1099</v>
      </c>
      <c r="F718" t="s">
        <v>1100</v>
      </c>
      <c r="G718">
        <v>2</v>
      </c>
      <c r="H718" t="s">
        <v>842</v>
      </c>
      <c r="I718">
        <v>13</v>
      </c>
      <c r="J718" s="37">
        <v>206</v>
      </c>
      <c r="K718">
        <v>1</v>
      </c>
    </row>
    <row r="719" spans="1:11" x14ac:dyDescent="0.35">
      <c r="A719">
        <v>717</v>
      </c>
      <c r="B719">
        <v>2015</v>
      </c>
      <c r="C719" t="s">
        <v>219</v>
      </c>
      <c r="D719" t="s">
        <v>951</v>
      </c>
      <c r="E719" t="s">
        <v>959</v>
      </c>
      <c r="F719" t="s">
        <v>960</v>
      </c>
      <c r="G719">
        <v>2</v>
      </c>
      <c r="H719" t="s">
        <v>842</v>
      </c>
      <c r="I719">
        <v>13</v>
      </c>
      <c r="J719" s="37">
        <v>207.41</v>
      </c>
      <c r="K719">
        <v>2</v>
      </c>
    </row>
    <row r="720" spans="1:11" x14ac:dyDescent="0.35">
      <c r="A720">
        <v>718</v>
      </c>
      <c r="B720">
        <v>2015</v>
      </c>
      <c r="C720" t="s">
        <v>219</v>
      </c>
      <c r="D720" t="s">
        <v>951</v>
      </c>
      <c r="E720" t="s">
        <v>953</v>
      </c>
      <c r="F720" t="s">
        <v>954</v>
      </c>
      <c r="G720">
        <v>2</v>
      </c>
      <c r="H720" t="s">
        <v>842</v>
      </c>
      <c r="I720">
        <v>13</v>
      </c>
      <c r="J720" s="37">
        <v>214.03</v>
      </c>
      <c r="K720">
        <v>2</v>
      </c>
    </row>
    <row r="721" spans="1:11" x14ac:dyDescent="0.35">
      <c r="A721">
        <v>719</v>
      </c>
      <c r="B721">
        <v>2015</v>
      </c>
      <c r="C721" t="s">
        <v>219</v>
      </c>
      <c r="D721" t="s">
        <v>844</v>
      </c>
      <c r="E721" t="s">
        <v>1064</v>
      </c>
      <c r="F721" t="s">
        <v>1065</v>
      </c>
      <c r="G721">
        <v>2</v>
      </c>
      <c r="H721" t="s">
        <v>842</v>
      </c>
      <c r="I721">
        <v>13</v>
      </c>
      <c r="J721" s="37">
        <v>218.83</v>
      </c>
      <c r="K721">
        <v>1</v>
      </c>
    </row>
    <row r="722" spans="1:11" x14ac:dyDescent="0.35">
      <c r="A722">
        <v>720</v>
      </c>
      <c r="B722">
        <v>2015</v>
      </c>
      <c r="C722" t="s">
        <v>219</v>
      </c>
      <c r="D722" t="s">
        <v>951</v>
      </c>
      <c r="E722" t="s">
        <v>957</v>
      </c>
      <c r="F722" t="s">
        <v>958</v>
      </c>
      <c r="G722">
        <v>2</v>
      </c>
      <c r="H722" t="s">
        <v>842</v>
      </c>
      <c r="I722">
        <v>13</v>
      </c>
      <c r="J722" s="37">
        <v>223.91</v>
      </c>
      <c r="K722">
        <v>2</v>
      </c>
    </row>
    <row r="723" spans="1:11" x14ac:dyDescent="0.35">
      <c r="A723">
        <v>721</v>
      </c>
      <c r="B723">
        <v>2015</v>
      </c>
      <c r="C723" t="s">
        <v>219</v>
      </c>
      <c r="D723" t="s">
        <v>304</v>
      </c>
      <c r="E723" t="s">
        <v>922</v>
      </c>
      <c r="F723" t="s">
        <v>923</v>
      </c>
      <c r="G723">
        <v>1</v>
      </c>
      <c r="H723" t="s">
        <v>842</v>
      </c>
      <c r="I723">
        <v>13</v>
      </c>
      <c r="J723" s="37">
        <v>228.59</v>
      </c>
      <c r="K723">
        <v>4</v>
      </c>
    </row>
    <row r="724" spans="1:11" x14ac:dyDescent="0.35">
      <c r="A724">
        <v>722</v>
      </c>
      <c r="B724">
        <v>2015</v>
      </c>
      <c r="C724" t="s">
        <v>219</v>
      </c>
      <c r="D724" t="s">
        <v>304</v>
      </c>
      <c r="E724" t="s">
        <v>918</v>
      </c>
      <c r="F724" t="s">
        <v>919</v>
      </c>
      <c r="G724">
        <v>1</v>
      </c>
      <c r="H724" t="s">
        <v>842</v>
      </c>
      <c r="I724">
        <v>13</v>
      </c>
      <c r="J724" s="37">
        <v>228.88</v>
      </c>
      <c r="K724">
        <v>4</v>
      </c>
    </row>
    <row r="725" spans="1:11" x14ac:dyDescent="0.35">
      <c r="A725">
        <v>723</v>
      </c>
      <c r="B725">
        <v>2015</v>
      </c>
      <c r="C725" t="s">
        <v>219</v>
      </c>
      <c r="D725" t="s">
        <v>304</v>
      </c>
      <c r="E725" t="s">
        <v>920</v>
      </c>
      <c r="F725" t="s">
        <v>921</v>
      </c>
      <c r="G725">
        <v>1</v>
      </c>
      <c r="H725" t="s">
        <v>842</v>
      </c>
      <c r="I725">
        <v>13</v>
      </c>
      <c r="J725" s="37">
        <v>229.21</v>
      </c>
      <c r="K725">
        <v>4</v>
      </c>
    </row>
    <row r="726" spans="1:11" x14ac:dyDescent="0.35">
      <c r="A726">
        <v>724</v>
      </c>
      <c r="B726">
        <v>2015</v>
      </c>
      <c r="C726" t="s">
        <v>219</v>
      </c>
      <c r="D726" t="s">
        <v>260</v>
      </c>
      <c r="E726" t="s">
        <v>1110</v>
      </c>
      <c r="F726" t="s">
        <v>846</v>
      </c>
      <c r="G726">
        <v>2</v>
      </c>
      <c r="H726" t="s">
        <v>842</v>
      </c>
      <c r="I726">
        <v>13</v>
      </c>
      <c r="J726" s="37">
        <v>243.06</v>
      </c>
      <c r="K726">
        <v>1</v>
      </c>
    </row>
    <row r="727" spans="1:11" x14ac:dyDescent="0.35">
      <c r="A727">
        <v>725</v>
      </c>
      <c r="B727">
        <v>2015</v>
      </c>
      <c r="C727" t="s">
        <v>219</v>
      </c>
      <c r="D727" t="s">
        <v>861</v>
      </c>
      <c r="E727" t="s">
        <v>981</v>
      </c>
      <c r="F727" t="s">
        <v>982</v>
      </c>
      <c r="G727">
        <v>1</v>
      </c>
      <c r="H727" t="s">
        <v>842</v>
      </c>
      <c r="I727">
        <v>13</v>
      </c>
      <c r="J727" s="37">
        <v>260.07</v>
      </c>
      <c r="K727">
        <v>1</v>
      </c>
    </row>
    <row r="728" spans="1:11" x14ac:dyDescent="0.35">
      <c r="A728">
        <v>726</v>
      </c>
      <c r="B728">
        <v>2015</v>
      </c>
      <c r="C728" t="s">
        <v>219</v>
      </c>
      <c r="D728" t="s">
        <v>260</v>
      </c>
      <c r="E728" t="s">
        <v>1107</v>
      </c>
      <c r="F728" t="s">
        <v>845</v>
      </c>
      <c r="G728">
        <v>2</v>
      </c>
      <c r="H728" t="s">
        <v>842</v>
      </c>
      <c r="I728">
        <v>13</v>
      </c>
      <c r="J728" s="37">
        <v>264.62</v>
      </c>
      <c r="K728">
        <v>1</v>
      </c>
    </row>
    <row r="729" spans="1:11" x14ac:dyDescent="0.35">
      <c r="A729">
        <v>727</v>
      </c>
      <c r="B729">
        <v>2015</v>
      </c>
      <c r="C729" t="s">
        <v>219</v>
      </c>
      <c r="D729" t="s">
        <v>260</v>
      </c>
      <c r="E729" t="s">
        <v>1108</v>
      </c>
      <c r="F729" t="s">
        <v>1109</v>
      </c>
      <c r="G729">
        <v>2</v>
      </c>
      <c r="H729" t="s">
        <v>842</v>
      </c>
      <c r="I729">
        <v>13</v>
      </c>
      <c r="J729" s="37">
        <v>264.62</v>
      </c>
      <c r="K729">
        <v>1</v>
      </c>
    </row>
    <row r="730" spans="1:11" x14ac:dyDescent="0.35">
      <c r="A730">
        <v>728</v>
      </c>
      <c r="B730">
        <v>2015</v>
      </c>
      <c r="C730" t="s">
        <v>219</v>
      </c>
      <c r="D730" t="s">
        <v>861</v>
      </c>
      <c r="E730" t="s">
        <v>979</v>
      </c>
      <c r="F730" t="s">
        <v>887</v>
      </c>
      <c r="G730">
        <v>1</v>
      </c>
      <c r="H730" t="s">
        <v>842</v>
      </c>
      <c r="I730">
        <v>13</v>
      </c>
      <c r="J730" s="37">
        <v>274.22000000000003</v>
      </c>
      <c r="K730">
        <v>1</v>
      </c>
    </row>
    <row r="731" spans="1:11" x14ac:dyDescent="0.35">
      <c r="A731">
        <v>729</v>
      </c>
      <c r="B731">
        <v>2015</v>
      </c>
      <c r="C731" t="s">
        <v>219</v>
      </c>
      <c r="D731" t="s">
        <v>984</v>
      </c>
      <c r="E731" t="s">
        <v>1010</v>
      </c>
      <c r="F731" t="s">
        <v>1011</v>
      </c>
      <c r="G731">
        <v>2</v>
      </c>
      <c r="H731" t="s">
        <v>842</v>
      </c>
      <c r="I731">
        <v>14</v>
      </c>
      <c r="J731" s="37">
        <v>158.88</v>
      </c>
      <c r="K731">
        <v>1</v>
      </c>
    </row>
    <row r="732" spans="1:11" x14ac:dyDescent="0.35">
      <c r="A732">
        <v>730</v>
      </c>
      <c r="B732">
        <v>2015</v>
      </c>
      <c r="C732" t="s">
        <v>219</v>
      </c>
      <c r="D732" t="s">
        <v>844</v>
      </c>
      <c r="E732" t="s">
        <v>1076</v>
      </c>
      <c r="F732" t="s">
        <v>1077</v>
      </c>
      <c r="G732">
        <v>2</v>
      </c>
      <c r="H732" t="s">
        <v>842</v>
      </c>
      <c r="I732">
        <v>14</v>
      </c>
      <c r="J732" s="37">
        <v>165.8</v>
      </c>
      <c r="K732">
        <v>1</v>
      </c>
    </row>
    <row r="733" spans="1:11" x14ac:dyDescent="0.35">
      <c r="A733">
        <v>731</v>
      </c>
      <c r="B733">
        <v>2015</v>
      </c>
      <c r="C733" t="s">
        <v>219</v>
      </c>
      <c r="D733" t="s">
        <v>984</v>
      </c>
      <c r="E733" t="s">
        <v>994</v>
      </c>
      <c r="F733" t="s">
        <v>995</v>
      </c>
      <c r="G733">
        <v>2</v>
      </c>
      <c r="H733" t="s">
        <v>842</v>
      </c>
      <c r="I733">
        <v>14</v>
      </c>
      <c r="J733" s="37">
        <v>174.17</v>
      </c>
      <c r="K733">
        <v>1</v>
      </c>
    </row>
    <row r="734" spans="1:11" x14ac:dyDescent="0.35">
      <c r="A734">
        <v>732</v>
      </c>
      <c r="B734">
        <v>2015</v>
      </c>
      <c r="C734" t="s">
        <v>219</v>
      </c>
      <c r="D734" t="s">
        <v>984</v>
      </c>
      <c r="E734" t="s">
        <v>1012</v>
      </c>
      <c r="F734" t="s">
        <v>1013</v>
      </c>
      <c r="G734">
        <v>2</v>
      </c>
      <c r="H734" t="s">
        <v>842</v>
      </c>
      <c r="I734">
        <v>14</v>
      </c>
      <c r="J734" s="37">
        <v>179.13</v>
      </c>
      <c r="K734">
        <v>1</v>
      </c>
    </row>
    <row r="735" spans="1:11" x14ac:dyDescent="0.35">
      <c r="A735">
        <v>733</v>
      </c>
      <c r="B735">
        <v>2015</v>
      </c>
      <c r="C735" t="s">
        <v>219</v>
      </c>
      <c r="D735" t="s">
        <v>951</v>
      </c>
      <c r="E735" t="s">
        <v>950</v>
      </c>
      <c r="F735" t="s">
        <v>952</v>
      </c>
      <c r="G735">
        <v>2</v>
      </c>
      <c r="H735" t="s">
        <v>842</v>
      </c>
      <c r="I735">
        <v>14</v>
      </c>
      <c r="J735" s="37">
        <v>180.46</v>
      </c>
      <c r="K735">
        <v>2</v>
      </c>
    </row>
    <row r="736" spans="1:11" x14ac:dyDescent="0.35">
      <c r="A736">
        <v>734</v>
      </c>
      <c r="B736">
        <v>2015</v>
      </c>
      <c r="C736" t="s">
        <v>219</v>
      </c>
      <c r="D736" t="s">
        <v>951</v>
      </c>
      <c r="E736" t="s">
        <v>955</v>
      </c>
      <c r="F736" t="s">
        <v>956</v>
      </c>
      <c r="G736">
        <v>2</v>
      </c>
      <c r="H736" t="s">
        <v>842</v>
      </c>
      <c r="I736">
        <v>14</v>
      </c>
      <c r="J736" s="37">
        <v>182.65</v>
      </c>
      <c r="K736">
        <v>2</v>
      </c>
    </row>
    <row r="737" spans="1:11" x14ac:dyDescent="0.35">
      <c r="A737">
        <v>735</v>
      </c>
      <c r="B737">
        <v>2015</v>
      </c>
      <c r="C737" t="s">
        <v>219</v>
      </c>
      <c r="D737" t="s">
        <v>844</v>
      </c>
      <c r="E737" t="s">
        <v>1074</v>
      </c>
      <c r="F737" t="s">
        <v>1075</v>
      </c>
      <c r="G737">
        <v>3</v>
      </c>
      <c r="H737" t="s">
        <v>842</v>
      </c>
      <c r="I737">
        <v>14</v>
      </c>
      <c r="J737" s="37">
        <v>185.06</v>
      </c>
      <c r="K737">
        <v>1</v>
      </c>
    </row>
    <row r="738" spans="1:11" x14ac:dyDescent="0.35">
      <c r="A738">
        <v>736</v>
      </c>
      <c r="B738">
        <v>2015</v>
      </c>
      <c r="C738" t="s">
        <v>219</v>
      </c>
      <c r="D738" t="s">
        <v>260</v>
      </c>
      <c r="E738" t="s">
        <v>1110</v>
      </c>
      <c r="F738" t="s">
        <v>846</v>
      </c>
      <c r="G738">
        <v>2</v>
      </c>
      <c r="H738" t="s">
        <v>842</v>
      </c>
      <c r="I738">
        <v>14</v>
      </c>
      <c r="J738" s="37">
        <v>185.32</v>
      </c>
      <c r="K738">
        <v>1</v>
      </c>
    </row>
    <row r="739" spans="1:11" x14ac:dyDescent="0.35">
      <c r="A739">
        <v>737</v>
      </c>
      <c r="B739">
        <v>2015</v>
      </c>
      <c r="C739" t="s">
        <v>219</v>
      </c>
      <c r="D739" t="s">
        <v>951</v>
      </c>
      <c r="E739" t="s">
        <v>959</v>
      </c>
      <c r="F739" t="s">
        <v>960</v>
      </c>
      <c r="G739">
        <v>2</v>
      </c>
      <c r="H739" t="s">
        <v>842</v>
      </c>
      <c r="I739">
        <v>14</v>
      </c>
      <c r="J739" s="37">
        <v>191.43</v>
      </c>
      <c r="K739">
        <v>2</v>
      </c>
    </row>
    <row r="740" spans="1:11" x14ac:dyDescent="0.35">
      <c r="A740">
        <v>738</v>
      </c>
      <c r="B740">
        <v>2015</v>
      </c>
      <c r="C740" t="s">
        <v>219</v>
      </c>
      <c r="D740" t="s">
        <v>984</v>
      </c>
      <c r="E740" t="s">
        <v>996</v>
      </c>
      <c r="F740" t="s">
        <v>997</v>
      </c>
      <c r="G740">
        <v>2</v>
      </c>
      <c r="H740" t="s">
        <v>842</v>
      </c>
      <c r="I740">
        <v>14</v>
      </c>
      <c r="J740" s="37">
        <v>196.35</v>
      </c>
      <c r="K740">
        <v>1</v>
      </c>
    </row>
    <row r="741" spans="1:11" x14ac:dyDescent="0.35">
      <c r="A741">
        <v>739</v>
      </c>
      <c r="B741">
        <v>2015</v>
      </c>
      <c r="C741" t="s">
        <v>219</v>
      </c>
      <c r="D741" t="s">
        <v>951</v>
      </c>
      <c r="E741" t="s">
        <v>953</v>
      </c>
      <c r="F741" t="s">
        <v>954</v>
      </c>
      <c r="G741">
        <v>2</v>
      </c>
      <c r="H741" t="s">
        <v>842</v>
      </c>
      <c r="I741">
        <v>14</v>
      </c>
      <c r="J741" s="37">
        <v>197.54</v>
      </c>
      <c r="K741">
        <v>2</v>
      </c>
    </row>
    <row r="742" spans="1:11" x14ac:dyDescent="0.35">
      <c r="A742">
        <v>740</v>
      </c>
      <c r="B742">
        <v>2015</v>
      </c>
      <c r="C742" t="s">
        <v>219</v>
      </c>
      <c r="D742" t="s">
        <v>260</v>
      </c>
      <c r="E742" t="s">
        <v>1107</v>
      </c>
      <c r="F742" t="s">
        <v>845</v>
      </c>
      <c r="G742">
        <v>2</v>
      </c>
      <c r="H742" t="s">
        <v>842</v>
      </c>
      <c r="I742">
        <v>14</v>
      </c>
      <c r="J742" s="37">
        <v>201.76</v>
      </c>
      <c r="K742">
        <v>1</v>
      </c>
    </row>
    <row r="743" spans="1:11" x14ac:dyDescent="0.35">
      <c r="A743">
        <v>741</v>
      </c>
      <c r="B743">
        <v>2015</v>
      </c>
      <c r="C743" t="s">
        <v>219</v>
      </c>
      <c r="D743" t="s">
        <v>260</v>
      </c>
      <c r="E743" t="s">
        <v>1108</v>
      </c>
      <c r="F743" t="s">
        <v>1109</v>
      </c>
      <c r="G743">
        <v>2</v>
      </c>
      <c r="H743" t="s">
        <v>842</v>
      </c>
      <c r="I743">
        <v>14</v>
      </c>
      <c r="J743" s="37">
        <v>201.76</v>
      </c>
      <c r="K743">
        <v>1</v>
      </c>
    </row>
    <row r="744" spans="1:11" x14ac:dyDescent="0.35">
      <c r="A744">
        <v>742</v>
      </c>
      <c r="B744">
        <v>2015</v>
      </c>
      <c r="C744" t="s">
        <v>219</v>
      </c>
      <c r="D744" t="s">
        <v>951</v>
      </c>
      <c r="E744" t="s">
        <v>957</v>
      </c>
      <c r="F744" t="s">
        <v>958</v>
      </c>
      <c r="G744">
        <v>2</v>
      </c>
      <c r="H744" t="s">
        <v>842</v>
      </c>
      <c r="I744">
        <v>14</v>
      </c>
      <c r="J744" s="37">
        <v>206.66</v>
      </c>
      <c r="K744">
        <v>2</v>
      </c>
    </row>
    <row r="745" spans="1:11" x14ac:dyDescent="0.35">
      <c r="A745">
        <v>743</v>
      </c>
      <c r="B745">
        <v>2015</v>
      </c>
      <c r="C745" t="s">
        <v>219</v>
      </c>
      <c r="D745" t="s">
        <v>984</v>
      </c>
      <c r="E745" t="s">
        <v>1014</v>
      </c>
      <c r="F745" t="s">
        <v>1015</v>
      </c>
      <c r="G745">
        <v>2</v>
      </c>
      <c r="H745" t="s">
        <v>842</v>
      </c>
      <c r="I745">
        <v>15</v>
      </c>
      <c r="J745" s="37">
        <v>221.38</v>
      </c>
      <c r="K745">
        <v>1</v>
      </c>
    </row>
    <row r="746" spans="1:11" x14ac:dyDescent="0.35">
      <c r="A746">
        <v>744</v>
      </c>
      <c r="B746">
        <v>2015</v>
      </c>
      <c r="C746" t="s">
        <v>219</v>
      </c>
      <c r="D746" t="s">
        <v>951</v>
      </c>
      <c r="E746" t="s">
        <v>950</v>
      </c>
      <c r="F746" t="s">
        <v>952</v>
      </c>
      <c r="G746">
        <v>2</v>
      </c>
      <c r="H746" t="s">
        <v>842</v>
      </c>
      <c r="I746">
        <v>15</v>
      </c>
      <c r="J746" s="37">
        <v>240.57</v>
      </c>
      <c r="K746">
        <v>2</v>
      </c>
    </row>
    <row r="747" spans="1:11" x14ac:dyDescent="0.35">
      <c r="A747">
        <v>745</v>
      </c>
      <c r="B747">
        <v>2015</v>
      </c>
      <c r="C747" t="s">
        <v>219</v>
      </c>
      <c r="D747" t="s">
        <v>984</v>
      </c>
      <c r="E747" t="s">
        <v>998</v>
      </c>
      <c r="F747" t="s">
        <v>999</v>
      </c>
      <c r="G747">
        <v>2</v>
      </c>
      <c r="H747" t="s">
        <v>842</v>
      </c>
      <c r="I747">
        <v>15</v>
      </c>
      <c r="J747" s="37">
        <v>242.69</v>
      </c>
      <c r="K747">
        <v>1</v>
      </c>
    </row>
    <row r="748" spans="1:11" x14ac:dyDescent="0.35">
      <c r="A748">
        <v>746</v>
      </c>
      <c r="B748">
        <v>2015</v>
      </c>
      <c r="C748" t="s">
        <v>219</v>
      </c>
      <c r="D748" t="s">
        <v>951</v>
      </c>
      <c r="E748" t="s">
        <v>955</v>
      </c>
      <c r="F748" t="s">
        <v>956</v>
      </c>
      <c r="G748">
        <v>2</v>
      </c>
      <c r="H748" t="s">
        <v>842</v>
      </c>
      <c r="I748">
        <v>15</v>
      </c>
      <c r="J748" s="37">
        <v>243.48</v>
      </c>
      <c r="K748">
        <v>2</v>
      </c>
    </row>
    <row r="749" spans="1:11" x14ac:dyDescent="0.35">
      <c r="A749">
        <v>747</v>
      </c>
      <c r="B749">
        <v>2015</v>
      </c>
      <c r="C749" t="s">
        <v>219</v>
      </c>
      <c r="D749" t="s">
        <v>951</v>
      </c>
      <c r="E749" t="s">
        <v>959</v>
      </c>
      <c r="F749" t="s">
        <v>960</v>
      </c>
      <c r="G749">
        <v>2</v>
      </c>
      <c r="H749" t="s">
        <v>842</v>
      </c>
      <c r="I749">
        <v>15</v>
      </c>
      <c r="J749" s="37">
        <v>255.2</v>
      </c>
      <c r="K749">
        <v>2</v>
      </c>
    </row>
    <row r="750" spans="1:11" x14ac:dyDescent="0.35">
      <c r="A750">
        <v>748</v>
      </c>
      <c r="B750">
        <v>2015</v>
      </c>
      <c r="C750" t="s">
        <v>219</v>
      </c>
      <c r="D750" t="s">
        <v>260</v>
      </c>
      <c r="E750" t="s">
        <v>1110</v>
      </c>
      <c r="F750" t="s">
        <v>846</v>
      </c>
      <c r="G750">
        <v>2</v>
      </c>
      <c r="H750" t="s">
        <v>842</v>
      </c>
      <c r="I750">
        <v>15</v>
      </c>
      <c r="J750" s="37">
        <v>262.3</v>
      </c>
      <c r="K750">
        <v>1</v>
      </c>
    </row>
    <row r="751" spans="1:11" x14ac:dyDescent="0.35">
      <c r="A751">
        <v>749</v>
      </c>
      <c r="B751">
        <v>2015</v>
      </c>
      <c r="C751" t="s">
        <v>219</v>
      </c>
      <c r="D751" t="s">
        <v>951</v>
      </c>
      <c r="E751" t="s">
        <v>953</v>
      </c>
      <c r="F751" t="s">
        <v>954</v>
      </c>
      <c r="G751">
        <v>2</v>
      </c>
      <c r="H751" t="s">
        <v>842</v>
      </c>
      <c r="I751">
        <v>15</v>
      </c>
      <c r="J751" s="37">
        <v>263.33999999999997</v>
      </c>
      <c r="K751">
        <v>2</v>
      </c>
    </row>
    <row r="752" spans="1:11" x14ac:dyDescent="0.35">
      <c r="A752">
        <v>750</v>
      </c>
      <c r="B752">
        <v>2015</v>
      </c>
      <c r="C752" t="s">
        <v>219</v>
      </c>
      <c r="D752" t="s">
        <v>951</v>
      </c>
      <c r="E752" t="s">
        <v>957</v>
      </c>
      <c r="F752" t="s">
        <v>958</v>
      </c>
      <c r="G752">
        <v>2</v>
      </c>
      <c r="H752" t="s">
        <v>842</v>
      </c>
      <c r="I752">
        <v>15</v>
      </c>
      <c r="J752" s="37">
        <v>275.5</v>
      </c>
      <c r="K752">
        <v>2</v>
      </c>
    </row>
    <row r="753" spans="1:11" x14ac:dyDescent="0.35">
      <c r="A753">
        <v>751</v>
      </c>
      <c r="B753">
        <v>2015</v>
      </c>
      <c r="C753" t="s">
        <v>219</v>
      </c>
      <c r="D753" t="s">
        <v>260</v>
      </c>
      <c r="E753" t="s">
        <v>1107</v>
      </c>
      <c r="F753" t="s">
        <v>845</v>
      </c>
      <c r="G753">
        <v>2</v>
      </c>
      <c r="H753" t="s">
        <v>842</v>
      </c>
      <c r="I753">
        <v>15</v>
      </c>
      <c r="J753" s="37">
        <v>285.58</v>
      </c>
      <c r="K753">
        <v>1</v>
      </c>
    </row>
    <row r="754" spans="1:11" x14ac:dyDescent="0.35">
      <c r="A754">
        <v>752</v>
      </c>
      <c r="B754">
        <v>2015</v>
      </c>
      <c r="C754" t="s">
        <v>219</v>
      </c>
      <c r="D754" t="s">
        <v>260</v>
      </c>
      <c r="E754" t="s">
        <v>1108</v>
      </c>
      <c r="F754" t="s">
        <v>1109</v>
      </c>
      <c r="G754">
        <v>2</v>
      </c>
      <c r="H754" t="s">
        <v>842</v>
      </c>
      <c r="I754">
        <v>15</v>
      </c>
      <c r="J754" s="37">
        <v>285.58</v>
      </c>
      <c r="K754">
        <v>1</v>
      </c>
    </row>
    <row r="755" spans="1:11" x14ac:dyDescent="0.35">
      <c r="A755">
        <v>753</v>
      </c>
      <c r="B755">
        <v>2015</v>
      </c>
      <c r="C755" t="s">
        <v>219</v>
      </c>
      <c r="D755" t="s">
        <v>951</v>
      </c>
      <c r="E755" t="s">
        <v>950</v>
      </c>
      <c r="F755" t="s">
        <v>952</v>
      </c>
      <c r="G755">
        <v>2</v>
      </c>
      <c r="H755" t="s">
        <v>842</v>
      </c>
      <c r="I755">
        <v>16</v>
      </c>
      <c r="J755" s="37">
        <v>167.45</v>
      </c>
      <c r="K755">
        <v>2</v>
      </c>
    </row>
    <row r="756" spans="1:11" x14ac:dyDescent="0.35">
      <c r="A756">
        <v>754</v>
      </c>
      <c r="B756">
        <v>2015</v>
      </c>
      <c r="C756" t="s">
        <v>219</v>
      </c>
      <c r="D756" t="s">
        <v>951</v>
      </c>
      <c r="E756" t="s">
        <v>955</v>
      </c>
      <c r="F756" t="s">
        <v>956</v>
      </c>
      <c r="G756">
        <v>2</v>
      </c>
      <c r="H756" t="s">
        <v>842</v>
      </c>
      <c r="I756">
        <v>16</v>
      </c>
      <c r="J756" s="37">
        <v>169.47</v>
      </c>
      <c r="K756">
        <v>2</v>
      </c>
    </row>
    <row r="757" spans="1:11" x14ac:dyDescent="0.35">
      <c r="A757">
        <v>755</v>
      </c>
      <c r="B757">
        <v>2015</v>
      </c>
      <c r="C757" t="s">
        <v>219</v>
      </c>
      <c r="D757" t="s">
        <v>951</v>
      </c>
      <c r="E757" t="s">
        <v>959</v>
      </c>
      <c r="F757" t="s">
        <v>960</v>
      </c>
      <c r="G757">
        <v>2</v>
      </c>
      <c r="H757" t="s">
        <v>842</v>
      </c>
      <c r="I757">
        <v>16</v>
      </c>
      <c r="J757" s="37">
        <v>177.63</v>
      </c>
      <c r="K757">
        <v>2</v>
      </c>
    </row>
    <row r="758" spans="1:11" x14ac:dyDescent="0.35">
      <c r="A758">
        <v>756</v>
      </c>
      <c r="B758">
        <v>2015</v>
      </c>
      <c r="C758" t="s">
        <v>219</v>
      </c>
      <c r="D758" t="s">
        <v>951</v>
      </c>
      <c r="E758" t="s">
        <v>953</v>
      </c>
      <c r="F758" t="s">
        <v>954</v>
      </c>
      <c r="G758">
        <v>2</v>
      </c>
      <c r="H758" t="s">
        <v>842</v>
      </c>
      <c r="I758">
        <v>16</v>
      </c>
      <c r="J758" s="37">
        <v>183.3</v>
      </c>
      <c r="K758">
        <v>2</v>
      </c>
    </row>
    <row r="759" spans="1:11" x14ac:dyDescent="0.35">
      <c r="A759">
        <v>757</v>
      </c>
      <c r="B759">
        <v>2015</v>
      </c>
      <c r="C759" t="s">
        <v>219</v>
      </c>
      <c r="D759" t="s">
        <v>951</v>
      </c>
      <c r="E759" t="s">
        <v>957</v>
      </c>
      <c r="F759" t="s">
        <v>958</v>
      </c>
      <c r="G759">
        <v>2</v>
      </c>
      <c r="H759" t="s">
        <v>842</v>
      </c>
      <c r="I759">
        <v>16</v>
      </c>
      <c r="J759" s="37">
        <v>191.76</v>
      </c>
      <c r="K759">
        <v>2</v>
      </c>
    </row>
    <row r="760" spans="1:11" x14ac:dyDescent="0.35">
      <c r="A760">
        <v>758</v>
      </c>
      <c r="B760">
        <v>2015</v>
      </c>
      <c r="C760" t="s">
        <v>219</v>
      </c>
      <c r="D760" t="s">
        <v>844</v>
      </c>
      <c r="E760" t="s">
        <v>1074</v>
      </c>
      <c r="F760" t="s">
        <v>1075</v>
      </c>
      <c r="G760">
        <v>3</v>
      </c>
      <c r="H760" t="s">
        <v>842</v>
      </c>
      <c r="I760">
        <v>16</v>
      </c>
      <c r="J760" s="37">
        <v>208.76</v>
      </c>
      <c r="K760">
        <v>1</v>
      </c>
    </row>
    <row r="761" spans="1:11" x14ac:dyDescent="0.35">
      <c r="A761">
        <v>759</v>
      </c>
      <c r="B761">
        <v>2015</v>
      </c>
      <c r="C761" t="s">
        <v>219</v>
      </c>
      <c r="D761" t="s">
        <v>260</v>
      </c>
      <c r="E761" t="s">
        <v>1110</v>
      </c>
      <c r="F761" t="s">
        <v>846</v>
      </c>
      <c r="G761">
        <v>2</v>
      </c>
      <c r="H761" t="s">
        <v>842</v>
      </c>
      <c r="I761">
        <v>16</v>
      </c>
      <c r="J761" s="37">
        <v>209.51</v>
      </c>
      <c r="K761">
        <v>1</v>
      </c>
    </row>
    <row r="762" spans="1:11" x14ac:dyDescent="0.35">
      <c r="A762">
        <v>760</v>
      </c>
      <c r="B762">
        <v>2015</v>
      </c>
      <c r="C762" t="s">
        <v>219</v>
      </c>
      <c r="D762" t="s">
        <v>260</v>
      </c>
      <c r="E762" t="s">
        <v>1107</v>
      </c>
      <c r="F762" t="s">
        <v>845</v>
      </c>
      <c r="G762">
        <v>2</v>
      </c>
      <c r="H762" t="s">
        <v>842</v>
      </c>
      <c r="I762">
        <v>16</v>
      </c>
      <c r="J762" s="37">
        <v>228.09</v>
      </c>
      <c r="K762">
        <v>1</v>
      </c>
    </row>
    <row r="763" spans="1:11" x14ac:dyDescent="0.35">
      <c r="A763">
        <v>761</v>
      </c>
      <c r="B763">
        <v>2015</v>
      </c>
      <c r="C763" t="s">
        <v>219</v>
      </c>
      <c r="D763" t="s">
        <v>260</v>
      </c>
      <c r="E763" t="s">
        <v>1108</v>
      </c>
      <c r="F763" t="s">
        <v>1109</v>
      </c>
      <c r="G763">
        <v>2</v>
      </c>
      <c r="H763" t="s">
        <v>842</v>
      </c>
      <c r="I763">
        <v>16</v>
      </c>
      <c r="J763" s="37">
        <v>228.09</v>
      </c>
      <c r="K763">
        <v>1</v>
      </c>
    </row>
  </sheetData>
  <sortState xmlns:xlrd2="http://schemas.microsoft.com/office/spreadsheetml/2017/richdata2" ref="D3:K763">
    <sortCondition descending="1" ref="H3:H763"/>
    <sortCondition ref="I3:I763"/>
    <sortCondition ref="J3:J76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67"/>
  <sheetViews>
    <sheetView workbookViewId="0">
      <selection activeCell="M5" sqref="M5"/>
    </sheetView>
  </sheetViews>
  <sheetFormatPr defaultRowHeight="14.5" x14ac:dyDescent="0.35"/>
  <cols>
    <col min="3" max="3" width="3.54296875" bestFit="1" customWidth="1"/>
    <col min="6" max="6" width="18" customWidth="1"/>
    <col min="10" max="10" width="9.1796875" style="37"/>
  </cols>
  <sheetData>
    <row r="1" spans="1:20" x14ac:dyDescent="0.3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</row>
    <row r="2" spans="1:20" ht="58" x14ac:dyDescent="0.35">
      <c r="A2" t="s">
        <v>831</v>
      </c>
      <c r="B2" t="s">
        <v>832</v>
      </c>
      <c r="C2" t="s">
        <v>834</v>
      </c>
      <c r="D2" t="s">
        <v>836</v>
      </c>
      <c r="E2" t="s">
        <v>833</v>
      </c>
      <c r="F2" t="s">
        <v>837</v>
      </c>
      <c r="G2" t="s">
        <v>839</v>
      </c>
      <c r="H2" t="s">
        <v>838</v>
      </c>
      <c r="I2" t="s">
        <v>835</v>
      </c>
      <c r="J2" s="37" t="s">
        <v>841</v>
      </c>
      <c r="K2" t="s">
        <v>840</v>
      </c>
      <c r="M2" s="7" t="s">
        <v>182</v>
      </c>
      <c r="N2" s="38" t="s">
        <v>183</v>
      </c>
      <c r="O2" s="7" t="s">
        <v>184</v>
      </c>
      <c r="P2" s="38" t="s">
        <v>185</v>
      </c>
      <c r="Q2" s="7" t="s">
        <v>186</v>
      </c>
      <c r="R2" s="7" t="s">
        <v>178</v>
      </c>
      <c r="S2" s="7" t="s">
        <v>178</v>
      </c>
      <c r="T2" s="7" t="s">
        <v>187</v>
      </c>
    </row>
    <row r="3" spans="1:20" x14ac:dyDescent="0.35">
      <c r="A3">
        <v>1</v>
      </c>
      <c r="B3">
        <v>2016</v>
      </c>
      <c r="C3" t="s">
        <v>219</v>
      </c>
      <c r="D3" t="s">
        <v>1280</v>
      </c>
      <c r="E3" t="s">
        <v>1114</v>
      </c>
      <c r="F3" t="s">
        <v>1116</v>
      </c>
      <c r="G3">
        <v>2</v>
      </c>
      <c r="H3" t="s">
        <v>310</v>
      </c>
      <c r="I3">
        <v>1</v>
      </c>
      <c r="J3" s="40">
        <v>329.99</v>
      </c>
      <c r="K3">
        <v>1</v>
      </c>
      <c r="M3">
        <v>1</v>
      </c>
    </row>
    <row r="4" spans="1:20" x14ac:dyDescent="0.35">
      <c r="A4">
        <v>2</v>
      </c>
      <c r="B4">
        <v>2016</v>
      </c>
      <c r="C4" t="s">
        <v>219</v>
      </c>
      <c r="D4" t="s">
        <v>1134</v>
      </c>
      <c r="E4" t="s">
        <v>1188</v>
      </c>
      <c r="F4" t="s">
        <v>1189</v>
      </c>
      <c r="G4">
        <v>2</v>
      </c>
      <c r="H4" t="s">
        <v>310</v>
      </c>
      <c r="I4">
        <v>1</v>
      </c>
      <c r="J4" s="40">
        <v>335.67</v>
      </c>
      <c r="K4">
        <v>1</v>
      </c>
    </row>
    <row r="5" spans="1:20" x14ac:dyDescent="0.35">
      <c r="A5">
        <v>3</v>
      </c>
      <c r="B5">
        <v>2016</v>
      </c>
      <c r="C5" t="s">
        <v>219</v>
      </c>
      <c r="D5" t="s">
        <v>1239</v>
      </c>
      <c r="E5" t="s">
        <v>969</v>
      </c>
      <c r="F5" t="s">
        <v>970</v>
      </c>
      <c r="G5">
        <v>2</v>
      </c>
      <c r="H5" t="s">
        <v>310</v>
      </c>
      <c r="I5">
        <v>1</v>
      </c>
      <c r="J5" s="40">
        <v>341.9</v>
      </c>
      <c r="K5">
        <v>2</v>
      </c>
      <c r="M5" t="s">
        <v>1286</v>
      </c>
    </row>
    <row r="6" spans="1:20" x14ac:dyDescent="0.35">
      <c r="A6">
        <v>4</v>
      </c>
      <c r="B6">
        <v>2016</v>
      </c>
      <c r="C6" t="s">
        <v>219</v>
      </c>
      <c r="D6" t="s">
        <v>1280</v>
      </c>
      <c r="E6" t="s">
        <v>1113</v>
      </c>
      <c r="F6" t="s">
        <v>1118</v>
      </c>
      <c r="G6">
        <v>2</v>
      </c>
      <c r="H6" t="s">
        <v>310</v>
      </c>
      <c r="I6">
        <v>1</v>
      </c>
      <c r="J6" s="40">
        <v>342.43</v>
      </c>
      <c r="K6">
        <v>1</v>
      </c>
    </row>
    <row r="7" spans="1:20" x14ac:dyDescent="0.35">
      <c r="A7">
        <v>5</v>
      </c>
      <c r="B7">
        <v>2016</v>
      </c>
      <c r="C7" t="s">
        <v>219</v>
      </c>
      <c r="D7" t="s">
        <v>1280</v>
      </c>
      <c r="E7" t="s">
        <v>1115</v>
      </c>
      <c r="F7" t="s">
        <v>1128</v>
      </c>
      <c r="G7">
        <v>2</v>
      </c>
      <c r="H7" t="s">
        <v>310</v>
      </c>
      <c r="I7">
        <v>1</v>
      </c>
      <c r="J7" s="40">
        <v>342.43</v>
      </c>
      <c r="K7">
        <v>1</v>
      </c>
    </row>
    <row r="8" spans="1:20" x14ac:dyDescent="0.35">
      <c r="A8">
        <v>6</v>
      </c>
      <c r="B8">
        <v>2016</v>
      </c>
      <c r="C8" t="s">
        <v>219</v>
      </c>
      <c r="D8" t="s">
        <v>1134</v>
      </c>
      <c r="E8" t="s">
        <v>1206</v>
      </c>
      <c r="F8" t="s">
        <v>1033</v>
      </c>
      <c r="G8">
        <v>2</v>
      </c>
      <c r="H8" t="s">
        <v>310</v>
      </c>
      <c r="I8">
        <v>1</v>
      </c>
      <c r="J8" s="40">
        <v>354.55</v>
      </c>
      <c r="K8">
        <v>1</v>
      </c>
    </row>
    <row r="9" spans="1:20" x14ac:dyDescent="0.35">
      <c r="A9">
        <v>7</v>
      </c>
      <c r="B9">
        <v>2016</v>
      </c>
      <c r="C9" t="s">
        <v>219</v>
      </c>
      <c r="D9" t="s">
        <v>1239</v>
      </c>
      <c r="E9" t="s">
        <v>963</v>
      </c>
      <c r="F9" t="s">
        <v>964</v>
      </c>
      <c r="G9">
        <v>2</v>
      </c>
      <c r="H9" t="s">
        <v>310</v>
      </c>
      <c r="I9">
        <v>1</v>
      </c>
      <c r="J9" s="40">
        <v>355.11</v>
      </c>
      <c r="K9">
        <v>2</v>
      </c>
    </row>
    <row r="10" spans="1:20" x14ac:dyDescent="0.35">
      <c r="A10">
        <v>8</v>
      </c>
      <c r="B10">
        <v>2016</v>
      </c>
      <c r="C10" t="s">
        <v>219</v>
      </c>
      <c r="D10" t="s">
        <v>1239</v>
      </c>
      <c r="E10" t="s">
        <v>965</v>
      </c>
      <c r="F10" t="s">
        <v>966</v>
      </c>
      <c r="G10">
        <v>2</v>
      </c>
      <c r="H10" t="s">
        <v>310</v>
      </c>
      <c r="I10">
        <v>1</v>
      </c>
      <c r="J10" s="40">
        <v>356.22</v>
      </c>
      <c r="K10">
        <v>2</v>
      </c>
    </row>
    <row r="11" spans="1:20" x14ac:dyDescent="0.35">
      <c r="A11">
        <v>9</v>
      </c>
      <c r="B11">
        <v>2016</v>
      </c>
      <c r="C11" t="s">
        <v>219</v>
      </c>
      <c r="D11" t="s">
        <v>1239</v>
      </c>
      <c r="E11" t="s">
        <v>961</v>
      </c>
      <c r="F11" t="s">
        <v>962</v>
      </c>
      <c r="G11">
        <v>2</v>
      </c>
      <c r="H11" t="s">
        <v>310</v>
      </c>
      <c r="I11">
        <v>1</v>
      </c>
      <c r="J11" s="40">
        <v>356.52</v>
      </c>
      <c r="K11">
        <v>2</v>
      </c>
    </row>
    <row r="12" spans="1:20" x14ac:dyDescent="0.35">
      <c r="A12">
        <v>10</v>
      </c>
      <c r="B12">
        <v>2016</v>
      </c>
      <c r="C12" t="s">
        <v>219</v>
      </c>
      <c r="D12" t="s">
        <v>1239</v>
      </c>
      <c r="E12" t="s">
        <v>973</v>
      </c>
      <c r="F12" t="s">
        <v>1242</v>
      </c>
      <c r="G12">
        <v>2</v>
      </c>
      <c r="H12" t="s">
        <v>310</v>
      </c>
      <c r="I12">
        <v>1</v>
      </c>
      <c r="J12" s="40">
        <v>367.15</v>
      </c>
      <c r="K12">
        <v>2</v>
      </c>
    </row>
    <row r="13" spans="1:20" x14ac:dyDescent="0.35">
      <c r="A13">
        <v>11</v>
      </c>
      <c r="B13">
        <v>2016</v>
      </c>
      <c r="C13" t="s">
        <v>219</v>
      </c>
      <c r="D13" t="s">
        <v>1239</v>
      </c>
      <c r="E13" t="s">
        <v>967</v>
      </c>
      <c r="F13" t="s">
        <v>968</v>
      </c>
      <c r="G13">
        <v>2</v>
      </c>
      <c r="H13" t="s">
        <v>310</v>
      </c>
      <c r="I13">
        <v>1</v>
      </c>
      <c r="J13" s="40">
        <v>384.9</v>
      </c>
      <c r="K13">
        <v>2</v>
      </c>
    </row>
    <row r="14" spans="1:20" x14ac:dyDescent="0.35">
      <c r="A14">
        <v>12</v>
      </c>
      <c r="B14">
        <v>2016</v>
      </c>
      <c r="C14" t="s">
        <v>219</v>
      </c>
      <c r="D14" t="s">
        <v>1217</v>
      </c>
      <c r="E14" t="s">
        <v>1224</v>
      </c>
      <c r="F14" t="s">
        <v>1123</v>
      </c>
      <c r="G14">
        <v>2</v>
      </c>
      <c r="H14" t="s">
        <v>310</v>
      </c>
      <c r="I14">
        <v>2</v>
      </c>
      <c r="J14" s="40">
        <v>212.85</v>
      </c>
      <c r="K14">
        <v>4</v>
      </c>
    </row>
    <row r="15" spans="1:20" x14ac:dyDescent="0.35">
      <c r="A15">
        <v>13</v>
      </c>
      <c r="B15">
        <v>2016</v>
      </c>
      <c r="C15" t="s">
        <v>219</v>
      </c>
      <c r="D15" t="s">
        <v>1217</v>
      </c>
      <c r="E15" t="s">
        <v>1216</v>
      </c>
      <c r="F15" t="s">
        <v>1119</v>
      </c>
      <c r="G15">
        <v>2</v>
      </c>
      <c r="H15" t="s">
        <v>310</v>
      </c>
      <c r="I15">
        <v>2</v>
      </c>
      <c r="J15" s="40">
        <v>216.47</v>
      </c>
      <c r="K15">
        <v>4</v>
      </c>
    </row>
    <row r="16" spans="1:20" x14ac:dyDescent="0.35">
      <c r="A16">
        <v>14</v>
      </c>
      <c r="B16">
        <v>2016</v>
      </c>
      <c r="C16" t="s">
        <v>219</v>
      </c>
      <c r="D16" t="s">
        <v>1217</v>
      </c>
      <c r="E16" t="s">
        <v>1225</v>
      </c>
      <c r="F16" t="s">
        <v>1124</v>
      </c>
      <c r="G16">
        <v>2</v>
      </c>
      <c r="H16" t="s">
        <v>310</v>
      </c>
      <c r="I16">
        <v>2</v>
      </c>
      <c r="J16" s="40">
        <v>218.14</v>
      </c>
      <c r="K16">
        <v>4</v>
      </c>
    </row>
    <row r="17" spans="1:11" x14ac:dyDescent="0.35">
      <c r="A17">
        <v>15</v>
      </c>
      <c r="B17">
        <v>2016</v>
      </c>
      <c r="C17" t="s">
        <v>219</v>
      </c>
      <c r="D17" t="s">
        <v>1217</v>
      </c>
      <c r="E17" t="s">
        <v>1218</v>
      </c>
      <c r="F17" t="s">
        <v>1120</v>
      </c>
      <c r="G17">
        <v>2</v>
      </c>
      <c r="H17" t="s">
        <v>310</v>
      </c>
      <c r="I17">
        <v>2</v>
      </c>
      <c r="J17" s="40">
        <v>221.85</v>
      </c>
      <c r="K17">
        <v>4</v>
      </c>
    </row>
    <row r="18" spans="1:11" x14ac:dyDescent="0.35">
      <c r="A18">
        <v>16</v>
      </c>
      <c r="B18">
        <v>2016</v>
      </c>
      <c r="C18" t="s">
        <v>219</v>
      </c>
      <c r="D18" t="s">
        <v>1217</v>
      </c>
      <c r="E18" t="s">
        <v>1220</v>
      </c>
      <c r="F18" t="s">
        <v>1121</v>
      </c>
      <c r="G18">
        <v>2</v>
      </c>
      <c r="H18" t="s">
        <v>310</v>
      </c>
      <c r="I18">
        <v>2</v>
      </c>
      <c r="J18" s="40">
        <v>223.28</v>
      </c>
      <c r="K18">
        <v>4</v>
      </c>
    </row>
    <row r="19" spans="1:11" x14ac:dyDescent="0.35">
      <c r="A19">
        <v>17</v>
      </c>
      <c r="B19">
        <v>2016</v>
      </c>
      <c r="C19" t="s">
        <v>219</v>
      </c>
      <c r="D19" t="s">
        <v>1217</v>
      </c>
      <c r="E19" t="s">
        <v>1221</v>
      </c>
      <c r="F19" t="s">
        <v>1122</v>
      </c>
      <c r="G19">
        <v>2</v>
      </c>
      <c r="H19" t="s">
        <v>310</v>
      </c>
      <c r="I19">
        <v>2</v>
      </c>
      <c r="J19" s="40">
        <v>228.83</v>
      </c>
      <c r="K19">
        <v>4</v>
      </c>
    </row>
    <row r="20" spans="1:11" x14ac:dyDescent="0.35">
      <c r="A20">
        <v>18</v>
      </c>
      <c r="B20">
        <v>2016</v>
      </c>
      <c r="C20" t="s">
        <v>219</v>
      </c>
      <c r="D20" t="s">
        <v>1217</v>
      </c>
      <c r="E20" t="s">
        <v>1226</v>
      </c>
      <c r="F20" t="s">
        <v>1130</v>
      </c>
      <c r="G20">
        <v>2</v>
      </c>
      <c r="H20" t="s">
        <v>310</v>
      </c>
      <c r="I20">
        <v>2</v>
      </c>
      <c r="J20" s="40">
        <v>231.83</v>
      </c>
      <c r="K20">
        <v>4</v>
      </c>
    </row>
    <row r="21" spans="1:11" x14ac:dyDescent="0.35">
      <c r="A21">
        <v>19</v>
      </c>
      <c r="B21">
        <v>2016</v>
      </c>
      <c r="C21" t="s">
        <v>219</v>
      </c>
      <c r="D21" t="s">
        <v>1217</v>
      </c>
      <c r="E21" t="s">
        <v>1219</v>
      </c>
      <c r="F21" t="s">
        <v>1129</v>
      </c>
      <c r="G21">
        <v>2</v>
      </c>
      <c r="H21" t="s">
        <v>310</v>
      </c>
      <c r="I21">
        <v>2</v>
      </c>
      <c r="J21" s="40">
        <v>235.78</v>
      </c>
      <c r="K21">
        <v>4</v>
      </c>
    </row>
    <row r="22" spans="1:11" x14ac:dyDescent="0.35">
      <c r="A22">
        <v>20</v>
      </c>
      <c r="B22">
        <v>2016</v>
      </c>
      <c r="C22" t="s">
        <v>219</v>
      </c>
      <c r="D22" t="s">
        <v>1217</v>
      </c>
      <c r="E22" t="s">
        <v>1222</v>
      </c>
      <c r="F22" t="s">
        <v>1223</v>
      </c>
      <c r="G22">
        <v>2</v>
      </c>
      <c r="H22" t="s">
        <v>310</v>
      </c>
      <c r="I22">
        <v>2</v>
      </c>
      <c r="J22" s="40">
        <v>243.19</v>
      </c>
      <c r="K22">
        <v>4</v>
      </c>
    </row>
    <row r="23" spans="1:11" x14ac:dyDescent="0.35">
      <c r="A23">
        <v>21</v>
      </c>
      <c r="B23">
        <v>2016</v>
      </c>
      <c r="C23" t="s">
        <v>219</v>
      </c>
      <c r="D23" t="s">
        <v>1239</v>
      </c>
      <c r="E23" t="s">
        <v>969</v>
      </c>
      <c r="F23" t="s">
        <v>970</v>
      </c>
      <c r="G23">
        <v>2</v>
      </c>
      <c r="H23" t="s">
        <v>310</v>
      </c>
      <c r="I23">
        <v>2</v>
      </c>
      <c r="J23" s="40">
        <v>249.95</v>
      </c>
      <c r="K23">
        <v>2</v>
      </c>
    </row>
    <row r="24" spans="1:11" x14ac:dyDescent="0.35">
      <c r="A24">
        <v>22</v>
      </c>
      <c r="B24">
        <v>2016</v>
      </c>
      <c r="C24" t="s">
        <v>219</v>
      </c>
      <c r="D24" t="s">
        <v>1134</v>
      </c>
      <c r="E24" t="s">
        <v>1190</v>
      </c>
      <c r="F24" t="s">
        <v>1191</v>
      </c>
      <c r="G24">
        <v>2</v>
      </c>
      <c r="H24" t="s">
        <v>310</v>
      </c>
      <c r="I24">
        <v>2</v>
      </c>
      <c r="J24" s="40">
        <v>250.78</v>
      </c>
      <c r="K24">
        <v>1</v>
      </c>
    </row>
    <row r="25" spans="1:11" x14ac:dyDescent="0.35">
      <c r="A25">
        <v>23</v>
      </c>
      <c r="B25">
        <v>2016</v>
      </c>
      <c r="C25" t="s">
        <v>219</v>
      </c>
      <c r="D25" t="s">
        <v>217</v>
      </c>
      <c r="E25" t="s">
        <v>980</v>
      </c>
      <c r="F25" t="s">
        <v>1247</v>
      </c>
      <c r="G25">
        <v>1</v>
      </c>
      <c r="H25" t="s">
        <v>310</v>
      </c>
      <c r="I25">
        <v>2</v>
      </c>
      <c r="J25" s="40">
        <v>254.6</v>
      </c>
      <c r="K25">
        <v>1</v>
      </c>
    </row>
    <row r="26" spans="1:11" x14ac:dyDescent="0.35">
      <c r="A26">
        <v>24</v>
      </c>
      <c r="B26">
        <v>2016</v>
      </c>
      <c r="C26" t="s">
        <v>219</v>
      </c>
      <c r="D26" t="s">
        <v>1239</v>
      </c>
      <c r="E26" t="s">
        <v>963</v>
      </c>
      <c r="F26" t="s">
        <v>964</v>
      </c>
      <c r="G26">
        <v>2</v>
      </c>
      <c r="H26" t="s">
        <v>310</v>
      </c>
      <c r="I26">
        <v>2</v>
      </c>
      <c r="J26" s="40">
        <v>259.60000000000002</v>
      </c>
      <c r="K26">
        <v>2</v>
      </c>
    </row>
    <row r="27" spans="1:11" x14ac:dyDescent="0.35">
      <c r="A27">
        <v>25</v>
      </c>
      <c r="B27">
        <v>2016</v>
      </c>
      <c r="C27" t="s">
        <v>219</v>
      </c>
      <c r="D27" t="s">
        <v>1239</v>
      </c>
      <c r="E27" t="s">
        <v>965</v>
      </c>
      <c r="F27" t="s">
        <v>966</v>
      </c>
      <c r="G27">
        <v>2</v>
      </c>
      <c r="H27" t="s">
        <v>310</v>
      </c>
      <c r="I27">
        <v>2</v>
      </c>
      <c r="J27" s="40">
        <v>260.41000000000003</v>
      </c>
      <c r="K27">
        <v>2</v>
      </c>
    </row>
    <row r="28" spans="1:11" x14ac:dyDescent="0.35">
      <c r="A28">
        <v>26</v>
      </c>
      <c r="B28">
        <v>2016</v>
      </c>
      <c r="C28" t="s">
        <v>219</v>
      </c>
      <c r="D28" t="s">
        <v>1239</v>
      </c>
      <c r="E28" t="s">
        <v>961</v>
      </c>
      <c r="F28" t="s">
        <v>962</v>
      </c>
      <c r="G28">
        <v>2</v>
      </c>
      <c r="H28" t="s">
        <v>310</v>
      </c>
      <c r="I28">
        <v>2</v>
      </c>
      <c r="J28" s="40">
        <v>260.64</v>
      </c>
      <c r="K28">
        <v>2</v>
      </c>
    </row>
    <row r="29" spans="1:11" x14ac:dyDescent="0.35">
      <c r="A29">
        <v>27</v>
      </c>
      <c r="B29">
        <v>2016</v>
      </c>
      <c r="C29" t="s">
        <v>219</v>
      </c>
      <c r="D29" t="s">
        <v>297</v>
      </c>
      <c r="E29" t="s">
        <v>298</v>
      </c>
      <c r="F29" t="s">
        <v>1279</v>
      </c>
      <c r="G29">
        <v>2</v>
      </c>
      <c r="H29" t="s">
        <v>310</v>
      </c>
      <c r="I29">
        <v>2</v>
      </c>
      <c r="J29" s="40">
        <v>262.74</v>
      </c>
      <c r="K29">
        <v>1</v>
      </c>
    </row>
    <row r="30" spans="1:11" x14ac:dyDescent="0.35">
      <c r="A30">
        <v>28</v>
      </c>
      <c r="B30">
        <v>2016</v>
      </c>
      <c r="C30" t="s">
        <v>219</v>
      </c>
      <c r="D30" t="s">
        <v>297</v>
      </c>
      <c r="E30" t="s">
        <v>300</v>
      </c>
      <c r="F30" t="s">
        <v>301</v>
      </c>
      <c r="G30">
        <v>2</v>
      </c>
      <c r="H30" t="s">
        <v>310</v>
      </c>
      <c r="I30">
        <v>2</v>
      </c>
      <c r="J30" s="40">
        <v>263.5</v>
      </c>
      <c r="K30">
        <v>1</v>
      </c>
    </row>
    <row r="31" spans="1:11" x14ac:dyDescent="0.35">
      <c r="A31">
        <v>29</v>
      </c>
      <c r="B31">
        <v>2016</v>
      </c>
      <c r="C31" t="s">
        <v>219</v>
      </c>
      <c r="D31" t="s">
        <v>1134</v>
      </c>
      <c r="E31" t="s">
        <v>1207</v>
      </c>
      <c r="F31" t="s">
        <v>1035</v>
      </c>
      <c r="G31">
        <v>2</v>
      </c>
      <c r="H31" t="s">
        <v>310</v>
      </c>
      <c r="I31">
        <v>2</v>
      </c>
      <c r="J31" s="40">
        <v>264.86</v>
      </c>
      <c r="K31">
        <v>1</v>
      </c>
    </row>
    <row r="32" spans="1:11" x14ac:dyDescent="0.35">
      <c r="A32">
        <v>30</v>
      </c>
      <c r="B32">
        <v>2016</v>
      </c>
      <c r="C32" t="s">
        <v>219</v>
      </c>
      <c r="D32" t="s">
        <v>217</v>
      </c>
      <c r="E32" t="s">
        <v>977</v>
      </c>
      <c r="F32" t="s">
        <v>1245</v>
      </c>
      <c r="G32">
        <v>1</v>
      </c>
      <c r="H32" t="s">
        <v>310</v>
      </c>
      <c r="I32">
        <v>2</v>
      </c>
      <c r="J32" s="40">
        <v>265.31</v>
      </c>
      <c r="K32">
        <v>1</v>
      </c>
    </row>
    <row r="33" spans="1:11" x14ac:dyDescent="0.35">
      <c r="A33">
        <v>31</v>
      </c>
      <c r="B33">
        <v>2016</v>
      </c>
      <c r="C33" t="s">
        <v>219</v>
      </c>
      <c r="D33" t="s">
        <v>1239</v>
      </c>
      <c r="E33" t="s">
        <v>973</v>
      </c>
      <c r="F33" t="s">
        <v>1242</v>
      </c>
      <c r="G33">
        <v>2</v>
      </c>
      <c r="H33" t="s">
        <v>310</v>
      </c>
      <c r="I33">
        <v>2</v>
      </c>
      <c r="J33" s="40">
        <v>268.39999999999998</v>
      </c>
      <c r="K33">
        <v>2</v>
      </c>
    </row>
    <row r="34" spans="1:11" x14ac:dyDescent="0.35">
      <c r="A34">
        <v>32</v>
      </c>
      <c r="B34">
        <v>2016</v>
      </c>
      <c r="C34" t="s">
        <v>219</v>
      </c>
      <c r="D34" t="s">
        <v>1134</v>
      </c>
      <c r="E34" t="s">
        <v>1196</v>
      </c>
      <c r="F34" t="s">
        <v>1197</v>
      </c>
      <c r="G34">
        <v>2</v>
      </c>
      <c r="H34" t="s">
        <v>310</v>
      </c>
      <c r="I34">
        <v>2</v>
      </c>
      <c r="J34" s="40">
        <v>272.58</v>
      </c>
      <c r="K34">
        <v>1</v>
      </c>
    </row>
    <row r="35" spans="1:11" x14ac:dyDescent="0.35">
      <c r="A35">
        <v>33</v>
      </c>
      <c r="B35">
        <v>2016</v>
      </c>
      <c r="C35" t="s">
        <v>219</v>
      </c>
      <c r="D35" t="s">
        <v>297</v>
      </c>
      <c r="E35" t="s">
        <v>302</v>
      </c>
      <c r="F35" t="s">
        <v>303</v>
      </c>
      <c r="G35">
        <v>2</v>
      </c>
      <c r="H35" t="s">
        <v>310</v>
      </c>
      <c r="I35">
        <v>2</v>
      </c>
      <c r="J35" s="40">
        <v>276.5</v>
      </c>
      <c r="K35">
        <v>1</v>
      </c>
    </row>
    <row r="36" spans="1:11" x14ac:dyDescent="0.35">
      <c r="A36">
        <v>34</v>
      </c>
      <c r="B36">
        <v>2016</v>
      </c>
      <c r="C36" t="s">
        <v>219</v>
      </c>
      <c r="D36" t="s">
        <v>217</v>
      </c>
      <c r="E36" t="s">
        <v>975</v>
      </c>
      <c r="F36" t="s">
        <v>1244</v>
      </c>
      <c r="G36">
        <v>1</v>
      </c>
      <c r="H36" t="s">
        <v>310</v>
      </c>
      <c r="I36">
        <v>2</v>
      </c>
      <c r="J36" s="40">
        <v>280.08</v>
      </c>
      <c r="K36">
        <v>1</v>
      </c>
    </row>
    <row r="37" spans="1:11" x14ac:dyDescent="0.35">
      <c r="A37">
        <v>35</v>
      </c>
      <c r="B37">
        <v>2016</v>
      </c>
      <c r="C37" t="s">
        <v>219</v>
      </c>
      <c r="D37" t="s">
        <v>1239</v>
      </c>
      <c r="E37" t="s">
        <v>967</v>
      </c>
      <c r="F37" t="s">
        <v>968</v>
      </c>
      <c r="G37">
        <v>2</v>
      </c>
      <c r="H37" t="s">
        <v>310</v>
      </c>
      <c r="I37">
        <v>2</v>
      </c>
      <c r="J37" s="40">
        <v>281.38</v>
      </c>
      <c r="K37">
        <v>2</v>
      </c>
    </row>
    <row r="38" spans="1:11" x14ac:dyDescent="0.35">
      <c r="A38">
        <v>36</v>
      </c>
      <c r="B38">
        <v>2016</v>
      </c>
      <c r="C38" t="s">
        <v>219</v>
      </c>
      <c r="D38" t="s">
        <v>1134</v>
      </c>
      <c r="E38" t="s">
        <v>1211</v>
      </c>
      <c r="F38" t="s">
        <v>1039</v>
      </c>
      <c r="G38">
        <v>2</v>
      </c>
      <c r="H38" t="s">
        <v>310</v>
      </c>
      <c r="I38">
        <v>2</v>
      </c>
      <c r="J38" s="40">
        <v>287.89999999999998</v>
      </c>
      <c r="K38">
        <v>1</v>
      </c>
    </row>
    <row r="39" spans="1:11" x14ac:dyDescent="0.35">
      <c r="A39">
        <v>37</v>
      </c>
      <c r="B39">
        <v>2016</v>
      </c>
      <c r="C39" t="s">
        <v>219</v>
      </c>
      <c r="D39" t="s">
        <v>294</v>
      </c>
      <c r="E39" t="s">
        <v>295</v>
      </c>
      <c r="F39" t="s">
        <v>1273</v>
      </c>
      <c r="G39">
        <v>3</v>
      </c>
      <c r="H39" t="s">
        <v>310</v>
      </c>
      <c r="I39">
        <v>2</v>
      </c>
      <c r="J39" s="40">
        <v>301.91000000000003</v>
      </c>
      <c r="K39">
        <v>1</v>
      </c>
    </row>
    <row r="40" spans="1:11" x14ac:dyDescent="0.35">
      <c r="A40">
        <v>38</v>
      </c>
      <c r="B40">
        <v>2016</v>
      </c>
      <c r="C40" t="s">
        <v>219</v>
      </c>
      <c r="D40" t="s">
        <v>1280</v>
      </c>
      <c r="E40" t="s">
        <v>1114</v>
      </c>
      <c r="F40" t="s">
        <v>1116</v>
      </c>
      <c r="G40">
        <v>2</v>
      </c>
      <c r="H40" t="s">
        <v>310</v>
      </c>
      <c r="I40">
        <v>2</v>
      </c>
      <c r="J40" s="40">
        <v>305.08</v>
      </c>
      <c r="K40">
        <v>1</v>
      </c>
    </row>
    <row r="41" spans="1:11" x14ac:dyDescent="0.35">
      <c r="A41">
        <v>39</v>
      </c>
      <c r="B41">
        <v>2016</v>
      </c>
      <c r="C41" t="s">
        <v>219</v>
      </c>
      <c r="D41" t="s">
        <v>1280</v>
      </c>
      <c r="E41" t="s">
        <v>1113</v>
      </c>
      <c r="F41" t="s">
        <v>1118</v>
      </c>
      <c r="G41">
        <v>2</v>
      </c>
      <c r="H41" t="s">
        <v>310</v>
      </c>
      <c r="I41">
        <v>2</v>
      </c>
      <c r="J41" s="40">
        <v>316.58</v>
      </c>
      <c r="K41">
        <v>1</v>
      </c>
    </row>
    <row r="42" spans="1:11" x14ac:dyDescent="0.35">
      <c r="A42">
        <v>40</v>
      </c>
      <c r="B42">
        <v>2016</v>
      </c>
      <c r="C42" t="s">
        <v>219</v>
      </c>
      <c r="D42" t="s">
        <v>1280</v>
      </c>
      <c r="E42" t="s">
        <v>1115</v>
      </c>
      <c r="F42" t="s">
        <v>1128</v>
      </c>
      <c r="G42">
        <v>2</v>
      </c>
      <c r="H42" t="s">
        <v>310</v>
      </c>
      <c r="I42">
        <v>2</v>
      </c>
      <c r="J42" s="40">
        <v>316.58</v>
      </c>
      <c r="K42">
        <v>1</v>
      </c>
    </row>
    <row r="43" spans="1:11" x14ac:dyDescent="0.35">
      <c r="A43">
        <v>41</v>
      </c>
      <c r="B43">
        <v>2016</v>
      </c>
      <c r="C43" t="s">
        <v>219</v>
      </c>
      <c r="D43" t="s">
        <v>304</v>
      </c>
      <c r="E43" t="s">
        <v>916</v>
      </c>
      <c r="F43" t="s">
        <v>917</v>
      </c>
      <c r="G43">
        <v>1</v>
      </c>
      <c r="H43" t="s">
        <v>310</v>
      </c>
      <c r="I43">
        <v>2</v>
      </c>
      <c r="J43" s="40">
        <v>338.1</v>
      </c>
      <c r="K43">
        <v>4</v>
      </c>
    </row>
    <row r="44" spans="1:11" x14ac:dyDescent="0.35">
      <c r="A44">
        <v>42</v>
      </c>
      <c r="B44">
        <v>2016</v>
      </c>
      <c r="C44" t="s">
        <v>219</v>
      </c>
      <c r="D44" t="s">
        <v>304</v>
      </c>
      <c r="E44" t="s">
        <v>307</v>
      </c>
      <c r="F44" t="s">
        <v>904</v>
      </c>
      <c r="G44">
        <v>1</v>
      </c>
      <c r="H44" t="s">
        <v>310</v>
      </c>
      <c r="I44">
        <v>2</v>
      </c>
      <c r="J44" s="40">
        <v>339.65</v>
      </c>
      <c r="K44">
        <v>4</v>
      </c>
    </row>
    <row r="45" spans="1:11" x14ac:dyDescent="0.35">
      <c r="A45">
        <v>43</v>
      </c>
      <c r="B45">
        <v>2016</v>
      </c>
      <c r="C45" t="s">
        <v>219</v>
      </c>
      <c r="D45" t="s">
        <v>304</v>
      </c>
      <c r="E45" t="s">
        <v>898</v>
      </c>
      <c r="F45" t="s">
        <v>899</v>
      </c>
      <c r="G45">
        <v>1</v>
      </c>
      <c r="H45" t="s">
        <v>310</v>
      </c>
      <c r="I45">
        <v>2</v>
      </c>
      <c r="J45" s="40">
        <v>339.85</v>
      </c>
      <c r="K45">
        <v>4</v>
      </c>
    </row>
    <row r="46" spans="1:11" x14ac:dyDescent="0.35">
      <c r="A46">
        <v>44</v>
      </c>
      <c r="B46">
        <v>2016</v>
      </c>
      <c r="C46" t="s">
        <v>219</v>
      </c>
      <c r="D46" t="s">
        <v>304</v>
      </c>
      <c r="E46" t="s">
        <v>305</v>
      </c>
      <c r="F46" t="s">
        <v>913</v>
      </c>
      <c r="G46">
        <v>1</v>
      </c>
      <c r="H46" t="s">
        <v>310</v>
      </c>
      <c r="I46">
        <v>2</v>
      </c>
      <c r="J46" s="40">
        <v>339.96</v>
      </c>
      <c r="K46">
        <v>4</v>
      </c>
    </row>
    <row r="47" spans="1:11" x14ac:dyDescent="0.35">
      <c r="A47">
        <v>45</v>
      </c>
      <c r="B47">
        <v>2016</v>
      </c>
      <c r="C47" t="s">
        <v>219</v>
      </c>
      <c r="D47" t="s">
        <v>1217</v>
      </c>
      <c r="E47" t="s">
        <v>1224</v>
      </c>
      <c r="F47" t="s">
        <v>1123</v>
      </c>
      <c r="G47">
        <v>2</v>
      </c>
      <c r="H47" t="s">
        <v>310</v>
      </c>
      <c r="I47">
        <v>3</v>
      </c>
      <c r="J47" s="40">
        <v>204.96</v>
      </c>
      <c r="K47">
        <v>4</v>
      </c>
    </row>
    <row r="48" spans="1:11" x14ac:dyDescent="0.35">
      <c r="A48">
        <v>46</v>
      </c>
      <c r="B48">
        <v>2016</v>
      </c>
      <c r="C48" t="s">
        <v>219</v>
      </c>
      <c r="D48" t="s">
        <v>1217</v>
      </c>
      <c r="E48" t="s">
        <v>1216</v>
      </c>
      <c r="F48" t="s">
        <v>1119</v>
      </c>
      <c r="G48">
        <v>2</v>
      </c>
      <c r="H48" t="s">
        <v>310</v>
      </c>
      <c r="I48">
        <v>3</v>
      </c>
      <c r="J48" s="40">
        <v>208.45</v>
      </c>
      <c r="K48">
        <v>4</v>
      </c>
    </row>
    <row r="49" spans="1:11" x14ac:dyDescent="0.35">
      <c r="A49">
        <v>47</v>
      </c>
      <c r="B49">
        <v>2016</v>
      </c>
      <c r="C49" t="s">
        <v>219</v>
      </c>
      <c r="D49" t="s">
        <v>1217</v>
      </c>
      <c r="E49" t="s">
        <v>1225</v>
      </c>
      <c r="F49" t="s">
        <v>1124</v>
      </c>
      <c r="G49">
        <v>2</v>
      </c>
      <c r="H49" t="s">
        <v>310</v>
      </c>
      <c r="I49">
        <v>3</v>
      </c>
      <c r="J49" s="40">
        <v>210.05</v>
      </c>
      <c r="K49">
        <v>4</v>
      </c>
    </row>
    <row r="50" spans="1:11" x14ac:dyDescent="0.35">
      <c r="A50">
        <v>48</v>
      </c>
      <c r="B50">
        <v>2016</v>
      </c>
      <c r="C50" t="s">
        <v>219</v>
      </c>
      <c r="D50" t="s">
        <v>1217</v>
      </c>
      <c r="E50" t="s">
        <v>1218</v>
      </c>
      <c r="F50" t="s">
        <v>1120</v>
      </c>
      <c r="G50">
        <v>2</v>
      </c>
      <c r="H50" t="s">
        <v>310</v>
      </c>
      <c r="I50">
        <v>3</v>
      </c>
      <c r="J50" s="40">
        <v>213.62</v>
      </c>
      <c r="K50">
        <v>4</v>
      </c>
    </row>
    <row r="51" spans="1:11" x14ac:dyDescent="0.35">
      <c r="A51">
        <v>49</v>
      </c>
      <c r="B51">
        <v>2016</v>
      </c>
      <c r="C51" t="s">
        <v>219</v>
      </c>
      <c r="D51" t="s">
        <v>1217</v>
      </c>
      <c r="E51" t="s">
        <v>1220</v>
      </c>
      <c r="F51" t="s">
        <v>1121</v>
      </c>
      <c r="G51">
        <v>2</v>
      </c>
      <c r="H51" t="s">
        <v>310</v>
      </c>
      <c r="I51">
        <v>3</v>
      </c>
      <c r="J51" s="40">
        <v>215</v>
      </c>
      <c r="K51">
        <v>4</v>
      </c>
    </row>
    <row r="52" spans="1:11" x14ac:dyDescent="0.35">
      <c r="A52">
        <v>50</v>
      </c>
      <c r="B52">
        <v>2016</v>
      </c>
      <c r="C52" t="s">
        <v>219</v>
      </c>
      <c r="D52" t="s">
        <v>1217</v>
      </c>
      <c r="E52" t="s">
        <v>1221</v>
      </c>
      <c r="F52" t="s">
        <v>1122</v>
      </c>
      <c r="G52">
        <v>2</v>
      </c>
      <c r="H52" t="s">
        <v>310</v>
      </c>
      <c r="I52">
        <v>3</v>
      </c>
      <c r="J52" s="40">
        <v>220.34</v>
      </c>
      <c r="K52">
        <v>4</v>
      </c>
    </row>
    <row r="53" spans="1:11" x14ac:dyDescent="0.35">
      <c r="A53">
        <v>51</v>
      </c>
      <c r="B53">
        <v>2016</v>
      </c>
      <c r="C53" t="s">
        <v>219</v>
      </c>
      <c r="D53" t="s">
        <v>1217</v>
      </c>
      <c r="E53" t="s">
        <v>1226</v>
      </c>
      <c r="F53" t="s">
        <v>1130</v>
      </c>
      <c r="G53">
        <v>2</v>
      </c>
      <c r="H53" t="s">
        <v>310</v>
      </c>
      <c r="I53">
        <v>3</v>
      </c>
      <c r="J53" s="40">
        <v>223.24</v>
      </c>
      <c r="K53">
        <v>4</v>
      </c>
    </row>
    <row r="54" spans="1:11" x14ac:dyDescent="0.35">
      <c r="A54">
        <v>52</v>
      </c>
      <c r="B54">
        <v>2016</v>
      </c>
      <c r="C54" t="s">
        <v>219</v>
      </c>
      <c r="D54" t="s">
        <v>1217</v>
      </c>
      <c r="E54" t="s">
        <v>1219</v>
      </c>
      <c r="F54" t="s">
        <v>1129</v>
      </c>
      <c r="G54">
        <v>2</v>
      </c>
      <c r="H54" t="s">
        <v>310</v>
      </c>
      <c r="I54">
        <v>3</v>
      </c>
      <c r="J54" s="40">
        <v>227.03</v>
      </c>
      <c r="K54">
        <v>4</v>
      </c>
    </row>
    <row r="55" spans="1:11" x14ac:dyDescent="0.35">
      <c r="A55">
        <v>53</v>
      </c>
      <c r="B55">
        <v>2016</v>
      </c>
      <c r="C55" t="s">
        <v>219</v>
      </c>
      <c r="D55" t="s">
        <v>1134</v>
      </c>
      <c r="E55" t="s">
        <v>1190</v>
      </c>
      <c r="F55" t="s">
        <v>1191</v>
      </c>
      <c r="G55">
        <v>2</v>
      </c>
      <c r="H55" t="s">
        <v>310</v>
      </c>
      <c r="I55">
        <v>3</v>
      </c>
      <c r="J55" s="40">
        <v>232.42</v>
      </c>
      <c r="K55">
        <v>1</v>
      </c>
    </row>
    <row r="56" spans="1:11" x14ac:dyDescent="0.35">
      <c r="A56">
        <v>54</v>
      </c>
      <c r="B56">
        <v>2016</v>
      </c>
      <c r="C56" t="s">
        <v>219</v>
      </c>
      <c r="D56" t="s">
        <v>1217</v>
      </c>
      <c r="E56" t="s">
        <v>1222</v>
      </c>
      <c r="F56" t="s">
        <v>1223</v>
      </c>
      <c r="G56">
        <v>2</v>
      </c>
      <c r="H56" t="s">
        <v>310</v>
      </c>
      <c r="I56">
        <v>3</v>
      </c>
      <c r="J56" s="40">
        <v>234.18</v>
      </c>
      <c r="K56">
        <v>4</v>
      </c>
    </row>
    <row r="57" spans="1:11" x14ac:dyDescent="0.35">
      <c r="A57">
        <v>55</v>
      </c>
      <c r="B57">
        <v>2016</v>
      </c>
      <c r="C57" t="s">
        <v>219</v>
      </c>
      <c r="D57" t="s">
        <v>1134</v>
      </c>
      <c r="E57" t="s">
        <v>1207</v>
      </c>
      <c r="F57" t="s">
        <v>1035</v>
      </c>
      <c r="G57">
        <v>2</v>
      </c>
      <c r="H57" t="s">
        <v>310</v>
      </c>
      <c r="I57">
        <v>3</v>
      </c>
      <c r="J57" s="40">
        <v>245.47</v>
      </c>
      <c r="K57">
        <v>1</v>
      </c>
    </row>
    <row r="58" spans="1:11" x14ac:dyDescent="0.35">
      <c r="A58">
        <v>56</v>
      </c>
      <c r="B58">
        <v>2016</v>
      </c>
      <c r="C58" t="s">
        <v>219</v>
      </c>
      <c r="D58" t="s">
        <v>1239</v>
      </c>
      <c r="E58" t="s">
        <v>969</v>
      </c>
      <c r="F58" t="s">
        <v>970</v>
      </c>
      <c r="G58">
        <v>2</v>
      </c>
      <c r="H58" t="s">
        <v>310</v>
      </c>
      <c r="I58">
        <v>3</v>
      </c>
      <c r="J58" s="40">
        <v>249.78</v>
      </c>
      <c r="K58">
        <v>2</v>
      </c>
    </row>
    <row r="59" spans="1:11" x14ac:dyDescent="0.35">
      <c r="A59">
        <v>57</v>
      </c>
      <c r="B59">
        <v>2016</v>
      </c>
      <c r="C59" t="s">
        <v>219</v>
      </c>
      <c r="D59" t="s">
        <v>1250</v>
      </c>
      <c r="E59" t="s">
        <v>1256</v>
      </c>
      <c r="F59" t="s">
        <v>1257</v>
      </c>
      <c r="G59">
        <v>1</v>
      </c>
      <c r="H59" t="s">
        <v>310</v>
      </c>
      <c r="I59">
        <v>3</v>
      </c>
      <c r="J59" s="40">
        <v>251.78</v>
      </c>
      <c r="K59">
        <v>4</v>
      </c>
    </row>
    <row r="60" spans="1:11" x14ac:dyDescent="0.35">
      <c r="A60">
        <v>58</v>
      </c>
      <c r="B60">
        <v>2016</v>
      </c>
      <c r="C60" t="s">
        <v>219</v>
      </c>
      <c r="D60" t="s">
        <v>294</v>
      </c>
      <c r="E60" t="s">
        <v>308</v>
      </c>
      <c r="F60" t="s">
        <v>1270</v>
      </c>
      <c r="G60">
        <v>2</v>
      </c>
      <c r="H60" t="s">
        <v>310</v>
      </c>
      <c r="I60">
        <v>3</v>
      </c>
      <c r="J60" s="40">
        <v>255.19</v>
      </c>
      <c r="K60">
        <v>1</v>
      </c>
    </row>
    <row r="61" spans="1:11" x14ac:dyDescent="0.35">
      <c r="A61">
        <v>59</v>
      </c>
      <c r="B61">
        <v>2016</v>
      </c>
      <c r="C61" t="s">
        <v>219</v>
      </c>
      <c r="D61" t="s">
        <v>1250</v>
      </c>
      <c r="E61" t="s">
        <v>1258</v>
      </c>
      <c r="F61" t="s">
        <v>1259</v>
      </c>
      <c r="G61">
        <v>1</v>
      </c>
      <c r="H61" t="s">
        <v>310</v>
      </c>
      <c r="I61">
        <v>3</v>
      </c>
      <c r="J61" s="40">
        <v>258.79000000000002</v>
      </c>
      <c r="K61">
        <v>4</v>
      </c>
    </row>
    <row r="62" spans="1:11" x14ac:dyDescent="0.35">
      <c r="A62">
        <v>60</v>
      </c>
      <c r="B62">
        <v>2016</v>
      </c>
      <c r="C62" t="s">
        <v>219</v>
      </c>
      <c r="D62" t="s">
        <v>1239</v>
      </c>
      <c r="E62" t="s">
        <v>963</v>
      </c>
      <c r="F62" t="s">
        <v>964</v>
      </c>
      <c r="G62">
        <v>2</v>
      </c>
      <c r="H62" t="s">
        <v>310</v>
      </c>
      <c r="I62">
        <v>3</v>
      </c>
      <c r="J62" s="40">
        <v>259.43</v>
      </c>
      <c r="K62">
        <v>2</v>
      </c>
    </row>
    <row r="63" spans="1:11" x14ac:dyDescent="0.35">
      <c r="A63">
        <v>61</v>
      </c>
      <c r="B63">
        <v>2016</v>
      </c>
      <c r="C63" t="s">
        <v>219</v>
      </c>
      <c r="D63" t="s">
        <v>1239</v>
      </c>
      <c r="E63" t="s">
        <v>965</v>
      </c>
      <c r="F63" t="s">
        <v>966</v>
      </c>
      <c r="G63">
        <v>2</v>
      </c>
      <c r="H63" t="s">
        <v>310</v>
      </c>
      <c r="I63">
        <v>3</v>
      </c>
      <c r="J63" s="40">
        <v>260.24</v>
      </c>
      <c r="K63">
        <v>2</v>
      </c>
    </row>
    <row r="64" spans="1:11" x14ac:dyDescent="0.35">
      <c r="A64">
        <v>62</v>
      </c>
      <c r="B64">
        <v>2016</v>
      </c>
      <c r="C64" t="s">
        <v>219</v>
      </c>
      <c r="D64" t="s">
        <v>1239</v>
      </c>
      <c r="E64" t="s">
        <v>961</v>
      </c>
      <c r="F64" t="s">
        <v>962</v>
      </c>
      <c r="G64">
        <v>2</v>
      </c>
      <c r="H64" t="s">
        <v>310</v>
      </c>
      <c r="I64">
        <v>3</v>
      </c>
      <c r="J64" s="40">
        <v>260.47000000000003</v>
      </c>
      <c r="K64">
        <v>2</v>
      </c>
    </row>
    <row r="65" spans="1:11" x14ac:dyDescent="0.35">
      <c r="A65">
        <v>63</v>
      </c>
      <c r="B65">
        <v>2016</v>
      </c>
      <c r="C65" t="s">
        <v>219</v>
      </c>
      <c r="D65" t="s">
        <v>297</v>
      </c>
      <c r="E65" t="s">
        <v>298</v>
      </c>
      <c r="F65" t="s">
        <v>1279</v>
      </c>
      <c r="G65">
        <v>2</v>
      </c>
      <c r="H65" t="s">
        <v>310</v>
      </c>
      <c r="I65">
        <v>3</v>
      </c>
      <c r="J65" s="40">
        <v>262.74</v>
      </c>
      <c r="K65">
        <v>1</v>
      </c>
    </row>
    <row r="66" spans="1:11" x14ac:dyDescent="0.35">
      <c r="A66">
        <v>64</v>
      </c>
      <c r="B66">
        <v>2016</v>
      </c>
      <c r="C66" t="s">
        <v>219</v>
      </c>
      <c r="D66" t="s">
        <v>297</v>
      </c>
      <c r="E66" t="s">
        <v>300</v>
      </c>
      <c r="F66" t="s">
        <v>301</v>
      </c>
      <c r="G66">
        <v>2</v>
      </c>
      <c r="H66" t="s">
        <v>310</v>
      </c>
      <c r="I66">
        <v>3</v>
      </c>
      <c r="J66" s="40">
        <v>263.5</v>
      </c>
      <c r="K66">
        <v>1</v>
      </c>
    </row>
    <row r="67" spans="1:11" x14ac:dyDescent="0.35">
      <c r="A67">
        <v>65</v>
      </c>
      <c r="B67">
        <v>2016</v>
      </c>
      <c r="C67" t="s">
        <v>219</v>
      </c>
      <c r="D67" t="s">
        <v>1239</v>
      </c>
      <c r="E67" t="s">
        <v>973</v>
      </c>
      <c r="F67" t="s">
        <v>1242</v>
      </c>
      <c r="G67">
        <v>2</v>
      </c>
      <c r="H67" t="s">
        <v>310</v>
      </c>
      <c r="I67">
        <v>3</v>
      </c>
      <c r="J67" s="40">
        <v>268.23</v>
      </c>
      <c r="K67">
        <v>2</v>
      </c>
    </row>
    <row r="68" spans="1:11" x14ac:dyDescent="0.35">
      <c r="A68">
        <v>66</v>
      </c>
      <c r="B68">
        <v>2016</v>
      </c>
      <c r="C68" t="s">
        <v>219</v>
      </c>
      <c r="D68" t="s">
        <v>294</v>
      </c>
      <c r="E68" t="s">
        <v>295</v>
      </c>
      <c r="F68" t="s">
        <v>1273</v>
      </c>
      <c r="G68">
        <v>3</v>
      </c>
      <c r="H68" t="s">
        <v>310</v>
      </c>
      <c r="I68">
        <v>3</v>
      </c>
      <c r="J68" s="40">
        <v>273.7</v>
      </c>
      <c r="K68">
        <v>1</v>
      </c>
    </row>
    <row r="69" spans="1:11" x14ac:dyDescent="0.35">
      <c r="A69">
        <v>67</v>
      </c>
      <c r="B69">
        <v>2016</v>
      </c>
      <c r="C69" t="s">
        <v>219</v>
      </c>
      <c r="D69" t="s">
        <v>217</v>
      </c>
      <c r="E69" t="s">
        <v>980</v>
      </c>
      <c r="F69" t="s">
        <v>1247</v>
      </c>
      <c r="G69">
        <v>1</v>
      </c>
      <c r="H69" t="s">
        <v>310</v>
      </c>
      <c r="I69">
        <v>3</v>
      </c>
      <c r="J69" s="40">
        <v>274.95</v>
      </c>
      <c r="K69">
        <v>1</v>
      </c>
    </row>
    <row r="70" spans="1:11" x14ac:dyDescent="0.35">
      <c r="A70">
        <v>68</v>
      </c>
      <c r="B70">
        <v>2016</v>
      </c>
      <c r="C70" t="s">
        <v>219</v>
      </c>
      <c r="D70" t="s">
        <v>297</v>
      </c>
      <c r="E70" t="s">
        <v>302</v>
      </c>
      <c r="F70" t="s">
        <v>303</v>
      </c>
      <c r="G70">
        <v>2</v>
      </c>
      <c r="H70" t="s">
        <v>310</v>
      </c>
      <c r="I70">
        <v>3</v>
      </c>
      <c r="J70" s="40">
        <v>276.5</v>
      </c>
      <c r="K70">
        <v>1</v>
      </c>
    </row>
    <row r="71" spans="1:11" x14ac:dyDescent="0.35">
      <c r="A71">
        <v>69</v>
      </c>
      <c r="B71">
        <v>2016</v>
      </c>
      <c r="C71" t="s">
        <v>219</v>
      </c>
      <c r="D71" t="s">
        <v>1239</v>
      </c>
      <c r="E71" t="s">
        <v>967</v>
      </c>
      <c r="F71" t="s">
        <v>968</v>
      </c>
      <c r="G71">
        <v>2</v>
      </c>
      <c r="H71" t="s">
        <v>310</v>
      </c>
      <c r="I71">
        <v>3</v>
      </c>
      <c r="J71" s="40">
        <v>281.2</v>
      </c>
      <c r="K71">
        <v>2</v>
      </c>
    </row>
    <row r="72" spans="1:11" x14ac:dyDescent="0.35">
      <c r="A72">
        <v>70</v>
      </c>
      <c r="B72">
        <v>2016</v>
      </c>
      <c r="C72" t="s">
        <v>219</v>
      </c>
      <c r="D72" t="s">
        <v>217</v>
      </c>
      <c r="E72" t="s">
        <v>977</v>
      </c>
      <c r="F72" t="s">
        <v>1245</v>
      </c>
      <c r="G72">
        <v>1</v>
      </c>
      <c r="H72" t="s">
        <v>310</v>
      </c>
      <c r="I72">
        <v>3</v>
      </c>
      <c r="J72" s="40">
        <v>286.52</v>
      </c>
      <c r="K72">
        <v>1</v>
      </c>
    </row>
    <row r="73" spans="1:11" x14ac:dyDescent="0.35">
      <c r="A73">
        <v>71</v>
      </c>
      <c r="B73">
        <v>2016</v>
      </c>
      <c r="C73" t="s">
        <v>219</v>
      </c>
      <c r="D73" t="s">
        <v>1280</v>
      </c>
      <c r="E73" t="s">
        <v>1114</v>
      </c>
      <c r="F73" t="s">
        <v>1116</v>
      </c>
      <c r="G73">
        <v>2</v>
      </c>
      <c r="H73" t="s">
        <v>310</v>
      </c>
      <c r="I73">
        <v>3</v>
      </c>
      <c r="J73" s="40">
        <v>286.64</v>
      </c>
      <c r="K73">
        <v>1</v>
      </c>
    </row>
    <row r="74" spans="1:11" x14ac:dyDescent="0.35">
      <c r="A74">
        <v>72</v>
      </c>
      <c r="B74">
        <v>2016</v>
      </c>
      <c r="C74" t="s">
        <v>219</v>
      </c>
      <c r="D74" t="s">
        <v>1280</v>
      </c>
      <c r="E74" t="s">
        <v>1113</v>
      </c>
      <c r="F74" t="s">
        <v>1118</v>
      </c>
      <c r="G74">
        <v>2</v>
      </c>
      <c r="H74" t="s">
        <v>310</v>
      </c>
      <c r="I74">
        <v>3</v>
      </c>
      <c r="J74" s="40">
        <v>297.44</v>
      </c>
      <c r="K74">
        <v>1</v>
      </c>
    </row>
    <row r="75" spans="1:11" x14ac:dyDescent="0.35">
      <c r="A75">
        <v>73</v>
      </c>
      <c r="B75">
        <v>2016</v>
      </c>
      <c r="C75" t="s">
        <v>219</v>
      </c>
      <c r="D75" t="s">
        <v>1280</v>
      </c>
      <c r="E75" t="s">
        <v>1115</v>
      </c>
      <c r="F75" t="s">
        <v>1128</v>
      </c>
      <c r="G75">
        <v>2</v>
      </c>
      <c r="H75" t="s">
        <v>310</v>
      </c>
      <c r="I75">
        <v>3</v>
      </c>
      <c r="J75" s="40">
        <v>297.44</v>
      </c>
      <c r="K75">
        <v>1</v>
      </c>
    </row>
    <row r="76" spans="1:11" x14ac:dyDescent="0.35">
      <c r="A76">
        <v>74</v>
      </c>
      <c r="B76">
        <v>2016</v>
      </c>
      <c r="C76" t="s">
        <v>219</v>
      </c>
      <c r="D76" t="s">
        <v>217</v>
      </c>
      <c r="E76" t="s">
        <v>975</v>
      </c>
      <c r="F76" t="s">
        <v>1244</v>
      </c>
      <c r="G76">
        <v>1</v>
      </c>
      <c r="H76" t="s">
        <v>310</v>
      </c>
      <c r="I76">
        <v>3</v>
      </c>
      <c r="J76" s="40">
        <v>302.47000000000003</v>
      </c>
      <c r="K76">
        <v>1</v>
      </c>
    </row>
    <row r="77" spans="1:11" x14ac:dyDescent="0.35">
      <c r="A77">
        <v>75</v>
      </c>
      <c r="B77">
        <v>2016</v>
      </c>
      <c r="C77" t="s">
        <v>219</v>
      </c>
      <c r="D77" t="s">
        <v>304</v>
      </c>
      <c r="E77" t="s">
        <v>916</v>
      </c>
      <c r="F77" t="s">
        <v>917</v>
      </c>
      <c r="G77">
        <v>1</v>
      </c>
      <c r="H77" t="s">
        <v>310</v>
      </c>
      <c r="I77">
        <v>3</v>
      </c>
      <c r="J77" s="40">
        <v>322.35000000000002</v>
      </c>
      <c r="K77">
        <v>4</v>
      </c>
    </row>
    <row r="78" spans="1:11" x14ac:dyDescent="0.35">
      <c r="A78">
        <v>76</v>
      </c>
      <c r="B78">
        <v>2016</v>
      </c>
      <c r="C78" t="s">
        <v>219</v>
      </c>
      <c r="D78" t="s">
        <v>304</v>
      </c>
      <c r="E78" t="s">
        <v>307</v>
      </c>
      <c r="F78" t="s">
        <v>904</v>
      </c>
      <c r="G78">
        <v>1</v>
      </c>
      <c r="H78" t="s">
        <v>310</v>
      </c>
      <c r="I78">
        <v>3</v>
      </c>
      <c r="J78" s="40">
        <v>323.83999999999997</v>
      </c>
      <c r="K78">
        <v>4</v>
      </c>
    </row>
    <row r="79" spans="1:11" x14ac:dyDescent="0.35">
      <c r="A79">
        <v>77</v>
      </c>
      <c r="B79">
        <v>2016</v>
      </c>
      <c r="C79" t="s">
        <v>219</v>
      </c>
      <c r="D79" t="s">
        <v>304</v>
      </c>
      <c r="E79" t="s">
        <v>898</v>
      </c>
      <c r="F79" t="s">
        <v>899</v>
      </c>
      <c r="G79">
        <v>1</v>
      </c>
      <c r="H79" t="s">
        <v>310</v>
      </c>
      <c r="I79">
        <v>3</v>
      </c>
      <c r="J79" s="40">
        <v>324.02999999999997</v>
      </c>
      <c r="K79">
        <v>4</v>
      </c>
    </row>
    <row r="80" spans="1:11" x14ac:dyDescent="0.35">
      <c r="A80">
        <v>78</v>
      </c>
      <c r="B80">
        <v>2016</v>
      </c>
      <c r="C80" t="s">
        <v>219</v>
      </c>
      <c r="D80" t="s">
        <v>304</v>
      </c>
      <c r="E80" t="s">
        <v>305</v>
      </c>
      <c r="F80" t="s">
        <v>913</v>
      </c>
      <c r="G80">
        <v>1</v>
      </c>
      <c r="H80" t="s">
        <v>310</v>
      </c>
      <c r="I80">
        <v>3</v>
      </c>
      <c r="J80" s="40">
        <v>324.13</v>
      </c>
      <c r="K80">
        <v>4</v>
      </c>
    </row>
    <row r="81" spans="1:11" x14ac:dyDescent="0.35">
      <c r="A81">
        <v>79</v>
      </c>
      <c r="B81">
        <v>2016</v>
      </c>
      <c r="C81" t="s">
        <v>219</v>
      </c>
      <c r="D81" t="s">
        <v>297</v>
      </c>
      <c r="E81" t="s">
        <v>298</v>
      </c>
      <c r="F81" t="s">
        <v>1279</v>
      </c>
      <c r="G81">
        <v>2</v>
      </c>
      <c r="H81" t="s">
        <v>310</v>
      </c>
      <c r="I81">
        <v>4</v>
      </c>
      <c r="J81" s="40">
        <v>262.74</v>
      </c>
      <c r="K81">
        <v>1</v>
      </c>
    </row>
    <row r="82" spans="1:11" x14ac:dyDescent="0.35">
      <c r="A82">
        <v>80</v>
      </c>
      <c r="B82">
        <v>2016</v>
      </c>
      <c r="C82" t="s">
        <v>219</v>
      </c>
      <c r="D82" t="s">
        <v>297</v>
      </c>
      <c r="E82" t="s">
        <v>300</v>
      </c>
      <c r="F82" t="s">
        <v>301</v>
      </c>
      <c r="G82">
        <v>2</v>
      </c>
      <c r="H82" t="s">
        <v>310</v>
      </c>
      <c r="I82">
        <v>4</v>
      </c>
      <c r="J82" s="40">
        <v>263.5</v>
      </c>
      <c r="K82">
        <v>1</v>
      </c>
    </row>
    <row r="83" spans="1:11" x14ac:dyDescent="0.35">
      <c r="A83">
        <v>81</v>
      </c>
      <c r="B83">
        <v>2016</v>
      </c>
      <c r="C83" t="s">
        <v>219</v>
      </c>
      <c r="D83" t="s">
        <v>297</v>
      </c>
      <c r="E83" t="s">
        <v>302</v>
      </c>
      <c r="F83" t="s">
        <v>303</v>
      </c>
      <c r="G83">
        <v>2</v>
      </c>
      <c r="H83" t="s">
        <v>310</v>
      </c>
      <c r="I83">
        <v>4</v>
      </c>
      <c r="J83" s="40">
        <v>276.5</v>
      </c>
      <c r="K83">
        <v>1</v>
      </c>
    </row>
    <row r="84" spans="1:11" x14ac:dyDescent="0.35">
      <c r="A84">
        <v>82</v>
      </c>
      <c r="B84">
        <v>2016</v>
      </c>
      <c r="C84" t="s">
        <v>219</v>
      </c>
      <c r="D84" t="s">
        <v>294</v>
      </c>
      <c r="E84" t="s">
        <v>295</v>
      </c>
      <c r="F84" t="s">
        <v>1273</v>
      </c>
      <c r="G84">
        <v>3</v>
      </c>
      <c r="H84" t="s">
        <v>310</v>
      </c>
      <c r="I84">
        <v>4</v>
      </c>
      <c r="J84" s="40">
        <v>279.87</v>
      </c>
      <c r="K84">
        <v>1</v>
      </c>
    </row>
    <row r="85" spans="1:11" x14ac:dyDescent="0.35">
      <c r="A85">
        <v>83</v>
      </c>
      <c r="B85">
        <v>2016</v>
      </c>
      <c r="C85" t="s">
        <v>219</v>
      </c>
      <c r="D85" t="s">
        <v>1239</v>
      </c>
      <c r="E85" t="s">
        <v>969</v>
      </c>
      <c r="F85" t="s">
        <v>970</v>
      </c>
      <c r="G85">
        <v>2</v>
      </c>
      <c r="H85" t="s">
        <v>310</v>
      </c>
      <c r="I85">
        <v>4</v>
      </c>
      <c r="J85" s="40">
        <v>309.38</v>
      </c>
      <c r="K85">
        <v>2</v>
      </c>
    </row>
    <row r="86" spans="1:11" x14ac:dyDescent="0.35">
      <c r="A86">
        <v>84</v>
      </c>
      <c r="B86">
        <v>2016</v>
      </c>
      <c r="C86" t="s">
        <v>219</v>
      </c>
      <c r="D86" t="s">
        <v>1239</v>
      </c>
      <c r="E86" t="s">
        <v>963</v>
      </c>
      <c r="F86" t="s">
        <v>964</v>
      </c>
      <c r="G86">
        <v>2</v>
      </c>
      <c r="H86" t="s">
        <v>310</v>
      </c>
      <c r="I86">
        <v>4</v>
      </c>
      <c r="J86" s="40">
        <v>321.33999999999997</v>
      </c>
      <c r="K86">
        <v>2</v>
      </c>
    </row>
    <row r="87" spans="1:11" x14ac:dyDescent="0.35">
      <c r="A87">
        <v>85</v>
      </c>
      <c r="B87">
        <v>2016</v>
      </c>
      <c r="C87" t="s">
        <v>219</v>
      </c>
      <c r="D87" t="s">
        <v>1239</v>
      </c>
      <c r="E87" t="s">
        <v>965</v>
      </c>
      <c r="F87" t="s">
        <v>966</v>
      </c>
      <c r="G87">
        <v>2</v>
      </c>
      <c r="H87" t="s">
        <v>310</v>
      </c>
      <c r="I87">
        <v>4</v>
      </c>
      <c r="J87" s="40">
        <v>322.33</v>
      </c>
      <c r="K87">
        <v>2</v>
      </c>
    </row>
    <row r="88" spans="1:11" x14ac:dyDescent="0.35">
      <c r="A88">
        <v>86</v>
      </c>
      <c r="B88">
        <v>2016</v>
      </c>
      <c r="C88" t="s">
        <v>219</v>
      </c>
      <c r="D88" t="s">
        <v>1239</v>
      </c>
      <c r="E88" t="s">
        <v>961</v>
      </c>
      <c r="F88" t="s">
        <v>962</v>
      </c>
      <c r="G88">
        <v>2</v>
      </c>
      <c r="H88" t="s">
        <v>310</v>
      </c>
      <c r="I88">
        <v>4</v>
      </c>
      <c r="J88" s="40">
        <v>322.62</v>
      </c>
      <c r="K88">
        <v>2</v>
      </c>
    </row>
    <row r="89" spans="1:11" x14ac:dyDescent="0.35">
      <c r="A89">
        <v>87</v>
      </c>
      <c r="B89">
        <v>2016</v>
      </c>
      <c r="C89" t="s">
        <v>219</v>
      </c>
      <c r="D89" t="s">
        <v>1280</v>
      </c>
      <c r="E89" t="s">
        <v>1114</v>
      </c>
      <c r="F89" t="s">
        <v>1116</v>
      </c>
      <c r="G89">
        <v>2</v>
      </c>
      <c r="H89" t="s">
        <v>310</v>
      </c>
      <c r="I89">
        <v>4</v>
      </c>
      <c r="J89" s="40">
        <v>327.39999999999998</v>
      </c>
      <c r="K89">
        <v>1</v>
      </c>
    </row>
    <row r="90" spans="1:11" x14ac:dyDescent="0.35">
      <c r="A90">
        <v>88</v>
      </c>
      <c r="B90">
        <v>2016</v>
      </c>
      <c r="C90" t="s">
        <v>219</v>
      </c>
      <c r="D90" t="s">
        <v>1239</v>
      </c>
      <c r="E90" t="s">
        <v>973</v>
      </c>
      <c r="F90" t="s">
        <v>1242</v>
      </c>
      <c r="G90">
        <v>2</v>
      </c>
      <c r="H90" t="s">
        <v>310</v>
      </c>
      <c r="I90">
        <v>4</v>
      </c>
      <c r="J90" s="40">
        <v>332.23</v>
      </c>
      <c r="K90">
        <v>2</v>
      </c>
    </row>
    <row r="91" spans="1:11" x14ac:dyDescent="0.35">
      <c r="A91">
        <v>89</v>
      </c>
      <c r="B91">
        <v>2016</v>
      </c>
      <c r="C91" t="s">
        <v>219</v>
      </c>
      <c r="D91" t="s">
        <v>1280</v>
      </c>
      <c r="E91" t="s">
        <v>1113</v>
      </c>
      <c r="F91" t="s">
        <v>1118</v>
      </c>
      <c r="G91">
        <v>2</v>
      </c>
      <c r="H91" t="s">
        <v>310</v>
      </c>
      <c r="I91">
        <v>4</v>
      </c>
      <c r="J91" s="40">
        <v>339.74</v>
      </c>
      <c r="K91">
        <v>1</v>
      </c>
    </row>
    <row r="92" spans="1:11" x14ac:dyDescent="0.35">
      <c r="A92">
        <v>90</v>
      </c>
      <c r="B92">
        <v>2016</v>
      </c>
      <c r="C92" t="s">
        <v>219</v>
      </c>
      <c r="D92" t="s">
        <v>1280</v>
      </c>
      <c r="E92" t="s">
        <v>1115</v>
      </c>
      <c r="F92" t="s">
        <v>1128</v>
      </c>
      <c r="G92">
        <v>2</v>
      </c>
      <c r="H92" t="s">
        <v>310</v>
      </c>
      <c r="I92">
        <v>4</v>
      </c>
      <c r="J92" s="40">
        <v>339.74</v>
      </c>
      <c r="K92">
        <v>1</v>
      </c>
    </row>
    <row r="93" spans="1:11" x14ac:dyDescent="0.35">
      <c r="A93">
        <v>91</v>
      </c>
      <c r="B93">
        <v>2016</v>
      </c>
      <c r="C93" t="s">
        <v>219</v>
      </c>
      <c r="D93" t="s">
        <v>1239</v>
      </c>
      <c r="E93" t="s">
        <v>967</v>
      </c>
      <c r="F93" t="s">
        <v>968</v>
      </c>
      <c r="G93">
        <v>2</v>
      </c>
      <c r="H93" t="s">
        <v>310</v>
      </c>
      <c r="I93">
        <v>4</v>
      </c>
      <c r="J93" s="40">
        <v>348.29</v>
      </c>
      <c r="K93">
        <v>2</v>
      </c>
    </row>
    <row r="94" spans="1:11" x14ac:dyDescent="0.35">
      <c r="A94">
        <v>92</v>
      </c>
      <c r="B94">
        <v>2016</v>
      </c>
      <c r="C94" t="s">
        <v>219</v>
      </c>
      <c r="D94" t="s">
        <v>304</v>
      </c>
      <c r="E94" t="s">
        <v>916</v>
      </c>
      <c r="F94" t="s">
        <v>917</v>
      </c>
      <c r="G94">
        <v>1</v>
      </c>
      <c r="H94" t="s">
        <v>310</v>
      </c>
      <c r="I94">
        <v>4</v>
      </c>
      <c r="J94" s="40">
        <v>372.66</v>
      </c>
      <c r="K94">
        <v>4</v>
      </c>
    </row>
    <row r="95" spans="1:11" x14ac:dyDescent="0.35">
      <c r="A95">
        <v>93</v>
      </c>
      <c r="B95">
        <v>2016</v>
      </c>
      <c r="C95" t="s">
        <v>219</v>
      </c>
      <c r="D95" t="s">
        <v>304</v>
      </c>
      <c r="E95" t="s">
        <v>307</v>
      </c>
      <c r="F95" t="s">
        <v>904</v>
      </c>
      <c r="G95">
        <v>1</v>
      </c>
      <c r="H95" t="s">
        <v>310</v>
      </c>
      <c r="I95">
        <v>4</v>
      </c>
      <c r="J95" s="40">
        <v>374.38</v>
      </c>
      <c r="K95">
        <v>4</v>
      </c>
    </row>
    <row r="96" spans="1:11" x14ac:dyDescent="0.35">
      <c r="A96">
        <v>94</v>
      </c>
      <c r="B96">
        <v>2016</v>
      </c>
      <c r="C96" t="s">
        <v>219</v>
      </c>
      <c r="D96" t="s">
        <v>304</v>
      </c>
      <c r="E96" t="s">
        <v>898</v>
      </c>
      <c r="F96" t="s">
        <v>899</v>
      </c>
      <c r="G96">
        <v>1</v>
      </c>
      <c r="H96" t="s">
        <v>310</v>
      </c>
      <c r="I96">
        <v>4</v>
      </c>
      <c r="J96" s="40">
        <v>374.6</v>
      </c>
      <c r="K96">
        <v>4</v>
      </c>
    </row>
    <row r="97" spans="1:11" x14ac:dyDescent="0.35">
      <c r="A97">
        <v>95</v>
      </c>
      <c r="B97">
        <v>2016</v>
      </c>
      <c r="C97" t="s">
        <v>219</v>
      </c>
      <c r="D97" t="s">
        <v>304</v>
      </c>
      <c r="E97" t="s">
        <v>305</v>
      </c>
      <c r="F97" t="s">
        <v>913</v>
      </c>
      <c r="G97">
        <v>1</v>
      </c>
      <c r="H97" t="s">
        <v>310</v>
      </c>
      <c r="I97">
        <v>4</v>
      </c>
      <c r="J97" s="40">
        <v>374.71</v>
      </c>
      <c r="K97">
        <v>4</v>
      </c>
    </row>
    <row r="98" spans="1:11" x14ac:dyDescent="0.35">
      <c r="A98">
        <v>96</v>
      </c>
      <c r="B98">
        <v>2016</v>
      </c>
      <c r="C98" t="s">
        <v>219</v>
      </c>
      <c r="D98" t="s">
        <v>1239</v>
      </c>
      <c r="E98" t="s">
        <v>969</v>
      </c>
      <c r="F98" t="s">
        <v>970</v>
      </c>
      <c r="G98">
        <v>2</v>
      </c>
      <c r="H98" t="s">
        <v>310</v>
      </c>
      <c r="I98">
        <v>5</v>
      </c>
      <c r="J98" s="40">
        <v>227.91</v>
      </c>
      <c r="K98">
        <v>2</v>
      </c>
    </row>
    <row r="99" spans="1:11" x14ac:dyDescent="0.35">
      <c r="A99">
        <v>97</v>
      </c>
      <c r="B99">
        <v>2016</v>
      </c>
      <c r="C99" t="s">
        <v>219</v>
      </c>
      <c r="D99" t="s">
        <v>1134</v>
      </c>
      <c r="E99" t="s">
        <v>1200</v>
      </c>
      <c r="F99" t="s">
        <v>1201</v>
      </c>
      <c r="G99">
        <v>2</v>
      </c>
      <c r="H99" t="s">
        <v>310</v>
      </c>
      <c r="I99">
        <v>5</v>
      </c>
      <c r="J99" s="40">
        <v>235.11</v>
      </c>
      <c r="K99">
        <v>1</v>
      </c>
    </row>
    <row r="100" spans="1:11" x14ac:dyDescent="0.35">
      <c r="A100">
        <v>98</v>
      </c>
      <c r="B100">
        <v>2016</v>
      </c>
      <c r="C100" t="s">
        <v>219</v>
      </c>
      <c r="D100" t="s">
        <v>1239</v>
      </c>
      <c r="E100" t="s">
        <v>963</v>
      </c>
      <c r="F100" t="s">
        <v>964</v>
      </c>
      <c r="G100">
        <v>2</v>
      </c>
      <c r="H100" t="s">
        <v>310</v>
      </c>
      <c r="I100">
        <v>5</v>
      </c>
      <c r="J100" s="40">
        <v>236.71</v>
      </c>
      <c r="K100">
        <v>2</v>
      </c>
    </row>
    <row r="101" spans="1:11" x14ac:dyDescent="0.35">
      <c r="A101">
        <v>99</v>
      </c>
      <c r="B101">
        <v>2016</v>
      </c>
      <c r="C101" t="s">
        <v>219</v>
      </c>
      <c r="D101" t="s">
        <v>1239</v>
      </c>
      <c r="E101" t="s">
        <v>965</v>
      </c>
      <c r="F101" t="s">
        <v>966</v>
      </c>
      <c r="G101">
        <v>2</v>
      </c>
      <c r="H101" t="s">
        <v>310</v>
      </c>
      <c r="I101">
        <v>5</v>
      </c>
      <c r="J101" s="40">
        <v>237.45</v>
      </c>
      <c r="K101">
        <v>2</v>
      </c>
    </row>
    <row r="102" spans="1:11" x14ac:dyDescent="0.35">
      <c r="A102">
        <v>100</v>
      </c>
      <c r="B102">
        <v>2016</v>
      </c>
      <c r="C102" t="s">
        <v>219</v>
      </c>
      <c r="D102" t="s">
        <v>1239</v>
      </c>
      <c r="E102" t="s">
        <v>961</v>
      </c>
      <c r="F102" t="s">
        <v>962</v>
      </c>
      <c r="G102">
        <v>2</v>
      </c>
      <c r="H102" t="s">
        <v>310</v>
      </c>
      <c r="I102">
        <v>5</v>
      </c>
      <c r="J102" s="40">
        <v>237.65</v>
      </c>
      <c r="K102">
        <v>2</v>
      </c>
    </row>
    <row r="103" spans="1:11" x14ac:dyDescent="0.35">
      <c r="A103">
        <v>101</v>
      </c>
      <c r="B103">
        <v>2016</v>
      </c>
      <c r="C103" t="s">
        <v>219</v>
      </c>
      <c r="D103" t="s">
        <v>1134</v>
      </c>
      <c r="E103" t="s">
        <v>1192</v>
      </c>
      <c r="F103" t="s">
        <v>1193</v>
      </c>
      <c r="G103">
        <v>2</v>
      </c>
      <c r="H103" t="s">
        <v>310</v>
      </c>
      <c r="I103">
        <v>5</v>
      </c>
      <c r="J103" s="40">
        <v>243.23</v>
      </c>
      <c r="K103">
        <v>1</v>
      </c>
    </row>
    <row r="104" spans="1:11" x14ac:dyDescent="0.35">
      <c r="A104">
        <v>102</v>
      </c>
      <c r="B104">
        <v>2016</v>
      </c>
      <c r="C104" t="s">
        <v>219</v>
      </c>
      <c r="D104" t="s">
        <v>1239</v>
      </c>
      <c r="E104" t="s">
        <v>973</v>
      </c>
      <c r="F104" t="s">
        <v>1242</v>
      </c>
      <c r="G104">
        <v>2</v>
      </c>
      <c r="H104" t="s">
        <v>310</v>
      </c>
      <c r="I104">
        <v>5</v>
      </c>
      <c r="J104" s="40">
        <v>244.74</v>
      </c>
      <c r="K104">
        <v>2</v>
      </c>
    </row>
    <row r="105" spans="1:11" x14ac:dyDescent="0.35">
      <c r="A105">
        <v>103</v>
      </c>
      <c r="B105">
        <v>2016</v>
      </c>
      <c r="C105" t="s">
        <v>219</v>
      </c>
      <c r="D105" t="s">
        <v>1134</v>
      </c>
      <c r="E105" t="s">
        <v>1213</v>
      </c>
      <c r="F105" t="s">
        <v>1045</v>
      </c>
      <c r="G105">
        <v>2</v>
      </c>
      <c r="H105" t="s">
        <v>310</v>
      </c>
      <c r="I105">
        <v>5</v>
      </c>
      <c r="J105" s="40">
        <v>248.32</v>
      </c>
      <c r="K105">
        <v>1</v>
      </c>
    </row>
    <row r="106" spans="1:11" x14ac:dyDescent="0.35">
      <c r="A106">
        <v>104</v>
      </c>
      <c r="B106">
        <v>2016</v>
      </c>
      <c r="C106" t="s">
        <v>219</v>
      </c>
      <c r="D106" t="s">
        <v>1239</v>
      </c>
      <c r="E106" t="s">
        <v>967</v>
      </c>
      <c r="F106" t="s">
        <v>968</v>
      </c>
      <c r="G106">
        <v>2</v>
      </c>
      <c r="H106" t="s">
        <v>310</v>
      </c>
      <c r="I106">
        <v>5</v>
      </c>
      <c r="J106" s="40">
        <v>256.57</v>
      </c>
      <c r="K106">
        <v>2</v>
      </c>
    </row>
    <row r="107" spans="1:11" x14ac:dyDescent="0.35">
      <c r="A107">
        <v>105</v>
      </c>
      <c r="B107">
        <v>2016</v>
      </c>
      <c r="C107" t="s">
        <v>219</v>
      </c>
      <c r="D107" t="s">
        <v>1134</v>
      </c>
      <c r="E107" t="s">
        <v>1208</v>
      </c>
      <c r="F107" t="s">
        <v>1209</v>
      </c>
      <c r="G107">
        <v>2</v>
      </c>
      <c r="H107" t="s">
        <v>310</v>
      </c>
      <c r="I107">
        <v>5</v>
      </c>
      <c r="J107" s="40">
        <v>256.89</v>
      </c>
      <c r="K107">
        <v>1</v>
      </c>
    </row>
    <row r="108" spans="1:11" x14ac:dyDescent="0.35">
      <c r="A108">
        <v>106</v>
      </c>
      <c r="B108">
        <v>2016</v>
      </c>
      <c r="C108" t="s">
        <v>219</v>
      </c>
      <c r="D108" t="s">
        <v>1280</v>
      </c>
      <c r="E108" t="s">
        <v>1114</v>
      </c>
      <c r="F108" t="s">
        <v>1116</v>
      </c>
      <c r="G108">
        <v>2</v>
      </c>
      <c r="H108" t="s">
        <v>310</v>
      </c>
      <c r="I108">
        <v>5</v>
      </c>
      <c r="J108" s="40">
        <v>264.31</v>
      </c>
      <c r="K108">
        <v>1</v>
      </c>
    </row>
    <row r="109" spans="1:11" x14ac:dyDescent="0.35">
      <c r="A109">
        <v>107</v>
      </c>
      <c r="B109">
        <v>2016</v>
      </c>
      <c r="C109" t="s">
        <v>219</v>
      </c>
      <c r="D109" t="s">
        <v>294</v>
      </c>
      <c r="E109" t="s">
        <v>295</v>
      </c>
      <c r="F109" t="s">
        <v>1273</v>
      </c>
      <c r="G109">
        <v>3</v>
      </c>
      <c r="H109" t="s">
        <v>310</v>
      </c>
      <c r="I109">
        <v>5</v>
      </c>
      <c r="J109" s="40">
        <v>271.83</v>
      </c>
      <c r="K109">
        <v>1</v>
      </c>
    </row>
    <row r="110" spans="1:11" x14ac:dyDescent="0.35">
      <c r="A110">
        <v>108</v>
      </c>
      <c r="B110">
        <v>2016</v>
      </c>
      <c r="C110" t="s">
        <v>219</v>
      </c>
      <c r="D110" t="s">
        <v>1280</v>
      </c>
      <c r="E110" t="s">
        <v>1113</v>
      </c>
      <c r="F110" t="s">
        <v>1118</v>
      </c>
      <c r="G110">
        <v>2</v>
      </c>
      <c r="H110" t="s">
        <v>310</v>
      </c>
      <c r="I110">
        <v>5</v>
      </c>
      <c r="J110" s="40">
        <v>274.27999999999997</v>
      </c>
      <c r="K110">
        <v>1</v>
      </c>
    </row>
    <row r="111" spans="1:11" x14ac:dyDescent="0.35">
      <c r="A111">
        <v>109</v>
      </c>
      <c r="B111">
        <v>2016</v>
      </c>
      <c r="C111" t="s">
        <v>219</v>
      </c>
      <c r="D111" t="s">
        <v>1280</v>
      </c>
      <c r="E111" t="s">
        <v>1115</v>
      </c>
      <c r="F111" t="s">
        <v>1128</v>
      </c>
      <c r="G111">
        <v>2</v>
      </c>
      <c r="H111" t="s">
        <v>310</v>
      </c>
      <c r="I111">
        <v>5</v>
      </c>
      <c r="J111" s="40">
        <v>274.27999999999997</v>
      </c>
      <c r="K111">
        <v>1</v>
      </c>
    </row>
    <row r="112" spans="1:11" x14ac:dyDescent="0.35">
      <c r="A112">
        <v>110</v>
      </c>
      <c r="B112">
        <v>2016</v>
      </c>
      <c r="C112" t="s">
        <v>219</v>
      </c>
      <c r="D112" t="s">
        <v>1239</v>
      </c>
      <c r="E112" t="s">
        <v>969</v>
      </c>
      <c r="F112" t="s">
        <v>970</v>
      </c>
      <c r="G112">
        <v>2</v>
      </c>
      <c r="H112" t="s">
        <v>310</v>
      </c>
      <c r="I112">
        <v>6</v>
      </c>
      <c r="J112" s="40">
        <v>276.67</v>
      </c>
      <c r="K112">
        <v>2</v>
      </c>
    </row>
    <row r="113" spans="1:11" x14ac:dyDescent="0.35">
      <c r="A113">
        <v>111</v>
      </c>
      <c r="B113">
        <v>2016</v>
      </c>
      <c r="C113" t="s">
        <v>219</v>
      </c>
      <c r="D113" t="s">
        <v>1239</v>
      </c>
      <c r="E113" t="s">
        <v>963</v>
      </c>
      <c r="F113" t="s">
        <v>964</v>
      </c>
      <c r="G113">
        <v>2</v>
      </c>
      <c r="H113" t="s">
        <v>310</v>
      </c>
      <c r="I113">
        <v>6</v>
      </c>
      <c r="J113" s="40">
        <v>287.36</v>
      </c>
      <c r="K113">
        <v>2</v>
      </c>
    </row>
    <row r="114" spans="1:11" x14ac:dyDescent="0.35">
      <c r="A114">
        <v>112</v>
      </c>
      <c r="B114">
        <v>2016</v>
      </c>
      <c r="C114" t="s">
        <v>219</v>
      </c>
      <c r="D114" t="s">
        <v>1239</v>
      </c>
      <c r="E114" t="s">
        <v>965</v>
      </c>
      <c r="F114" t="s">
        <v>966</v>
      </c>
      <c r="G114">
        <v>2</v>
      </c>
      <c r="H114" t="s">
        <v>310</v>
      </c>
      <c r="I114">
        <v>6</v>
      </c>
      <c r="J114" s="40">
        <v>288.25</v>
      </c>
      <c r="K114">
        <v>2</v>
      </c>
    </row>
    <row r="115" spans="1:11" x14ac:dyDescent="0.35">
      <c r="A115">
        <v>113</v>
      </c>
      <c r="B115">
        <v>2016</v>
      </c>
      <c r="C115" t="s">
        <v>219</v>
      </c>
      <c r="D115" t="s">
        <v>1239</v>
      </c>
      <c r="E115" t="s">
        <v>961</v>
      </c>
      <c r="F115" t="s">
        <v>962</v>
      </c>
      <c r="G115">
        <v>2</v>
      </c>
      <c r="H115" t="s">
        <v>310</v>
      </c>
      <c r="I115">
        <v>6</v>
      </c>
      <c r="J115" s="40">
        <v>288.5</v>
      </c>
      <c r="K115">
        <v>2</v>
      </c>
    </row>
    <row r="116" spans="1:11" x14ac:dyDescent="0.35">
      <c r="A116">
        <v>114</v>
      </c>
      <c r="B116">
        <v>2016</v>
      </c>
      <c r="C116" t="s">
        <v>219</v>
      </c>
      <c r="D116" t="s">
        <v>1134</v>
      </c>
      <c r="E116" t="s">
        <v>1200</v>
      </c>
      <c r="F116" t="s">
        <v>1201</v>
      </c>
      <c r="G116">
        <v>2</v>
      </c>
      <c r="H116" t="s">
        <v>310</v>
      </c>
      <c r="I116">
        <v>6</v>
      </c>
      <c r="J116" s="40">
        <v>295.05</v>
      </c>
      <c r="K116">
        <v>1</v>
      </c>
    </row>
    <row r="117" spans="1:11" x14ac:dyDescent="0.35">
      <c r="A117">
        <v>115</v>
      </c>
      <c r="B117">
        <v>2016</v>
      </c>
      <c r="C117" t="s">
        <v>219</v>
      </c>
      <c r="D117" t="s">
        <v>1239</v>
      </c>
      <c r="E117" t="s">
        <v>973</v>
      </c>
      <c r="F117" t="s">
        <v>1242</v>
      </c>
      <c r="G117">
        <v>2</v>
      </c>
      <c r="H117" t="s">
        <v>310</v>
      </c>
      <c r="I117">
        <v>6</v>
      </c>
      <c r="J117" s="40">
        <v>297.10000000000002</v>
      </c>
      <c r="K117">
        <v>2</v>
      </c>
    </row>
    <row r="118" spans="1:11" x14ac:dyDescent="0.35">
      <c r="A118">
        <v>116</v>
      </c>
      <c r="B118">
        <v>2016</v>
      </c>
      <c r="C118" t="s">
        <v>219</v>
      </c>
      <c r="D118" t="s">
        <v>294</v>
      </c>
      <c r="E118" t="s">
        <v>295</v>
      </c>
      <c r="F118" t="s">
        <v>1273</v>
      </c>
      <c r="G118">
        <v>3</v>
      </c>
      <c r="H118" t="s">
        <v>310</v>
      </c>
      <c r="I118">
        <v>6</v>
      </c>
      <c r="J118" s="40">
        <v>303.27</v>
      </c>
      <c r="K118">
        <v>1</v>
      </c>
    </row>
    <row r="119" spans="1:11" x14ac:dyDescent="0.35">
      <c r="A119">
        <v>117</v>
      </c>
      <c r="B119">
        <v>2016</v>
      </c>
      <c r="C119" t="s">
        <v>219</v>
      </c>
      <c r="D119" t="s">
        <v>1239</v>
      </c>
      <c r="E119" t="s">
        <v>967</v>
      </c>
      <c r="F119" t="s">
        <v>968</v>
      </c>
      <c r="G119">
        <v>2</v>
      </c>
      <c r="H119" t="s">
        <v>310</v>
      </c>
      <c r="I119">
        <v>6</v>
      </c>
      <c r="J119" s="40">
        <v>311.48</v>
      </c>
      <c r="K119">
        <v>2</v>
      </c>
    </row>
    <row r="120" spans="1:11" x14ac:dyDescent="0.35">
      <c r="A120">
        <v>118</v>
      </c>
      <c r="B120">
        <v>2016</v>
      </c>
      <c r="C120" t="s">
        <v>219</v>
      </c>
      <c r="D120" t="s">
        <v>1134</v>
      </c>
      <c r="E120" t="s">
        <v>1213</v>
      </c>
      <c r="F120" t="s">
        <v>1045</v>
      </c>
      <c r="G120">
        <v>2</v>
      </c>
      <c r="H120" t="s">
        <v>310</v>
      </c>
      <c r="I120">
        <v>6</v>
      </c>
      <c r="J120" s="40">
        <v>311.61</v>
      </c>
      <c r="K120">
        <v>1</v>
      </c>
    </row>
    <row r="121" spans="1:11" x14ac:dyDescent="0.35">
      <c r="A121">
        <v>119</v>
      </c>
      <c r="B121">
        <v>2016</v>
      </c>
      <c r="C121" t="s">
        <v>219</v>
      </c>
      <c r="D121" t="s">
        <v>1280</v>
      </c>
      <c r="E121" t="s">
        <v>1114</v>
      </c>
      <c r="F121" t="s">
        <v>1116</v>
      </c>
      <c r="G121">
        <v>2</v>
      </c>
      <c r="H121" t="s">
        <v>310</v>
      </c>
      <c r="I121">
        <v>6</v>
      </c>
      <c r="J121" s="40">
        <v>311.87</v>
      </c>
      <c r="K121">
        <v>1</v>
      </c>
    </row>
    <row r="122" spans="1:11" x14ac:dyDescent="0.35">
      <c r="A122">
        <v>120</v>
      </c>
      <c r="B122">
        <v>2016</v>
      </c>
      <c r="C122" t="s">
        <v>219</v>
      </c>
      <c r="D122" t="s">
        <v>1280</v>
      </c>
      <c r="E122" t="s">
        <v>1113</v>
      </c>
      <c r="F122" t="s">
        <v>1118</v>
      </c>
      <c r="G122">
        <v>2</v>
      </c>
      <c r="H122" t="s">
        <v>310</v>
      </c>
      <c r="I122">
        <v>6</v>
      </c>
      <c r="J122" s="40">
        <v>323.63</v>
      </c>
      <c r="K122">
        <v>1</v>
      </c>
    </row>
    <row r="123" spans="1:11" x14ac:dyDescent="0.35">
      <c r="A123">
        <v>121</v>
      </c>
      <c r="B123">
        <v>2016</v>
      </c>
      <c r="C123" t="s">
        <v>219</v>
      </c>
      <c r="D123" t="s">
        <v>1280</v>
      </c>
      <c r="E123" t="s">
        <v>1115</v>
      </c>
      <c r="F123" t="s">
        <v>1128</v>
      </c>
      <c r="G123">
        <v>2</v>
      </c>
      <c r="H123" t="s">
        <v>310</v>
      </c>
      <c r="I123">
        <v>6</v>
      </c>
      <c r="J123" s="40">
        <v>323.63</v>
      </c>
      <c r="K123">
        <v>1</v>
      </c>
    </row>
    <row r="124" spans="1:11" x14ac:dyDescent="0.35">
      <c r="A124">
        <v>122</v>
      </c>
      <c r="B124">
        <v>2016</v>
      </c>
      <c r="C124" t="s">
        <v>219</v>
      </c>
      <c r="D124" t="s">
        <v>1280</v>
      </c>
      <c r="E124" t="s">
        <v>1114</v>
      </c>
      <c r="F124" t="s">
        <v>1116</v>
      </c>
      <c r="G124">
        <v>2</v>
      </c>
      <c r="H124" t="s">
        <v>310</v>
      </c>
      <c r="I124">
        <v>7</v>
      </c>
      <c r="J124" s="40">
        <v>256.87</v>
      </c>
      <c r="K124">
        <v>1</v>
      </c>
    </row>
    <row r="125" spans="1:11" x14ac:dyDescent="0.35">
      <c r="A125">
        <v>123</v>
      </c>
      <c r="B125">
        <v>2016</v>
      </c>
      <c r="C125" t="s">
        <v>219</v>
      </c>
      <c r="D125" t="s">
        <v>1280</v>
      </c>
      <c r="E125" t="s">
        <v>1113</v>
      </c>
      <c r="F125" t="s">
        <v>1118</v>
      </c>
      <c r="G125">
        <v>2</v>
      </c>
      <c r="H125" t="s">
        <v>310</v>
      </c>
      <c r="I125">
        <v>7</v>
      </c>
      <c r="J125" s="40">
        <v>266.56</v>
      </c>
      <c r="K125">
        <v>1</v>
      </c>
    </row>
    <row r="126" spans="1:11" x14ac:dyDescent="0.35">
      <c r="A126">
        <v>124</v>
      </c>
      <c r="B126">
        <v>2016</v>
      </c>
      <c r="C126" t="s">
        <v>219</v>
      </c>
      <c r="D126" t="s">
        <v>1280</v>
      </c>
      <c r="E126" t="s">
        <v>1115</v>
      </c>
      <c r="F126" t="s">
        <v>1128</v>
      </c>
      <c r="G126">
        <v>2</v>
      </c>
      <c r="H126" t="s">
        <v>310</v>
      </c>
      <c r="I126">
        <v>7</v>
      </c>
      <c r="J126" s="40">
        <v>266.56</v>
      </c>
      <c r="K126">
        <v>1</v>
      </c>
    </row>
    <row r="127" spans="1:11" x14ac:dyDescent="0.35">
      <c r="A127">
        <v>125</v>
      </c>
      <c r="B127">
        <v>2016</v>
      </c>
      <c r="C127" t="s">
        <v>219</v>
      </c>
      <c r="D127" t="s">
        <v>1239</v>
      </c>
      <c r="E127" t="s">
        <v>969</v>
      </c>
      <c r="F127" t="s">
        <v>970</v>
      </c>
      <c r="G127">
        <v>2</v>
      </c>
      <c r="H127" t="s">
        <v>310</v>
      </c>
      <c r="I127">
        <v>7</v>
      </c>
      <c r="J127" s="40">
        <v>283.83</v>
      </c>
      <c r="K127">
        <v>2</v>
      </c>
    </row>
    <row r="128" spans="1:11" x14ac:dyDescent="0.35">
      <c r="A128">
        <v>126</v>
      </c>
      <c r="B128">
        <v>2016</v>
      </c>
      <c r="C128" t="s">
        <v>219</v>
      </c>
      <c r="D128" t="s">
        <v>304</v>
      </c>
      <c r="E128" t="s">
        <v>916</v>
      </c>
      <c r="F128" t="s">
        <v>917</v>
      </c>
      <c r="G128">
        <v>1</v>
      </c>
      <c r="H128" t="s">
        <v>310</v>
      </c>
      <c r="I128">
        <v>7</v>
      </c>
      <c r="J128" s="40">
        <v>289.39999999999998</v>
      </c>
      <c r="K128">
        <v>4</v>
      </c>
    </row>
    <row r="129" spans="1:11" x14ac:dyDescent="0.35">
      <c r="A129">
        <v>127</v>
      </c>
      <c r="B129">
        <v>2016</v>
      </c>
      <c r="C129" t="s">
        <v>219</v>
      </c>
      <c r="D129" t="s">
        <v>304</v>
      </c>
      <c r="E129" t="s">
        <v>307</v>
      </c>
      <c r="F129" t="s">
        <v>904</v>
      </c>
      <c r="G129">
        <v>1</v>
      </c>
      <c r="H129" t="s">
        <v>310</v>
      </c>
      <c r="I129">
        <v>7</v>
      </c>
      <c r="J129" s="40">
        <v>290.73</v>
      </c>
      <c r="K129">
        <v>4</v>
      </c>
    </row>
    <row r="130" spans="1:11" x14ac:dyDescent="0.35">
      <c r="A130">
        <v>128</v>
      </c>
      <c r="B130">
        <v>2016</v>
      </c>
      <c r="C130" t="s">
        <v>219</v>
      </c>
      <c r="D130" t="s">
        <v>304</v>
      </c>
      <c r="E130" t="s">
        <v>898</v>
      </c>
      <c r="F130" t="s">
        <v>899</v>
      </c>
      <c r="G130">
        <v>1</v>
      </c>
      <c r="H130" t="s">
        <v>310</v>
      </c>
      <c r="I130">
        <v>7</v>
      </c>
      <c r="J130" s="40">
        <v>290.89999999999998</v>
      </c>
      <c r="K130">
        <v>4</v>
      </c>
    </row>
    <row r="131" spans="1:11" x14ac:dyDescent="0.35">
      <c r="A131">
        <v>129</v>
      </c>
      <c r="B131">
        <v>2016</v>
      </c>
      <c r="C131" t="s">
        <v>219</v>
      </c>
      <c r="D131" t="s">
        <v>304</v>
      </c>
      <c r="E131" t="s">
        <v>305</v>
      </c>
      <c r="F131" t="s">
        <v>913</v>
      </c>
      <c r="G131">
        <v>1</v>
      </c>
      <c r="H131" t="s">
        <v>310</v>
      </c>
      <c r="I131">
        <v>7</v>
      </c>
      <c r="J131" s="40">
        <v>290.99</v>
      </c>
      <c r="K131">
        <v>4</v>
      </c>
    </row>
    <row r="132" spans="1:11" x14ac:dyDescent="0.35">
      <c r="A132">
        <v>130</v>
      </c>
      <c r="B132">
        <v>2016</v>
      </c>
      <c r="C132" t="s">
        <v>219</v>
      </c>
      <c r="D132" t="s">
        <v>1239</v>
      </c>
      <c r="E132" t="s">
        <v>963</v>
      </c>
      <c r="F132" t="s">
        <v>964</v>
      </c>
      <c r="G132">
        <v>2</v>
      </c>
      <c r="H132" t="s">
        <v>310</v>
      </c>
      <c r="I132">
        <v>7</v>
      </c>
      <c r="J132" s="40">
        <v>294.8</v>
      </c>
      <c r="K132">
        <v>2</v>
      </c>
    </row>
    <row r="133" spans="1:11" x14ac:dyDescent="0.35">
      <c r="A133">
        <v>131</v>
      </c>
      <c r="B133">
        <v>2016</v>
      </c>
      <c r="C133" t="s">
        <v>219</v>
      </c>
      <c r="D133" t="s">
        <v>1239</v>
      </c>
      <c r="E133" t="s">
        <v>965</v>
      </c>
      <c r="F133" t="s">
        <v>966</v>
      </c>
      <c r="G133">
        <v>2</v>
      </c>
      <c r="H133" t="s">
        <v>310</v>
      </c>
      <c r="I133">
        <v>7</v>
      </c>
      <c r="J133" s="40">
        <v>295.70999999999998</v>
      </c>
      <c r="K133">
        <v>2</v>
      </c>
    </row>
    <row r="134" spans="1:11" x14ac:dyDescent="0.35">
      <c r="A134">
        <v>132</v>
      </c>
      <c r="B134">
        <v>2016</v>
      </c>
      <c r="C134" t="s">
        <v>219</v>
      </c>
      <c r="D134" t="s">
        <v>1239</v>
      </c>
      <c r="E134" t="s">
        <v>961</v>
      </c>
      <c r="F134" t="s">
        <v>962</v>
      </c>
      <c r="G134">
        <v>2</v>
      </c>
      <c r="H134" t="s">
        <v>310</v>
      </c>
      <c r="I134">
        <v>7</v>
      </c>
      <c r="J134" s="40">
        <v>295.98</v>
      </c>
      <c r="K134">
        <v>2</v>
      </c>
    </row>
    <row r="135" spans="1:11" x14ac:dyDescent="0.35">
      <c r="A135">
        <v>133</v>
      </c>
      <c r="B135">
        <v>2016</v>
      </c>
      <c r="C135" t="s">
        <v>219</v>
      </c>
      <c r="D135" t="s">
        <v>1239</v>
      </c>
      <c r="E135" t="s">
        <v>973</v>
      </c>
      <c r="F135" t="s">
        <v>1242</v>
      </c>
      <c r="G135">
        <v>2</v>
      </c>
      <c r="H135" t="s">
        <v>310</v>
      </c>
      <c r="I135">
        <v>7</v>
      </c>
      <c r="J135" s="40">
        <v>304.79000000000002</v>
      </c>
      <c r="K135">
        <v>2</v>
      </c>
    </row>
    <row r="136" spans="1:11" x14ac:dyDescent="0.35">
      <c r="A136">
        <v>134</v>
      </c>
      <c r="B136">
        <v>2016</v>
      </c>
      <c r="C136" t="s">
        <v>219</v>
      </c>
      <c r="D136" t="s">
        <v>1239</v>
      </c>
      <c r="E136" t="s">
        <v>967</v>
      </c>
      <c r="F136" t="s">
        <v>968</v>
      </c>
      <c r="G136">
        <v>2</v>
      </c>
      <c r="H136" t="s">
        <v>310</v>
      </c>
      <c r="I136">
        <v>7</v>
      </c>
      <c r="J136" s="40">
        <v>319.54000000000002</v>
      </c>
      <c r="K136">
        <v>2</v>
      </c>
    </row>
    <row r="137" spans="1:11" x14ac:dyDescent="0.35">
      <c r="A137">
        <v>135</v>
      </c>
      <c r="B137">
        <v>2016</v>
      </c>
      <c r="C137" t="s">
        <v>219</v>
      </c>
      <c r="D137" t="s">
        <v>1217</v>
      </c>
      <c r="E137" t="s">
        <v>1224</v>
      </c>
      <c r="F137" t="s">
        <v>1123</v>
      </c>
      <c r="G137">
        <v>2</v>
      </c>
      <c r="H137" t="s">
        <v>310</v>
      </c>
      <c r="I137">
        <v>8</v>
      </c>
      <c r="J137" s="40">
        <v>233.41</v>
      </c>
      <c r="K137">
        <v>4</v>
      </c>
    </row>
    <row r="138" spans="1:11" x14ac:dyDescent="0.35">
      <c r="A138">
        <v>136</v>
      </c>
      <c r="B138">
        <v>2016</v>
      </c>
      <c r="C138" t="s">
        <v>219</v>
      </c>
      <c r="D138" t="s">
        <v>1217</v>
      </c>
      <c r="E138" t="s">
        <v>1216</v>
      </c>
      <c r="F138" t="s">
        <v>1119</v>
      </c>
      <c r="G138">
        <v>2</v>
      </c>
      <c r="H138" t="s">
        <v>310</v>
      </c>
      <c r="I138">
        <v>8</v>
      </c>
      <c r="J138" s="40">
        <v>237.38</v>
      </c>
      <c r="K138">
        <v>4</v>
      </c>
    </row>
    <row r="139" spans="1:11" x14ac:dyDescent="0.35">
      <c r="A139">
        <v>137</v>
      </c>
      <c r="B139">
        <v>2016</v>
      </c>
      <c r="C139" t="s">
        <v>219</v>
      </c>
      <c r="D139" t="s">
        <v>1217</v>
      </c>
      <c r="E139" t="s">
        <v>1225</v>
      </c>
      <c r="F139" t="s">
        <v>1124</v>
      </c>
      <c r="G139">
        <v>2</v>
      </c>
      <c r="H139" t="s">
        <v>310</v>
      </c>
      <c r="I139">
        <v>8</v>
      </c>
      <c r="J139" s="40">
        <v>239.21</v>
      </c>
      <c r="K139">
        <v>4</v>
      </c>
    </row>
    <row r="140" spans="1:11" x14ac:dyDescent="0.35">
      <c r="A140">
        <v>138</v>
      </c>
      <c r="B140">
        <v>2016</v>
      </c>
      <c r="C140" t="s">
        <v>219</v>
      </c>
      <c r="D140" t="s">
        <v>1134</v>
      </c>
      <c r="E140" t="s">
        <v>1194</v>
      </c>
      <c r="F140" t="s">
        <v>1195</v>
      </c>
      <c r="G140">
        <v>2</v>
      </c>
      <c r="H140" t="s">
        <v>310</v>
      </c>
      <c r="I140">
        <v>8</v>
      </c>
      <c r="J140" s="40">
        <v>242.09</v>
      </c>
      <c r="K140">
        <v>1</v>
      </c>
    </row>
    <row r="141" spans="1:11" x14ac:dyDescent="0.35">
      <c r="A141">
        <v>139</v>
      </c>
      <c r="B141">
        <v>2016</v>
      </c>
      <c r="C141" t="s">
        <v>219</v>
      </c>
      <c r="D141" t="s">
        <v>1217</v>
      </c>
      <c r="E141" t="s">
        <v>1218</v>
      </c>
      <c r="F141" t="s">
        <v>1120</v>
      </c>
      <c r="G141">
        <v>2</v>
      </c>
      <c r="H141" t="s">
        <v>310</v>
      </c>
      <c r="I141">
        <v>8</v>
      </c>
      <c r="J141" s="40">
        <v>243.27</v>
      </c>
      <c r="K141">
        <v>4</v>
      </c>
    </row>
    <row r="142" spans="1:11" x14ac:dyDescent="0.35">
      <c r="A142">
        <v>140</v>
      </c>
      <c r="B142">
        <v>2016</v>
      </c>
      <c r="C142" t="s">
        <v>219</v>
      </c>
      <c r="D142" t="s">
        <v>1217</v>
      </c>
      <c r="E142" t="s">
        <v>1220</v>
      </c>
      <c r="F142" t="s">
        <v>1121</v>
      </c>
      <c r="G142">
        <v>2</v>
      </c>
      <c r="H142" t="s">
        <v>310</v>
      </c>
      <c r="I142">
        <v>8</v>
      </c>
      <c r="J142" s="40">
        <v>244.85</v>
      </c>
      <c r="K142">
        <v>4</v>
      </c>
    </row>
    <row r="143" spans="1:11" x14ac:dyDescent="0.35">
      <c r="A143">
        <v>141</v>
      </c>
      <c r="B143">
        <v>2016</v>
      </c>
      <c r="C143" t="s">
        <v>219</v>
      </c>
      <c r="D143" t="s">
        <v>1217</v>
      </c>
      <c r="E143" t="s">
        <v>1221</v>
      </c>
      <c r="F143" t="s">
        <v>1122</v>
      </c>
      <c r="G143">
        <v>2</v>
      </c>
      <c r="H143" t="s">
        <v>310</v>
      </c>
      <c r="I143">
        <v>8</v>
      </c>
      <c r="J143" s="40">
        <v>250.93</v>
      </c>
      <c r="K143">
        <v>4</v>
      </c>
    </row>
    <row r="144" spans="1:11" x14ac:dyDescent="0.35">
      <c r="A144">
        <v>142</v>
      </c>
      <c r="B144">
        <v>2016</v>
      </c>
      <c r="C144" t="s">
        <v>219</v>
      </c>
      <c r="D144" t="s">
        <v>1217</v>
      </c>
      <c r="E144" t="s">
        <v>1226</v>
      </c>
      <c r="F144" t="s">
        <v>1130</v>
      </c>
      <c r="G144">
        <v>2</v>
      </c>
      <c r="H144" t="s">
        <v>310</v>
      </c>
      <c r="I144">
        <v>8</v>
      </c>
      <c r="J144" s="40">
        <v>254.23</v>
      </c>
      <c r="K144">
        <v>4</v>
      </c>
    </row>
    <row r="145" spans="1:11" x14ac:dyDescent="0.35">
      <c r="A145">
        <v>143</v>
      </c>
      <c r="B145">
        <v>2016</v>
      </c>
      <c r="C145" t="s">
        <v>219</v>
      </c>
      <c r="D145" t="s">
        <v>1134</v>
      </c>
      <c r="E145" t="s">
        <v>1210</v>
      </c>
      <c r="F145" t="s">
        <v>1037</v>
      </c>
      <c r="G145">
        <v>2</v>
      </c>
      <c r="H145" t="s">
        <v>310</v>
      </c>
      <c r="I145">
        <v>8</v>
      </c>
      <c r="J145" s="40">
        <v>255.69</v>
      </c>
      <c r="K145">
        <v>1</v>
      </c>
    </row>
    <row r="146" spans="1:11" x14ac:dyDescent="0.35">
      <c r="A146">
        <v>144</v>
      </c>
      <c r="B146">
        <v>2016</v>
      </c>
      <c r="C146" t="s">
        <v>219</v>
      </c>
      <c r="D146" t="s">
        <v>1217</v>
      </c>
      <c r="E146" t="s">
        <v>1219</v>
      </c>
      <c r="F146" t="s">
        <v>1129</v>
      </c>
      <c r="G146">
        <v>2</v>
      </c>
      <c r="H146" t="s">
        <v>310</v>
      </c>
      <c r="I146">
        <v>8</v>
      </c>
      <c r="J146" s="40">
        <v>258.55</v>
      </c>
      <c r="K146">
        <v>4</v>
      </c>
    </row>
    <row r="147" spans="1:11" x14ac:dyDescent="0.35">
      <c r="A147">
        <v>145</v>
      </c>
      <c r="B147">
        <v>2016</v>
      </c>
      <c r="C147" t="s">
        <v>219</v>
      </c>
      <c r="D147" t="s">
        <v>1239</v>
      </c>
      <c r="E147" t="s">
        <v>969</v>
      </c>
      <c r="F147" t="s">
        <v>970</v>
      </c>
      <c r="G147">
        <v>2</v>
      </c>
      <c r="H147" t="s">
        <v>310</v>
      </c>
      <c r="I147">
        <v>8</v>
      </c>
      <c r="J147" s="40">
        <v>261.23</v>
      </c>
      <c r="K147">
        <v>2</v>
      </c>
    </row>
    <row r="148" spans="1:11" x14ac:dyDescent="0.35">
      <c r="A148">
        <v>146</v>
      </c>
      <c r="B148">
        <v>2016</v>
      </c>
      <c r="C148" t="s">
        <v>219</v>
      </c>
      <c r="D148" t="s">
        <v>297</v>
      </c>
      <c r="E148" t="s">
        <v>298</v>
      </c>
      <c r="F148" t="s">
        <v>1279</v>
      </c>
      <c r="G148">
        <v>2</v>
      </c>
      <c r="H148" t="s">
        <v>310</v>
      </c>
      <c r="I148">
        <v>8</v>
      </c>
      <c r="J148" s="40">
        <v>262.74</v>
      </c>
      <c r="K148">
        <v>1</v>
      </c>
    </row>
    <row r="149" spans="1:11" x14ac:dyDescent="0.35">
      <c r="A149">
        <v>147</v>
      </c>
      <c r="B149">
        <v>2016</v>
      </c>
      <c r="C149" t="s">
        <v>219</v>
      </c>
      <c r="D149" t="s">
        <v>297</v>
      </c>
      <c r="E149" t="s">
        <v>300</v>
      </c>
      <c r="F149" t="s">
        <v>301</v>
      </c>
      <c r="G149">
        <v>2</v>
      </c>
      <c r="H149" t="s">
        <v>310</v>
      </c>
      <c r="I149">
        <v>8</v>
      </c>
      <c r="J149" s="40">
        <v>263.5</v>
      </c>
      <c r="K149">
        <v>1</v>
      </c>
    </row>
    <row r="150" spans="1:11" x14ac:dyDescent="0.35">
      <c r="A150">
        <v>148</v>
      </c>
      <c r="B150">
        <v>2016</v>
      </c>
      <c r="C150" t="s">
        <v>219</v>
      </c>
      <c r="D150" t="s">
        <v>1217</v>
      </c>
      <c r="E150" t="s">
        <v>1222</v>
      </c>
      <c r="F150" t="s">
        <v>1223</v>
      </c>
      <c r="G150">
        <v>2</v>
      </c>
      <c r="H150" t="s">
        <v>310</v>
      </c>
      <c r="I150">
        <v>8</v>
      </c>
      <c r="J150" s="40">
        <v>266.68</v>
      </c>
      <c r="K150">
        <v>4</v>
      </c>
    </row>
    <row r="151" spans="1:11" x14ac:dyDescent="0.35">
      <c r="A151">
        <v>149</v>
      </c>
      <c r="B151">
        <v>2016</v>
      </c>
      <c r="C151" t="s">
        <v>219</v>
      </c>
      <c r="D151" t="s">
        <v>1239</v>
      </c>
      <c r="E151" t="s">
        <v>963</v>
      </c>
      <c r="F151" t="s">
        <v>964</v>
      </c>
      <c r="G151">
        <v>2</v>
      </c>
      <c r="H151" t="s">
        <v>310</v>
      </c>
      <c r="I151">
        <v>8</v>
      </c>
      <c r="J151" s="40">
        <v>271.33</v>
      </c>
      <c r="K151">
        <v>2</v>
      </c>
    </row>
    <row r="152" spans="1:11" x14ac:dyDescent="0.35">
      <c r="A152">
        <v>150</v>
      </c>
      <c r="B152">
        <v>2016</v>
      </c>
      <c r="C152" t="s">
        <v>219</v>
      </c>
      <c r="D152" t="s">
        <v>1239</v>
      </c>
      <c r="E152" t="s">
        <v>965</v>
      </c>
      <c r="F152" t="s">
        <v>966</v>
      </c>
      <c r="G152">
        <v>2</v>
      </c>
      <c r="H152" t="s">
        <v>310</v>
      </c>
      <c r="I152">
        <v>8</v>
      </c>
      <c r="J152" s="40">
        <v>272.17</v>
      </c>
      <c r="K152">
        <v>2</v>
      </c>
    </row>
    <row r="153" spans="1:11" x14ac:dyDescent="0.35">
      <c r="A153">
        <v>151</v>
      </c>
      <c r="B153">
        <v>2016</v>
      </c>
      <c r="C153" t="s">
        <v>219</v>
      </c>
      <c r="D153" t="s">
        <v>1239</v>
      </c>
      <c r="E153" t="s">
        <v>961</v>
      </c>
      <c r="F153" t="s">
        <v>962</v>
      </c>
      <c r="G153">
        <v>2</v>
      </c>
      <c r="H153" t="s">
        <v>310</v>
      </c>
      <c r="I153">
        <v>8</v>
      </c>
      <c r="J153" s="40">
        <v>272.41000000000003</v>
      </c>
      <c r="K153">
        <v>2</v>
      </c>
    </row>
    <row r="154" spans="1:11" x14ac:dyDescent="0.35">
      <c r="A154">
        <v>152</v>
      </c>
      <c r="B154">
        <v>2016</v>
      </c>
      <c r="C154" t="s">
        <v>219</v>
      </c>
      <c r="D154" t="s">
        <v>297</v>
      </c>
      <c r="E154" t="s">
        <v>302</v>
      </c>
      <c r="F154" t="s">
        <v>303</v>
      </c>
      <c r="G154">
        <v>2</v>
      </c>
      <c r="H154" t="s">
        <v>310</v>
      </c>
      <c r="I154">
        <v>8</v>
      </c>
      <c r="J154" s="40">
        <v>276.5</v>
      </c>
      <c r="K154">
        <v>1</v>
      </c>
    </row>
    <row r="155" spans="1:11" x14ac:dyDescent="0.35">
      <c r="A155">
        <v>153</v>
      </c>
      <c r="B155">
        <v>2016</v>
      </c>
      <c r="C155" t="s">
        <v>219</v>
      </c>
      <c r="D155" t="s">
        <v>1239</v>
      </c>
      <c r="E155" t="s">
        <v>973</v>
      </c>
      <c r="F155" t="s">
        <v>1242</v>
      </c>
      <c r="G155">
        <v>2</v>
      </c>
      <c r="H155" t="s">
        <v>310</v>
      </c>
      <c r="I155">
        <v>8</v>
      </c>
      <c r="J155" s="40">
        <v>280.52</v>
      </c>
      <c r="K155">
        <v>2</v>
      </c>
    </row>
    <row r="156" spans="1:11" x14ac:dyDescent="0.35">
      <c r="A156">
        <v>154</v>
      </c>
      <c r="B156">
        <v>2016</v>
      </c>
      <c r="C156" t="s">
        <v>219</v>
      </c>
      <c r="D156" t="s">
        <v>1280</v>
      </c>
      <c r="E156" t="s">
        <v>1114</v>
      </c>
      <c r="F156" t="s">
        <v>1116</v>
      </c>
      <c r="G156">
        <v>2</v>
      </c>
      <c r="H156" t="s">
        <v>310</v>
      </c>
      <c r="I156">
        <v>8</v>
      </c>
      <c r="J156" s="40">
        <v>282.75</v>
      </c>
      <c r="K156">
        <v>1</v>
      </c>
    </row>
    <row r="157" spans="1:11" x14ac:dyDescent="0.35">
      <c r="A157">
        <v>155</v>
      </c>
      <c r="B157">
        <v>2016</v>
      </c>
      <c r="C157" t="s">
        <v>219</v>
      </c>
      <c r="D157" t="s">
        <v>294</v>
      </c>
      <c r="E157" t="s">
        <v>295</v>
      </c>
      <c r="F157" t="s">
        <v>1273</v>
      </c>
      <c r="G157">
        <v>3</v>
      </c>
      <c r="H157" t="s">
        <v>310</v>
      </c>
      <c r="I157">
        <v>8</v>
      </c>
      <c r="J157" s="40">
        <v>284.92</v>
      </c>
      <c r="K157">
        <v>1</v>
      </c>
    </row>
    <row r="158" spans="1:11" x14ac:dyDescent="0.35">
      <c r="A158">
        <v>156</v>
      </c>
      <c r="B158">
        <v>2016</v>
      </c>
      <c r="C158" t="s">
        <v>219</v>
      </c>
      <c r="D158" t="s">
        <v>294</v>
      </c>
      <c r="E158" t="s">
        <v>309</v>
      </c>
      <c r="F158" t="s">
        <v>1271</v>
      </c>
      <c r="G158">
        <v>2</v>
      </c>
      <c r="H158" t="s">
        <v>310</v>
      </c>
      <c r="I158">
        <v>8</v>
      </c>
      <c r="J158" s="40">
        <v>291.48</v>
      </c>
      <c r="K158">
        <v>1</v>
      </c>
    </row>
    <row r="159" spans="1:11" x14ac:dyDescent="0.35">
      <c r="A159">
        <v>157</v>
      </c>
      <c r="B159">
        <v>2016</v>
      </c>
      <c r="C159" t="s">
        <v>219</v>
      </c>
      <c r="D159" t="s">
        <v>1280</v>
      </c>
      <c r="E159" t="s">
        <v>1113</v>
      </c>
      <c r="F159" t="s">
        <v>1118</v>
      </c>
      <c r="G159">
        <v>2</v>
      </c>
      <c r="H159" t="s">
        <v>310</v>
      </c>
      <c r="I159">
        <v>8</v>
      </c>
      <c r="J159" s="40">
        <v>293.42</v>
      </c>
      <c r="K159">
        <v>1</v>
      </c>
    </row>
    <row r="160" spans="1:11" x14ac:dyDescent="0.35">
      <c r="A160">
        <v>158</v>
      </c>
      <c r="B160">
        <v>2016</v>
      </c>
      <c r="C160" t="s">
        <v>219</v>
      </c>
      <c r="D160" t="s">
        <v>1280</v>
      </c>
      <c r="E160" t="s">
        <v>1115</v>
      </c>
      <c r="F160" t="s">
        <v>1128</v>
      </c>
      <c r="G160">
        <v>2</v>
      </c>
      <c r="H160" t="s">
        <v>310</v>
      </c>
      <c r="I160">
        <v>8</v>
      </c>
      <c r="J160" s="40">
        <v>293.42</v>
      </c>
      <c r="K160">
        <v>1</v>
      </c>
    </row>
    <row r="161" spans="1:11" x14ac:dyDescent="0.35">
      <c r="A161">
        <v>159</v>
      </c>
      <c r="B161">
        <v>2016</v>
      </c>
      <c r="C161" t="s">
        <v>219</v>
      </c>
      <c r="D161" t="s">
        <v>1239</v>
      </c>
      <c r="E161" t="s">
        <v>967</v>
      </c>
      <c r="F161" t="s">
        <v>968</v>
      </c>
      <c r="G161">
        <v>2</v>
      </c>
      <c r="H161" t="s">
        <v>310</v>
      </c>
      <c r="I161">
        <v>8</v>
      </c>
      <c r="J161" s="40">
        <v>294.08999999999997</v>
      </c>
      <c r="K161">
        <v>2</v>
      </c>
    </row>
    <row r="162" spans="1:11" x14ac:dyDescent="0.35">
      <c r="A162">
        <v>160</v>
      </c>
      <c r="B162">
        <v>2016</v>
      </c>
      <c r="C162" t="s">
        <v>219</v>
      </c>
      <c r="D162" t="s">
        <v>1239</v>
      </c>
      <c r="E162" t="s">
        <v>969</v>
      </c>
      <c r="F162" t="s">
        <v>970</v>
      </c>
      <c r="G162">
        <v>2</v>
      </c>
      <c r="H162" t="s">
        <v>310</v>
      </c>
      <c r="I162">
        <v>9</v>
      </c>
      <c r="J162" s="40">
        <v>263.99</v>
      </c>
      <c r="K162">
        <v>2</v>
      </c>
    </row>
    <row r="163" spans="1:11" x14ac:dyDescent="0.35">
      <c r="A163">
        <v>161</v>
      </c>
      <c r="B163">
        <v>2016</v>
      </c>
      <c r="C163" t="s">
        <v>219</v>
      </c>
      <c r="D163" t="s">
        <v>304</v>
      </c>
      <c r="E163" t="s">
        <v>916</v>
      </c>
      <c r="F163" t="s">
        <v>917</v>
      </c>
      <c r="G163">
        <v>1</v>
      </c>
      <c r="H163" t="s">
        <v>310</v>
      </c>
      <c r="I163">
        <v>9</v>
      </c>
      <c r="J163" s="40">
        <v>271.01</v>
      </c>
      <c r="K163">
        <v>4</v>
      </c>
    </row>
    <row r="164" spans="1:11" x14ac:dyDescent="0.35">
      <c r="A164">
        <v>162</v>
      </c>
      <c r="B164">
        <v>2016</v>
      </c>
      <c r="C164" t="s">
        <v>219</v>
      </c>
      <c r="D164" t="s">
        <v>304</v>
      </c>
      <c r="E164" t="s">
        <v>307</v>
      </c>
      <c r="F164" t="s">
        <v>904</v>
      </c>
      <c r="G164">
        <v>1</v>
      </c>
      <c r="H164" t="s">
        <v>310</v>
      </c>
      <c r="I164">
        <v>9</v>
      </c>
      <c r="J164" s="40">
        <v>272.26</v>
      </c>
      <c r="K164">
        <v>4</v>
      </c>
    </row>
    <row r="165" spans="1:11" x14ac:dyDescent="0.35">
      <c r="A165">
        <v>163</v>
      </c>
      <c r="B165">
        <v>2016</v>
      </c>
      <c r="C165" t="s">
        <v>219</v>
      </c>
      <c r="D165" t="s">
        <v>304</v>
      </c>
      <c r="E165" t="s">
        <v>898</v>
      </c>
      <c r="F165" t="s">
        <v>899</v>
      </c>
      <c r="G165">
        <v>1</v>
      </c>
      <c r="H165" t="s">
        <v>310</v>
      </c>
      <c r="I165">
        <v>9</v>
      </c>
      <c r="J165" s="40">
        <v>272.41000000000003</v>
      </c>
      <c r="K165">
        <v>4</v>
      </c>
    </row>
    <row r="166" spans="1:11" x14ac:dyDescent="0.35">
      <c r="A166">
        <v>164</v>
      </c>
      <c r="B166">
        <v>2016</v>
      </c>
      <c r="C166" t="s">
        <v>219</v>
      </c>
      <c r="D166" t="s">
        <v>304</v>
      </c>
      <c r="E166" t="s">
        <v>305</v>
      </c>
      <c r="F166" t="s">
        <v>913</v>
      </c>
      <c r="G166">
        <v>1</v>
      </c>
      <c r="H166" t="s">
        <v>310</v>
      </c>
      <c r="I166">
        <v>9</v>
      </c>
      <c r="J166" s="40">
        <v>272.5</v>
      </c>
      <c r="K166">
        <v>4</v>
      </c>
    </row>
    <row r="167" spans="1:11" x14ac:dyDescent="0.35">
      <c r="A167">
        <v>165</v>
      </c>
      <c r="B167">
        <v>2016</v>
      </c>
      <c r="C167" t="s">
        <v>219</v>
      </c>
      <c r="D167" t="s">
        <v>1239</v>
      </c>
      <c r="E167" t="s">
        <v>963</v>
      </c>
      <c r="F167" t="s">
        <v>964</v>
      </c>
      <c r="G167">
        <v>2</v>
      </c>
      <c r="H167" t="s">
        <v>310</v>
      </c>
      <c r="I167">
        <v>9</v>
      </c>
      <c r="J167" s="40">
        <v>274.19</v>
      </c>
      <c r="K167">
        <v>2</v>
      </c>
    </row>
    <row r="168" spans="1:11" x14ac:dyDescent="0.35">
      <c r="A168">
        <v>166</v>
      </c>
      <c r="B168">
        <v>2016</v>
      </c>
      <c r="C168" t="s">
        <v>219</v>
      </c>
      <c r="D168" t="s">
        <v>1239</v>
      </c>
      <c r="E168" t="s">
        <v>965</v>
      </c>
      <c r="F168" t="s">
        <v>966</v>
      </c>
      <c r="G168">
        <v>2</v>
      </c>
      <c r="H168" t="s">
        <v>310</v>
      </c>
      <c r="I168">
        <v>9</v>
      </c>
      <c r="J168" s="40">
        <v>275.05</v>
      </c>
      <c r="K168">
        <v>2</v>
      </c>
    </row>
    <row r="169" spans="1:11" x14ac:dyDescent="0.35">
      <c r="A169">
        <v>167</v>
      </c>
      <c r="B169">
        <v>2016</v>
      </c>
      <c r="C169" t="s">
        <v>219</v>
      </c>
      <c r="D169" t="s">
        <v>1239</v>
      </c>
      <c r="E169" t="s">
        <v>961</v>
      </c>
      <c r="F169" t="s">
        <v>962</v>
      </c>
      <c r="G169">
        <v>2</v>
      </c>
      <c r="H169" t="s">
        <v>310</v>
      </c>
      <c r="I169">
        <v>9</v>
      </c>
      <c r="J169" s="40">
        <v>275.29000000000002</v>
      </c>
      <c r="K169">
        <v>2</v>
      </c>
    </row>
    <row r="170" spans="1:11" x14ac:dyDescent="0.35">
      <c r="A170">
        <v>168</v>
      </c>
      <c r="B170">
        <v>2016</v>
      </c>
      <c r="C170" t="s">
        <v>219</v>
      </c>
      <c r="D170" t="s">
        <v>1239</v>
      </c>
      <c r="E170" t="s">
        <v>973</v>
      </c>
      <c r="F170" t="s">
        <v>1242</v>
      </c>
      <c r="G170">
        <v>2</v>
      </c>
      <c r="H170" t="s">
        <v>310</v>
      </c>
      <c r="I170">
        <v>9</v>
      </c>
      <c r="J170" s="40">
        <v>283.48</v>
      </c>
      <c r="K170">
        <v>2</v>
      </c>
    </row>
    <row r="171" spans="1:11" x14ac:dyDescent="0.35">
      <c r="A171">
        <v>169</v>
      </c>
      <c r="B171">
        <v>2016</v>
      </c>
      <c r="C171" t="s">
        <v>219</v>
      </c>
      <c r="D171" t="s">
        <v>1239</v>
      </c>
      <c r="E171" t="s">
        <v>967</v>
      </c>
      <c r="F171" t="s">
        <v>968</v>
      </c>
      <c r="G171">
        <v>2</v>
      </c>
      <c r="H171" t="s">
        <v>310</v>
      </c>
      <c r="I171">
        <v>9</v>
      </c>
      <c r="J171" s="40">
        <v>297.19</v>
      </c>
      <c r="K171">
        <v>2</v>
      </c>
    </row>
    <row r="172" spans="1:11" x14ac:dyDescent="0.35">
      <c r="A172">
        <v>170</v>
      </c>
      <c r="B172">
        <v>2016</v>
      </c>
      <c r="C172" t="s">
        <v>219</v>
      </c>
      <c r="D172" t="s">
        <v>1280</v>
      </c>
      <c r="E172" t="s">
        <v>1114</v>
      </c>
      <c r="F172" t="s">
        <v>1116</v>
      </c>
      <c r="G172">
        <v>2</v>
      </c>
      <c r="H172" t="s">
        <v>310</v>
      </c>
      <c r="I172">
        <v>9</v>
      </c>
      <c r="J172" s="40">
        <v>311.22000000000003</v>
      </c>
      <c r="K172">
        <v>1</v>
      </c>
    </row>
    <row r="173" spans="1:11" x14ac:dyDescent="0.35">
      <c r="A173">
        <v>171</v>
      </c>
      <c r="B173">
        <v>2016</v>
      </c>
      <c r="C173" t="s">
        <v>219</v>
      </c>
      <c r="D173" t="s">
        <v>1280</v>
      </c>
      <c r="E173" t="s">
        <v>1113</v>
      </c>
      <c r="F173" t="s">
        <v>1118</v>
      </c>
      <c r="G173">
        <v>2</v>
      </c>
      <c r="H173" t="s">
        <v>310</v>
      </c>
      <c r="I173">
        <v>9</v>
      </c>
      <c r="J173" s="40">
        <v>322.95999999999998</v>
      </c>
      <c r="K173">
        <v>1</v>
      </c>
    </row>
    <row r="174" spans="1:11" x14ac:dyDescent="0.35">
      <c r="A174">
        <v>172</v>
      </c>
      <c r="B174">
        <v>2016</v>
      </c>
      <c r="C174" t="s">
        <v>219</v>
      </c>
      <c r="D174" t="s">
        <v>1280</v>
      </c>
      <c r="E174" t="s">
        <v>1115</v>
      </c>
      <c r="F174" t="s">
        <v>1128</v>
      </c>
      <c r="G174">
        <v>2</v>
      </c>
      <c r="H174" t="s">
        <v>310</v>
      </c>
      <c r="I174">
        <v>9</v>
      </c>
      <c r="J174" s="40">
        <v>322.95999999999998</v>
      </c>
      <c r="K174">
        <v>1</v>
      </c>
    </row>
    <row r="175" spans="1:11" x14ac:dyDescent="0.35">
      <c r="A175">
        <v>173</v>
      </c>
      <c r="B175">
        <v>2016</v>
      </c>
      <c r="C175" t="s">
        <v>219</v>
      </c>
      <c r="D175" t="s">
        <v>294</v>
      </c>
      <c r="E175" t="s">
        <v>295</v>
      </c>
      <c r="F175" t="s">
        <v>1273</v>
      </c>
      <c r="G175">
        <v>3</v>
      </c>
      <c r="H175" t="s">
        <v>310</v>
      </c>
      <c r="I175">
        <v>9</v>
      </c>
      <c r="J175" s="40">
        <v>353.16</v>
      </c>
      <c r="K175">
        <v>1</v>
      </c>
    </row>
    <row r="176" spans="1:11" x14ac:dyDescent="0.35">
      <c r="A176">
        <v>174</v>
      </c>
      <c r="B176">
        <v>2016</v>
      </c>
      <c r="C176" t="s">
        <v>219</v>
      </c>
      <c r="D176" t="s">
        <v>1134</v>
      </c>
      <c r="E176" t="s">
        <v>1190</v>
      </c>
      <c r="F176" t="s">
        <v>1191</v>
      </c>
      <c r="G176">
        <v>2</v>
      </c>
      <c r="H176" t="s">
        <v>310</v>
      </c>
      <c r="I176">
        <v>10</v>
      </c>
      <c r="J176" s="40">
        <v>249.16</v>
      </c>
      <c r="K176">
        <v>1</v>
      </c>
    </row>
    <row r="177" spans="1:11" x14ac:dyDescent="0.35">
      <c r="A177">
        <v>175</v>
      </c>
      <c r="B177">
        <v>2016</v>
      </c>
      <c r="C177" t="s">
        <v>219</v>
      </c>
      <c r="D177" t="s">
        <v>294</v>
      </c>
      <c r="E177" t="s">
        <v>308</v>
      </c>
      <c r="F177" t="s">
        <v>1270</v>
      </c>
      <c r="G177">
        <v>2</v>
      </c>
      <c r="H177" t="s">
        <v>310</v>
      </c>
      <c r="I177">
        <v>10</v>
      </c>
      <c r="J177" s="40">
        <v>257.11</v>
      </c>
      <c r="K177">
        <v>1</v>
      </c>
    </row>
    <row r="178" spans="1:11" x14ac:dyDescent="0.35">
      <c r="A178">
        <v>176</v>
      </c>
      <c r="B178">
        <v>2016</v>
      </c>
      <c r="C178" t="s">
        <v>219</v>
      </c>
      <c r="D178" t="s">
        <v>297</v>
      </c>
      <c r="E178" t="s">
        <v>298</v>
      </c>
      <c r="F178" t="s">
        <v>1279</v>
      </c>
      <c r="G178">
        <v>2</v>
      </c>
      <c r="H178" t="s">
        <v>310</v>
      </c>
      <c r="I178">
        <v>10</v>
      </c>
      <c r="J178" s="40">
        <v>262.74</v>
      </c>
      <c r="K178">
        <v>1</v>
      </c>
    </row>
    <row r="179" spans="1:11" x14ac:dyDescent="0.35">
      <c r="A179">
        <v>177</v>
      </c>
      <c r="B179">
        <v>2016</v>
      </c>
      <c r="C179" t="s">
        <v>219</v>
      </c>
      <c r="D179" t="s">
        <v>1134</v>
      </c>
      <c r="E179" t="s">
        <v>1207</v>
      </c>
      <c r="F179" t="s">
        <v>1035</v>
      </c>
      <c r="G179">
        <v>2</v>
      </c>
      <c r="H179" t="s">
        <v>310</v>
      </c>
      <c r="I179">
        <v>10</v>
      </c>
      <c r="J179" s="40">
        <v>263.14999999999998</v>
      </c>
      <c r="K179">
        <v>1</v>
      </c>
    </row>
    <row r="180" spans="1:11" x14ac:dyDescent="0.35">
      <c r="A180">
        <v>178</v>
      </c>
      <c r="B180">
        <v>2016</v>
      </c>
      <c r="C180" t="s">
        <v>219</v>
      </c>
      <c r="D180" t="s">
        <v>297</v>
      </c>
      <c r="E180" t="s">
        <v>300</v>
      </c>
      <c r="F180" t="s">
        <v>301</v>
      </c>
      <c r="G180">
        <v>2</v>
      </c>
      <c r="H180" t="s">
        <v>310</v>
      </c>
      <c r="I180">
        <v>10</v>
      </c>
      <c r="J180" s="40">
        <v>263.5</v>
      </c>
      <c r="K180">
        <v>1</v>
      </c>
    </row>
    <row r="181" spans="1:11" x14ac:dyDescent="0.35">
      <c r="A181">
        <v>179</v>
      </c>
      <c r="B181">
        <v>2016</v>
      </c>
      <c r="C181" t="s">
        <v>219</v>
      </c>
      <c r="D181" t="s">
        <v>1134</v>
      </c>
      <c r="E181" t="s">
        <v>1196</v>
      </c>
      <c r="F181" t="s">
        <v>1197</v>
      </c>
      <c r="G181">
        <v>2</v>
      </c>
      <c r="H181" t="s">
        <v>310</v>
      </c>
      <c r="I181">
        <v>10</v>
      </c>
      <c r="J181" s="40">
        <v>270.81</v>
      </c>
      <c r="K181">
        <v>1</v>
      </c>
    </row>
    <row r="182" spans="1:11" x14ac:dyDescent="0.35">
      <c r="A182">
        <v>180</v>
      </c>
      <c r="B182">
        <v>2016</v>
      </c>
      <c r="C182" t="s">
        <v>219</v>
      </c>
      <c r="D182" t="s">
        <v>294</v>
      </c>
      <c r="E182" t="s">
        <v>295</v>
      </c>
      <c r="F182" t="s">
        <v>1273</v>
      </c>
      <c r="G182">
        <v>3</v>
      </c>
      <c r="H182" t="s">
        <v>310</v>
      </c>
      <c r="I182">
        <v>10</v>
      </c>
      <c r="J182" s="40">
        <v>275.74</v>
      </c>
      <c r="K182">
        <v>1</v>
      </c>
    </row>
    <row r="183" spans="1:11" x14ac:dyDescent="0.35">
      <c r="A183">
        <v>181</v>
      </c>
      <c r="B183">
        <v>2016</v>
      </c>
      <c r="C183" t="s">
        <v>219</v>
      </c>
      <c r="D183" t="s">
        <v>297</v>
      </c>
      <c r="E183" t="s">
        <v>302</v>
      </c>
      <c r="F183" t="s">
        <v>303</v>
      </c>
      <c r="G183">
        <v>2</v>
      </c>
      <c r="H183" t="s">
        <v>310</v>
      </c>
      <c r="I183">
        <v>10</v>
      </c>
      <c r="J183" s="40">
        <v>276.5</v>
      </c>
      <c r="K183">
        <v>1</v>
      </c>
    </row>
    <row r="184" spans="1:11" x14ac:dyDescent="0.35">
      <c r="A184">
        <v>182</v>
      </c>
      <c r="B184">
        <v>2016</v>
      </c>
      <c r="C184" t="s">
        <v>219</v>
      </c>
      <c r="D184" t="s">
        <v>1239</v>
      </c>
      <c r="E184" t="s">
        <v>969</v>
      </c>
      <c r="F184" t="s">
        <v>970</v>
      </c>
      <c r="G184">
        <v>2</v>
      </c>
      <c r="H184" t="s">
        <v>310</v>
      </c>
      <c r="I184">
        <v>10</v>
      </c>
      <c r="J184" s="40">
        <v>277.20999999999998</v>
      </c>
      <c r="K184">
        <v>2</v>
      </c>
    </row>
    <row r="185" spans="1:11" x14ac:dyDescent="0.35">
      <c r="A185">
        <v>183</v>
      </c>
      <c r="B185">
        <v>2016</v>
      </c>
      <c r="C185" t="s">
        <v>219</v>
      </c>
      <c r="D185" t="s">
        <v>1134</v>
      </c>
      <c r="E185" t="s">
        <v>1211</v>
      </c>
      <c r="F185" t="s">
        <v>1039</v>
      </c>
      <c r="G185">
        <v>2</v>
      </c>
      <c r="H185" t="s">
        <v>310</v>
      </c>
      <c r="I185">
        <v>10</v>
      </c>
      <c r="J185" s="40">
        <v>286.02999999999997</v>
      </c>
      <c r="K185">
        <v>1</v>
      </c>
    </row>
    <row r="186" spans="1:11" x14ac:dyDescent="0.35">
      <c r="A186">
        <v>184</v>
      </c>
      <c r="B186">
        <v>2016</v>
      </c>
      <c r="C186" t="s">
        <v>219</v>
      </c>
      <c r="D186" t="s">
        <v>1239</v>
      </c>
      <c r="E186" t="s">
        <v>963</v>
      </c>
      <c r="F186" t="s">
        <v>964</v>
      </c>
      <c r="G186">
        <v>2</v>
      </c>
      <c r="H186" t="s">
        <v>310</v>
      </c>
      <c r="I186">
        <v>10</v>
      </c>
      <c r="J186" s="40">
        <v>287.92</v>
      </c>
      <c r="K186">
        <v>2</v>
      </c>
    </row>
    <row r="187" spans="1:11" x14ac:dyDescent="0.35">
      <c r="A187">
        <v>185</v>
      </c>
      <c r="B187">
        <v>2016</v>
      </c>
      <c r="C187" t="s">
        <v>219</v>
      </c>
      <c r="D187" t="s">
        <v>1239</v>
      </c>
      <c r="E187" t="s">
        <v>965</v>
      </c>
      <c r="F187" t="s">
        <v>966</v>
      </c>
      <c r="G187">
        <v>2</v>
      </c>
      <c r="H187" t="s">
        <v>310</v>
      </c>
      <c r="I187">
        <v>10</v>
      </c>
      <c r="J187" s="40">
        <v>288.82</v>
      </c>
      <c r="K187">
        <v>2</v>
      </c>
    </row>
    <row r="188" spans="1:11" x14ac:dyDescent="0.35">
      <c r="A188">
        <v>186</v>
      </c>
      <c r="B188">
        <v>2016</v>
      </c>
      <c r="C188" t="s">
        <v>219</v>
      </c>
      <c r="D188" t="s">
        <v>1239</v>
      </c>
      <c r="E188" t="s">
        <v>961</v>
      </c>
      <c r="F188" t="s">
        <v>962</v>
      </c>
      <c r="G188">
        <v>2</v>
      </c>
      <c r="H188" t="s">
        <v>310</v>
      </c>
      <c r="I188">
        <v>10</v>
      </c>
      <c r="J188" s="40">
        <v>289.07</v>
      </c>
      <c r="K188">
        <v>2</v>
      </c>
    </row>
    <row r="189" spans="1:11" x14ac:dyDescent="0.35">
      <c r="A189">
        <v>187</v>
      </c>
      <c r="B189">
        <v>2016</v>
      </c>
      <c r="C189" t="s">
        <v>219</v>
      </c>
      <c r="D189" t="s">
        <v>1239</v>
      </c>
      <c r="E189" t="s">
        <v>973</v>
      </c>
      <c r="F189" t="s">
        <v>1242</v>
      </c>
      <c r="G189">
        <v>2</v>
      </c>
      <c r="H189" t="s">
        <v>310</v>
      </c>
      <c r="I189">
        <v>10</v>
      </c>
      <c r="J189" s="40">
        <v>297.67</v>
      </c>
      <c r="K189">
        <v>2</v>
      </c>
    </row>
    <row r="190" spans="1:11" x14ac:dyDescent="0.35">
      <c r="A190">
        <v>188</v>
      </c>
      <c r="B190">
        <v>2016</v>
      </c>
      <c r="C190" t="s">
        <v>219</v>
      </c>
      <c r="D190" t="s">
        <v>1280</v>
      </c>
      <c r="E190" t="s">
        <v>1114</v>
      </c>
      <c r="F190" t="s">
        <v>1116</v>
      </c>
      <c r="G190">
        <v>2</v>
      </c>
      <c r="H190" t="s">
        <v>310</v>
      </c>
      <c r="I190">
        <v>10</v>
      </c>
      <c r="J190" s="40">
        <v>301.19</v>
      </c>
      <c r="K190">
        <v>1</v>
      </c>
    </row>
    <row r="191" spans="1:11" x14ac:dyDescent="0.35">
      <c r="A191">
        <v>189</v>
      </c>
      <c r="B191">
        <v>2016</v>
      </c>
      <c r="C191" t="s">
        <v>219</v>
      </c>
      <c r="D191" t="s">
        <v>1239</v>
      </c>
      <c r="E191" t="s">
        <v>967</v>
      </c>
      <c r="F191" t="s">
        <v>968</v>
      </c>
      <c r="G191">
        <v>2</v>
      </c>
      <c r="H191" t="s">
        <v>310</v>
      </c>
      <c r="I191">
        <v>10</v>
      </c>
      <c r="J191" s="40">
        <v>312.07</v>
      </c>
      <c r="K191">
        <v>2</v>
      </c>
    </row>
    <row r="192" spans="1:11" x14ac:dyDescent="0.35">
      <c r="A192">
        <v>190</v>
      </c>
      <c r="B192">
        <v>2016</v>
      </c>
      <c r="C192" t="s">
        <v>219</v>
      </c>
      <c r="D192" t="s">
        <v>1280</v>
      </c>
      <c r="E192" t="s">
        <v>1113</v>
      </c>
      <c r="F192" t="s">
        <v>1118</v>
      </c>
      <c r="G192">
        <v>2</v>
      </c>
      <c r="H192" t="s">
        <v>310</v>
      </c>
      <c r="I192">
        <v>10</v>
      </c>
      <c r="J192" s="40">
        <v>312.55</v>
      </c>
      <c r="K192">
        <v>1</v>
      </c>
    </row>
    <row r="193" spans="1:11" x14ac:dyDescent="0.35">
      <c r="A193">
        <v>191</v>
      </c>
      <c r="B193">
        <v>2016</v>
      </c>
      <c r="C193" t="s">
        <v>219</v>
      </c>
      <c r="D193" t="s">
        <v>1280</v>
      </c>
      <c r="E193" t="s">
        <v>1115</v>
      </c>
      <c r="F193" t="s">
        <v>1128</v>
      </c>
      <c r="G193">
        <v>2</v>
      </c>
      <c r="H193" t="s">
        <v>310</v>
      </c>
      <c r="I193">
        <v>10</v>
      </c>
      <c r="J193" s="40">
        <v>312.55</v>
      </c>
      <c r="K193">
        <v>1</v>
      </c>
    </row>
    <row r="194" spans="1:11" x14ac:dyDescent="0.35">
      <c r="A194">
        <v>192</v>
      </c>
      <c r="B194">
        <v>2016</v>
      </c>
      <c r="C194" t="s">
        <v>219</v>
      </c>
      <c r="D194" t="s">
        <v>304</v>
      </c>
      <c r="E194" t="s">
        <v>916</v>
      </c>
      <c r="F194" t="s">
        <v>917</v>
      </c>
      <c r="G194">
        <v>1</v>
      </c>
      <c r="H194" t="s">
        <v>310</v>
      </c>
      <c r="I194">
        <v>10</v>
      </c>
      <c r="J194" s="40">
        <v>335.69</v>
      </c>
      <c r="K194">
        <v>4</v>
      </c>
    </row>
    <row r="195" spans="1:11" x14ac:dyDescent="0.35">
      <c r="A195">
        <v>193</v>
      </c>
      <c r="B195">
        <v>2016</v>
      </c>
      <c r="C195" t="s">
        <v>219</v>
      </c>
      <c r="D195" t="s">
        <v>304</v>
      </c>
      <c r="E195" t="s">
        <v>307</v>
      </c>
      <c r="F195" t="s">
        <v>904</v>
      </c>
      <c r="G195">
        <v>1</v>
      </c>
      <c r="H195" t="s">
        <v>310</v>
      </c>
      <c r="I195">
        <v>10</v>
      </c>
      <c r="J195" s="40">
        <v>337.23</v>
      </c>
      <c r="K195">
        <v>4</v>
      </c>
    </row>
    <row r="196" spans="1:11" x14ac:dyDescent="0.35">
      <c r="A196">
        <v>194</v>
      </c>
      <c r="B196">
        <v>2016</v>
      </c>
      <c r="C196" t="s">
        <v>219</v>
      </c>
      <c r="D196" t="s">
        <v>304</v>
      </c>
      <c r="E196" t="s">
        <v>898</v>
      </c>
      <c r="F196" t="s">
        <v>899</v>
      </c>
      <c r="G196">
        <v>1</v>
      </c>
      <c r="H196" t="s">
        <v>310</v>
      </c>
      <c r="I196">
        <v>10</v>
      </c>
      <c r="J196" s="40">
        <v>337.43</v>
      </c>
      <c r="K196">
        <v>4</v>
      </c>
    </row>
    <row r="197" spans="1:11" x14ac:dyDescent="0.35">
      <c r="A197">
        <v>195</v>
      </c>
      <c r="B197">
        <v>2016</v>
      </c>
      <c r="C197" t="s">
        <v>219</v>
      </c>
      <c r="D197" t="s">
        <v>304</v>
      </c>
      <c r="E197" t="s">
        <v>305</v>
      </c>
      <c r="F197" t="s">
        <v>913</v>
      </c>
      <c r="G197">
        <v>1</v>
      </c>
      <c r="H197" t="s">
        <v>310</v>
      </c>
      <c r="I197">
        <v>10</v>
      </c>
      <c r="J197" s="40">
        <v>337.53</v>
      </c>
      <c r="K197">
        <v>4</v>
      </c>
    </row>
    <row r="198" spans="1:11" x14ac:dyDescent="0.35">
      <c r="A198">
        <v>196</v>
      </c>
      <c r="B198">
        <v>2016</v>
      </c>
      <c r="C198" t="s">
        <v>219</v>
      </c>
      <c r="D198" t="s">
        <v>1134</v>
      </c>
      <c r="E198" t="s">
        <v>1200</v>
      </c>
      <c r="F198" t="s">
        <v>1201</v>
      </c>
      <c r="G198">
        <v>2</v>
      </c>
      <c r="H198" t="s">
        <v>310</v>
      </c>
      <c r="I198">
        <v>11</v>
      </c>
      <c r="J198" s="40">
        <v>276.14</v>
      </c>
      <c r="K198">
        <v>1</v>
      </c>
    </row>
    <row r="199" spans="1:11" x14ac:dyDescent="0.35">
      <c r="A199">
        <v>197</v>
      </c>
      <c r="B199">
        <v>2016</v>
      </c>
      <c r="C199" t="s">
        <v>219</v>
      </c>
      <c r="D199" t="s">
        <v>1134</v>
      </c>
      <c r="E199" t="s">
        <v>1213</v>
      </c>
      <c r="F199" t="s">
        <v>1045</v>
      </c>
      <c r="G199">
        <v>2</v>
      </c>
      <c r="H199" t="s">
        <v>310</v>
      </c>
      <c r="I199">
        <v>11</v>
      </c>
      <c r="J199" s="40">
        <v>291.64999999999998</v>
      </c>
      <c r="K199">
        <v>1</v>
      </c>
    </row>
    <row r="200" spans="1:11" x14ac:dyDescent="0.35">
      <c r="A200">
        <v>198</v>
      </c>
      <c r="B200">
        <v>2016</v>
      </c>
      <c r="C200" t="s">
        <v>219</v>
      </c>
      <c r="D200" t="s">
        <v>1239</v>
      </c>
      <c r="E200" t="s">
        <v>969</v>
      </c>
      <c r="F200" t="s">
        <v>970</v>
      </c>
      <c r="G200">
        <v>2</v>
      </c>
      <c r="H200" t="s">
        <v>310</v>
      </c>
      <c r="I200">
        <v>11</v>
      </c>
      <c r="J200" s="40">
        <v>293.62</v>
      </c>
      <c r="K200">
        <v>2</v>
      </c>
    </row>
    <row r="201" spans="1:11" x14ac:dyDescent="0.35">
      <c r="A201">
        <v>199</v>
      </c>
      <c r="B201">
        <v>2016</v>
      </c>
      <c r="C201" t="s">
        <v>219</v>
      </c>
      <c r="D201" t="s">
        <v>294</v>
      </c>
      <c r="E201" t="s">
        <v>295</v>
      </c>
      <c r="F201" t="s">
        <v>1273</v>
      </c>
      <c r="G201">
        <v>3</v>
      </c>
      <c r="H201" t="s">
        <v>310</v>
      </c>
      <c r="I201">
        <v>11</v>
      </c>
      <c r="J201" s="40">
        <v>303.27</v>
      </c>
      <c r="K201">
        <v>1</v>
      </c>
    </row>
    <row r="202" spans="1:11" x14ac:dyDescent="0.35">
      <c r="A202">
        <v>200</v>
      </c>
      <c r="B202">
        <v>2016</v>
      </c>
      <c r="C202" t="s">
        <v>219</v>
      </c>
      <c r="D202" t="s">
        <v>1239</v>
      </c>
      <c r="E202" t="s">
        <v>963</v>
      </c>
      <c r="F202" t="s">
        <v>964</v>
      </c>
      <c r="G202">
        <v>2</v>
      </c>
      <c r="H202" t="s">
        <v>310</v>
      </c>
      <c r="I202">
        <v>11</v>
      </c>
      <c r="J202" s="40">
        <v>304.95999999999998</v>
      </c>
      <c r="K202">
        <v>2</v>
      </c>
    </row>
    <row r="203" spans="1:11" x14ac:dyDescent="0.35">
      <c r="A203">
        <v>201</v>
      </c>
      <c r="B203">
        <v>2016</v>
      </c>
      <c r="C203" t="s">
        <v>219</v>
      </c>
      <c r="D203" t="s">
        <v>1239</v>
      </c>
      <c r="E203" t="s">
        <v>965</v>
      </c>
      <c r="F203" t="s">
        <v>966</v>
      </c>
      <c r="G203">
        <v>2</v>
      </c>
      <c r="H203" t="s">
        <v>310</v>
      </c>
      <c r="I203">
        <v>11</v>
      </c>
      <c r="J203" s="40">
        <v>305.91000000000003</v>
      </c>
      <c r="K203">
        <v>2</v>
      </c>
    </row>
    <row r="204" spans="1:11" x14ac:dyDescent="0.35">
      <c r="A204">
        <v>202</v>
      </c>
      <c r="B204">
        <v>2016</v>
      </c>
      <c r="C204" t="s">
        <v>219</v>
      </c>
      <c r="D204" t="s">
        <v>217</v>
      </c>
      <c r="E204" t="s">
        <v>980</v>
      </c>
      <c r="F204" t="s">
        <v>1247</v>
      </c>
      <c r="G204">
        <v>1</v>
      </c>
      <c r="H204" t="s">
        <v>310</v>
      </c>
      <c r="I204">
        <v>11</v>
      </c>
      <c r="J204" s="40">
        <v>306.06</v>
      </c>
      <c r="K204">
        <v>1</v>
      </c>
    </row>
    <row r="205" spans="1:11" x14ac:dyDescent="0.35">
      <c r="A205">
        <v>203</v>
      </c>
      <c r="B205">
        <v>2016</v>
      </c>
      <c r="C205" t="s">
        <v>219</v>
      </c>
      <c r="D205" t="s">
        <v>1239</v>
      </c>
      <c r="E205" t="s">
        <v>961</v>
      </c>
      <c r="F205" t="s">
        <v>962</v>
      </c>
      <c r="G205">
        <v>2</v>
      </c>
      <c r="H205" t="s">
        <v>310</v>
      </c>
      <c r="I205">
        <v>11</v>
      </c>
      <c r="J205" s="40">
        <v>306.17</v>
      </c>
      <c r="K205">
        <v>2</v>
      </c>
    </row>
    <row r="206" spans="1:11" x14ac:dyDescent="0.35">
      <c r="A206">
        <v>204</v>
      </c>
      <c r="B206">
        <v>2016</v>
      </c>
      <c r="C206" t="s">
        <v>219</v>
      </c>
      <c r="D206" t="s">
        <v>1239</v>
      </c>
      <c r="E206" t="s">
        <v>973</v>
      </c>
      <c r="F206" t="s">
        <v>1242</v>
      </c>
      <c r="G206">
        <v>2</v>
      </c>
      <c r="H206" t="s">
        <v>310</v>
      </c>
      <c r="I206">
        <v>11</v>
      </c>
      <c r="J206" s="40">
        <v>315.29000000000002</v>
      </c>
      <c r="K206">
        <v>2</v>
      </c>
    </row>
    <row r="207" spans="1:11" x14ac:dyDescent="0.35">
      <c r="A207">
        <v>205</v>
      </c>
      <c r="B207">
        <v>2016</v>
      </c>
      <c r="C207" t="s">
        <v>219</v>
      </c>
      <c r="D207" t="s">
        <v>217</v>
      </c>
      <c r="E207" t="s">
        <v>977</v>
      </c>
      <c r="F207" t="s">
        <v>1245</v>
      </c>
      <c r="G207">
        <v>1</v>
      </c>
      <c r="H207" t="s">
        <v>310</v>
      </c>
      <c r="I207">
        <v>11</v>
      </c>
      <c r="J207" s="40">
        <v>318.94</v>
      </c>
      <c r="K207">
        <v>1</v>
      </c>
    </row>
    <row r="208" spans="1:11" x14ac:dyDescent="0.35">
      <c r="A208">
        <v>206</v>
      </c>
      <c r="B208">
        <v>2016</v>
      </c>
      <c r="C208" t="s">
        <v>219</v>
      </c>
      <c r="D208" t="s">
        <v>1239</v>
      </c>
      <c r="E208" t="s">
        <v>967</v>
      </c>
      <c r="F208" t="s">
        <v>968</v>
      </c>
      <c r="G208">
        <v>2</v>
      </c>
      <c r="H208" t="s">
        <v>310</v>
      </c>
      <c r="I208">
        <v>11</v>
      </c>
      <c r="J208" s="40">
        <v>330.55</v>
      </c>
      <c r="K208">
        <v>2</v>
      </c>
    </row>
    <row r="209" spans="1:11" x14ac:dyDescent="0.35">
      <c r="A209">
        <v>207</v>
      </c>
      <c r="B209">
        <v>2016</v>
      </c>
      <c r="C209" t="s">
        <v>219</v>
      </c>
      <c r="D209" t="s">
        <v>1280</v>
      </c>
      <c r="E209" t="s">
        <v>1114</v>
      </c>
      <c r="F209" t="s">
        <v>1116</v>
      </c>
      <c r="G209">
        <v>2</v>
      </c>
      <c r="H209" t="s">
        <v>310</v>
      </c>
      <c r="I209">
        <v>11</v>
      </c>
      <c r="J209" s="40">
        <v>332.58</v>
      </c>
      <c r="K209">
        <v>1</v>
      </c>
    </row>
    <row r="210" spans="1:11" x14ac:dyDescent="0.35">
      <c r="A210">
        <v>208</v>
      </c>
      <c r="B210">
        <v>2016</v>
      </c>
      <c r="C210" t="s">
        <v>219</v>
      </c>
      <c r="D210" t="s">
        <v>217</v>
      </c>
      <c r="E210" t="s">
        <v>975</v>
      </c>
      <c r="F210" t="s">
        <v>1244</v>
      </c>
      <c r="G210">
        <v>1</v>
      </c>
      <c r="H210" t="s">
        <v>310</v>
      </c>
      <c r="I210">
        <v>11</v>
      </c>
      <c r="J210" s="40">
        <v>336.69</v>
      </c>
      <c r="K210">
        <v>1</v>
      </c>
    </row>
    <row r="211" spans="1:11" x14ac:dyDescent="0.35">
      <c r="A211">
        <v>209</v>
      </c>
      <c r="B211">
        <v>2016</v>
      </c>
      <c r="C211" t="s">
        <v>219</v>
      </c>
      <c r="D211" t="s">
        <v>1280</v>
      </c>
      <c r="E211" t="s">
        <v>1113</v>
      </c>
      <c r="F211" t="s">
        <v>1118</v>
      </c>
      <c r="G211">
        <v>2</v>
      </c>
      <c r="H211" t="s">
        <v>310</v>
      </c>
      <c r="I211">
        <v>11</v>
      </c>
      <c r="J211" s="40">
        <v>345.12</v>
      </c>
      <c r="K211">
        <v>1</v>
      </c>
    </row>
    <row r="212" spans="1:11" x14ac:dyDescent="0.35">
      <c r="A212">
        <v>210</v>
      </c>
      <c r="B212">
        <v>2016</v>
      </c>
      <c r="C212" t="s">
        <v>219</v>
      </c>
      <c r="D212" t="s">
        <v>1280</v>
      </c>
      <c r="E212" t="s">
        <v>1115</v>
      </c>
      <c r="F212" t="s">
        <v>1128</v>
      </c>
      <c r="G212">
        <v>2</v>
      </c>
      <c r="H212" t="s">
        <v>310</v>
      </c>
      <c r="I212">
        <v>11</v>
      </c>
      <c r="J212" s="40">
        <v>345.12</v>
      </c>
      <c r="K212">
        <v>1</v>
      </c>
    </row>
    <row r="213" spans="1:11" x14ac:dyDescent="0.35">
      <c r="A213">
        <v>211</v>
      </c>
      <c r="B213">
        <v>2016</v>
      </c>
      <c r="C213" t="s">
        <v>219</v>
      </c>
      <c r="D213" t="s">
        <v>1134</v>
      </c>
      <c r="E213" t="s">
        <v>1198</v>
      </c>
      <c r="F213" t="s">
        <v>1199</v>
      </c>
      <c r="G213">
        <v>2</v>
      </c>
      <c r="H213" t="s">
        <v>310</v>
      </c>
      <c r="I213">
        <v>12</v>
      </c>
      <c r="J213" s="40">
        <v>263.02</v>
      </c>
      <c r="K213">
        <v>1</v>
      </c>
    </row>
    <row r="214" spans="1:11" x14ac:dyDescent="0.35">
      <c r="A214">
        <v>212</v>
      </c>
      <c r="B214">
        <v>2016</v>
      </c>
      <c r="C214" t="s">
        <v>219</v>
      </c>
      <c r="D214" t="s">
        <v>1239</v>
      </c>
      <c r="E214" t="s">
        <v>969</v>
      </c>
      <c r="F214" t="s">
        <v>970</v>
      </c>
      <c r="G214">
        <v>2</v>
      </c>
      <c r="H214" t="s">
        <v>310</v>
      </c>
      <c r="I214">
        <v>12</v>
      </c>
      <c r="J214" s="40">
        <v>267.93</v>
      </c>
      <c r="K214">
        <v>2</v>
      </c>
    </row>
    <row r="215" spans="1:11" x14ac:dyDescent="0.35">
      <c r="A215">
        <v>213</v>
      </c>
      <c r="B215">
        <v>2016</v>
      </c>
      <c r="C215" t="s">
        <v>219</v>
      </c>
      <c r="D215" t="s">
        <v>1134</v>
      </c>
      <c r="E215" t="s">
        <v>1212</v>
      </c>
      <c r="F215" t="s">
        <v>1041</v>
      </c>
      <c r="G215">
        <v>2</v>
      </c>
      <c r="H215" t="s">
        <v>310</v>
      </c>
      <c r="I215">
        <v>12</v>
      </c>
      <c r="J215" s="40">
        <v>277.81</v>
      </c>
      <c r="K215">
        <v>1</v>
      </c>
    </row>
    <row r="216" spans="1:11" x14ac:dyDescent="0.35">
      <c r="A216">
        <v>214</v>
      </c>
      <c r="B216">
        <v>2016</v>
      </c>
      <c r="C216" t="s">
        <v>219</v>
      </c>
      <c r="D216" t="s">
        <v>1239</v>
      </c>
      <c r="E216" t="s">
        <v>963</v>
      </c>
      <c r="F216" t="s">
        <v>964</v>
      </c>
      <c r="G216">
        <v>2</v>
      </c>
      <c r="H216" t="s">
        <v>310</v>
      </c>
      <c r="I216">
        <v>12</v>
      </c>
      <c r="J216" s="40">
        <v>278.29000000000002</v>
      </c>
      <c r="K216">
        <v>2</v>
      </c>
    </row>
    <row r="217" spans="1:11" x14ac:dyDescent="0.35">
      <c r="A217">
        <v>215</v>
      </c>
      <c r="B217">
        <v>2016</v>
      </c>
      <c r="C217" t="s">
        <v>219</v>
      </c>
      <c r="D217" t="s">
        <v>1239</v>
      </c>
      <c r="E217" t="s">
        <v>965</v>
      </c>
      <c r="F217" t="s">
        <v>966</v>
      </c>
      <c r="G217">
        <v>2</v>
      </c>
      <c r="H217" t="s">
        <v>310</v>
      </c>
      <c r="I217">
        <v>12</v>
      </c>
      <c r="J217" s="40">
        <v>279.14999999999998</v>
      </c>
      <c r="K217">
        <v>2</v>
      </c>
    </row>
    <row r="218" spans="1:11" x14ac:dyDescent="0.35">
      <c r="A218">
        <v>216</v>
      </c>
      <c r="B218">
        <v>2016</v>
      </c>
      <c r="C218" t="s">
        <v>219</v>
      </c>
      <c r="D218" t="s">
        <v>1239</v>
      </c>
      <c r="E218" t="s">
        <v>961</v>
      </c>
      <c r="F218" t="s">
        <v>962</v>
      </c>
      <c r="G218">
        <v>2</v>
      </c>
      <c r="H218" t="s">
        <v>310</v>
      </c>
      <c r="I218">
        <v>12</v>
      </c>
      <c r="J218" s="40">
        <v>279.39999999999998</v>
      </c>
      <c r="K218">
        <v>2</v>
      </c>
    </row>
    <row r="219" spans="1:11" x14ac:dyDescent="0.35">
      <c r="A219">
        <v>217</v>
      </c>
      <c r="B219">
        <v>2016</v>
      </c>
      <c r="C219" t="s">
        <v>219</v>
      </c>
      <c r="D219" t="s">
        <v>1239</v>
      </c>
      <c r="E219" t="s">
        <v>973</v>
      </c>
      <c r="F219" t="s">
        <v>1242</v>
      </c>
      <c r="G219">
        <v>2</v>
      </c>
      <c r="H219" t="s">
        <v>310</v>
      </c>
      <c r="I219">
        <v>12</v>
      </c>
      <c r="J219" s="40">
        <v>287.72000000000003</v>
      </c>
      <c r="K219">
        <v>2</v>
      </c>
    </row>
    <row r="220" spans="1:11" x14ac:dyDescent="0.35">
      <c r="A220">
        <v>218</v>
      </c>
      <c r="B220">
        <v>2016</v>
      </c>
      <c r="C220" t="s">
        <v>219</v>
      </c>
      <c r="D220" t="s">
        <v>1280</v>
      </c>
      <c r="E220" t="s">
        <v>1114</v>
      </c>
      <c r="F220" t="s">
        <v>1116</v>
      </c>
      <c r="G220">
        <v>2</v>
      </c>
      <c r="H220" t="s">
        <v>310</v>
      </c>
      <c r="I220">
        <v>12</v>
      </c>
      <c r="J220" s="40">
        <v>299.58</v>
      </c>
      <c r="K220">
        <v>1</v>
      </c>
    </row>
    <row r="221" spans="1:11" x14ac:dyDescent="0.35">
      <c r="A221">
        <v>219</v>
      </c>
      <c r="B221">
        <v>2016</v>
      </c>
      <c r="C221" t="s">
        <v>219</v>
      </c>
      <c r="D221" t="s">
        <v>217</v>
      </c>
      <c r="E221" t="s">
        <v>980</v>
      </c>
      <c r="F221" t="s">
        <v>1247</v>
      </c>
      <c r="G221">
        <v>1</v>
      </c>
      <c r="H221" t="s">
        <v>310</v>
      </c>
      <c r="I221">
        <v>12</v>
      </c>
      <c r="J221" s="40">
        <v>299.69</v>
      </c>
      <c r="K221">
        <v>1</v>
      </c>
    </row>
    <row r="222" spans="1:11" x14ac:dyDescent="0.35">
      <c r="A222">
        <v>220</v>
      </c>
      <c r="B222">
        <v>2016</v>
      </c>
      <c r="C222" t="s">
        <v>219</v>
      </c>
      <c r="D222" t="s">
        <v>1239</v>
      </c>
      <c r="E222" t="s">
        <v>967</v>
      </c>
      <c r="F222" t="s">
        <v>968</v>
      </c>
      <c r="G222">
        <v>2</v>
      </c>
      <c r="H222" t="s">
        <v>310</v>
      </c>
      <c r="I222">
        <v>12</v>
      </c>
      <c r="J222" s="40">
        <v>301.64</v>
      </c>
      <c r="K222">
        <v>2</v>
      </c>
    </row>
    <row r="223" spans="1:11" x14ac:dyDescent="0.35">
      <c r="A223">
        <v>221</v>
      </c>
      <c r="B223">
        <v>2016</v>
      </c>
      <c r="C223" t="s">
        <v>219</v>
      </c>
      <c r="D223" t="s">
        <v>1280</v>
      </c>
      <c r="E223" t="s">
        <v>1113</v>
      </c>
      <c r="F223" t="s">
        <v>1118</v>
      </c>
      <c r="G223">
        <v>2</v>
      </c>
      <c r="H223" t="s">
        <v>310</v>
      </c>
      <c r="I223">
        <v>12</v>
      </c>
      <c r="J223" s="40">
        <v>310.87</v>
      </c>
      <c r="K223">
        <v>1</v>
      </c>
    </row>
    <row r="224" spans="1:11" x14ac:dyDescent="0.35">
      <c r="A224">
        <v>222</v>
      </c>
      <c r="B224">
        <v>2016</v>
      </c>
      <c r="C224" t="s">
        <v>219</v>
      </c>
      <c r="D224" t="s">
        <v>1280</v>
      </c>
      <c r="E224" t="s">
        <v>1115</v>
      </c>
      <c r="F224" t="s">
        <v>1128</v>
      </c>
      <c r="G224">
        <v>2</v>
      </c>
      <c r="H224" t="s">
        <v>310</v>
      </c>
      <c r="I224">
        <v>12</v>
      </c>
      <c r="J224" s="40">
        <v>310.87</v>
      </c>
      <c r="K224">
        <v>1</v>
      </c>
    </row>
    <row r="225" spans="1:11" x14ac:dyDescent="0.35">
      <c r="A225">
        <v>223</v>
      </c>
      <c r="B225">
        <v>2016</v>
      </c>
      <c r="C225" t="s">
        <v>219</v>
      </c>
      <c r="D225" t="s">
        <v>217</v>
      </c>
      <c r="E225" t="s">
        <v>977</v>
      </c>
      <c r="F225" t="s">
        <v>1245</v>
      </c>
      <c r="G225">
        <v>1</v>
      </c>
      <c r="H225" t="s">
        <v>310</v>
      </c>
      <c r="I225">
        <v>12</v>
      </c>
      <c r="J225" s="40">
        <v>312.3</v>
      </c>
      <c r="K225">
        <v>1</v>
      </c>
    </row>
    <row r="226" spans="1:11" x14ac:dyDescent="0.35">
      <c r="A226">
        <v>224</v>
      </c>
      <c r="B226">
        <v>2016</v>
      </c>
      <c r="C226" t="s">
        <v>219</v>
      </c>
      <c r="D226" t="s">
        <v>217</v>
      </c>
      <c r="E226" t="s">
        <v>975</v>
      </c>
      <c r="F226" t="s">
        <v>1244</v>
      </c>
      <c r="G226">
        <v>1</v>
      </c>
      <c r="H226" t="s">
        <v>310</v>
      </c>
      <c r="I226">
        <v>12</v>
      </c>
      <c r="J226" s="40">
        <v>329.69</v>
      </c>
      <c r="K226">
        <v>1</v>
      </c>
    </row>
    <row r="227" spans="1:11" x14ac:dyDescent="0.35">
      <c r="A227">
        <v>225</v>
      </c>
      <c r="B227">
        <v>2016</v>
      </c>
      <c r="C227" t="s">
        <v>219</v>
      </c>
      <c r="D227" t="s">
        <v>294</v>
      </c>
      <c r="E227" t="s">
        <v>295</v>
      </c>
      <c r="F227" t="s">
        <v>1273</v>
      </c>
      <c r="G227">
        <v>3</v>
      </c>
      <c r="H227" t="s">
        <v>310</v>
      </c>
      <c r="I227">
        <v>12</v>
      </c>
      <c r="J227" s="40">
        <v>331.77</v>
      </c>
      <c r="K227">
        <v>1</v>
      </c>
    </row>
    <row r="228" spans="1:11" x14ac:dyDescent="0.35">
      <c r="A228">
        <v>226</v>
      </c>
      <c r="B228">
        <v>2016</v>
      </c>
      <c r="C228" t="s">
        <v>219</v>
      </c>
      <c r="D228" t="s">
        <v>294</v>
      </c>
      <c r="E228" t="s">
        <v>1091</v>
      </c>
      <c r="F228" t="s">
        <v>1272</v>
      </c>
      <c r="G228">
        <v>2</v>
      </c>
      <c r="H228" t="s">
        <v>310</v>
      </c>
      <c r="I228">
        <v>12</v>
      </c>
      <c r="J228" s="40">
        <v>336.79</v>
      </c>
      <c r="K228">
        <v>1</v>
      </c>
    </row>
    <row r="229" spans="1:11" x14ac:dyDescent="0.35">
      <c r="A229">
        <v>227</v>
      </c>
      <c r="B229">
        <v>2016</v>
      </c>
      <c r="C229" t="s">
        <v>219</v>
      </c>
      <c r="D229" t="s">
        <v>297</v>
      </c>
      <c r="E229" t="s">
        <v>298</v>
      </c>
      <c r="F229" t="s">
        <v>1279</v>
      </c>
      <c r="G229">
        <v>2</v>
      </c>
      <c r="H229" t="s">
        <v>310</v>
      </c>
      <c r="I229">
        <v>13</v>
      </c>
      <c r="J229" s="40">
        <v>262.74</v>
      </c>
      <c r="K229">
        <v>1</v>
      </c>
    </row>
    <row r="230" spans="1:11" x14ac:dyDescent="0.35">
      <c r="A230">
        <v>228</v>
      </c>
      <c r="B230">
        <v>2016</v>
      </c>
      <c r="C230" t="s">
        <v>219</v>
      </c>
      <c r="D230" t="s">
        <v>297</v>
      </c>
      <c r="E230" t="s">
        <v>300</v>
      </c>
      <c r="F230" t="s">
        <v>301</v>
      </c>
      <c r="G230">
        <v>2</v>
      </c>
      <c r="H230" t="s">
        <v>310</v>
      </c>
      <c r="I230">
        <v>13</v>
      </c>
      <c r="J230" s="40">
        <v>263.5</v>
      </c>
      <c r="K230">
        <v>1</v>
      </c>
    </row>
    <row r="231" spans="1:11" x14ac:dyDescent="0.35">
      <c r="A231">
        <v>229</v>
      </c>
      <c r="B231">
        <v>2016</v>
      </c>
      <c r="C231" t="s">
        <v>219</v>
      </c>
      <c r="D231" t="s">
        <v>297</v>
      </c>
      <c r="E231" t="s">
        <v>302</v>
      </c>
      <c r="F231" t="s">
        <v>303</v>
      </c>
      <c r="G231">
        <v>2</v>
      </c>
      <c r="H231" t="s">
        <v>310</v>
      </c>
      <c r="I231">
        <v>13</v>
      </c>
      <c r="J231" s="40">
        <v>276.5</v>
      </c>
      <c r="K231">
        <v>1</v>
      </c>
    </row>
    <row r="232" spans="1:11" x14ac:dyDescent="0.35">
      <c r="A232">
        <v>230</v>
      </c>
      <c r="B232">
        <v>2016</v>
      </c>
      <c r="C232" t="s">
        <v>219</v>
      </c>
      <c r="D232" t="s">
        <v>294</v>
      </c>
      <c r="E232" t="s">
        <v>308</v>
      </c>
      <c r="F232" t="s">
        <v>1270</v>
      </c>
      <c r="G232">
        <v>2</v>
      </c>
      <c r="H232" t="s">
        <v>310</v>
      </c>
      <c r="I232">
        <v>13</v>
      </c>
      <c r="J232" s="40">
        <v>278.07</v>
      </c>
      <c r="K232">
        <v>1</v>
      </c>
    </row>
    <row r="233" spans="1:11" x14ac:dyDescent="0.35">
      <c r="A233">
        <v>231</v>
      </c>
      <c r="B233">
        <v>2016</v>
      </c>
      <c r="C233" t="s">
        <v>219</v>
      </c>
      <c r="D233" t="s">
        <v>304</v>
      </c>
      <c r="E233" t="s">
        <v>916</v>
      </c>
      <c r="F233" t="s">
        <v>917</v>
      </c>
      <c r="G233">
        <v>1</v>
      </c>
      <c r="H233" t="s">
        <v>310</v>
      </c>
      <c r="I233">
        <v>13</v>
      </c>
      <c r="J233" s="40">
        <v>283.37</v>
      </c>
      <c r="K233">
        <v>4</v>
      </c>
    </row>
    <row r="234" spans="1:11" x14ac:dyDescent="0.35">
      <c r="A234">
        <v>232</v>
      </c>
      <c r="B234">
        <v>2016</v>
      </c>
      <c r="C234" t="s">
        <v>219</v>
      </c>
      <c r="D234" t="s">
        <v>1239</v>
      </c>
      <c r="E234" t="s">
        <v>969</v>
      </c>
      <c r="F234" t="s">
        <v>970</v>
      </c>
      <c r="G234">
        <v>2</v>
      </c>
      <c r="H234" t="s">
        <v>310</v>
      </c>
      <c r="I234">
        <v>13</v>
      </c>
      <c r="J234" s="40">
        <v>284.20999999999998</v>
      </c>
      <c r="K234">
        <v>2</v>
      </c>
    </row>
    <row r="235" spans="1:11" x14ac:dyDescent="0.35">
      <c r="A235">
        <v>233</v>
      </c>
      <c r="B235">
        <v>2016</v>
      </c>
      <c r="C235" t="s">
        <v>219</v>
      </c>
      <c r="D235" t="s">
        <v>304</v>
      </c>
      <c r="E235" t="s">
        <v>307</v>
      </c>
      <c r="F235" t="s">
        <v>904</v>
      </c>
      <c r="G235">
        <v>1</v>
      </c>
      <c r="H235" t="s">
        <v>310</v>
      </c>
      <c r="I235">
        <v>13</v>
      </c>
      <c r="J235" s="40">
        <v>284.68</v>
      </c>
      <c r="K235">
        <v>4</v>
      </c>
    </row>
    <row r="236" spans="1:11" x14ac:dyDescent="0.35">
      <c r="A236">
        <v>234</v>
      </c>
      <c r="B236">
        <v>2016</v>
      </c>
      <c r="C236" t="s">
        <v>219</v>
      </c>
      <c r="D236" t="s">
        <v>304</v>
      </c>
      <c r="E236" t="s">
        <v>898</v>
      </c>
      <c r="F236" t="s">
        <v>899</v>
      </c>
      <c r="G236">
        <v>1</v>
      </c>
      <c r="H236" t="s">
        <v>310</v>
      </c>
      <c r="I236">
        <v>13</v>
      </c>
      <c r="J236" s="40">
        <v>284.85000000000002</v>
      </c>
      <c r="K236">
        <v>4</v>
      </c>
    </row>
    <row r="237" spans="1:11" x14ac:dyDescent="0.35">
      <c r="A237">
        <v>235</v>
      </c>
      <c r="B237">
        <v>2016</v>
      </c>
      <c r="C237" t="s">
        <v>219</v>
      </c>
      <c r="D237" t="s">
        <v>304</v>
      </c>
      <c r="E237" t="s">
        <v>305</v>
      </c>
      <c r="F237" t="s">
        <v>913</v>
      </c>
      <c r="G237">
        <v>1</v>
      </c>
      <c r="H237" t="s">
        <v>310</v>
      </c>
      <c r="I237">
        <v>13</v>
      </c>
      <c r="J237" s="40">
        <v>284.93</v>
      </c>
      <c r="K237">
        <v>4</v>
      </c>
    </row>
    <row r="238" spans="1:11" x14ac:dyDescent="0.35">
      <c r="A238">
        <v>236</v>
      </c>
      <c r="B238">
        <v>2016</v>
      </c>
      <c r="C238" t="s">
        <v>219</v>
      </c>
      <c r="D238" t="s">
        <v>1239</v>
      </c>
      <c r="E238" t="s">
        <v>963</v>
      </c>
      <c r="F238" t="s">
        <v>964</v>
      </c>
      <c r="G238">
        <v>2</v>
      </c>
      <c r="H238" t="s">
        <v>310</v>
      </c>
      <c r="I238">
        <v>13</v>
      </c>
      <c r="J238" s="40">
        <v>295.19</v>
      </c>
      <c r="K238">
        <v>2</v>
      </c>
    </row>
    <row r="239" spans="1:11" x14ac:dyDescent="0.35">
      <c r="A239">
        <v>237</v>
      </c>
      <c r="B239">
        <v>2016</v>
      </c>
      <c r="C239" t="s">
        <v>219</v>
      </c>
      <c r="D239" t="s">
        <v>1239</v>
      </c>
      <c r="E239" t="s">
        <v>965</v>
      </c>
      <c r="F239" t="s">
        <v>966</v>
      </c>
      <c r="G239">
        <v>2</v>
      </c>
      <c r="H239" t="s">
        <v>310</v>
      </c>
      <c r="I239">
        <v>13</v>
      </c>
      <c r="J239" s="40">
        <v>296.10000000000002</v>
      </c>
      <c r="K239">
        <v>2</v>
      </c>
    </row>
    <row r="240" spans="1:11" x14ac:dyDescent="0.35">
      <c r="A240">
        <v>238</v>
      </c>
      <c r="B240">
        <v>2016</v>
      </c>
      <c r="C240" t="s">
        <v>219</v>
      </c>
      <c r="D240" t="s">
        <v>1239</v>
      </c>
      <c r="E240" t="s">
        <v>961</v>
      </c>
      <c r="F240" t="s">
        <v>962</v>
      </c>
      <c r="G240">
        <v>2</v>
      </c>
      <c r="H240" t="s">
        <v>310</v>
      </c>
      <c r="I240">
        <v>13</v>
      </c>
      <c r="J240" s="40">
        <v>296.36</v>
      </c>
      <c r="K240">
        <v>2</v>
      </c>
    </row>
    <row r="241" spans="1:11" x14ac:dyDescent="0.35">
      <c r="A241">
        <v>239</v>
      </c>
      <c r="B241">
        <v>2016</v>
      </c>
      <c r="C241" t="s">
        <v>219</v>
      </c>
      <c r="D241" t="s">
        <v>294</v>
      </c>
      <c r="E241" t="s">
        <v>295</v>
      </c>
      <c r="F241" t="s">
        <v>1273</v>
      </c>
      <c r="G241">
        <v>3</v>
      </c>
      <c r="H241" t="s">
        <v>310</v>
      </c>
      <c r="I241">
        <v>13</v>
      </c>
      <c r="J241" s="40">
        <v>298.22000000000003</v>
      </c>
      <c r="K241">
        <v>1</v>
      </c>
    </row>
    <row r="242" spans="1:11" x14ac:dyDescent="0.35">
      <c r="A242">
        <v>240</v>
      </c>
      <c r="B242">
        <v>2016</v>
      </c>
      <c r="C242" t="s">
        <v>219</v>
      </c>
      <c r="D242" t="s">
        <v>217</v>
      </c>
      <c r="E242" t="s">
        <v>980</v>
      </c>
      <c r="F242" t="s">
        <v>1247</v>
      </c>
      <c r="G242">
        <v>1</v>
      </c>
      <c r="H242" t="s">
        <v>310</v>
      </c>
      <c r="I242">
        <v>13</v>
      </c>
      <c r="J242" s="40">
        <v>299.75</v>
      </c>
      <c r="K242">
        <v>1</v>
      </c>
    </row>
    <row r="243" spans="1:11" x14ac:dyDescent="0.35">
      <c r="A243">
        <v>241</v>
      </c>
      <c r="B243">
        <v>2016</v>
      </c>
      <c r="C243" t="s">
        <v>219</v>
      </c>
      <c r="D243" t="s">
        <v>1239</v>
      </c>
      <c r="E243" t="s">
        <v>973</v>
      </c>
      <c r="F243" t="s">
        <v>1242</v>
      </c>
      <c r="G243">
        <v>2</v>
      </c>
      <c r="H243" t="s">
        <v>310</v>
      </c>
      <c r="I243">
        <v>13</v>
      </c>
      <c r="J243" s="40">
        <v>305.19</v>
      </c>
      <c r="K243">
        <v>2</v>
      </c>
    </row>
    <row r="244" spans="1:11" x14ac:dyDescent="0.35">
      <c r="A244">
        <v>242</v>
      </c>
      <c r="B244">
        <v>2016</v>
      </c>
      <c r="C244" t="s">
        <v>219</v>
      </c>
      <c r="D244" t="s">
        <v>217</v>
      </c>
      <c r="E244" t="s">
        <v>977</v>
      </c>
      <c r="F244" t="s">
        <v>1245</v>
      </c>
      <c r="G244">
        <v>1</v>
      </c>
      <c r="H244" t="s">
        <v>310</v>
      </c>
      <c r="I244">
        <v>13</v>
      </c>
      <c r="J244" s="40">
        <v>312.36</v>
      </c>
      <c r="K244">
        <v>1</v>
      </c>
    </row>
    <row r="245" spans="1:11" x14ac:dyDescent="0.35">
      <c r="A245">
        <v>243</v>
      </c>
      <c r="B245">
        <v>2016</v>
      </c>
      <c r="C245" t="s">
        <v>219</v>
      </c>
      <c r="D245" t="s">
        <v>1280</v>
      </c>
      <c r="E245" t="s">
        <v>1114</v>
      </c>
      <c r="F245" t="s">
        <v>1116</v>
      </c>
      <c r="G245">
        <v>2</v>
      </c>
      <c r="H245" t="s">
        <v>310</v>
      </c>
      <c r="I245">
        <v>13</v>
      </c>
      <c r="J245" s="40">
        <v>316.72000000000003</v>
      </c>
      <c r="K245">
        <v>1</v>
      </c>
    </row>
    <row r="246" spans="1:11" x14ac:dyDescent="0.35">
      <c r="A246">
        <v>244</v>
      </c>
      <c r="B246">
        <v>2016</v>
      </c>
      <c r="C246" t="s">
        <v>219</v>
      </c>
      <c r="D246" t="s">
        <v>1239</v>
      </c>
      <c r="E246" t="s">
        <v>967</v>
      </c>
      <c r="F246" t="s">
        <v>968</v>
      </c>
      <c r="G246">
        <v>2</v>
      </c>
      <c r="H246" t="s">
        <v>310</v>
      </c>
      <c r="I246">
        <v>13</v>
      </c>
      <c r="J246" s="40">
        <v>319.95</v>
      </c>
      <c r="K246">
        <v>2</v>
      </c>
    </row>
    <row r="247" spans="1:11" x14ac:dyDescent="0.35">
      <c r="A247">
        <v>245</v>
      </c>
      <c r="B247">
        <v>2016</v>
      </c>
      <c r="C247" t="s">
        <v>219</v>
      </c>
      <c r="D247" t="s">
        <v>1280</v>
      </c>
      <c r="E247" t="s">
        <v>1113</v>
      </c>
      <c r="F247" t="s">
        <v>1118</v>
      </c>
      <c r="G247">
        <v>2</v>
      </c>
      <c r="H247" t="s">
        <v>310</v>
      </c>
      <c r="I247">
        <v>13</v>
      </c>
      <c r="J247" s="40">
        <v>328.67</v>
      </c>
      <c r="K247">
        <v>1</v>
      </c>
    </row>
    <row r="248" spans="1:11" x14ac:dyDescent="0.35">
      <c r="A248">
        <v>246</v>
      </c>
      <c r="B248">
        <v>2016</v>
      </c>
      <c r="C248" t="s">
        <v>219</v>
      </c>
      <c r="D248" t="s">
        <v>1280</v>
      </c>
      <c r="E248" t="s">
        <v>1115</v>
      </c>
      <c r="F248" t="s">
        <v>1128</v>
      </c>
      <c r="G248">
        <v>2</v>
      </c>
      <c r="H248" t="s">
        <v>310</v>
      </c>
      <c r="I248">
        <v>13</v>
      </c>
      <c r="J248" s="40">
        <v>328.67</v>
      </c>
      <c r="K248">
        <v>1</v>
      </c>
    </row>
    <row r="249" spans="1:11" x14ac:dyDescent="0.35">
      <c r="A249">
        <v>247</v>
      </c>
      <c r="B249">
        <v>2016</v>
      </c>
      <c r="C249" t="s">
        <v>219</v>
      </c>
      <c r="D249" t="s">
        <v>217</v>
      </c>
      <c r="E249" t="s">
        <v>975</v>
      </c>
      <c r="F249" t="s">
        <v>1244</v>
      </c>
      <c r="G249">
        <v>1</v>
      </c>
      <c r="H249" t="s">
        <v>310</v>
      </c>
      <c r="I249">
        <v>13</v>
      </c>
      <c r="J249" s="40">
        <v>329.75</v>
      </c>
      <c r="K249">
        <v>1</v>
      </c>
    </row>
    <row r="250" spans="1:11" x14ac:dyDescent="0.35">
      <c r="A250">
        <v>248</v>
      </c>
      <c r="B250">
        <v>2016</v>
      </c>
      <c r="C250" t="s">
        <v>219</v>
      </c>
      <c r="D250" t="s">
        <v>1217</v>
      </c>
      <c r="E250" t="s">
        <v>1224</v>
      </c>
      <c r="F250" t="s">
        <v>1123</v>
      </c>
      <c r="G250">
        <v>2</v>
      </c>
      <c r="H250" t="s">
        <v>310</v>
      </c>
      <c r="I250">
        <v>14</v>
      </c>
      <c r="J250" s="40">
        <v>187.93</v>
      </c>
      <c r="K250">
        <v>4</v>
      </c>
    </row>
    <row r="251" spans="1:11" x14ac:dyDescent="0.35">
      <c r="A251">
        <v>249</v>
      </c>
      <c r="B251">
        <v>2016</v>
      </c>
      <c r="C251" t="s">
        <v>219</v>
      </c>
      <c r="D251" t="s">
        <v>1217</v>
      </c>
      <c r="E251" t="s">
        <v>1216</v>
      </c>
      <c r="F251" t="s">
        <v>1119</v>
      </c>
      <c r="G251">
        <v>2</v>
      </c>
      <c r="H251" t="s">
        <v>310</v>
      </c>
      <c r="I251">
        <v>14</v>
      </c>
      <c r="J251" s="40">
        <v>191.13</v>
      </c>
      <c r="K251">
        <v>4</v>
      </c>
    </row>
    <row r="252" spans="1:11" x14ac:dyDescent="0.35">
      <c r="A252">
        <v>250</v>
      </c>
      <c r="B252">
        <v>2016</v>
      </c>
      <c r="C252" t="s">
        <v>219</v>
      </c>
      <c r="D252" t="s">
        <v>1217</v>
      </c>
      <c r="E252" t="s">
        <v>1225</v>
      </c>
      <c r="F252" t="s">
        <v>1124</v>
      </c>
      <c r="G252">
        <v>2</v>
      </c>
      <c r="H252" t="s">
        <v>310</v>
      </c>
      <c r="I252">
        <v>14</v>
      </c>
      <c r="J252" s="40">
        <v>192.6</v>
      </c>
      <c r="K252">
        <v>4</v>
      </c>
    </row>
    <row r="253" spans="1:11" x14ac:dyDescent="0.35">
      <c r="A253">
        <v>251</v>
      </c>
      <c r="B253">
        <v>2016</v>
      </c>
      <c r="C253" t="s">
        <v>219</v>
      </c>
      <c r="D253" t="s">
        <v>1217</v>
      </c>
      <c r="E253" t="s">
        <v>1218</v>
      </c>
      <c r="F253" t="s">
        <v>1120</v>
      </c>
      <c r="G253">
        <v>2</v>
      </c>
      <c r="H253" t="s">
        <v>310</v>
      </c>
      <c r="I253">
        <v>14</v>
      </c>
      <c r="J253" s="40">
        <v>195.87</v>
      </c>
      <c r="K253">
        <v>4</v>
      </c>
    </row>
    <row r="254" spans="1:11" x14ac:dyDescent="0.35">
      <c r="A254">
        <v>252</v>
      </c>
      <c r="B254">
        <v>2016</v>
      </c>
      <c r="C254" t="s">
        <v>219</v>
      </c>
      <c r="D254" t="s">
        <v>1217</v>
      </c>
      <c r="E254" t="s">
        <v>1220</v>
      </c>
      <c r="F254" t="s">
        <v>1121</v>
      </c>
      <c r="G254">
        <v>2</v>
      </c>
      <c r="H254" t="s">
        <v>310</v>
      </c>
      <c r="I254">
        <v>14</v>
      </c>
      <c r="J254" s="40">
        <v>197.14</v>
      </c>
      <c r="K254">
        <v>4</v>
      </c>
    </row>
    <row r="255" spans="1:11" x14ac:dyDescent="0.35">
      <c r="A255">
        <v>253</v>
      </c>
      <c r="B255">
        <v>2016</v>
      </c>
      <c r="C255" t="s">
        <v>219</v>
      </c>
      <c r="D255" t="s">
        <v>1217</v>
      </c>
      <c r="E255" t="s">
        <v>1221</v>
      </c>
      <c r="F255" t="s">
        <v>1122</v>
      </c>
      <c r="G255">
        <v>2</v>
      </c>
      <c r="H255" t="s">
        <v>310</v>
      </c>
      <c r="I255">
        <v>14</v>
      </c>
      <c r="J255" s="40">
        <v>202.04</v>
      </c>
      <c r="K255">
        <v>4</v>
      </c>
    </row>
    <row r="256" spans="1:11" x14ac:dyDescent="0.35">
      <c r="A256">
        <v>254</v>
      </c>
      <c r="B256">
        <v>2016</v>
      </c>
      <c r="C256" t="s">
        <v>219</v>
      </c>
      <c r="D256" t="s">
        <v>1217</v>
      </c>
      <c r="E256" t="s">
        <v>1226</v>
      </c>
      <c r="F256" t="s">
        <v>1130</v>
      </c>
      <c r="G256">
        <v>2</v>
      </c>
      <c r="H256" t="s">
        <v>310</v>
      </c>
      <c r="I256">
        <v>14</v>
      </c>
      <c r="J256" s="40">
        <v>204.69</v>
      </c>
      <c r="K256">
        <v>4</v>
      </c>
    </row>
    <row r="257" spans="1:11" x14ac:dyDescent="0.35">
      <c r="A257">
        <v>255</v>
      </c>
      <c r="B257">
        <v>2016</v>
      </c>
      <c r="C257" t="s">
        <v>219</v>
      </c>
      <c r="D257" t="s">
        <v>1217</v>
      </c>
      <c r="E257" t="s">
        <v>1219</v>
      </c>
      <c r="F257" t="s">
        <v>1129</v>
      </c>
      <c r="G257">
        <v>2</v>
      </c>
      <c r="H257" t="s">
        <v>310</v>
      </c>
      <c r="I257">
        <v>14</v>
      </c>
      <c r="J257" s="40">
        <v>208.17</v>
      </c>
      <c r="K257">
        <v>4</v>
      </c>
    </row>
    <row r="258" spans="1:11" x14ac:dyDescent="0.35">
      <c r="A258">
        <v>256</v>
      </c>
      <c r="B258">
        <v>2016</v>
      </c>
      <c r="C258" t="s">
        <v>219</v>
      </c>
      <c r="D258" t="s">
        <v>1217</v>
      </c>
      <c r="E258" t="s">
        <v>1222</v>
      </c>
      <c r="F258" t="s">
        <v>1223</v>
      </c>
      <c r="G258">
        <v>2</v>
      </c>
      <c r="H258" t="s">
        <v>310</v>
      </c>
      <c r="I258">
        <v>14</v>
      </c>
      <c r="J258" s="40">
        <v>214.72</v>
      </c>
      <c r="K258">
        <v>4</v>
      </c>
    </row>
    <row r="259" spans="1:11" x14ac:dyDescent="0.35">
      <c r="A259">
        <v>257</v>
      </c>
      <c r="B259">
        <v>2016</v>
      </c>
      <c r="C259" t="s">
        <v>219</v>
      </c>
      <c r="D259" t="s">
        <v>1134</v>
      </c>
      <c r="E259" t="s">
        <v>1202</v>
      </c>
      <c r="F259" t="s">
        <v>1203</v>
      </c>
      <c r="G259">
        <v>2</v>
      </c>
      <c r="H259" t="s">
        <v>310</v>
      </c>
      <c r="I259">
        <v>14</v>
      </c>
      <c r="J259" s="40">
        <v>221.41</v>
      </c>
      <c r="K259">
        <v>1</v>
      </c>
    </row>
    <row r="260" spans="1:11" x14ac:dyDescent="0.35">
      <c r="A260">
        <v>258</v>
      </c>
      <c r="B260">
        <v>2016</v>
      </c>
      <c r="C260" t="s">
        <v>219</v>
      </c>
      <c r="D260" t="s">
        <v>1134</v>
      </c>
      <c r="E260" t="s">
        <v>1214</v>
      </c>
      <c r="F260" t="s">
        <v>1043</v>
      </c>
      <c r="G260">
        <v>2</v>
      </c>
      <c r="H260" t="s">
        <v>310</v>
      </c>
      <c r="I260">
        <v>14</v>
      </c>
      <c r="J260" s="40">
        <v>233.84</v>
      </c>
      <c r="K260">
        <v>1</v>
      </c>
    </row>
    <row r="261" spans="1:11" x14ac:dyDescent="0.35">
      <c r="A261">
        <v>259</v>
      </c>
      <c r="B261">
        <v>2016</v>
      </c>
      <c r="C261" t="s">
        <v>219</v>
      </c>
      <c r="D261" t="s">
        <v>1280</v>
      </c>
      <c r="E261" t="s">
        <v>1114</v>
      </c>
      <c r="F261" t="s">
        <v>1116</v>
      </c>
      <c r="G261">
        <v>2</v>
      </c>
      <c r="H261" t="s">
        <v>310</v>
      </c>
      <c r="I261">
        <v>14</v>
      </c>
      <c r="J261" s="40">
        <v>244.58</v>
      </c>
      <c r="K261">
        <v>1</v>
      </c>
    </row>
    <row r="262" spans="1:11" x14ac:dyDescent="0.35">
      <c r="A262">
        <v>260</v>
      </c>
      <c r="B262">
        <v>2016</v>
      </c>
      <c r="C262" t="s">
        <v>219</v>
      </c>
      <c r="D262" t="s">
        <v>1239</v>
      </c>
      <c r="E262" t="s">
        <v>969</v>
      </c>
      <c r="F262" t="s">
        <v>970</v>
      </c>
      <c r="G262">
        <v>2</v>
      </c>
      <c r="H262" t="s">
        <v>310</v>
      </c>
      <c r="I262">
        <v>14</v>
      </c>
      <c r="J262" s="40">
        <v>245.55</v>
      </c>
      <c r="K262">
        <v>2</v>
      </c>
    </row>
    <row r="263" spans="1:11" x14ac:dyDescent="0.35">
      <c r="A263">
        <v>261</v>
      </c>
      <c r="B263">
        <v>2016</v>
      </c>
      <c r="C263" t="s">
        <v>219</v>
      </c>
      <c r="D263" t="s">
        <v>294</v>
      </c>
      <c r="E263" t="s">
        <v>1093</v>
      </c>
      <c r="F263" t="s">
        <v>1274</v>
      </c>
      <c r="G263">
        <v>2</v>
      </c>
      <c r="H263" t="s">
        <v>310</v>
      </c>
      <c r="I263">
        <v>14</v>
      </c>
      <c r="J263" s="40">
        <v>246.84</v>
      </c>
      <c r="K263">
        <v>1</v>
      </c>
    </row>
    <row r="264" spans="1:11" x14ac:dyDescent="0.35">
      <c r="A264">
        <v>262</v>
      </c>
      <c r="B264">
        <v>2016</v>
      </c>
      <c r="C264" t="s">
        <v>219</v>
      </c>
      <c r="D264" t="s">
        <v>1134</v>
      </c>
      <c r="E264" t="s">
        <v>1200</v>
      </c>
      <c r="F264" t="s">
        <v>1201</v>
      </c>
      <c r="G264">
        <v>2</v>
      </c>
      <c r="H264" t="s">
        <v>310</v>
      </c>
      <c r="I264">
        <v>14</v>
      </c>
      <c r="J264" s="40">
        <v>249.64</v>
      </c>
      <c r="K264">
        <v>1</v>
      </c>
    </row>
    <row r="265" spans="1:11" x14ac:dyDescent="0.35">
      <c r="A265">
        <v>263</v>
      </c>
      <c r="B265">
        <v>2016</v>
      </c>
      <c r="C265" t="s">
        <v>219</v>
      </c>
      <c r="D265" t="s">
        <v>1280</v>
      </c>
      <c r="E265" t="s">
        <v>1113</v>
      </c>
      <c r="F265" t="s">
        <v>1118</v>
      </c>
      <c r="G265">
        <v>2</v>
      </c>
      <c r="H265" t="s">
        <v>310</v>
      </c>
      <c r="I265">
        <v>14</v>
      </c>
      <c r="J265" s="40">
        <v>253.8</v>
      </c>
      <c r="K265">
        <v>1</v>
      </c>
    </row>
    <row r="266" spans="1:11" x14ac:dyDescent="0.35">
      <c r="A266">
        <v>264</v>
      </c>
      <c r="B266">
        <v>2016</v>
      </c>
      <c r="C266" t="s">
        <v>219</v>
      </c>
      <c r="D266" t="s">
        <v>1280</v>
      </c>
      <c r="E266" t="s">
        <v>1115</v>
      </c>
      <c r="F266" t="s">
        <v>1128</v>
      </c>
      <c r="G266">
        <v>2</v>
      </c>
      <c r="H266" t="s">
        <v>310</v>
      </c>
      <c r="I266">
        <v>14</v>
      </c>
      <c r="J266" s="40">
        <v>253.8</v>
      </c>
      <c r="K266">
        <v>1</v>
      </c>
    </row>
    <row r="267" spans="1:11" x14ac:dyDescent="0.35">
      <c r="A267">
        <v>265</v>
      </c>
      <c r="B267">
        <v>2016</v>
      </c>
      <c r="C267" t="s">
        <v>219</v>
      </c>
      <c r="D267" t="s">
        <v>1239</v>
      </c>
      <c r="E267" t="s">
        <v>963</v>
      </c>
      <c r="F267" t="s">
        <v>964</v>
      </c>
      <c r="G267">
        <v>2</v>
      </c>
      <c r="H267" t="s">
        <v>310</v>
      </c>
      <c r="I267">
        <v>14</v>
      </c>
      <c r="J267" s="40">
        <v>255.03</v>
      </c>
      <c r="K267">
        <v>2</v>
      </c>
    </row>
    <row r="268" spans="1:11" x14ac:dyDescent="0.35">
      <c r="A268">
        <v>266</v>
      </c>
      <c r="B268">
        <v>2016</v>
      </c>
      <c r="C268" t="s">
        <v>219</v>
      </c>
      <c r="D268" t="s">
        <v>1239</v>
      </c>
      <c r="E268" t="s">
        <v>965</v>
      </c>
      <c r="F268" t="s">
        <v>966</v>
      </c>
      <c r="G268">
        <v>2</v>
      </c>
      <c r="H268" t="s">
        <v>310</v>
      </c>
      <c r="I268">
        <v>14</v>
      </c>
      <c r="J268" s="40">
        <v>255.83</v>
      </c>
      <c r="K268">
        <v>2</v>
      </c>
    </row>
    <row r="269" spans="1:11" x14ac:dyDescent="0.35">
      <c r="A269">
        <v>267</v>
      </c>
      <c r="B269">
        <v>2016</v>
      </c>
      <c r="C269" t="s">
        <v>219</v>
      </c>
      <c r="D269" t="s">
        <v>1239</v>
      </c>
      <c r="E269" t="s">
        <v>961</v>
      </c>
      <c r="F269" t="s">
        <v>962</v>
      </c>
      <c r="G269">
        <v>2</v>
      </c>
      <c r="H269" t="s">
        <v>310</v>
      </c>
      <c r="I269">
        <v>14</v>
      </c>
      <c r="J269" s="40">
        <v>256.05</v>
      </c>
      <c r="K269">
        <v>2</v>
      </c>
    </row>
    <row r="270" spans="1:11" x14ac:dyDescent="0.35">
      <c r="A270">
        <v>268</v>
      </c>
      <c r="B270">
        <v>2016</v>
      </c>
      <c r="C270" t="s">
        <v>219</v>
      </c>
      <c r="D270" t="s">
        <v>1134</v>
      </c>
      <c r="E270" t="s">
        <v>1213</v>
      </c>
      <c r="F270" t="s">
        <v>1045</v>
      </c>
      <c r="G270">
        <v>2</v>
      </c>
      <c r="H270" t="s">
        <v>310</v>
      </c>
      <c r="I270">
        <v>14</v>
      </c>
      <c r="J270" s="40">
        <v>263.64999999999998</v>
      </c>
      <c r="K270">
        <v>1</v>
      </c>
    </row>
    <row r="271" spans="1:11" x14ac:dyDescent="0.35">
      <c r="A271">
        <v>269</v>
      </c>
      <c r="B271">
        <v>2016</v>
      </c>
      <c r="C271" t="s">
        <v>219</v>
      </c>
      <c r="D271" t="s">
        <v>1239</v>
      </c>
      <c r="E271" t="s">
        <v>973</v>
      </c>
      <c r="F271" t="s">
        <v>1242</v>
      </c>
      <c r="G271">
        <v>2</v>
      </c>
      <c r="H271" t="s">
        <v>310</v>
      </c>
      <c r="I271">
        <v>14</v>
      </c>
      <c r="J271" s="40">
        <v>263.68</v>
      </c>
      <c r="K271">
        <v>2</v>
      </c>
    </row>
    <row r="272" spans="1:11" x14ac:dyDescent="0.35">
      <c r="A272">
        <v>270</v>
      </c>
      <c r="B272">
        <v>2016</v>
      </c>
      <c r="C272" t="s">
        <v>219</v>
      </c>
      <c r="D272" t="s">
        <v>294</v>
      </c>
      <c r="E272" t="s">
        <v>295</v>
      </c>
      <c r="F272" t="s">
        <v>1273</v>
      </c>
      <c r="G272">
        <v>3</v>
      </c>
      <c r="H272" t="s">
        <v>310</v>
      </c>
      <c r="I272">
        <v>14</v>
      </c>
      <c r="J272" s="40">
        <v>269.16000000000003</v>
      </c>
      <c r="K272">
        <v>1</v>
      </c>
    </row>
    <row r="273" spans="1:11" x14ac:dyDescent="0.35">
      <c r="A273">
        <v>271</v>
      </c>
      <c r="B273">
        <v>2016</v>
      </c>
      <c r="C273" t="s">
        <v>219</v>
      </c>
      <c r="D273" t="s">
        <v>1239</v>
      </c>
      <c r="E273" t="s">
        <v>967</v>
      </c>
      <c r="F273" t="s">
        <v>968</v>
      </c>
      <c r="G273">
        <v>2</v>
      </c>
      <c r="H273" t="s">
        <v>310</v>
      </c>
      <c r="I273">
        <v>14</v>
      </c>
      <c r="J273" s="40">
        <v>276.43</v>
      </c>
      <c r="K273">
        <v>2</v>
      </c>
    </row>
    <row r="274" spans="1:11" x14ac:dyDescent="0.35">
      <c r="A274">
        <v>272</v>
      </c>
      <c r="B274">
        <v>2016</v>
      </c>
      <c r="C274" t="s">
        <v>219</v>
      </c>
      <c r="D274" t="s">
        <v>1134</v>
      </c>
      <c r="E274" t="s">
        <v>1204</v>
      </c>
      <c r="F274" t="s">
        <v>1205</v>
      </c>
      <c r="G274">
        <v>2</v>
      </c>
      <c r="H274" t="s">
        <v>310</v>
      </c>
      <c r="I274">
        <v>15</v>
      </c>
      <c r="J274" s="40">
        <v>323.94</v>
      </c>
      <c r="K274">
        <v>1</v>
      </c>
    </row>
    <row r="275" spans="1:11" x14ac:dyDescent="0.35">
      <c r="A275">
        <v>273</v>
      </c>
      <c r="B275">
        <v>2016</v>
      </c>
      <c r="C275" t="s">
        <v>219</v>
      </c>
      <c r="D275" t="s">
        <v>1134</v>
      </c>
      <c r="E275" t="s">
        <v>1215</v>
      </c>
      <c r="F275" t="s">
        <v>1047</v>
      </c>
      <c r="G275">
        <v>2</v>
      </c>
      <c r="H275" t="s">
        <v>310</v>
      </c>
      <c r="I275">
        <v>15</v>
      </c>
      <c r="J275" s="40">
        <v>342.13</v>
      </c>
      <c r="K275">
        <v>1</v>
      </c>
    </row>
    <row r="276" spans="1:11" x14ac:dyDescent="0.35">
      <c r="A276">
        <v>274</v>
      </c>
      <c r="B276">
        <v>2016</v>
      </c>
      <c r="C276" t="s">
        <v>219</v>
      </c>
      <c r="D276" t="s">
        <v>1280</v>
      </c>
      <c r="E276" t="s">
        <v>1114</v>
      </c>
      <c r="F276" t="s">
        <v>1116</v>
      </c>
      <c r="G276">
        <v>2</v>
      </c>
      <c r="H276" t="s">
        <v>310</v>
      </c>
      <c r="I276">
        <v>15</v>
      </c>
      <c r="J276" s="40">
        <v>343.9</v>
      </c>
      <c r="K276">
        <v>1</v>
      </c>
    </row>
    <row r="277" spans="1:11" x14ac:dyDescent="0.35">
      <c r="A277">
        <v>275</v>
      </c>
      <c r="B277">
        <v>2016</v>
      </c>
      <c r="C277" t="s">
        <v>219</v>
      </c>
      <c r="D277" t="s">
        <v>1239</v>
      </c>
      <c r="E277" t="s">
        <v>969</v>
      </c>
      <c r="F277" t="s">
        <v>970</v>
      </c>
      <c r="G277">
        <v>2</v>
      </c>
      <c r="H277" t="s">
        <v>310</v>
      </c>
      <c r="I277">
        <v>15</v>
      </c>
      <c r="J277" s="40">
        <v>354.32</v>
      </c>
      <c r="K277">
        <v>2</v>
      </c>
    </row>
    <row r="278" spans="1:11" x14ac:dyDescent="0.35">
      <c r="A278">
        <v>276</v>
      </c>
      <c r="B278">
        <v>2016</v>
      </c>
      <c r="C278" t="s">
        <v>219</v>
      </c>
      <c r="D278" t="s">
        <v>1280</v>
      </c>
      <c r="E278" t="s">
        <v>1113</v>
      </c>
      <c r="F278" t="s">
        <v>1118</v>
      </c>
      <c r="G278">
        <v>2</v>
      </c>
      <c r="H278" t="s">
        <v>310</v>
      </c>
      <c r="I278">
        <v>15</v>
      </c>
      <c r="J278" s="40">
        <v>356.87</v>
      </c>
      <c r="K278">
        <v>1</v>
      </c>
    </row>
    <row r="279" spans="1:11" x14ac:dyDescent="0.35">
      <c r="A279">
        <v>277</v>
      </c>
      <c r="B279">
        <v>2016</v>
      </c>
      <c r="C279" t="s">
        <v>219</v>
      </c>
      <c r="D279" t="s">
        <v>1280</v>
      </c>
      <c r="E279" t="s">
        <v>1115</v>
      </c>
      <c r="F279" t="s">
        <v>1128</v>
      </c>
      <c r="G279">
        <v>2</v>
      </c>
      <c r="H279" t="s">
        <v>310</v>
      </c>
      <c r="I279">
        <v>15</v>
      </c>
      <c r="J279" s="40">
        <v>356.87</v>
      </c>
      <c r="K279">
        <v>1</v>
      </c>
    </row>
    <row r="280" spans="1:11" x14ac:dyDescent="0.35">
      <c r="A280">
        <v>278</v>
      </c>
      <c r="B280">
        <v>2016</v>
      </c>
      <c r="C280" t="s">
        <v>219</v>
      </c>
      <c r="D280" t="s">
        <v>1239</v>
      </c>
      <c r="E280" t="s">
        <v>963</v>
      </c>
      <c r="F280" t="s">
        <v>964</v>
      </c>
      <c r="G280">
        <v>2</v>
      </c>
      <c r="H280" t="s">
        <v>310</v>
      </c>
      <c r="I280">
        <v>15</v>
      </c>
      <c r="J280" s="40">
        <v>368.01</v>
      </c>
      <c r="K280">
        <v>2</v>
      </c>
    </row>
    <row r="281" spans="1:11" x14ac:dyDescent="0.35">
      <c r="A281">
        <v>279</v>
      </c>
      <c r="B281">
        <v>2016</v>
      </c>
      <c r="C281" t="s">
        <v>219</v>
      </c>
      <c r="D281" t="s">
        <v>1239</v>
      </c>
      <c r="E281" t="s">
        <v>965</v>
      </c>
      <c r="F281" t="s">
        <v>966</v>
      </c>
      <c r="G281">
        <v>2</v>
      </c>
      <c r="H281" t="s">
        <v>310</v>
      </c>
      <c r="I281">
        <v>15</v>
      </c>
      <c r="J281" s="40">
        <v>369.15</v>
      </c>
      <c r="K281">
        <v>2</v>
      </c>
    </row>
    <row r="282" spans="1:11" x14ac:dyDescent="0.35">
      <c r="A282">
        <v>280</v>
      </c>
      <c r="B282">
        <v>2016</v>
      </c>
      <c r="C282" t="s">
        <v>219</v>
      </c>
      <c r="D282" t="s">
        <v>1239</v>
      </c>
      <c r="E282" t="s">
        <v>961</v>
      </c>
      <c r="F282" t="s">
        <v>962</v>
      </c>
      <c r="G282">
        <v>2</v>
      </c>
      <c r="H282" t="s">
        <v>310</v>
      </c>
      <c r="I282">
        <v>15</v>
      </c>
      <c r="J282" s="40">
        <v>369.47</v>
      </c>
      <c r="K282">
        <v>2</v>
      </c>
    </row>
    <row r="283" spans="1:11" x14ac:dyDescent="0.35">
      <c r="A283">
        <v>281</v>
      </c>
      <c r="B283">
        <v>2016</v>
      </c>
      <c r="C283" t="s">
        <v>219</v>
      </c>
      <c r="D283" t="s">
        <v>1239</v>
      </c>
      <c r="E283" t="s">
        <v>973</v>
      </c>
      <c r="F283" t="s">
        <v>1242</v>
      </c>
      <c r="G283">
        <v>2</v>
      </c>
      <c r="H283" t="s">
        <v>310</v>
      </c>
      <c r="I283">
        <v>15</v>
      </c>
      <c r="J283" s="40">
        <v>380.48</v>
      </c>
      <c r="K283">
        <v>2</v>
      </c>
    </row>
    <row r="284" spans="1:11" x14ac:dyDescent="0.35">
      <c r="A284">
        <v>282</v>
      </c>
      <c r="B284">
        <v>2016</v>
      </c>
      <c r="C284" t="s">
        <v>219</v>
      </c>
      <c r="D284" t="s">
        <v>1239</v>
      </c>
      <c r="E284" t="s">
        <v>967</v>
      </c>
      <c r="F284" t="s">
        <v>968</v>
      </c>
      <c r="G284">
        <v>2</v>
      </c>
      <c r="H284" t="s">
        <v>310</v>
      </c>
      <c r="I284">
        <v>15</v>
      </c>
      <c r="J284" s="40">
        <v>398.88</v>
      </c>
      <c r="K284">
        <v>2</v>
      </c>
    </row>
    <row r="285" spans="1:11" x14ac:dyDescent="0.35">
      <c r="A285">
        <v>283</v>
      </c>
      <c r="B285">
        <v>2016</v>
      </c>
      <c r="C285" t="s">
        <v>219</v>
      </c>
      <c r="D285" t="s">
        <v>1239</v>
      </c>
      <c r="E285" t="s">
        <v>969</v>
      </c>
      <c r="F285" t="s">
        <v>970</v>
      </c>
      <c r="G285">
        <v>2</v>
      </c>
      <c r="H285" t="s">
        <v>310</v>
      </c>
      <c r="I285">
        <v>16</v>
      </c>
      <c r="J285" s="40">
        <v>261.77</v>
      </c>
      <c r="K285">
        <v>2</v>
      </c>
    </row>
    <row r="286" spans="1:11" x14ac:dyDescent="0.35">
      <c r="A286">
        <v>284</v>
      </c>
      <c r="B286">
        <v>2016</v>
      </c>
      <c r="C286" t="s">
        <v>219</v>
      </c>
      <c r="D286" t="s">
        <v>1239</v>
      </c>
      <c r="E286" t="s">
        <v>963</v>
      </c>
      <c r="F286" t="s">
        <v>964</v>
      </c>
      <c r="G286">
        <v>2</v>
      </c>
      <c r="H286" t="s">
        <v>310</v>
      </c>
      <c r="I286">
        <v>16</v>
      </c>
      <c r="J286" s="40">
        <v>271.88</v>
      </c>
      <c r="K286">
        <v>2</v>
      </c>
    </row>
    <row r="287" spans="1:11" x14ac:dyDescent="0.35">
      <c r="A287">
        <v>285</v>
      </c>
      <c r="B287">
        <v>2016</v>
      </c>
      <c r="C287" t="s">
        <v>219</v>
      </c>
      <c r="D287" t="s">
        <v>1239</v>
      </c>
      <c r="E287" t="s">
        <v>965</v>
      </c>
      <c r="F287" t="s">
        <v>966</v>
      </c>
      <c r="G287">
        <v>2</v>
      </c>
      <c r="H287" t="s">
        <v>310</v>
      </c>
      <c r="I287">
        <v>16</v>
      </c>
      <c r="J287" s="40">
        <v>272.72000000000003</v>
      </c>
      <c r="K287">
        <v>2</v>
      </c>
    </row>
    <row r="288" spans="1:11" x14ac:dyDescent="0.35">
      <c r="A288">
        <v>286</v>
      </c>
      <c r="B288">
        <v>2016</v>
      </c>
      <c r="C288" t="s">
        <v>219</v>
      </c>
      <c r="D288" t="s">
        <v>1280</v>
      </c>
      <c r="E288" t="s">
        <v>1114</v>
      </c>
      <c r="F288" t="s">
        <v>1116</v>
      </c>
      <c r="G288">
        <v>2</v>
      </c>
      <c r="H288" t="s">
        <v>310</v>
      </c>
      <c r="I288">
        <v>16</v>
      </c>
      <c r="J288" s="40">
        <v>272.72000000000003</v>
      </c>
      <c r="K288">
        <v>1</v>
      </c>
    </row>
    <row r="289" spans="1:11" x14ac:dyDescent="0.35">
      <c r="A289">
        <v>287</v>
      </c>
      <c r="B289">
        <v>2016</v>
      </c>
      <c r="C289" t="s">
        <v>219</v>
      </c>
      <c r="D289" t="s">
        <v>1239</v>
      </c>
      <c r="E289" t="s">
        <v>961</v>
      </c>
      <c r="F289" t="s">
        <v>962</v>
      </c>
      <c r="G289">
        <v>2</v>
      </c>
      <c r="H289" t="s">
        <v>310</v>
      </c>
      <c r="I289">
        <v>16</v>
      </c>
      <c r="J289" s="40">
        <v>272.95999999999998</v>
      </c>
      <c r="K289">
        <v>2</v>
      </c>
    </row>
    <row r="290" spans="1:11" x14ac:dyDescent="0.35">
      <c r="A290">
        <v>288</v>
      </c>
      <c r="B290">
        <v>2016</v>
      </c>
      <c r="C290" t="s">
        <v>219</v>
      </c>
      <c r="D290" t="s">
        <v>1239</v>
      </c>
      <c r="E290" t="s">
        <v>973</v>
      </c>
      <c r="F290" t="s">
        <v>1242</v>
      </c>
      <c r="G290">
        <v>2</v>
      </c>
      <c r="H290" t="s">
        <v>310</v>
      </c>
      <c r="I290">
        <v>16</v>
      </c>
      <c r="J290" s="40">
        <v>281.08999999999997</v>
      </c>
      <c r="K290">
        <v>2</v>
      </c>
    </row>
    <row r="291" spans="1:11" x14ac:dyDescent="0.35">
      <c r="A291">
        <v>289</v>
      </c>
      <c r="B291">
        <v>2016</v>
      </c>
      <c r="C291" t="s">
        <v>219</v>
      </c>
      <c r="D291" t="s">
        <v>1280</v>
      </c>
      <c r="E291" t="s">
        <v>1113</v>
      </c>
      <c r="F291" t="s">
        <v>1118</v>
      </c>
      <c r="G291">
        <v>2</v>
      </c>
      <c r="H291" t="s">
        <v>310</v>
      </c>
      <c r="I291">
        <v>16</v>
      </c>
      <c r="J291" s="40">
        <v>283.01</v>
      </c>
      <c r="K291">
        <v>1</v>
      </c>
    </row>
    <row r="292" spans="1:11" x14ac:dyDescent="0.35">
      <c r="A292">
        <v>290</v>
      </c>
      <c r="B292">
        <v>2016</v>
      </c>
      <c r="C292" t="s">
        <v>219</v>
      </c>
      <c r="D292" t="s">
        <v>1280</v>
      </c>
      <c r="E292" t="s">
        <v>1115</v>
      </c>
      <c r="F292" t="s">
        <v>1128</v>
      </c>
      <c r="G292">
        <v>2</v>
      </c>
      <c r="H292" t="s">
        <v>310</v>
      </c>
      <c r="I292">
        <v>16</v>
      </c>
      <c r="J292" s="40">
        <v>283.01</v>
      </c>
      <c r="K292">
        <v>1</v>
      </c>
    </row>
    <row r="293" spans="1:11" x14ac:dyDescent="0.35">
      <c r="A293">
        <v>291</v>
      </c>
      <c r="B293">
        <v>2016</v>
      </c>
      <c r="C293" t="s">
        <v>219</v>
      </c>
      <c r="D293" t="s">
        <v>1239</v>
      </c>
      <c r="E293" t="s">
        <v>967</v>
      </c>
      <c r="F293" t="s">
        <v>968</v>
      </c>
      <c r="G293">
        <v>2</v>
      </c>
      <c r="H293" t="s">
        <v>310</v>
      </c>
      <c r="I293">
        <v>16</v>
      </c>
      <c r="J293" s="40">
        <v>294.69</v>
      </c>
      <c r="K293">
        <v>2</v>
      </c>
    </row>
    <row r="294" spans="1:11" x14ac:dyDescent="0.35">
      <c r="A294">
        <v>292</v>
      </c>
      <c r="B294">
        <v>2016</v>
      </c>
      <c r="C294" t="s">
        <v>219</v>
      </c>
      <c r="D294" t="s">
        <v>294</v>
      </c>
      <c r="E294" t="s">
        <v>295</v>
      </c>
      <c r="F294" t="s">
        <v>1273</v>
      </c>
      <c r="G294">
        <v>3</v>
      </c>
      <c r="H294" t="s">
        <v>310</v>
      </c>
      <c r="I294">
        <v>16</v>
      </c>
      <c r="J294" s="40">
        <v>303.63</v>
      </c>
      <c r="K294">
        <v>1</v>
      </c>
    </row>
    <row r="295" spans="1:11" x14ac:dyDescent="0.35">
      <c r="A295">
        <v>293</v>
      </c>
      <c r="B295">
        <v>2016</v>
      </c>
      <c r="C295" t="s">
        <v>219</v>
      </c>
      <c r="D295" t="s">
        <v>1280</v>
      </c>
      <c r="E295" t="s">
        <v>1112</v>
      </c>
      <c r="F295" t="s">
        <v>1132</v>
      </c>
      <c r="G295">
        <v>2</v>
      </c>
      <c r="H295" t="s">
        <v>843</v>
      </c>
      <c r="I295">
        <v>1</v>
      </c>
      <c r="J295" s="40">
        <v>370.8</v>
      </c>
      <c r="K295">
        <v>1</v>
      </c>
    </row>
    <row r="296" spans="1:11" x14ac:dyDescent="0.35">
      <c r="A296">
        <v>294</v>
      </c>
      <c r="B296">
        <v>2016</v>
      </c>
      <c r="C296" t="s">
        <v>219</v>
      </c>
      <c r="D296" t="s">
        <v>1280</v>
      </c>
      <c r="E296" t="s">
        <v>1111</v>
      </c>
      <c r="F296" t="s">
        <v>1117</v>
      </c>
      <c r="G296">
        <v>2</v>
      </c>
      <c r="H296" t="s">
        <v>843</v>
      </c>
      <c r="I296">
        <v>1</v>
      </c>
      <c r="J296" s="40">
        <v>397.18</v>
      </c>
      <c r="K296">
        <v>1</v>
      </c>
    </row>
    <row r="297" spans="1:11" x14ac:dyDescent="0.35">
      <c r="A297">
        <v>295</v>
      </c>
      <c r="B297">
        <v>2016</v>
      </c>
      <c r="C297" t="s">
        <v>219</v>
      </c>
      <c r="D297" t="s">
        <v>1134</v>
      </c>
      <c r="E297" t="s">
        <v>1170</v>
      </c>
      <c r="F297" t="s">
        <v>1171</v>
      </c>
      <c r="G297">
        <v>2</v>
      </c>
      <c r="H297" t="s">
        <v>843</v>
      </c>
      <c r="I297">
        <v>1</v>
      </c>
      <c r="J297" s="40">
        <v>443.23</v>
      </c>
      <c r="K297">
        <v>1</v>
      </c>
    </row>
    <row r="298" spans="1:11" x14ac:dyDescent="0.35">
      <c r="A298">
        <v>296</v>
      </c>
      <c r="B298">
        <v>2016</v>
      </c>
      <c r="C298" t="s">
        <v>219</v>
      </c>
      <c r="D298" t="s">
        <v>1239</v>
      </c>
      <c r="E298" t="s">
        <v>971</v>
      </c>
      <c r="F298" t="s">
        <v>1241</v>
      </c>
      <c r="G298">
        <v>2</v>
      </c>
      <c r="H298" t="s">
        <v>843</v>
      </c>
      <c r="I298">
        <v>1</v>
      </c>
      <c r="J298" s="40">
        <v>511.53</v>
      </c>
      <c r="K298">
        <v>2</v>
      </c>
    </row>
    <row r="299" spans="1:11" x14ac:dyDescent="0.35">
      <c r="A299">
        <v>297</v>
      </c>
      <c r="B299">
        <v>2016</v>
      </c>
      <c r="C299" t="s">
        <v>219</v>
      </c>
      <c r="D299" t="s">
        <v>1217</v>
      </c>
      <c r="E299" t="s">
        <v>1237</v>
      </c>
      <c r="F299" t="s">
        <v>1238</v>
      </c>
      <c r="G299">
        <v>2</v>
      </c>
      <c r="H299" t="s">
        <v>843</v>
      </c>
      <c r="I299">
        <v>2</v>
      </c>
      <c r="J299" s="40">
        <v>280.97000000000003</v>
      </c>
      <c r="K299">
        <v>4</v>
      </c>
    </row>
    <row r="300" spans="1:11" x14ac:dyDescent="0.35">
      <c r="A300">
        <v>298</v>
      </c>
      <c r="B300">
        <v>2016</v>
      </c>
      <c r="C300" t="s">
        <v>219</v>
      </c>
      <c r="D300" t="s">
        <v>297</v>
      </c>
      <c r="E300" t="s">
        <v>1105</v>
      </c>
      <c r="F300" t="s">
        <v>1106</v>
      </c>
      <c r="G300">
        <v>2</v>
      </c>
      <c r="H300" t="s">
        <v>843</v>
      </c>
      <c r="I300">
        <v>2</v>
      </c>
      <c r="J300" s="40">
        <v>312.83999999999997</v>
      </c>
      <c r="K300">
        <v>1</v>
      </c>
    </row>
    <row r="301" spans="1:11" x14ac:dyDescent="0.35">
      <c r="A301">
        <v>299</v>
      </c>
      <c r="B301">
        <v>2016</v>
      </c>
      <c r="C301" t="s">
        <v>219</v>
      </c>
      <c r="D301" t="s">
        <v>297</v>
      </c>
      <c r="E301" t="s">
        <v>1103</v>
      </c>
      <c r="F301" t="s">
        <v>1104</v>
      </c>
      <c r="G301">
        <v>2</v>
      </c>
      <c r="H301" t="s">
        <v>843</v>
      </c>
      <c r="I301">
        <v>2</v>
      </c>
      <c r="J301" s="40">
        <v>315.51</v>
      </c>
      <c r="K301">
        <v>1</v>
      </c>
    </row>
    <row r="302" spans="1:11" x14ac:dyDescent="0.35">
      <c r="A302">
        <v>300</v>
      </c>
      <c r="B302">
        <v>2016</v>
      </c>
      <c r="C302" t="s">
        <v>219</v>
      </c>
      <c r="D302" t="s">
        <v>217</v>
      </c>
      <c r="E302" t="s">
        <v>974</v>
      </c>
      <c r="F302" t="s">
        <v>1243</v>
      </c>
      <c r="G302">
        <v>1</v>
      </c>
      <c r="H302" t="s">
        <v>843</v>
      </c>
      <c r="I302">
        <v>2</v>
      </c>
      <c r="J302" s="40">
        <v>323.07</v>
      </c>
      <c r="K302">
        <v>1</v>
      </c>
    </row>
    <row r="303" spans="1:11" x14ac:dyDescent="0.35">
      <c r="A303">
        <v>301</v>
      </c>
      <c r="B303">
        <v>2016</v>
      </c>
      <c r="C303" t="s">
        <v>219</v>
      </c>
      <c r="D303" t="s">
        <v>297</v>
      </c>
      <c r="E303" t="s">
        <v>1101</v>
      </c>
      <c r="F303" t="s">
        <v>1278</v>
      </c>
      <c r="G303">
        <v>2</v>
      </c>
      <c r="H303" t="s">
        <v>843</v>
      </c>
      <c r="I303">
        <v>2</v>
      </c>
      <c r="J303" s="40">
        <v>324.31</v>
      </c>
      <c r="K303">
        <v>1</v>
      </c>
    </row>
    <row r="304" spans="1:11" x14ac:dyDescent="0.35">
      <c r="A304">
        <v>302</v>
      </c>
      <c r="B304">
        <v>2016</v>
      </c>
      <c r="C304" t="s">
        <v>219</v>
      </c>
      <c r="D304" t="s">
        <v>1134</v>
      </c>
      <c r="E304" t="s">
        <v>1172</v>
      </c>
      <c r="F304" t="s">
        <v>1173</v>
      </c>
      <c r="G304">
        <v>2</v>
      </c>
      <c r="H304" t="s">
        <v>843</v>
      </c>
      <c r="I304">
        <v>2</v>
      </c>
      <c r="J304" s="40">
        <v>331.12</v>
      </c>
      <c r="K304">
        <v>1</v>
      </c>
    </row>
    <row r="305" spans="1:11" x14ac:dyDescent="0.35">
      <c r="A305">
        <v>303</v>
      </c>
      <c r="B305">
        <v>2016</v>
      </c>
      <c r="C305" t="s">
        <v>219</v>
      </c>
      <c r="D305" t="s">
        <v>1280</v>
      </c>
      <c r="E305" t="s">
        <v>1112</v>
      </c>
      <c r="F305" t="s">
        <v>1132</v>
      </c>
      <c r="G305">
        <v>2</v>
      </c>
      <c r="H305" t="s">
        <v>843</v>
      </c>
      <c r="I305">
        <v>2</v>
      </c>
      <c r="J305" s="40">
        <v>342.81</v>
      </c>
      <c r="K305">
        <v>1</v>
      </c>
    </row>
    <row r="306" spans="1:11" x14ac:dyDescent="0.35">
      <c r="A306">
        <v>304</v>
      </c>
      <c r="B306">
        <v>2016</v>
      </c>
      <c r="C306" t="s">
        <v>219</v>
      </c>
      <c r="D306" t="s">
        <v>294</v>
      </c>
      <c r="E306" t="s">
        <v>1084</v>
      </c>
      <c r="F306" t="s">
        <v>1268</v>
      </c>
      <c r="G306">
        <v>3</v>
      </c>
      <c r="H306" t="s">
        <v>843</v>
      </c>
      <c r="I306">
        <v>2</v>
      </c>
      <c r="J306" s="40">
        <v>356.46</v>
      </c>
      <c r="K306">
        <v>1</v>
      </c>
    </row>
    <row r="307" spans="1:11" x14ac:dyDescent="0.35">
      <c r="A307">
        <v>305</v>
      </c>
      <c r="B307">
        <v>2016</v>
      </c>
      <c r="C307" t="s">
        <v>219</v>
      </c>
      <c r="D307" t="s">
        <v>1134</v>
      </c>
      <c r="E307" t="s">
        <v>1178</v>
      </c>
      <c r="F307" t="s">
        <v>1179</v>
      </c>
      <c r="G307">
        <v>2</v>
      </c>
      <c r="H307" t="s">
        <v>843</v>
      </c>
      <c r="I307">
        <v>2</v>
      </c>
      <c r="J307" s="40">
        <v>359.91</v>
      </c>
      <c r="K307">
        <v>1</v>
      </c>
    </row>
    <row r="308" spans="1:11" x14ac:dyDescent="0.35">
      <c r="A308">
        <v>306</v>
      </c>
      <c r="B308">
        <v>2016</v>
      </c>
      <c r="C308" t="s">
        <v>219</v>
      </c>
      <c r="D308" t="s">
        <v>1280</v>
      </c>
      <c r="E308" t="s">
        <v>1111</v>
      </c>
      <c r="F308" t="s">
        <v>1117</v>
      </c>
      <c r="G308">
        <v>2</v>
      </c>
      <c r="H308" t="s">
        <v>843</v>
      </c>
      <c r="I308">
        <v>2</v>
      </c>
      <c r="J308" s="40">
        <v>367.2</v>
      </c>
      <c r="K308">
        <v>1</v>
      </c>
    </row>
    <row r="309" spans="1:11" x14ac:dyDescent="0.35">
      <c r="A309">
        <v>307</v>
      </c>
      <c r="B309">
        <v>2016</v>
      </c>
      <c r="C309" t="s">
        <v>219</v>
      </c>
      <c r="D309" t="s">
        <v>1239</v>
      </c>
      <c r="E309" t="s">
        <v>971</v>
      </c>
      <c r="F309" t="s">
        <v>1241</v>
      </c>
      <c r="G309">
        <v>2</v>
      </c>
      <c r="H309" t="s">
        <v>843</v>
      </c>
      <c r="I309">
        <v>2</v>
      </c>
      <c r="J309" s="40">
        <v>373.95</v>
      </c>
      <c r="K309">
        <v>2</v>
      </c>
    </row>
    <row r="310" spans="1:11" x14ac:dyDescent="0.35">
      <c r="A310">
        <v>308</v>
      </c>
      <c r="B310">
        <v>2016</v>
      </c>
      <c r="C310" t="s">
        <v>219</v>
      </c>
      <c r="D310" t="s">
        <v>304</v>
      </c>
      <c r="E310" t="s">
        <v>892</v>
      </c>
      <c r="F310" t="s">
        <v>893</v>
      </c>
      <c r="G310">
        <v>1</v>
      </c>
      <c r="H310" t="s">
        <v>843</v>
      </c>
      <c r="I310">
        <v>2</v>
      </c>
      <c r="J310" s="40">
        <v>435.73</v>
      </c>
      <c r="K310">
        <v>4</v>
      </c>
    </row>
    <row r="311" spans="1:11" x14ac:dyDescent="0.35">
      <c r="A311">
        <v>309</v>
      </c>
      <c r="B311">
        <v>2016</v>
      </c>
      <c r="C311" t="s">
        <v>219</v>
      </c>
      <c r="D311" t="s">
        <v>304</v>
      </c>
      <c r="E311" t="s">
        <v>890</v>
      </c>
      <c r="F311" t="s">
        <v>891</v>
      </c>
      <c r="G311">
        <v>1</v>
      </c>
      <c r="H311" t="s">
        <v>843</v>
      </c>
      <c r="I311">
        <v>2</v>
      </c>
      <c r="J311" s="40">
        <v>447.71</v>
      </c>
      <c r="K311">
        <v>4</v>
      </c>
    </row>
    <row r="312" spans="1:11" x14ac:dyDescent="0.35">
      <c r="A312">
        <v>310</v>
      </c>
      <c r="B312">
        <v>2016</v>
      </c>
      <c r="C312" t="s">
        <v>219</v>
      </c>
      <c r="D312" t="s">
        <v>1217</v>
      </c>
      <c r="E312" t="s">
        <v>1237</v>
      </c>
      <c r="F312" t="s">
        <v>1238</v>
      </c>
      <c r="G312">
        <v>2</v>
      </c>
      <c r="H312" t="s">
        <v>843</v>
      </c>
      <c r="I312">
        <v>3</v>
      </c>
      <c r="J312" s="40">
        <v>270.55</v>
      </c>
      <c r="K312">
        <v>4</v>
      </c>
    </row>
    <row r="313" spans="1:11" x14ac:dyDescent="0.35">
      <c r="A313">
        <v>311</v>
      </c>
      <c r="B313">
        <v>2016</v>
      </c>
      <c r="C313" t="s">
        <v>219</v>
      </c>
      <c r="D313" t="s">
        <v>1250</v>
      </c>
      <c r="E313" t="s">
        <v>1252</v>
      </c>
      <c r="F313" t="s">
        <v>1253</v>
      </c>
      <c r="G313">
        <v>1</v>
      </c>
      <c r="H313" t="s">
        <v>843</v>
      </c>
      <c r="I313">
        <v>3</v>
      </c>
      <c r="J313" s="40">
        <v>298.45999999999998</v>
      </c>
      <c r="K313">
        <v>4</v>
      </c>
    </row>
    <row r="314" spans="1:11" x14ac:dyDescent="0.35">
      <c r="A314">
        <v>312</v>
      </c>
      <c r="B314">
        <v>2016</v>
      </c>
      <c r="C314" t="s">
        <v>219</v>
      </c>
      <c r="D314" t="s">
        <v>294</v>
      </c>
      <c r="E314" t="s">
        <v>1078</v>
      </c>
      <c r="F314" t="s">
        <v>1265</v>
      </c>
      <c r="G314">
        <v>2</v>
      </c>
      <c r="H314" t="s">
        <v>843</v>
      </c>
      <c r="I314">
        <v>3</v>
      </c>
      <c r="J314" s="40">
        <v>301.31</v>
      </c>
      <c r="K314">
        <v>1</v>
      </c>
    </row>
    <row r="315" spans="1:11" x14ac:dyDescent="0.35">
      <c r="A315">
        <v>313</v>
      </c>
      <c r="B315">
        <v>2016</v>
      </c>
      <c r="C315" t="s">
        <v>219</v>
      </c>
      <c r="D315" t="s">
        <v>1134</v>
      </c>
      <c r="E315" t="s">
        <v>1172</v>
      </c>
      <c r="F315" t="s">
        <v>1173</v>
      </c>
      <c r="G315">
        <v>2</v>
      </c>
      <c r="H315" t="s">
        <v>843</v>
      </c>
      <c r="I315">
        <v>3</v>
      </c>
      <c r="J315" s="40">
        <v>306.87</v>
      </c>
      <c r="K315">
        <v>1</v>
      </c>
    </row>
    <row r="316" spans="1:11" x14ac:dyDescent="0.35">
      <c r="A316">
        <v>314</v>
      </c>
      <c r="B316">
        <v>2016</v>
      </c>
      <c r="C316" t="s">
        <v>219</v>
      </c>
      <c r="D316" t="s">
        <v>1250</v>
      </c>
      <c r="E316" t="s">
        <v>1254</v>
      </c>
      <c r="F316" t="s">
        <v>1255</v>
      </c>
      <c r="G316">
        <v>1</v>
      </c>
      <c r="H316" t="s">
        <v>843</v>
      </c>
      <c r="I316">
        <v>3</v>
      </c>
      <c r="J316" s="40">
        <v>307.27999999999997</v>
      </c>
      <c r="K316">
        <v>4</v>
      </c>
    </row>
    <row r="317" spans="1:11" x14ac:dyDescent="0.35">
      <c r="A317">
        <v>315</v>
      </c>
      <c r="B317">
        <v>2016</v>
      </c>
      <c r="C317" t="s">
        <v>219</v>
      </c>
      <c r="D317" t="s">
        <v>297</v>
      </c>
      <c r="E317" t="s">
        <v>1105</v>
      </c>
      <c r="F317" t="s">
        <v>1106</v>
      </c>
      <c r="G317">
        <v>2</v>
      </c>
      <c r="H317" t="s">
        <v>843</v>
      </c>
      <c r="I317">
        <v>3</v>
      </c>
      <c r="J317" s="40">
        <v>312.83999999999997</v>
      </c>
      <c r="K317">
        <v>1</v>
      </c>
    </row>
    <row r="318" spans="1:11" x14ac:dyDescent="0.35">
      <c r="A318">
        <v>316</v>
      </c>
      <c r="B318">
        <v>2016</v>
      </c>
      <c r="C318" t="s">
        <v>219</v>
      </c>
      <c r="D318" t="s">
        <v>297</v>
      </c>
      <c r="E318" t="s">
        <v>1103</v>
      </c>
      <c r="F318" t="s">
        <v>1104</v>
      </c>
      <c r="G318">
        <v>2</v>
      </c>
      <c r="H318" t="s">
        <v>843</v>
      </c>
      <c r="I318">
        <v>3</v>
      </c>
      <c r="J318" s="40">
        <v>315.51</v>
      </c>
      <c r="K318">
        <v>1</v>
      </c>
    </row>
    <row r="319" spans="1:11" x14ac:dyDescent="0.35">
      <c r="A319">
        <v>317</v>
      </c>
      <c r="B319">
        <v>2016</v>
      </c>
      <c r="C319" t="s">
        <v>219</v>
      </c>
      <c r="D319" t="s">
        <v>1280</v>
      </c>
      <c r="E319" t="s">
        <v>1112</v>
      </c>
      <c r="F319" t="s">
        <v>1132</v>
      </c>
      <c r="G319">
        <v>2</v>
      </c>
      <c r="H319" t="s">
        <v>843</v>
      </c>
      <c r="I319">
        <v>3</v>
      </c>
      <c r="J319" s="40">
        <v>322.08999999999997</v>
      </c>
      <c r="K319">
        <v>1</v>
      </c>
    </row>
    <row r="320" spans="1:11" x14ac:dyDescent="0.35">
      <c r="A320">
        <v>318</v>
      </c>
      <c r="B320">
        <v>2016</v>
      </c>
      <c r="C320" t="s">
        <v>219</v>
      </c>
      <c r="D320" t="s">
        <v>294</v>
      </c>
      <c r="E320" t="s">
        <v>1084</v>
      </c>
      <c r="F320" t="s">
        <v>1268</v>
      </c>
      <c r="G320">
        <v>3</v>
      </c>
      <c r="H320" t="s">
        <v>843</v>
      </c>
      <c r="I320">
        <v>3</v>
      </c>
      <c r="J320" s="40">
        <v>323.14</v>
      </c>
      <c r="K320">
        <v>1</v>
      </c>
    </row>
    <row r="321" spans="1:11" x14ac:dyDescent="0.35">
      <c r="A321">
        <v>319</v>
      </c>
      <c r="B321">
        <v>2016</v>
      </c>
      <c r="C321" t="s">
        <v>219</v>
      </c>
      <c r="D321" t="s">
        <v>297</v>
      </c>
      <c r="E321" t="s">
        <v>1101</v>
      </c>
      <c r="F321" t="s">
        <v>1278</v>
      </c>
      <c r="G321">
        <v>2</v>
      </c>
      <c r="H321" t="s">
        <v>843</v>
      </c>
      <c r="I321">
        <v>3</v>
      </c>
      <c r="J321" s="40">
        <v>324.31</v>
      </c>
      <c r="K321">
        <v>1</v>
      </c>
    </row>
    <row r="322" spans="1:11" x14ac:dyDescent="0.35">
      <c r="A322">
        <v>320</v>
      </c>
      <c r="B322">
        <v>2016</v>
      </c>
      <c r="C322" t="s">
        <v>219</v>
      </c>
      <c r="D322" t="s">
        <v>1280</v>
      </c>
      <c r="E322" t="s">
        <v>1111</v>
      </c>
      <c r="F322" t="s">
        <v>1117</v>
      </c>
      <c r="G322">
        <v>2</v>
      </c>
      <c r="H322" t="s">
        <v>843</v>
      </c>
      <c r="I322">
        <v>3</v>
      </c>
      <c r="J322" s="40">
        <v>345</v>
      </c>
      <c r="K322">
        <v>1</v>
      </c>
    </row>
    <row r="323" spans="1:11" x14ac:dyDescent="0.35">
      <c r="A323">
        <v>321</v>
      </c>
      <c r="B323">
        <v>2016</v>
      </c>
      <c r="C323" t="s">
        <v>219</v>
      </c>
      <c r="D323" t="s">
        <v>217</v>
      </c>
      <c r="E323" t="s">
        <v>974</v>
      </c>
      <c r="F323" t="s">
        <v>1243</v>
      </c>
      <c r="G323">
        <v>1</v>
      </c>
      <c r="H323" t="s">
        <v>843</v>
      </c>
      <c r="I323">
        <v>3</v>
      </c>
      <c r="J323" s="40">
        <v>348.9</v>
      </c>
      <c r="K323">
        <v>1</v>
      </c>
    </row>
    <row r="324" spans="1:11" x14ac:dyDescent="0.35">
      <c r="A324">
        <v>322</v>
      </c>
      <c r="B324">
        <v>2016</v>
      </c>
      <c r="C324" t="s">
        <v>219</v>
      </c>
      <c r="D324" t="s">
        <v>1239</v>
      </c>
      <c r="E324" t="s">
        <v>971</v>
      </c>
      <c r="F324" t="s">
        <v>1241</v>
      </c>
      <c r="G324">
        <v>2</v>
      </c>
      <c r="H324" t="s">
        <v>843</v>
      </c>
      <c r="I324">
        <v>3</v>
      </c>
      <c r="J324" s="40">
        <v>373.71</v>
      </c>
      <c r="K324">
        <v>2</v>
      </c>
    </row>
    <row r="325" spans="1:11" x14ac:dyDescent="0.35">
      <c r="A325">
        <v>323</v>
      </c>
      <c r="B325">
        <v>2016</v>
      </c>
      <c r="C325" t="s">
        <v>219</v>
      </c>
      <c r="D325" t="s">
        <v>304</v>
      </c>
      <c r="E325" t="s">
        <v>892</v>
      </c>
      <c r="F325" t="s">
        <v>893</v>
      </c>
      <c r="G325">
        <v>1</v>
      </c>
      <c r="H325" t="s">
        <v>843</v>
      </c>
      <c r="I325">
        <v>3</v>
      </c>
      <c r="J325" s="40">
        <v>415.44</v>
      </c>
      <c r="K325">
        <v>4</v>
      </c>
    </row>
    <row r="326" spans="1:11" x14ac:dyDescent="0.35">
      <c r="A326">
        <v>324</v>
      </c>
      <c r="B326">
        <v>2016</v>
      </c>
      <c r="C326" t="s">
        <v>219</v>
      </c>
      <c r="D326" t="s">
        <v>304</v>
      </c>
      <c r="E326" t="s">
        <v>890</v>
      </c>
      <c r="F326" t="s">
        <v>891</v>
      </c>
      <c r="G326">
        <v>1</v>
      </c>
      <c r="H326" t="s">
        <v>843</v>
      </c>
      <c r="I326">
        <v>3</v>
      </c>
      <c r="J326" s="40">
        <v>426.86</v>
      </c>
      <c r="K326">
        <v>4</v>
      </c>
    </row>
    <row r="327" spans="1:11" x14ac:dyDescent="0.35">
      <c r="A327">
        <v>325</v>
      </c>
      <c r="B327">
        <v>2016</v>
      </c>
      <c r="C327" t="s">
        <v>219</v>
      </c>
      <c r="D327" t="s">
        <v>297</v>
      </c>
      <c r="E327" t="s">
        <v>1105</v>
      </c>
      <c r="F327" t="s">
        <v>1106</v>
      </c>
      <c r="G327">
        <v>2</v>
      </c>
      <c r="H327" t="s">
        <v>843</v>
      </c>
      <c r="I327">
        <v>4</v>
      </c>
      <c r="J327" s="40">
        <v>312.83999999999997</v>
      </c>
      <c r="K327">
        <v>1</v>
      </c>
    </row>
    <row r="328" spans="1:11" x14ac:dyDescent="0.35">
      <c r="A328">
        <v>326</v>
      </c>
      <c r="B328">
        <v>2016</v>
      </c>
      <c r="C328" t="s">
        <v>219</v>
      </c>
      <c r="D328" t="s">
        <v>297</v>
      </c>
      <c r="E328" t="s">
        <v>1103</v>
      </c>
      <c r="F328" t="s">
        <v>1104</v>
      </c>
      <c r="G328">
        <v>2</v>
      </c>
      <c r="H328" t="s">
        <v>843</v>
      </c>
      <c r="I328">
        <v>4</v>
      </c>
      <c r="J328" s="40">
        <v>315.51</v>
      </c>
      <c r="K328">
        <v>1</v>
      </c>
    </row>
    <row r="329" spans="1:11" x14ac:dyDescent="0.35">
      <c r="A329">
        <v>327</v>
      </c>
      <c r="B329">
        <v>2016</v>
      </c>
      <c r="C329" t="s">
        <v>219</v>
      </c>
      <c r="D329" t="s">
        <v>297</v>
      </c>
      <c r="E329" t="s">
        <v>1101</v>
      </c>
      <c r="F329" t="s">
        <v>1278</v>
      </c>
      <c r="G329">
        <v>2</v>
      </c>
      <c r="H329" t="s">
        <v>843</v>
      </c>
      <c r="I329">
        <v>4</v>
      </c>
      <c r="J329" s="40">
        <v>324.31</v>
      </c>
      <c r="K329">
        <v>1</v>
      </c>
    </row>
    <row r="330" spans="1:11" x14ac:dyDescent="0.35">
      <c r="A330">
        <v>328</v>
      </c>
      <c r="B330">
        <v>2016</v>
      </c>
      <c r="C330" t="s">
        <v>219</v>
      </c>
      <c r="D330" t="s">
        <v>294</v>
      </c>
      <c r="E330" t="s">
        <v>1084</v>
      </c>
      <c r="F330" t="s">
        <v>1268</v>
      </c>
      <c r="G330">
        <v>3</v>
      </c>
      <c r="H330" t="s">
        <v>843</v>
      </c>
      <c r="I330">
        <v>4</v>
      </c>
      <c r="J330" s="40">
        <v>330.43</v>
      </c>
      <c r="K330">
        <v>1</v>
      </c>
    </row>
    <row r="331" spans="1:11" x14ac:dyDescent="0.35">
      <c r="A331">
        <v>329</v>
      </c>
      <c r="B331">
        <v>2016</v>
      </c>
      <c r="C331" t="s">
        <v>219</v>
      </c>
      <c r="D331" t="s">
        <v>1280</v>
      </c>
      <c r="E331" t="s">
        <v>1112</v>
      </c>
      <c r="F331" t="s">
        <v>1132</v>
      </c>
      <c r="G331">
        <v>2</v>
      </c>
      <c r="H331" t="s">
        <v>843</v>
      </c>
      <c r="I331">
        <v>4</v>
      </c>
      <c r="J331" s="40">
        <v>367.89</v>
      </c>
      <c r="K331">
        <v>1</v>
      </c>
    </row>
    <row r="332" spans="1:11" x14ac:dyDescent="0.35">
      <c r="A332">
        <v>330</v>
      </c>
      <c r="B332">
        <v>2016</v>
      </c>
      <c r="C332" t="s">
        <v>219</v>
      </c>
      <c r="D332" t="s">
        <v>1280</v>
      </c>
      <c r="E332" t="s">
        <v>1111</v>
      </c>
      <c r="F332" t="s">
        <v>1117</v>
      </c>
      <c r="G332">
        <v>2</v>
      </c>
      <c r="H332" t="s">
        <v>843</v>
      </c>
      <c r="I332">
        <v>4</v>
      </c>
      <c r="J332" s="40">
        <v>394.06</v>
      </c>
      <c r="K332">
        <v>1</v>
      </c>
    </row>
    <row r="333" spans="1:11" x14ac:dyDescent="0.35">
      <c r="A333">
        <v>331</v>
      </c>
      <c r="B333">
        <v>2016</v>
      </c>
      <c r="C333" t="s">
        <v>219</v>
      </c>
      <c r="D333" t="s">
        <v>1239</v>
      </c>
      <c r="E333" t="s">
        <v>971</v>
      </c>
      <c r="F333" t="s">
        <v>1241</v>
      </c>
      <c r="G333">
        <v>2</v>
      </c>
      <c r="H333" t="s">
        <v>843</v>
      </c>
      <c r="I333">
        <v>4</v>
      </c>
      <c r="J333" s="40">
        <v>462.87</v>
      </c>
      <c r="K333">
        <v>2</v>
      </c>
    </row>
    <row r="334" spans="1:11" x14ac:dyDescent="0.35">
      <c r="A334">
        <v>332</v>
      </c>
      <c r="B334">
        <v>2016</v>
      </c>
      <c r="C334" t="s">
        <v>219</v>
      </c>
      <c r="D334" t="s">
        <v>304</v>
      </c>
      <c r="E334" t="s">
        <v>892</v>
      </c>
      <c r="F334" t="s">
        <v>893</v>
      </c>
      <c r="G334">
        <v>1</v>
      </c>
      <c r="H334" t="s">
        <v>843</v>
      </c>
      <c r="I334">
        <v>4</v>
      </c>
      <c r="J334" s="40">
        <v>480.27</v>
      </c>
      <c r="K334">
        <v>4</v>
      </c>
    </row>
    <row r="335" spans="1:11" x14ac:dyDescent="0.35">
      <c r="A335">
        <v>333</v>
      </c>
      <c r="B335">
        <v>2016</v>
      </c>
      <c r="C335" t="s">
        <v>219</v>
      </c>
      <c r="D335" t="s">
        <v>304</v>
      </c>
      <c r="E335" t="s">
        <v>890</v>
      </c>
      <c r="F335" t="s">
        <v>891</v>
      </c>
      <c r="G335">
        <v>1</v>
      </c>
      <c r="H335" t="s">
        <v>843</v>
      </c>
      <c r="I335">
        <v>4</v>
      </c>
      <c r="J335" s="40">
        <v>493.48</v>
      </c>
      <c r="K335">
        <v>4</v>
      </c>
    </row>
    <row r="336" spans="1:11" x14ac:dyDescent="0.35">
      <c r="A336">
        <v>334</v>
      </c>
      <c r="B336">
        <v>2016</v>
      </c>
      <c r="C336" t="s">
        <v>219</v>
      </c>
      <c r="D336" t="s">
        <v>1280</v>
      </c>
      <c r="E336" t="s">
        <v>1112</v>
      </c>
      <c r="F336" t="s">
        <v>1132</v>
      </c>
      <c r="G336">
        <v>2</v>
      </c>
      <c r="H336" t="s">
        <v>843</v>
      </c>
      <c r="I336">
        <v>5</v>
      </c>
      <c r="J336" s="40">
        <v>297</v>
      </c>
      <c r="K336">
        <v>1</v>
      </c>
    </row>
    <row r="337" spans="1:11" x14ac:dyDescent="0.35">
      <c r="A337">
        <v>335</v>
      </c>
      <c r="B337">
        <v>2016</v>
      </c>
      <c r="C337" t="s">
        <v>219</v>
      </c>
      <c r="D337" t="s">
        <v>1134</v>
      </c>
      <c r="E337" t="s">
        <v>1182</v>
      </c>
      <c r="F337" t="s">
        <v>1183</v>
      </c>
      <c r="G337">
        <v>2</v>
      </c>
      <c r="H337" t="s">
        <v>843</v>
      </c>
      <c r="I337">
        <v>5</v>
      </c>
      <c r="J337" s="40">
        <v>310.41000000000003</v>
      </c>
      <c r="K337">
        <v>1</v>
      </c>
    </row>
    <row r="338" spans="1:11" x14ac:dyDescent="0.35">
      <c r="A338">
        <v>336</v>
      </c>
      <c r="B338">
        <v>2016</v>
      </c>
      <c r="C338" t="s">
        <v>219</v>
      </c>
      <c r="D338" t="s">
        <v>1280</v>
      </c>
      <c r="E338" t="s">
        <v>1111</v>
      </c>
      <c r="F338" t="s">
        <v>1117</v>
      </c>
      <c r="G338">
        <v>2</v>
      </c>
      <c r="H338" t="s">
        <v>843</v>
      </c>
      <c r="I338">
        <v>5</v>
      </c>
      <c r="J338" s="40">
        <v>318.13</v>
      </c>
      <c r="K338">
        <v>1</v>
      </c>
    </row>
    <row r="339" spans="1:11" x14ac:dyDescent="0.35">
      <c r="A339">
        <v>337</v>
      </c>
      <c r="B339">
        <v>2016</v>
      </c>
      <c r="C339" t="s">
        <v>219</v>
      </c>
      <c r="D339" t="s">
        <v>294</v>
      </c>
      <c r="E339" t="s">
        <v>1084</v>
      </c>
      <c r="F339" t="s">
        <v>1268</v>
      </c>
      <c r="G339">
        <v>3</v>
      </c>
      <c r="H339" t="s">
        <v>843</v>
      </c>
      <c r="I339">
        <v>5</v>
      </c>
      <c r="J339" s="40">
        <v>320.95</v>
      </c>
      <c r="K339">
        <v>1</v>
      </c>
    </row>
    <row r="340" spans="1:11" x14ac:dyDescent="0.35">
      <c r="A340">
        <v>338</v>
      </c>
      <c r="B340">
        <v>2016</v>
      </c>
      <c r="C340" t="s">
        <v>219</v>
      </c>
      <c r="D340" t="s">
        <v>1134</v>
      </c>
      <c r="E340" t="s">
        <v>1174</v>
      </c>
      <c r="F340" t="s">
        <v>1175</v>
      </c>
      <c r="G340">
        <v>2</v>
      </c>
      <c r="H340" t="s">
        <v>843</v>
      </c>
      <c r="I340">
        <v>5</v>
      </c>
      <c r="J340" s="40">
        <v>321.16000000000003</v>
      </c>
      <c r="K340">
        <v>1</v>
      </c>
    </row>
    <row r="341" spans="1:11" x14ac:dyDescent="0.35">
      <c r="A341">
        <v>339</v>
      </c>
      <c r="B341">
        <v>2016</v>
      </c>
      <c r="C341" t="s">
        <v>219</v>
      </c>
      <c r="D341" t="s">
        <v>1239</v>
      </c>
      <c r="E341" t="s">
        <v>971</v>
      </c>
      <c r="F341" t="s">
        <v>1241</v>
      </c>
      <c r="G341">
        <v>2</v>
      </c>
      <c r="H341" t="s">
        <v>843</v>
      </c>
      <c r="I341">
        <v>5</v>
      </c>
      <c r="J341" s="40">
        <v>340.98</v>
      </c>
      <c r="K341">
        <v>2</v>
      </c>
    </row>
    <row r="342" spans="1:11" x14ac:dyDescent="0.35">
      <c r="A342">
        <v>340</v>
      </c>
      <c r="B342">
        <v>2016</v>
      </c>
      <c r="C342" t="s">
        <v>219</v>
      </c>
      <c r="D342" t="s">
        <v>1280</v>
      </c>
      <c r="E342" t="s">
        <v>1112</v>
      </c>
      <c r="F342" t="s">
        <v>1132</v>
      </c>
      <c r="G342">
        <v>2</v>
      </c>
      <c r="H342" t="s">
        <v>843</v>
      </c>
      <c r="I342">
        <v>6</v>
      </c>
      <c r="J342" s="40">
        <v>350.44</v>
      </c>
      <c r="K342">
        <v>1</v>
      </c>
    </row>
    <row r="343" spans="1:11" x14ac:dyDescent="0.35">
      <c r="A343">
        <v>341</v>
      </c>
      <c r="B343">
        <v>2016</v>
      </c>
      <c r="C343" t="s">
        <v>219</v>
      </c>
      <c r="D343" t="s">
        <v>294</v>
      </c>
      <c r="E343" t="s">
        <v>1084</v>
      </c>
      <c r="F343" t="s">
        <v>1268</v>
      </c>
      <c r="G343">
        <v>3</v>
      </c>
      <c r="H343" t="s">
        <v>843</v>
      </c>
      <c r="I343">
        <v>6</v>
      </c>
      <c r="J343" s="40">
        <v>358.07</v>
      </c>
      <c r="K343">
        <v>1</v>
      </c>
    </row>
    <row r="344" spans="1:11" x14ac:dyDescent="0.35">
      <c r="A344">
        <v>342</v>
      </c>
      <c r="B344">
        <v>2016</v>
      </c>
      <c r="C344" t="s">
        <v>219</v>
      </c>
      <c r="D344" t="s">
        <v>1280</v>
      </c>
      <c r="E344" t="s">
        <v>1111</v>
      </c>
      <c r="F344" t="s">
        <v>1117</v>
      </c>
      <c r="G344">
        <v>2</v>
      </c>
      <c r="H344" t="s">
        <v>843</v>
      </c>
      <c r="I344">
        <v>6</v>
      </c>
      <c r="J344" s="40">
        <v>375.37</v>
      </c>
      <c r="K344">
        <v>1</v>
      </c>
    </row>
    <row r="345" spans="1:11" x14ac:dyDescent="0.35">
      <c r="A345">
        <v>343</v>
      </c>
      <c r="B345">
        <v>2016</v>
      </c>
      <c r="C345" t="s">
        <v>219</v>
      </c>
      <c r="D345" t="s">
        <v>1134</v>
      </c>
      <c r="E345" t="s">
        <v>1182</v>
      </c>
      <c r="F345" t="s">
        <v>1183</v>
      </c>
      <c r="G345">
        <v>2</v>
      </c>
      <c r="H345" t="s">
        <v>843</v>
      </c>
      <c r="I345">
        <v>6</v>
      </c>
      <c r="J345" s="40">
        <v>389.54</v>
      </c>
      <c r="K345">
        <v>1</v>
      </c>
    </row>
    <row r="346" spans="1:11" x14ac:dyDescent="0.35">
      <c r="A346">
        <v>344</v>
      </c>
      <c r="B346">
        <v>2016</v>
      </c>
      <c r="C346" t="s">
        <v>219</v>
      </c>
      <c r="D346" t="s">
        <v>1239</v>
      </c>
      <c r="E346" t="s">
        <v>971</v>
      </c>
      <c r="F346" t="s">
        <v>1241</v>
      </c>
      <c r="G346">
        <v>2</v>
      </c>
      <c r="H346" t="s">
        <v>843</v>
      </c>
      <c r="I346">
        <v>6</v>
      </c>
      <c r="J346" s="40">
        <v>413.94</v>
      </c>
      <c r="K346">
        <v>2</v>
      </c>
    </row>
    <row r="347" spans="1:11" x14ac:dyDescent="0.35">
      <c r="A347">
        <v>345</v>
      </c>
      <c r="B347">
        <v>2016</v>
      </c>
      <c r="C347" t="s">
        <v>219</v>
      </c>
      <c r="D347" t="s">
        <v>1280</v>
      </c>
      <c r="E347" t="s">
        <v>1112</v>
      </c>
      <c r="F347" t="s">
        <v>1132</v>
      </c>
      <c r="G347">
        <v>2</v>
      </c>
      <c r="H347" t="s">
        <v>843</v>
      </c>
      <c r="I347">
        <v>7</v>
      </c>
      <c r="J347" s="40">
        <v>288.64</v>
      </c>
      <c r="K347">
        <v>1</v>
      </c>
    </row>
    <row r="348" spans="1:11" x14ac:dyDescent="0.35">
      <c r="A348">
        <v>346</v>
      </c>
      <c r="B348">
        <v>2016</v>
      </c>
      <c r="C348" t="s">
        <v>219</v>
      </c>
      <c r="D348" t="s">
        <v>1280</v>
      </c>
      <c r="E348" t="s">
        <v>1111</v>
      </c>
      <c r="F348" t="s">
        <v>1117</v>
      </c>
      <c r="G348">
        <v>2</v>
      </c>
      <c r="H348" t="s">
        <v>843</v>
      </c>
      <c r="I348">
        <v>7</v>
      </c>
      <c r="J348" s="40">
        <v>309.18</v>
      </c>
      <c r="K348">
        <v>1</v>
      </c>
    </row>
    <row r="349" spans="1:11" x14ac:dyDescent="0.35">
      <c r="A349">
        <v>347</v>
      </c>
      <c r="B349">
        <v>2016</v>
      </c>
      <c r="C349" t="s">
        <v>219</v>
      </c>
      <c r="D349" t="s">
        <v>304</v>
      </c>
      <c r="E349" t="s">
        <v>892</v>
      </c>
      <c r="F349" t="s">
        <v>893</v>
      </c>
      <c r="G349">
        <v>1</v>
      </c>
      <c r="H349" t="s">
        <v>843</v>
      </c>
      <c r="I349">
        <v>7</v>
      </c>
      <c r="J349" s="40">
        <v>372.96</v>
      </c>
      <c r="K349">
        <v>4</v>
      </c>
    </row>
    <row r="350" spans="1:11" x14ac:dyDescent="0.35">
      <c r="A350">
        <v>348</v>
      </c>
      <c r="B350">
        <v>2016</v>
      </c>
      <c r="C350" t="s">
        <v>219</v>
      </c>
      <c r="D350" t="s">
        <v>304</v>
      </c>
      <c r="E350" t="s">
        <v>890</v>
      </c>
      <c r="F350" t="s">
        <v>891</v>
      </c>
      <c r="G350">
        <v>1</v>
      </c>
      <c r="H350" t="s">
        <v>843</v>
      </c>
      <c r="I350">
        <v>7</v>
      </c>
      <c r="J350" s="40">
        <v>383.22</v>
      </c>
      <c r="K350">
        <v>4</v>
      </c>
    </row>
    <row r="351" spans="1:11" x14ac:dyDescent="0.35">
      <c r="A351">
        <v>349</v>
      </c>
      <c r="B351">
        <v>2016</v>
      </c>
      <c r="C351" t="s">
        <v>219</v>
      </c>
      <c r="D351" t="s">
        <v>1239</v>
      </c>
      <c r="E351" t="s">
        <v>971</v>
      </c>
      <c r="F351" t="s">
        <v>1241</v>
      </c>
      <c r="G351">
        <v>2</v>
      </c>
      <c r="H351" t="s">
        <v>843</v>
      </c>
      <c r="I351">
        <v>7</v>
      </c>
      <c r="J351" s="40">
        <v>424.65</v>
      </c>
      <c r="K351">
        <v>2</v>
      </c>
    </row>
    <row r="352" spans="1:11" x14ac:dyDescent="0.35">
      <c r="A352">
        <v>350</v>
      </c>
      <c r="B352">
        <v>2016</v>
      </c>
      <c r="C352" t="s">
        <v>219</v>
      </c>
      <c r="D352" t="s">
        <v>1217</v>
      </c>
      <c r="E352" t="s">
        <v>1237</v>
      </c>
      <c r="F352" t="s">
        <v>1238</v>
      </c>
      <c r="G352">
        <v>2</v>
      </c>
      <c r="H352" t="s">
        <v>843</v>
      </c>
      <c r="I352">
        <v>8</v>
      </c>
      <c r="J352" s="40">
        <v>308.10000000000002</v>
      </c>
      <c r="K352">
        <v>4</v>
      </c>
    </row>
    <row r="353" spans="1:11" x14ac:dyDescent="0.35">
      <c r="A353">
        <v>351</v>
      </c>
      <c r="B353">
        <v>2016</v>
      </c>
      <c r="C353" t="s">
        <v>219</v>
      </c>
      <c r="D353" t="s">
        <v>297</v>
      </c>
      <c r="E353" t="s">
        <v>1105</v>
      </c>
      <c r="F353" t="s">
        <v>1106</v>
      </c>
      <c r="G353">
        <v>2</v>
      </c>
      <c r="H353" t="s">
        <v>843</v>
      </c>
      <c r="I353">
        <v>8</v>
      </c>
      <c r="J353" s="40">
        <v>312.83999999999997</v>
      </c>
      <c r="K353">
        <v>1</v>
      </c>
    </row>
    <row r="354" spans="1:11" x14ac:dyDescent="0.35">
      <c r="A354">
        <v>352</v>
      </c>
      <c r="B354">
        <v>2016</v>
      </c>
      <c r="C354" t="s">
        <v>219</v>
      </c>
      <c r="D354" t="s">
        <v>297</v>
      </c>
      <c r="E354" t="s">
        <v>1103</v>
      </c>
      <c r="F354" t="s">
        <v>1104</v>
      </c>
      <c r="G354">
        <v>2</v>
      </c>
      <c r="H354" t="s">
        <v>843</v>
      </c>
      <c r="I354">
        <v>8</v>
      </c>
      <c r="J354" s="40">
        <v>315.51</v>
      </c>
      <c r="K354">
        <v>1</v>
      </c>
    </row>
    <row r="355" spans="1:11" x14ac:dyDescent="0.35">
      <c r="A355">
        <v>353</v>
      </c>
      <c r="B355">
        <v>2016</v>
      </c>
      <c r="C355" t="s">
        <v>219</v>
      </c>
      <c r="D355" t="s">
        <v>1280</v>
      </c>
      <c r="E355" t="s">
        <v>1112</v>
      </c>
      <c r="F355" t="s">
        <v>1132</v>
      </c>
      <c r="G355">
        <v>2</v>
      </c>
      <c r="H355" t="s">
        <v>843</v>
      </c>
      <c r="I355">
        <v>8</v>
      </c>
      <c r="J355" s="40">
        <v>317.72000000000003</v>
      </c>
      <c r="K355">
        <v>1</v>
      </c>
    </row>
    <row r="356" spans="1:11" x14ac:dyDescent="0.35">
      <c r="A356">
        <v>354</v>
      </c>
      <c r="B356">
        <v>2016</v>
      </c>
      <c r="C356" t="s">
        <v>219</v>
      </c>
      <c r="D356" t="s">
        <v>1134</v>
      </c>
      <c r="E356" t="s">
        <v>1176</v>
      </c>
      <c r="F356" t="s">
        <v>1177</v>
      </c>
      <c r="G356">
        <v>2</v>
      </c>
      <c r="H356" t="s">
        <v>843</v>
      </c>
      <c r="I356">
        <v>8</v>
      </c>
      <c r="J356" s="40">
        <v>319.64</v>
      </c>
      <c r="K356">
        <v>1</v>
      </c>
    </row>
    <row r="357" spans="1:11" x14ac:dyDescent="0.35">
      <c r="A357">
        <v>355</v>
      </c>
      <c r="B357">
        <v>2016</v>
      </c>
      <c r="C357" t="s">
        <v>219</v>
      </c>
      <c r="D357" t="s">
        <v>297</v>
      </c>
      <c r="E357" t="s">
        <v>1101</v>
      </c>
      <c r="F357" t="s">
        <v>1278</v>
      </c>
      <c r="G357">
        <v>2</v>
      </c>
      <c r="H357" t="s">
        <v>843</v>
      </c>
      <c r="I357">
        <v>8</v>
      </c>
      <c r="J357" s="40">
        <v>324.31</v>
      </c>
      <c r="K357">
        <v>1</v>
      </c>
    </row>
    <row r="358" spans="1:11" x14ac:dyDescent="0.35">
      <c r="A358">
        <v>356</v>
      </c>
      <c r="B358">
        <v>2016</v>
      </c>
      <c r="C358" t="s">
        <v>219</v>
      </c>
      <c r="D358" t="s">
        <v>294</v>
      </c>
      <c r="E358" t="s">
        <v>1084</v>
      </c>
      <c r="F358" t="s">
        <v>1268</v>
      </c>
      <c r="G358">
        <v>3</v>
      </c>
      <c r="H358" t="s">
        <v>843</v>
      </c>
      <c r="I358">
        <v>8</v>
      </c>
      <c r="J358" s="40">
        <v>336.4</v>
      </c>
      <c r="K358">
        <v>1</v>
      </c>
    </row>
    <row r="359" spans="1:11" x14ac:dyDescent="0.35">
      <c r="A359">
        <v>357</v>
      </c>
      <c r="B359">
        <v>2016</v>
      </c>
      <c r="C359" t="s">
        <v>219</v>
      </c>
      <c r="D359" t="s">
        <v>1280</v>
      </c>
      <c r="E359" t="s">
        <v>1111</v>
      </c>
      <c r="F359" t="s">
        <v>1117</v>
      </c>
      <c r="G359">
        <v>2</v>
      </c>
      <c r="H359" t="s">
        <v>843</v>
      </c>
      <c r="I359">
        <v>8</v>
      </c>
      <c r="J359" s="40">
        <v>340.33</v>
      </c>
      <c r="K359">
        <v>1</v>
      </c>
    </row>
    <row r="360" spans="1:11" x14ac:dyDescent="0.35">
      <c r="A360">
        <v>358</v>
      </c>
      <c r="B360">
        <v>2016</v>
      </c>
      <c r="C360" t="s">
        <v>219</v>
      </c>
      <c r="D360" t="s">
        <v>294</v>
      </c>
      <c r="E360" t="s">
        <v>1080</v>
      </c>
      <c r="F360" t="s">
        <v>1266</v>
      </c>
      <c r="G360">
        <v>2</v>
      </c>
      <c r="H360" t="s">
        <v>843</v>
      </c>
      <c r="I360">
        <v>8</v>
      </c>
      <c r="J360" s="40">
        <v>344.14</v>
      </c>
      <c r="K360">
        <v>1</v>
      </c>
    </row>
    <row r="361" spans="1:11" x14ac:dyDescent="0.35">
      <c r="A361">
        <v>359</v>
      </c>
      <c r="B361">
        <v>2016</v>
      </c>
      <c r="C361" t="s">
        <v>219</v>
      </c>
      <c r="D361" t="s">
        <v>1239</v>
      </c>
      <c r="E361" t="s">
        <v>971</v>
      </c>
      <c r="F361" t="s">
        <v>1241</v>
      </c>
      <c r="G361">
        <v>2</v>
      </c>
      <c r="H361" t="s">
        <v>843</v>
      </c>
      <c r="I361">
        <v>8</v>
      </c>
      <c r="J361" s="40">
        <v>390.83</v>
      </c>
      <c r="K361">
        <v>2</v>
      </c>
    </row>
    <row r="362" spans="1:11" x14ac:dyDescent="0.35">
      <c r="A362">
        <v>360</v>
      </c>
      <c r="B362">
        <v>2016</v>
      </c>
      <c r="C362" t="s">
        <v>219</v>
      </c>
      <c r="D362" t="s">
        <v>304</v>
      </c>
      <c r="E362" t="s">
        <v>892</v>
      </c>
      <c r="F362" t="s">
        <v>893</v>
      </c>
      <c r="G362">
        <v>1</v>
      </c>
      <c r="H362" t="s">
        <v>843</v>
      </c>
      <c r="I362">
        <v>9</v>
      </c>
      <c r="J362" s="40">
        <v>349.26</v>
      </c>
      <c r="K362">
        <v>4</v>
      </c>
    </row>
    <row r="363" spans="1:11" x14ac:dyDescent="0.35">
      <c r="A363">
        <v>361</v>
      </c>
      <c r="B363">
        <v>2016</v>
      </c>
      <c r="C363" t="s">
        <v>219</v>
      </c>
      <c r="D363" t="s">
        <v>1280</v>
      </c>
      <c r="E363" t="s">
        <v>1112</v>
      </c>
      <c r="F363" t="s">
        <v>1132</v>
      </c>
      <c r="G363">
        <v>2</v>
      </c>
      <c r="H363" t="s">
        <v>843</v>
      </c>
      <c r="I363">
        <v>9</v>
      </c>
      <c r="J363" s="40">
        <v>349.72</v>
      </c>
      <c r="K363">
        <v>1</v>
      </c>
    </row>
    <row r="364" spans="1:11" x14ac:dyDescent="0.35">
      <c r="A364">
        <v>362</v>
      </c>
      <c r="B364">
        <v>2016</v>
      </c>
      <c r="C364" t="s">
        <v>219</v>
      </c>
      <c r="D364" t="s">
        <v>304</v>
      </c>
      <c r="E364" t="s">
        <v>890</v>
      </c>
      <c r="F364" t="s">
        <v>891</v>
      </c>
      <c r="G364">
        <v>1</v>
      </c>
      <c r="H364" t="s">
        <v>843</v>
      </c>
      <c r="I364">
        <v>9</v>
      </c>
      <c r="J364" s="40">
        <v>358.87</v>
      </c>
      <c r="K364">
        <v>4</v>
      </c>
    </row>
    <row r="365" spans="1:11" x14ac:dyDescent="0.35">
      <c r="A365">
        <v>363</v>
      </c>
      <c r="B365">
        <v>2016</v>
      </c>
      <c r="C365" t="s">
        <v>219</v>
      </c>
      <c r="D365" t="s">
        <v>1280</v>
      </c>
      <c r="E365" t="s">
        <v>1111</v>
      </c>
      <c r="F365" t="s">
        <v>1117</v>
      </c>
      <c r="G365">
        <v>2</v>
      </c>
      <c r="H365" t="s">
        <v>843</v>
      </c>
      <c r="I365">
        <v>9</v>
      </c>
      <c r="J365" s="40">
        <v>374.59</v>
      </c>
      <c r="K365">
        <v>1</v>
      </c>
    </row>
    <row r="366" spans="1:11" x14ac:dyDescent="0.35">
      <c r="A366">
        <v>364</v>
      </c>
      <c r="B366">
        <v>2016</v>
      </c>
      <c r="C366" t="s">
        <v>219</v>
      </c>
      <c r="D366" t="s">
        <v>1239</v>
      </c>
      <c r="E366" t="s">
        <v>971</v>
      </c>
      <c r="F366" t="s">
        <v>1241</v>
      </c>
      <c r="G366">
        <v>2</v>
      </c>
      <c r="H366" t="s">
        <v>843</v>
      </c>
      <c r="I366">
        <v>9</v>
      </c>
      <c r="J366" s="40">
        <v>394.97</v>
      </c>
      <c r="K366">
        <v>2</v>
      </c>
    </row>
    <row r="367" spans="1:11" x14ac:dyDescent="0.35">
      <c r="A367">
        <v>365</v>
      </c>
      <c r="B367">
        <v>2016</v>
      </c>
      <c r="C367" t="s">
        <v>219</v>
      </c>
      <c r="D367" t="s">
        <v>294</v>
      </c>
      <c r="E367" t="s">
        <v>1084</v>
      </c>
      <c r="F367" t="s">
        <v>1268</v>
      </c>
      <c r="G367">
        <v>3</v>
      </c>
      <c r="H367" t="s">
        <v>843</v>
      </c>
      <c r="I367">
        <v>9</v>
      </c>
      <c r="J367" s="40">
        <v>416.96</v>
      </c>
      <c r="K367">
        <v>1</v>
      </c>
    </row>
    <row r="368" spans="1:11" x14ac:dyDescent="0.35">
      <c r="A368">
        <v>366</v>
      </c>
      <c r="B368">
        <v>2016</v>
      </c>
      <c r="C368" t="s">
        <v>219</v>
      </c>
      <c r="D368" t="s">
        <v>294</v>
      </c>
      <c r="E368" t="s">
        <v>1078</v>
      </c>
      <c r="F368" t="s">
        <v>1265</v>
      </c>
      <c r="G368">
        <v>2</v>
      </c>
      <c r="H368" t="s">
        <v>843</v>
      </c>
      <c r="I368">
        <v>10</v>
      </c>
      <c r="J368" s="40">
        <v>303.56</v>
      </c>
      <c r="K368">
        <v>1</v>
      </c>
    </row>
    <row r="369" spans="1:11" x14ac:dyDescent="0.35">
      <c r="A369">
        <v>367</v>
      </c>
      <c r="B369">
        <v>2016</v>
      </c>
      <c r="C369" t="s">
        <v>219</v>
      </c>
      <c r="D369" t="s">
        <v>297</v>
      </c>
      <c r="E369" t="s">
        <v>1105</v>
      </c>
      <c r="F369" t="s">
        <v>1106</v>
      </c>
      <c r="G369">
        <v>2</v>
      </c>
      <c r="H369" t="s">
        <v>843</v>
      </c>
      <c r="I369">
        <v>10</v>
      </c>
      <c r="J369" s="40">
        <v>312.83999999999997</v>
      </c>
      <c r="K369">
        <v>1</v>
      </c>
    </row>
    <row r="370" spans="1:11" x14ac:dyDescent="0.35">
      <c r="A370">
        <v>368</v>
      </c>
      <c r="B370">
        <v>2016</v>
      </c>
      <c r="C370" t="s">
        <v>219</v>
      </c>
      <c r="D370" t="s">
        <v>297</v>
      </c>
      <c r="E370" t="s">
        <v>1103</v>
      </c>
      <c r="F370" t="s">
        <v>1104</v>
      </c>
      <c r="G370">
        <v>2</v>
      </c>
      <c r="H370" t="s">
        <v>843</v>
      </c>
      <c r="I370">
        <v>10</v>
      </c>
      <c r="J370" s="40">
        <v>315.51</v>
      </c>
      <c r="K370">
        <v>1</v>
      </c>
    </row>
    <row r="371" spans="1:11" x14ac:dyDescent="0.35">
      <c r="A371">
        <v>369</v>
      </c>
      <c r="B371">
        <v>2016</v>
      </c>
      <c r="C371" t="s">
        <v>219</v>
      </c>
      <c r="D371" t="s">
        <v>297</v>
      </c>
      <c r="E371" t="s">
        <v>1101</v>
      </c>
      <c r="F371" t="s">
        <v>1278</v>
      </c>
      <c r="G371">
        <v>2</v>
      </c>
      <c r="H371" t="s">
        <v>843</v>
      </c>
      <c r="I371">
        <v>10</v>
      </c>
      <c r="J371" s="40">
        <v>324.31</v>
      </c>
      <c r="K371">
        <v>1</v>
      </c>
    </row>
    <row r="372" spans="1:11" x14ac:dyDescent="0.35">
      <c r="A372">
        <v>370</v>
      </c>
      <c r="B372">
        <v>2016</v>
      </c>
      <c r="C372" t="s">
        <v>219</v>
      </c>
      <c r="D372" t="s">
        <v>294</v>
      </c>
      <c r="E372" t="s">
        <v>1084</v>
      </c>
      <c r="F372" t="s">
        <v>1268</v>
      </c>
      <c r="G372">
        <v>3</v>
      </c>
      <c r="H372" t="s">
        <v>843</v>
      </c>
      <c r="I372">
        <v>10</v>
      </c>
      <c r="J372" s="40">
        <v>325.56</v>
      </c>
      <c r="K372">
        <v>1</v>
      </c>
    </row>
    <row r="373" spans="1:11" x14ac:dyDescent="0.35">
      <c r="A373">
        <v>371</v>
      </c>
      <c r="B373">
        <v>2016</v>
      </c>
      <c r="C373" t="s">
        <v>219</v>
      </c>
      <c r="D373" t="s">
        <v>1134</v>
      </c>
      <c r="E373" t="s">
        <v>1172</v>
      </c>
      <c r="F373" t="s">
        <v>1173</v>
      </c>
      <c r="G373">
        <v>2</v>
      </c>
      <c r="H373" t="s">
        <v>843</v>
      </c>
      <c r="I373">
        <v>10</v>
      </c>
      <c r="J373" s="40">
        <v>328.97</v>
      </c>
      <c r="K373">
        <v>1</v>
      </c>
    </row>
    <row r="374" spans="1:11" x14ac:dyDescent="0.35">
      <c r="A374">
        <v>372</v>
      </c>
      <c r="B374">
        <v>2016</v>
      </c>
      <c r="C374" t="s">
        <v>219</v>
      </c>
      <c r="D374" t="s">
        <v>1280</v>
      </c>
      <c r="E374" t="s">
        <v>1112</v>
      </c>
      <c r="F374" t="s">
        <v>1132</v>
      </c>
      <c r="G374">
        <v>2</v>
      </c>
      <c r="H374" t="s">
        <v>843</v>
      </c>
      <c r="I374">
        <v>10</v>
      </c>
      <c r="J374" s="40">
        <v>338.45</v>
      </c>
      <c r="K374">
        <v>1</v>
      </c>
    </row>
    <row r="375" spans="1:11" x14ac:dyDescent="0.35">
      <c r="A375">
        <v>373</v>
      </c>
      <c r="B375">
        <v>2016</v>
      </c>
      <c r="C375" t="s">
        <v>219</v>
      </c>
      <c r="D375" t="s">
        <v>1134</v>
      </c>
      <c r="E375" t="s">
        <v>1178</v>
      </c>
      <c r="F375" t="s">
        <v>1179</v>
      </c>
      <c r="G375">
        <v>2</v>
      </c>
      <c r="H375" t="s">
        <v>843</v>
      </c>
      <c r="I375">
        <v>10</v>
      </c>
      <c r="J375" s="40">
        <v>357.58</v>
      </c>
      <c r="K375">
        <v>1</v>
      </c>
    </row>
    <row r="376" spans="1:11" x14ac:dyDescent="0.35">
      <c r="A376">
        <v>374</v>
      </c>
      <c r="B376">
        <v>2016</v>
      </c>
      <c r="C376" t="s">
        <v>219</v>
      </c>
      <c r="D376" t="s">
        <v>1280</v>
      </c>
      <c r="E376" t="s">
        <v>1111</v>
      </c>
      <c r="F376" t="s">
        <v>1117</v>
      </c>
      <c r="G376">
        <v>2</v>
      </c>
      <c r="H376" t="s">
        <v>843</v>
      </c>
      <c r="I376">
        <v>10</v>
      </c>
      <c r="J376" s="40">
        <v>362.52</v>
      </c>
      <c r="K376">
        <v>1</v>
      </c>
    </row>
    <row r="377" spans="1:11" x14ac:dyDescent="0.35">
      <c r="A377">
        <v>375</v>
      </c>
      <c r="B377">
        <v>2016</v>
      </c>
      <c r="C377" t="s">
        <v>219</v>
      </c>
      <c r="D377" t="s">
        <v>1239</v>
      </c>
      <c r="E377" t="s">
        <v>971</v>
      </c>
      <c r="F377" t="s">
        <v>1241</v>
      </c>
      <c r="G377">
        <v>2</v>
      </c>
      <c r="H377" t="s">
        <v>843</v>
      </c>
      <c r="I377">
        <v>10</v>
      </c>
      <c r="J377" s="40">
        <v>414.74</v>
      </c>
      <c r="K377">
        <v>2</v>
      </c>
    </row>
    <row r="378" spans="1:11" x14ac:dyDescent="0.35">
      <c r="A378">
        <v>376</v>
      </c>
      <c r="B378">
        <v>2016</v>
      </c>
      <c r="C378" t="s">
        <v>219</v>
      </c>
      <c r="D378" t="s">
        <v>304</v>
      </c>
      <c r="E378" t="s">
        <v>892</v>
      </c>
      <c r="F378" t="s">
        <v>893</v>
      </c>
      <c r="G378">
        <v>1</v>
      </c>
      <c r="H378" t="s">
        <v>843</v>
      </c>
      <c r="I378">
        <v>10</v>
      </c>
      <c r="J378" s="40">
        <v>432.62</v>
      </c>
      <c r="K378">
        <v>4</v>
      </c>
    </row>
    <row r="379" spans="1:11" x14ac:dyDescent="0.35">
      <c r="A379">
        <v>377</v>
      </c>
      <c r="B379">
        <v>2016</v>
      </c>
      <c r="C379" t="s">
        <v>219</v>
      </c>
      <c r="D379" t="s">
        <v>304</v>
      </c>
      <c r="E379" t="s">
        <v>890</v>
      </c>
      <c r="F379" t="s">
        <v>891</v>
      </c>
      <c r="G379">
        <v>1</v>
      </c>
      <c r="H379" t="s">
        <v>843</v>
      </c>
      <c r="I379">
        <v>10</v>
      </c>
      <c r="J379" s="40">
        <v>444.52</v>
      </c>
      <c r="K379">
        <v>4</v>
      </c>
    </row>
    <row r="380" spans="1:11" x14ac:dyDescent="0.35">
      <c r="A380">
        <v>378</v>
      </c>
      <c r="B380">
        <v>2016</v>
      </c>
      <c r="C380" t="s">
        <v>219</v>
      </c>
      <c r="D380" t="s">
        <v>294</v>
      </c>
      <c r="E380" t="s">
        <v>1084</v>
      </c>
      <c r="F380" t="s">
        <v>1268</v>
      </c>
      <c r="G380">
        <v>3</v>
      </c>
      <c r="H380" t="s">
        <v>843</v>
      </c>
      <c r="I380">
        <v>11</v>
      </c>
      <c r="J380" s="40">
        <v>358.07</v>
      </c>
      <c r="K380">
        <v>1</v>
      </c>
    </row>
    <row r="381" spans="1:11" x14ac:dyDescent="0.35">
      <c r="A381">
        <v>379</v>
      </c>
      <c r="B381">
        <v>2016</v>
      </c>
      <c r="C381" t="s">
        <v>219</v>
      </c>
      <c r="D381" t="s">
        <v>1134</v>
      </c>
      <c r="E381" t="s">
        <v>1182</v>
      </c>
      <c r="F381" t="s">
        <v>1183</v>
      </c>
      <c r="G381">
        <v>2</v>
      </c>
      <c r="H381" t="s">
        <v>843</v>
      </c>
      <c r="I381">
        <v>11</v>
      </c>
      <c r="J381" s="40">
        <v>364.58</v>
      </c>
      <c r="K381">
        <v>1</v>
      </c>
    </row>
    <row r="382" spans="1:11" x14ac:dyDescent="0.35">
      <c r="A382">
        <v>380</v>
      </c>
      <c r="B382">
        <v>2016</v>
      </c>
      <c r="C382" t="s">
        <v>219</v>
      </c>
      <c r="D382" t="s">
        <v>1280</v>
      </c>
      <c r="E382" t="s">
        <v>1112</v>
      </c>
      <c r="F382" t="s">
        <v>1132</v>
      </c>
      <c r="G382">
        <v>2</v>
      </c>
      <c r="H382" t="s">
        <v>843</v>
      </c>
      <c r="I382">
        <v>11</v>
      </c>
      <c r="J382" s="40">
        <v>373.71</v>
      </c>
      <c r="K382">
        <v>1</v>
      </c>
    </row>
    <row r="383" spans="1:11" x14ac:dyDescent="0.35">
      <c r="A383">
        <v>381</v>
      </c>
      <c r="B383">
        <v>2016</v>
      </c>
      <c r="C383" t="s">
        <v>219</v>
      </c>
      <c r="D383" t="s">
        <v>217</v>
      </c>
      <c r="E383" t="s">
        <v>974</v>
      </c>
      <c r="F383" t="s">
        <v>1243</v>
      </c>
      <c r="G383">
        <v>1</v>
      </c>
      <c r="H383" t="s">
        <v>843</v>
      </c>
      <c r="I383">
        <v>11</v>
      </c>
      <c r="J383" s="40">
        <v>388.36</v>
      </c>
      <c r="K383">
        <v>1</v>
      </c>
    </row>
    <row r="384" spans="1:11" x14ac:dyDescent="0.35">
      <c r="A384">
        <v>382</v>
      </c>
      <c r="B384">
        <v>2016</v>
      </c>
      <c r="C384" t="s">
        <v>219</v>
      </c>
      <c r="D384" t="s">
        <v>1280</v>
      </c>
      <c r="E384" t="s">
        <v>1111</v>
      </c>
      <c r="F384" t="s">
        <v>1117</v>
      </c>
      <c r="G384">
        <v>2</v>
      </c>
      <c r="H384" t="s">
        <v>843</v>
      </c>
      <c r="I384">
        <v>11</v>
      </c>
      <c r="J384" s="40">
        <v>400.29</v>
      </c>
      <c r="K384">
        <v>1</v>
      </c>
    </row>
    <row r="385" spans="1:11" x14ac:dyDescent="0.35">
      <c r="A385">
        <v>383</v>
      </c>
      <c r="B385">
        <v>2016</v>
      </c>
      <c r="C385" t="s">
        <v>219</v>
      </c>
      <c r="D385" t="s">
        <v>1239</v>
      </c>
      <c r="E385" t="s">
        <v>971</v>
      </c>
      <c r="F385" t="s">
        <v>1241</v>
      </c>
      <c r="G385">
        <v>2</v>
      </c>
      <c r="H385" t="s">
        <v>843</v>
      </c>
      <c r="I385">
        <v>11</v>
      </c>
      <c r="J385" s="40">
        <v>439.29</v>
      </c>
      <c r="K385">
        <v>2</v>
      </c>
    </row>
    <row r="386" spans="1:11" x14ac:dyDescent="0.35">
      <c r="A386">
        <v>384</v>
      </c>
      <c r="B386">
        <v>2016</v>
      </c>
      <c r="C386" t="s">
        <v>219</v>
      </c>
      <c r="D386" t="s">
        <v>1280</v>
      </c>
      <c r="E386" t="s">
        <v>1112</v>
      </c>
      <c r="F386" t="s">
        <v>1132</v>
      </c>
      <c r="G386">
        <v>2</v>
      </c>
      <c r="H386" t="s">
        <v>843</v>
      </c>
      <c r="I386">
        <v>12</v>
      </c>
      <c r="J386" s="40">
        <v>336.63</v>
      </c>
      <c r="K386">
        <v>1</v>
      </c>
    </row>
    <row r="387" spans="1:11" x14ac:dyDescent="0.35">
      <c r="A387">
        <v>385</v>
      </c>
      <c r="B387">
        <v>2016</v>
      </c>
      <c r="C387" t="s">
        <v>219</v>
      </c>
      <c r="D387" t="s">
        <v>1134</v>
      </c>
      <c r="E387" t="s">
        <v>1180</v>
      </c>
      <c r="F387" t="s">
        <v>1181</v>
      </c>
      <c r="G387">
        <v>2</v>
      </c>
      <c r="H387" t="s">
        <v>843</v>
      </c>
      <c r="I387">
        <v>12</v>
      </c>
      <c r="J387" s="40">
        <v>347.3</v>
      </c>
      <c r="K387">
        <v>1</v>
      </c>
    </row>
    <row r="388" spans="1:11" x14ac:dyDescent="0.35">
      <c r="A388">
        <v>386</v>
      </c>
      <c r="B388">
        <v>2016</v>
      </c>
      <c r="C388" t="s">
        <v>219</v>
      </c>
      <c r="D388" t="s">
        <v>1280</v>
      </c>
      <c r="E388" t="s">
        <v>1111</v>
      </c>
      <c r="F388" t="s">
        <v>1117</v>
      </c>
      <c r="G388">
        <v>2</v>
      </c>
      <c r="H388" t="s">
        <v>843</v>
      </c>
      <c r="I388">
        <v>12</v>
      </c>
      <c r="J388" s="40">
        <v>360.58</v>
      </c>
      <c r="K388">
        <v>1</v>
      </c>
    </row>
    <row r="389" spans="1:11" x14ac:dyDescent="0.35">
      <c r="A389">
        <v>387</v>
      </c>
      <c r="B389">
        <v>2016</v>
      </c>
      <c r="C389" t="s">
        <v>219</v>
      </c>
      <c r="D389" t="s">
        <v>217</v>
      </c>
      <c r="E389" t="s">
        <v>974</v>
      </c>
      <c r="F389" t="s">
        <v>1243</v>
      </c>
      <c r="G389">
        <v>1</v>
      </c>
      <c r="H389" t="s">
        <v>843</v>
      </c>
      <c r="I389">
        <v>12</v>
      </c>
      <c r="J389" s="40">
        <v>380.29</v>
      </c>
      <c r="K389">
        <v>1</v>
      </c>
    </row>
    <row r="390" spans="1:11" x14ac:dyDescent="0.35">
      <c r="A390">
        <v>388</v>
      </c>
      <c r="B390">
        <v>2016</v>
      </c>
      <c r="C390" t="s">
        <v>219</v>
      </c>
      <c r="D390" t="s">
        <v>294</v>
      </c>
      <c r="E390" t="s">
        <v>1084</v>
      </c>
      <c r="F390" t="s">
        <v>1268</v>
      </c>
      <c r="G390">
        <v>3</v>
      </c>
      <c r="H390" t="s">
        <v>843</v>
      </c>
      <c r="I390">
        <v>12</v>
      </c>
      <c r="J390" s="40">
        <v>391.7</v>
      </c>
      <c r="K390">
        <v>1</v>
      </c>
    </row>
    <row r="391" spans="1:11" x14ac:dyDescent="0.35">
      <c r="A391">
        <v>389</v>
      </c>
      <c r="B391">
        <v>2016</v>
      </c>
      <c r="C391" t="s">
        <v>219</v>
      </c>
      <c r="D391" t="s">
        <v>294</v>
      </c>
      <c r="E391" t="s">
        <v>1082</v>
      </c>
      <c r="F391" t="s">
        <v>1267</v>
      </c>
      <c r="G391">
        <v>2</v>
      </c>
      <c r="H391" t="s">
        <v>843</v>
      </c>
      <c r="I391">
        <v>12</v>
      </c>
      <c r="J391" s="40">
        <v>397.63</v>
      </c>
      <c r="K391">
        <v>1</v>
      </c>
    </row>
    <row r="392" spans="1:11" x14ac:dyDescent="0.35">
      <c r="A392">
        <v>390</v>
      </c>
      <c r="B392">
        <v>2016</v>
      </c>
      <c r="C392" t="s">
        <v>219</v>
      </c>
      <c r="D392" t="s">
        <v>1239</v>
      </c>
      <c r="E392" t="s">
        <v>971</v>
      </c>
      <c r="F392" t="s">
        <v>1241</v>
      </c>
      <c r="G392">
        <v>2</v>
      </c>
      <c r="H392" t="s">
        <v>843</v>
      </c>
      <c r="I392">
        <v>12</v>
      </c>
      <c r="J392" s="40">
        <v>400.86</v>
      </c>
      <c r="K392">
        <v>2</v>
      </c>
    </row>
    <row r="393" spans="1:11" x14ac:dyDescent="0.35">
      <c r="A393">
        <v>391</v>
      </c>
      <c r="B393">
        <v>2016</v>
      </c>
      <c r="C393" t="s">
        <v>219</v>
      </c>
      <c r="D393" t="s">
        <v>297</v>
      </c>
      <c r="E393" t="s">
        <v>1105</v>
      </c>
      <c r="F393" t="s">
        <v>1106</v>
      </c>
      <c r="G393">
        <v>2</v>
      </c>
      <c r="H393" t="s">
        <v>843</v>
      </c>
      <c r="I393">
        <v>13</v>
      </c>
      <c r="J393" s="40">
        <v>312.83999999999997</v>
      </c>
      <c r="K393">
        <v>1</v>
      </c>
    </row>
    <row r="394" spans="1:11" x14ac:dyDescent="0.35">
      <c r="A394">
        <v>392</v>
      </c>
      <c r="B394">
        <v>2016</v>
      </c>
      <c r="C394" t="s">
        <v>219</v>
      </c>
      <c r="D394" t="s">
        <v>297</v>
      </c>
      <c r="E394" t="s">
        <v>1103</v>
      </c>
      <c r="F394" t="s">
        <v>1104</v>
      </c>
      <c r="G394">
        <v>2</v>
      </c>
      <c r="H394" t="s">
        <v>843</v>
      </c>
      <c r="I394">
        <v>13</v>
      </c>
      <c r="J394" s="40">
        <v>315.51</v>
      </c>
      <c r="K394">
        <v>1</v>
      </c>
    </row>
    <row r="395" spans="1:11" x14ac:dyDescent="0.35">
      <c r="A395">
        <v>393</v>
      </c>
      <c r="B395">
        <v>2016</v>
      </c>
      <c r="C395" t="s">
        <v>219</v>
      </c>
      <c r="D395" t="s">
        <v>297</v>
      </c>
      <c r="E395" t="s">
        <v>1101</v>
      </c>
      <c r="F395" t="s">
        <v>1278</v>
      </c>
      <c r="G395">
        <v>2</v>
      </c>
      <c r="H395" t="s">
        <v>843</v>
      </c>
      <c r="I395">
        <v>13</v>
      </c>
      <c r="J395" s="40">
        <v>324.31</v>
      </c>
      <c r="K395">
        <v>1</v>
      </c>
    </row>
    <row r="396" spans="1:11" x14ac:dyDescent="0.35">
      <c r="A396">
        <v>394</v>
      </c>
      <c r="B396">
        <v>2016</v>
      </c>
      <c r="C396" t="s">
        <v>219</v>
      </c>
      <c r="D396" t="s">
        <v>294</v>
      </c>
      <c r="E396" t="s">
        <v>1078</v>
      </c>
      <c r="F396" t="s">
        <v>1265</v>
      </c>
      <c r="G396">
        <v>2</v>
      </c>
      <c r="H396" t="s">
        <v>843</v>
      </c>
      <c r="I396">
        <v>13</v>
      </c>
      <c r="J396" s="40">
        <v>328.31</v>
      </c>
      <c r="K396">
        <v>1</v>
      </c>
    </row>
    <row r="397" spans="1:11" x14ac:dyDescent="0.35">
      <c r="A397">
        <v>395</v>
      </c>
      <c r="B397">
        <v>2016</v>
      </c>
      <c r="C397" t="s">
        <v>219</v>
      </c>
      <c r="D397" t="s">
        <v>294</v>
      </c>
      <c r="E397" t="s">
        <v>1084</v>
      </c>
      <c r="F397" t="s">
        <v>1268</v>
      </c>
      <c r="G397">
        <v>3</v>
      </c>
      <c r="H397" t="s">
        <v>843</v>
      </c>
      <c r="I397">
        <v>13</v>
      </c>
      <c r="J397" s="40">
        <v>352.1</v>
      </c>
      <c r="K397">
        <v>1</v>
      </c>
    </row>
    <row r="398" spans="1:11" x14ac:dyDescent="0.35">
      <c r="A398">
        <v>396</v>
      </c>
      <c r="B398">
        <v>2016</v>
      </c>
      <c r="C398" t="s">
        <v>219</v>
      </c>
      <c r="D398" t="s">
        <v>1280</v>
      </c>
      <c r="E398" t="s">
        <v>1112</v>
      </c>
      <c r="F398" t="s">
        <v>1132</v>
      </c>
      <c r="G398">
        <v>2</v>
      </c>
      <c r="H398" t="s">
        <v>843</v>
      </c>
      <c r="I398">
        <v>13</v>
      </c>
      <c r="J398" s="40">
        <v>355.9</v>
      </c>
      <c r="K398">
        <v>1</v>
      </c>
    </row>
    <row r="399" spans="1:11" x14ac:dyDescent="0.35">
      <c r="A399">
        <v>397</v>
      </c>
      <c r="B399">
        <v>2016</v>
      </c>
      <c r="C399" t="s">
        <v>219</v>
      </c>
      <c r="D399" t="s">
        <v>304</v>
      </c>
      <c r="E399" t="s">
        <v>892</v>
      </c>
      <c r="F399" t="s">
        <v>893</v>
      </c>
      <c r="G399">
        <v>1</v>
      </c>
      <c r="H399" t="s">
        <v>843</v>
      </c>
      <c r="I399">
        <v>13</v>
      </c>
      <c r="J399" s="40">
        <v>365.2</v>
      </c>
      <c r="K399">
        <v>4</v>
      </c>
    </row>
    <row r="400" spans="1:11" x14ac:dyDescent="0.35">
      <c r="A400">
        <v>398</v>
      </c>
      <c r="B400">
        <v>2016</v>
      </c>
      <c r="C400" t="s">
        <v>219</v>
      </c>
      <c r="D400" t="s">
        <v>304</v>
      </c>
      <c r="E400" t="s">
        <v>890</v>
      </c>
      <c r="F400" t="s">
        <v>891</v>
      </c>
      <c r="G400">
        <v>1</v>
      </c>
      <c r="H400" t="s">
        <v>843</v>
      </c>
      <c r="I400">
        <v>13</v>
      </c>
      <c r="J400" s="40">
        <v>375.24</v>
      </c>
      <c r="K400">
        <v>4</v>
      </c>
    </row>
    <row r="401" spans="1:11" x14ac:dyDescent="0.35">
      <c r="A401">
        <v>399</v>
      </c>
      <c r="B401">
        <v>2016</v>
      </c>
      <c r="C401" t="s">
        <v>219</v>
      </c>
      <c r="D401" t="s">
        <v>217</v>
      </c>
      <c r="E401" t="s">
        <v>974</v>
      </c>
      <c r="F401" t="s">
        <v>1243</v>
      </c>
      <c r="G401">
        <v>1</v>
      </c>
      <c r="H401" t="s">
        <v>843</v>
      </c>
      <c r="I401">
        <v>13</v>
      </c>
      <c r="J401" s="40">
        <v>380.36</v>
      </c>
      <c r="K401">
        <v>1</v>
      </c>
    </row>
    <row r="402" spans="1:11" x14ac:dyDescent="0.35">
      <c r="A402">
        <v>400</v>
      </c>
      <c r="B402">
        <v>2016</v>
      </c>
      <c r="C402" t="s">
        <v>219</v>
      </c>
      <c r="D402" t="s">
        <v>1280</v>
      </c>
      <c r="E402" t="s">
        <v>1111</v>
      </c>
      <c r="F402" t="s">
        <v>1117</v>
      </c>
      <c r="G402">
        <v>2</v>
      </c>
      <c r="H402" t="s">
        <v>843</v>
      </c>
      <c r="I402">
        <v>13</v>
      </c>
      <c r="J402" s="40">
        <v>381.21</v>
      </c>
      <c r="K402">
        <v>1</v>
      </c>
    </row>
    <row r="403" spans="1:11" x14ac:dyDescent="0.35">
      <c r="A403">
        <v>401</v>
      </c>
      <c r="B403">
        <v>2016</v>
      </c>
      <c r="C403" t="s">
        <v>219</v>
      </c>
      <c r="D403" t="s">
        <v>1239</v>
      </c>
      <c r="E403" t="s">
        <v>971</v>
      </c>
      <c r="F403" t="s">
        <v>1241</v>
      </c>
      <c r="G403">
        <v>2</v>
      </c>
      <c r="H403" t="s">
        <v>843</v>
      </c>
      <c r="I403">
        <v>13</v>
      </c>
      <c r="J403" s="40">
        <v>425.21</v>
      </c>
      <c r="K403">
        <v>2</v>
      </c>
    </row>
    <row r="404" spans="1:11" x14ac:dyDescent="0.35">
      <c r="A404">
        <v>402</v>
      </c>
      <c r="B404">
        <v>2016</v>
      </c>
      <c r="C404" t="s">
        <v>219</v>
      </c>
      <c r="D404" t="s">
        <v>1217</v>
      </c>
      <c r="E404" t="s">
        <v>1237</v>
      </c>
      <c r="F404" t="s">
        <v>1238</v>
      </c>
      <c r="G404">
        <v>2</v>
      </c>
      <c r="H404" t="s">
        <v>843</v>
      </c>
      <c r="I404">
        <v>14</v>
      </c>
      <c r="J404" s="40">
        <v>248.07</v>
      </c>
      <c r="K404">
        <v>4</v>
      </c>
    </row>
    <row r="405" spans="1:11" x14ac:dyDescent="0.35">
      <c r="A405">
        <v>403</v>
      </c>
      <c r="B405">
        <v>2016</v>
      </c>
      <c r="C405" t="s">
        <v>219</v>
      </c>
      <c r="D405" t="s">
        <v>1280</v>
      </c>
      <c r="E405" t="s">
        <v>1112</v>
      </c>
      <c r="F405" t="s">
        <v>1132</v>
      </c>
      <c r="G405">
        <v>2</v>
      </c>
      <c r="H405" t="s">
        <v>843</v>
      </c>
      <c r="I405">
        <v>14</v>
      </c>
      <c r="J405" s="40">
        <v>274.83</v>
      </c>
      <c r="K405">
        <v>1</v>
      </c>
    </row>
    <row r="406" spans="1:11" x14ac:dyDescent="0.35">
      <c r="A406">
        <v>404</v>
      </c>
      <c r="B406">
        <v>2016</v>
      </c>
      <c r="C406" t="s">
        <v>219</v>
      </c>
      <c r="D406" t="s">
        <v>294</v>
      </c>
      <c r="E406" t="s">
        <v>1086</v>
      </c>
      <c r="F406" t="s">
        <v>1269</v>
      </c>
      <c r="G406">
        <v>2</v>
      </c>
      <c r="H406" t="s">
        <v>843</v>
      </c>
      <c r="I406">
        <v>14</v>
      </c>
      <c r="J406" s="40">
        <v>291.45</v>
      </c>
      <c r="K406">
        <v>1</v>
      </c>
    </row>
    <row r="407" spans="1:11" x14ac:dyDescent="0.35">
      <c r="A407">
        <v>405</v>
      </c>
      <c r="B407">
        <v>2016</v>
      </c>
      <c r="C407" t="s">
        <v>219</v>
      </c>
      <c r="D407" t="s">
        <v>1134</v>
      </c>
      <c r="E407" t="s">
        <v>1184</v>
      </c>
      <c r="F407" t="s">
        <v>1185</v>
      </c>
      <c r="G407">
        <v>2</v>
      </c>
      <c r="H407" t="s">
        <v>843</v>
      </c>
      <c r="I407">
        <v>14</v>
      </c>
      <c r="J407" s="40">
        <v>292.33</v>
      </c>
      <c r="K407">
        <v>1</v>
      </c>
    </row>
    <row r="408" spans="1:11" x14ac:dyDescent="0.35">
      <c r="A408">
        <v>406</v>
      </c>
      <c r="B408">
        <v>2016</v>
      </c>
      <c r="C408" t="s">
        <v>219</v>
      </c>
      <c r="D408" t="s">
        <v>1280</v>
      </c>
      <c r="E408" t="s">
        <v>1111</v>
      </c>
      <c r="F408" t="s">
        <v>1117</v>
      </c>
      <c r="G408">
        <v>2</v>
      </c>
      <c r="H408" t="s">
        <v>843</v>
      </c>
      <c r="I408">
        <v>14</v>
      </c>
      <c r="J408" s="40">
        <v>294.38</v>
      </c>
      <c r="K408">
        <v>1</v>
      </c>
    </row>
    <row r="409" spans="1:11" x14ac:dyDescent="0.35">
      <c r="A409">
        <v>407</v>
      </c>
      <c r="B409">
        <v>2016</v>
      </c>
      <c r="C409" t="s">
        <v>219</v>
      </c>
      <c r="D409" t="s">
        <v>294</v>
      </c>
      <c r="E409" t="s">
        <v>1084</v>
      </c>
      <c r="F409" t="s">
        <v>1268</v>
      </c>
      <c r="G409">
        <v>3</v>
      </c>
      <c r="H409" t="s">
        <v>843</v>
      </c>
      <c r="I409">
        <v>14</v>
      </c>
      <c r="J409" s="40">
        <v>317.79000000000002</v>
      </c>
      <c r="K409">
        <v>1</v>
      </c>
    </row>
    <row r="410" spans="1:11" x14ac:dyDescent="0.35">
      <c r="A410">
        <v>408</v>
      </c>
      <c r="B410">
        <v>2016</v>
      </c>
      <c r="C410" t="s">
        <v>219</v>
      </c>
      <c r="D410" t="s">
        <v>1134</v>
      </c>
      <c r="E410" t="s">
        <v>1182</v>
      </c>
      <c r="F410" t="s">
        <v>1183</v>
      </c>
      <c r="G410">
        <v>2</v>
      </c>
      <c r="H410" t="s">
        <v>843</v>
      </c>
      <c r="I410">
        <v>14</v>
      </c>
      <c r="J410" s="40">
        <v>329.59</v>
      </c>
      <c r="K410">
        <v>1</v>
      </c>
    </row>
    <row r="411" spans="1:11" x14ac:dyDescent="0.35">
      <c r="A411">
        <v>409</v>
      </c>
      <c r="B411">
        <v>2016</v>
      </c>
      <c r="C411" t="s">
        <v>219</v>
      </c>
      <c r="D411" t="s">
        <v>1239</v>
      </c>
      <c r="E411" t="s">
        <v>971</v>
      </c>
      <c r="F411" t="s">
        <v>1241</v>
      </c>
      <c r="G411">
        <v>2</v>
      </c>
      <c r="H411" t="s">
        <v>843</v>
      </c>
      <c r="I411">
        <v>14</v>
      </c>
      <c r="J411" s="40">
        <v>367.37</v>
      </c>
      <c r="K411">
        <v>2</v>
      </c>
    </row>
    <row r="412" spans="1:11" x14ac:dyDescent="0.35">
      <c r="A412">
        <v>410</v>
      </c>
      <c r="B412">
        <v>2016</v>
      </c>
      <c r="C412" t="s">
        <v>219</v>
      </c>
      <c r="D412" t="s">
        <v>1280</v>
      </c>
      <c r="E412" t="s">
        <v>1112</v>
      </c>
      <c r="F412" t="s">
        <v>1132</v>
      </c>
      <c r="G412">
        <v>2</v>
      </c>
      <c r="H412" t="s">
        <v>843</v>
      </c>
      <c r="I412">
        <v>15</v>
      </c>
      <c r="J412" s="40">
        <v>386.43</v>
      </c>
      <c r="K412">
        <v>1</v>
      </c>
    </row>
    <row r="413" spans="1:11" x14ac:dyDescent="0.35">
      <c r="A413">
        <v>411</v>
      </c>
      <c r="B413">
        <v>2016</v>
      </c>
      <c r="C413" t="s">
        <v>219</v>
      </c>
      <c r="D413" t="s">
        <v>1134</v>
      </c>
      <c r="E413" t="s">
        <v>1186</v>
      </c>
      <c r="F413" t="s">
        <v>1187</v>
      </c>
      <c r="G413">
        <v>2</v>
      </c>
      <c r="H413" t="s">
        <v>843</v>
      </c>
      <c r="I413">
        <v>15</v>
      </c>
      <c r="J413" s="40">
        <v>407.36</v>
      </c>
      <c r="K413">
        <v>1</v>
      </c>
    </row>
    <row r="414" spans="1:11" x14ac:dyDescent="0.35">
      <c r="A414">
        <v>412</v>
      </c>
      <c r="B414">
        <v>2016</v>
      </c>
      <c r="C414" t="s">
        <v>219</v>
      </c>
      <c r="D414" t="s">
        <v>1280</v>
      </c>
      <c r="E414" t="s">
        <v>1111</v>
      </c>
      <c r="F414" t="s">
        <v>1117</v>
      </c>
      <c r="G414">
        <v>2</v>
      </c>
      <c r="H414" t="s">
        <v>843</v>
      </c>
      <c r="I414">
        <v>15</v>
      </c>
      <c r="J414" s="40">
        <v>413.92</v>
      </c>
      <c r="K414">
        <v>1</v>
      </c>
    </row>
    <row r="415" spans="1:11" x14ac:dyDescent="0.35">
      <c r="A415">
        <v>413</v>
      </c>
      <c r="B415">
        <v>2016</v>
      </c>
      <c r="C415" t="s">
        <v>219</v>
      </c>
      <c r="D415" t="s">
        <v>1239</v>
      </c>
      <c r="E415" t="s">
        <v>971</v>
      </c>
      <c r="F415" t="s">
        <v>1241</v>
      </c>
      <c r="G415">
        <v>2</v>
      </c>
      <c r="H415" t="s">
        <v>843</v>
      </c>
      <c r="I415">
        <v>15</v>
      </c>
      <c r="J415" s="40">
        <v>530.1</v>
      </c>
      <c r="K415">
        <v>2</v>
      </c>
    </row>
    <row r="416" spans="1:11" x14ac:dyDescent="0.35">
      <c r="A416">
        <v>414</v>
      </c>
      <c r="B416">
        <v>2016</v>
      </c>
      <c r="C416" t="s">
        <v>219</v>
      </c>
      <c r="D416" t="s">
        <v>1280</v>
      </c>
      <c r="E416" t="s">
        <v>1112</v>
      </c>
      <c r="F416" t="s">
        <v>1132</v>
      </c>
      <c r="G416">
        <v>2</v>
      </c>
      <c r="H416" t="s">
        <v>843</v>
      </c>
      <c r="I416">
        <v>16</v>
      </c>
      <c r="J416" s="40">
        <v>306.45999999999998</v>
      </c>
      <c r="K416">
        <v>1</v>
      </c>
    </row>
    <row r="417" spans="1:11" x14ac:dyDescent="0.35">
      <c r="A417">
        <v>415</v>
      </c>
      <c r="B417">
        <v>2016</v>
      </c>
      <c r="C417" t="s">
        <v>219</v>
      </c>
      <c r="D417" t="s">
        <v>1280</v>
      </c>
      <c r="E417" t="s">
        <v>1111</v>
      </c>
      <c r="F417" t="s">
        <v>1117</v>
      </c>
      <c r="G417">
        <v>2</v>
      </c>
      <c r="H417" t="s">
        <v>843</v>
      </c>
      <c r="I417">
        <v>16</v>
      </c>
      <c r="J417" s="40">
        <v>328.26</v>
      </c>
      <c r="K417">
        <v>1</v>
      </c>
    </row>
    <row r="418" spans="1:11" x14ac:dyDescent="0.35">
      <c r="A418">
        <v>416</v>
      </c>
      <c r="B418">
        <v>2016</v>
      </c>
      <c r="C418" t="s">
        <v>219</v>
      </c>
      <c r="D418" t="s">
        <v>294</v>
      </c>
      <c r="E418" t="s">
        <v>1084</v>
      </c>
      <c r="F418" t="s">
        <v>1268</v>
      </c>
      <c r="G418">
        <v>3</v>
      </c>
      <c r="H418" t="s">
        <v>843</v>
      </c>
      <c r="I418">
        <v>16</v>
      </c>
      <c r="J418" s="40">
        <v>358.49</v>
      </c>
      <c r="K418">
        <v>1</v>
      </c>
    </row>
    <row r="419" spans="1:11" x14ac:dyDescent="0.35">
      <c r="A419">
        <v>417</v>
      </c>
      <c r="B419">
        <v>2016</v>
      </c>
      <c r="C419" t="s">
        <v>219</v>
      </c>
      <c r="D419" t="s">
        <v>1239</v>
      </c>
      <c r="E419" t="s">
        <v>971</v>
      </c>
      <c r="F419" t="s">
        <v>1241</v>
      </c>
      <c r="G419">
        <v>2</v>
      </c>
      <c r="H419" t="s">
        <v>843</v>
      </c>
      <c r="I419">
        <v>16</v>
      </c>
      <c r="J419" s="40">
        <v>391.64</v>
      </c>
      <c r="K419">
        <v>2</v>
      </c>
    </row>
    <row r="420" spans="1:11" x14ac:dyDescent="0.35">
      <c r="A420">
        <v>418</v>
      </c>
      <c r="B420">
        <v>2016</v>
      </c>
      <c r="C420" t="s">
        <v>219</v>
      </c>
      <c r="D420" t="s">
        <v>1134</v>
      </c>
      <c r="E420" t="s">
        <v>1152</v>
      </c>
      <c r="F420" t="s">
        <v>1153</v>
      </c>
      <c r="G420">
        <v>2</v>
      </c>
      <c r="H420" t="s">
        <v>842</v>
      </c>
      <c r="I420">
        <v>1</v>
      </c>
      <c r="J420" s="40">
        <v>282.61</v>
      </c>
      <c r="K420">
        <v>1</v>
      </c>
    </row>
    <row r="421" spans="1:11" x14ac:dyDescent="0.35">
      <c r="A421">
        <v>419</v>
      </c>
      <c r="B421">
        <v>2016</v>
      </c>
      <c r="C421" t="s">
        <v>219</v>
      </c>
      <c r="D421" t="s">
        <v>1280</v>
      </c>
      <c r="E421" t="s">
        <v>1107</v>
      </c>
      <c r="F421" t="s">
        <v>1131</v>
      </c>
      <c r="G421">
        <v>2</v>
      </c>
      <c r="H421" t="s">
        <v>842</v>
      </c>
      <c r="I421">
        <v>1</v>
      </c>
      <c r="J421" s="40">
        <v>290.67</v>
      </c>
      <c r="K421">
        <v>1</v>
      </c>
    </row>
    <row r="422" spans="1:11" x14ac:dyDescent="0.35">
      <c r="A422">
        <v>420</v>
      </c>
      <c r="B422">
        <v>2016</v>
      </c>
      <c r="C422" t="s">
        <v>219</v>
      </c>
      <c r="D422" t="s">
        <v>1280</v>
      </c>
      <c r="E422" t="s">
        <v>1108</v>
      </c>
      <c r="F422" t="s">
        <v>1281</v>
      </c>
      <c r="G422">
        <v>2</v>
      </c>
      <c r="H422" t="s">
        <v>842</v>
      </c>
      <c r="I422">
        <v>1</v>
      </c>
      <c r="J422" s="40">
        <v>290.67</v>
      </c>
      <c r="K422">
        <v>1</v>
      </c>
    </row>
    <row r="423" spans="1:11" x14ac:dyDescent="0.35">
      <c r="A423">
        <v>421</v>
      </c>
      <c r="B423">
        <v>2016</v>
      </c>
      <c r="C423" t="s">
        <v>219</v>
      </c>
      <c r="D423" t="s">
        <v>1134</v>
      </c>
      <c r="E423" t="s">
        <v>1133</v>
      </c>
      <c r="F423" t="s">
        <v>1135</v>
      </c>
      <c r="G423">
        <v>2</v>
      </c>
      <c r="H423" t="s">
        <v>842</v>
      </c>
      <c r="I423">
        <v>1</v>
      </c>
      <c r="J423" s="40">
        <v>296.86</v>
      </c>
      <c r="K423">
        <v>1</v>
      </c>
    </row>
    <row r="424" spans="1:11" x14ac:dyDescent="0.35">
      <c r="A424">
        <v>422</v>
      </c>
      <c r="B424">
        <v>2016</v>
      </c>
      <c r="C424" t="s">
        <v>219</v>
      </c>
      <c r="D424" t="s">
        <v>1280</v>
      </c>
      <c r="E424" t="s">
        <v>1110</v>
      </c>
      <c r="F424" t="s">
        <v>1127</v>
      </c>
      <c r="G424">
        <v>2</v>
      </c>
      <c r="H424" t="s">
        <v>842</v>
      </c>
      <c r="I424">
        <v>1</v>
      </c>
      <c r="J424" s="40">
        <v>298.63</v>
      </c>
      <c r="K424">
        <v>1</v>
      </c>
    </row>
    <row r="425" spans="1:11" x14ac:dyDescent="0.35">
      <c r="A425">
        <v>423</v>
      </c>
      <c r="B425">
        <v>2016</v>
      </c>
      <c r="C425" t="s">
        <v>219</v>
      </c>
      <c r="D425" t="s">
        <v>1239</v>
      </c>
      <c r="E425" t="s">
        <v>959</v>
      </c>
      <c r="F425" t="s">
        <v>960</v>
      </c>
      <c r="G425">
        <v>2</v>
      </c>
      <c r="H425" t="s">
        <v>842</v>
      </c>
      <c r="I425">
        <v>1</v>
      </c>
      <c r="J425" s="40">
        <v>300.27999999999997</v>
      </c>
      <c r="K425">
        <v>2</v>
      </c>
    </row>
    <row r="426" spans="1:11" x14ac:dyDescent="0.35">
      <c r="A426">
        <v>424</v>
      </c>
      <c r="B426">
        <v>2016</v>
      </c>
      <c r="C426" t="s">
        <v>219</v>
      </c>
      <c r="D426" t="s">
        <v>1239</v>
      </c>
      <c r="E426" t="s">
        <v>955</v>
      </c>
      <c r="F426" t="s">
        <v>956</v>
      </c>
      <c r="G426">
        <v>2</v>
      </c>
      <c r="H426" t="s">
        <v>842</v>
      </c>
      <c r="I426">
        <v>1</v>
      </c>
      <c r="J426" s="40">
        <v>310.45</v>
      </c>
      <c r="K426">
        <v>2</v>
      </c>
    </row>
    <row r="427" spans="1:11" x14ac:dyDescent="0.35">
      <c r="A427">
        <v>425</v>
      </c>
      <c r="B427">
        <v>2016</v>
      </c>
      <c r="C427" t="s">
        <v>219</v>
      </c>
      <c r="D427" t="s">
        <v>1239</v>
      </c>
      <c r="E427" t="s">
        <v>957</v>
      </c>
      <c r="F427" t="s">
        <v>1240</v>
      </c>
      <c r="G427">
        <v>2</v>
      </c>
      <c r="H427" t="s">
        <v>842</v>
      </c>
      <c r="I427">
        <v>1</v>
      </c>
      <c r="J427" s="40">
        <v>312.42</v>
      </c>
      <c r="K427">
        <v>2</v>
      </c>
    </row>
    <row r="428" spans="1:11" x14ac:dyDescent="0.35">
      <c r="A428">
        <v>426</v>
      </c>
      <c r="B428">
        <v>2016</v>
      </c>
      <c r="C428" t="s">
        <v>219</v>
      </c>
      <c r="D428" t="s">
        <v>1239</v>
      </c>
      <c r="E428" t="s">
        <v>953</v>
      </c>
      <c r="F428" t="s">
        <v>954</v>
      </c>
      <c r="G428">
        <v>2</v>
      </c>
      <c r="H428" t="s">
        <v>842</v>
      </c>
      <c r="I428">
        <v>1</v>
      </c>
      <c r="J428" s="40">
        <v>315.89999999999998</v>
      </c>
      <c r="K428">
        <v>2</v>
      </c>
    </row>
    <row r="429" spans="1:11" x14ac:dyDescent="0.35">
      <c r="A429">
        <v>427</v>
      </c>
      <c r="B429">
        <v>2016</v>
      </c>
      <c r="C429" t="s">
        <v>219</v>
      </c>
      <c r="D429" t="s">
        <v>1239</v>
      </c>
      <c r="E429" t="s">
        <v>950</v>
      </c>
      <c r="F429" t="s">
        <v>952</v>
      </c>
      <c r="G429">
        <v>2</v>
      </c>
      <c r="H429" t="s">
        <v>842</v>
      </c>
      <c r="I429">
        <v>1</v>
      </c>
      <c r="J429" s="40">
        <v>320.45999999999998</v>
      </c>
      <c r="K429">
        <v>2</v>
      </c>
    </row>
    <row r="430" spans="1:11" x14ac:dyDescent="0.35">
      <c r="A430">
        <v>428</v>
      </c>
      <c r="B430">
        <v>2016</v>
      </c>
      <c r="C430" t="s">
        <v>219</v>
      </c>
      <c r="D430" t="s">
        <v>1217</v>
      </c>
      <c r="E430" t="s">
        <v>1227</v>
      </c>
      <c r="F430" t="s">
        <v>1125</v>
      </c>
      <c r="G430">
        <v>2</v>
      </c>
      <c r="H430" t="s">
        <v>842</v>
      </c>
      <c r="I430">
        <v>2</v>
      </c>
      <c r="J430" s="40">
        <v>188.37</v>
      </c>
      <c r="K430">
        <v>4</v>
      </c>
    </row>
    <row r="431" spans="1:11" x14ac:dyDescent="0.35">
      <c r="A431">
        <v>429</v>
      </c>
      <c r="B431">
        <v>2016</v>
      </c>
      <c r="C431" t="s">
        <v>219</v>
      </c>
      <c r="D431" t="s">
        <v>1217</v>
      </c>
      <c r="E431" t="s">
        <v>1228</v>
      </c>
      <c r="F431" t="s">
        <v>1126</v>
      </c>
      <c r="G431">
        <v>2</v>
      </c>
      <c r="H431" t="s">
        <v>842</v>
      </c>
      <c r="I431">
        <v>2</v>
      </c>
      <c r="J431" s="40">
        <v>193.05</v>
      </c>
      <c r="K431">
        <v>4</v>
      </c>
    </row>
    <row r="432" spans="1:11" x14ac:dyDescent="0.35">
      <c r="A432">
        <v>430</v>
      </c>
      <c r="B432">
        <v>2016</v>
      </c>
      <c r="C432" t="s">
        <v>219</v>
      </c>
      <c r="D432" t="s">
        <v>1217</v>
      </c>
      <c r="E432" t="s">
        <v>1231</v>
      </c>
      <c r="F432" t="s">
        <v>1232</v>
      </c>
      <c r="G432">
        <v>2</v>
      </c>
      <c r="H432" t="s">
        <v>842</v>
      </c>
      <c r="I432">
        <v>2</v>
      </c>
      <c r="J432" s="40">
        <v>195.19</v>
      </c>
      <c r="K432">
        <v>4</v>
      </c>
    </row>
    <row r="433" spans="1:11" x14ac:dyDescent="0.35">
      <c r="A433">
        <v>431</v>
      </c>
      <c r="B433">
        <v>2016</v>
      </c>
      <c r="C433" t="s">
        <v>219</v>
      </c>
      <c r="D433" t="s">
        <v>1217</v>
      </c>
      <c r="E433" t="s">
        <v>1233</v>
      </c>
      <c r="F433" t="s">
        <v>1234</v>
      </c>
      <c r="G433">
        <v>2</v>
      </c>
      <c r="H433" t="s">
        <v>842</v>
      </c>
      <c r="I433">
        <v>2</v>
      </c>
      <c r="J433" s="40">
        <v>200.03</v>
      </c>
      <c r="K433">
        <v>4</v>
      </c>
    </row>
    <row r="434" spans="1:11" x14ac:dyDescent="0.35">
      <c r="A434">
        <v>432</v>
      </c>
      <c r="B434">
        <v>2016</v>
      </c>
      <c r="C434" t="s">
        <v>219</v>
      </c>
      <c r="D434" t="s">
        <v>297</v>
      </c>
      <c r="E434" t="s">
        <v>1097</v>
      </c>
      <c r="F434" t="s">
        <v>1277</v>
      </c>
      <c r="G434">
        <v>2</v>
      </c>
      <c r="H434" t="s">
        <v>842</v>
      </c>
      <c r="I434">
        <v>2</v>
      </c>
      <c r="J434" s="40">
        <v>203.84</v>
      </c>
      <c r="K434">
        <v>1</v>
      </c>
    </row>
    <row r="435" spans="1:11" x14ac:dyDescent="0.35">
      <c r="A435">
        <v>433</v>
      </c>
      <c r="B435">
        <v>2016</v>
      </c>
      <c r="C435" t="s">
        <v>219</v>
      </c>
      <c r="D435" t="s">
        <v>1217</v>
      </c>
      <c r="E435" t="s">
        <v>1229</v>
      </c>
      <c r="F435" t="s">
        <v>1230</v>
      </c>
      <c r="G435">
        <v>2</v>
      </c>
      <c r="H435" t="s">
        <v>842</v>
      </c>
      <c r="I435">
        <v>2</v>
      </c>
      <c r="J435" s="40">
        <v>205.17</v>
      </c>
      <c r="K435">
        <v>4</v>
      </c>
    </row>
    <row r="436" spans="1:11" x14ac:dyDescent="0.35">
      <c r="A436">
        <v>434</v>
      </c>
      <c r="B436">
        <v>2016</v>
      </c>
      <c r="C436" t="s">
        <v>219</v>
      </c>
      <c r="D436" t="s">
        <v>1217</v>
      </c>
      <c r="E436" t="s">
        <v>1235</v>
      </c>
      <c r="F436" t="s">
        <v>1236</v>
      </c>
      <c r="G436">
        <v>2</v>
      </c>
      <c r="H436" t="s">
        <v>842</v>
      </c>
      <c r="I436">
        <v>2</v>
      </c>
      <c r="J436" s="40">
        <v>212.59</v>
      </c>
      <c r="K436">
        <v>4</v>
      </c>
    </row>
    <row r="437" spans="1:11" x14ac:dyDescent="0.35">
      <c r="A437">
        <v>435</v>
      </c>
      <c r="B437">
        <v>2016</v>
      </c>
      <c r="C437" t="s">
        <v>219</v>
      </c>
      <c r="D437" t="s">
        <v>217</v>
      </c>
      <c r="E437" t="s">
        <v>981</v>
      </c>
      <c r="F437" t="s">
        <v>1248</v>
      </c>
      <c r="G437">
        <v>1</v>
      </c>
      <c r="H437" t="s">
        <v>842</v>
      </c>
      <c r="I437">
        <v>2</v>
      </c>
      <c r="J437" s="40">
        <v>214.67</v>
      </c>
      <c r="K437">
        <v>1</v>
      </c>
    </row>
    <row r="438" spans="1:11" x14ac:dyDescent="0.35">
      <c r="A438">
        <v>436</v>
      </c>
      <c r="B438">
        <v>2016</v>
      </c>
      <c r="C438" t="s">
        <v>219</v>
      </c>
      <c r="D438" t="s">
        <v>1134</v>
      </c>
      <c r="E438" t="s">
        <v>1154</v>
      </c>
      <c r="F438" t="s">
        <v>1155</v>
      </c>
      <c r="G438">
        <v>2</v>
      </c>
      <c r="H438" t="s">
        <v>842</v>
      </c>
      <c r="I438">
        <v>2</v>
      </c>
      <c r="J438" s="40">
        <v>215.44</v>
      </c>
      <c r="K438">
        <v>1</v>
      </c>
    </row>
    <row r="439" spans="1:11" x14ac:dyDescent="0.35">
      <c r="A439">
        <v>437</v>
      </c>
      <c r="B439">
        <v>2016</v>
      </c>
      <c r="C439" t="s">
        <v>219</v>
      </c>
      <c r="D439" t="s">
        <v>297</v>
      </c>
      <c r="E439" t="s">
        <v>1276</v>
      </c>
      <c r="F439" t="s">
        <v>1100</v>
      </c>
      <c r="G439">
        <v>2</v>
      </c>
      <c r="H439" t="s">
        <v>842</v>
      </c>
      <c r="I439">
        <v>2</v>
      </c>
      <c r="J439" s="40">
        <v>215.7</v>
      </c>
      <c r="K439">
        <v>1</v>
      </c>
    </row>
    <row r="440" spans="1:11" x14ac:dyDescent="0.35">
      <c r="A440">
        <v>438</v>
      </c>
      <c r="B440">
        <v>2016</v>
      </c>
      <c r="C440" t="s">
        <v>219</v>
      </c>
      <c r="D440" t="s">
        <v>1239</v>
      </c>
      <c r="E440" t="s">
        <v>959</v>
      </c>
      <c r="F440" t="s">
        <v>960</v>
      </c>
      <c r="G440">
        <v>2</v>
      </c>
      <c r="H440" t="s">
        <v>842</v>
      </c>
      <c r="I440">
        <v>2</v>
      </c>
      <c r="J440" s="40">
        <v>219.51</v>
      </c>
      <c r="K440">
        <v>2</v>
      </c>
    </row>
    <row r="441" spans="1:11" x14ac:dyDescent="0.35">
      <c r="A441">
        <v>439</v>
      </c>
      <c r="B441">
        <v>2016</v>
      </c>
      <c r="C441" t="s">
        <v>219</v>
      </c>
      <c r="D441" t="s">
        <v>297</v>
      </c>
      <c r="E441" t="s">
        <v>1099</v>
      </c>
      <c r="F441" t="s">
        <v>1275</v>
      </c>
      <c r="G441">
        <v>2</v>
      </c>
      <c r="H441" t="s">
        <v>842</v>
      </c>
      <c r="I441">
        <v>2</v>
      </c>
      <c r="J441" s="40">
        <v>221.44</v>
      </c>
      <c r="K441">
        <v>1</v>
      </c>
    </row>
    <row r="442" spans="1:11" x14ac:dyDescent="0.35">
      <c r="A442">
        <v>440</v>
      </c>
      <c r="B442">
        <v>2016</v>
      </c>
      <c r="C442" t="s">
        <v>219</v>
      </c>
      <c r="D442" t="s">
        <v>1134</v>
      </c>
      <c r="E442" t="s">
        <v>1136</v>
      </c>
      <c r="F442" t="s">
        <v>1137</v>
      </c>
      <c r="G442">
        <v>2</v>
      </c>
      <c r="H442" t="s">
        <v>842</v>
      </c>
      <c r="I442">
        <v>2</v>
      </c>
      <c r="J442" s="40">
        <v>221.8</v>
      </c>
      <c r="K442">
        <v>1</v>
      </c>
    </row>
    <row r="443" spans="1:11" x14ac:dyDescent="0.35">
      <c r="A443">
        <v>441</v>
      </c>
      <c r="B443">
        <v>2016</v>
      </c>
      <c r="C443" t="s">
        <v>219</v>
      </c>
      <c r="D443" t="s">
        <v>217</v>
      </c>
      <c r="E443" t="s">
        <v>979</v>
      </c>
      <c r="F443" t="s">
        <v>1246</v>
      </c>
      <c r="G443">
        <v>1</v>
      </c>
      <c r="H443" t="s">
        <v>842</v>
      </c>
      <c r="I443">
        <v>2</v>
      </c>
      <c r="J443" s="40">
        <v>222.32</v>
      </c>
      <c r="K443">
        <v>1</v>
      </c>
    </row>
    <row r="444" spans="1:11" x14ac:dyDescent="0.35">
      <c r="A444">
        <v>442</v>
      </c>
      <c r="B444">
        <v>2016</v>
      </c>
      <c r="C444" t="s">
        <v>219</v>
      </c>
      <c r="D444" t="s">
        <v>1239</v>
      </c>
      <c r="E444" t="s">
        <v>955</v>
      </c>
      <c r="F444" t="s">
        <v>956</v>
      </c>
      <c r="G444">
        <v>2</v>
      </c>
      <c r="H444" t="s">
        <v>842</v>
      </c>
      <c r="I444">
        <v>2</v>
      </c>
      <c r="J444" s="40">
        <v>226.95</v>
      </c>
      <c r="K444">
        <v>2</v>
      </c>
    </row>
    <row r="445" spans="1:11" x14ac:dyDescent="0.35">
      <c r="A445">
        <v>443</v>
      </c>
      <c r="B445">
        <v>2016</v>
      </c>
      <c r="C445" t="s">
        <v>219</v>
      </c>
      <c r="D445" t="s">
        <v>1239</v>
      </c>
      <c r="E445" t="s">
        <v>957</v>
      </c>
      <c r="F445" t="s">
        <v>1240</v>
      </c>
      <c r="G445">
        <v>2</v>
      </c>
      <c r="H445" t="s">
        <v>842</v>
      </c>
      <c r="I445">
        <v>2</v>
      </c>
      <c r="J445" s="40">
        <v>228.39</v>
      </c>
      <c r="K445">
        <v>2</v>
      </c>
    </row>
    <row r="446" spans="1:11" x14ac:dyDescent="0.35">
      <c r="A446">
        <v>444</v>
      </c>
      <c r="B446">
        <v>2016</v>
      </c>
      <c r="C446" t="s">
        <v>219</v>
      </c>
      <c r="D446" t="s">
        <v>1239</v>
      </c>
      <c r="E446" t="s">
        <v>953</v>
      </c>
      <c r="F446" t="s">
        <v>954</v>
      </c>
      <c r="G446">
        <v>2</v>
      </c>
      <c r="H446" t="s">
        <v>842</v>
      </c>
      <c r="I446">
        <v>2</v>
      </c>
      <c r="J446" s="40">
        <v>230.94</v>
      </c>
      <c r="K446">
        <v>2</v>
      </c>
    </row>
    <row r="447" spans="1:11" x14ac:dyDescent="0.35">
      <c r="A447">
        <v>445</v>
      </c>
      <c r="B447">
        <v>2016</v>
      </c>
      <c r="C447" t="s">
        <v>219</v>
      </c>
      <c r="D447" t="s">
        <v>1134</v>
      </c>
      <c r="E447" t="s">
        <v>1160</v>
      </c>
      <c r="F447" t="s">
        <v>1161</v>
      </c>
      <c r="G447">
        <v>2</v>
      </c>
      <c r="H447" t="s">
        <v>842</v>
      </c>
      <c r="I447">
        <v>2</v>
      </c>
      <c r="J447" s="40">
        <v>234.18</v>
      </c>
      <c r="K447">
        <v>1</v>
      </c>
    </row>
    <row r="448" spans="1:11" x14ac:dyDescent="0.35">
      <c r="A448">
        <v>446</v>
      </c>
      <c r="B448">
        <v>2016</v>
      </c>
      <c r="C448" t="s">
        <v>219</v>
      </c>
      <c r="D448" t="s">
        <v>1239</v>
      </c>
      <c r="E448" t="s">
        <v>950</v>
      </c>
      <c r="F448" t="s">
        <v>952</v>
      </c>
      <c r="G448">
        <v>2</v>
      </c>
      <c r="H448" t="s">
        <v>842</v>
      </c>
      <c r="I448">
        <v>2</v>
      </c>
      <c r="J448" s="40">
        <v>234.27</v>
      </c>
      <c r="K448">
        <v>2</v>
      </c>
    </row>
    <row r="449" spans="1:11" x14ac:dyDescent="0.35">
      <c r="A449">
        <v>447</v>
      </c>
      <c r="B449">
        <v>2016</v>
      </c>
      <c r="C449" t="s">
        <v>219</v>
      </c>
      <c r="D449" t="s">
        <v>1134</v>
      </c>
      <c r="E449" t="s">
        <v>1142</v>
      </c>
      <c r="F449" t="s">
        <v>1143</v>
      </c>
      <c r="G449">
        <v>2</v>
      </c>
      <c r="H449" t="s">
        <v>842</v>
      </c>
      <c r="I449">
        <v>2</v>
      </c>
      <c r="J449" s="40">
        <v>241.07</v>
      </c>
      <c r="K449">
        <v>1</v>
      </c>
    </row>
    <row r="450" spans="1:11" x14ac:dyDescent="0.35">
      <c r="A450">
        <v>448</v>
      </c>
      <c r="B450">
        <v>2016</v>
      </c>
      <c r="C450" t="s">
        <v>219</v>
      </c>
      <c r="D450" t="s">
        <v>294</v>
      </c>
      <c r="E450" t="s">
        <v>1074</v>
      </c>
      <c r="F450" t="s">
        <v>1263</v>
      </c>
      <c r="G450">
        <v>3</v>
      </c>
      <c r="H450" t="s">
        <v>842</v>
      </c>
      <c r="I450">
        <v>2</v>
      </c>
      <c r="J450" s="40">
        <v>256.01</v>
      </c>
      <c r="K450">
        <v>1</v>
      </c>
    </row>
    <row r="451" spans="1:11" x14ac:dyDescent="0.35">
      <c r="A451">
        <v>449</v>
      </c>
      <c r="B451">
        <v>2016</v>
      </c>
      <c r="C451" t="s">
        <v>219</v>
      </c>
      <c r="D451" t="s">
        <v>1280</v>
      </c>
      <c r="E451" t="s">
        <v>1107</v>
      </c>
      <c r="F451" t="s">
        <v>1131</v>
      </c>
      <c r="G451">
        <v>2</v>
      </c>
      <c r="H451" t="s">
        <v>842</v>
      </c>
      <c r="I451">
        <v>2</v>
      </c>
      <c r="J451" s="40">
        <v>268.73</v>
      </c>
      <c r="K451">
        <v>1</v>
      </c>
    </row>
    <row r="452" spans="1:11" x14ac:dyDescent="0.35">
      <c r="A452">
        <v>450</v>
      </c>
      <c r="B452">
        <v>2016</v>
      </c>
      <c r="C452" t="s">
        <v>219</v>
      </c>
      <c r="D452" t="s">
        <v>1280</v>
      </c>
      <c r="E452" t="s">
        <v>1108</v>
      </c>
      <c r="F452" t="s">
        <v>1281</v>
      </c>
      <c r="G452">
        <v>2</v>
      </c>
      <c r="H452" t="s">
        <v>842</v>
      </c>
      <c r="I452">
        <v>2</v>
      </c>
      <c r="J452" s="40">
        <v>268.73</v>
      </c>
      <c r="K452">
        <v>1</v>
      </c>
    </row>
    <row r="453" spans="1:11" x14ac:dyDescent="0.35">
      <c r="A453">
        <v>451</v>
      </c>
      <c r="B453">
        <v>2016</v>
      </c>
      <c r="C453" t="s">
        <v>219</v>
      </c>
      <c r="D453" t="s">
        <v>1280</v>
      </c>
      <c r="E453" t="s">
        <v>1110</v>
      </c>
      <c r="F453" t="s">
        <v>1127</v>
      </c>
      <c r="G453">
        <v>2</v>
      </c>
      <c r="H453" t="s">
        <v>842</v>
      </c>
      <c r="I453">
        <v>2</v>
      </c>
      <c r="J453" s="40">
        <v>276.08999999999997</v>
      </c>
      <c r="K453">
        <v>1</v>
      </c>
    </row>
    <row r="454" spans="1:11" x14ac:dyDescent="0.35">
      <c r="A454">
        <v>452</v>
      </c>
      <c r="B454">
        <v>2016</v>
      </c>
      <c r="C454" t="s">
        <v>219</v>
      </c>
      <c r="D454" t="s">
        <v>304</v>
      </c>
      <c r="E454" t="s">
        <v>918</v>
      </c>
      <c r="F454" t="s">
        <v>919</v>
      </c>
      <c r="G454">
        <v>1</v>
      </c>
      <c r="H454" t="s">
        <v>842</v>
      </c>
      <c r="I454">
        <v>2</v>
      </c>
      <c r="J454" s="40">
        <v>278.06</v>
      </c>
      <c r="K454">
        <v>4</v>
      </c>
    </row>
    <row r="455" spans="1:11" x14ac:dyDescent="0.35">
      <c r="A455">
        <v>453</v>
      </c>
      <c r="B455">
        <v>2016</v>
      </c>
      <c r="C455" t="s">
        <v>219</v>
      </c>
      <c r="D455" t="s">
        <v>304</v>
      </c>
      <c r="E455" t="s">
        <v>922</v>
      </c>
      <c r="F455" t="s">
        <v>923</v>
      </c>
      <c r="G455">
        <v>1</v>
      </c>
      <c r="H455" t="s">
        <v>842</v>
      </c>
      <c r="I455">
        <v>2</v>
      </c>
      <c r="J455" s="40">
        <v>327.98</v>
      </c>
      <c r="K455">
        <v>4</v>
      </c>
    </row>
    <row r="456" spans="1:11" x14ac:dyDescent="0.35">
      <c r="A456">
        <v>454</v>
      </c>
      <c r="B456">
        <v>2016</v>
      </c>
      <c r="C456" t="s">
        <v>219</v>
      </c>
      <c r="D456" t="s">
        <v>1217</v>
      </c>
      <c r="E456" t="s">
        <v>1227</v>
      </c>
      <c r="F456" t="s">
        <v>1125</v>
      </c>
      <c r="G456">
        <v>2</v>
      </c>
      <c r="H456" t="s">
        <v>842</v>
      </c>
      <c r="I456">
        <v>3</v>
      </c>
      <c r="J456" s="40">
        <v>181.39</v>
      </c>
      <c r="K456">
        <v>4</v>
      </c>
    </row>
    <row r="457" spans="1:11" x14ac:dyDescent="0.35">
      <c r="A457">
        <v>455</v>
      </c>
      <c r="B457">
        <v>2016</v>
      </c>
      <c r="C457" t="s">
        <v>219</v>
      </c>
      <c r="D457" t="s">
        <v>1217</v>
      </c>
      <c r="E457" t="s">
        <v>1228</v>
      </c>
      <c r="F457" t="s">
        <v>1126</v>
      </c>
      <c r="G457">
        <v>2</v>
      </c>
      <c r="H457" t="s">
        <v>842</v>
      </c>
      <c r="I457">
        <v>3</v>
      </c>
      <c r="J457" s="40">
        <v>185.89</v>
      </c>
      <c r="K457">
        <v>4</v>
      </c>
    </row>
    <row r="458" spans="1:11" x14ac:dyDescent="0.35">
      <c r="A458">
        <v>456</v>
      </c>
      <c r="B458">
        <v>2016</v>
      </c>
      <c r="C458" t="s">
        <v>219</v>
      </c>
      <c r="D458" t="s">
        <v>1217</v>
      </c>
      <c r="E458" t="s">
        <v>1231</v>
      </c>
      <c r="F458" t="s">
        <v>1232</v>
      </c>
      <c r="G458">
        <v>2</v>
      </c>
      <c r="H458" t="s">
        <v>842</v>
      </c>
      <c r="I458">
        <v>3</v>
      </c>
      <c r="J458" s="40">
        <v>187.95</v>
      </c>
      <c r="K458">
        <v>4</v>
      </c>
    </row>
    <row r="459" spans="1:11" x14ac:dyDescent="0.35">
      <c r="A459">
        <v>457</v>
      </c>
      <c r="B459">
        <v>2016</v>
      </c>
      <c r="C459" t="s">
        <v>219</v>
      </c>
      <c r="D459" t="s">
        <v>1217</v>
      </c>
      <c r="E459" t="s">
        <v>1233</v>
      </c>
      <c r="F459" t="s">
        <v>1234</v>
      </c>
      <c r="G459">
        <v>2</v>
      </c>
      <c r="H459" t="s">
        <v>842</v>
      </c>
      <c r="I459">
        <v>3</v>
      </c>
      <c r="J459" s="40">
        <v>192.62</v>
      </c>
      <c r="K459">
        <v>4</v>
      </c>
    </row>
    <row r="460" spans="1:11" x14ac:dyDescent="0.35">
      <c r="A460">
        <v>458</v>
      </c>
      <c r="B460">
        <v>2016</v>
      </c>
      <c r="C460" t="s">
        <v>219</v>
      </c>
      <c r="D460" t="s">
        <v>1217</v>
      </c>
      <c r="E460" t="s">
        <v>1229</v>
      </c>
      <c r="F460" t="s">
        <v>1230</v>
      </c>
      <c r="G460">
        <v>2</v>
      </c>
      <c r="H460" t="s">
        <v>842</v>
      </c>
      <c r="I460">
        <v>3</v>
      </c>
      <c r="J460" s="40">
        <v>197.57</v>
      </c>
      <c r="K460">
        <v>4</v>
      </c>
    </row>
    <row r="461" spans="1:11" x14ac:dyDescent="0.35">
      <c r="A461">
        <v>459</v>
      </c>
      <c r="B461">
        <v>2016</v>
      </c>
      <c r="C461" t="s">
        <v>219</v>
      </c>
      <c r="D461" t="s">
        <v>1134</v>
      </c>
      <c r="E461" t="s">
        <v>1154</v>
      </c>
      <c r="F461" t="s">
        <v>1155</v>
      </c>
      <c r="G461">
        <v>2</v>
      </c>
      <c r="H461" t="s">
        <v>842</v>
      </c>
      <c r="I461">
        <v>3</v>
      </c>
      <c r="J461" s="40">
        <v>199.66</v>
      </c>
      <c r="K461">
        <v>1</v>
      </c>
    </row>
    <row r="462" spans="1:11" x14ac:dyDescent="0.35">
      <c r="A462">
        <v>460</v>
      </c>
      <c r="B462">
        <v>2016</v>
      </c>
      <c r="C462" t="s">
        <v>219</v>
      </c>
      <c r="D462" t="s">
        <v>297</v>
      </c>
      <c r="E462" t="s">
        <v>1097</v>
      </c>
      <c r="F462" t="s">
        <v>1277</v>
      </c>
      <c r="G462">
        <v>2</v>
      </c>
      <c r="H462" t="s">
        <v>842</v>
      </c>
      <c r="I462">
        <v>3</v>
      </c>
      <c r="J462" s="40">
        <v>203.84</v>
      </c>
      <c r="K462">
        <v>1</v>
      </c>
    </row>
    <row r="463" spans="1:11" x14ac:dyDescent="0.35">
      <c r="A463">
        <v>461</v>
      </c>
      <c r="B463">
        <v>2016</v>
      </c>
      <c r="C463" t="s">
        <v>219</v>
      </c>
      <c r="D463" t="s">
        <v>1217</v>
      </c>
      <c r="E463" t="s">
        <v>1235</v>
      </c>
      <c r="F463" t="s">
        <v>1236</v>
      </c>
      <c r="G463">
        <v>2</v>
      </c>
      <c r="H463" t="s">
        <v>842</v>
      </c>
      <c r="I463">
        <v>3</v>
      </c>
      <c r="J463" s="40">
        <v>204.71</v>
      </c>
      <c r="K463">
        <v>4</v>
      </c>
    </row>
    <row r="464" spans="1:11" x14ac:dyDescent="0.35">
      <c r="A464">
        <v>462</v>
      </c>
      <c r="B464">
        <v>2016</v>
      </c>
      <c r="C464" t="s">
        <v>219</v>
      </c>
      <c r="D464" t="s">
        <v>1134</v>
      </c>
      <c r="E464" t="s">
        <v>1136</v>
      </c>
      <c r="F464" t="s">
        <v>1137</v>
      </c>
      <c r="G464">
        <v>2</v>
      </c>
      <c r="H464" t="s">
        <v>842</v>
      </c>
      <c r="I464">
        <v>3</v>
      </c>
      <c r="J464" s="40">
        <v>205.56</v>
      </c>
      <c r="K464">
        <v>1</v>
      </c>
    </row>
    <row r="465" spans="1:11" x14ac:dyDescent="0.35">
      <c r="A465">
        <v>463</v>
      </c>
      <c r="B465">
        <v>2016</v>
      </c>
      <c r="C465" t="s">
        <v>219</v>
      </c>
      <c r="D465" t="s">
        <v>297</v>
      </c>
      <c r="E465" t="s">
        <v>1276</v>
      </c>
      <c r="F465" t="s">
        <v>1100</v>
      </c>
      <c r="G465">
        <v>2</v>
      </c>
      <c r="H465" t="s">
        <v>842</v>
      </c>
      <c r="I465">
        <v>3</v>
      </c>
      <c r="J465" s="40">
        <v>215.7</v>
      </c>
      <c r="K465">
        <v>1</v>
      </c>
    </row>
    <row r="466" spans="1:11" x14ac:dyDescent="0.35">
      <c r="A466">
        <v>464</v>
      </c>
      <c r="B466">
        <v>2016</v>
      </c>
      <c r="C466" t="s">
        <v>219</v>
      </c>
      <c r="D466" t="s">
        <v>294</v>
      </c>
      <c r="E466" t="s">
        <v>1068</v>
      </c>
      <c r="F466" t="s">
        <v>1260</v>
      </c>
      <c r="G466">
        <v>2</v>
      </c>
      <c r="H466" t="s">
        <v>842</v>
      </c>
      <c r="I466">
        <v>3</v>
      </c>
      <c r="J466" s="40">
        <v>216.41</v>
      </c>
      <c r="K466">
        <v>1</v>
      </c>
    </row>
    <row r="467" spans="1:11" x14ac:dyDescent="0.35">
      <c r="A467">
        <v>465</v>
      </c>
      <c r="B467">
        <v>2016</v>
      </c>
      <c r="C467" t="s">
        <v>219</v>
      </c>
      <c r="D467" t="s">
        <v>1250</v>
      </c>
      <c r="E467" t="s">
        <v>1249</v>
      </c>
      <c r="F467" t="s">
        <v>1251</v>
      </c>
      <c r="G467">
        <v>1</v>
      </c>
      <c r="H467" t="s">
        <v>842</v>
      </c>
      <c r="I467">
        <v>3</v>
      </c>
      <c r="J467" s="40">
        <v>218.59</v>
      </c>
      <c r="K467">
        <v>4</v>
      </c>
    </row>
    <row r="468" spans="1:11" x14ac:dyDescent="0.35">
      <c r="A468">
        <v>466</v>
      </c>
      <c r="B468">
        <v>2016</v>
      </c>
      <c r="C468" t="s">
        <v>219</v>
      </c>
      <c r="D468" t="s">
        <v>1239</v>
      </c>
      <c r="E468" t="s">
        <v>959</v>
      </c>
      <c r="F468" t="s">
        <v>960</v>
      </c>
      <c r="G468">
        <v>2</v>
      </c>
      <c r="H468" t="s">
        <v>842</v>
      </c>
      <c r="I468">
        <v>3</v>
      </c>
      <c r="J468" s="40">
        <v>219.38</v>
      </c>
      <c r="K468">
        <v>2</v>
      </c>
    </row>
    <row r="469" spans="1:11" x14ac:dyDescent="0.35">
      <c r="A469">
        <v>467</v>
      </c>
      <c r="B469">
        <v>2016</v>
      </c>
      <c r="C469" t="s">
        <v>219</v>
      </c>
      <c r="D469" t="s">
        <v>297</v>
      </c>
      <c r="E469" t="s">
        <v>1099</v>
      </c>
      <c r="F469" t="s">
        <v>1275</v>
      </c>
      <c r="G469">
        <v>2</v>
      </c>
      <c r="H469" t="s">
        <v>842</v>
      </c>
      <c r="I469">
        <v>3</v>
      </c>
      <c r="J469" s="40">
        <v>221.44</v>
      </c>
      <c r="K469">
        <v>1</v>
      </c>
    </row>
    <row r="470" spans="1:11" x14ac:dyDescent="0.35">
      <c r="A470">
        <v>468</v>
      </c>
      <c r="B470">
        <v>2016</v>
      </c>
      <c r="C470" t="s">
        <v>219</v>
      </c>
      <c r="D470" t="s">
        <v>1239</v>
      </c>
      <c r="E470" t="s">
        <v>955</v>
      </c>
      <c r="F470" t="s">
        <v>956</v>
      </c>
      <c r="G470">
        <v>2</v>
      </c>
      <c r="H470" t="s">
        <v>842</v>
      </c>
      <c r="I470">
        <v>3</v>
      </c>
      <c r="J470" s="40">
        <v>226.81</v>
      </c>
      <c r="K470">
        <v>2</v>
      </c>
    </row>
    <row r="471" spans="1:11" x14ac:dyDescent="0.35">
      <c r="A471">
        <v>469</v>
      </c>
      <c r="B471">
        <v>2016</v>
      </c>
      <c r="C471" t="s">
        <v>219</v>
      </c>
      <c r="D471" t="s">
        <v>1239</v>
      </c>
      <c r="E471" t="s">
        <v>957</v>
      </c>
      <c r="F471" t="s">
        <v>1240</v>
      </c>
      <c r="G471">
        <v>2</v>
      </c>
      <c r="H471" t="s">
        <v>842</v>
      </c>
      <c r="I471">
        <v>3</v>
      </c>
      <c r="J471" s="40">
        <v>228.24</v>
      </c>
      <c r="K471">
        <v>2</v>
      </c>
    </row>
    <row r="472" spans="1:11" x14ac:dyDescent="0.35">
      <c r="A472">
        <v>470</v>
      </c>
      <c r="B472">
        <v>2016</v>
      </c>
      <c r="C472" t="s">
        <v>219</v>
      </c>
      <c r="D472" t="s">
        <v>1239</v>
      </c>
      <c r="E472" t="s">
        <v>953</v>
      </c>
      <c r="F472" t="s">
        <v>954</v>
      </c>
      <c r="G472">
        <v>2</v>
      </c>
      <c r="H472" t="s">
        <v>842</v>
      </c>
      <c r="I472">
        <v>3</v>
      </c>
      <c r="J472" s="40">
        <v>230.79</v>
      </c>
      <c r="K472">
        <v>2</v>
      </c>
    </row>
    <row r="473" spans="1:11" x14ac:dyDescent="0.35">
      <c r="A473">
        <v>471</v>
      </c>
      <c r="B473">
        <v>2016</v>
      </c>
      <c r="C473" t="s">
        <v>219</v>
      </c>
      <c r="D473" t="s">
        <v>217</v>
      </c>
      <c r="E473" t="s">
        <v>981</v>
      </c>
      <c r="F473" t="s">
        <v>1248</v>
      </c>
      <c r="G473">
        <v>1</v>
      </c>
      <c r="H473" t="s">
        <v>842</v>
      </c>
      <c r="I473">
        <v>3</v>
      </c>
      <c r="J473" s="40">
        <v>231.83</v>
      </c>
      <c r="K473">
        <v>1</v>
      </c>
    </row>
    <row r="474" spans="1:11" x14ac:dyDescent="0.35">
      <c r="A474">
        <v>472</v>
      </c>
      <c r="B474">
        <v>2016</v>
      </c>
      <c r="C474" t="s">
        <v>219</v>
      </c>
      <c r="D474" t="s">
        <v>294</v>
      </c>
      <c r="E474" t="s">
        <v>1074</v>
      </c>
      <c r="F474" t="s">
        <v>1263</v>
      </c>
      <c r="G474">
        <v>3</v>
      </c>
      <c r="H474" t="s">
        <v>842</v>
      </c>
      <c r="I474">
        <v>3</v>
      </c>
      <c r="J474" s="40">
        <v>232.08</v>
      </c>
      <c r="K474">
        <v>1</v>
      </c>
    </row>
    <row r="475" spans="1:11" x14ac:dyDescent="0.35">
      <c r="A475">
        <v>473</v>
      </c>
      <c r="B475">
        <v>2016</v>
      </c>
      <c r="C475" t="s">
        <v>219</v>
      </c>
      <c r="D475" t="s">
        <v>1239</v>
      </c>
      <c r="E475" t="s">
        <v>950</v>
      </c>
      <c r="F475" t="s">
        <v>952</v>
      </c>
      <c r="G475">
        <v>2</v>
      </c>
      <c r="H475" t="s">
        <v>842</v>
      </c>
      <c r="I475">
        <v>3</v>
      </c>
      <c r="J475" s="40">
        <v>234.11</v>
      </c>
      <c r="K475">
        <v>2</v>
      </c>
    </row>
    <row r="476" spans="1:11" x14ac:dyDescent="0.35">
      <c r="A476">
        <v>474</v>
      </c>
      <c r="B476">
        <v>2016</v>
      </c>
      <c r="C476" t="s">
        <v>219</v>
      </c>
      <c r="D476" t="s">
        <v>294</v>
      </c>
      <c r="E476" t="s">
        <v>1064</v>
      </c>
      <c r="F476" t="s">
        <v>1065</v>
      </c>
      <c r="G476">
        <v>2</v>
      </c>
      <c r="H476" t="s">
        <v>842</v>
      </c>
      <c r="I476">
        <v>3</v>
      </c>
      <c r="J476" s="40">
        <v>235.66</v>
      </c>
      <c r="K476">
        <v>1</v>
      </c>
    </row>
    <row r="477" spans="1:11" x14ac:dyDescent="0.35">
      <c r="A477">
        <v>475</v>
      </c>
      <c r="B477">
        <v>2016</v>
      </c>
      <c r="C477" t="s">
        <v>219</v>
      </c>
      <c r="D477" t="s">
        <v>217</v>
      </c>
      <c r="E477" t="s">
        <v>979</v>
      </c>
      <c r="F477" t="s">
        <v>1246</v>
      </c>
      <c r="G477">
        <v>1</v>
      </c>
      <c r="H477" t="s">
        <v>842</v>
      </c>
      <c r="I477">
        <v>3</v>
      </c>
      <c r="J477" s="40">
        <v>240.09</v>
      </c>
      <c r="K477">
        <v>1</v>
      </c>
    </row>
    <row r="478" spans="1:11" x14ac:dyDescent="0.35">
      <c r="A478">
        <v>476</v>
      </c>
      <c r="B478">
        <v>2016</v>
      </c>
      <c r="C478" t="s">
        <v>219</v>
      </c>
      <c r="D478" t="s">
        <v>1280</v>
      </c>
      <c r="E478" t="s">
        <v>1107</v>
      </c>
      <c r="F478" t="s">
        <v>1131</v>
      </c>
      <c r="G478">
        <v>2</v>
      </c>
      <c r="H478" t="s">
        <v>842</v>
      </c>
      <c r="I478">
        <v>3</v>
      </c>
      <c r="J478" s="40">
        <v>252.48</v>
      </c>
      <c r="K478">
        <v>1</v>
      </c>
    </row>
    <row r="479" spans="1:11" x14ac:dyDescent="0.35">
      <c r="A479">
        <v>477</v>
      </c>
      <c r="B479">
        <v>2016</v>
      </c>
      <c r="C479" t="s">
        <v>219</v>
      </c>
      <c r="D479" t="s">
        <v>1280</v>
      </c>
      <c r="E479" t="s">
        <v>1108</v>
      </c>
      <c r="F479" t="s">
        <v>1281</v>
      </c>
      <c r="G479">
        <v>2</v>
      </c>
      <c r="H479" t="s">
        <v>842</v>
      </c>
      <c r="I479">
        <v>3</v>
      </c>
      <c r="J479" s="40">
        <v>252.48</v>
      </c>
      <c r="K479">
        <v>1</v>
      </c>
    </row>
    <row r="480" spans="1:11" x14ac:dyDescent="0.35">
      <c r="A480">
        <v>478</v>
      </c>
      <c r="B480">
        <v>2016</v>
      </c>
      <c r="C480" t="s">
        <v>219</v>
      </c>
      <c r="D480" t="s">
        <v>1280</v>
      </c>
      <c r="E480" t="s">
        <v>1110</v>
      </c>
      <c r="F480" t="s">
        <v>1127</v>
      </c>
      <c r="G480">
        <v>2</v>
      </c>
      <c r="H480" t="s">
        <v>842</v>
      </c>
      <c r="I480">
        <v>3</v>
      </c>
      <c r="J480" s="40">
        <v>259.39999999999998</v>
      </c>
      <c r="K480">
        <v>1</v>
      </c>
    </row>
    <row r="481" spans="1:11" x14ac:dyDescent="0.35">
      <c r="A481">
        <v>479</v>
      </c>
      <c r="B481">
        <v>2016</v>
      </c>
      <c r="C481" t="s">
        <v>219</v>
      </c>
      <c r="D481" t="s">
        <v>304</v>
      </c>
      <c r="E481" t="s">
        <v>918</v>
      </c>
      <c r="F481" t="s">
        <v>919</v>
      </c>
      <c r="G481">
        <v>1</v>
      </c>
      <c r="H481" t="s">
        <v>842</v>
      </c>
      <c r="I481">
        <v>3</v>
      </c>
      <c r="J481" s="40">
        <v>265.11</v>
      </c>
      <c r="K481">
        <v>4</v>
      </c>
    </row>
    <row r="482" spans="1:11" x14ac:dyDescent="0.35">
      <c r="A482">
        <v>480</v>
      </c>
      <c r="B482">
        <v>2016</v>
      </c>
      <c r="C482" t="s">
        <v>219</v>
      </c>
      <c r="D482" t="s">
        <v>304</v>
      </c>
      <c r="E482" t="s">
        <v>922</v>
      </c>
      <c r="F482" t="s">
        <v>923</v>
      </c>
      <c r="G482">
        <v>1</v>
      </c>
      <c r="H482" t="s">
        <v>842</v>
      </c>
      <c r="I482">
        <v>3</v>
      </c>
      <c r="J482" s="40">
        <v>312.70999999999998</v>
      </c>
      <c r="K482">
        <v>4</v>
      </c>
    </row>
    <row r="483" spans="1:11" x14ac:dyDescent="0.35">
      <c r="A483">
        <v>481</v>
      </c>
      <c r="B483">
        <v>2016</v>
      </c>
      <c r="C483" t="s">
        <v>219</v>
      </c>
      <c r="D483" t="s">
        <v>297</v>
      </c>
      <c r="E483" t="s">
        <v>1097</v>
      </c>
      <c r="F483" t="s">
        <v>1277</v>
      </c>
      <c r="G483">
        <v>2</v>
      </c>
      <c r="H483" t="s">
        <v>842</v>
      </c>
      <c r="I483">
        <v>4</v>
      </c>
      <c r="J483" s="40">
        <v>203.84</v>
      </c>
      <c r="K483">
        <v>1</v>
      </c>
    </row>
    <row r="484" spans="1:11" x14ac:dyDescent="0.35">
      <c r="A484">
        <v>482</v>
      </c>
      <c r="B484">
        <v>2016</v>
      </c>
      <c r="C484" t="s">
        <v>219</v>
      </c>
      <c r="D484" t="s">
        <v>297</v>
      </c>
      <c r="E484" t="s">
        <v>1276</v>
      </c>
      <c r="F484" t="s">
        <v>1100</v>
      </c>
      <c r="G484">
        <v>2</v>
      </c>
      <c r="H484" t="s">
        <v>842</v>
      </c>
      <c r="I484">
        <v>4</v>
      </c>
      <c r="J484" s="40">
        <v>215.7</v>
      </c>
      <c r="K484">
        <v>1</v>
      </c>
    </row>
    <row r="485" spans="1:11" x14ac:dyDescent="0.35">
      <c r="A485">
        <v>483</v>
      </c>
      <c r="B485">
        <v>2016</v>
      </c>
      <c r="C485" t="s">
        <v>219</v>
      </c>
      <c r="D485" t="s">
        <v>297</v>
      </c>
      <c r="E485" t="s">
        <v>1099</v>
      </c>
      <c r="F485" t="s">
        <v>1275</v>
      </c>
      <c r="G485">
        <v>2</v>
      </c>
      <c r="H485" t="s">
        <v>842</v>
      </c>
      <c r="I485">
        <v>4</v>
      </c>
      <c r="J485" s="40">
        <v>221.44</v>
      </c>
      <c r="K485">
        <v>1</v>
      </c>
    </row>
    <row r="486" spans="1:11" x14ac:dyDescent="0.35">
      <c r="A486">
        <v>484</v>
      </c>
      <c r="B486">
        <v>2016</v>
      </c>
      <c r="C486" t="s">
        <v>219</v>
      </c>
      <c r="D486" t="s">
        <v>294</v>
      </c>
      <c r="E486" t="s">
        <v>1074</v>
      </c>
      <c r="F486" t="s">
        <v>1263</v>
      </c>
      <c r="G486">
        <v>3</v>
      </c>
      <c r="H486" t="s">
        <v>842</v>
      </c>
      <c r="I486">
        <v>4</v>
      </c>
      <c r="J486" s="40">
        <v>237.31</v>
      </c>
      <c r="K486">
        <v>1</v>
      </c>
    </row>
    <row r="487" spans="1:11" x14ac:dyDescent="0.35">
      <c r="A487">
        <v>485</v>
      </c>
      <c r="B487">
        <v>2016</v>
      </c>
      <c r="C487" t="s">
        <v>219</v>
      </c>
      <c r="D487" t="s">
        <v>1239</v>
      </c>
      <c r="E487" t="s">
        <v>959</v>
      </c>
      <c r="F487" t="s">
        <v>960</v>
      </c>
      <c r="G487">
        <v>2</v>
      </c>
      <c r="H487" t="s">
        <v>842</v>
      </c>
      <c r="I487">
        <v>4</v>
      </c>
      <c r="J487" s="40">
        <v>271.73</v>
      </c>
      <c r="K487">
        <v>2</v>
      </c>
    </row>
    <row r="488" spans="1:11" x14ac:dyDescent="0.35">
      <c r="A488">
        <v>486</v>
      </c>
      <c r="B488">
        <v>2016</v>
      </c>
      <c r="C488" t="s">
        <v>219</v>
      </c>
      <c r="D488" t="s">
        <v>1239</v>
      </c>
      <c r="E488" t="s">
        <v>955</v>
      </c>
      <c r="F488" t="s">
        <v>956</v>
      </c>
      <c r="G488">
        <v>2</v>
      </c>
      <c r="H488" t="s">
        <v>842</v>
      </c>
      <c r="I488">
        <v>4</v>
      </c>
      <c r="J488" s="40">
        <v>280.93</v>
      </c>
      <c r="K488">
        <v>2</v>
      </c>
    </row>
    <row r="489" spans="1:11" x14ac:dyDescent="0.35">
      <c r="A489">
        <v>487</v>
      </c>
      <c r="B489">
        <v>2016</v>
      </c>
      <c r="C489" t="s">
        <v>219</v>
      </c>
      <c r="D489" t="s">
        <v>1239</v>
      </c>
      <c r="E489" t="s">
        <v>957</v>
      </c>
      <c r="F489" t="s">
        <v>1240</v>
      </c>
      <c r="G489">
        <v>2</v>
      </c>
      <c r="H489" t="s">
        <v>842</v>
      </c>
      <c r="I489">
        <v>4</v>
      </c>
      <c r="J489" s="40">
        <v>282.70999999999998</v>
      </c>
      <c r="K489">
        <v>2</v>
      </c>
    </row>
    <row r="490" spans="1:11" x14ac:dyDescent="0.35">
      <c r="A490">
        <v>488</v>
      </c>
      <c r="B490">
        <v>2016</v>
      </c>
      <c r="C490" t="s">
        <v>219</v>
      </c>
      <c r="D490" t="s">
        <v>1239</v>
      </c>
      <c r="E490" t="s">
        <v>953</v>
      </c>
      <c r="F490" t="s">
        <v>954</v>
      </c>
      <c r="G490">
        <v>2</v>
      </c>
      <c r="H490" t="s">
        <v>842</v>
      </c>
      <c r="I490">
        <v>4</v>
      </c>
      <c r="J490" s="40">
        <v>285.85000000000002</v>
      </c>
      <c r="K490">
        <v>2</v>
      </c>
    </row>
    <row r="491" spans="1:11" x14ac:dyDescent="0.35">
      <c r="A491">
        <v>489</v>
      </c>
      <c r="B491">
        <v>2016</v>
      </c>
      <c r="C491" t="s">
        <v>219</v>
      </c>
      <c r="D491" t="s">
        <v>1280</v>
      </c>
      <c r="E491" t="s">
        <v>1107</v>
      </c>
      <c r="F491" t="s">
        <v>1131</v>
      </c>
      <c r="G491">
        <v>2</v>
      </c>
      <c r="H491" t="s">
        <v>842</v>
      </c>
      <c r="I491">
        <v>4</v>
      </c>
      <c r="J491" s="40">
        <v>288.39</v>
      </c>
      <c r="K491">
        <v>1</v>
      </c>
    </row>
    <row r="492" spans="1:11" x14ac:dyDescent="0.35">
      <c r="A492">
        <v>490</v>
      </c>
      <c r="B492">
        <v>2016</v>
      </c>
      <c r="C492" t="s">
        <v>219</v>
      </c>
      <c r="D492" t="s">
        <v>1280</v>
      </c>
      <c r="E492" t="s">
        <v>1108</v>
      </c>
      <c r="F492" t="s">
        <v>1281</v>
      </c>
      <c r="G492">
        <v>2</v>
      </c>
      <c r="H492" t="s">
        <v>842</v>
      </c>
      <c r="I492">
        <v>4</v>
      </c>
      <c r="J492" s="40">
        <v>288.39</v>
      </c>
      <c r="K492">
        <v>1</v>
      </c>
    </row>
    <row r="493" spans="1:11" x14ac:dyDescent="0.35">
      <c r="A493">
        <v>491</v>
      </c>
      <c r="B493">
        <v>2016</v>
      </c>
      <c r="C493" t="s">
        <v>219</v>
      </c>
      <c r="D493" t="s">
        <v>1239</v>
      </c>
      <c r="E493" t="s">
        <v>950</v>
      </c>
      <c r="F493" t="s">
        <v>952</v>
      </c>
      <c r="G493">
        <v>2</v>
      </c>
      <c r="H493" t="s">
        <v>842</v>
      </c>
      <c r="I493">
        <v>4</v>
      </c>
      <c r="J493" s="40">
        <v>289.97000000000003</v>
      </c>
      <c r="K493">
        <v>2</v>
      </c>
    </row>
    <row r="494" spans="1:11" x14ac:dyDescent="0.35">
      <c r="A494">
        <v>492</v>
      </c>
      <c r="B494">
        <v>2016</v>
      </c>
      <c r="C494" t="s">
        <v>219</v>
      </c>
      <c r="D494" t="s">
        <v>1280</v>
      </c>
      <c r="E494" t="s">
        <v>1110</v>
      </c>
      <c r="F494" t="s">
        <v>1127</v>
      </c>
      <c r="G494">
        <v>2</v>
      </c>
      <c r="H494" t="s">
        <v>842</v>
      </c>
      <c r="I494">
        <v>4</v>
      </c>
      <c r="J494" s="40">
        <v>296.29000000000002</v>
      </c>
      <c r="K494">
        <v>1</v>
      </c>
    </row>
    <row r="495" spans="1:11" x14ac:dyDescent="0.35">
      <c r="A495">
        <v>493</v>
      </c>
      <c r="B495">
        <v>2016</v>
      </c>
      <c r="C495" t="s">
        <v>219</v>
      </c>
      <c r="D495" t="s">
        <v>304</v>
      </c>
      <c r="E495" t="s">
        <v>918</v>
      </c>
      <c r="F495" t="s">
        <v>919</v>
      </c>
      <c r="G495">
        <v>1</v>
      </c>
      <c r="H495" t="s">
        <v>842</v>
      </c>
      <c r="I495">
        <v>4</v>
      </c>
      <c r="J495" s="40">
        <v>306.49</v>
      </c>
      <c r="K495">
        <v>4</v>
      </c>
    </row>
    <row r="496" spans="1:11" x14ac:dyDescent="0.35">
      <c r="A496">
        <v>494</v>
      </c>
      <c r="B496">
        <v>2016</v>
      </c>
      <c r="C496" t="s">
        <v>219</v>
      </c>
      <c r="D496" t="s">
        <v>304</v>
      </c>
      <c r="E496" t="s">
        <v>922</v>
      </c>
      <c r="F496" t="s">
        <v>923</v>
      </c>
      <c r="G496">
        <v>1</v>
      </c>
      <c r="H496" t="s">
        <v>842</v>
      </c>
      <c r="I496">
        <v>4</v>
      </c>
      <c r="J496" s="40">
        <v>361.51</v>
      </c>
      <c r="K496">
        <v>4</v>
      </c>
    </row>
    <row r="497" spans="1:11" x14ac:dyDescent="0.35">
      <c r="A497">
        <v>495</v>
      </c>
      <c r="B497">
        <v>2016</v>
      </c>
      <c r="C497" t="s">
        <v>219</v>
      </c>
      <c r="D497" t="s">
        <v>1239</v>
      </c>
      <c r="E497" t="s">
        <v>959</v>
      </c>
      <c r="F497" t="s">
        <v>960</v>
      </c>
      <c r="G497">
        <v>2</v>
      </c>
      <c r="H497" t="s">
        <v>842</v>
      </c>
      <c r="I497">
        <v>5</v>
      </c>
      <c r="J497" s="40">
        <v>200.17</v>
      </c>
      <c r="K497">
        <v>2</v>
      </c>
    </row>
    <row r="498" spans="1:11" x14ac:dyDescent="0.35">
      <c r="A498">
        <v>496</v>
      </c>
      <c r="B498">
        <v>2016</v>
      </c>
      <c r="C498" t="s">
        <v>219</v>
      </c>
      <c r="D498" t="s">
        <v>1134</v>
      </c>
      <c r="E498" t="s">
        <v>1164</v>
      </c>
      <c r="F498" t="s">
        <v>1165</v>
      </c>
      <c r="G498">
        <v>2</v>
      </c>
      <c r="H498" t="s">
        <v>842</v>
      </c>
      <c r="I498">
        <v>5</v>
      </c>
      <c r="J498" s="40">
        <v>201.98</v>
      </c>
      <c r="K498">
        <v>1</v>
      </c>
    </row>
    <row r="499" spans="1:11" x14ac:dyDescent="0.35">
      <c r="A499">
        <v>497</v>
      </c>
      <c r="B499">
        <v>2016</v>
      </c>
      <c r="C499" t="s">
        <v>219</v>
      </c>
      <c r="D499" t="s">
        <v>1239</v>
      </c>
      <c r="E499" t="s">
        <v>955</v>
      </c>
      <c r="F499" t="s">
        <v>956</v>
      </c>
      <c r="G499">
        <v>2</v>
      </c>
      <c r="H499" t="s">
        <v>842</v>
      </c>
      <c r="I499">
        <v>5</v>
      </c>
      <c r="J499" s="40">
        <v>206.95</v>
      </c>
      <c r="K499">
        <v>2</v>
      </c>
    </row>
    <row r="500" spans="1:11" x14ac:dyDescent="0.35">
      <c r="A500">
        <v>498</v>
      </c>
      <c r="B500">
        <v>2016</v>
      </c>
      <c r="C500" t="s">
        <v>219</v>
      </c>
      <c r="D500" t="s">
        <v>1134</v>
      </c>
      <c r="E500" t="s">
        <v>1146</v>
      </c>
      <c r="F500" t="s">
        <v>1147</v>
      </c>
      <c r="G500">
        <v>2</v>
      </c>
      <c r="H500" t="s">
        <v>842</v>
      </c>
      <c r="I500">
        <v>5</v>
      </c>
      <c r="J500" s="40">
        <v>207.93</v>
      </c>
      <c r="K500">
        <v>1</v>
      </c>
    </row>
    <row r="501" spans="1:11" x14ac:dyDescent="0.35">
      <c r="A501">
        <v>499</v>
      </c>
      <c r="B501">
        <v>2016</v>
      </c>
      <c r="C501" t="s">
        <v>219</v>
      </c>
      <c r="D501" t="s">
        <v>1239</v>
      </c>
      <c r="E501" t="s">
        <v>957</v>
      </c>
      <c r="F501" t="s">
        <v>1240</v>
      </c>
      <c r="G501">
        <v>2</v>
      </c>
      <c r="H501" t="s">
        <v>842</v>
      </c>
      <c r="I501">
        <v>5</v>
      </c>
      <c r="J501" s="40">
        <v>208.26</v>
      </c>
      <c r="K501">
        <v>2</v>
      </c>
    </row>
    <row r="502" spans="1:11" x14ac:dyDescent="0.35">
      <c r="A502">
        <v>500</v>
      </c>
      <c r="B502">
        <v>2016</v>
      </c>
      <c r="C502" t="s">
        <v>219</v>
      </c>
      <c r="D502" t="s">
        <v>1134</v>
      </c>
      <c r="E502" t="s">
        <v>1156</v>
      </c>
      <c r="F502" t="s">
        <v>1157</v>
      </c>
      <c r="G502">
        <v>2</v>
      </c>
      <c r="H502" t="s">
        <v>842</v>
      </c>
      <c r="I502">
        <v>5</v>
      </c>
      <c r="J502" s="40">
        <v>208.96</v>
      </c>
      <c r="K502">
        <v>1</v>
      </c>
    </row>
    <row r="503" spans="1:11" x14ac:dyDescent="0.35">
      <c r="A503">
        <v>501</v>
      </c>
      <c r="B503">
        <v>2016</v>
      </c>
      <c r="C503" t="s">
        <v>219</v>
      </c>
      <c r="D503" t="s">
        <v>1239</v>
      </c>
      <c r="E503" t="s">
        <v>953</v>
      </c>
      <c r="F503" t="s">
        <v>954</v>
      </c>
      <c r="G503">
        <v>2</v>
      </c>
      <c r="H503" t="s">
        <v>842</v>
      </c>
      <c r="I503">
        <v>5</v>
      </c>
      <c r="J503" s="40">
        <v>210.57</v>
      </c>
      <c r="K503">
        <v>2</v>
      </c>
    </row>
    <row r="504" spans="1:11" x14ac:dyDescent="0.35">
      <c r="A504">
        <v>502</v>
      </c>
      <c r="B504">
        <v>2016</v>
      </c>
      <c r="C504" t="s">
        <v>219</v>
      </c>
      <c r="D504" t="s">
        <v>1239</v>
      </c>
      <c r="E504" t="s">
        <v>950</v>
      </c>
      <c r="F504" t="s">
        <v>952</v>
      </c>
      <c r="G504">
        <v>2</v>
      </c>
      <c r="H504" t="s">
        <v>842</v>
      </c>
      <c r="I504">
        <v>5</v>
      </c>
      <c r="J504" s="40">
        <v>213.61</v>
      </c>
      <c r="K504">
        <v>2</v>
      </c>
    </row>
    <row r="505" spans="1:11" x14ac:dyDescent="0.35">
      <c r="A505">
        <v>503</v>
      </c>
      <c r="B505">
        <v>2016</v>
      </c>
      <c r="C505" t="s">
        <v>219</v>
      </c>
      <c r="D505" t="s">
        <v>1134</v>
      </c>
      <c r="E505" t="s">
        <v>1138</v>
      </c>
      <c r="F505" t="s">
        <v>1139</v>
      </c>
      <c r="G505">
        <v>2</v>
      </c>
      <c r="H505" t="s">
        <v>842</v>
      </c>
      <c r="I505">
        <v>5</v>
      </c>
      <c r="J505" s="40">
        <v>215.12</v>
      </c>
      <c r="K505">
        <v>1</v>
      </c>
    </row>
    <row r="506" spans="1:11" x14ac:dyDescent="0.35">
      <c r="A506">
        <v>504</v>
      </c>
      <c r="B506">
        <v>2016</v>
      </c>
      <c r="C506" t="s">
        <v>219</v>
      </c>
      <c r="D506" t="s">
        <v>294</v>
      </c>
      <c r="E506" t="s">
        <v>1074</v>
      </c>
      <c r="F506" t="s">
        <v>1263</v>
      </c>
      <c r="G506">
        <v>3</v>
      </c>
      <c r="H506" t="s">
        <v>842</v>
      </c>
      <c r="I506">
        <v>5</v>
      </c>
      <c r="J506" s="40">
        <v>230.51</v>
      </c>
      <c r="K506">
        <v>1</v>
      </c>
    </row>
    <row r="507" spans="1:11" x14ac:dyDescent="0.35">
      <c r="A507">
        <v>505</v>
      </c>
      <c r="B507">
        <v>2016</v>
      </c>
      <c r="C507" t="s">
        <v>219</v>
      </c>
      <c r="D507" t="s">
        <v>1280</v>
      </c>
      <c r="E507" t="s">
        <v>1107</v>
      </c>
      <c r="F507" t="s">
        <v>1131</v>
      </c>
      <c r="G507">
        <v>2</v>
      </c>
      <c r="H507" t="s">
        <v>842</v>
      </c>
      <c r="I507">
        <v>5</v>
      </c>
      <c r="J507" s="40">
        <v>232.82</v>
      </c>
      <c r="K507">
        <v>1</v>
      </c>
    </row>
    <row r="508" spans="1:11" x14ac:dyDescent="0.35">
      <c r="A508">
        <v>506</v>
      </c>
      <c r="B508">
        <v>2016</v>
      </c>
      <c r="C508" t="s">
        <v>219</v>
      </c>
      <c r="D508" t="s">
        <v>1280</v>
      </c>
      <c r="E508" t="s">
        <v>1108</v>
      </c>
      <c r="F508" t="s">
        <v>1281</v>
      </c>
      <c r="G508">
        <v>2</v>
      </c>
      <c r="H508" t="s">
        <v>842</v>
      </c>
      <c r="I508">
        <v>5</v>
      </c>
      <c r="J508" s="40">
        <v>232.82</v>
      </c>
      <c r="K508">
        <v>1</v>
      </c>
    </row>
    <row r="509" spans="1:11" x14ac:dyDescent="0.35">
      <c r="A509">
        <v>507</v>
      </c>
      <c r="B509">
        <v>2016</v>
      </c>
      <c r="C509" t="s">
        <v>219</v>
      </c>
      <c r="D509" t="s">
        <v>1280</v>
      </c>
      <c r="E509" t="s">
        <v>1110</v>
      </c>
      <c r="F509" t="s">
        <v>1127</v>
      </c>
      <c r="G509">
        <v>2</v>
      </c>
      <c r="H509" t="s">
        <v>842</v>
      </c>
      <c r="I509">
        <v>5</v>
      </c>
      <c r="J509" s="40">
        <v>239.2</v>
      </c>
      <c r="K509">
        <v>1</v>
      </c>
    </row>
    <row r="510" spans="1:11" x14ac:dyDescent="0.35">
      <c r="A510">
        <v>508</v>
      </c>
      <c r="B510">
        <v>2016</v>
      </c>
      <c r="C510" t="s">
        <v>219</v>
      </c>
      <c r="D510" t="s">
        <v>1239</v>
      </c>
      <c r="E510" t="s">
        <v>959</v>
      </c>
      <c r="F510" t="s">
        <v>960</v>
      </c>
      <c r="G510">
        <v>2</v>
      </c>
      <c r="H510" t="s">
        <v>842</v>
      </c>
      <c r="I510">
        <v>6</v>
      </c>
      <c r="J510" s="40">
        <v>242.99</v>
      </c>
      <c r="K510">
        <v>2</v>
      </c>
    </row>
    <row r="511" spans="1:11" x14ac:dyDescent="0.35">
      <c r="A511">
        <v>509</v>
      </c>
      <c r="B511">
        <v>2016</v>
      </c>
      <c r="C511" t="s">
        <v>219</v>
      </c>
      <c r="D511" t="s">
        <v>1239</v>
      </c>
      <c r="E511" t="s">
        <v>955</v>
      </c>
      <c r="F511" t="s">
        <v>956</v>
      </c>
      <c r="G511">
        <v>2</v>
      </c>
      <c r="H511" t="s">
        <v>842</v>
      </c>
      <c r="I511">
        <v>6</v>
      </c>
      <c r="J511" s="40">
        <v>251.23</v>
      </c>
      <c r="K511">
        <v>2</v>
      </c>
    </row>
    <row r="512" spans="1:11" x14ac:dyDescent="0.35">
      <c r="A512">
        <v>510</v>
      </c>
      <c r="B512">
        <v>2016</v>
      </c>
      <c r="C512" t="s">
        <v>219</v>
      </c>
      <c r="D512" t="s">
        <v>1239</v>
      </c>
      <c r="E512" t="s">
        <v>957</v>
      </c>
      <c r="F512" t="s">
        <v>1240</v>
      </c>
      <c r="G512">
        <v>2</v>
      </c>
      <c r="H512" t="s">
        <v>842</v>
      </c>
      <c r="I512">
        <v>6</v>
      </c>
      <c r="J512" s="40">
        <v>252.82</v>
      </c>
      <c r="K512">
        <v>2</v>
      </c>
    </row>
    <row r="513" spans="1:11" x14ac:dyDescent="0.35">
      <c r="A513">
        <v>511</v>
      </c>
      <c r="B513">
        <v>2016</v>
      </c>
      <c r="C513" t="s">
        <v>219</v>
      </c>
      <c r="D513" t="s">
        <v>1134</v>
      </c>
      <c r="E513" t="s">
        <v>1164</v>
      </c>
      <c r="F513" t="s">
        <v>1165</v>
      </c>
      <c r="G513">
        <v>2</v>
      </c>
      <c r="H513" t="s">
        <v>842</v>
      </c>
      <c r="I513">
        <v>6</v>
      </c>
      <c r="J513" s="40">
        <v>253.47</v>
      </c>
      <c r="K513">
        <v>1</v>
      </c>
    </row>
    <row r="514" spans="1:11" x14ac:dyDescent="0.35">
      <c r="A514">
        <v>512</v>
      </c>
      <c r="B514">
        <v>2016</v>
      </c>
      <c r="C514" t="s">
        <v>219</v>
      </c>
      <c r="D514" t="s">
        <v>1239</v>
      </c>
      <c r="E514" t="s">
        <v>953</v>
      </c>
      <c r="F514" t="s">
        <v>954</v>
      </c>
      <c r="G514">
        <v>2</v>
      </c>
      <c r="H514" t="s">
        <v>842</v>
      </c>
      <c r="I514">
        <v>6</v>
      </c>
      <c r="J514" s="40">
        <v>255.64</v>
      </c>
      <c r="K514">
        <v>2</v>
      </c>
    </row>
    <row r="515" spans="1:11" x14ac:dyDescent="0.35">
      <c r="A515">
        <v>513</v>
      </c>
      <c r="B515">
        <v>2016</v>
      </c>
      <c r="C515" t="s">
        <v>219</v>
      </c>
      <c r="D515" t="s">
        <v>294</v>
      </c>
      <c r="E515" t="s">
        <v>1074</v>
      </c>
      <c r="F515" t="s">
        <v>1263</v>
      </c>
      <c r="G515">
        <v>3</v>
      </c>
      <c r="H515" t="s">
        <v>842</v>
      </c>
      <c r="I515">
        <v>6</v>
      </c>
      <c r="J515" s="40">
        <v>257.16000000000003</v>
      </c>
      <c r="K515">
        <v>1</v>
      </c>
    </row>
    <row r="516" spans="1:11" x14ac:dyDescent="0.35">
      <c r="A516">
        <v>514</v>
      </c>
      <c r="B516">
        <v>2016</v>
      </c>
      <c r="C516" t="s">
        <v>219</v>
      </c>
      <c r="D516" t="s">
        <v>1239</v>
      </c>
      <c r="E516" t="s">
        <v>950</v>
      </c>
      <c r="F516" t="s">
        <v>952</v>
      </c>
      <c r="G516">
        <v>2</v>
      </c>
      <c r="H516" t="s">
        <v>842</v>
      </c>
      <c r="I516">
        <v>6</v>
      </c>
      <c r="J516" s="40">
        <v>259.32</v>
      </c>
      <c r="K516">
        <v>2</v>
      </c>
    </row>
    <row r="517" spans="1:11" x14ac:dyDescent="0.35">
      <c r="A517">
        <v>515</v>
      </c>
      <c r="B517">
        <v>2016</v>
      </c>
      <c r="C517" t="s">
        <v>219</v>
      </c>
      <c r="D517" t="s">
        <v>1134</v>
      </c>
      <c r="E517" t="s">
        <v>1146</v>
      </c>
      <c r="F517" t="s">
        <v>1147</v>
      </c>
      <c r="G517">
        <v>2</v>
      </c>
      <c r="H517" t="s">
        <v>842</v>
      </c>
      <c r="I517">
        <v>6</v>
      </c>
      <c r="J517" s="40">
        <v>260.93</v>
      </c>
      <c r="K517">
        <v>1</v>
      </c>
    </row>
    <row r="518" spans="1:11" x14ac:dyDescent="0.35">
      <c r="A518">
        <v>516</v>
      </c>
      <c r="B518">
        <v>2016</v>
      </c>
      <c r="C518" t="s">
        <v>219</v>
      </c>
      <c r="D518" t="s">
        <v>1280</v>
      </c>
      <c r="E518" t="s">
        <v>1107</v>
      </c>
      <c r="F518" t="s">
        <v>1131</v>
      </c>
      <c r="G518">
        <v>2</v>
      </c>
      <c r="H518" t="s">
        <v>842</v>
      </c>
      <c r="I518">
        <v>6</v>
      </c>
      <c r="J518" s="40">
        <v>274.70999999999998</v>
      </c>
      <c r="K518">
        <v>1</v>
      </c>
    </row>
    <row r="519" spans="1:11" x14ac:dyDescent="0.35">
      <c r="A519">
        <v>517</v>
      </c>
      <c r="B519">
        <v>2016</v>
      </c>
      <c r="C519" t="s">
        <v>219</v>
      </c>
      <c r="D519" t="s">
        <v>1280</v>
      </c>
      <c r="E519" t="s">
        <v>1108</v>
      </c>
      <c r="F519" t="s">
        <v>1281</v>
      </c>
      <c r="G519">
        <v>2</v>
      </c>
      <c r="H519" t="s">
        <v>842</v>
      </c>
      <c r="I519">
        <v>6</v>
      </c>
      <c r="J519" s="40">
        <v>274.70999999999998</v>
      </c>
      <c r="K519">
        <v>1</v>
      </c>
    </row>
    <row r="520" spans="1:11" x14ac:dyDescent="0.35">
      <c r="A520">
        <v>518</v>
      </c>
      <c r="B520">
        <v>2016</v>
      </c>
      <c r="C520" t="s">
        <v>219</v>
      </c>
      <c r="D520" t="s">
        <v>1280</v>
      </c>
      <c r="E520" t="s">
        <v>1110</v>
      </c>
      <c r="F520" t="s">
        <v>1127</v>
      </c>
      <c r="G520">
        <v>2</v>
      </c>
      <c r="H520" t="s">
        <v>842</v>
      </c>
      <c r="I520">
        <v>6</v>
      </c>
      <c r="J520" s="40">
        <v>282.24</v>
      </c>
      <c r="K520">
        <v>1</v>
      </c>
    </row>
    <row r="521" spans="1:11" x14ac:dyDescent="0.35">
      <c r="A521">
        <v>519</v>
      </c>
      <c r="B521">
        <v>2016</v>
      </c>
      <c r="C521" t="s">
        <v>219</v>
      </c>
      <c r="D521" t="s">
        <v>1280</v>
      </c>
      <c r="E521" t="s">
        <v>1107</v>
      </c>
      <c r="F521" t="s">
        <v>1131</v>
      </c>
      <c r="G521">
        <v>2</v>
      </c>
      <c r="H521" t="s">
        <v>842</v>
      </c>
      <c r="I521">
        <v>7</v>
      </c>
      <c r="J521" s="40">
        <v>226.26</v>
      </c>
      <c r="K521">
        <v>1</v>
      </c>
    </row>
    <row r="522" spans="1:11" x14ac:dyDescent="0.35">
      <c r="A522">
        <v>520</v>
      </c>
      <c r="B522">
        <v>2016</v>
      </c>
      <c r="C522" t="s">
        <v>219</v>
      </c>
      <c r="D522" t="s">
        <v>1280</v>
      </c>
      <c r="E522" t="s">
        <v>1108</v>
      </c>
      <c r="F522" t="s">
        <v>1281</v>
      </c>
      <c r="G522">
        <v>2</v>
      </c>
      <c r="H522" t="s">
        <v>842</v>
      </c>
      <c r="I522">
        <v>7</v>
      </c>
      <c r="J522" s="40">
        <v>226.26</v>
      </c>
      <c r="K522">
        <v>1</v>
      </c>
    </row>
    <row r="523" spans="1:11" x14ac:dyDescent="0.35">
      <c r="A523">
        <v>521</v>
      </c>
      <c r="B523">
        <v>2016</v>
      </c>
      <c r="C523" t="s">
        <v>219</v>
      </c>
      <c r="D523" t="s">
        <v>1280</v>
      </c>
      <c r="E523" t="s">
        <v>1110</v>
      </c>
      <c r="F523" t="s">
        <v>1127</v>
      </c>
      <c r="G523">
        <v>2</v>
      </c>
      <c r="H523" t="s">
        <v>842</v>
      </c>
      <c r="I523">
        <v>7</v>
      </c>
      <c r="J523" s="40">
        <v>232.46</v>
      </c>
      <c r="K523">
        <v>1</v>
      </c>
    </row>
    <row r="524" spans="1:11" x14ac:dyDescent="0.35">
      <c r="A524">
        <v>522</v>
      </c>
      <c r="B524">
        <v>2016</v>
      </c>
      <c r="C524" t="s">
        <v>219</v>
      </c>
      <c r="D524" t="s">
        <v>304</v>
      </c>
      <c r="E524" t="s">
        <v>918</v>
      </c>
      <c r="F524" t="s">
        <v>919</v>
      </c>
      <c r="G524">
        <v>1</v>
      </c>
      <c r="H524" t="s">
        <v>842</v>
      </c>
      <c r="I524">
        <v>7</v>
      </c>
      <c r="J524" s="40">
        <v>238.01</v>
      </c>
      <c r="K524">
        <v>4</v>
      </c>
    </row>
    <row r="525" spans="1:11" x14ac:dyDescent="0.35">
      <c r="A525">
        <v>523</v>
      </c>
      <c r="B525">
        <v>2016</v>
      </c>
      <c r="C525" t="s">
        <v>219</v>
      </c>
      <c r="D525" t="s">
        <v>1239</v>
      </c>
      <c r="E525" t="s">
        <v>959</v>
      </c>
      <c r="F525" t="s">
        <v>960</v>
      </c>
      <c r="G525">
        <v>2</v>
      </c>
      <c r="H525" t="s">
        <v>842</v>
      </c>
      <c r="I525">
        <v>7</v>
      </c>
      <c r="J525" s="40">
        <v>249.28</v>
      </c>
      <c r="K525">
        <v>2</v>
      </c>
    </row>
    <row r="526" spans="1:11" x14ac:dyDescent="0.35">
      <c r="A526">
        <v>524</v>
      </c>
      <c r="B526">
        <v>2016</v>
      </c>
      <c r="C526" t="s">
        <v>219</v>
      </c>
      <c r="D526" t="s">
        <v>1239</v>
      </c>
      <c r="E526" t="s">
        <v>955</v>
      </c>
      <c r="F526" t="s">
        <v>956</v>
      </c>
      <c r="G526">
        <v>2</v>
      </c>
      <c r="H526" t="s">
        <v>842</v>
      </c>
      <c r="I526">
        <v>7</v>
      </c>
      <c r="J526" s="40">
        <v>257.72000000000003</v>
      </c>
      <c r="K526">
        <v>2</v>
      </c>
    </row>
    <row r="527" spans="1:11" x14ac:dyDescent="0.35">
      <c r="A527">
        <v>525</v>
      </c>
      <c r="B527">
        <v>2016</v>
      </c>
      <c r="C527" t="s">
        <v>219</v>
      </c>
      <c r="D527" t="s">
        <v>1239</v>
      </c>
      <c r="E527" t="s">
        <v>957</v>
      </c>
      <c r="F527" t="s">
        <v>1240</v>
      </c>
      <c r="G527">
        <v>2</v>
      </c>
      <c r="H527" t="s">
        <v>842</v>
      </c>
      <c r="I527">
        <v>7</v>
      </c>
      <c r="J527" s="40">
        <v>259.36</v>
      </c>
      <c r="K527">
        <v>2</v>
      </c>
    </row>
    <row r="528" spans="1:11" x14ac:dyDescent="0.35">
      <c r="A528">
        <v>526</v>
      </c>
      <c r="B528">
        <v>2016</v>
      </c>
      <c r="C528" t="s">
        <v>219</v>
      </c>
      <c r="D528" t="s">
        <v>1239</v>
      </c>
      <c r="E528" t="s">
        <v>953</v>
      </c>
      <c r="F528" t="s">
        <v>954</v>
      </c>
      <c r="G528">
        <v>2</v>
      </c>
      <c r="H528" t="s">
        <v>842</v>
      </c>
      <c r="I528">
        <v>7</v>
      </c>
      <c r="J528" s="40">
        <v>262.25</v>
      </c>
      <c r="K528">
        <v>2</v>
      </c>
    </row>
    <row r="529" spans="1:11" x14ac:dyDescent="0.35">
      <c r="A529">
        <v>527</v>
      </c>
      <c r="B529">
        <v>2016</v>
      </c>
      <c r="C529" t="s">
        <v>219</v>
      </c>
      <c r="D529" t="s">
        <v>1239</v>
      </c>
      <c r="E529" t="s">
        <v>950</v>
      </c>
      <c r="F529" t="s">
        <v>952</v>
      </c>
      <c r="G529">
        <v>2</v>
      </c>
      <c r="H529" t="s">
        <v>842</v>
      </c>
      <c r="I529">
        <v>7</v>
      </c>
      <c r="J529" s="40">
        <v>266.02</v>
      </c>
      <c r="K529">
        <v>2</v>
      </c>
    </row>
    <row r="530" spans="1:11" x14ac:dyDescent="0.35">
      <c r="A530">
        <v>528</v>
      </c>
      <c r="B530">
        <v>2016</v>
      </c>
      <c r="C530" t="s">
        <v>219</v>
      </c>
      <c r="D530" t="s">
        <v>304</v>
      </c>
      <c r="E530" t="s">
        <v>922</v>
      </c>
      <c r="F530" t="s">
        <v>923</v>
      </c>
      <c r="G530">
        <v>1</v>
      </c>
      <c r="H530" t="s">
        <v>842</v>
      </c>
      <c r="I530">
        <v>7</v>
      </c>
      <c r="J530" s="40">
        <v>280.74</v>
      </c>
      <c r="K530">
        <v>4</v>
      </c>
    </row>
    <row r="531" spans="1:11" x14ac:dyDescent="0.35">
      <c r="A531">
        <v>529</v>
      </c>
      <c r="B531">
        <v>2016</v>
      </c>
      <c r="C531" t="s">
        <v>219</v>
      </c>
      <c r="D531" t="s">
        <v>297</v>
      </c>
      <c r="E531" t="s">
        <v>1097</v>
      </c>
      <c r="F531" t="s">
        <v>1277</v>
      </c>
      <c r="G531">
        <v>2</v>
      </c>
      <c r="H531" t="s">
        <v>842</v>
      </c>
      <c r="I531">
        <v>8</v>
      </c>
      <c r="J531" s="40">
        <v>203.84</v>
      </c>
      <c r="K531">
        <v>1</v>
      </c>
    </row>
    <row r="532" spans="1:11" x14ac:dyDescent="0.35">
      <c r="A532">
        <v>530</v>
      </c>
      <c r="B532">
        <v>2016</v>
      </c>
      <c r="C532" t="s">
        <v>219</v>
      </c>
      <c r="D532" t="s">
        <v>1217</v>
      </c>
      <c r="E532" t="s">
        <v>1227</v>
      </c>
      <c r="F532" t="s">
        <v>1125</v>
      </c>
      <c r="G532">
        <v>2</v>
      </c>
      <c r="H532" t="s">
        <v>842</v>
      </c>
      <c r="I532">
        <v>8</v>
      </c>
      <c r="J532" s="40">
        <v>206.57</v>
      </c>
      <c r="K532">
        <v>4</v>
      </c>
    </row>
    <row r="533" spans="1:11" x14ac:dyDescent="0.35">
      <c r="A533">
        <v>531</v>
      </c>
      <c r="B533">
        <v>2016</v>
      </c>
      <c r="C533" t="s">
        <v>219</v>
      </c>
      <c r="D533" t="s">
        <v>1134</v>
      </c>
      <c r="E533" t="s">
        <v>1158</v>
      </c>
      <c r="F533" t="s">
        <v>1159</v>
      </c>
      <c r="G533">
        <v>2</v>
      </c>
      <c r="H533" t="s">
        <v>842</v>
      </c>
      <c r="I533">
        <v>8</v>
      </c>
      <c r="J533" s="40">
        <v>207.97</v>
      </c>
      <c r="K533">
        <v>1</v>
      </c>
    </row>
    <row r="534" spans="1:11" x14ac:dyDescent="0.35">
      <c r="A534">
        <v>532</v>
      </c>
      <c r="B534">
        <v>2016</v>
      </c>
      <c r="C534" t="s">
        <v>219</v>
      </c>
      <c r="D534" t="s">
        <v>1217</v>
      </c>
      <c r="E534" t="s">
        <v>1228</v>
      </c>
      <c r="F534" t="s">
        <v>1126</v>
      </c>
      <c r="G534">
        <v>2</v>
      </c>
      <c r="H534" t="s">
        <v>842</v>
      </c>
      <c r="I534">
        <v>8</v>
      </c>
      <c r="J534" s="40">
        <v>211.7</v>
      </c>
      <c r="K534">
        <v>4</v>
      </c>
    </row>
    <row r="535" spans="1:11" x14ac:dyDescent="0.35">
      <c r="A535">
        <v>533</v>
      </c>
      <c r="B535">
        <v>2016</v>
      </c>
      <c r="C535" t="s">
        <v>219</v>
      </c>
      <c r="D535" t="s">
        <v>1217</v>
      </c>
      <c r="E535" t="s">
        <v>1231</v>
      </c>
      <c r="F535" t="s">
        <v>1232</v>
      </c>
      <c r="G535">
        <v>2</v>
      </c>
      <c r="H535" t="s">
        <v>842</v>
      </c>
      <c r="I535">
        <v>8</v>
      </c>
      <c r="J535" s="40">
        <v>214.04</v>
      </c>
      <c r="K535">
        <v>4</v>
      </c>
    </row>
    <row r="536" spans="1:11" x14ac:dyDescent="0.35">
      <c r="A536">
        <v>534</v>
      </c>
      <c r="B536">
        <v>2016</v>
      </c>
      <c r="C536" t="s">
        <v>219</v>
      </c>
      <c r="D536" t="s">
        <v>1134</v>
      </c>
      <c r="E536" t="s">
        <v>1140</v>
      </c>
      <c r="F536" t="s">
        <v>1141</v>
      </c>
      <c r="G536">
        <v>2</v>
      </c>
      <c r="H536" t="s">
        <v>842</v>
      </c>
      <c r="I536">
        <v>8</v>
      </c>
      <c r="J536" s="40">
        <v>214.09</v>
      </c>
      <c r="K536">
        <v>1</v>
      </c>
    </row>
    <row r="537" spans="1:11" x14ac:dyDescent="0.35">
      <c r="A537">
        <v>535</v>
      </c>
      <c r="B537">
        <v>2016</v>
      </c>
      <c r="C537" t="s">
        <v>219</v>
      </c>
      <c r="D537" t="s">
        <v>297</v>
      </c>
      <c r="E537" t="s">
        <v>1276</v>
      </c>
      <c r="F537" t="s">
        <v>1100</v>
      </c>
      <c r="G537">
        <v>2</v>
      </c>
      <c r="H537" t="s">
        <v>842</v>
      </c>
      <c r="I537">
        <v>8</v>
      </c>
      <c r="J537" s="40">
        <v>215.7</v>
      </c>
      <c r="K537">
        <v>1</v>
      </c>
    </row>
    <row r="538" spans="1:11" x14ac:dyDescent="0.35">
      <c r="A538">
        <v>536</v>
      </c>
      <c r="B538">
        <v>2016</v>
      </c>
      <c r="C538" t="s">
        <v>219</v>
      </c>
      <c r="D538" t="s">
        <v>1217</v>
      </c>
      <c r="E538" t="s">
        <v>1233</v>
      </c>
      <c r="F538" t="s">
        <v>1234</v>
      </c>
      <c r="G538">
        <v>2</v>
      </c>
      <c r="H538" t="s">
        <v>842</v>
      </c>
      <c r="I538">
        <v>8</v>
      </c>
      <c r="J538" s="40">
        <v>219.35</v>
      </c>
      <c r="K538">
        <v>4</v>
      </c>
    </row>
    <row r="539" spans="1:11" x14ac:dyDescent="0.35">
      <c r="A539">
        <v>537</v>
      </c>
      <c r="B539">
        <v>2016</v>
      </c>
      <c r="C539" t="s">
        <v>219</v>
      </c>
      <c r="D539" t="s">
        <v>297</v>
      </c>
      <c r="E539" t="s">
        <v>1099</v>
      </c>
      <c r="F539" t="s">
        <v>1275</v>
      </c>
      <c r="G539">
        <v>2</v>
      </c>
      <c r="H539" t="s">
        <v>842</v>
      </c>
      <c r="I539">
        <v>8</v>
      </c>
      <c r="J539" s="40">
        <v>221.44</v>
      </c>
      <c r="K539">
        <v>1</v>
      </c>
    </row>
    <row r="540" spans="1:11" x14ac:dyDescent="0.35">
      <c r="A540">
        <v>538</v>
      </c>
      <c r="B540">
        <v>2016</v>
      </c>
      <c r="C540" t="s">
        <v>219</v>
      </c>
      <c r="D540" t="s">
        <v>1217</v>
      </c>
      <c r="E540" t="s">
        <v>1229</v>
      </c>
      <c r="F540" t="s">
        <v>1230</v>
      </c>
      <c r="G540">
        <v>2</v>
      </c>
      <c r="H540" t="s">
        <v>842</v>
      </c>
      <c r="I540">
        <v>8</v>
      </c>
      <c r="J540" s="40">
        <v>224.99</v>
      </c>
      <c r="K540">
        <v>4</v>
      </c>
    </row>
    <row r="541" spans="1:11" x14ac:dyDescent="0.35">
      <c r="A541">
        <v>539</v>
      </c>
      <c r="B541">
        <v>2016</v>
      </c>
      <c r="C541" t="s">
        <v>219</v>
      </c>
      <c r="D541" t="s">
        <v>1239</v>
      </c>
      <c r="E541" t="s">
        <v>959</v>
      </c>
      <c r="F541" t="s">
        <v>960</v>
      </c>
      <c r="G541">
        <v>2</v>
      </c>
      <c r="H541" t="s">
        <v>842</v>
      </c>
      <c r="I541">
        <v>8</v>
      </c>
      <c r="J541" s="40">
        <v>229.43</v>
      </c>
      <c r="K541">
        <v>2</v>
      </c>
    </row>
    <row r="542" spans="1:11" x14ac:dyDescent="0.35">
      <c r="A542">
        <v>540</v>
      </c>
      <c r="B542">
        <v>2016</v>
      </c>
      <c r="C542" t="s">
        <v>219</v>
      </c>
      <c r="D542" t="s">
        <v>1217</v>
      </c>
      <c r="E542" t="s">
        <v>1235</v>
      </c>
      <c r="F542" t="s">
        <v>1236</v>
      </c>
      <c r="G542">
        <v>2</v>
      </c>
      <c r="H542" t="s">
        <v>842</v>
      </c>
      <c r="I542">
        <v>8</v>
      </c>
      <c r="J542" s="40">
        <v>233.12</v>
      </c>
      <c r="K542">
        <v>4</v>
      </c>
    </row>
    <row r="543" spans="1:11" x14ac:dyDescent="0.35">
      <c r="A543">
        <v>541</v>
      </c>
      <c r="B543">
        <v>2016</v>
      </c>
      <c r="C543" t="s">
        <v>219</v>
      </c>
      <c r="D543" t="s">
        <v>1239</v>
      </c>
      <c r="E543" t="s">
        <v>955</v>
      </c>
      <c r="F543" t="s">
        <v>956</v>
      </c>
      <c r="G543">
        <v>2</v>
      </c>
      <c r="H543" t="s">
        <v>842</v>
      </c>
      <c r="I543">
        <v>8</v>
      </c>
      <c r="J543" s="40">
        <v>237.2</v>
      </c>
      <c r="K543">
        <v>2</v>
      </c>
    </row>
    <row r="544" spans="1:11" x14ac:dyDescent="0.35">
      <c r="A544">
        <v>542</v>
      </c>
      <c r="B544">
        <v>2016</v>
      </c>
      <c r="C544" t="s">
        <v>219</v>
      </c>
      <c r="D544" t="s">
        <v>1239</v>
      </c>
      <c r="E544" t="s">
        <v>957</v>
      </c>
      <c r="F544" t="s">
        <v>1240</v>
      </c>
      <c r="G544">
        <v>2</v>
      </c>
      <c r="H544" t="s">
        <v>842</v>
      </c>
      <c r="I544">
        <v>8</v>
      </c>
      <c r="J544" s="40">
        <v>238.7</v>
      </c>
      <c r="K544">
        <v>2</v>
      </c>
    </row>
    <row r="545" spans="1:11" x14ac:dyDescent="0.35">
      <c r="A545">
        <v>543</v>
      </c>
      <c r="B545">
        <v>2016</v>
      </c>
      <c r="C545" t="s">
        <v>219</v>
      </c>
      <c r="D545" t="s">
        <v>1239</v>
      </c>
      <c r="E545" t="s">
        <v>953</v>
      </c>
      <c r="F545" t="s">
        <v>954</v>
      </c>
      <c r="G545">
        <v>2</v>
      </c>
      <c r="H545" t="s">
        <v>842</v>
      </c>
      <c r="I545">
        <v>8</v>
      </c>
      <c r="J545" s="40">
        <v>241.36</v>
      </c>
      <c r="K545">
        <v>2</v>
      </c>
    </row>
    <row r="546" spans="1:11" x14ac:dyDescent="0.35">
      <c r="A546">
        <v>544</v>
      </c>
      <c r="B546">
        <v>2016</v>
      </c>
      <c r="C546" t="s">
        <v>219</v>
      </c>
      <c r="D546" t="s">
        <v>294</v>
      </c>
      <c r="E546" t="s">
        <v>1074</v>
      </c>
      <c r="F546" t="s">
        <v>1263</v>
      </c>
      <c r="G546">
        <v>3</v>
      </c>
      <c r="H546" t="s">
        <v>842</v>
      </c>
      <c r="I546">
        <v>8</v>
      </c>
      <c r="J546" s="40">
        <v>241.6</v>
      </c>
      <c r="K546">
        <v>1</v>
      </c>
    </row>
    <row r="547" spans="1:11" x14ac:dyDescent="0.35">
      <c r="A547">
        <v>545</v>
      </c>
      <c r="B547">
        <v>2016</v>
      </c>
      <c r="C547" t="s">
        <v>219</v>
      </c>
      <c r="D547" t="s">
        <v>1239</v>
      </c>
      <c r="E547" t="s">
        <v>950</v>
      </c>
      <c r="F547" t="s">
        <v>952</v>
      </c>
      <c r="G547">
        <v>2</v>
      </c>
      <c r="H547" t="s">
        <v>842</v>
      </c>
      <c r="I547">
        <v>8</v>
      </c>
      <c r="J547" s="40">
        <v>244.84</v>
      </c>
      <c r="K547">
        <v>2</v>
      </c>
    </row>
    <row r="548" spans="1:11" x14ac:dyDescent="0.35">
      <c r="A548">
        <v>546</v>
      </c>
      <c r="B548">
        <v>2016</v>
      </c>
      <c r="C548" t="s">
        <v>219</v>
      </c>
      <c r="D548" t="s">
        <v>294</v>
      </c>
      <c r="E548" t="s">
        <v>1070</v>
      </c>
      <c r="F548" t="s">
        <v>1261</v>
      </c>
      <c r="G548">
        <v>2</v>
      </c>
      <c r="H548" t="s">
        <v>842</v>
      </c>
      <c r="I548">
        <v>8</v>
      </c>
      <c r="J548" s="40">
        <v>247.15</v>
      </c>
      <c r="K548">
        <v>1</v>
      </c>
    </row>
    <row r="549" spans="1:11" x14ac:dyDescent="0.35">
      <c r="A549">
        <v>547</v>
      </c>
      <c r="B549">
        <v>2016</v>
      </c>
      <c r="C549" t="s">
        <v>219</v>
      </c>
      <c r="D549" t="s">
        <v>1280</v>
      </c>
      <c r="E549" t="s">
        <v>1107</v>
      </c>
      <c r="F549" t="s">
        <v>1131</v>
      </c>
      <c r="G549">
        <v>2</v>
      </c>
      <c r="H549" t="s">
        <v>842</v>
      </c>
      <c r="I549">
        <v>8</v>
      </c>
      <c r="J549" s="40">
        <v>249.06</v>
      </c>
      <c r="K549">
        <v>1</v>
      </c>
    </row>
    <row r="550" spans="1:11" x14ac:dyDescent="0.35">
      <c r="A550">
        <v>548</v>
      </c>
      <c r="B550">
        <v>2016</v>
      </c>
      <c r="C550" t="s">
        <v>219</v>
      </c>
      <c r="D550" t="s">
        <v>1280</v>
      </c>
      <c r="E550" t="s">
        <v>1108</v>
      </c>
      <c r="F550" t="s">
        <v>1281</v>
      </c>
      <c r="G550">
        <v>2</v>
      </c>
      <c r="H550" t="s">
        <v>842</v>
      </c>
      <c r="I550">
        <v>8</v>
      </c>
      <c r="J550" s="40">
        <v>249.06</v>
      </c>
      <c r="K550">
        <v>1</v>
      </c>
    </row>
    <row r="551" spans="1:11" x14ac:dyDescent="0.35">
      <c r="A551">
        <v>549</v>
      </c>
      <c r="B551">
        <v>2016</v>
      </c>
      <c r="C551" t="s">
        <v>219</v>
      </c>
      <c r="D551" t="s">
        <v>1280</v>
      </c>
      <c r="E551" t="s">
        <v>1110</v>
      </c>
      <c r="F551" t="s">
        <v>1127</v>
      </c>
      <c r="G551">
        <v>2</v>
      </c>
      <c r="H551" t="s">
        <v>842</v>
      </c>
      <c r="I551">
        <v>8</v>
      </c>
      <c r="J551" s="40">
        <v>255.89</v>
      </c>
      <c r="K551">
        <v>1</v>
      </c>
    </row>
    <row r="552" spans="1:11" x14ac:dyDescent="0.35">
      <c r="A552">
        <v>550</v>
      </c>
      <c r="B552">
        <v>2016</v>
      </c>
      <c r="C552" t="s">
        <v>219</v>
      </c>
      <c r="D552" t="s">
        <v>294</v>
      </c>
      <c r="E552" t="s">
        <v>1066</v>
      </c>
      <c r="F552" t="s">
        <v>1067</v>
      </c>
      <c r="G552">
        <v>2</v>
      </c>
      <c r="H552" t="s">
        <v>842</v>
      </c>
      <c r="I552">
        <v>8</v>
      </c>
      <c r="J552" s="40">
        <v>269.19</v>
      </c>
      <c r="K552">
        <v>1</v>
      </c>
    </row>
    <row r="553" spans="1:11" x14ac:dyDescent="0.35">
      <c r="A553">
        <v>551</v>
      </c>
      <c r="B553">
        <v>2016</v>
      </c>
      <c r="C553" t="s">
        <v>219</v>
      </c>
      <c r="D553" t="s">
        <v>304</v>
      </c>
      <c r="E553" t="s">
        <v>918</v>
      </c>
      <c r="F553" t="s">
        <v>919</v>
      </c>
      <c r="G553">
        <v>1</v>
      </c>
      <c r="H553" t="s">
        <v>842</v>
      </c>
      <c r="I553">
        <v>9</v>
      </c>
      <c r="J553" s="40">
        <v>222.88</v>
      </c>
      <c r="K553">
        <v>4</v>
      </c>
    </row>
    <row r="554" spans="1:11" x14ac:dyDescent="0.35">
      <c r="A554">
        <v>552</v>
      </c>
      <c r="B554">
        <v>2016</v>
      </c>
      <c r="C554" t="s">
        <v>219</v>
      </c>
      <c r="D554" t="s">
        <v>1239</v>
      </c>
      <c r="E554" t="s">
        <v>959</v>
      </c>
      <c r="F554" t="s">
        <v>960</v>
      </c>
      <c r="G554">
        <v>2</v>
      </c>
      <c r="H554" t="s">
        <v>842</v>
      </c>
      <c r="I554">
        <v>9</v>
      </c>
      <c r="J554" s="40">
        <v>231.86</v>
      </c>
      <c r="K554">
        <v>2</v>
      </c>
    </row>
    <row r="555" spans="1:11" x14ac:dyDescent="0.35">
      <c r="A555">
        <v>553</v>
      </c>
      <c r="B555">
        <v>2016</v>
      </c>
      <c r="C555" t="s">
        <v>219</v>
      </c>
      <c r="D555" t="s">
        <v>1239</v>
      </c>
      <c r="E555" t="s">
        <v>955</v>
      </c>
      <c r="F555" t="s">
        <v>956</v>
      </c>
      <c r="G555">
        <v>2</v>
      </c>
      <c r="H555" t="s">
        <v>842</v>
      </c>
      <c r="I555">
        <v>9</v>
      </c>
      <c r="J555" s="40">
        <v>239.71</v>
      </c>
      <c r="K555">
        <v>2</v>
      </c>
    </row>
    <row r="556" spans="1:11" x14ac:dyDescent="0.35">
      <c r="A556">
        <v>554</v>
      </c>
      <c r="B556">
        <v>2016</v>
      </c>
      <c r="C556" t="s">
        <v>219</v>
      </c>
      <c r="D556" t="s">
        <v>1239</v>
      </c>
      <c r="E556" t="s">
        <v>957</v>
      </c>
      <c r="F556" t="s">
        <v>1240</v>
      </c>
      <c r="G556">
        <v>2</v>
      </c>
      <c r="H556" t="s">
        <v>842</v>
      </c>
      <c r="I556">
        <v>9</v>
      </c>
      <c r="J556" s="40">
        <v>241.23</v>
      </c>
      <c r="K556">
        <v>2</v>
      </c>
    </row>
    <row r="557" spans="1:11" x14ac:dyDescent="0.35">
      <c r="A557">
        <v>555</v>
      </c>
      <c r="B557">
        <v>2016</v>
      </c>
      <c r="C557" t="s">
        <v>219</v>
      </c>
      <c r="D557" t="s">
        <v>1239</v>
      </c>
      <c r="E557" t="s">
        <v>953</v>
      </c>
      <c r="F557" t="s">
        <v>954</v>
      </c>
      <c r="G557">
        <v>2</v>
      </c>
      <c r="H557" t="s">
        <v>842</v>
      </c>
      <c r="I557">
        <v>9</v>
      </c>
      <c r="J557" s="40">
        <v>243.92</v>
      </c>
      <c r="K557">
        <v>2</v>
      </c>
    </row>
    <row r="558" spans="1:11" x14ac:dyDescent="0.35">
      <c r="A558">
        <v>556</v>
      </c>
      <c r="B558">
        <v>2016</v>
      </c>
      <c r="C558" t="s">
        <v>219</v>
      </c>
      <c r="D558" t="s">
        <v>1239</v>
      </c>
      <c r="E558" t="s">
        <v>950</v>
      </c>
      <c r="F558" t="s">
        <v>952</v>
      </c>
      <c r="G558">
        <v>2</v>
      </c>
      <c r="H558" t="s">
        <v>842</v>
      </c>
      <c r="I558">
        <v>9</v>
      </c>
      <c r="J558" s="40">
        <v>247.43</v>
      </c>
      <c r="K558">
        <v>2</v>
      </c>
    </row>
    <row r="559" spans="1:11" x14ac:dyDescent="0.35">
      <c r="A559">
        <v>557</v>
      </c>
      <c r="B559">
        <v>2016</v>
      </c>
      <c r="C559" t="s">
        <v>219</v>
      </c>
      <c r="D559" t="s">
        <v>304</v>
      </c>
      <c r="E559" t="s">
        <v>922</v>
      </c>
      <c r="F559" t="s">
        <v>923</v>
      </c>
      <c r="G559">
        <v>1</v>
      </c>
      <c r="H559" t="s">
        <v>842</v>
      </c>
      <c r="I559">
        <v>9</v>
      </c>
      <c r="J559" s="40">
        <v>262.89999999999998</v>
      </c>
      <c r="K559">
        <v>4</v>
      </c>
    </row>
    <row r="560" spans="1:11" x14ac:dyDescent="0.35">
      <c r="A560">
        <v>558</v>
      </c>
      <c r="B560">
        <v>2016</v>
      </c>
      <c r="C560" t="s">
        <v>219</v>
      </c>
      <c r="D560" t="s">
        <v>1280</v>
      </c>
      <c r="E560" t="s">
        <v>1107</v>
      </c>
      <c r="F560" t="s">
        <v>1131</v>
      </c>
      <c r="G560">
        <v>2</v>
      </c>
      <c r="H560" t="s">
        <v>842</v>
      </c>
      <c r="I560">
        <v>9</v>
      </c>
      <c r="J560" s="40">
        <v>274.14</v>
      </c>
      <c r="K560">
        <v>1</v>
      </c>
    </row>
    <row r="561" spans="1:11" x14ac:dyDescent="0.35">
      <c r="A561">
        <v>559</v>
      </c>
      <c r="B561">
        <v>2016</v>
      </c>
      <c r="C561" t="s">
        <v>219</v>
      </c>
      <c r="D561" t="s">
        <v>1280</v>
      </c>
      <c r="E561" t="s">
        <v>1108</v>
      </c>
      <c r="F561" t="s">
        <v>1281</v>
      </c>
      <c r="G561">
        <v>2</v>
      </c>
      <c r="H561" t="s">
        <v>842</v>
      </c>
      <c r="I561">
        <v>9</v>
      </c>
      <c r="J561" s="40">
        <v>274.14</v>
      </c>
      <c r="K561">
        <v>1</v>
      </c>
    </row>
    <row r="562" spans="1:11" x14ac:dyDescent="0.35">
      <c r="A562">
        <v>560</v>
      </c>
      <c r="B562">
        <v>2016</v>
      </c>
      <c r="C562" t="s">
        <v>219</v>
      </c>
      <c r="D562" t="s">
        <v>1280</v>
      </c>
      <c r="E562" t="s">
        <v>1110</v>
      </c>
      <c r="F562" t="s">
        <v>1127</v>
      </c>
      <c r="G562">
        <v>2</v>
      </c>
      <c r="H562" t="s">
        <v>842</v>
      </c>
      <c r="I562">
        <v>9</v>
      </c>
      <c r="J562" s="40">
        <v>281.64999999999998</v>
      </c>
      <c r="K562">
        <v>1</v>
      </c>
    </row>
    <row r="563" spans="1:11" x14ac:dyDescent="0.35">
      <c r="A563">
        <v>561</v>
      </c>
      <c r="B563">
        <v>2016</v>
      </c>
      <c r="C563" t="s">
        <v>219</v>
      </c>
      <c r="D563" t="s">
        <v>294</v>
      </c>
      <c r="E563" t="s">
        <v>1074</v>
      </c>
      <c r="F563" t="s">
        <v>1263</v>
      </c>
      <c r="G563">
        <v>3</v>
      </c>
      <c r="H563" t="s">
        <v>842</v>
      </c>
      <c r="I563">
        <v>9</v>
      </c>
      <c r="J563" s="40">
        <v>299.45999999999998</v>
      </c>
      <c r="K563">
        <v>1</v>
      </c>
    </row>
    <row r="564" spans="1:11" x14ac:dyDescent="0.35">
      <c r="A564">
        <v>562</v>
      </c>
      <c r="B564">
        <v>2016</v>
      </c>
      <c r="C564" t="s">
        <v>219</v>
      </c>
      <c r="D564" t="s">
        <v>297</v>
      </c>
      <c r="E564" t="s">
        <v>1097</v>
      </c>
      <c r="F564" t="s">
        <v>1277</v>
      </c>
      <c r="G564">
        <v>2</v>
      </c>
      <c r="H564" t="s">
        <v>842</v>
      </c>
      <c r="I564">
        <v>10</v>
      </c>
      <c r="J564" s="40">
        <v>203.84</v>
      </c>
      <c r="K564">
        <v>1</v>
      </c>
    </row>
    <row r="565" spans="1:11" x14ac:dyDescent="0.35">
      <c r="A565">
        <v>563</v>
      </c>
      <c r="B565">
        <v>2016</v>
      </c>
      <c r="C565" t="s">
        <v>219</v>
      </c>
      <c r="D565" t="s">
        <v>1134</v>
      </c>
      <c r="E565" t="s">
        <v>1154</v>
      </c>
      <c r="F565" t="s">
        <v>1155</v>
      </c>
      <c r="G565">
        <v>2</v>
      </c>
      <c r="H565" t="s">
        <v>842</v>
      </c>
      <c r="I565">
        <v>10</v>
      </c>
      <c r="J565" s="40">
        <v>214.04</v>
      </c>
      <c r="K565">
        <v>1</v>
      </c>
    </row>
    <row r="566" spans="1:11" x14ac:dyDescent="0.35">
      <c r="A566">
        <v>564</v>
      </c>
      <c r="B566">
        <v>2016</v>
      </c>
      <c r="C566" t="s">
        <v>219</v>
      </c>
      <c r="D566" t="s">
        <v>297</v>
      </c>
      <c r="E566" t="s">
        <v>1276</v>
      </c>
      <c r="F566" t="s">
        <v>1100</v>
      </c>
      <c r="G566">
        <v>2</v>
      </c>
      <c r="H566" t="s">
        <v>842</v>
      </c>
      <c r="I566">
        <v>10</v>
      </c>
      <c r="J566" s="40">
        <v>215.7</v>
      </c>
      <c r="K566">
        <v>1</v>
      </c>
    </row>
    <row r="567" spans="1:11" x14ac:dyDescent="0.35">
      <c r="A567">
        <v>565</v>
      </c>
      <c r="B567">
        <v>2016</v>
      </c>
      <c r="C567" t="s">
        <v>219</v>
      </c>
      <c r="D567" t="s">
        <v>294</v>
      </c>
      <c r="E567" t="s">
        <v>1068</v>
      </c>
      <c r="F567" t="s">
        <v>1260</v>
      </c>
      <c r="G567">
        <v>2</v>
      </c>
      <c r="H567" t="s">
        <v>842</v>
      </c>
      <c r="I567">
        <v>10</v>
      </c>
      <c r="J567" s="40">
        <v>218.03</v>
      </c>
      <c r="K567">
        <v>1</v>
      </c>
    </row>
    <row r="568" spans="1:11" x14ac:dyDescent="0.35">
      <c r="A568">
        <v>566</v>
      </c>
      <c r="B568">
        <v>2016</v>
      </c>
      <c r="C568" t="s">
        <v>219</v>
      </c>
      <c r="D568" t="s">
        <v>1134</v>
      </c>
      <c r="E568" t="s">
        <v>1136</v>
      </c>
      <c r="F568" t="s">
        <v>1137</v>
      </c>
      <c r="G568">
        <v>2</v>
      </c>
      <c r="H568" t="s">
        <v>842</v>
      </c>
      <c r="I568">
        <v>10</v>
      </c>
      <c r="J568" s="40">
        <v>220.36</v>
      </c>
      <c r="K568">
        <v>1</v>
      </c>
    </row>
    <row r="569" spans="1:11" x14ac:dyDescent="0.35">
      <c r="A569">
        <v>567</v>
      </c>
      <c r="B569">
        <v>2016</v>
      </c>
      <c r="C569" t="s">
        <v>219</v>
      </c>
      <c r="D569" t="s">
        <v>297</v>
      </c>
      <c r="E569" t="s">
        <v>1099</v>
      </c>
      <c r="F569" t="s">
        <v>1275</v>
      </c>
      <c r="G569">
        <v>2</v>
      </c>
      <c r="H569" t="s">
        <v>842</v>
      </c>
      <c r="I569">
        <v>10</v>
      </c>
      <c r="J569" s="40">
        <v>221.44</v>
      </c>
      <c r="K569">
        <v>1</v>
      </c>
    </row>
    <row r="570" spans="1:11" x14ac:dyDescent="0.35">
      <c r="A570">
        <v>568</v>
      </c>
      <c r="B570">
        <v>2016</v>
      </c>
      <c r="C570" t="s">
        <v>219</v>
      </c>
      <c r="D570" t="s">
        <v>1134</v>
      </c>
      <c r="E570" t="s">
        <v>1160</v>
      </c>
      <c r="F570" t="s">
        <v>1161</v>
      </c>
      <c r="G570">
        <v>2</v>
      </c>
      <c r="H570" t="s">
        <v>842</v>
      </c>
      <c r="I570">
        <v>10</v>
      </c>
      <c r="J570" s="40">
        <v>232.66</v>
      </c>
      <c r="K570">
        <v>1</v>
      </c>
    </row>
    <row r="571" spans="1:11" x14ac:dyDescent="0.35">
      <c r="A571">
        <v>569</v>
      </c>
      <c r="B571">
        <v>2016</v>
      </c>
      <c r="C571" t="s">
        <v>219</v>
      </c>
      <c r="D571" t="s">
        <v>294</v>
      </c>
      <c r="E571" t="s">
        <v>1074</v>
      </c>
      <c r="F571" t="s">
        <v>1263</v>
      </c>
      <c r="G571">
        <v>3</v>
      </c>
      <c r="H571" t="s">
        <v>842</v>
      </c>
      <c r="I571">
        <v>10</v>
      </c>
      <c r="J571" s="40">
        <v>233.82</v>
      </c>
      <c r="K571">
        <v>1</v>
      </c>
    </row>
    <row r="572" spans="1:11" x14ac:dyDescent="0.35">
      <c r="A572">
        <v>570</v>
      </c>
      <c r="B572">
        <v>2016</v>
      </c>
      <c r="C572" t="s">
        <v>219</v>
      </c>
      <c r="D572" t="s">
        <v>294</v>
      </c>
      <c r="E572" t="s">
        <v>1064</v>
      </c>
      <c r="F572" t="s">
        <v>1065</v>
      </c>
      <c r="G572">
        <v>2</v>
      </c>
      <c r="H572" t="s">
        <v>842</v>
      </c>
      <c r="I572">
        <v>10</v>
      </c>
      <c r="J572" s="40">
        <v>237.42</v>
      </c>
      <c r="K572">
        <v>1</v>
      </c>
    </row>
    <row r="573" spans="1:11" x14ac:dyDescent="0.35">
      <c r="A573">
        <v>571</v>
      </c>
      <c r="B573">
        <v>2016</v>
      </c>
      <c r="C573" t="s">
        <v>219</v>
      </c>
      <c r="D573" t="s">
        <v>1134</v>
      </c>
      <c r="E573" t="s">
        <v>1142</v>
      </c>
      <c r="F573" t="s">
        <v>1143</v>
      </c>
      <c r="G573">
        <v>2</v>
      </c>
      <c r="H573" t="s">
        <v>842</v>
      </c>
      <c r="I573">
        <v>10</v>
      </c>
      <c r="J573" s="40">
        <v>239.51</v>
      </c>
      <c r="K573">
        <v>1</v>
      </c>
    </row>
    <row r="574" spans="1:11" x14ac:dyDescent="0.35">
      <c r="A574">
        <v>572</v>
      </c>
      <c r="B574">
        <v>2016</v>
      </c>
      <c r="C574" t="s">
        <v>219</v>
      </c>
      <c r="D574" t="s">
        <v>1239</v>
      </c>
      <c r="E574" t="s">
        <v>959</v>
      </c>
      <c r="F574" t="s">
        <v>960</v>
      </c>
      <c r="G574">
        <v>2</v>
      </c>
      <c r="H574" t="s">
        <v>842</v>
      </c>
      <c r="I574">
        <v>10</v>
      </c>
      <c r="J574" s="40">
        <v>243.46</v>
      </c>
      <c r="K574">
        <v>2</v>
      </c>
    </row>
    <row r="575" spans="1:11" x14ac:dyDescent="0.35">
      <c r="A575">
        <v>573</v>
      </c>
      <c r="B575">
        <v>2016</v>
      </c>
      <c r="C575" t="s">
        <v>219</v>
      </c>
      <c r="D575" t="s">
        <v>1239</v>
      </c>
      <c r="E575" t="s">
        <v>955</v>
      </c>
      <c r="F575" t="s">
        <v>956</v>
      </c>
      <c r="G575">
        <v>2</v>
      </c>
      <c r="H575" t="s">
        <v>842</v>
      </c>
      <c r="I575">
        <v>10</v>
      </c>
      <c r="J575" s="40">
        <v>251.71</v>
      </c>
      <c r="K575">
        <v>2</v>
      </c>
    </row>
    <row r="576" spans="1:11" x14ac:dyDescent="0.35">
      <c r="A576">
        <v>574</v>
      </c>
      <c r="B576">
        <v>2016</v>
      </c>
      <c r="C576" t="s">
        <v>219</v>
      </c>
      <c r="D576" t="s">
        <v>1239</v>
      </c>
      <c r="E576" t="s">
        <v>957</v>
      </c>
      <c r="F576" t="s">
        <v>1240</v>
      </c>
      <c r="G576">
        <v>2</v>
      </c>
      <c r="H576" t="s">
        <v>842</v>
      </c>
      <c r="I576">
        <v>10</v>
      </c>
      <c r="J576" s="40">
        <v>253.3</v>
      </c>
      <c r="K576">
        <v>2</v>
      </c>
    </row>
    <row r="577" spans="1:11" x14ac:dyDescent="0.35">
      <c r="A577">
        <v>575</v>
      </c>
      <c r="B577">
        <v>2016</v>
      </c>
      <c r="C577" t="s">
        <v>219</v>
      </c>
      <c r="D577" t="s">
        <v>1239</v>
      </c>
      <c r="E577" t="s">
        <v>953</v>
      </c>
      <c r="F577" t="s">
        <v>954</v>
      </c>
      <c r="G577">
        <v>2</v>
      </c>
      <c r="H577" t="s">
        <v>842</v>
      </c>
      <c r="I577">
        <v>10</v>
      </c>
      <c r="J577" s="40">
        <v>256.13</v>
      </c>
      <c r="K577">
        <v>2</v>
      </c>
    </row>
    <row r="578" spans="1:11" x14ac:dyDescent="0.35">
      <c r="A578">
        <v>576</v>
      </c>
      <c r="B578">
        <v>2016</v>
      </c>
      <c r="C578" t="s">
        <v>219</v>
      </c>
      <c r="D578" t="s">
        <v>1239</v>
      </c>
      <c r="E578" t="s">
        <v>950</v>
      </c>
      <c r="F578" t="s">
        <v>952</v>
      </c>
      <c r="G578">
        <v>2</v>
      </c>
      <c r="H578" t="s">
        <v>842</v>
      </c>
      <c r="I578">
        <v>10</v>
      </c>
      <c r="J578" s="40">
        <v>259.82</v>
      </c>
      <c r="K578">
        <v>2</v>
      </c>
    </row>
    <row r="579" spans="1:11" x14ac:dyDescent="0.35">
      <c r="A579">
        <v>577</v>
      </c>
      <c r="B579">
        <v>2016</v>
      </c>
      <c r="C579" t="s">
        <v>219</v>
      </c>
      <c r="D579" t="s">
        <v>1280</v>
      </c>
      <c r="E579" t="s">
        <v>1107</v>
      </c>
      <c r="F579" t="s">
        <v>1131</v>
      </c>
      <c r="G579">
        <v>2</v>
      </c>
      <c r="H579" t="s">
        <v>842</v>
      </c>
      <c r="I579">
        <v>10</v>
      </c>
      <c r="J579" s="40">
        <v>265.31</v>
      </c>
      <c r="K579">
        <v>1</v>
      </c>
    </row>
    <row r="580" spans="1:11" x14ac:dyDescent="0.35">
      <c r="A580">
        <v>578</v>
      </c>
      <c r="B580">
        <v>2016</v>
      </c>
      <c r="C580" t="s">
        <v>219</v>
      </c>
      <c r="D580" t="s">
        <v>1280</v>
      </c>
      <c r="E580" t="s">
        <v>1108</v>
      </c>
      <c r="F580" t="s">
        <v>1281</v>
      </c>
      <c r="G580">
        <v>2</v>
      </c>
      <c r="H580" t="s">
        <v>842</v>
      </c>
      <c r="I580">
        <v>10</v>
      </c>
      <c r="J580" s="40">
        <v>265.31</v>
      </c>
      <c r="K580">
        <v>1</v>
      </c>
    </row>
    <row r="581" spans="1:11" x14ac:dyDescent="0.35">
      <c r="A581">
        <v>579</v>
      </c>
      <c r="B581">
        <v>2016</v>
      </c>
      <c r="C581" t="s">
        <v>219</v>
      </c>
      <c r="D581" t="s">
        <v>1280</v>
      </c>
      <c r="E581" t="s">
        <v>1110</v>
      </c>
      <c r="F581" t="s">
        <v>1127</v>
      </c>
      <c r="G581">
        <v>2</v>
      </c>
      <c r="H581" t="s">
        <v>842</v>
      </c>
      <c r="I581">
        <v>10</v>
      </c>
      <c r="J581" s="40">
        <v>272.57</v>
      </c>
      <c r="K581">
        <v>1</v>
      </c>
    </row>
    <row r="582" spans="1:11" x14ac:dyDescent="0.35">
      <c r="A582">
        <v>580</v>
      </c>
      <c r="B582">
        <v>2016</v>
      </c>
      <c r="C582" t="s">
        <v>219</v>
      </c>
      <c r="D582" t="s">
        <v>304</v>
      </c>
      <c r="E582" t="s">
        <v>918</v>
      </c>
      <c r="F582" t="s">
        <v>919</v>
      </c>
      <c r="G582">
        <v>1</v>
      </c>
      <c r="H582" t="s">
        <v>842</v>
      </c>
      <c r="I582">
        <v>10</v>
      </c>
      <c r="J582" s="40">
        <v>276.08</v>
      </c>
      <c r="K582">
        <v>4</v>
      </c>
    </row>
    <row r="583" spans="1:11" x14ac:dyDescent="0.35">
      <c r="A583">
        <v>581</v>
      </c>
      <c r="B583">
        <v>2016</v>
      </c>
      <c r="C583" t="s">
        <v>219</v>
      </c>
      <c r="D583" t="s">
        <v>304</v>
      </c>
      <c r="E583" t="s">
        <v>922</v>
      </c>
      <c r="F583" t="s">
        <v>923</v>
      </c>
      <c r="G583">
        <v>1</v>
      </c>
      <c r="H583" t="s">
        <v>842</v>
      </c>
      <c r="I583">
        <v>10</v>
      </c>
      <c r="J583" s="40">
        <v>325.64999999999998</v>
      </c>
      <c r="K583">
        <v>4</v>
      </c>
    </row>
    <row r="584" spans="1:11" x14ac:dyDescent="0.35">
      <c r="A584">
        <v>582</v>
      </c>
      <c r="B584">
        <v>2016</v>
      </c>
      <c r="C584" t="s">
        <v>219</v>
      </c>
      <c r="D584" t="s">
        <v>1134</v>
      </c>
      <c r="E584" t="s">
        <v>1164</v>
      </c>
      <c r="F584" t="s">
        <v>1165</v>
      </c>
      <c r="G584">
        <v>2</v>
      </c>
      <c r="H584" t="s">
        <v>842</v>
      </c>
      <c r="I584">
        <v>11</v>
      </c>
      <c r="J584" s="40">
        <v>237.23</v>
      </c>
      <c r="K584">
        <v>1</v>
      </c>
    </row>
    <row r="585" spans="1:11" x14ac:dyDescent="0.35">
      <c r="A585">
        <v>583</v>
      </c>
      <c r="B585">
        <v>2016</v>
      </c>
      <c r="C585" t="s">
        <v>219</v>
      </c>
      <c r="D585" t="s">
        <v>1134</v>
      </c>
      <c r="E585" t="s">
        <v>1146</v>
      </c>
      <c r="F585" t="s">
        <v>1147</v>
      </c>
      <c r="G585">
        <v>2</v>
      </c>
      <c r="H585" t="s">
        <v>842</v>
      </c>
      <c r="I585">
        <v>11</v>
      </c>
      <c r="J585" s="40">
        <v>244.21</v>
      </c>
      <c r="K585">
        <v>1</v>
      </c>
    </row>
    <row r="586" spans="1:11" x14ac:dyDescent="0.35">
      <c r="A586">
        <v>584</v>
      </c>
      <c r="B586">
        <v>2016</v>
      </c>
      <c r="C586" t="s">
        <v>219</v>
      </c>
      <c r="D586" t="s">
        <v>294</v>
      </c>
      <c r="E586" t="s">
        <v>1074</v>
      </c>
      <c r="F586" t="s">
        <v>1263</v>
      </c>
      <c r="G586">
        <v>3</v>
      </c>
      <c r="H586" t="s">
        <v>842</v>
      </c>
      <c r="I586">
        <v>11</v>
      </c>
      <c r="J586" s="40">
        <v>257.16000000000003</v>
      </c>
      <c r="K586">
        <v>1</v>
      </c>
    </row>
    <row r="587" spans="1:11" x14ac:dyDescent="0.35">
      <c r="A587">
        <v>585</v>
      </c>
      <c r="B587">
        <v>2016</v>
      </c>
      <c r="C587" t="s">
        <v>219</v>
      </c>
      <c r="D587" t="s">
        <v>1239</v>
      </c>
      <c r="E587" t="s">
        <v>959</v>
      </c>
      <c r="F587" t="s">
        <v>960</v>
      </c>
      <c r="G587">
        <v>2</v>
      </c>
      <c r="H587" t="s">
        <v>842</v>
      </c>
      <c r="I587">
        <v>11</v>
      </c>
      <c r="J587" s="40">
        <v>257.87</v>
      </c>
      <c r="K587">
        <v>2</v>
      </c>
    </row>
    <row r="588" spans="1:11" x14ac:dyDescent="0.35">
      <c r="A588">
        <v>586</v>
      </c>
      <c r="B588">
        <v>2016</v>
      </c>
      <c r="C588" t="s">
        <v>219</v>
      </c>
      <c r="D588" t="s">
        <v>217</v>
      </c>
      <c r="E588" t="s">
        <v>981</v>
      </c>
      <c r="F588" t="s">
        <v>1248</v>
      </c>
      <c r="G588">
        <v>1</v>
      </c>
      <c r="H588" t="s">
        <v>842</v>
      </c>
      <c r="I588">
        <v>11</v>
      </c>
      <c r="J588" s="40">
        <v>258.05</v>
      </c>
      <c r="K588">
        <v>1</v>
      </c>
    </row>
    <row r="589" spans="1:11" x14ac:dyDescent="0.35">
      <c r="A589">
        <v>587</v>
      </c>
      <c r="B589">
        <v>2016</v>
      </c>
      <c r="C589" t="s">
        <v>219</v>
      </c>
      <c r="D589" t="s">
        <v>1239</v>
      </c>
      <c r="E589" t="s">
        <v>955</v>
      </c>
      <c r="F589" t="s">
        <v>956</v>
      </c>
      <c r="G589">
        <v>2</v>
      </c>
      <c r="H589" t="s">
        <v>842</v>
      </c>
      <c r="I589">
        <v>11</v>
      </c>
      <c r="J589" s="40">
        <v>266.61</v>
      </c>
      <c r="K589">
        <v>2</v>
      </c>
    </row>
    <row r="590" spans="1:11" x14ac:dyDescent="0.35">
      <c r="A590">
        <v>588</v>
      </c>
      <c r="B590">
        <v>2016</v>
      </c>
      <c r="C590" t="s">
        <v>219</v>
      </c>
      <c r="D590" t="s">
        <v>217</v>
      </c>
      <c r="E590" t="s">
        <v>979</v>
      </c>
      <c r="F590" t="s">
        <v>1246</v>
      </c>
      <c r="G590">
        <v>1</v>
      </c>
      <c r="H590" t="s">
        <v>842</v>
      </c>
      <c r="I590">
        <v>11</v>
      </c>
      <c r="J590" s="40">
        <v>267.25</v>
      </c>
      <c r="K590">
        <v>1</v>
      </c>
    </row>
    <row r="591" spans="1:11" x14ac:dyDescent="0.35">
      <c r="A591">
        <v>589</v>
      </c>
      <c r="B591">
        <v>2016</v>
      </c>
      <c r="C591" t="s">
        <v>219</v>
      </c>
      <c r="D591" t="s">
        <v>1239</v>
      </c>
      <c r="E591" t="s">
        <v>957</v>
      </c>
      <c r="F591" t="s">
        <v>1240</v>
      </c>
      <c r="G591">
        <v>2</v>
      </c>
      <c r="H591" t="s">
        <v>842</v>
      </c>
      <c r="I591">
        <v>11</v>
      </c>
      <c r="J591" s="40">
        <v>268.3</v>
      </c>
      <c r="K591">
        <v>2</v>
      </c>
    </row>
    <row r="592" spans="1:11" x14ac:dyDescent="0.35">
      <c r="A592">
        <v>590</v>
      </c>
      <c r="B592">
        <v>2016</v>
      </c>
      <c r="C592" t="s">
        <v>219</v>
      </c>
      <c r="D592" t="s">
        <v>1239</v>
      </c>
      <c r="E592" t="s">
        <v>953</v>
      </c>
      <c r="F592" t="s">
        <v>954</v>
      </c>
      <c r="G592">
        <v>2</v>
      </c>
      <c r="H592" t="s">
        <v>842</v>
      </c>
      <c r="I592">
        <v>11</v>
      </c>
      <c r="J592" s="40">
        <v>271.29000000000002</v>
      </c>
      <c r="K592">
        <v>2</v>
      </c>
    </row>
    <row r="593" spans="1:11" x14ac:dyDescent="0.35">
      <c r="A593">
        <v>591</v>
      </c>
      <c r="B593">
        <v>2016</v>
      </c>
      <c r="C593" t="s">
        <v>219</v>
      </c>
      <c r="D593" t="s">
        <v>1239</v>
      </c>
      <c r="E593" t="s">
        <v>950</v>
      </c>
      <c r="F593" t="s">
        <v>952</v>
      </c>
      <c r="G593">
        <v>2</v>
      </c>
      <c r="H593" t="s">
        <v>842</v>
      </c>
      <c r="I593">
        <v>11</v>
      </c>
      <c r="J593" s="40">
        <v>275.19</v>
      </c>
      <c r="K593">
        <v>2</v>
      </c>
    </row>
    <row r="594" spans="1:11" x14ac:dyDescent="0.35">
      <c r="A594">
        <v>592</v>
      </c>
      <c r="B594">
        <v>2016</v>
      </c>
      <c r="C594" t="s">
        <v>219</v>
      </c>
      <c r="D594" t="s">
        <v>1280</v>
      </c>
      <c r="E594" t="s">
        <v>1107</v>
      </c>
      <c r="F594" t="s">
        <v>1131</v>
      </c>
      <c r="G594">
        <v>2</v>
      </c>
      <c r="H594" t="s">
        <v>842</v>
      </c>
      <c r="I594">
        <v>11</v>
      </c>
      <c r="J594" s="40">
        <v>292.95</v>
      </c>
      <c r="K594">
        <v>1</v>
      </c>
    </row>
    <row r="595" spans="1:11" x14ac:dyDescent="0.35">
      <c r="A595">
        <v>593</v>
      </c>
      <c r="B595">
        <v>2016</v>
      </c>
      <c r="C595" t="s">
        <v>219</v>
      </c>
      <c r="D595" t="s">
        <v>1280</v>
      </c>
      <c r="E595" t="s">
        <v>1108</v>
      </c>
      <c r="F595" t="s">
        <v>1281</v>
      </c>
      <c r="G595">
        <v>2</v>
      </c>
      <c r="H595" t="s">
        <v>842</v>
      </c>
      <c r="I595">
        <v>11</v>
      </c>
      <c r="J595" s="40">
        <v>292.95</v>
      </c>
      <c r="K595">
        <v>1</v>
      </c>
    </row>
    <row r="596" spans="1:11" x14ac:dyDescent="0.35">
      <c r="A596">
        <v>594</v>
      </c>
      <c r="B596">
        <v>2016</v>
      </c>
      <c r="C596" t="s">
        <v>219</v>
      </c>
      <c r="D596" t="s">
        <v>1280</v>
      </c>
      <c r="E596" t="s">
        <v>1110</v>
      </c>
      <c r="F596" t="s">
        <v>1127</v>
      </c>
      <c r="G596">
        <v>2</v>
      </c>
      <c r="H596" t="s">
        <v>842</v>
      </c>
      <c r="I596">
        <v>11</v>
      </c>
      <c r="J596" s="40">
        <v>300.97000000000003</v>
      </c>
      <c r="K596">
        <v>1</v>
      </c>
    </row>
    <row r="597" spans="1:11" x14ac:dyDescent="0.35">
      <c r="A597">
        <v>595</v>
      </c>
      <c r="B597">
        <v>2016</v>
      </c>
      <c r="C597" t="s">
        <v>219</v>
      </c>
      <c r="D597" t="s">
        <v>1134</v>
      </c>
      <c r="E597" t="s">
        <v>1162</v>
      </c>
      <c r="F597" t="s">
        <v>1163</v>
      </c>
      <c r="G597">
        <v>2</v>
      </c>
      <c r="H597" t="s">
        <v>842</v>
      </c>
      <c r="I597">
        <v>12</v>
      </c>
      <c r="J597" s="40">
        <v>225.97</v>
      </c>
      <c r="K597">
        <v>1</v>
      </c>
    </row>
    <row r="598" spans="1:11" x14ac:dyDescent="0.35">
      <c r="A598">
        <v>596</v>
      </c>
      <c r="B598">
        <v>2016</v>
      </c>
      <c r="C598" t="s">
        <v>219</v>
      </c>
      <c r="D598" t="s">
        <v>1134</v>
      </c>
      <c r="E598" t="s">
        <v>1144</v>
      </c>
      <c r="F598" t="s">
        <v>1145</v>
      </c>
      <c r="G598">
        <v>2</v>
      </c>
      <c r="H598" t="s">
        <v>842</v>
      </c>
      <c r="I598">
        <v>12</v>
      </c>
      <c r="J598" s="40">
        <v>232.61</v>
      </c>
      <c r="K598">
        <v>1</v>
      </c>
    </row>
    <row r="599" spans="1:11" x14ac:dyDescent="0.35">
      <c r="A599">
        <v>597</v>
      </c>
      <c r="B599">
        <v>2016</v>
      </c>
      <c r="C599" t="s">
        <v>219</v>
      </c>
      <c r="D599" t="s">
        <v>1239</v>
      </c>
      <c r="E599" t="s">
        <v>959</v>
      </c>
      <c r="F599" t="s">
        <v>960</v>
      </c>
      <c r="G599">
        <v>2</v>
      </c>
      <c r="H599" t="s">
        <v>842</v>
      </c>
      <c r="I599">
        <v>12</v>
      </c>
      <c r="J599" s="40">
        <v>235.32</v>
      </c>
      <c r="K599">
        <v>2</v>
      </c>
    </row>
    <row r="600" spans="1:11" x14ac:dyDescent="0.35">
      <c r="A600">
        <v>598</v>
      </c>
      <c r="B600">
        <v>2016</v>
      </c>
      <c r="C600" t="s">
        <v>219</v>
      </c>
      <c r="D600" t="s">
        <v>1239</v>
      </c>
      <c r="E600" t="s">
        <v>955</v>
      </c>
      <c r="F600" t="s">
        <v>956</v>
      </c>
      <c r="G600">
        <v>2</v>
      </c>
      <c r="H600" t="s">
        <v>842</v>
      </c>
      <c r="I600">
        <v>12</v>
      </c>
      <c r="J600" s="40">
        <v>243.29</v>
      </c>
      <c r="K600">
        <v>2</v>
      </c>
    </row>
    <row r="601" spans="1:11" x14ac:dyDescent="0.35">
      <c r="A601">
        <v>599</v>
      </c>
      <c r="B601">
        <v>2016</v>
      </c>
      <c r="C601" t="s">
        <v>219</v>
      </c>
      <c r="D601" t="s">
        <v>1239</v>
      </c>
      <c r="E601" t="s">
        <v>957</v>
      </c>
      <c r="F601" t="s">
        <v>1240</v>
      </c>
      <c r="G601">
        <v>2</v>
      </c>
      <c r="H601" t="s">
        <v>842</v>
      </c>
      <c r="I601">
        <v>12</v>
      </c>
      <c r="J601" s="40">
        <v>244.83</v>
      </c>
      <c r="K601">
        <v>2</v>
      </c>
    </row>
    <row r="602" spans="1:11" x14ac:dyDescent="0.35">
      <c r="A602">
        <v>600</v>
      </c>
      <c r="B602">
        <v>2016</v>
      </c>
      <c r="C602" t="s">
        <v>219</v>
      </c>
      <c r="D602" t="s">
        <v>1239</v>
      </c>
      <c r="E602" t="s">
        <v>953</v>
      </c>
      <c r="F602" t="s">
        <v>954</v>
      </c>
      <c r="G602">
        <v>2</v>
      </c>
      <c r="H602" t="s">
        <v>842</v>
      </c>
      <c r="I602">
        <v>12</v>
      </c>
      <c r="J602" s="40">
        <v>247.56</v>
      </c>
      <c r="K602">
        <v>2</v>
      </c>
    </row>
    <row r="603" spans="1:11" x14ac:dyDescent="0.35">
      <c r="A603">
        <v>601</v>
      </c>
      <c r="B603">
        <v>2016</v>
      </c>
      <c r="C603" t="s">
        <v>219</v>
      </c>
      <c r="D603" t="s">
        <v>1239</v>
      </c>
      <c r="E603" t="s">
        <v>950</v>
      </c>
      <c r="F603" t="s">
        <v>952</v>
      </c>
      <c r="G603">
        <v>2</v>
      </c>
      <c r="H603" t="s">
        <v>842</v>
      </c>
      <c r="I603">
        <v>12</v>
      </c>
      <c r="J603" s="40">
        <v>251.12</v>
      </c>
      <c r="K603">
        <v>2</v>
      </c>
    </row>
    <row r="604" spans="1:11" x14ac:dyDescent="0.35">
      <c r="A604">
        <v>602</v>
      </c>
      <c r="B604">
        <v>2016</v>
      </c>
      <c r="C604" t="s">
        <v>219</v>
      </c>
      <c r="D604" t="s">
        <v>217</v>
      </c>
      <c r="E604" t="s">
        <v>981</v>
      </c>
      <c r="F604" t="s">
        <v>1248</v>
      </c>
      <c r="G604">
        <v>1</v>
      </c>
      <c r="H604" t="s">
        <v>842</v>
      </c>
      <c r="I604">
        <v>12</v>
      </c>
      <c r="J604" s="40">
        <v>252.68</v>
      </c>
      <c r="K604">
        <v>1</v>
      </c>
    </row>
    <row r="605" spans="1:11" x14ac:dyDescent="0.35">
      <c r="A605">
        <v>603</v>
      </c>
      <c r="B605">
        <v>2016</v>
      </c>
      <c r="C605" t="s">
        <v>219</v>
      </c>
      <c r="D605" t="s">
        <v>217</v>
      </c>
      <c r="E605" t="s">
        <v>979</v>
      </c>
      <c r="F605" t="s">
        <v>1246</v>
      </c>
      <c r="G605">
        <v>1</v>
      </c>
      <c r="H605" t="s">
        <v>842</v>
      </c>
      <c r="I605">
        <v>12</v>
      </c>
      <c r="J605" s="40">
        <v>261.7</v>
      </c>
      <c r="K605">
        <v>1</v>
      </c>
    </row>
    <row r="606" spans="1:11" x14ac:dyDescent="0.35">
      <c r="A606">
        <v>604</v>
      </c>
      <c r="B606">
        <v>2016</v>
      </c>
      <c r="C606" t="s">
        <v>219</v>
      </c>
      <c r="D606" t="s">
        <v>1280</v>
      </c>
      <c r="E606" t="s">
        <v>1107</v>
      </c>
      <c r="F606" t="s">
        <v>1131</v>
      </c>
      <c r="G606">
        <v>2</v>
      </c>
      <c r="H606" t="s">
        <v>842</v>
      </c>
      <c r="I606">
        <v>12</v>
      </c>
      <c r="J606" s="40">
        <v>263.88</v>
      </c>
      <c r="K606">
        <v>1</v>
      </c>
    </row>
    <row r="607" spans="1:11" x14ac:dyDescent="0.35">
      <c r="A607">
        <v>605</v>
      </c>
      <c r="B607">
        <v>2016</v>
      </c>
      <c r="C607" t="s">
        <v>219</v>
      </c>
      <c r="D607" t="s">
        <v>1280</v>
      </c>
      <c r="E607" t="s">
        <v>1108</v>
      </c>
      <c r="F607" t="s">
        <v>1281</v>
      </c>
      <c r="G607">
        <v>2</v>
      </c>
      <c r="H607" t="s">
        <v>842</v>
      </c>
      <c r="I607">
        <v>12</v>
      </c>
      <c r="J607" s="40">
        <v>263.88</v>
      </c>
      <c r="K607">
        <v>1</v>
      </c>
    </row>
    <row r="608" spans="1:11" x14ac:dyDescent="0.35">
      <c r="A608">
        <v>606</v>
      </c>
      <c r="B608">
        <v>2016</v>
      </c>
      <c r="C608" t="s">
        <v>219</v>
      </c>
      <c r="D608" t="s">
        <v>1280</v>
      </c>
      <c r="E608" t="s">
        <v>1110</v>
      </c>
      <c r="F608" t="s">
        <v>1127</v>
      </c>
      <c r="G608">
        <v>2</v>
      </c>
      <c r="H608" t="s">
        <v>842</v>
      </c>
      <c r="I608">
        <v>12</v>
      </c>
      <c r="J608" s="40">
        <v>271.11</v>
      </c>
      <c r="K608">
        <v>1</v>
      </c>
    </row>
    <row r="609" spans="1:11" x14ac:dyDescent="0.35">
      <c r="A609">
        <v>607</v>
      </c>
      <c r="B609">
        <v>2016</v>
      </c>
      <c r="C609" t="s">
        <v>219</v>
      </c>
      <c r="D609" t="s">
        <v>294</v>
      </c>
      <c r="E609" t="s">
        <v>1074</v>
      </c>
      <c r="F609" t="s">
        <v>1263</v>
      </c>
      <c r="G609">
        <v>3</v>
      </c>
      <c r="H609" t="s">
        <v>842</v>
      </c>
      <c r="I609">
        <v>12</v>
      </c>
      <c r="J609" s="40">
        <v>281.31</v>
      </c>
      <c r="K609">
        <v>1</v>
      </c>
    </row>
    <row r="610" spans="1:11" x14ac:dyDescent="0.35">
      <c r="A610">
        <v>608</v>
      </c>
      <c r="B610">
        <v>2016</v>
      </c>
      <c r="C610" t="s">
        <v>219</v>
      </c>
      <c r="D610" t="s">
        <v>294</v>
      </c>
      <c r="E610" t="s">
        <v>1072</v>
      </c>
      <c r="F610" t="s">
        <v>1262</v>
      </c>
      <c r="G610">
        <v>2</v>
      </c>
      <c r="H610" t="s">
        <v>842</v>
      </c>
      <c r="I610">
        <v>12</v>
      </c>
      <c r="J610" s="40">
        <v>285.56</v>
      </c>
      <c r="K610">
        <v>1</v>
      </c>
    </row>
    <row r="611" spans="1:11" x14ac:dyDescent="0.35">
      <c r="A611">
        <v>609</v>
      </c>
      <c r="B611">
        <v>2016</v>
      </c>
      <c r="C611" t="s">
        <v>219</v>
      </c>
      <c r="D611" t="s">
        <v>297</v>
      </c>
      <c r="E611" t="s">
        <v>1097</v>
      </c>
      <c r="F611" t="s">
        <v>1277</v>
      </c>
      <c r="G611">
        <v>2</v>
      </c>
      <c r="H611" t="s">
        <v>842</v>
      </c>
      <c r="I611">
        <v>13</v>
      </c>
      <c r="J611" s="40">
        <v>203.84</v>
      </c>
      <c r="K611">
        <v>1</v>
      </c>
    </row>
    <row r="612" spans="1:11" x14ac:dyDescent="0.35">
      <c r="A612">
        <v>610</v>
      </c>
      <c r="B612">
        <v>2016</v>
      </c>
      <c r="C612" t="s">
        <v>219</v>
      </c>
      <c r="D612" t="s">
        <v>297</v>
      </c>
      <c r="E612" t="s">
        <v>1276</v>
      </c>
      <c r="F612" t="s">
        <v>1100</v>
      </c>
      <c r="G612">
        <v>2</v>
      </c>
      <c r="H612" t="s">
        <v>842</v>
      </c>
      <c r="I612">
        <v>13</v>
      </c>
      <c r="J612" s="40">
        <v>215.7</v>
      </c>
      <c r="K612">
        <v>1</v>
      </c>
    </row>
    <row r="613" spans="1:11" x14ac:dyDescent="0.35">
      <c r="A613">
        <v>611</v>
      </c>
      <c r="B613">
        <v>2016</v>
      </c>
      <c r="C613" t="s">
        <v>219</v>
      </c>
      <c r="D613" t="s">
        <v>297</v>
      </c>
      <c r="E613" t="s">
        <v>1099</v>
      </c>
      <c r="F613" t="s">
        <v>1275</v>
      </c>
      <c r="G613">
        <v>2</v>
      </c>
      <c r="H613" t="s">
        <v>842</v>
      </c>
      <c r="I613">
        <v>13</v>
      </c>
      <c r="J613" s="40">
        <v>221.44</v>
      </c>
      <c r="K613">
        <v>1</v>
      </c>
    </row>
    <row r="614" spans="1:11" x14ac:dyDescent="0.35">
      <c r="A614">
        <v>612</v>
      </c>
      <c r="B614">
        <v>2016</v>
      </c>
      <c r="C614" t="s">
        <v>219</v>
      </c>
      <c r="D614" t="s">
        <v>304</v>
      </c>
      <c r="E614" t="s">
        <v>918</v>
      </c>
      <c r="F614" t="s">
        <v>919</v>
      </c>
      <c r="G614">
        <v>1</v>
      </c>
      <c r="H614" t="s">
        <v>842</v>
      </c>
      <c r="I614">
        <v>13</v>
      </c>
      <c r="J614" s="40">
        <v>233.06</v>
      </c>
      <c r="K614">
        <v>4</v>
      </c>
    </row>
    <row r="615" spans="1:11" x14ac:dyDescent="0.35">
      <c r="A615">
        <v>613</v>
      </c>
      <c r="B615">
        <v>2016</v>
      </c>
      <c r="C615" t="s">
        <v>219</v>
      </c>
      <c r="D615" t="s">
        <v>294</v>
      </c>
      <c r="E615" t="s">
        <v>1068</v>
      </c>
      <c r="F615" t="s">
        <v>1260</v>
      </c>
      <c r="G615">
        <v>2</v>
      </c>
      <c r="H615" t="s">
        <v>842</v>
      </c>
      <c r="I615">
        <v>13</v>
      </c>
      <c r="J615" s="40">
        <v>235.8</v>
      </c>
      <c r="K615">
        <v>1</v>
      </c>
    </row>
    <row r="616" spans="1:11" x14ac:dyDescent="0.35">
      <c r="A616">
        <v>614</v>
      </c>
      <c r="B616">
        <v>2016</v>
      </c>
      <c r="C616" t="s">
        <v>219</v>
      </c>
      <c r="D616" t="s">
        <v>1239</v>
      </c>
      <c r="E616" t="s">
        <v>959</v>
      </c>
      <c r="F616" t="s">
        <v>960</v>
      </c>
      <c r="G616">
        <v>2</v>
      </c>
      <c r="H616" t="s">
        <v>842</v>
      </c>
      <c r="I616">
        <v>13</v>
      </c>
      <c r="J616" s="40">
        <v>249.61</v>
      </c>
      <c r="K616">
        <v>2</v>
      </c>
    </row>
    <row r="617" spans="1:11" x14ac:dyDescent="0.35">
      <c r="A617">
        <v>615</v>
      </c>
      <c r="B617">
        <v>2016</v>
      </c>
      <c r="C617" t="s">
        <v>219</v>
      </c>
      <c r="D617" t="s">
        <v>217</v>
      </c>
      <c r="E617" t="s">
        <v>981</v>
      </c>
      <c r="F617" t="s">
        <v>1248</v>
      </c>
      <c r="G617">
        <v>1</v>
      </c>
      <c r="H617" t="s">
        <v>842</v>
      </c>
      <c r="I617">
        <v>13</v>
      </c>
      <c r="J617" s="40">
        <v>252.73</v>
      </c>
      <c r="K617">
        <v>1</v>
      </c>
    </row>
    <row r="618" spans="1:11" x14ac:dyDescent="0.35">
      <c r="A618">
        <v>616</v>
      </c>
      <c r="B618">
        <v>2016</v>
      </c>
      <c r="C618" t="s">
        <v>219</v>
      </c>
      <c r="D618" t="s">
        <v>294</v>
      </c>
      <c r="E618" t="s">
        <v>1074</v>
      </c>
      <c r="F618" t="s">
        <v>1263</v>
      </c>
      <c r="G618">
        <v>3</v>
      </c>
      <c r="H618" t="s">
        <v>842</v>
      </c>
      <c r="I618">
        <v>13</v>
      </c>
      <c r="J618" s="40">
        <v>252.87</v>
      </c>
      <c r="K618">
        <v>1</v>
      </c>
    </row>
    <row r="619" spans="1:11" x14ac:dyDescent="0.35">
      <c r="A619">
        <v>617</v>
      </c>
      <c r="B619">
        <v>2016</v>
      </c>
      <c r="C619" t="s">
        <v>219</v>
      </c>
      <c r="D619" t="s">
        <v>294</v>
      </c>
      <c r="E619" t="s">
        <v>1064</v>
      </c>
      <c r="F619" t="s">
        <v>1065</v>
      </c>
      <c r="G619">
        <v>2</v>
      </c>
      <c r="H619" t="s">
        <v>842</v>
      </c>
      <c r="I619">
        <v>13</v>
      </c>
      <c r="J619" s="40">
        <v>256.77999999999997</v>
      </c>
      <c r="K619">
        <v>1</v>
      </c>
    </row>
    <row r="620" spans="1:11" x14ac:dyDescent="0.35">
      <c r="A620">
        <v>618</v>
      </c>
      <c r="B620">
        <v>2016</v>
      </c>
      <c r="C620" t="s">
        <v>219</v>
      </c>
      <c r="D620" t="s">
        <v>1239</v>
      </c>
      <c r="E620" t="s">
        <v>955</v>
      </c>
      <c r="F620" t="s">
        <v>956</v>
      </c>
      <c r="G620">
        <v>2</v>
      </c>
      <c r="H620" t="s">
        <v>842</v>
      </c>
      <c r="I620">
        <v>13</v>
      </c>
      <c r="J620" s="40">
        <v>258.07</v>
      </c>
      <c r="K620">
        <v>2</v>
      </c>
    </row>
    <row r="621" spans="1:11" x14ac:dyDescent="0.35">
      <c r="A621">
        <v>619</v>
      </c>
      <c r="B621">
        <v>2016</v>
      </c>
      <c r="C621" t="s">
        <v>219</v>
      </c>
      <c r="D621" t="s">
        <v>1239</v>
      </c>
      <c r="E621" t="s">
        <v>957</v>
      </c>
      <c r="F621" t="s">
        <v>1240</v>
      </c>
      <c r="G621">
        <v>2</v>
      </c>
      <c r="H621" t="s">
        <v>842</v>
      </c>
      <c r="I621">
        <v>13</v>
      </c>
      <c r="J621" s="40">
        <v>259.7</v>
      </c>
      <c r="K621">
        <v>2</v>
      </c>
    </row>
    <row r="622" spans="1:11" x14ac:dyDescent="0.35">
      <c r="A622">
        <v>620</v>
      </c>
      <c r="B622">
        <v>2016</v>
      </c>
      <c r="C622" t="s">
        <v>219</v>
      </c>
      <c r="D622" t="s">
        <v>217</v>
      </c>
      <c r="E622" t="s">
        <v>979</v>
      </c>
      <c r="F622" t="s">
        <v>1246</v>
      </c>
      <c r="G622">
        <v>1</v>
      </c>
      <c r="H622" t="s">
        <v>842</v>
      </c>
      <c r="I622">
        <v>13</v>
      </c>
      <c r="J622" s="40">
        <v>261.74</v>
      </c>
      <c r="K622">
        <v>1</v>
      </c>
    </row>
    <row r="623" spans="1:11" x14ac:dyDescent="0.35">
      <c r="A623">
        <v>621</v>
      </c>
      <c r="B623">
        <v>2016</v>
      </c>
      <c r="C623" t="s">
        <v>219</v>
      </c>
      <c r="D623" t="s">
        <v>1239</v>
      </c>
      <c r="E623" t="s">
        <v>953</v>
      </c>
      <c r="F623" t="s">
        <v>954</v>
      </c>
      <c r="G623">
        <v>2</v>
      </c>
      <c r="H623" t="s">
        <v>842</v>
      </c>
      <c r="I623">
        <v>13</v>
      </c>
      <c r="J623" s="40">
        <v>262.60000000000002</v>
      </c>
      <c r="K623">
        <v>2</v>
      </c>
    </row>
    <row r="624" spans="1:11" x14ac:dyDescent="0.35">
      <c r="A624">
        <v>622</v>
      </c>
      <c r="B624">
        <v>2016</v>
      </c>
      <c r="C624" t="s">
        <v>219</v>
      </c>
      <c r="D624" t="s">
        <v>1239</v>
      </c>
      <c r="E624" t="s">
        <v>950</v>
      </c>
      <c r="F624" t="s">
        <v>952</v>
      </c>
      <c r="G624">
        <v>2</v>
      </c>
      <c r="H624" t="s">
        <v>842</v>
      </c>
      <c r="I624">
        <v>13</v>
      </c>
      <c r="J624" s="40">
        <v>266.38</v>
      </c>
      <c r="K624">
        <v>2</v>
      </c>
    </row>
    <row r="625" spans="1:11" x14ac:dyDescent="0.35">
      <c r="A625">
        <v>623</v>
      </c>
      <c r="B625">
        <v>2016</v>
      </c>
      <c r="C625" t="s">
        <v>219</v>
      </c>
      <c r="D625" t="s">
        <v>304</v>
      </c>
      <c r="E625" t="s">
        <v>922</v>
      </c>
      <c r="F625" t="s">
        <v>923</v>
      </c>
      <c r="G625">
        <v>1</v>
      </c>
      <c r="H625" t="s">
        <v>842</v>
      </c>
      <c r="I625">
        <v>13</v>
      </c>
      <c r="J625" s="40">
        <v>274.89999999999998</v>
      </c>
      <c r="K625">
        <v>4</v>
      </c>
    </row>
    <row r="626" spans="1:11" x14ac:dyDescent="0.35">
      <c r="A626">
        <v>624</v>
      </c>
      <c r="B626">
        <v>2016</v>
      </c>
      <c r="C626" t="s">
        <v>219</v>
      </c>
      <c r="D626" t="s">
        <v>1280</v>
      </c>
      <c r="E626" t="s">
        <v>1107</v>
      </c>
      <c r="F626" t="s">
        <v>1131</v>
      </c>
      <c r="G626">
        <v>2</v>
      </c>
      <c r="H626" t="s">
        <v>842</v>
      </c>
      <c r="I626">
        <v>13</v>
      </c>
      <c r="J626" s="40">
        <v>278.98</v>
      </c>
      <c r="K626">
        <v>1</v>
      </c>
    </row>
    <row r="627" spans="1:11" x14ac:dyDescent="0.35">
      <c r="A627">
        <v>625</v>
      </c>
      <c r="B627">
        <v>2016</v>
      </c>
      <c r="C627" t="s">
        <v>219</v>
      </c>
      <c r="D627" t="s">
        <v>1280</v>
      </c>
      <c r="E627" t="s">
        <v>1108</v>
      </c>
      <c r="F627" t="s">
        <v>1281</v>
      </c>
      <c r="G627">
        <v>2</v>
      </c>
      <c r="H627" t="s">
        <v>842</v>
      </c>
      <c r="I627">
        <v>13</v>
      </c>
      <c r="J627" s="40">
        <v>278.98</v>
      </c>
      <c r="K627">
        <v>1</v>
      </c>
    </row>
    <row r="628" spans="1:11" x14ac:dyDescent="0.35">
      <c r="A628">
        <v>626</v>
      </c>
      <c r="B628">
        <v>2016</v>
      </c>
      <c r="C628" t="s">
        <v>219</v>
      </c>
      <c r="D628" t="s">
        <v>1280</v>
      </c>
      <c r="E628" t="s">
        <v>1110</v>
      </c>
      <c r="F628" t="s">
        <v>1127</v>
      </c>
      <c r="G628">
        <v>2</v>
      </c>
      <c r="H628" t="s">
        <v>842</v>
      </c>
      <c r="I628">
        <v>13</v>
      </c>
      <c r="J628" s="40">
        <v>286.63</v>
      </c>
      <c r="K628">
        <v>1</v>
      </c>
    </row>
    <row r="629" spans="1:11" x14ac:dyDescent="0.35">
      <c r="A629">
        <v>627</v>
      </c>
      <c r="B629">
        <v>2016</v>
      </c>
      <c r="C629" t="s">
        <v>219</v>
      </c>
      <c r="D629" t="s">
        <v>1217</v>
      </c>
      <c r="E629" t="s">
        <v>1227</v>
      </c>
      <c r="F629" t="s">
        <v>1125</v>
      </c>
      <c r="G629">
        <v>2</v>
      </c>
      <c r="H629" t="s">
        <v>842</v>
      </c>
      <c r="I629">
        <v>14</v>
      </c>
      <c r="J629" s="40">
        <v>166.32</v>
      </c>
      <c r="K629">
        <v>4</v>
      </c>
    </row>
    <row r="630" spans="1:11" x14ac:dyDescent="0.35">
      <c r="A630">
        <v>628</v>
      </c>
      <c r="B630">
        <v>2016</v>
      </c>
      <c r="C630" t="s">
        <v>219</v>
      </c>
      <c r="D630" t="s">
        <v>1217</v>
      </c>
      <c r="E630" t="s">
        <v>1228</v>
      </c>
      <c r="F630" t="s">
        <v>1126</v>
      </c>
      <c r="G630">
        <v>2</v>
      </c>
      <c r="H630" t="s">
        <v>842</v>
      </c>
      <c r="I630">
        <v>14</v>
      </c>
      <c r="J630" s="40">
        <v>170.45</v>
      </c>
      <c r="K630">
        <v>4</v>
      </c>
    </row>
    <row r="631" spans="1:11" x14ac:dyDescent="0.35">
      <c r="A631">
        <v>629</v>
      </c>
      <c r="B631">
        <v>2016</v>
      </c>
      <c r="C631" t="s">
        <v>219</v>
      </c>
      <c r="D631" t="s">
        <v>1217</v>
      </c>
      <c r="E631" t="s">
        <v>1231</v>
      </c>
      <c r="F631" t="s">
        <v>1232</v>
      </c>
      <c r="G631">
        <v>2</v>
      </c>
      <c r="H631" t="s">
        <v>842</v>
      </c>
      <c r="I631">
        <v>14</v>
      </c>
      <c r="J631" s="40">
        <v>172.33</v>
      </c>
      <c r="K631">
        <v>4</v>
      </c>
    </row>
    <row r="632" spans="1:11" x14ac:dyDescent="0.35">
      <c r="A632">
        <v>630</v>
      </c>
      <c r="B632">
        <v>2016</v>
      </c>
      <c r="C632" t="s">
        <v>219</v>
      </c>
      <c r="D632" t="s">
        <v>1217</v>
      </c>
      <c r="E632" t="s">
        <v>1233</v>
      </c>
      <c r="F632" t="s">
        <v>1234</v>
      </c>
      <c r="G632">
        <v>2</v>
      </c>
      <c r="H632" t="s">
        <v>842</v>
      </c>
      <c r="I632">
        <v>14</v>
      </c>
      <c r="J632" s="40">
        <v>176.61</v>
      </c>
      <c r="K632">
        <v>4</v>
      </c>
    </row>
    <row r="633" spans="1:11" x14ac:dyDescent="0.35">
      <c r="A633">
        <v>631</v>
      </c>
      <c r="B633">
        <v>2016</v>
      </c>
      <c r="C633" t="s">
        <v>219</v>
      </c>
      <c r="D633" t="s">
        <v>1217</v>
      </c>
      <c r="E633" t="s">
        <v>1229</v>
      </c>
      <c r="F633" t="s">
        <v>1230</v>
      </c>
      <c r="G633">
        <v>2</v>
      </c>
      <c r="H633" t="s">
        <v>842</v>
      </c>
      <c r="I633">
        <v>14</v>
      </c>
      <c r="J633" s="40">
        <v>181.15</v>
      </c>
      <c r="K633">
        <v>4</v>
      </c>
    </row>
    <row r="634" spans="1:11" x14ac:dyDescent="0.35">
      <c r="A634">
        <v>632</v>
      </c>
      <c r="B634">
        <v>2016</v>
      </c>
      <c r="C634" t="s">
        <v>219</v>
      </c>
      <c r="D634" t="s">
        <v>1217</v>
      </c>
      <c r="E634" t="s">
        <v>1235</v>
      </c>
      <c r="F634" t="s">
        <v>1236</v>
      </c>
      <c r="G634">
        <v>2</v>
      </c>
      <c r="H634" t="s">
        <v>842</v>
      </c>
      <c r="I634">
        <v>14</v>
      </c>
      <c r="J634" s="40">
        <v>187.7</v>
      </c>
      <c r="K634">
        <v>4</v>
      </c>
    </row>
    <row r="635" spans="1:11" x14ac:dyDescent="0.35">
      <c r="A635">
        <v>633</v>
      </c>
      <c r="B635">
        <v>2016</v>
      </c>
      <c r="C635" t="s">
        <v>219</v>
      </c>
      <c r="D635" t="s">
        <v>1134</v>
      </c>
      <c r="E635" t="s">
        <v>1166</v>
      </c>
      <c r="F635" t="s">
        <v>1167</v>
      </c>
      <c r="G635">
        <v>2</v>
      </c>
      <c r="H635" t="s">
        <v>842</v>
      </c>
      <c r="I635">
        <v>14</v>
      </c>
      <c r="J635" s="40">
        <v>190.2</v>
      </c>
      <c r="K635">
        <v>1</v>
      </c>
    </row>
    <row r="636" spans="1:11" x14ac:dyDescent="0.35">
      <c r="A636">
        <v>634</v>
      </c>
      <c r="B636">
        <v>2016</v>
      </c>
      <c r="C636" t="s">
        <v>219</v>
      </c>
      <c r="D636" t="s">
        <v>1134</v>
      </c>
      <c r="E636" t="s">
        <v>1148</v>
      </c>
      <c r="F636" t="s">
        <v>1149</v>
      </c>
      <c r="G636">
        <v>2</v>
      </c>
      <c r="H636" t="s">
        <v>842</v>
      </c>
      <c r="I636">
        <v>14</v>
      </c>
      <c r="J636" s="40">
        <v>195.79</v>
      </c>
      <c r="K636">
        <v>1</v>
      </c>
    </row>
    <row r="637" spans="1:11" x14ac:dyDescent="0.35">
      <c r="A637">
        <v>635</v>
      </c>
      <c r="B637">
        <v>2016</v>
      </c>
      <c r="C637" t="s">
        <v>219</v>
      </c>
      <c r="D637" t="s">
        <v>294</v>
      </c>
      <c r="E637" t="s">
        <v>1076</v>
      </c>
      <c r="F637" t="s">
        <v>1264</v>
      </c>
      <c r="G637">
        <v>2</v>
      </c>
      <c r="H637" t="s">
        <v>842</v>
      </c>
      <c r="I637">
        <v>14</v>
      </c>
      <c r="J637" s="40">
        <v>209.3</v>
      </c>
      <c r="K637">
        <v>1</v>
      </c>
    </row>
    <row r="638" spans="1:11" x14ac:dyDescent="0.35">
      <c r="A638">
        <v>636</v>
      </c>
      <c r="B638">
        <v>2016</v>
      </c>
      <c r="C638" t="s">
        <v>219</v>
      </c>
      <c r="D638" t="s">
        <v>1134</v>
      </c>
      <c r="E638" t="s">
        <v>1164</v>
      </c>
      <c r="F638" t="s">
        <v>1165</v>
      </c>
      <c r="G638">
        <v>2</v>
      </c>
      <c r="H638" t="s">
        <v>842</v>
      </c>
      <c r="I638">
        <v>14</v>
      </c>
      <c r="J638" s="40">
        <v>214.46</v>
      </c>
      <c r="K638">
        <v>1</v>
      </c>
    </row>
    <row r="639" spans="1:11" x14ac:dyDescent="0.35">
      <c r="A639">
        <v>637</v>
      </c>
      <c r="B639">
        <v>2016</v>
      </c>
      <c r="C639" t="s">
        <v>219</v>
      </c>
      <c r="D639" t="s">
        <v>1280</v>
      </c>
      <c r="E639" t="s">
        <v>1107</v>
      </c>
      <c r="F639" t="s">
        <v>1131</v>
      </c>
      <c r="G639">
        <v>2</v>
      </c>
      <c r="H639" t="s">
        <v>842</v>
      </c>
      <c r="I639">
        <v>14</v>
      </c>
      <c r="J639" s="40">
        <v>215.44</v>
      </c>
      <c r="K639">
        <v>1</v>
      </c>
    </row>
    <row r="640" spans="1:11" x14ac:dyDescent="0.35">
      <c r="A640">
        <v>638</v>
      </c>
      <c r="B640">
        <v>2016</v>
      </c>
      <c r="C640" t="s">
        <v>219</v>
      </c>
      <c r="D640" t="s">
        <v>1280</v>
      </c>
      <c r="E640" t="s">
        <v>1108</v>
      </c>
      <c r="F640" t="s">
        <v>1281</v>
      </c>
      <c r="G640">
        <v>2</v>
      </c>
      <c r="H640" t="s">
        <v>842</v>
      </c>
      <c r="I640">
        <v>14</v>
      </c>
      <c r="J640" s="40">
        <v>215.44</v>
      </c>
      <c r="K640">
        <v>1</v>
      </c>
    </row>
    <row r="641" spans="1:11" x14ac:dyDescent="0.35">
      <c r="A641">
        <v>639</v>
      </c>
      <c r="B641">
        <v>2016</v>
      </c>
      <c r="C641" t="s">
        <v>219</v>
      </c>
      <c r="D641" t="s">
        <v>1239</v>
      </c>
      <c r="E641" t="s">
        <v>959</v>
      </c>
      <c r="F641" t="s">
        <v>960</v>
      </c>
      <c r="G641">
        <v>2</v>
      </c>
      <c r="H641" t="s">
        <v>842</v>
      </c>
      <c r="I641">
        <v>14</v>
      </c>
      <c r="J641" s="40">
        <v>215.66</v>
      </c>
      <c r="K641">
        <v>2</v>
      </c>
    </row>
    <row r="642" spans="1:11" x14ac:dyDescent="0.35">
      <c r="A642">
        <v>640</v>
      </c>
      <c r="B642">
        <v>2016</v>
      </c>
      <c r="C642" t="s">
        <v>219</v>
      </c>
      <c r="D642" t="s">
        <v>1134</v>
      </c>
      <c r="E642" t="s">
        <v>1146</v>
      </c>
      <c r="F642" t="s">
        <v>1147</v>
      </c>
      <c r="G642">
        <v>2</v>
      </c>
      <c r="H642" t="s">
        <v>842</v>
      </c>
      <c r="I642">
        <v>14</v>
      </c>
      <c r="J642" s="40">
        <v>220.77</v>
      </c>
      <c r="K642">
        <v>1</v>
      </c>
    </row>
    <row r="643" spans="1:11" x14ac:dyDescent="0.35">
      <c r="A643">
        <v>641</v>
      </c>
      <c r="B643">
        <v>2016</v>
      </c>
      <c r="C643" t="s">
        <v>219</v>
      </c>
      <c r="D643" t="s">
        <v>1280</v>
      </c>
      <c r="E643" t="s">
        <v>1110</v>
      </c>
      <c r="F643" t="s">
        <v>1127</v>
      </c>
      <c r="G643">
        <v>2</v>
      </c>
      <c r="H643" t="s">
        <v>842</v>
      </c>
      <c r="I643">
        <v>14</v>
      </c>
      <c r="J643" s="40">
        <v>221.34</v>
      </c>
      <c r="K643">
        <v>1</v>
      </c>
    </row>
    <row r="644" spans="1:11" x14ac:dyDescent="0.35">
      <c r="A644">
        <v>642</v>
      </c>
      <c r="B644">
        <v>2016</v>
      </c>
      <c r="C644" t="s">
        <v>219</v>
      </c>
      <c r="D644" t="s">
        <v>1239</v>
      </c>
      <c r="E644" t="s">
        <v>955</v>
      </c>
      <c r="F644" t="s">
        <v>956</v>
      </c>
      <c r="G644">
        <v>2</v>
      </c>
      <c r="H644" t="s">
        <v>842</v>
      </c>
      <c r="I644">
        <v>14</v>
      </c>
      <c r="J644" s="40">
        <v>222.96</v>
      </c>
      <c r="K644">
        <v>2</v>
      </c>
    </row>
    <row r="645" spans="1:11" x14ac:dyDescent="0.35">
      <c r="A645">
        <v>643</v>
      </c>
      <c r="B645">
        <v>2016</v>
      </c>
      <c r="C645" t="s">
        <v>219</v>
      </c>
      <c r="D645" t="s">
        <v>1239</v>
      </c>
      <c r="E645" t="s">
        <v>957</v>
      </c>
      <c r="F645" t="s">
        <v>1240</v>
      </c>
      <c r="G645">
        <v>2</v>
      </c>
      <c r="H645" t="s">
        <v>842</v>
      </c>
      <c r="I645">
        <v>14</v>
      </c>
      <c r="J645" s="40">
        <v>224.38</v>
      </c>
      <c r="K645">
        <v>2</v>
      </c>
    </row>
    <row r="646" spans="1:11" x14ac:dyDescent="0.35">
      <c r="A646">
        <v>644</v>
      </c>
      <c r="B646">
        <v>2016</v>
      </c>
      <c r="C646" t="s">
        <v>219</v>
      </c>
      <c r="D646" t="s">
        <v>1239</v>
      </c>
      <c r="E646" t="s">
        <v>953</v>
      </c>
      <c r="F646" t="s">
        <v>954</v>
      </c>
      <c r="G646">
        <v>2</v>
      </c>
      <c r="H646" t="s">
        <v>842</v>
      </c>
      <c r="I646">
        <v>14</v>
      </c>
      <c r="J646" s="40">
        <v>226.87</v>
      </c>
      <c r="K646">
        <v>2</v>
      </c>
    </row>
    <row r="647" spans="1:11" x14ac:dyDescent="0.35">
      <c r="A647">
        <v>645</v>
      </c>
      <c r="B647">
        <v>2016</v>
      </c>
      <c r="C647" t="s">
        <v>219</v>
      </c>
      <c r="D647" t="s">
        <v>294</v>
      </c>
      <c r="E647" t="s">
        <v>1074</v>
      </c>
      <c r="F647" t="s">
        <v>1263</v>
      </c>
      <c r="G647">
        <v>3</v>
      </c>
      <c r="H647" t="s">
        <v>842</v>
      </c>
      <c r="I647">
        <v>14</v>
      </c>
      <c r="J647" s="40">
        <v>228.23</v>
      </c>
      <c r="K647">
        <v>1</v>
      </c>
    </row>
    <row r="648" spans="1:11" x14ac:dyDescent="0.35">
      <c r="A648">
        <v>646</v>
      </c>
      <c r="B648">
        <v>2016</v>
      </c>
      <c r="C648" t="s">
        <v>219</v>
      </c>
      <c r="D648" t="s">
        <v>1239</v>
      </c>
      <c r="E648" t="s">
        <v>950</v>
      </c>
      <c r="F648" t="s">
        <v>952</v>
      </c>
      <c r="G648">
        <v>2</v>
      </c>
      <c r="H648" t="s">
        <v>842</v>
      </c>
      <c r="I648">
        <v>14</v>
      </c>
      <c r="J648" s="40">
        <v>230.14</v>
      </c>
      <c r="K648">
        <v>2</v>
      </c>
    </row>
    <row r="649" spans="1:11" x14ac:dyDescent="0.35">
      <c r="A649">
        <v>647</v>
      </c>
      <c r="B649">
        <v>2016</v>
      </c>
      <c r="C649" t="s">
        <v>219</v>
      </c>
      <c r="D649" t="s">
        <v>1134</v>
      </c>
      <c r="E649" t="s">
        <v>1168</v>
      </c>
      <c r="F649" t="s">
        <v>1169</v>
      </c>
      <c r="G649">
        <v>2</v>
      </c>
      <c r="H649" t="s">
        <v>842</v>
      </c>
      <c r="I649">
        <v>15</v>
      </c>
      <c r="J649" s="40">
        <v>265.05</v>
      </c>
      <c r="K649">
        <v>1</v>
      </c>
    </row>
    <row r="650" spans="1:11" x14ac:dyDescent="0.35">
      <c r="A650">
        <v>648</v>
      </c>
      <c r="B650">
        <v>2016</v>
      </c>
      <c r="C650" t="s">
        <v>219</v>
      </c>
      <c r="D650" t="s">
        <v>1134</v>
      </c>
      <c r="E650" t="s">
        <v>1150</v>
      </c>
      <c r="F650" t="s">
        <v>1151</v>
      </c>
      <c r="G650">
        <v>2</v>
      </c>
      <c r="H650" t="s">
        <v>842</v>
      </c>
      <c r="I650">
        <v>15</v>
      </c>
      <c r="J650" s="40">
        <v>272.82</v>
      </c>
      <c r="K650">
        <v>1</v>
      </c>
    </row>
    <row r="651" spans="1:11" x14ac:dyDescent="0.35">
      <c r="A651">
        <v>649</v>
      </c>
      <c r="B651">
        <v>2016</v>
      </c>
      <c r="C651" t="s">
        <v>219</v>
      </c>
      <c r="D651" t="s">
        <v>1280</v>
      </c>
      <c r="E651" t="s">
        <v>1107</v>
      </c>
      <c r="F651" t="s">
        <v>1131</v>
      </c>
      <c r="G651">
        <v>2</v>
      </c>
      <c r="H651" t="s">
        <v>842</v>
      </c>
      <c r="I651">
        <v>15</v>
      </c>
      <c r="J651" s="40">
        <v>302.92</v>
      </c>
      <c r="K651">
        <v>1</v>
      </c>
    </row>
    <row r="652" spans="1:11" x14ac:dyDescent="0.35">
      <c r="A652">
        <v>650</v>
      </c>
      <c r="B652">
        <v>2016</v>
      </c>
      <c r="C652" t="s">
        <v>219</v>
      </c>
      <c r="D652" t="s">
        <v>1280</v>
      </c>
      <c r="E652" t="s">
        <v>1108</v>
      </c>
      <c r="F652" t="s">
        <v>1281</v>
      </c>
      <c r="G652">
        <v>2</v>
      </c>
      <c r="H652" t="s">
        <v>842</v>
      </c>
      <c r="I652">
        <v>15</v>
      </c>
      <c r="J652" s="40">
        <v>302.92</v>
      </c>
      <c r="K652">
        <v>1</v>
      </c>
    </row>
    <row r="653" spans="1:11" x14ac:dyDescent="0.35">
      <c r="A653">
        <v>651</v>
      </c>
      <c r="B653">
        <v>2016</v>
      </c>
      <c r="C653" t="s">
        <v>219</v>
      </c>
      <c r="D653" t="s">
        <v>1239</v>
      </c>
      <c r="E653" t="s">
        <v>959</v>
      </c>
      <c r="F653" t="s">
        <v>960</v>
      </c>
      <c r="G653">
        <v>2</v>
      </c>
      <c r="H653" t="s">
        <v>842</v>
      </c>
      <c r="I653">
        <v>15</v>
      </c>
      <c r="J653" s="40">
        <v>311.18</v>
      </c>
      <c r="K653">
        <v>2</v>
      </c>
    </row>
    <row r="654" spans="1:11" x14ac:dyDescent="0.35">
      <c r="A654">
        <v>652</v>
      </c>
      <c r="B654">
        <v>2016</v>
      </c>
      <c r="C654" t="s">
        <v>219</v>
      </c>
      <c r="D654" t="s">
        <v>1280</v>
      </c>
      <c r="E654" t="s">
        <v>1110</v>
      </c>
      <c r="F654" t="s">
        <v>1127</v>
      </c>
      <c r="G654">
        <v>2</v>
      </c>
      <c r="H654" t="s">
        <v>842</v>
      </c>
      <c r="I654">
        <v>15</v>
      </c>
      <c r="J654" s="40">
        <v>311.22000000000003</v>
      </c>
      <c r="K654">
        <v>1</v>
      </c>
    </row>
    <row r="655" spans="1:11" x14ac:dyDescent="0.35">
      <c r="A655">
        <v>653</v>
      </c>
      <c r="B655">
        <v>2016</v>
      </c>
      <c r="C655" t="s">
        <v>219</v>
      </c>
      <c r="D655" t="s">
        <v>1239</v>
      </c>
      <c r="E655" t="s">
        <v>955</v>
      </c>
      <c r="F655" t="s">
        <v>956</v>
      </c>
      <c r="G655">
        <v>2</v>
      </c>
      <c r="H655" t="s">
        <v>842</v>
      </c>
      <c r="I655">
        <v>15</v>
      </c>
      <c r="J655" s="40">
        <v>321.73</v>
      </c>
      <c r="K655">
        <v>2</v>
      </c>
    </row>
    <row r="656" spans="1:11" x14ac:dyDescent="0.35">
      <c r="A656">
        <v>654</v>
      </c>
      <c r="B656">
        <v>2016</v>
      </c>
      <c r="C656" t="s">
        <v>219</v>
      </c>
      <c r="D656" t="s">
        <v>1239</v>
      </c>
      <c r="E656" t="s">
        <v>957</v>
      </c>
      <c r="F656" t="s">
        <v>1240</v>
      </c>
      <c r="G656">
        <v>2</v>
      </c>
      <c r="H656" t="s">
        <v>842</v>
      </c>
      <c r="I656">
        <v>15</v>
      </c>
      <c r="J656" s="40">
        <v>323.76</v>
      </c>
      <c r="K656">
        <v>2</v>
      </c>
    </row>
    <row r="657" spans="1:11" x14ac:dyDescent="0.35">
      <c r="A657">
        <v>655</v>
      </c>
      <c r="B657">
        <v>2016</v>
      </c>
      <c r="C657" t="s">
        <v>219</v>
      </c>
      <c r="D657" t="s">
        <v>1239</v>
      </c>
      <c r="E657" t="s">
        <v>953</v>
      </c>
      <c r="F657" t="s">
        <v>954</v>
      </c>
      <c r="G657">
        <v>2</v>
      </c>
      <c r="H657" t="s">
        <v>842</v>
      </c>
      <c r="I657">
        <v>15</v>
      </c>
      <c r="J657" s="40">
        <v>327.37</v>
      </c>
      <c r="K657">
        <v>2</v>
      </c>
    </row>
    <row r="658" spans="1:11" x14ac:dyDescent="0.35">
      <c r="A658">
        <v>656</v>
      </c>
      <c r="B658">
        <v>2016</v>
      </c>
      <c r="C658" t="s">
        <v>219</v>
      </c>
      <c r="D658" t="s">
        <v>1239</v>
      </c>
      <c r="E658" t="s">
        <v>950</v>
      </c>
      <c r="F658" t="s">
        <v>952</v>
      </c>
      <c r="G658">
        <v>2</v>
      </c>
      <c r="H658" t="s">
        <v>842</v>
      </c>
      <c r="I658">
        <v>15</v>
      </c>
      <c r="J658" s="40">
        <v>332.09</v>
      </c>
      <c r="K658">
        <v>2</v>
      </c>
    </row>
    <row r="659" spans="1:11" x14ac:dyDescent="0.35">
      <c r="A659">
        <v>657</v>
      </c>
      <c r="B659">
        <v>2016</v>
      </c>
      <c r="C659" t="s">
        <v>219</v>
      </c>
      <c r="D659" t="s">
        <v>1239</v>
      </c>
      <c r="E659" t="s">
        <v>959</v>
      </c>
      <c r="F659" t="s">
        <v>960</v>
      </c>
      <c r="G659">
        <v>2</v>
      </c>
      <c r="H659" t="s">
        <v>842</v>
      </c>
      <c r="I659">
        <v>16</v>
      </c>
      <c r="J659" s="40">
        <v>229.9</v>
      </c>
      <c r="K659">
        <v>2</v>
      </c>
    </row>
    <row r="660" spans="1:11" x14ac:dyDescent="0.35">
      <c r="A660">
        <v>658</v>
      </c>
      <c r="B660">
        <v>2016</v>
      </c>
      <c r="C660" t="s">
        <v>219</v>
      </c>
      <c r="D660" t="s">
        <v>1239</v>
      </c>
      <c r="E660" t="s">
        <v>955</v>
      </c>
      <c r="F660" t="s">
        <v>956</v>
      </c>
      <c r="G660">
        <v>2</v>
      </c>
      <c r="H660" t="s">
        <v>842</v>
      </c>
      <c r="I660">
        <v>16</v>
      </c>
      <c r="J660" s="40">
        <v>237.69</v>
      </c>
      <c r="K660">
        <v>2</v>
      </c>
    </row>
    <row r="661" spans="1:11" x14ac:dyDescent="0.35">
      <c r="A661">
        <v>659</v>
      </c>
      <c r="B661">
        <v>2016</v>
      </c>
      <c r="C661" t="s">
        <v>219</v>
      </c>
      <c r="D661" t="s">
        <v>1239</v>
      </c>
      <c r="E661" t="s">
        <v>957</v>
      </c>
      <c r="F661" t="s">
        <v>1240</v>
      </c>
      <c r="G661">
        <v>2</v>
      </c>
      <c r="H661" t="s">
        <v>842</v>
      </c>
      <c r="I661">
        <v>16</v>
      </c>
      <c r="J661" s="40">
        <v>239.2</v>
      </c>
      <c r="K661">
        <v>2</v>
      </c>
    </row>
    <row r="662" spans="1:11" x14ac:dyDescent="0.35">
      <c r="A662">
        <v>660</v>
      </c>
      <c r="B662">
        <v>2016</v>
      </c>
      <c r="C662" t="s">
        <v>219</v>
      </c>
      <c r="D662" t="s">
        <v>1280</v>
      </c>
      <c r="E662" t="s">
        <v>1107</v>
      </c>
      <c r="F662" t="s">
        <v>1131</v>
      </c>
      <c r="G662">
        <v>2</v>
      </c>
      <c r="H662" t="s">
        <v>842</v>
      </c>
      <c r="I662">
        <v>16</v>
      </c>
      <c r="J662" s="40">
        <v>240.23</v>
      </c>
      <c r="K662">
        <v>1</v>
      </c>
    </row>
    <row r="663" spans="1:11" x14ac:dyDescent="0.35">
      <c r="A663">
        <v>661</v>
      </c>
      <c r="B663">
        <v>2016</v>
      </c>
      <c r="C663" t="s">
        <v>219</v>
      </c>
      <c r="D663" t="s">
        <v>1280</v>
      </c>
      <c r="E663" t="s">
        <v>1108</v>
      </c>
      <c r="F663" t="s">
        <v>1281</v>
      </c>
      <c r="G663">
        <v>2</v>
      </c>
      <c r="H663" t="s">
        <v>842</v>
      </c>
      <c r="I663">
        <v>16</v>
      </c>
      <c r="J663" s="40">
        <v>240.23</v>
      </c>
      <c r="K663">
        <v>1</v>
      </c>
    </row>
    <row r="664" spans="1:11" x14ac:dyDescent="0.35">
      <c r="A664">
        <v>662</v>
      </c>
      <c r="B664">
        <v>2016</v>
      </c>
      <c r="C664" t="s">
        <v>219</v>
      </c>
      <c r="D664" t="s">
        <v>1239</v>
      </c>
      <c r="E664" t="s">
        <v>953</v>
      </c>
      <c r="F664" t="s">
        <v>954</v>
      </c>
      <c r="G664">
        <v>2</v>
      </c>
      <c r="H664" t="s">
        <v>842</v>
      </c>
      <c r="I664">
        <v>16</v>
      </c>
      <c r="J664" s="40">
        <v>241.86</v>
      </c>
      <c r="K664">
        <v>2</v>
      </c>
    </row>
    <row r="665" spans="1:11" x14ac:dyDescent="0.35">
      <c r="A665">
        <v>663</v>
      </c>
      <c r="B665">
        <v>2016</v>
      </c>
      <c r="C665" t="s">
        <v>219</v>
      </c>
      <c r="D665" t="s">
        <v>1239</v>
      </c>
      <c r="E665" t="s">
        <v>950</v>
      </c>
      <c r="F665" t="s">
        <v>952</v>
      </c>
      <c r="G665">
        <v>2</v>
      </c>
      <c r="H665" t="s">
        <v>842</v>
      </c>
      <c r="I665">
        <v>16</v>
      </c>
      <c r="J665" s="40">
        <v>245.35</v>
      </c>
      <c r="K665">
        <v>2</v>
      </c>
    </row>
    <row r="666" spans="1:11" x14ac:dyDescent="0.35">
      <c r="A666">
        <v>664</v>
      </c>
      <c r="B666">
        <v>2016</v>
      </c>
      <c r="C666" t="s">
        <v>219</v>
      </c>
      <c r="D666" t="s">
        <v>1280</v>
      </c>
      <c r="E666" t="s">
        <v>1110</v>
      </c>
      <c r="F666" t="s">
        <v>1127</v>
      </c>
      <c r="G666">
        <v>2</v>
      </c>
      <c r="H666" t="s">
        <v>842</v>
      </c>
      <c r="I666">
        <v>16</v>
      </c>
      <c r="J666" s="40">
        <v>246.81</v>
      </c>
      <c r="K666">
        <v>1</v>
      </c>
    </row>
    <row r="667" spans="1:11" x14ac:dyDescent="0.35">
      <c r="A667">
        <v>665</v>
      </c>
      <c r="B667">
        <v>2016</v>
      </c>
      <c r="C667" t="s">
        <v>219</v>
      </c>
      <c r="D667" t="s">
        <v>294</v>
      </c>
      <c r="E667" t="s">
        <v>1074</v>
      </c>
      <c r="F667" t="s">
        <v>1263</v>
      </c>
      <c r="G667">
        <v>3</v>
      </c>
      <c r="H667" t="s">
        <v>842</v>
      </c>
      <c r="I667">
        <v>16</v>
      </c>
      <c r="J667" s="40">
        <v>257.45999999999998</v>
      </c>
      <c r="K667">
        <v>1</v>
      </c>
    </row>
  </sheetData>
  <sortState xmlns:xlrd2="http://schemas.microsoft.com/office/spreadsheetml/2017/richdata2" ref="B3:K667">
    <sortCondition descending="1" ref="H3:H667"/>
    <sortCondition ref="I3:I667"/>
    <sortCondition ref="J3:J66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504"/>
  <sheetViews>
    <sheetView workbookViewId="0"/>
  </sheetViews>
  <sheetFormatPr defaultRowHeight="14.5" x14ac:dyDescent="0.35"/>
  <sheetData>
    <row r="1" spans="2:7" x14ac:dyDescent="0.35">
      <c r="D1" t="s">
        <v>311</v>
      </c>
    </row>
    <row r="2" spans="2:7" x14ac:dyDescent="0.35">
      <c r="D2">
        <v>1</v>
      </c>
      <c r="E2">
        <v>2</v>
      </c>
      <c r="F2">
        <v>3</v>
      </c>
      <c r="G2">
        <v>4</v>
      </c>
    </row>
    <row r="3" spans="2:7" x14ac:dyDescent="0.35">
      <c r="B3" s="5" t="s">
        <v>312</v>
      </c>
      <c r="C3" s="5"/>
      <c r="D3" s="17" t="s">
        <v>312</v>
      </c>
      <c r="E3" s="18" t="s">
        <v>200</v>
      </c>
      <c r="F3" s="19">
        <v>1</v>
      </c>
      <c r="G3" s="17">
        <v>9332</v>
      </c>
    </row>
    <row r="4" spans="2:7" x14ac:dyDescent="0.35">
      <c r="B4" s="5" t="s">
        <v>313</v>
      </c>
      <c r="C4" s="5"/>
      <c r="D4" s="17" t="s">
        <v>313</v>
      </c>
      <c r="E4" s="18" t="s">
        <v>200</v>
      </c>
      <c r="F4" s="19">
        <v>2</v>
      </c>
      <c r="G4" s="17">
        <v>8927</v>
      </c>
    </row>
    <row r="5" spans="2:7" x14ac:dyDescent="0.35">
      <c r="B5" s="5" t="s">
        <v>314</v>
      </c>
      <c r="C5" s="5"/>
      <c r="D5" s="17" t="s">
        <v>314</v>
      </c>
      <c r="E5" s="18" t="s">
        <v>200</v>
      </c>
      <c r="F5" s="19">
        <v>3</v>
      </c>
      <c r="G5" s="17">
        <v>2997</v>
      </c>
    </row>
    <row r="6" spans="2:7" x14ac:dyDescent="0.35">
      <c r="B6" s="5" t="s">
        <v>315</v>
      </c>
      <c r="C6" s="5"/>
      <c r="D6" s="17" t="s">
        <v>315</v>
      </c>
      <c r="E6" s="18" t="s">
        <v>205</v>
      </c>
      <c r="F6" s="19">
        <v>1</v>
      </c>
      <c r="G6" s="17">
        <v>3525</v>
      </c>
    </row>
    <row r="7" spans="2:7" x14ac:dyDescent="0.35">
      <c r="B7" s="5" t="s">
        <v>316</v>
      </c>
      <c r="C7" s="5"/>
      <c r="D7" s="17" t="s">
        <v>316</v>
      </c>
      <c r="E7" s="18" t="s">
        <v>205</v>
      </c>
      <c r="F7" s="19">
        <v>2</v>
      </c>
      <c r="G7" s="17">
        <v>4832</v>
      </c>
    </row>
    <row r="8" spans="2:7" x14ac:dyDescent="0.35">
      <c r="B8" s="5" t="s">
        <v>317</v>
      </c>
      <c r="C8" s="5"/>
      <c r="D8" s="17" t="s">
        <v>317</v>
      </c>
      <c r="E8" s="18" t="s">
        <v>205</v>
      </c>
      <c r="F8" s="19">
        <v>3</v>
      </c>
      <c r="G8" s="17">
        <v>40039</v>
      </c>
    </row>
    <row r="9" spans="2:7" x14ac:dyDescent="0.35">
      <c r="B9" s="5" t="s">
        <v>318</v>
      </c>
      <c r="C9" s="5"/>
      <c r="D9" s="17" t="s">
        <v>318</v>
      </c>
      <c r="E9" s="18" t="s">
        <v>205</v>
      </c>
      <c r="F9" s="19">
        <v>4</v>
      </c>
      <c r="G9" s="17">
        <v>1767</v>
      </c>
    </row>
    <row r="10" spans="2:7" x14ac:dyDescent="0.35">
      <c r="B10" s="5" t="s">
        <v>319</v>
      </c>
      <c r="C10" s="5"/>
      <c r="D10" s="17" t="s">
        <v>319</v>
      </c>
      <c r="E10" s="18" t="s">
        <v>205</v>
      </c>
      <c r="F10" s="19">
        <v>5</v>
      </c>
      <c r="G10" s="17">
        <v>5585</v>
      </c>
    </row>
    <row r="11" spans="2:7" x14ac:dyDescent="0.35">
      <c r="B11" s="5" t="s">
        <v>320</v>
      </c>
      <c r="C11" s="5"/>
      <c r="D11" s="17" t="s">
        <v>320</v>
      </c>
      <c r="E11" s="18" t="s">
        <v>205</v>
      </c>
      <c r="F11" s="19">
        <v>6</v>
      </c>
      <c r="G11" s="17">
        <v>5353</v>
      </c>
    </row>
    <row r="12" spans="2:7" x14ac:dyDescent="0.35">
      <c r="B12" s="5" t="s">
        <v>321</v>
      </c>
      <c r="C12" s="5"/>
      <c r="D12" s="17" t="s">
        <v>321</v>
      </c>
      <c r="E12" s="18" t="s">
        <v>205</v>
      </c>
      <c r="F12" s="19">
        <v>7</v>
      </c>
      <c r="G12" s="17">
        <v>5130</v>
      </c>
    </row>
    <row r="13" spans="2:7" x14ac:dyDescent="0.35">
      <c r="B13" s="5" t="s">
        <v>322</v>
      </c>
      <c r="C13" s="5"/>
      <c r="D13" s="17" t="s">
        <v>322</v>
      </c>
      <c r="E13" s="18" t="s">
        <v>205</v>
      </c>
      <c r="F13" s="19">
        <v>8</v>
      </c>
      <c r="G13" s="17">
        <v>4024</v>
      </c>
    </row>
    <row r="14" spans="2:7" x14ac:dyDescent="0.35">
      <c r="B14" s="5" t="s">
        <v>323</v>
      </c>
      <c r="C14" s="5"/>
      <c r="D14" s="17" t="s">
        <v>323</v>
      </c>
      <c r="E14" s="18" t="s">
        <v>205</v>
      </c>
      <c r="F14" s="19">
        <v>9</v>
      </c>
      <c r="G14" s="17">
        <v>16232</v>
      </c>
    </row>
    <row r="15" spans="2:7" x14ac:dyDescent="0.35">
      <c r="B15" s="5" t="s">
        <v>324</v>
      </c>
      <c r="C15" s="5"/>
      <c r="D15" s="17" t="s">
        <v>324</v>
      </c>
      <c r="E15" s="18" t="s">
        <v>205</v>
      </c>
      <c r="F15" s="19">
        <v>10</v>
      </c>
      <c r="G15" s="17">
        <v>18043</v>
      </c>
    </row>
    <row r="16" spans="2:7" x14ac:dyDescent="0.35">
      <c r="B16" s="5" t="s">
        <v>325</v>
      </c>
      <c r="C16" s="5"/>
      <c r="D16" s="17" t="s">
        <v>325</v>
      </c>
      <c r="E16" s="18" t="s">
        <v>205</v>
      </c>
      <c r="F16" s="19">
        <v>11</v>
      </c>
      <c r="G16" s="17">
        <v>12922</v>
      </c>
    </row>
    <row r="17" spans="2:7" x14ac:dyDescent="0.35">
      <c r="B17" s="5" t="s">
        <v>326</v>
      </c>
      <c r="C17" s="5"/>
      <c r="D17" s="17" t="s">
        <v>326</v>
      </c>
      <c r="E17" s="18" t="s">
        <v>205</v>
      </c>
      <c r="F17" s="19">
        <v>12</v>
      </c>
      <c r="G17" s="17">
        <v>6350</v>
      </c>
    </row>
    <row r="18" spans="2:7" x14ac:dyDescent="0.35">
      <c r="B18" s="5" t="s">
        <v>327</v>
      </c>
      <c r="C18" s="5"/>
      <c r="D18" s="17" t="s">
        <v>327</v>
      </c>
      <c r="E18" s="18" t="s">
        <v>205</v>
      </c>
      <c r="F18" s="19">
        <v>13</v>
      </c>
      <c r="G18" s="17">
        <v>47819</v>
      </c>
    </row>
    <row r="19" spans="2:7" x14ac:dyDescent="0.35">
      <c r="B19" s="5" t="s">
        <v>328</v>
      </c>
      <c r="C19" s="5"/>
      <c r="D19" s="17" t="s">
        <v>328</v>
      </c>
      <c r="E19" s="18" t="s">
        <v>206</v>
      </c>
      <c r="F19" s="19">
        <v>1</v>
      </c>
      <c r="G19" s="17">
        <v>20938</v>
      </c>
    </row>
    <row r="20" spans="2:7" x14ac:dyDescent="0.35">
      <c r="B20" s="5" t="s">
        <v>329</v>
      </c>
      <c r="C20" s="5"/>
      <c r="D20" s="17" t="s">
        <v>329</v>
      </c>
      <c r="E20" s="18" t="s">
        <v>206</v>
      </c>
      <c r="F20" s="19">
        <v>2</v>
      </c>
      <c r="G20" s="17">
        <v>9643</v>
      </c>
    </row>
    <row r="21" spans="2:7" x14ac:dyDescent="0.35">
      <c r="B21" s="5" t="s">
        <v>330</v>
      </c>
      <c r="C21" s="5"/>
      <c r="D21" s="17" t="s">
        <v>330</v>
      </c>
      <c r="E21" s="18" t="s">
        <v>206</v>
      </c>
      <c r="F21" s="19">
        <v>3</v>
      </c>
      <c r="G21" s="17">
        <v>16092</v>
      </c>
    </row>
    <row r="22" spans="2:7" x14ac:dyDescent="0.35">
      <c r="B22" s="5" t="s">
        <v>331</v>
      </c>
      <c r="C22" s="5"/>
      <c r="D22" s="17" t="s">
        <v>331</v>
      </c>
      <c r="E22" s="18" t="s">
        <v>206</v>
      </c>
      <c r="F22" s="19">
        <v>4</v>
      </c>
      <c r="G22" s="17">
        <v>4723</v>
      </c>
    </row>
    <row r="23" spans="2:7" x14ac:dyDescent="0.35">
      <c r="B23" s="5" t="s">
        <v>332</v>
      </c>
      <c r="C23" s="5"/>
      <c r="D23" s="17" t="s">
        <v>332</v>
      </c>
      <c r="E23" s="18" t="s">
        <v>206</v>
      </c>
      <c r="F23" s="19">
        <v>5</v>
      </c>
      <c r="G23" s="17">
        <v>4914</v>
      </c>
    </row>
    <row r="24" spans="2:7" x14ac:dyDescent="0.35">
      <c r="B24" s="5" t="s">
        <v>333</v>
      </c>
      <c r="C24" s="5"/>
      <c r="D24" s="17" t="s">
        <v>333</v>
      </c>
      <c r="E24" s="18" t="s">
        <v>206</v>
      </c>
      <c r="F24" s="19">
        <v>6</v>
      </c>
      <c r="G24" s="17">
        <v>4046</v>
      </c>
    </row>
    <row r="25" spans="2:7" x14ac:dyDescent="0.35">
      <c r="B25" s="5" t="s">
        <v>334</v>
      </c>
      <c r="C25" s="5"/>
      <c r="D25" s="17" t="s">
        <v>334</v>
      </c>
      <c r="E25" s="18" t="s">
        <v>206</v>
      </c>
      <c r="F25" s="19">
        <v>7</v>
      </c>
      <c r="G25" s="17">
        <v>5320</v>
      </c>
    </row>
    <row r="26" spans="2:7" x14ac:dyDescent="0.35">
      <c r="B26" s="5" t="s">
        <v>335</v>
      </c>
      <c r="C26" s="5"/>
      <c r="D26" s="17" t="s">
        <v>335</v>
      </c>
      <c r="E26" s="18" t="s">
        <v>207</v>
      </c>
      <c r="F26" s="19">
        <v>1</v>
      </c>
      <c r="G26" s="17">
        <v>12260</v>
      </c>
    </row>
    <row r="27" spans="2:7" x14ac:dyDescent="0.35">
      <c r="B27" s="5" t="s">
        <v>336</v>
      </c>
      <c r="C27" s="5"/>
      <c r="D27" s="17" t="s">
        <v>336</v>
      </c>
      <c r="E27" s="18" t="s">
        <v>207</v>
      </c>
      <c r="F27" s="19">
        <v>2</v>
      </c>
      <c r="G27" s="17">
        <v>9046</v>
      </c>
    </row>
    <row r="28" spans="2:7" x14ac:dyDescent="0.35">
      <c r="B28" s="5" t="s">
        <v>337</v>
      </c>
      <c r="C28" s="5"/>
      <c r="D28" s="17" t="s">
        <v>337</v>
      </c>
      <c r="E28" s="18" t="s">
        <v>207</v>
      </c>
      <c r="F28" s="19">
        <v>3</v>
      </c>
      <c r="G28" s="17">
        <v>4724</v>
      </c>
    </row>
    <row r="29" spans="2:7" x14ac:dyDescent="0.35">
      <c r="B29" s="5" t="s">
        <v>338</v>
      </c>
      <c r="C29" s="5"/>
      <c r="D29" s="17" t="s">
        <v>338</v>
      </c>
      <c r="E29" s="18" t="s">
        <v>207</v>
      </c>
      <c r="F29" s="19">
        <v>4</v>
      </c>
      <c r="G29" s="17">
        <v>129539</v>
      </c>
    </row>
    <row r="30" spans="2:7" x14ac:dyDescent="0.35">
      <c r="B30" s="5" t="s">
        <v>339</v>
      </c>
      <c r="C30" s="5"/>
      <c r="D30" s="17" t="s">
        <v>339</v>
      </c>
      <c r="E30" s="18" t="s">
        <v>207</v>
      </c>
      <c r="F30" s="19">
        <v>5</v>
      </c>
      <c r="G30" s="17">
        <v>11821</v>
      </c>
    </row>
    <row r="31" spans="2:7" x14ac:dyDescent="0.35">
      <c r="B31" s="5" t="s">
        <v>340</v>
      </c>
      <c r="C31" s="5"/>
      <c r="D31" s="17" t="s">
        <v>340</v>
      </c>
      <c r="E31" s="18" t="s">
        <v>207</v>
      </c>
      <c r="F31" s="19">
        <v>6</v>
      </c>
      <c r="G31" s="17">
        <v>34089</v>
      </c>
    </row>
    <row r="32" spans="2:7" x14ac:dyDescent="0.35">
      <c r="B32" s="5" t="s">
        <v>341</v>
      </c>
      <c r="C32" s="5"/>
      <c r="D32" s="17" t="s">
        <v>341</v>
      </c>
      <c r="E32" s="18" t="s">
        <v>207</v>
      </c>
      <c r="F32" s="19">
        <v>7</v>
      </c>
      <c r="G32" s="17">
        <v>4174</v>
      </c>
    </row>
    <row r="33" spans="2:7" x14ac:dyDescent="0.35">
      <c r="B33" s="5" t="s">
        <v>342</v>
      </c>
      <c r="C33" s="5"/>
      <c r="D33" s="17" t="s">
        <v>343</v>
      </c>
      <c r="E33" s="18" t="s">
        <v>210</v>
      </c>
      <c r="F33" s="19">
        <v>1</v>
      </c>
      <c r="G33" s="17">
        <v>25035</v>
      </c>
    </row>
    <row r="34" spans="2:7" x14ac:dyDescent="0.35">
      <c r="B34" s="5" t="s">
        <v>344</v>
      </c>
      <c r="C34" s="5"/>
      <c r="D34" s="17" t="s">
        <v>345</v>
      </c>
      <c r="E34" s="18" t="s">
        <v>212</v>
      </c>
      <c r="F34" s="19">
        <v>1</v>
      </c>
      <c r="G34" s="17">
        <v>12719</v>
      </c>
    </row>
    <row r="35" spans="2:7" x14ac:dyDescent="0.35">
      <c r="B35" s="5" t="s">
        <v>346</v>
      </c>
      <c r="C35" s="5"/>
      <c r="D35" s="17" t="s">
        <v>347</v>
      </c>
      <c r="E35" s="18" t="s">
        <v>212</v>
      </c>
      <c r="F35" s="19">
        <v>2</v>
      </c>
      <c r="G35" s="17">
        <v>837</v>
      </c>
    </row>
    <row r="36" spans="2:7" x14ac:dyDescent="0.35">
      <c r="B36" s="5" t="s">
        <v>348</v>
      </c>
      <c r="C36" s="5"/>
      <c r="D36" s="17" t="s">
        <v>349</v>
      </c>
      <c r="E36" s="18" t="s">
        <v>212</v>
      </c>
      <c r="F36" s="19">
        <v>3</v>
      </c>
      <c r="G36" s="17">
        <v>9030</v>
      </c>
    </row>
    <row r="37" spans="2:7" x14ac:dyDescent="0.35">
      <c r="B37" s="5" t="s">
        <v>350</v>
      </c>
      <c r="C37" s="5"/>
      <c r="D37" s="17" t="s">
        <v>351</v>
      </c>
      <c r="E37" s="18" t="s">
        <v>212</v>
      </c>
      <c r="F37" s="19">
        <v>4</v>
      </c>
      <c r="G37" s="17">
        <v>990</v>
      </c>
    </row>
    <row r="38" spans="2:7" x14ac:dyDescent="0.35">
      <c r="B38" s="5" t="s">
        <v>352</v>
      </c>
      <c r="C38" s="5"/>
      <c r="D38" s="17" t="s">
        <v>353</v>
      </c>
      <c r="E38" s="18" t="s">
        <v>212</v>
      </c>
      <c r="F38" s="19">
        <v>5</v>
      </c>
      <c r="G38" s="17">
        <v>30364</v>
      </c>
    </row>
    <row r="39" spans="2:7" x14ac:dyDescent="0.35">
      <c r="B39" s="5" t="s">
        <v>354</v>
      </c>
      <c r="C39" s="5"/>
      <c r="D39" s="17" t="s">
        <v>355</v>
      </c>
      <c r="E39" s="18" t="s">
        <v>212</v>
      </c>
      <c r="F39" s="19">
        <v>6</v>
      </c>
      <c r="G39" s="17">
        <v>222210</v>
      </c>
    </row>
    <row r="40" spans="2:7" x14ac:dyDescent="0.35">
      <c r="B40" s="5" t="s">
        <v>356</v>
      </c>
      <c r="C40" s="5"/>
      <c r="D40" s="17" t="s">
        <v>357</v>
      </c>
      <c r="E40" s="18" t="s">
        <v>212</v>
      </c>
      <c r="F40" s="19">
        <v>7</v>
      </c>
      <c r="G40" s="17">
        <v>439</v>
      </c>
    </row>
    <row r="41" spans="2:7" x14ac:dyDescent="0.35">
      <c r="B41" s="5" t="s">
        <v>358</v>
      </c>
      <c r="C41" s="5"/>
      <c r="D41" s="17" t="s">
        <v>359</v>
      </c>
      <c r="E41" s="18" t="s">
        <v>212</v>
      </c>
      <c r="F41" s="19">
        <v>8</v>
      </c>
      <c r="G41" s="17">
        <v>9548</v>
      </c>
    </row>
    <row r="42" spans="2:7" x14ac:dyDescent="0.35">
      <c r="B42" s="5" t="s">
        <v>360</v>
      </c>
      <c r="C42" s="5"/>
      <c r="D42" s="17" t="s">
        <v>361</v>
      </c>
      <c r="E42" s="18" t="s">
        <v>212</v>
      </c>
      <c r="F42" s="19">
        <v>9</v>
      </c>
      <c r="G42" s="17">
        <v>8101</v>
      </c>
    </row>
    <row r="43" spans="2:7" x14ac:dyDescent="0.35">
      <c r="B43" s="5" t="s">
        <v>362</v>
      </c>
      <c r="C43" s="5"/>
      <c r="D43" s="17" t="s">
        <v>363</v>
      </c>
      <c r="E43" s="18" t="s">
        <v>212</v>
      </c>
      <c r="F43" s="19">
        <v>10</v>
      </c>
      <c r="G43" s="17">
        <v>8710</v>
      </c>
    </row>
    <row r="44" spans="2:7" x14ac:dyDescent="0.35">
      <c r="B44" s="5" t="s">
        <v>364</v>
      </c>
      <c r="C44" s="5"/>
      <c r="D44" s="17" t="s">
        <v>365</v>
      </c>
      <c r="E44" s="18" t="s">
        <v>212</v>
      </c>
      <c r="F44" s="19">
        <v>11</v>
      </c>
      <c r="G44" s="17">
        <v>23284</v>
      </c>
    </row>
    <row r="45" spans="2:7" x14ac:dyDescent="0.35">
      <c r="B45" s="5" t="s">
        <v>366</v>
      </c>
      <c r="C45" s="5"/>
      <c r="D45" s="17" t="s">
        <v>367</v>
      </c>
      <c r="E45" s="18" t="s">
        <v>212</v>
      </c>
      <c r="F45" s="19">
        <v>12</v>
      </c>
      <c r="G45" s="17">
        <v>2761</v>
      </c>
    </row>
    <row r="46" spans="2:7" x14ac:dyDescent="0.35">
      <c r="B46" s="5" t="s">
        <v>368</v>
      </c>
      <c r="C46" s="5"/>
      <c r="D46" s="17" t="s">
        <v>369</v>
      </c>
      <c r="E46" s="18" t="s">
        <v>212</v>
      </c>
      <c r="F46" s="19">
        <v>13</v>
      </c>
      <c r="G46" s="17">
        <v>1164</v>
      </c>
    </row>
    <row r="47" spans="2:7" x14ac:dyDescent="0.35">
      <c r="B47" s="5" t="s">
        <v>370</v>
      </c>
      <c r="C47" s="5"/>
      <c r="D47" s="17" t="s">
        <v>371</v>
      </c>
      <c r="E47" s="18" t="s">
        <v>212</v>
      </c>
      <c r="F47" s="19">
        <v>14</v>
      </c>
      <c r="G47" s="17">
        <v>506</v>
      </c>
    </row>
    <row r="48" spans="2:7" x14ac:dyDescent="0.35">
      <c r="B48" s="5" t="s">
        <v>372</v>
      </c>
      <c r="C48" s="5"/>
      <c r="D48" s="17" t="s">
        <v>373</v>
      </c>
      <c r="E48" s="18" t="s">
        <v>212</v>
      </c>
      <c r="F48" s="19">
        <v>15</v>
      </c>
      <c r="G48" s="17">
        <v>55033</v>
      </c>
    </row>
    <row r="49" spans="2:7" x14ac:dyDescent="0.35">
      <c r="B49" s="5" t="s">
        <v>374</v>
      </c>
      <c r="C49" s="5"/>
      <c r="D49" s="17" t="s">
        <v>375</v>
      </c>
      <c r="E49" s="18" t="s">
        <v>212</v>
      </c>
      <c r="F49" s="19">
        <v>16</v>
      </c>
      <c r="G49" s="17">
        <v>11359</v>
      </c>
    </row>
    <row r="50" spans="2:7" x14ac:dyDescent="0.35">
      <c r="B50" s="5" t="s">
        <v>376</v>
      </c>
      <c r="C50" s="5"/>
      <c r="D50" s="17" t="s">
        <v>377</v>
      </c>
      <c r="E50" s="18" t="s">
        <v>212</v>
      </c>
      <c r="F50" s="19">
        <v>17</v>
      </c>
      <c r="G50" s="17">
        <v>6580</v>
      </c>
    </row>
    <row r="51" spans="2:7" x14ac:dyDescent="0.35">
      <c r="B51" s="5" t="s">
        <v>378</v>
      </c>
      <c r="C51" s="5"/>
      <c r="D51" s="17" t="s">
        <v>379</v>
      </c>
      <c r="E51" s="18" t="s">
        <v>212</v>
      </c>
      <c r="F51" s="19">
        <v>18</v>
      </c>
      <c r="G51" s="17">
        <v>662</v>
      </c>
    </row>
    <row r="52" spans="2:7" x14ac:dyDescent="0.35">
      <c r="B52" s="5" t="s">
        <v>380</v>
      </c>
      <c r="C52" s="5"/>
      <c r="D52" s="17" t="s">
        <v>381</v>
      </c>
      <c r="E52" s="18" t="s">
        <v>212</v>
      </c>
      <c r="F52" s="19">
        <v>19</v>
      </c>
      <c r="G52" s="17">
        <v>2000</v>
      </c>
    </row>
    <row r="53" spans="2:7" x14ac:dyDescent="0.35">
      <c r="B53" s="5" t="s">
        <v>382</v>
      </c>
      <c r="C53" s="5"/>
      <c r="D53" s="17" t="s">
        <v>383</v>
      </c>
      <c r="E53" s="18" t="s">
        <v>212</v>
      </c>
      <c r="F53" s="19">
        <v>20</v>
      </c>
      <c r="G53" s="17">
        <v>608</v>
      </c>
    </row>
    <row r="54" spans="2:7" x14ac:dyDescent="0.35">
      <c r="B54" s="5" t="s">
        <v>384</v>
      </c>
      <c r="C54" s="5"/>
      <c r="D54" s="17" t="s">
        <v>385</v>
      </c>
      <c r="E54" s="18" t="s">
        <v>212</v>
      </c>
      <c r="F54" s="19">
        <v>21</v>
      </c>
      <c r="G54" s="17">
        <v>385</v>
      </c>
    </row>
    <row r="55" spans="2:7" x14ac:dyDescent="0.35">
      <c r="B55" s="5" t="s">
        <v>386</v>
      </c>
      <c r="C55" s="5"/>
      <c r="D55" s="17" t="s">
        <v>387</v>
      </c>
      <c r="E55" s="18" t="s">
        <v>212</v>
      </c>
      <c r="F55" s="19">
        <v>22</v>
      </c>
      <c r="G55" s="17">
        <v>671</v>
      </c>
    </row>
    <row r="56" spans="2:7" x14ac:dyDescent="0.35">
      <c r="B56" s="5" t="s">
        <v>388</v>
      </c>
      <c r="C56" s="5"/>
      <c r="D56" s="17" t="s">
        <v>389</v>
      </c>
      <c r="E56" s="18" t="s">
        <v>212</v>
      </c>
      <c r="F56" s="19">
        <v>23</v>
      </c>
      <c r="G56" s="17">
        <v>456</v>
      </c>
    </row>
    <row r="57" spans="2:7" x14ac:dyDescent="0.35">
      <c r="B57" s="5" t="s">
        <v>390</v>
      </c>
      <c r="C57" s="5"/>
      <c r="D57" s="17" t="s">
        <v>391</v>
      </c>
      <c r="E57" s="18" t="s">
        <v>212</v>
      </c>
      <c r="F57" s="19">
        <v>24</v>
      </c>
      <c r="G57" s="17">
        <v>1088</v>
      </c>
    </row>
    <row r="58" spans="2:7" x14ac:dyDescent="0.35">
      <c r="B58" s="5" t="s">
        <v>392</v>
      </c>
      <c r="C58" s="5"/>
      <c r="D58" s="17" t="s">
        <v>393</v>
      </c>
      <c r="E58" s="18" t="s">
        <v>212</v>
      </c>
      <c r="F58" s="19">
        <v>25</v>
      </c>
      <c r="G58" s="17">
        <v>1986</v>
      </c>
    </row>
    <row r="59" spans="2:7" x14ac:dyDescent="0.35">
      <c r="B59" s="5" t="s">
        <v>394</v>
      </c>
      <c r="C59" s="5"/>
      <c r="D59" s="17" t="s">
        <v>395</v>
      </c>
      <c r="E59" s="18" t="s">
        <v>212</v>
      </c>
      <c r="F59" s="19">
        <v>26</v>
      </c>
      <c r="G59" s="17">
        <v>9870</v>
      </c>
    </row>
    <row r="60" spans="2:7" x14ac:dyDescent="0.35">
      <c r="B60" s="5" t="s">
        <v>396</v>
      </c>
      <c r="C60" s="5"/>
      <c r="D60" s="17" t="s">
        <v>397</v>
      </c>
      <c r="E60" s="18" t="s">
        <v>212</v>
      </c>
      <c r="F60" s="19">
        <v>27</v>
      </c>
      <c r="G60" s="17">
        <v>4352</v>
      </c>
    </row>
    <row r="61" spans="2:7" x14ac:dyDescent="0.35">
      <c r="B61" s="5" t="s">
        <v>398</v>
      </c>
      <c r="C61" s="5"/>
      <c r="D61" s="17" t="s">
        <v>399</v>
      </c>
      <c r="E61" s="18" t="s">
        <v>212</v>
      </c>
      <c r="F61" s="19">
        <v>28</v>
      </c>
      <c r="G61" s="17">
        <v>77256</v>
      </c>
    </row>
    <row r="62" spans="2:7" x14ac:dyDescent="0.35">
      <c r="B62" s="5" t="s">
        <v>400</v>
      </c>
      <c r="C62" s="5"/>
      <c r="D62" s="17" t="s">
        <v>401</v>
      </c>
      <c r="E62" s="18" t="s">
        <v>212</v>
      </c>
      <c r="F62" s="19">
        <v>29</v>
      </c>
      <c r="G62" s="17">
        <v>676</v>
      </c>
    </row>
    <row r="63" spans="2:7" x14ac:dyDescent="0.35">
      <c r="B63" s="5" t="s">
        <v>402</v>
      </c>
      <c r="C63" s="5"/>
      <c r="D63" s="17" t="s">
        <v>403</v>
      </c>
      <c r="E63" s="18" t="s">
        <v>212</v>
      </c>
      <c r="F63" s="19">
        <v>30</v>
      </c>
      <c r="G63" s="17">
        <v>8473</v>
      </c>
    </row>
    <row r="64" spans="2:7" x14ac:dyDescent="0.35">
      <c r="B64" s="5" t="s">
        <v>404</v>
      </c>
      <c r="C64" s="5"/>
      <c r="D64" s="17" t="s">
        <v>405</v>
      </c>
      <c r="E64" s="18" t="s">
        <v>212</v>
      </c>
      <c r="F64" s="19">
        <v>31</v>
      </c>
      <c r="G64" s="17">
        <v>1630</v>
      </c>
    </row>
    <row r="65" spans="2:7" x14ac:dyDescent="0.35">
      <c r="B65" s="5" t="s">
        <v>406</v>
      </c>
      <c r="C65" s="5"/>
      <c r="D65" s="17" t="s">
        <v>407</v>
      </c>
      <c r="E65" s="18" t="s">
        <v>212</v>
      </c>
      <c r="F65" s="19">
        <v>32</v>
      </c>
      <c r="G65" s="17">
        <v>614</v>
      </c>
    </row>
    <row r="66" spans="2:7" x14ac:dyDescent="0.35">
      <c r="B66" s="5" t="s">
        <v>408</v>
      </c>
      <c r="C66" s="5"/>
      <c r="D66" s="17" t="s">
        <v>409</v>
      </c>
      <c r="E66" s="18" t="s">
        <v>212</v>
      </c>
      <c r="F66" s="19">
        <v>33</v>
      </c>
      <c r="G66" s="17">
        <v>287</v>
      </c>
    </row>
    <row r="67" spans="2:7" x14ac:dyDescent="0.35">
      <c r="B67" s="5" t="s">
        <v>410</v>
      </c>
      <c r="C67" s="5"/>
      <c r="D67" s="17" t="s">
        <v>411</v>
      </c>
      <c r="E67" s="18" t="s">
        <v>212</v>
      </c>
      <c r="F67" s="19">
        <v>34</v>
      </c>
      <c r="G67" s="17">
        <v>18139</v>
      </c>
    </row>
    <row r="68" spans="2:7" x14ac:dyDescent="0.35">
      <c r="B68" s="5" t="s">
        <v>412</v>
      </c>
      <c r="C68" s="5"/>
      <c r="D68" s="17" t="s">
        <v>413</v>
      </c>
      <c r="E68" s="18" t="s">
        <v>212</v>
      </c>
      <c r="F68" s="19">
        <v>35</v>
      </c>
      <c r="G68" s="17">
        <v>41621</v>
      </c>
    </row>
    <row r="69" spans="2:7" x14ac:dyDescent="0.35">
      <c r="B69" s="5" t="s">
        <v>414</v>
      </c>
      <c r="C69" s="5"/>
      <c r="D69" s="17" t="s">
        <v>415</v>
      </c>
      <c r="E69" s="18" t="s">
        <v>212</v>
      </c>
      <c r="F69" s="19">
        <v>36</v>
      </c>
      <c r="G69" s="17">
        <v>11073</v>
      </c>
    </row>
    <row r="70" spans="2:7" x14ac:dyDescent="0.35">
      <c r="B70" s="5" t="s">
        <v>416</v>
      </c>
      <c r="C70" s="5"/>
      <c r="D70" s="17" t="s">
        <v>417</v>
      </c>
      <c r="E70" s="18" t="s">
        <v>212</v>
      </c>
      <c r="F70" s="19">
        <v>37</v>
      </c>
      <c r="G70" s="17">
        <v>1923</v>
      </c>
    </row>
    <row r="71" spans="2:7" x14ac:dyDescent="0.35">
      <c r="B71" s="5" t="s">
        <v>418</v>
      </c>
      <c r="C71" s="5"/>
      <c r="D71" s="17" t="s">
        <v>419</v>
      </c>
      <c r="E71" s="18" t="s">
        <v>212</v>
      </c>
      <c r="F71" s="19">
        <v>38</v>
      </c>
      <c r="G71" s="17">
        <v>193</v>
      </c>
    </row>
    <row r="72" spans="2:7" x14ac:dyDescent="0.35">
      <c r="B72" s="5" t="s">
        <v>343</v>
      </c>
      <c r="C72" s="5"/>
      <c r="D72" s="17" t="s">
        <v>420</v>
      </c>
      <c r="E72" s="18" t="s">
        <v>212</v>
      </c>
      <c r="F72" s="19">
        <v>39</v>
      </c>
      <c r="G72" s="17">
        <v>766</v>
      </c>
    </row>
    <row r="73" spans="2:7" x14ac:dyDescent="0.35">
      <c r="B73" s="5" t="s">
        <v>345</v>
      </c>
      <c r="C73" s="5"/>
      <c r="D73" s="17" t="s">
        <v>421</v>
      </c>
      <c r="E73" s="18" t="s">
        <v>212</v>
      </c>
      <c r="F73" s="19">
        <v>40</v>
      </c>
      <c r="G73" s="17">
        <v>18520</v>
      </c>
    </row>
    <row r="74" spans="2:7" x14ac:dyDescent="0.35">
      <c r="B74" s="5" t="s">
        <v>347</v>
      </c>
      <c r="C74" s="5"/>
      <c r="D74" s="17" t="s">
        <v>422</v>
      </c>
      <c r="E74" s="18" t="s">
        <v>212</v>
      </c>
      <c r="F74" s="19">
        <v>41</v>
      </c>
      <c r="G74" s="17">
        <v>17726</v>
      </c>
    </row>
    <row r="75" spans="2:7" x14ac:dyDescent="0.35">
      <c r="B75" s="5" t="s">
        <v>349</v>
      </c>
      <c r="C75" s="5"/>
      <c r="D75" s="17" t="s">
        <v>423</v>
      </c>
      <c r="E75" s="18" t="s">
        <v>212</v>
      </c>
      <c r="F75" s="19">
        <v>42</v>
      </c>
      <c r="G75" s="17">
        <v>10192</v>
      </c>
    </row>
    <row r="76" spans="2:7" x14ac:dyDescent="0.35">
      <c r="B76" s="5" t="s">
        <v>351</v>
      </c>
      <c r="C76" s="5"/>
      <c r="D76" s="17" t="s">
        <v>424</v>
      </c>
      <c r="E76" s="18" t="s">
        <v>212</v>
      </c>
      <c r="F76" s="19">
        <v>43</v>
      </c>
      <c r="G76" s="17">
        <v>392442</v>
      </c>
    </row>
    <row r="77" spans="2:7" x14ac:dyDescent="0.35">
      <c r="B77" s="5" t="s">
        <v>353</v>
      </c>
      <c r="C77" s="5"/>
      <c r="D77" s="17" t="s">
        <v>425</v>
      </c>
      <c r="E77" s="18" t="s">
        <v>212</v>
      </c>
      <c r="F77" s="19">
        <v>44</v>
      </c>
      <c r="G77" s="17">
        <v>6971</v>
      </c>
    </row>
    <row r="78" spans="2:7" x14ac:dyDescent="0.35">
      <c r="B78" s="5" t="s">
        <v>355</v>
      </c>
      <c r="C78" s="5"/>
      <c r="D78" s="17" t="s">
        <v>426</v>
      </c>
      <c r="E78" s="18" t="s">
        <v>212</v>
      </c>
      <c r="F78" s="19">
        <v>45</v>
      </c>
      <c r="G78" s="17">
        <v>3695</v>
      </c>
    </row>
    <row r="79" spans="2:7" x14ac:dyDescent="0.35">
      <c r="B79" s="5" t="s">
        <v>357</v>
      </c>
      <c r="C79" s="5"/>
      <c r="D79" s="17" t="s">
        <v>427</v>
      </c>
      <c r="E79" s="18" t="s">
        <v>212</v>
      </c>
      <c r="F79" s="19">
        <v>46</v>
      </c>
      <c r="G79" s="17">
        <v>7307</v>
      </c>
    </row>
    <row r="80" spans="2:7" x14ac:dyDescent="0.35">
      <c r="B80" s="5" t="s">
        <v>359</v>
      </c>
      <c r="C80" s="5"/>
      <c r="D80" s="17" t="s">
        <v>428</v>
      </c>
      <c r="E80" s="18" t="s">
        <v>212</v>
      </c>
      <c r="F80" s="19">
        <v>47</v>
      </c>
      <c r="G80" s="17">
        <v>1502</v>
      </c>
    </row>
    <row r="81" spans="2:7" x14ac:dyDescent="0.35">
      <c r="B81" s="5" t="s">
        <v>361</v>
      </c>
      <c r="C81" s="5"/>
      <c r="D81" s="17" t="s">
        <v>429</v>
      </c>
      <c r="E81" s="18" t="s">
        <v>212</v>
      </c>
      <c r="F81" s="19">
        <v>48</v>
      </c>
      <c r="G81" s="17">
        <v>108585</v>
      </c>
    </row>
    <row r="82" spans="2:7" x14ac:dyDescent="0.35">
      <c r="B82" s="5" t="s">
        <v>363</v>
      </c>
      <c r="C82" s="5"/>
      <c r="D82" s="17" t="s">
        <v>430</v>
      </c>
      <c r="E82" s="18" t="s">
        <v>212</v>
      </c>
      <c r="F82" s="19">
        <v>49</v>
      </c>
      <c r="G82" s="17">
        <v>32583</v>
      </c>
    </row>
    <row r="83" spans="2:7" x14ac:dyDescent="0.35">
      <c r="B83" s="5" t="s">
        <v>365</v>
      </c>
      <c r="C83" s="5"/>
      <c r="D83" s="17" t="s">
        <v>431</v>
      </c>
      <c r="E83" s="18" t="s">
        <v>212</v>
      </c>
      <c r="F83" s="19">
        <v>50</v>
      </c>
      <c r="G83" s="17">
        <v>136968</v>
      </c>
    </row>
    <row r="84" spans="2:7" x14ac:dyDescent="0.35">
      <c r="B84" s="5" t="s">
        <v>367</v>
      </c>
      <c r="C84" s="5"/>
      <c r="D84" s="17" t="s">
        <v>432</v>
      </c>
      <c r="E84" s="18" t="s">
        <v>212</v>
      </c>
      <c r="F84" s="19">
        <v>51</v>
      </c>
      <c r="G84" s="17">
        <v>29467</v>
      </c>
    </row>
    <row r="85" spans="2:7" x14ac:dyDescent="0.35">
      <c r="B85" s="5" t="s">
        <v>369</v>
      </c>
      <c r="C85" s="5"/>
      <c r="D85" s="17" t="s">
        <v>433</v>
      </c>
      <c r="E85" s="18" t="s">
        <v>212</v>
      </c>
      <c r="F85" s="19">
        <v>52</v>
      </c>
      <c r="G85" s="17">
        <v>58596</v>
      </c>
    </row>
    <row r="86" spans="2:7" x14ac:dyDescent="0.35">
      <c r="B86" s="5" t="s">
        <v>371</v>
      </c>
      <c r="C86" s="5"/>
      <c r="D86" s="17" t="s">
        <v>434</v>
      </c>
      <c r="E86" s="18" t="s">
        <v>212</v>
      </c>
      <c r="F86" s="19">
        <v>53</v>
      </c>
      <c r="G86" s="17">
        <v>34817</v>
      </c>
    </row>
    <row r="87" spans="2:7" x14ac:dyDescent="0.35">
      <c r="B87" s="5" t="s">
        <v>373</v>
      </c>
      <c r="C87" s="5"/>
      <c r="D87" s="17" t="s">
        <v>435</v>
      </c>
      <c r="E87" s="18" t="s">
        <v>212</v>
      </c>
      <c r="F87" s="19">
        <v>54</v>
      </c>
      <c r="G87" s="17">
        <v>3370</v>
      </c>
    </row>
    <row r="88" spans="2:7" x14ac:dyDescent="0.35">
      <c r="B88" s="5" t="s">
        <v>375</v>
      </c>
      <c r="C88" s="5"/>
      <c r="D88" s="17" t="s">
        <v>436</v>
      </c>
      <c r="E88" s="18" t="s">
        <v>212</v>
      </c>
      <c r="F88" s="19">
        <v>55</v>
      </c>
      <c r="G88" s="17">
        <v>5804</v>
      </c>
    </row>
    <row r="89" spans="2:7" x14ac:dyDescent="0.35">
      <c r="B89" s="5" t="s">
        <v>377</v>
      </c>
      <c r="C89" s="5"/>
      <c r="D89" s="17" t="s">
        <v>437</v>
      </c>
      <c r="E89" s="18" t="s">
        <v>212</v>
      </c>
      <c r="F89" s="19">
        <v>56</v>
      </c>
      <c r="G89" s="17">
        <v>25819</v>
      </c>
    </row>
    <row r="90" spans="2:7" x14ac:dyDescent="0.35">
      <c r="B90" s="5" t="s">
        <v>379</v>
      </c>
      <c r="C90" s="5"/>
      <c r="D90" s="17" t="s">
        <v>438</v>
      </c>
      <c r="E90" s="18" t="s">
        <v>212</v>
      </c>
      <c r="F90" s="19">
        <v>57</v>
      </c>
      <c r="G90" s="17">
        <v>34071</v>
      </c>
    </row>
    <row r="91" spans="2:7" x14ac:dyDescent="0.35">
      <c r="B91" s="5" t="s">
        <v>381</v>
      </c>
      <c r="C91" s="5"/>
      <c r="D91" s="17" t="s">
        <v>439</v>
      </c>
      <c r="E91" s="18" t="s">
        <v>212</v>
      </c>
      <c r="F91" s="19">
        <v>58</v>
      </c>
      <c r="G91" s="17">
        <v>10960</v>
      </c>
    </row>
    <row r="92" spans="2:7" x14ac:dyDescent="0.35">
      <c r="B92" s="5" t="s">
        <v>383</v>
      </c>
      <c r="C92" s="5"/>
      <c r="D92" s="17" t="s">
        <v>440</v>
      </c>
      <c r="E92" s="18" t="s">
        <v>212</v>
      </c>
      <c r="F92" s="19">
        <v>59</v>
      </c>
      <c r="G92" s="17">
        <v>22395</v>
      </c>
    </row>
    <row r="93" spans="2:7" x14ac:dyDescent="0.35">
      <c r="B93" s="5" t="s">
        <v>385</v>
      </c>
      <c r="C93" s="5"/>
      <c r="D93" s="17" t="s">
        <v>441</v>
      </c>
      <c r="E93" s="18" t="s">
        <v>212</v>
      </c>
      <c r="F93" s="19">
        <v>60</v>
      </c>
      <c r="G93" s="17">
        <v>3433</v>
      </c>
    </row>
    <row r="94" spans="2:7" x14ac:dyDescent="0.35">
      <c r="B94" s="5" t="s">
        <v>387</v>
      </c>
      <c r="C94" s="5"/>
      <c r="D94" s="17" t="s">
        <v>442</v>
      </c>
      <c r="E94" s="18" t="s">
        <v>212</v>
      </c>
      <c r="F94" s="19">
        <v>61</v>
      </c>
      <c r="G94" s="17">
        <v>1742</v>
      </c>
    </row>
    <row r="95" spans="2:7" x14ac:dyDescent="0.35">
      <c r="B95" s="5" t="s">
        <v>389</v>
      </c>
      <c r="C95" s="5"/>
      <c r="D95" s="17" t="s">
        <v>443</v>
      </c>
      <c r="E95" s="18" t="s">
        <v>212</v>
      </c>
      <c r="F95" s="19">
        <v>62</v>
      </c>
      <c r="G95" s="17">
        <v>616</v>
      </c>
    </row>
    <row r="96" spans="2:7" x14ac:dyDescent="0.35">
      <c r="B96" s="5" t="s">
        <v>391</v>
      </c>
      <c r="C96" s="5"/>
      <c r="D96" s="17" t="s">
        <v>444</v>
      </c>
      <c r="E96" s="18" t="s">
        <v>212</v>
      </c>
      <c r="F96" s="19">
        <v>63</v>
      </c>
      <c r="G96" s="17">
        <v>328</v>
      </c>
    </row>
    <row r="97" spans="2:7" x14ac:dyDescent="0.35">
      <c r="B97" s="5" t="s">
        <v>393</v>
      </c>
      <c r="C97" s="5"/>
      <c r="D97" s="17" t="s">
        <v>445</v>
      </c>
      <c r="E97" s="18" t="s">
        <v>212</v>
      </c>
      <c r="F97" s="19">
        <v>64</v>
      </c>
      <c r="G97" s="17">
        <v>34584</v>
      </c>
    </row>
    <row r="98" spans="2:7" x14ac:dyDescent="0.35">
      <c r="B98" s="5" t="s">
        <v>395</v>
      </c>
      <c r="C98" s="5"/>
      <c r="D98" s="17" t="s">
        <v>446</v>
      </c>
      <c r="E98" s="18" t="s">
        <v>212</v>
      </c>
      <c r="F98" s="19">
        <v>65</v>
      </c>
      <c r="G98" s="17">
        <v>982</v>
      </c>
    </row>
    <row r="99" spans="2:7" x14ac:dyDescent="0.35">
      <c r="B99" s="5" t="s">
        <v>397</v>
      </c>
      <c r="C99" s="5"/>
      <c r="D99" s="17" t="s">
        <v>447</v>
      </c>
      <c r="E99" s="18" t="s">
        <v>212</v>
      </c>
      <c r="F99" s="19">
        <v>66</v>
      </c>
      <c r="G99" s="17">
        <v>3551</v>
      </c>
    </row>
    <row r="100" spans="2:7" x14ac:dyDescent="0.35">
      <c r="B100" s="5" t="s">
        <v>399</v>
      </c>
      <c r="C100" s="5"/>
      <c r="D100" s="17" t="s">
        <v>448</v>
      </c>
      <c r="E100" s="18" t="s">
        <v>212</v>
      </c>
      <c r="F100" s="19">
        <v>67</v>
      </c>
      <c r="G100" s="17">
        <v>857</v>
      </c>
    </row>
    <row r="101" spans="2:7" x14ac:dyDescent="0.35">
      <c r="B101" s="5" t="s">
        <v>401</v>
      </c>
      <c r="C101" s="5"/>
      <c r="D101" s="17" t="s">
        <v>449</v>
      </c>
      <c r="E101" s="18" t="s">
        <v>219</v>
      </c>
      <c r="F101" s="19">
        <v>1</v>
      </c>
      <c r="G101" s="17">
        <v>9027</v>
      </c>
    </row>
    <row r="102" spans="2:7" x14ac:dyDescent="0.35">
      <c r="B102" s="5" t="s">
        <v>403</v>
      </c>
      <c r="C102" s="5"/>
      <c r="D102" s="17" t="s">
        <v>450</v>
      </c>
      <c r="E102" s="18" t="s">
        <v>219</v>
      </c>
      <c r="F102" s="19">
        <v>2</v>
      </c>
      <c r="G102" s="17">
        <v>14591</v>
      </c>
    </row>
    <row r="103" spans="2:7" x14ac:dyDescent="0.35">
      <c r="B103" s="5" t="s">
        <v>405</v>
      </c>
      <c r="C103" s="5"/>
      <c r="D103" s="17" t="s">
        <v>451</v>
      </c>
      <c r="E103" s="18" t="s">
        <v>219</v>
      </c>
      <c r="F103" s="19">
        <v>3</v>
      </c>
      <c r="G103" s="17">
        <v>341300</v>
      </c>
    </row>
    <row r="104" spans="2:7" x14ac:dyDescent="0.35">
      <c r="B104" s="5" t="s">
        <v>407</v>
      </c>
      <c r="C104" s="5"/>
      <c r="D104" s="17" t="s">
        <v>452</v>
      </c>
      <c r="E104" s="18" t="s">
        <v>219</v>
      </c>
      <c r="F104" s="19">
        <v>4</v>
      </c>
      <c r="G104" s="17">
        <v>7945</v>
      </c>
    </row>
    <row r="105" spans="2:7" x14ac:dyDescent="0.35">
      <c r="B105" s="5" t="s">
        <v>409</v>
      </c>
      <c r="C105" s="5"/>
      <c r="D105" s="17" t="s">
        <v>453</v>
      </c>
      <c r="E105" s="18" t="s">
        <v>219</v>
      </c>
      <c r="F105" s="19">
        <v>5</v>
      </c>
      <c r="G105" s="17">
        <v>22577</v>
      </c>
    </row>
    <row r="106" spans="2:7" x14ac:dyDescent="0.35">
      <c r="B106" s="5" t="s">
        <v>411</v>
      </c>
      <c r="C106" s="5"/>
      <c r="D106" s="17" t="s">
        <v>454</v>
      </c>
      <c r="E106" s="18" t="s">
        <v>219</v>
      </c>
      <c r="F106" s="19">
        <v>6</v>
      </c>
      <c r="G106" s="17">
        <v>12955</v>
      </c>
    </row>
    <row r="107" spans="2:7" x14ac:dyDescent="0.35">
      <c r="B107" s="5" t="s">
        <v>413</v>
      </c>
      <c r="C107" s="5"/>
      <c r="D107" s="17" t="s">
        <v>455</v>
      </c>
      <c r="E107" s="18" t="s">
        <v>219</v>
      </c>
      <c r="F107" s="19">
        <v>7</v>
      </c>
      <c r="G107" s="17">
        <v>5220</v>
      </c>
    </row>
    <row r="108" spans="2:7" x14ac:dyDescent="0.35">
      <c r="B108" s="5" t="s">
        <v>415</v>
      </c>
      <c r="C108" s="5"/>
      <c r="D108" s="17" t="s">
        <v>456</v>
      </c>
      <c r="E108" s="18" t="s">
        <v>219</v>
      </c>
      <c r="F108" s="19">
        <v>8</v>
      </c>
      <c r="G108" s="17">
        <v>13483</v>
      </c>
    </row>
    <row r="109" spans="2:7" x14ac:dyDescent="0.35">
      <c r="B109" s="5" t="s">
        <v>417</v>
      </c>
      <c r="C109" s="5"/>
      <c r="D109" s="17" t="s">
        <v>457</v>
      </c>
      <c r="E109" s="18" t="s">
        <v>219</v>
      </c>
      <c r="F109" s="19">
        <v>9</v>
      </c>
      <c r="G109" s="17">
        <v>5564</v>
      </c>
    </row>
    <row r="110" spans="2:7" x14ac:dyDescent="0.35">
      <c r="B110" s="5" t="s">
        <v>419</v>
      </c>
      <c r="C110" s="5"/>
      <c r="D110" s="17" t="s">
        <v>458</v>
      </c>
      <c r="E110" s="18" t="s">
        <v>219</v>
      </c>
      <c r="F110" s="19">
        <v>10</v>
      </c>
      <c r="G110" s="17">
        <v>20614</v>
      </c>
    </row>
    <row r="111" spans="2:7" x14ac:dyDescent="0.35">
      <c r="B111" s="5" t="s">
        <v>420</v>
      </c>
      <c r="C111" s="5"/>
      <c r="D111" s="17" t="s">
        <v>459</v>
      </c>
      <c r="E111" s="18" t="s">
        <v>219</v>
      </c>
      <c r="F111" s="19">
        <v>11</v>
      </c>
      <c r="G111" s="17">
        <v>6195</v>
      </c>
    </row>
    <row r="112" spans="2:7" x14ac:dyDescent="0.35">
      <c r="B112" s="5" t="s">
        <v>421</v>
      </c>
      <c r="C112" s="5"/>
      <c r="D112" s="17" t="s">
        <v>460</v>
      </c>
      <c r="E112" s="18" t="s">
        <v>219</v>
      </c>
      <c r="F112" s="19">
        <v>12</v>
      </c>
      <c r="G112" s="17">
        <v>18563</v>
      </c>
    </row>
    <row r="113" spans="2:7" x14ac:dyDescent="0.35">
      <c r="B113" s="5" t="s">
        <v>422</v>
      </c>
      <c r="C113" s="5"/>
      <c r="D113" s="17" t="s">
        <v>461</v>
      </c>
      <c r="E113" s="18" t="s">
        <v>219</v>
      </c>
      <c r="F113" s="19">
        <v>13</v>
      </c>
      <c r="G113" s="17">
        <v>11235</v>
      </c>
    </row>
    <row r="114" spans="2:7" x14ac:dyDescent="0.35">
      <c r="B114" s="5" t="s">
        <v>423</v>
      </c>
      <c r="C114" s="5"/>
      <c r="D114" s="17" t="s">
        <v>462</v>
      </c>
      <c r="E114" s="18" t="s">
        <v>219</v>
      </c>
      <c r="F114" s="19">
        <v>14</v>
      </c>
      <c r="G114" s="17">
        <v>33895</v>
      </c>
    </row>
    <row r="115" spans="2:7" x14ac:dyDescent="0.35">
      <c r="B115" s="5" t="s">
        <v>424</v>
      </c>
      <c r="C115" s="5"/>
      <c r="D115" s="17" t="s">
        <v>463</v>
      </c>
      <c r="E115" s="18" t="s">
        <v>219</v>
      </c>
      <c r="F115" s="19">
        <v>15</v>
      </c>
      <c r="G115" s="17">
        <v>14843</v>
      </c>
    </row>
    <row r="116" spans="2:7" x14ac:dyDescent="0.35">
      <c r="B116" s="5" t="s">
        <v>425</v>
      </c>
      <c r="C116" s="5"/>
      <c r="D116" s="17" t="s">
        <v>464</v>
      </c>
      <c r="E116" s="18" t="s">
        <v>219</v>
      </c>
      <c r="F116" s="19">
        <v>16</v>
      </c>
      <c r="G116" s="17">
        <v>3025</v>
      </c>
    </row>
    <row r="117" spans="2:7" x14ac:dyDescent="0.35">
      <c r="B117" s="5" t="s">
        <v>426</v>
      </c>
      <c r="C117" s="5"/>
      <c r="D117" s="17" t="s">
        <v>465</v>
      </c>
      <c r="E117" s="18" t="s">
        <v>220</v>
      </c>
      <c r="F117" s="19">
        <v>1</v>
      </c>
      <c r="G117" s="17">
        <v>3827</v>
      </c>
    </row>
    <row r="118" spans="2:7" x14ac:dyDescent="0.35">
      <c r="B118" s="5" t="s">
        <v>427</v>
      </c>
      <c r="C118" s="5"/>
      <c r="D118" s="17" t="s">
        <v>466</v>
      </c>
      <c r="E118" s="18" t="s">
        <v>220</v>
      </c>
      <c r="F118" s="19">
        <v>2</v>
      </c>
      <c r="G118" s="17">
        <v>10881</v>
      </c>
    </row>
    <row r="119" spans="2:7" x14ac:dyDescent="0.35">
      <c r="B119" s="5" t="s">
        <v>428</v>
      </c>
      <c r="C119" s="5"/>
      <c r="D119" s="17" t="s">
        <v>467</v>
      </c>
      <c r="E119" s="18" t="s">
        <v>220</v>
      </c>
      <c r="F119" s="19">
        <v>3</v>
      </c>
      <c r="G119" s="17">
        <v>4374</v>
      </c>
    </row>
    <row r="120" spans="2:7" x14ac:dyDescent="0.35">
      <c r="B120" s="5" t="s">
        <v>429</v>
      </c>
      <c r="C120" s="5"/>
      <c r="D120" s="17" t="s">
        <v>468</v>
      </c>
      <c r="E120" s="18" t="s">
        <v>220</v>
      </c>
      <c r="F120" s="19">
        <v>4</v>
      </c>
      <c r="G120" s="17">
        <v>3900</v>
      </c>
    </row>
    <row r="121" spans="2:7" x14ac:dyDescent="0.35">
      <c r="B121" s="5" t="s">
        <v>430</v>
      </c>
      <c r="C121" s="5"/>
      <c r="D121" s="17" t="s">
        <v>469</v>
      </c>
      <c r="E121" s="18" t="s">
        <v>220</v>
      </c>
      <c r="F121" s="19">
        <v>5</v>
      </c>
      <c r="G121" s="17">
        <v>4347</v>
      </c>
    </row>
    <row r="122" spans="2:7" x14ac:dyDescent="0.35">
      <c r="B122" s="5" t="s">
        <v>431</v>
      </c>
      <c r="C122" s="5"/>
      <c r="D122" s="17" t="s">
        <v>470</v>
      </c>
      <c r="E122" s="18" t="s">
        <v>220</v>
      </c>
      <c r="F122" s="19">
        <v>6</v>
      </c>
      <c r="G122" s="17">
        <v>13659</v>
      </c>
    </row>
    <row r="123" spans="2:7" x14ac:dyDescent="0.35">
      <c r="B123" s="5" t="s">
        <v>432</v>
      </c>
      <c r="C123" s="5"/>
      <c r="D123" s="17" t="s">
        <v>471</v>
      </c>
      <c r="E123" s="18" t="s">
        <v>220</v>
      </c>
      <c r="F123" s="19">
        <v>7</v>
      </c>
      <c r="G123" s="17">
        <v>4169</v>
      </c>
    </row>
    <row r="124" spans="2:7" x14ac:dyDescent="0.35">
      <c r="B124" s="5" t="s">
        <v>433</v>
      </c>
      <c r="C124" s="5"/>
      <c r="D124" s="17" t="s">
        <v>472</v>
      </c>
      <c r="E124" s="18" t="s">
        <v>221</v>
      </c>
      <c r="F124" s="19">
        <v>1</v>
      </c>
      <c r="G124" s="17">
        <v>157223</v>
      </c>
    </row>
    <row r="125" spans="2:7" x14ac:dyDescent="0.35">
      <c r="B125" s="5" t="s">
        <v>434</v>
      </c>
      <c r="C125" s="5"/>
      <c r="D125" s="17" t="s">
        <v>473</v>
      </c>
      <c r="E125" s="18" t="s">
        <v>221</v>
      </c>
      <c r="F125" s="19">
        <v>2</v>
      </c>
      <c r="G125" s="17">
        <v>30438</v>
      </c>
    </row>
    <row r="126" spans="2:7" x14ac:dyDescent="0.35">
      <c r="B126" s="5" t="s">
        <v>435</v>
      </c>
      <c r="C126" s="5"/>
      <c r="D126" s="17" t="s">
        <v>474</v>
      </c>
      <c r="E126" s="18" t="s">
        <v>221</v>
      </c>
      <c r="F126" s="19">
        <v>3</v>
      </c>
      <c r="G126" s="17">
        <v>43307</v>
      </c>
    </row>
    <row r="127" spans="2:7" x14ac:dyDescent="0.35">
      <c r="B127" s="5" t="s">
        <v>436</v>
      </c>
      <c r="C127" s="5"/>
      <c r="D127" s="17" t="s">
        <v>475</v>
      </c>
      <c r="E127" s="18" t="s">
        <v>221</v>
      </c>
      <c r="F127" s="19">
        <v>4</v>
      </c>
      <c r="G127" s="17">
        <v>24431</v>
      </c>
    </row>
    <row r="128" spans="2:7" x14ac:dyDescent="0.35">
      <c r="B128" s="5" t="s">
        <v>437</v>
      </c>
      <c r="C128" s="5"/>
      <c r="D128" s="17" t="s">
        <v>476</v>
      </c>
      <c r="E128" s="18" t="s">
        <v>221</v>
      </c>
      <c r="F128" s="19">
        <v>5</v>
      </c>
      <c r="G128" s="17">
        <v>16800</v>
      </c>
    </row>
    <row r="129" spans="2:7" x14ac:dyDescent="0.35">
      <c r="B129" s="5" t="s">
        <v>438</v>
      </c>
      <c r="C129" s="5"/>
      <c r="D129" s="17" t="s">
        <v>477</v>
      </c>
      <c r="E129" s="18" t="s">
        <v>221</v>
      </c>
      <c r="F129" s="19">
        <v>6</v>
      </c>
      <c r="G129" s="17">
        <v>7864</v>
      </c>
    </row>
    <row r="130" spans="2:7" x14ac:dyDescent="0.35">
      <c r="B130" s="5" t="s">
        <v>439</v>
      </c>
      <c r="C130" s="5"/>
      <c r="D130" s="17" t="s">
        <v>478</v>
      </c>
      <c r="E130" s="18" t="s">
        <v>221</v>
      </c>
      <c r="F130" s="19">
        <v>7</v>
      </c>
      <c r="G130" s="17">
        <v>12551</v>
      </c>
    </row>
    <row r="131" spans="2:7" x14ac:dyDescent="0.35">
      <c r="B131" s="5" t="s">
        <v>440</v>
      </c>
      <c r="C131" s="5"/>
      <c r="D131" s="17" t="s">
        <v>479</v>
      </c>
      <c r="E131" s="18" t="s">
        <v>221</v>
      </c>
      <c r="F131" s="19">
        <v>8</v>
      </c>
      <c r="G131" s="17">
        <v>4188</v>
      </c>
    </row>
    <row r="132" spans="2:7" x14ac:dyDescent="0.35">
      <c r="B132" s="5" t="s">
        <v>441</v>
      </c>
      <c r="C132" s="5"/>
      <c r="D132" s="17" t="s">
        <v>480</v>
      </c>
      <c r="E132" s="18" t="s">
        <v>221</v>
      </c>
      <c r="F132" s="19">
        <v>9</v>
      </c>
      <c r="G132" s="17">
        <v>9555</v>
      </c>
    </row>
    <row r="133" spans="2:7" x14ac:dyDescent="0.35">
      <c r="B133" s="5" t="s">
        <v>442</v>
      </c>
      <c r="C133" s="5"/>
      <c r="D133" s="17" t="s">
        <v>481</v>
      </c>
      <c r="E133" s="18" t="s">
        <v>221</v>
      </c>
      <c r="F133" s="19">
        <v>10</v>
      </c>
      <c r="G133" s="17">
        <v>12549</v>
      </c>
    </row>
    <row r="134" spans="2:7" x14ac:dyDescent="0.35">
      <c r="B134" s="5" t="s">
        <v>443</v>
      </c>
      <c r="C134" s="5"/>
      <c r="D134" s="17" t="s">
        <v>482</v>
      </c>
      <c r="E134" s="18" t="s">
        <v>221</v>
      </c>
      <c r="F134" s="19">
        <v>11</v>
      </c>
      <c r="G134" s="17">
        <v>4888</v>
      </c>
    </row>
    <row r="135" spans="2:7" x14ac:dyDescent="0.35">
      <c r="B135" s="5" t="s">
        <v>444</v>
      </c>
      <c r="C135" s="5"/>
      <c r="D135" s="17" t="s">
        <v>483</v>
      </c>
      <c r="E135" s="18" t="s">
        <v>221</v>
      </c>
      <c r="F135" s="19">
        <v>12</v>
      </c>
      <c r="G135" s="17">
        <v>12653</v>
      </c>
    </row>
    <row r="136" spans="2:7" x14ac:dyDescent="0.35">
      <c r="B136" s="5" t="s">
        <v>445</v>
      </c>
      <c r="C136" s="5"/>
      <c r="D136" s="17" t="s">
        <v>484</v>
      </c>
      <c r="E136" s="18" t="s">
        <v>221</v>
      </c>
      <c r="F136" s="19">
        <v>13</v>
      </c>
      <c r="G136" s="17">
        <v>13020</v>
      </c>
    </row>
    <row r="137" spans="2:7" x14ac:dyDescent="0.35">
      <c r="B137" s="5" t="s">
        <v>446</v>
      </c>
      <c r="C137" s="5"/>
      <c r="D137" s="17" t="s">
        <v>485</v>
      </c>
      <c r="E137" s="18" t="s">
        <v>222</v>
      </c>
      <c r="F137" s="19">
        <v>1</v>
      </c>
      <c r="G137" s="17">
        <v>24992</v>
      </c>
    </row>
    <row r="138" spans="2:7" x14ac:dyDescent="0.35">
      <c r="B138" s="5" t="s">
        <v>447</v>
      </c>
      <c r="C138" s="5"/>
      <c r="D138" s="17" t="s">
        <v>486</v>
      </c>
      <c r="E138" s="18" t="s">
        <v>222</v>
      </c>
      <c r="F138" s="19">
        <v>2</v>
      </c>
      <c r="G138" s="17">
        <v>21937</v>
      </c>
    </row>
    <row r="139" spans="2:7" x14ac:dyDescent="0.35">
      <c r="B139" s="5" t="s">
        <v>448</v>
      </c>
      <c r="C139" s="5"/>
      <c r="D139" s="17" t="s">
        <v>487</v>
      </c>
      <c r="E139" s="18" t="s">
        <v>222</v>
      </c>
      <c r="F139" s="19">
        <v>3</v>
      </c>
      <c r="G139" s="17">
        <v>9496</v>
      </c>
    </row>
    <row r="140" spans="2:7" x14ac:dyDescent="0.35">
      <c r="B140" s="5" t="s">
        <v>449</v>
      </c>
      <c r="C140" s="5"/>
      <c r="D140" s="17" t="s">
        <v>488</v>
      </c>
      <c r="E140" s="18" t="s">
        <v>222</v>
      </c>
      <c r="F140" s="19">
        <v>4</v>
      </c>
      <c r="G140" s="17">
        <v>11487</v>
      </c>
    </row>
    <row r="141" spans="2:7" x14ac:dyDescent="0.35">
      <c r="B141" s="5" t="s">
        <v>450</v>
      </c>
      <c r="C141" s="5"/>
      <c r="D141" s="17" t="s">
        <v>489</v>
      </c>
      <c r="E141" s="18" t="s">
        <v>222</v>
      </c>
      <c r="F141" s="19">
        <v>5</v>
      </c>
      <c r="G141" s="17">
        <v>2821</v>
      </c>
    </row>
    <row r="142" spans="2:7" x14ac:dyDescent="0.35">
      <c r="B142" s="5" t="s">
        <v>451</v>
      </c>
      <c r="C142" s="5"/>
      <c r="D142" s="17" t="s">
        <v>490</v>
      </c>
      <c r="E142" s="18" t="s">
        <v>222</v>
      </c>
      <c r="F142" s="19">
        <v>6</v>
      </c>
      <c r="G142" s="17">
        <v>5212</v>
      </c>
    </row>
    <row r="143" spans="2:7" x14ac:dyDescent="0.35">
      <c r="B143" s="5" t="s">
        <v>452</v>
      </c>
      <c r="C143" s="5"/>
      <c r="D143" s="17" t="s">
        <v>491</v>
      </c>
      <c r="E143" s="18" t="s">
        <v>222</v>
      </c>
      <c r="F143" s="19">
        <v>7</v>
      </c>
      <c r="G143" s="17">
        <v>9411</v>
      </c>
    </row>
    <row r="144" spans="2:7" x14ac:dyDescent="0.35">
      <c r="B144" s="5" t="s">
        <v>453</v>
      </c>
      <c r="C144" s="5"/>
      <c r="D144" s="17" t="s">
        <v>492</v>
      </c>
      <c r="E144" s="18" t="s">
        <v>222</v>
      </c>
      <c r="F144" s="19">
        <v>8</v>
      </c>
      <c r="G144" s="17">
        <v>6830</v>
      </c>
    </row>
    <row r="145" spans="2:7" x14ac:dyDescent="0.35">
      <c r="B145" s="5" t="s">
        <v>454</v>
      </c>
      <c r="C145" s="5"/>
      <c r="D145" s="17" t="s">
        <v>493</v>
      </c>
      <c r="E145" s="18" t="s">
        <v>222</v>
      </c>
      <c r="F145" s="19">
        <v>9</v>
      </c>
      <c r="G145" s="17">
        <v>5905</v>
      </c>
    </row>
    <row r="146" spans="2:7" x14ac:dyDescent="0.35">
      <c r="B146" s="5" t="s">
        <v>455</v>
      </c>
      <c r="C146" s="5"/>
      <c r="D146" s="17" t="s">
        <v>494</v>
      </c>
      <c r="E146" s="18" t="s">
        <v>222</v>
      </c>
      <c r="F146" s="19">
        <v>10</v>
      </c>
      <c r="G146" s="17">
        <v>60239</v>
      </c>
    </row>
    <row r="147" spans="2:7" x14ac:dyDescent="0.35">
      <c r="B147" s="5" t="s">
        <v>456</v>
      </c>
      <c r="C147" s="5"/>
      <c r="D147" s="17" t="s">
        <v>495</v>
      </c>
      <c r="E147" s="18" t="s">
        <v>222</v>
      </c>
      <c r="F147" s="19">
        <v>11</v>
      </c>
      <c r="G147" s="17">
        <v>10825</v>
      </c>
    </row>
    <row r="148" spans="2:7" x14ac:dyDescent="0.35">
      <c r="B148" s="5" t="s">
        <v>457</v>
      </c>
      <c r="C148" s="5"/>
      <c r="D148" s="17" t="s">
        <v>496</v>
      </c>
      <c r="E148" s="18" t="s">
        <v>222</v>
      </c>
      <c r="F148" s="19">
        <v>12</v>
      </c>
      <c r="G148" s="17">
        <v>6109</v>
      </c>
    </row>
    <row r="149" spans="2:7" x14ac:dyDescent="0.35">
      <c r="B149" s="5" t="s">
        <v>458</v>
      </c>
      <c r="C149" s="5"/>
      <c r="D149" s="17" t="s">
        <v>497</v>
      </c>
      <c r="E149" s="18" t="s">
        <v>222</v>
      </c>
      <c r="F149" s="19">
        <v>13</v>
      </c>
      <c r="G149" s="17">
        <v>13539</v>
      </c>
    </row>
    <row r="150" spans="2:7" x14ac:dyDescent="0.35">
      <c r="B150" s="5" t="s">
        <v>459</v>
      </c>
      <c r="C150" s="5"/>
      <c r="D150" s="17" t="s">
        <v>498</v>
      </c>
      <c r="E150" s="18" t="s">
        <v>222</v>
      </c>
      <c r="F150" s="19">
        <v>14</v>
      </c>
      <c r="G150" s="17">
        <v>3712</v>
      </c>
    </row>
    <row r="151" spans="2:7" x14ac:dyDescent="0.35">
      <c r="B151" s="5" t="s">
        <v>460</v>
      </c>
      <c r="C151" s="5"/>
      <c r="D151" s="17" t="s">
        <v>499</v>
      </c>
      <c r="E151" s="18" t="s">
        <v>222</v>
      </c>
      <c r="F151" s="19">
        <v>15</v>
      </c>
      <c r="G151" s="17">
        <v>6574</v>
      </c>
    </row>
    <row r="152" spans="2:7" x14ac:dyDescent="0.35">
      <c r="B152" s="5" t="s">
        <v>461</v>
      </c>
      <c r="C152" s="5"/>
      <c r="D152" s="17" t="s">
        <v>500</v>
      </c>
      <c r="E152" s="18" t="s">
        <v>222</v>
      </c>
      <c r="F152" s="19">
        <v>16</v>
      </c>
      <c r="G152" s="17">
        <v>9054</v>
      </c>
    </row>
    <row r="153" spans="2:7" x14ac:dyDescent="0.35">
      <c r="B153" s="5" t="s">
        <v>462</v>
      </c>
      <c r="C153" s="5"/>
      <c r="D153" s="17" t="s">
        <v>501</v>
      </c>
      <c r="E153" s="18" t="s">
        <v>222</v>
      </c>
      <c r="F153" s="19">
        <v>17</v>
      </c>
      <c r="G153" s="17">
        <v>11032</v>
      </c>
    </row>
    <row r="154" spans="2:7" x14ac:dyDescent="0.35">
      <c r="B154" s="5" t="s">
        <v>463</v>
      </c>
      <c r="C154" s="5"/>
      <c r="D154" s="17" t="s">
        <v>502</v>
      </c>
      <c r="E154" s="18" t="s">
        <v>223</v>
      </c>
      <c r="F154" s="19">
        <v>1</v>
      </c>
      <c r="G154" s="17">
        <v>35552</v>
      </c>
    </row>
    <row r="155" spans="2:7" x14ac:dyDescent="0.35">
      <c r="B155" s="5" t="s">
        <v>464</v>
      </c>
      <c r="C155" s="5"/>
      <c r="D155" s="17" t="s">
        <v>503</v>
      </c>
      <c r="E155" s="18" t="s">
        <v>223</v>
      </c>
      <c r="F155" s="19">
        <v>2</v>
      </c>
      <c r="G155" s="17">
        <v>17217</v>
      </c>
    </row>
    <row r="156" spans="2:7" x14ac:dyDescent="0.35">
      <c r="B156" s="5" t="s">
        <v>504</v>
      </c>
      <c r="C156" s="5"/>
      <c r="D156" s="17" t="s">
        <v>505</v>
      </c>
      <c r="E156" s="18" t="s">
        <v>223</v>
      </c>
      <c r="F156" s="19">
        <v>3</v>
      </c>
      <c r="G156" s="17">
        <v>6216</v>
      </c>
    </row>
    <row r="157" spans="2:7" x14ac:dyDescent="0.35">
      <c r="B157" s="5" t="s">
        <v>465</v>
      </c>
      <c r="C157" s="5"/>
      <c r="D157" s="17" t="s">
        <v>506</v>
      </c>
      <c r="E157" s="18" t="s">
        <v>223</v>
      </c>
      <c r="F157" s="19">
        <v>4</v>
      </c>
      <c r="G157" s="17">
        <v>4061</v>
      </c>
    </row>
    <row r="158" spans="2:7" x14ac:dyDescent="0.35">
      <c r="B158" s="5" t="s">
        <v>466</v>
      </c>
      <c r="C158" s="5"/>
      <c r="D158" s="17" t="s">
        <v>507</v>
      </c>
      <c r="E158" s="18" t="s">
        <v>223</v>
      </c>
      <c r="F158" s="19">
        <v>5</v>
      </c>
      <c r="G158" s="17">
        <v>4033</v>
      </c>
    </row>
    <row r="159" spans="2:7" x14ac:dyDescent="0.35">
      <c r="B159" s="5" t="s">
        <v>467</v>
      </c>
      <c r="C159" s="5"/>
      <c r="D159" s="17" t="s">
        <v>508</v>
      </c>
      <c r="E159" s="18" t="s">
        <v>223</v>
      </c>
      <c r="F159" s="19">
        <v>6</v>
      </c>
      <c r="G159" s="17">
        <v>25474</v>
      </c>
    </row>
    <row r="160" spans="2:7" x14ac:dyDescent="0.35">
      <c r="B160" s="5" t="s">
        <v>468</v>
      </c>
      <c r="C160" s="5"/>
      <c r="D160" s="17" t="s">
        <v>509</v>
      </c>
      <c r="E160" s="18" t="s">
        <v>223</v>
      </c>
      <c r="F160" s="19">
        <v>7</v>
      </c>
      <c r="G160" s="17">
        <v>3632</v>
      </c>
    </row>
    <row r="161" spans="2:7" x14ac:dyDescent="0.35">
      <c r="B161" s="5" t="s">
        <v>469</v>
      </c>
      <c r="C161" s="5"/>
      <c r="D161" s="17" t="s">
        <v>510</v>
      </c>
      <c r="E161" s="18" t="s">
        <v>225</v>
      </c>
      <c r="F161" s="19">
        <v>1</v>
      </c>
      <c r="G161" s="17">
        <v>63426</v>
      </c>
    </row>
    <row r="162" spans="2:7" x14ac:dyDescent="0.35">
      <c r="B162" s="5" t="s">
        <v>470</v>
      </c>
      <c r="C162" s="5"/>
      <c r="D162" s="17" t="s">
        <v>511</v>
      </c>
      <c r="E162" s="18" t="s">
        <v>225</v>
      </c>
      <c r="F162" s="19">
        <v>2</v>
      </c>
      <c r="G162" s="17">
        <v>6811</v>
      </c>
    </row>
    <row r="163" spans="2:7" x14ac:dyDescent="0.35">
      <c r="B163" s="5" t="s">
        <v>471</v>
      </c>
      <c r="C163" s="5"/>
      <c r="D163" s="17" t="s">
        <v>512</v>
      </c>
      <c r="E163" s="18" t="s">
        <v>225</v>
      </c>
      <c r="F163" s="19">
        <v>3</v>
      </c>
      <c r="G163" s="17">
        <v>21889</v>
      </c>
    </row>
    <row r="164" spans="2:7" x14ac:dyDescent="0.35">
      <c r="B164" s="5" t="s">
        <v>513</v>
      </c>
      <c r="C164" s="5"/>
      <c r="D164" s="17" t="s">
        <v>514</v>
      </c>
      <c r="E164" s="18" t="s">
        <v>225</v>
      </c>
      <c r="F164" s="19">
        <v>4</v>
      </c>
      <c r="G164" s="17">
        <v>8585</v>
      </c>
    </row>
    <row r="165" spans="2:7" x14ac:dyDescent="0.35">
      <c r="B165" s="5" t="s">
        <v>515</v>
      </c>
      <c r="C165" s="5"/>
      <c r="D165" s="17" t="s">
        <v>516</v>
      </c>
      <c r="E165" s="18" t="s">
        <v>225</v>
      </c>
      <c r="F165" s="19">
        <v>5</v>
      </c>
      <c r="G165" s="17">
        <v>44130</v>
      </c>
    </row>
    <row r="166" spans="2:7" x14ac:dyDescent="0.35">
      <c r="B166" s="5" t="s">
        <v>517</v>
      </c>
      <c r="C166" s="5"/>
      <c r="D166" s="17" t="s">
        <v>518</v>
      </c>
      <c r="E166" s="18" t="s">
        <v>225</v>
      </c>
      <c r="F166" s="19">
        <v>6</v>
      </c>
      <c r="G166" s="17">
        <v>8736</v>
      </c>
    </row>
    <row r="167" spans="2:7" x14ac:dyDescent="0.35">
      <c r="B167" s="5" t="s">
        <v>519</v>
      </c>
      <c r="C167" s="5"/>
      <c r="D167" s="17" t="s">
        <v>520</v>
      </c>
      <c r="E167" s="18" t="s">
        <v>225</v>
      </c>
      <c r="F167" s="19">
        <v>7</v>
      </c>
      <c r="G167" s="17">
        <v>14262</v>
      </c>
    </row>
    <row r="168" spans="2:7" x14ac:dyDescent="0.35">
      <c r="B168" s="5" t="s">
        <v>521</v>
      </c>
      <c r="C168" s="5"/>
      <c r="D168" s="17" t="s">
        <v>522</v>
      </c>
      <c r="E168" s="18" t="s">
        <v>225</v>
      </c>
      <c r="F168" s="19">
        <v>8</v>
      </c>
      <c r="G168" s="17">
        <v>18415</v>
      </c>
    </row>
    <row r="169" spans="2:7" x14ac:dyDescent="0.35">
      <c r="B169" s="5" t="s">
        <v>523</v>
      </c>
      <c r="C169" s="5"/>
      <c r="D169" s="17" t="s">
        <v>524</v>
      </c>
      <c r="E169" s="18" t="s">
        <v>228</v>
      </c>
      <c r="F169" s="19">
        <v>1</v>
      </c>
      <c r="G169" s="17">
        <v>29473</v>
      </c>
    </row>
    <row r="170" spans="2:7" x14ac:dyDescent="0.35">
      <c r="B170" s="5" t="s">
        <v>525</v>
      </c>
      <c r="C170" s="5"/>
      <c r="D170" s="17" t="s">
        <v>526</v>
      </c>
      <c r="E170" s="18" t="s">
        <v>228</v>
      </c>
      <c r="F170" s="19">
        <v>2</v>
      </c>
      <c r="G170" s="17">
        <v>15581</v>
      </c>
    </row>
    <row r="171" spans="2:7" x14ac:dyDescent="0.35">
      <c r="B171" s="5" t="s">
        <v>472</v>
      </c>
      <c r="C171" s="5"/>
      <c r="D171" s="17" t="s">
        <v>527</v>
      </c>
      <c r="E171" s="18" t="s">
        <v>228</v>
      </c>
      <c r="F171" s="19">
        <v>3</v>
      </c>
      <c r="G171" s="17">
        <v>18646</v>
      </c>
    </row>
    <row r="172" spans="2:7" x14ac:dyDescent="0.35">
      <c r="B172" s="5" t="s">
        <v>473</v>
      </c>
      <c r="C172" s="5"/>
      <c r="D172" s="17" t="s">
        <v>528</v>
      </c>
      <c r="E172" s="18" t="s">
        <v>228</v>
      </c>
      <c r="F172" s="19">
        <v>4</v>
      </c>
      <c r="G172" s="17">
        <v>11101</v>
      </c>
    </row>
    <row r="173" spans="2:7" x14ac:dyDescent="0.35">
      <c r="B173" s="5" t="s">
        <v>474</v>
      </c>
      <c r="C173" s="5"/>
      <c r="D173" s="17" t="s">
        <v>529</v>
      </c>
      <c r="E173" s="18" t="s">
        <v>229</v>
      </c>
      <c r="F173" s="19">
        <v>1</v>
      </c>
      <c r="G173" s="17">
        <v>55302</v>
      </c>
    </row>
    <row r="174" spans="2:7" x14ac:dyDescent="0.35">
      <c r="B174" s="5" t="s">
        <v>475</v>
      </c>
      <c r="C174" s="5"/>
      <c r="D174" s="17" t="s">
        <v>530</v>
      </c>
      <c r="E174" s="18" t="s">
        <v>229</v>
      </c>
      <c r="F174" s="19">
        <v>2</v>
      </c>
      <c r="G174" s="17">
        <v>88772</v>
      </c>
    </row>
    <row r="175" spans="2:7" x14ac:dyDescent="0.35">
      <c r="B175" s="5" t="s">
        <v>476</v>
      </c>
      <c r="C175" s="5"/>
      <c r="D175" s="17" t="s">
        <v>531</v>
      </c>
      <c r="E175" s="18" t="s">
        <v>229</v>
      </c>
      <c r="F175" s="19">
        <v>3</v>
      </c>
      <c r="G175" s="17">
        <v>6204</v>
      </c>
    </row>
    <row r="176" spans="2:7" x14ac:dyDescent="0.35">
      <c r="B176" s="5" t="s">
        <v>477</v>
      </c>
      <c r="C176" s="5"/>
      <c r="D176" s="17" t="s">
        <v>532</v>
      </c>
      <c r="E176" s="18" t="s">
        <v>229</v>
      </c>
      <c r="F176" s="19">
        <v>4</v>
      </c>
      <c r="G176" s="17">
        <v>23181</v>
      </c>
    </row>
    <row r="177" spans="2:7" x14ac:dyDescent="0.35">
      <c r="B177" s="5" t="s">
        <v>478</v>
      </c>
      <c r="C177" s="5"/>
      <c r="D177" s="17" t="s">
        <v>533</v>
      </c>
      <c r="E177" s="18" t="s">
        <v>229</v>
      </c>
      <c r="F177" s="19">
        <v>5</v>
      </c>
      <c r="G177" s="17">
        <v>16489</v>
      </c>
    </row>
    <row r="178" spans="2:7" x14ac:dyDescent="0.35">
      <c r="B178" s="5" t="s">
        <v>479</v>
      </c>
      <c r="C178" s="5"/>
      <c r="D178" s="17" t="s">
        <v>534</v>
      </c>
      <c r="E178" s="18" t="s">
        <v>229</v>
      </c>
      <c r="F178" s="19">
        <v>6</v>
      </c>
      <c r="G178" s="17">
        <v>5089</v>
      </c>
    </row>
    <row r="179" spans="2:7" x14ac:dyDescent="0.35">
      <c r="B179" s="5" t="s">
        <v>480</v>
      </c>
      <c r="C179" s="5"/>
      <c r="D179" s="17" t="s">
        <v>535</v>
      </c>
      <c r="E179" s="18" t="s">
        <v>229</v>
      </c>
      <c r="F179" s="19">
        <v>7</v>
      </c>
      <c r="G179" s="17">
        <v>18898</v>
      </c>
    </row>
    <row r="180" spans="2:7" x14ac:dyDescent="0.35">
      <c r="B180" s="5" t="s">
        <v>481</v>
      </c>
      <c r="C180" s="5"/>
      <c r="D180" s="17" t="s">
        <v>536</v>
      </c>
      <c r="E180" s="18" t="s">
        <v>229</v>
      </c>
      <c r="F180" s="19">
        <v>8</v>
      </c>
      <c r="G180" s="17">
        <v>9818</v>
      </c>
    </row>
    <row r="181" spans="2:7" x14ac:dyDescent="0.35">
      <c r="B181" s="5" t="s">
        <v>482</v>
      </c>
      <c r="C181" s="5"/>
      <c r="D181" s="17" t="s">
        <v>537</v>
      </c>
      <c r="E181" s="18" t="s">
        <v>229</v>
      </c>
      <c r="F181" s="19">
        <v>9</v>
      </c>
      <c r="G181" s="17">
        <v>12175</v>
      </c>
    </row>
    <row r="182" spans="2:7" x14ac:dyDescent="0.35">
      <c r="B182" s="5" t="s">
        <v>483</v>
      </c>
      <c r="C182" s="5"/>
      <c r="D182" s="17" t="s">
        <v>538</v>
      </c>
      <c r="E182" s="18" t="s">
        <v>229</v>
      </c>
      <c r="F182" s="19">
        <v>10</v>
      </c>
      <c r="G182" s="17">
        <v>12758</v>
      </c>
    </row>
    <row r="183" spans="2:7" x14ac:dyDescent="0.35">
      <c r="B183" s="5" t="s">
        <v>484</v>
      </c>
      <c r="C183" s="5"/>
      <c r="D183" s="17" t="s">
        <v>539</v>
      </c>
      <c r="E183" s="18" t="s">
        <v>229</v>
      </c>
      <c r="F183" s="19">
        <v>11</v>
      </c>
      <c r="G183" s="17">
        <v>6316</v>
      </c>
    </row>
    <row r="184" spans="2:7" x14ac:dyDescent="0.35">
      <c r="B184" s="5" t="s">
        <v>485</v>
      </c>
      <c r="C184" s="5"/>
      <c r="D184" s="17" t="s">
        <v>540</v>
      </c>
      <c r="E184" s="18" t="s">
        <v>229</v>
      </c>
      <c r="F184" s="19">
        <v>12</v>
      </c>
      <c r="G184" s="17">
        <v>43843</v>
      </c>
    </row>
    <row r="185" spans="2:7" x14ac:dyDescent="0.35">
      <c r="B185" s="5" t="s">
        <v>486</v>
      </c>
      <c r="C185" s="5"/>
      <c r="D185" s="17" t="s">
        <v>541</v>
      </c>
      <c r="E185" s="18" t="s">
        <v>229</v>
      </c>
      <c r="F185" s="19">
        <v>13</v>
      </c>
      <c r="G185" s="17">
        <v>5561</v>
      </c>
    </row>
    <row r="186" spans="2:7" x14ac:dyDescent="0.35">
      <c r="B186" s="5" t="s">
        <v>487</v>
      </c>
      <c r="C186" s="5"/>
      <c r="D186" s="17" t="s">
        <v>542</v>
      </c>
      <c r="E186" s="18" t="s">
        <v>229</v>
      </c>
      <c r="F186" s="19">
        <v>14</v>
      </c>
      <c r="G186" s="17">
        <v>15368</v>
      </c>
    </row>
    <row r="187" spans="2:7" x14ac:dyDescent="0.35">
      <c r="B187" s="5" t="s">
        <v>488</v>
      </c>
      <c r="C187" s="5"/>
      <c r="D187" s="17" t="s">
        <v>543</v>
      </c>
      <c r="E187" s="18" t="s">
        <v>229</v>
      </c>
      <c r="F187" s="19">
        <v>15</v>
      </c>
      <c r="G187" s="17">
        <v>9769</v>
      </c>
    </row>
    <row r="188" spans="2:7" x14ac:dyDescent="0.35">
      <c r="B188" s="5" t="s">
        <v>489</v>
      </c>
      <c r="C188" s="5"/>
      <c r="D188" s="17" t="s">
        <v>544</v>
      </c>
      <c r="E188" s="18" t="s">
        <v>229</v>
      </c>
      <c r="F188" s="19">
        <v>16</v>
      </c>
      <c r="G188" s="17">
        <v>11620</v>
      </c>
    </row>
    <row r="189" spans="2:7" x14ac:dyDescent="0.35">
      <c r="B189" s="5" t="s">
        <v>490</v>
      </c>
      <c r="C189" s="5"/>
      <c r="D189" s="17" t="s">
        <v>545</v>
      </c>
      <c r="E189" s="18" t="s">
        <v>231</v>
      </c>
      <c r="F189" s="19">
        <v>1</v>
      </c>
      <c r="G189" s="17">
        <v>8945</v>
      </c>
    </row>
    <row r="190" spans="2:7" x14ac:dyDescent="0.35">
      <c r="B190" s="5" t="s">
        <v>491</v>
      </c>
      <c r="C190" s="5"/>
      <c r="D190" s="17" t="s">
        <v>546</v>
      </c>
      <c r="E190" s="18" t="s">
        <v>231</v>
      </c>
      <c r="F190" s="19">
        <v>2</v>
      </c>
      <c r="G190" s="17">
        <v>6066</v>
      </c>
    </row>
    <row r="191" spans="2:7" x14ac:dyDescent="0.35">
      <c r="B191" s="5" t="s">
        <v>492</v>
      </c>
      <c r="C191" s="5"/>
      <c r="D191" s="17" t="s">
        <v>547</v>
      </c>
      <c r="E191" s="18" t="s">
        <v>231</v>
      </c>
      <c r="F191" s="19">
        <v>3</v>
      </c>
      <c r="G191" s="17">
        <v>45279</v>
      </c>
    </row>
    <row r="192" spans="2:7" x14ac:dyDescent="0.35">
      <c r="B192" s="5" t="s">
        <v>493</v>
      </c>
      <c r="C192" s="5"/>
      <c r="D192" s="17" t="s">
        <v>548</v>
      </c>
      <c r="E192" s="18" t="s">
        <v>231</v>
      </c>
      <c r="F192" s="19">
        <v>4</v>
      </c>
      <c r="G192" s="17">
        <v>9334</v>
      </c>
    </row>
    <row r="193" spans="2:7" x14ac:dyDescent="0.35">
      <c r="B193" s="5" t="s">
        <v>494</v>
      </c>
      <c r="C193" s="5"/>
      <c r="D193" s="17" t="s">
        <v>549</v>
      </c>
      <c r="E193" s="18" t="s">
        <v>231</v>
      </c>
      <c r="F193" s="19">
        <v>5</v>
      </c>
      <c r="G193" s="17">
        <v>19017</v>
      </c>
    </row>
    <row r="194" spans="2:7" x14ac:dyDescent="0.35">
      <c r="B194" s="5" t="s">
        <v>495</v>
      </c>
      <c r="C194" s="5"/>
      <c r="D194" s="17" t="s">
        <v>550</v>
      </c>
      <c r="E194" s="18" t="s">
        <v>231</v>
      </c>
      <c r="F194" s="19">
        <v>6</v>
      </c>
      <c r="G194" s="17">
        <v>99188</v>
      </c>
    </row>
    <row r="195" spans="2:7" x14ac:dyDescent="0.35">
      <c r="B195" s="5" t="s">
        <v>496</v>
      </c>
      <c r="C195" s="5"/>
      <c r="D195" s="17" t="s">
        <v>551</v>
      </c>
      <c r="E195" s="18" t="s">
        <v>231</v>
      </c>
      <c r="F195" s="19">
        <v>7</v>
      </c>
      <c r="G195" s="17">
        <v>7168</v>
      </c>
    </row>
    <row r="196" spans="2:7" x14ac:dyDescent="0.35">
      <c r="B196" s="5" t="s">
        <v>497</v>
      </c>
      <c r="C196" s="5"/>
      <c r="D196" s="17" t="s">
        <v>552</v>
      </c>
      <c r="E196" s="18" t="s">
        <v>231</v>
      </c>
      <c r="F196" s="19">
        <v>8</v>
      </c>
      <c r="G196" s="17">
        <v>39149</v>
      </c>
    </row>
    <row r="197" spans="2:7" x14ac:dyDescent="0.35">
      <c r="B197" s="5" t="s">
        <v>498</v>
      </c>
      <c r="C197" s="5"/>
      <c r="D197" s="17" t="s">
        <v>553</v>
      </c>
      <c r="E197" s="18" t="s">
        <v>231</v>
      </c>
      <c r="F197" s="19">
        <v>9</v>
      </c>
      <c r="G197" s="17">
        <v>8743</v>
      </c>
    </row>
    <row r="198" spans="2:7" x14ac:dyDescent="0.35">
      <c r="B198" s="5" t="s">
        <v>499</v>
      </c>
      <c r="C198" s="5"/>
      <c r="D198" s="17" t="s">
        <v>554</v>
      </c>
      <c r="E198" s="18" t="s">
        <v>231</v>
      </c>
      <c r="F198" s="19">
        <v>10</v>
      </c>
      <c r="G198" s="17">
        <v>10521</v>
      </c>
    </row>
    <row r="199" spans="2:7" x14ac:dyDescent="0.35">
      <c r="B199" s="5" t="s">
        <v>500</v>
      </c>
      <c r="C199" s="5"/>
      <c r="D199" s="17" t="s">
        <v>555</v>
      </c>
      <c r="E199" s="18" t="s">
        <v>232</v>
      </c>
      <c r="F199" s="19">
        <v>1</v>
      </c>
      <c r="G199" s="17">
        <v>8961</v>
      </c>
    </row>
    <row r="200" spans="2:7" x14ac:dyDescent="0.35">
      <c r="B200" s="5" t="s">
        <v>501</v>
      </c>
      <c r="C200" s="5"/>
      <c r="D200" s="17" t="s">
        <v>556</v>
      </c>
      <c r="E200" s="18" t="s">
        <v>232</v>
      </c>
      <c r="F200" s="19">
        <v>2</v>
      </c>
      <c r="G200" s="17">
        <v>4318</v>
      </c>
    </row>
    <row r="201" spans="2:7" x14ac:dyDescent="0.35">
      <c r="B201" s="5" t="s">
        <v>502</v>
      </c>
      <c r="C201" s="5"/>
      <c r="D201" s="17" t="s">
        <v>557</v>
      </c>
      <c r="E201" s="18" t="s">
        <v>232</v>
      </c>
      <c r="F201" s="19">
        <v>3</v>
      </c>
      <c r="G201" s="17">
        <v>35117</v>
      </c>
    </row>
    <row r="202" spans="2:7" x14ac:dyDescent="0.35">
      <c r="B202" s="5" t="s">
        <v>503</v>
      </c>
      <c r="C202" s="5"/>
      <c r="D202" s="17" t="s">
        <v>558</v>
      </c>
      <c r="E202" s="18" t="s">
        <v>232</v>
      </c>
      <c r="F202" s="19">
        <v>4</v>
      </c>
      <c r="G202" s="17">
        <v>8148</v>
      </c>
    </row>
    <row r="203" spans="2:7" x14ac:dyDescent="0.35">
      <c r="B203" s="5" t="s">
        <v>505</v>
      </c>
      <c r="C203" s="5"/>
      <c r="D203" s="17" t="s">
        <v>559</v>
      </c>
      <c r="E203" s="18" t="s">
        <v>232</v>
      </c>
      <c r="F203" s="19">
        <v>5</v>
      </c>
      <c r="G203" s="17">
        <v>10350</v>
      </c>
    </row>
    <row r="204" spans="2:7" x14ac:dyDescent="0.35">
      <c r="B204" s="5" t="s">
        <v>506</v>
      </c>
      <c r="C204" s="5"/>
      <c r="D204" s="17" t="s">
        <v>560</v>
      </c>
      <c r="E204" s="18" t="s">
        <v>232</v>
      </c>
      <c r="F204" s="19">
        <v>6</v>
      </c>
      <c r="G204" s="17">
        <v>37629</v>
      </c>
    </row>
    <row r="205" spans="2:7" x14ac:dyDescent="0.35">
      <c r="B205" s="5" t="s">
        <v>507</v>
      </c>
      <c r="C205" s="5"/>
      <c r="D205" s="17" t="s">
        <v>561</v>
      </c>
      <c r="E205" s="18" t="s">
        <v>233</v>
      </c>
      <c r="F205" s="19">
        <v>1</v>
      </c>
      <c r="G205" s="17">
        <v>7188</v>
      </c>
    </row>
    <row r="206" spans="2:7" x14ac:dyDescent="0.35">
      <c r="B206" s="5" t="s">
        <v>508</v>
      </c>
      <c r="C206" s="5"/>
      <c r="D206" s="17" t="s">
        <v>562</v>
      </c>
      <c r="E206" s="18" t="s">
        <v>233</v>
      </c>
      <c r="F206" s="19">
        <v>2</v>
      </c>
      <c r="G206" s="17">
        <v>16912</v>
      </c>
    </row>
    <row r="207" spans="2:7" x14ac:dyDescent="0.35">
      <c r="B207" s="5" t="s">
        <v>509</v>
      </c>
      <c r="C207" s="5"/>
      <c r="D207" s="17" t="s">
        <v>563</v>
      </c>
      <c r="E207" s="18" t="s">
        <v>233</v>
      </c>
      <c r="F207" s="19">
        <v>3</v>
      </c>
      <c r="G207" s="17">
        <v>15663</v>
      </c>
    </row>
    <row r="208" spans="2:7" x14ac:dyDescent="0.35">
      <c r="B208" s="5" t="s">
        <v>564</v>
      </c>
      <c r="C208" s="5"/>
      <c r="D208" s="17" t="s">
        <v>565</v>
      </c>
      <c r="E208" s="18" t="s">
        <v>233</v>
      </c>
      <c r="F208" s="19">
        <v>4</v>
      </c>
      <c r="G208" s="17">
        <v>14497</v>
      </c>
    </row>
    <row r="209" spans="2:7" x14ac:dyDescent="0.35">
      <c r="B209" s="5" t="s">
        <v>566</v>
      </c>
      <c r="C209" s="5"/>
      <c r="D209" s="17" t="s">
        <v>567</v>
      </c>
      <c r="E209" s="18" t="s">
        <v>234</v>
      </c>
      <c r="F209" s="19">
        <v>1</v>
      </c>
      <c r="G209" s="17">
        <v>54111</v>
      </c>
    </row>
    <row r="210" spans="2:7" x14ac:dyDescent="0.35">
      <c r="B210" s="5" t="s">
        <v>568</v>
      </c>
      <c r="C210" s="5"/>
      <c r="D210" s="17" t="s">
        <v>569</v>
      </c>
      <c r="E210" s="18" t="s">
        <v>234</v>
      </c>
      <c r="F210" s="19">
        <v>2</v>
      </c>
      <c r="G210" s="17">
        <v>30946</v>
      </c>
    </row>
    <row r="211" spans="2:7" x14ac:dyDescent="0.35">
      <c r="B211" s="5" t="s">
        <v>570</v>
      </c>
      <c r="C211" s="5"/>
      <c r="D211" s="17" t="s">
        <v>571</v>
      </c>
      <c r="E211" s="18" t="s">
        <v>234</v>
      </c>
      <c r="F211" s="19">
        <v>3</v>
      </c>
      <c r="G211" s="17">
        <v>10091</v>
      </c>
    </row>
    <row r="212" spans="2:7" x14ac:dyDescent="0.35">
      <c r="B212" s="5" t="s">
        <v>572</v>
      </c>
      <c r="C212" s="5"/>
      <c r="D212" s="17" t="s">
        <v>573</v>
      </c>
      <c r="E212" s="18" t="s">
        <v>234</v>
      </c>
      <c r="F212" s="19">
        <v>4</v>
      </c>
      <c r="G212" s="17">
        <v>106867</v>
      </c>
    </row>
    <row r="213" spans="2:7" x14ac:dyDescent="0.35">
      <c r="B213" s="5" t="s">
        <v>574</v>
      </c>
      <c r="C213" s="5"/>
      <c r="D213" s="17" t="s">
        <v>575</v>
      </c>
      <c r="E213" s="18" t="s">
        <v>234</v>
      </c>
      <c r="F213" s="19">
        <v>5</v>
      </c>
      <c r="G213" s="17">
        <v>18885</v>
      </c>
    </row>
    <row r="214" spans="2:7" x14ac:dyDescent="0.35">
      <c r="B214" s="5" t="s">
        <v>576</v>
      </c>
      <c r="C214" s="5"/>
      <c r="D214" s="17" t="s">
        <v>577</v>
      </c>
      <c r="E214" s="18" t="s">
        <v>234</v>
      </c>
      <c r="F214" s="19">
        <v>6</v>
      </c>
      <c r="G214" s="17">
        <v>38620</v>
      </c>
    </row>
    <row r="215" spans="2:7" x14ac:dyDescent="0.35">
      <c r="B215" s="5" t="s">
        <v>578</v>
      </c>
      <c r="C215" s="5"/>
      <c r="D215" s="17" t="s">
        <v>579</v>
      </c>
      <c r="E215" s="18" t="s">
        <v>234</v>
      </c>
      <c r="F215" s="19">
        <v>7</v>
      </c>
      <c r="G215" s="17">
        <v>45420</v>
      </c>
    </row>
    <row r="216" spans="2:7" x14ac:dyDescent="0.35">
      <c r="B216" s="5" t="s">
        <v>510</v>
      </c>
      <c r="C216" s="5"/>
      <c r="D216" s="17" t="s">
        <v>580</v>
      </c>
      <c r="E216" s="18" t="s">
        <v>234</v>
      </c>
      <c r="F216" s="19">
        <v>8</v>
      </c>
      <c r="G216" s="17">
        <v>6218</v>
      </c>
    </row>
    <row r="217" spans="2:7" x14ac:dyDescent="0.35">
      <c r="B217" s="5" t="s">
        <v>511</v>
      </c>
      <c r="C217" s="5"/>
      <c r="D217" s="17" t="s">
        <v>581</v>
      </c>
      <c r="E217" s="18" t="s">
        <v>234</v>
      </c>
      <c r="F217" s="19">
        <v>9</v>
      </c>
      <c r="G217" s="17">
        <v>38280</v>
      </c>
    </row>
    <row r="218" spans="2:7" x14ac:dyDescent="0.35">
      <c r="B218" s="5" t="s">
        <v>512</v>
      </c>
      <c r="C218" s="5"/>
      <c r="D218" s="17" t="s">
        <v>582</v>
      </c>
      <c r="E218" s="18" t="s">
        <v>234</v>
      </c>
      <c r="F218" s="19">
        <v>10</v>
      </c>
      <c r="G218" s="17">
        <v>5835</v>
      </c>
    </row>
    <row r="219" spans="2:7" x14ac:dyDescent="0.35">
      <c r="B219" s="5" t="s">
        <v>514</v>
      </c>
      <c r="C219" s="5"/>
      <c r="D219" s="17" t="s">
        <v>583</v>
      </c>
      <c r="E219" s="18" t="s">
        <v>234</v>
      </c>
      <c r="F219" s="19">
        <v>11</v>
      </c>
      <c r="G219" s="17">
        <v>38995</v>
      </c>
    </row>
    <row r="220" spans="2:7" x14ac:dyDescent="0.35">
      <c r="B220" s="5" t="s">
        <v>516</v>
      </c>
      <c r="C220" s="5"/>
      <c r="D220" s="17" t="s">
        <v>584</v>
      </c>
      <c r="E220" s="18" t="s">
        <v>234</v>
      </c>
      <c r="F220" s="19">
        <v>12</v>
      </c>
      <c r="G220" s="17">
        <v>11036</v>
      </c>
    </row>
    <row r="221" spans="2:7" x14ac:dyDescent="0.35">
      <c r="B221" s="5" t="s">
        <v>518</v>
      </c>
      <c r="C221" s="5"/>
      <c r="D221" s="17" t="s">
        <v>585</v>
      </c>
      <c r="E221" s="18" t="s">
        <v>234</v>
      </c>
      <c r="F221" s="19">
        <v>13</v>
      </c>
      <c r="G221" s="17">
        <v>70273</v>
      </c>
    </row>
    <row r="222" spans="2:7" x14ac:dyDescent="0.35">
      <c r="B222" s="5" t="s">
        <v>520</v>
      </c>
      <c r="C222" s="5"/>
      <c r="D222" s="17" t="s">
        <v>586</v>
      </c>
      <c r="E222" s="18" t="s">
        <v>234</v>
      </c>
      <c r="F222" s="19">
        <v>14</v>
      </c>
      <c r="G222" s="17">
        <v>24830</v>
      </c>
    </row>
    <row r="223" spans="2:7" x14ac:dyDescent="0.35">
      <c r="B223" s="5" t="s">
        <v>522</v>
      </c>
      <c r="C223" s="5"/>
      <c r="D223" s="17" t="s">
        <v>587</v>
      </c>
      <c r="E223" s="18" t="s">
        <v>234</v>
      </c>
      <c r="F223" s="19">
        <v>15</v>
      </c>
      <c r="G223" s="17">
        <v>38417</v>
      </c>
    </row>
    <row r="224" spans="2:7" x14ac:dyDescent="0.35">
      <c r="B224" s="5" t="s">
        <v>588</v>
      </c>
      <c r="C224" s="5"/>
      <c r="D224" s="17" t="s">
        <v>589</v>
      </c>
      <c r="E224" s="18" t="s">
        <v>234</v>
      </c>
      <c r="F224" s="19">
        <v>16</v>
      </c>
      <c r="G224" s="17">
        <v>21503</v>
      </c>
    </row>
    <row r="225" spans="2:7" x14ac:dyDescent="0.35">
      <c r="B225" s="5" t="s">
        <v>590</v>
      </c>
      <c r="C225" s="5"/>
      <c r="D225" s="17" t="s">
        <v>591</v>
      </c>
      <c r="E225" s="18" t="s">
        <v>235</v>
      </c>
      <c r="F225" s="19">
        <v>1</v>
      </c>
      <c r="G225" s="17">
        <v>2451</v>
      </c>
    </row>
    <row r="226" spans="2:7" x14ac:dyDescent="0.35">
      <c r="B226" s="5" t="s">
        <v>592</v>
      </c>
      <c r="C226" s="5"/>
      <c r="D226" s="17" t="s">
        <v>593</v>
      </c>
      <c r="E226" s="18" t="s">
        <v>235</v>
      </c>
      <c r="F226" s="19">
        <v>2</v>
      </c>
      <c r="G226" s="17">
        <v>3621</v>
      </c>
    </row>
    <row r="227" spans="2:7" x14ac:dyDescent="0.35">
      <c r="B227" s="5" t="s">
        <v>594</v>
      </c>
      <c r="C227" s="5"/>
      <c r="D227" s="17" t="s">
        <v>595</v>
      </c>
      <c r="E227" s="18" t="s">
        <v>235</v>
      </c>
      <c r="F227" s="19">
        <v>3</v>
      </c>
      <c r="G227" s="17">
        <v>1391</v>
      </c>
    </row>
    <row r="228" spans="2:7" x14ac:dyDescent="0.35">
      <c r="B228" s="5" t="s">
        <v>596</v>
      </c>
      <c r="C228" s="5"/>
      <c r="D228" s="17" t="s">
        <v>597</v>
      </c>
      <c r="E228" s="18" t="s">
        <v>235</v>
      </c>
      <c r="F228" s="19">
        <v>4</v>
      </c>
      <c r="G228" s="17">
        <v>10707</v>
      </c>
    </row>
    <row r="229" spans="2:7" x14ac:dyDescent="0.35">
      <c r="B229" s="5" t="s">
        <v>598</v>
      </c>
      <c r="C229" s="5"/>
      <c r="D229" s="17" t="s">
        <v>599</v>
      </c>
      <c r="E229" s="18" t="s">
        <v>236</v>
      </c>
      <c r="F229" s="19">
        <v>1</v>
      </c>
      <c r="G229" s="17">
        <v>28153</v>
      </c>
    </row>
    <row r="230" spans="2:7" x14ac:dyDescent="0.35">
      <c r="B230" s="5" t="s">
        <v>600</v>
      </c>
      <c r="C230" s="5"/>
      <c r="D230" s="17" t="s">
        <v>601</v>
      </c>
      <c r="E230" s="18" t="s">
        <v>236</v>
      </c>
      <c r="F230" s="19">
        <v>2</v>
      </c>
      <c r="G230" s="17">
        <v>15210</v>
      </c>
    </row>
    <row r="231" spans="2:7" x14ac:dyDescent="0.35">
      <c r="B231" s="5" t="s">
        <v>602</v>
      </c>
      <c r="C231" s="5"/>
      <c r="D231" s="17" t="s">
        <v>603</v>
      </c>
      <c r="E231" s="18" t="s">
        <v>236</v>
      </c>
      <c r="F231" s="19">
        <v>3</v>
      </c>
      <c r="G231" s="17">
        <v>21890</v>
      </c>
    </row>
    <row r="232" spans="2:7" x14ac:dyDescent="0.35">
      <c r="B232" s="5" t="s">
        <v>604</v>
      </c>
      <c r="C232" s="5"/>
      <c r="D232" s="17" t="s">
        <v>605</v>
      </c>
      <c r="E232" s="18" t="s">
        <v>236</v>
      </c>
      <c r="F232" s="19">
        <v>4</v>
      </c>
      <c r="G232" s="17">
        <v>8888</v>
      </c>
    </row>
    <row r="233" spans="2:7" x14ac:dyDescent="0.35">
      <c r="B233" s="5" t="s">
        <v>606</v>
      </c>
      <c r="C233" s="5"/>
      <c r="D233" s="17" t="s">
        <v>607</v>
      </c>
      <c r="E233" s="18" t="s">
        <v>237</v>
      </c>
      <c r="F233" s="19">
        <v>1</v>
      </c>
      <c r="G233" s="17">
        <v>53003</v>
      </c>
    </row>
    <row r="234" spans="2:7" x14ac:dyDescent="0.35">
      <c r="B234" s="5" t="s">
        <v>608</v>
      </c>
      <c r="C234" s="5"/>
      <c r="D234" s="17" t="s">
        <v>609</v>
      </c>
      <c r="E234" s="18" t="s">
        <v>238</v>
      </c>
      <c r="F234" s="19">
        <v>1</v>
      </c>
      <c r="G234" s="17">
        <v>254298</v>
      </c>
    </row>
    <row r="235" spans="2:7" x14ac:dyDescent="0.35">
      <c r="B235" s="5" t="s">
        <v>524</v>
      </c>
      <c r="C235" s="5"/>
      <c r="D235" s="17" t="s">
        <v>610</v>
      </c>
      <c r="E235" s="18" t="s">
        <v>239</v>
      </c>
      <c r="F235" s="19">
        <v>1</v>
      </c>
      <c r="G235" s="17">
        <v>22380</v>
      </c>
    </row>
    <row r="236" spans="2:7" x14ac:dyDescent="0.35">
      <c r="B236" s="5" t="s">
        <v>526</v>
      </c>
      <c r="C236" s="5"/>
      <c r="D236" s="17" t="s">
        <v>611</v>
      </c>
      <c r="E236" s="18" t="s">
        <v>239</v>
      </c>
      <c r="F236" s="19">
        <v>2</v>
      </c>
      <c r="G236" s="17">
        <v>1478</v>
      </c>
    </row>
    <row r="237" spans="2:7" x14ac:dyDescent="0.35">
      <c r="B237" s="5" t="s">
        <v>527</v>
      </c>
      <c r="C237" s="5"/>
      <c r="D237" s="17" t="s">
        <v>612</v>
      </c>
      <c r="E237" s="18" t="s">
        <v>239</v>
      </c>
      <c r="F237" s="19">
        <v>3</v>
      </c>
      <c r="G237" s="17">
        <v>5681</v>
      </c>
    </row>
    <row r="238" spans="2:7" x14ac:dyDescent="0.35">
      <c r="B238" s="5" t="s">
        <v>528</v>
      </c>
      <c r="C238" s="5"/>
      <c r="D238" s="17" t="s">
        <v>613</v>
      </c>
      <c r="E238" s="18" t="s">
        <v>239</v>
      </c>
      <c r="F238" s="19">
        <v>4</v>
      </c>
      <c r="G238" s="17">
        <v>7348</v>
      </c>
    </row>
    <row r="239" spans="2:7" x14ac:dyDescent="0.35">
      <c r="B239" s="5" t="s">
        <v>529</v>
      </c>
      <c r="C239" s="5"/>
      <c r="D239" s="17" t="s">
        <v>614</v>
      </c>
      <c r="E239" s="18" t="s">
        <v>239</v>
      </c>
      <c r="F239" s="19">
        <v>5</v>
      </c>
      <c r="G239" s="17">
        <v>15467</v>
      </c>
    </row>
    <row r="240" spans="2:7" x14ac:dyDescent="0.35">
      <c r="B240" s="5" t="s">
        <v>530</v>
      </c>
      <c r="C240" s="5"/>
      <c r="D240" s="17" t="s">
        <v>615</v>
      </c>
      <c r="E240" s="18" t="s">
        <v>240</v>
      </c>
      <c r="F240" s="19">
        <v>1</v>
      </c>
      <c r="G240" s="17">
        <v>52165</v>
      </c>
    </row>
    <row r="241" spans="2:7" x14ac:dyDescent="0.35">
      <c r="B241" s="5" t="s">
        <v>531</v>
      </c>
      <c r="C241" s="5"/>
      <c r="D241" s="17" t="s">
        <v>616</v>
      </c>
      <c r="E241" s="18" t="s">
        <v>240</v>
      </c>
      <c r="F241" s="19">
        <v>2</v>
      </c>
      <c r="G241" s="17">
        <v>13718</v>
      </c>
    </row>
    <row r="242" spans="2:7" x14ac:dyDescent="0.35">
      <c r="B242" s="5" t="s">
        <v>532</v>
      </c>
      <c r="C242" s="5"/>
      <c r="D242" s="17" t="s">
        <v>617</v>
      </c>
      <c r="E242" s="18" t="s">
        <v>240</v>
      </c>
      <c r="F242" s="19">
        <v>3</v>
      </c>
      <c r="G242" s="17">
        <v>5342</v>
      </c>
    </row>
    <row r="243" spans="2:7" x14ac:dyDescent="0.35">
      <c r="B243" s="5" t="s">
        <v>533</v>
      </c>
      <c r="C243" s="5"/>
      <c r="D243" s="17" t="s">
        <v>618</v>
      </c>
      <c r="E243" s="18" t="s">
        <v>240</v>
      </c>
      <c r="F243" s="19">
        <v>4</v>
      </c>
      <c r="G243" s="17">
        <v>2371</v>
      </c>
    </row>
    <row r="244" spans="2:7" x14ac:dyDescent="0.35">
      <c r="B244" s="5" t="s">
        <v>534</v>
      </c>
      <c r="C244" s="5"/>
      <c r="D244" s="17" t="s">
        <v>619</v>
      </c>
      <c r="E244" s="18" t="s">
        <v>242</v>
      </c>
      <c r="F244" s="19">
        <v>1</v>
      </c>
      <c r="G244" s="17">
        <v>12200</v>
      </c>
    </row>
    <row r="245" spans="2:7" x14ac:dyDescent="0.35">
      <c r="B245" s="5" t="s">
        <v>535</v>
      </c>
      <c r="C245" s="5"/>
      <c r="D245" s="17" t="s">
        <v>620</v>
      </c>
      <c r="E245" s="18" t="s">
        <v>242</v>
      </c>
      <c r="F245" s="19">
        <v>2</v>
      </c>
      <c r="G245" s="17">
        <v>6244</v>
      </c>
    </row>
    <row r="246" spans="2:7" x14ac:dyDescent="0.35">
      <c r="B246" s="5" t="s">
        <v>536</v>
      </c>
      <c r="C246" s="5"/>
      <c r="D246" s="17" t="s">
        <v>621</v>
      </c>
      <c r="E246" s="18" t="s">
        <v>242</v>
      </c>
      <c r="F246" s="19">
        <v>3</v>
      </c>
      <c r="G246" s="17">
        <v>19729</v>
      </c>
    </row>
    <row r="247" spans="2:7" x14ac:dyDescent="0.35">
      <c r="B247" s="5" t="s">
        <v>537</v>
      </c>
      <c r="C247" s="5"/>
      <c r="D247" s="17" t="s">
        <v>622</v>
      </c>
      <c r="E247" s="18" t="s">
        <v>242</v>
      </c>
      <c r="F247" s="19">
        <v>4</v>
      </c>
      <c r="G247" s="17">
        <v>30088</v>
      </c>
    </row>
    <row r="248" spans="2:7" x14ac:dyDescent="0.35">
      <c r="B248" s="5" t="s">
        <v>538</v>
      </c>
      <c r="C248" s="5"/>
      <c r="D248" s="17" t="s">
        <v>623</v>
      </c>
      <c r="E248" s="18" t="s">
        <v>242</v>
      </c>
      <c r="F248" s="19">
        <v>5</v>
      </c>
      <c r="G248" s="17">
        <v>7933</v>
      </c>
    </row>
    <row r="249" spans="2:7" x14ac:dyDescent="0.35">
      <c r="B249" s="5" t="s">
        <v>539</v>
      </c>
      <c r="C249" s="5"/>
      <c r="D249" s="17" t="s">
        <v>624</v>
      </c>
      <c r="E249" s="18" t="s">
        <v>242</v>
      </c>
      <c r="F249" s="19">
        <v>6</v>
      </c>
      <c r="G249" s="17">
        <v>5707</v>
      </c>
    </row>
    <row r="250" spans="2:7" x14ac:dyDescent="0.35">
      <c r="B250" s="5" t="s">
        <v>540</v>
      </c>
      <c r="C250" s="5"/>
      <c r="D250" s="17" t="s">
        <v>625</v>
      </c>
      <c r="E250" s="18" t="s">
        <v>242</v>
      </c>
      <c r="F250" s="19">
        <v>7</v>
      </c>
      <c r="G250" s="17">
        <v>2823</v>
      </c>
    </row>
    <row r="251" spans="2:7" x14ac:dyDescent="0.35">
      <c r="B251" s="5" t="s">
        <v>541</v>
      </c>
      <c r="C251" s="5"/>
      <c r="D251" s="17" t="s">
        <v>626</v>
      </c>
      <c r="E251" s="18" t="s">
        <v>242</v>
      </c>
      <c r="F251" s="19">
        <v>8</v>
      </c>
      <c r="G251" s="17">
        <v>1345</v>
      </c>
    </row>
    <row r="252" spans="2:7" x14ac:dyDescent="0.35">
      <c r="B252" s="5" t="s">
        <v>542</v>
      </c>
      <c r="C252" s="5"/>
      <c r="D252" s="17" t="s">
        <v>627</v>
      </c>
      <c r="E252" s="18" t="s">
        <v>242</v>
      </c>
      <c r="F252" s="19">
        <v>9</v>
      </c>
      <c r="G252" s="17">
        <v>39346</v>
      </c>
    </row>
    <row r="253" spans="2:7" x14ac:dyDescent="0.35">
      <c r="B253" s="5" t="s">
        <v>543</v>
      </c>
      <c r="C253" s="5"/>
      <c r="D253" s="17" t="s">
        <v>628</v>
      </c>
      <c r="E253" s="18" t="s">
        <v>242</v>
      </c>
      <c r="F253" s="19">
        <v>10</v>
      </c>
      <c r="G253" s="17">
        <v>4681</v>
      </c>
    </row>
    <row r="254" spans="2:7" x14ac:dyDescent="0.35">
      <c r="B254" s="5" t="s">
        <v>544</v>
      </c>
      <c r="C254" s="5"/>
      <c r="D254" s="17" t="s">
        <v>629</v>
      </c>
      <c r="E254" s="18" t="s">
        <v>242</v>
      </c>
      <c r="F254" s="19">
        <v>11</v>
      </c>
      <c r="G254" s="17">
        <v>45206</v>
      </c>
    </row>
    <row r="255" spans="2:7" x14ac:dyDescent="0.35">
      <c r="B255" s="5" t="s">
        <v>630</v>
      </c>
      <c r="C255" s="5"/>
      <c r="D255" s="17" t="s">
        <v>631</v>
      </c>
      <c r="E255" s="18" t="s">
        <v>242</v>
      </c>
      <c r="F255" s="19">
        <v>12</v>
      </c>
      <c r="G255" s="17">
        <v>22084</v>
      </c>
    </row>
    <row r="256" spans="2:7" x14ac:dyDescent="0.35">
      <c r="B256" s="5" t="s">
        <v>632</v>
      </c>
      <c r="C256" s="5"/>
      <c r="D256" s="17" t="s">
        <v>633</v>
      </c>
      <c r="E256" s="18" t="s">
        <v>242</v>
      </c>
      <c r="F256" s="19">
        <v>13</v>
      </c>
      <c r="G256" s="17">
        <v>13278</v>
      </c>
    </row>
    <row r="257" spans="2:7" x14ac:dyDescent="0.35">
      <c r="B257" s="5" t="s">
        <v>634</v>
      </c>
      <c r="C257" s="5"/>
      <c r="D257" s="17" t="s">
        <v>635</v>
      </c>
      <c r="E257" s="18" t="s">
        <v>242</v>
      </c>
      <c r="F257" s="19">
        <v>14</v>
      </c>
      <c r="G257" s="17">
        <v>2604</v>
      </c>
    </row>
    <row r="258" spans="2:7" x14ac:dyDescent="0.35">
      <c r="B258" s="5" t="s">
        <v>636</v>
      </c>
      <c r="C258" s="5"/>
      <c r="D258" s="17" t="s">
        <v>637</v>
      </c>
      <c r="E258" s="18" t="s">
        <v>242</v>
      </c>
      <c r="F258" s="19">
        <v>15</v>
      </c>
      <c r="G258" s="17">
        <v>8312</v>
      </c>
    </row>
    <row r="259" spans="2:7" x14ac:dyDescent="0.35">
      <c r="B259" s="5" t="s">
        <v>638</v>
      </c>
      <c r="C259" s="5"/>
      <c r="D259" s="17" t="s">
        <v>639</v>
      </c>
      <c r="E259" s="18" t="s">
        <v>242</v>
      </c>
      <c r="F259" s="19">
        <v>16</v>
      </c>
      <c r="G259" s="17">
        <v>9085</v>
      </c>
    </row>
    <row r="260" spans="2:7" x14ac:dyDescent="0.35">
      <c r="B260" s="5" t="s">
        <v>640</v>
      </c>
      <c r="C260" s="5"/>
      <c r="D260" s="17" t="s">
        <v>641</v>
      </c>
      <c r="E260" s="18" t="s">
        <v>242</v>
      </c>
      <c r="F260" s="19">
        <v>17</v>
      </c>
      <c r="G260" s="17">
        <v>3657</v>
      </c>
    </row>
    <row r="261" spans="2:7" x14ac:dyDescent="0.35">
      <c r="B261" s="5" t="s">
        <v>642</v>
      </c>
      <c r="C261" s="5"/>
      <c r="D261" s="17" t="s">
        <v>643</v>
      </c>
      <c r="E261" s="18" t="s">
        <v>243</v>
      </c>
      <c r="F261" s="19">
        <v>1</v>
      </c>
      <c r="G261" s="17">
        <v>2786</v>
      </c>
    </row>
    <row r="262" spans="2:7" x14ac:dyDescent="0.35">
      <c r="B262" s="5" t="s">
        <v>644</v>
      </c>
      <c r="C262" s="5"/>
      <c r="D262" s="17" t="s">
        <v>645</v>
      </c>
      <c r="E262" s="18" t="s">
        <v>243</v>
      </c>
      <c r="F262" s="19">
        <v>2</v>
      </c>
      <c r="G262" s="17">
        <v>2962</v>
      </c>
    </row>
    <row r="263" spans="2:7" x14ac:dyDescent="0.35">
      <c r="B263" s="5" t="s">
        <v>646</v>
      </c>
      <c r="C263" s="5"/>
      <c r="D263" s="17" t="s">
        <v>647</v>
      </c>
      <c r="E263" s="18" t="s">
        <v>243</v>
      </c>
      <c r="F263" s="19">
        <v>3</v>
      </c>
      <c r="G263" s="17">
        <v>50464</v>
      </c>
    </row>
    <row r="264" spans="2:7" x14ac:dyDescent="0.35">
      <c r="B264" s="5" t="s">
        <v>545</v>
      </c>
      <c r="C264" s="5"/>
      <c r="D264" s="17" t="s">
        <v>648</v>
      </c>
      <c r="E264" s="18" t="s">
        <v>243</v>
      </c>
      <c r="F264" s="19">
        <v>4</v>
      </c>
      <c r="G264" s="17">
        <v>32470</v>
      </c>
    </row>
    <row r="265" spans="2:7" x14ac:dyDescent="0.35">
      <c r="B265" s="5" t="s">
        <v>546</v>
      </c>
      <c r="C265" s="5"/>
      <c r="D265" s="17" t="s">
        <v>649</v>
      </c>
      <c r="E265" s="18" t="s">
        <v>243</v>
      </c>
      <c r="F265" s="19">
        <v>5</v>
      </c>
      <c r="G265" s="17">
        <v>37428</v>
      </c>
    </row>
    <row r="266" spans="2:7" x14ac:dyDescent="0.35">
      <c r="B266" s="5" t="s">
        <v>547</v>
      </c>
      <c r="C266" s="5"/>
      <c r="D266" s="17" t="s">
        <v>650</v>
      </c>
      <c r="E266" s="18" t="s">
        <v>244</v>
      </c>
      <c r="F266" s="19">
        <v>1</v>
      </c>
      <c r="G266" s="17">
        <v>52709</v>
      </c>
    </row>
    <row r="267" spans="2:7" x14ac:dyDescent="0.35">
      <c r="B267" s="5" t="s">
        <v>548</v>
      </c>
      <c r="C267" s="5"/>
      <c r="D267" s="17" t="s">
        <v>651</v>
      </c>
      <c r="E267" s="18" t="s">
        <v>244</v>
      </c>
      <c r="F267" s="19">
        <v>2</v>
      </c>
      <c r="G267" s="17">
        <v>14871</v>
      </c>
    </row>
    <row r="268" spans="2:7" x14ac:dyDescent="0.35">
      <c r="B268" s="5" t="s">
        <v>549</v>
      </c>
      <c r="C268" s="5"/>
      <c r="D268" s="17" t="s">
        <v>652</v>
      </c>
      <c r="E268" s="18" t="s">
        <v>244</v>
      </c>
      <c r="F268" s="19">
        <v>3</v>
      </c>
      <c r="G268" s="17">
        <v>8260</v>
      </c>
    </row>
    <row r="269" spans="2:7" x14ac:dyDescent="0.35">
      <c r="B269" s="5" t="s">
        <v>550</v>
      </c>
      <c r="C269" s="5"/>
      <c r="D269" s="17" t="s">
        <v>653</v>
      </c>
      <c r="E269" s="18" t="s">
        <v>244</v>
      </c>
      <c r="F269" s="19">
        <v>4</v>
      </c>
      <c r="G269" s="17">
        <v>9678</v>
      </c>
    </row>
    <row r="270" spans="2:7" x14ac:dyDescent="0.35">
      <c r="B270" s="5" t="s">
        <v>551</v>
      </c>
      <c r="C270" s="5"/>
      <c r="D270" s="17" t="s">
        <v>654</v>
      </c>
      <c r="E270" s="18" t="s">
        <v>244</v>
      </c>
      <c r="F270" s="19">
        <v>5</v>
      </c>
      <c r="G270" s="17">
        <v>7601</v>
      </c>
    </row>
    <row r="271" spans="2:7" x14ac:dyDescent="0.35">
      <c r="B271" s="5" t="s">
        <v>552</v>
      </c>
      <c r="C271" s="5"/>
      <c r="D271" s="17" t="s">
        <v>655</v>
      </c>
      <c r="E271" s="18" t="s">
        <v>244</v>
      </c>
      <c r="F271" s="19">
        <v>6</v>
      </c>
      <c r="G271" s="17">
        <v>7246</v>
      </c>
    </row>
    <row r="272" spans="2:7" x14ac:dyDescent="0.35">
      <c r="B272" s="5" t="s">
        <v>553</v>
      </c>
      <c r="C272" s="5"/>
      <c r="D272" s="17" t="s">
        <v>656</v>
      </c>
      <c r="E272" s="18" t="s">
        <v>244</v>
      </c>
      <c r="F272" s="19">
        <v>7</v>
      </c>
      <c r="G272" s="17">
        <v>11657</v>
      </c>
    </row>
    <row r="273" spans="2:7" x14ac:dyDescent="0.35">
      <c r="B273" s="5" t="s">
        <v>554</v>
      </c>
      <c r="C273" s="5"/>
      <c r="D273" s="17" t="s">
        <v>657</v>
      </c>
      <c r="E273" s="18" t="s">
        <v>246</v>
      </c>
      <c r="F273" s="19">
        <v>1</v>
      </c>
      <c r="G273" s="17">
        <v>17310</v>
      </c>
    </row>
    <row r="274" spans="2:7" x14ac:dyDescent="0.35">
      <c r="B274" s="5" t="s">
        <v>555</v>
      </c>
      <c r="C274" s="5"/>
      <c r="D274" s="17" t="s">
        <v>658</v>
      </c>
      <c r="E274" s="18" t="s">
        <v>246</v>
      </c>
      <c r="F274" s="19">
        <v>2</v>
      </c>
      <c r="G274" s="17">
        <v>1656</v>
      </c>
    </row>
    <row r="275" spans="2:7" x14ac:dyDescent="0.35">
      <c r="B275" s="5" t="s">
        <v>556</v>
      </c>
      <c r="C275" s="5"/>
      <c r="D275" s="17" t="s">
        <v>659</v>
      </c>
      <c r="E275" s="18" t="s">
        <v>246</v>
      </c>
      <c r="F275" s="19">
        <v>3</v>
      </c>
      <c r="G275" s="17">
        <v>39152</v>
      </c>
    </row>
    <row r="276" spans="2:7" x14ac:dyDescent="0.35">
      <c r="B276" s="5" t="s">
        <v>557</v>
      </c>
      <c r="C276" s="5"/>
      <c r="D276" s="17" t="s">
        <v>660</v>
      </c>
      <c r="E276" s="18" t="s">
        <v>246</v>
      </c>
      <c r="F276" s="19">
        <v>4</v>
      </c>
      <c r="G276" s="17">
        <v>84857</v>
      </c>
    </row>
    <row r="277" spans="2:7" x14ac:dyDescent="0.35">
      <c r="B277" s="5" t="s">
        <v>558</v>
      </c>
      <c r="C277" s="5"/>
      <c r="D277" s="17" t="s">
        <v>661</v>
      </c>
      <c r="E277" s="18" t="s">
        <v>246</v>
      </c>
      <c r="F277" s="19">
        <v>5</v>
      </c>
      <c r="G277" s="17">
        <v>17621</v>
      </c>
    </row>
    <row r="278" spans="2:7" x14ac:dyDescent="0.35">
      <c r="B278" s="5" t="s">
        <v>559</v>
      </c>
      <c r="C278" s="5"/>
      <c r="D278" s="17" t="s">
        <v>662</v>
      </c>
      <c r="E278" s="18" t="s">
        <v>246</v>
      </c>
      <c r="F278" s="19">
        <v>6</v>
      </c>
      <c r="G278" s="17">
        <v>39599</v>
      </c>
    </row>
    <row r="279" spans="2:7" x14ac:dyDescent="0.35">
      <c r="B279" s="5" t="s">
        <v>560</v>
      </c>
      <c r="C279" s="5"/>
      <c r="D279" s="17" t="s">
        <v>663</v>
      </c>
      <c r="E279" s="18" t="s">
        <v>246</v>
      </c>
      <c r="F279" s="19">
        <v>7</v>
      </c>
      <c r="G279" s="17">
        <v>49471</v>
      </c>
    </row>
    <row r="280" spans="2:7" x14ac:dyDescent="0.35">
      <c r="B280" s="5" t="s">
        <v>561</v>
      </c>
      <c r="C280" s="5"/>
      <c r="D280" s="17" t="s">
        <v>664</v>
      </c>
      <c r="E280" s="18" t="s">
        <v>246</v>
      </c>
      <c r="F280" s="19">
        <v>8</v>
      </c>
      <c r="G280" s="17">
        <v>197540</v>
      </c>
    </row>
    <row r="281" spans="2:7" x14ac:dyDescent="0.35">
      <c r="B281" s="5" t="s">
        <v>562</v>
      </c>
      <c r="C281" s="5"/>
      <c r="D281" s="17" t="s">
        <v>665</v>
      </c>
      <c r="E281" s="18" t="s">
        <v>246</v>
      </c>
      <c r="F281" s="19">
        <v>9</v>
      </c>
      <c r="G281" s="17">
        <v>25473</v>
      </c>
    </row>
    <row r="282" spans="2:7" x14ac:dyDescent="0.35">
      <c r="B282" s="5" t="s">
        <v>563</v>
      </c>
      <c r="C282" s="5"/>
      <c r="D282" s="17" t="s">
        <v>666</v>
      </c>
      <c r="E282" s="18" t="s">
        <v>247</v>
      </c>
      <c r="F282" s="19">
        <v>1</v>
      </c>
      <c r="G282" s="17">
        <v>840</v>
      </c>
    </row>
    <row r="283" spans="2:7" x14ac:dyDescent="0.35">
      <c r="B283" s="5" t="s">
        <v>565</v>
      </c>
      <c r="C283" s="5"/>
      <c r="D283" s="17" t="s">
        <v>667</v>
      </c>
      <c r="E283" s="18" t="s">
        <v>247</v>
      </c>
      <c r="F283" s="19">
        <v>2</v>
      </c>
      <c r="G283" s="17">
        <v>5664</v>
      </c>
    </row>
    <row r="284" spans="2:7" x14ac:dyDescent="0.35">
      <c r="B284" s="5" t="s">
        <v>567</v>
      </c>
      <c r="C284" s="5"/>
      <c r="D284" s="17" t="s">
        <v>668</v>
      </c>
      <c r="E284" s="18" t="s">
        <v>247</v>
      </c>
      <c r="F284" s="19">
        <v>3</v>
      </c>
      <c r="G284" s="17">
        <v>250</v>
      </c>
    </row>
    <row r="285" spans="2:7" x14ac:dyDescent="0.35">
      <c r="B285" s="5" t="s">
        <v>569</v>
      </c>
      <c r="C285" s="5"/>
      <c r="D285" s="17" t="s">
        <v>669</v>
      </c>
      <c r="E285" s="18" t="s">
        <v>247</v>
      </c>
      <c r="F285" s="19">
        <v>4</v>
      </c>
      <c r="G285" s="17">
        <v>7950</v>
      </c>
    </row>
    <row r="286" spans="2:7" x14ac:dyDescent="0.35">
      <c r="B286" s="5" t="s">
        <v>571</v>
      </c>
      <c r="C286" s="5"/>
      <c r="D286" s="17" t="s">
        <v>670</v>
      </c>
      <c r="E286" s="18" t="s">
        <v>247</v>
      </c>
      <c r="F286" s="19">
        <v>5</v>
      </c>
      <c r="G286" s="17">
        <v>463</v>
      </c>
    </row>
    <row r="287" spans="2:7" x14ac:dyDescent="0.35">
      <c r="B287" s="5" t="s">
        <v>573</v>
      </c>
      <c r="C287" s="5"/>
      <c r="D287" s="17" t="s">
        <v>671</v>
      </c>
      <c r="E287" s="18" t="s">
        <v>247</v>
      </c>
      <c r="F287" s="19">
        <v>6</v>
      </c>
      <c r="G287" s="17">
        <v>673</v>
      </c>
    </row>
    <row r="288" spans="2:7" x14ac:dyDescent="0.35">
      <c r="B288" s="5" t="s">
        <v>575</v>
      </c>
      <c r="C288" s="5"/>
      <c r="D288" s="17" t="s">
        <v>672</v>
      </c>
      <c r="E288" s="18" t="s">
        <v>247</v>
      </c>
      <c r="F288" s="19">
        <v>7</v>
      </c>
      <c r="G288" s="17">
        <v>8025</v>
      </c>
    </row>
    <row r="289" spans="2:7" x14ac:dyDescent="0.35">
      <c r="B289" s="5" t="s">
        <v>577</v>
      </c>
      <c r="C289" s="5"/>
      <c r="D289" s="17" t="s">
        <v>673</v>
      </c>
      <c r="E289" s="18" t="s">
        <v>247</v>
      </c>
      <c r="F289" s="19">
        <v>8</v>
      </c>
      <c r="G289" s="17">
        <v>7727</v>
      </c>
    </row>
    <row r="290" spans="2:7" x14ac:dyDescent="0.35">
      <c r="B290" s="5" t="s">
        <v>579</v>
      </c>
      <c r="C290" s="5"/>
      <c r="D290" s="17" t="s">
        <v>674</v>
      </c>
      <c r="E290" s="18" t="s">
        <v>247</v>
      </c>
      <c r="F290" s="19">
        <v>9</v>
      </c>
      <c r="G290" s="17">
        <v>573</v>
      </c>
    </row>
    <row r="291" spans="2:7" x14ac:dyDescent="0.35">
      <c r="B291" s="5" t="s">
        <v>580</v>
      </c>
      <c r="C291" s="5"/>
      <c r="D291" s="17" t="s">
        <v>675</v>
      </c>
      <c r="E291" s="18" t="s">
        <v>247</v>
      </c>
      <c r="F291" s="19">
        <v>10</v>
      </c>
      <c r="G291" s="17">
        <v>21073</v>
      </c>
    </row>
    <row r="292" spans="2:7" x14ac:dyDescent="0.35">
      <c r="B292" s="5" t="s">
        <v>581</v>
      </c>
      <c r="C292" s="5"/>
      <c r="D292" s="17" t="s">
        <v>676</v>
      </c>
      <c r="E292" s="18" t="s">
        <v>247</v>
      </c>
      <c r="F292" s="19">
        <v>11</v>
      </c>
      <c r="G292" s="17">
        <v>1564</v>
      </c>
    </row>
    <row r="293" spans="2:7" x14ac:dyDescent="0.35">
      <c r="B293" s="5" t="s">
        <v>582</v>
      </c>
      <c r="C293" s="5"/>
      <c r="D293" s="17" t="s">
        <v>677</v>
      </c>
      <c r="E293" s="18" t="s">
        <v>247</v>
      </c>
      <c r="F293" s="19">
        <v>12</v>
      </c>
      <c r="G293" s="17">
        <v>1231</v>
      </c>
    </row>
    <row r="294" spans="2:7" x14ac:dyDescent="0.35">
      <c r="B294" s="5" t="s">
        <v>583</v>
      </c>
      <c r="C294" s="5"/>
      <c r="D294" s="17" t="s">
        <v>678</v>
      </c>
      <c r="E294" s="18" t="s">
        <v>247</v>
      </c>
      <c r="F294" s="19">
        <v>13</v>
      </c>
      <c r="G294" s="17">
        <v>1515</v>
      </c>
    </row>
    <row r="295" spans="2:7" x14ac:dyDescent="0.35">
      <c r="B295" s="5" t="s">
        <v>584</v>
      </c>
      <c r="C295" s="5"/>
      <c r="D295" s="17" t="s">
        <v>679</v>
      </c>
      <c r="E295" s="18" t="s">
        <v>247</v>
      </c>
      <c r="F295" s="19">
        <v>14</v>
      </c>
      <c r="G295" s="17">
        <v>1211</v>
      </c>
    </row>
    <row r="296" spans="2:7" x14ac:dyDescent="0.35">
      <c r="B296" s="5" t="s">
        <v>585</v>
      </c>
      <c r="C296" s="5"/>
      <c r="D296" s="17" t="s">
        <v>680</v>
      </c>
      <c r="E296" s="18" t="s">
        <v>247</v>
      </c>
      <c r="F296" s="19">
        <v>15</v>
      </c>
      <c r="G296" s="17">
        <v>2395</v>
      </c>
    </row>
    <row r="297" spans="2:7" x14ac:dyDescent="0.35">
      <c r="B297" s="5" t="s">
        <v>586</v>
      </c>
      <c r="C297" s="5"/>
      <c r="D297" s="17" t="s">
        <v>681</v>
      </c>
      <c r="E297" s="18" t="s">
        <v>247</v>
      </c>
      <c r="F297" s="19">
        <v>16</v>
      </c>
      <c r="G297" s="17">
        <v>2559</v>
      </c>
    </row>
    <row r="298" spans="2:7" x14ac:dyDescent="0.35">
      <c r="B298" s="5" t="s">
        <v>587</v>
      </c>
      <c r="C298" s="5"/>
      <c r="D298" s="17" t="s">
        <v>682</v>
      </c>
      <c r="E298" s="18" t="s">
        <v>247</v>
      </c>
      <c r="F298" s="19">
        <v>17</v>
      </c>
      <c r="G298" s="17">
        <v>1229</v>
      </c>
    </row>
    <row r="299" spans="2:7" x14ac:dyDescent="0.35">
      <c r="B299" s="5" t="s">
        <v>589</v>
      </c>
      <c r="C299" s="5"/>
      <c r="D299" s="17" t="s">
        <v>683</v>
      </c>
      <c r="E299" s="18" t="s">
        <v>247</v>
      </c>
      <c r="F299" s="19">
        <v>18</v>
      </c>
      <c r="G299" s="17">
        <v>6112</v>
      </c>
    </row>
    <row r="300" spans="2:7" x14ac:dyDescent="0.35">
      <c r="B300" s="5" t="s">
        <v>591</v>
      </c>
      <c r="C300" s="5"/>
      <c r="D300" s="17" t="s">
        <v>684</v>
      </c>
      <c r="E300" s="18" t="s">
        <v>247</v>
      </c>
      <c r="F300" s="19">
        <v>19</v>
      </c>
      <c r="G300" s="17">
        <v>795</v>
      </c>
    </row>
    <row r="301" spans="2:7" x14ac:dyDescent="0.35">
      <c r="B301" s="5" t="s">
        <v>593</v>
      </c>
      <c r="C301" s="5"/>
      <c r="D301" s="17" t="s">
        <v>685</v>
      </c>
      <c r="E301" s="18" t="s">
        <v>247</v>
      </c>
      <c r="F301" s="19">
        <v>20</v>
      </c>
      <c r="G301" s="17">
        <v>948</v>
      </c>
    </row>
    <row r="302" spans="2:7" x14ac:dyDescent="0.35">
      <c r="B302" s="5" t="s">
        <v>595</v>
      </c>
      <c r="C302" s="5"/>
      <c r="D302" s="17" t="s">
        <v>686</v>
      </c>
      <c r="E302" s="18" t="s">
        <v>247</v>
      </c>
      <c r="F302" s="19">
        <v>21</v>
      </c>
      <c r="G302" s="17">
        <v>6133</v>
      </c>
    </row>
    <row r="303" spans="2:7" x14ac:dyDescent="0.35">
      <c r="B303" s="5" t="s">
        <v>597</v>
      </c>
      <c r="C303" s="5"/>
      <c r="D303" s="17" t="s">
        <v>687</v>
      </c>
      <c r="E303" s="18" t="s">
        <v>247</v>
      </c>
      <c r="F303" s="19">
        <v>22</v>
      </c>
      <c r="G303" s="17">
        <v>3226</v>
      </c>
    </row>
    <row r="304" spans="2:7" x14ac:dyDescent="0.35">
      <c r="B304" s="5" t="s">
        <v>599</v>
      </c>
      <c r="C304" s="5"/>
      <c r="D304" s="17" t="s">
        <v>688</v>
      </c>
      <c r="E304" s="18" t="s">
        <v>247</v>
      </c>
      <c r="F304" s="19">
        <v>23</v>
      </c>
      <c r="G304" s="17">
        <v>24098</v>
      </c>
    </row>
    <row r="305" spans="2:7" x14ac:dyDescent="0.35">
      <c r="B305" s="5" t="s">
        <v>601</v>
      </c>
      <c r="C305" s="5"/>
      <c r="D305" s="17" t="s">
        <v>689</v>
      </c>
      <c r="E305" s="18" t="s">
        <v>247</v>
      </c>
      <c r="F305" s="19">
        <v>24</v>
      </c>
      <c r="G305" s="17">
        <v>2523</v>
      </c>
    </row>
    <row r="306" spans="2:7" x14ac:dyDescent="0.35">
      <c r="B306" s="5" t="s">
        <v>603</v>
      </c>
      <c r="C306" s="5"/>
      <c r="D306" s="17" t="s">
        <v>690</v>
      </c>
      <c r="E306" s="18" t="s">
        <v>247</v>
      </c>
      <c r="F306" s="19">
        <v>25</v>
      </c>
      <c r="G306" s="17">
        <v>846</v>
      </c>
    </row>
    <row r="307" spans="2:7" x14ac:dyDescent="0.35">
      <c r="B307" s="5" t="s">
        <v>605</v>
      </c>
      <c r="C307" s="5"/>
      <c r="D307" s="17" t="s">
        <v>691</v>
      </c>
      <c r="E307" s="18" t="s">
        <v>247</v>
      </c>
      <c r="F307" s="19">
        <v>26</v>
      </c>
      <c r="G307" s="17">
        <v>18673</v>
      </c>
    </row>
    <row r="308" spans="2:7" x14ac:dyDescent="0.35">
      <c r="B308" s="5" t="s">
        <v>607</v>
      </c>
      <c r="C308" s="5"/>
      <c r="D308" s="17" t="s">
        <v>692</v>
      </c>
      <c r="E308" s="18" t="s">
        <v>247</v>
      </c>
      <c r="F308" s="19">
        <v>27</v>
      </c>
      <c r="G308" s="17">
        <v>1230</v>
      </c>
    </row>
    <row r="309" spans="2:7" x14ac:dyDescent="0.35">
      <c r="B309" s="5" t="s">
        <v>609</v>
      </c>
      <c r="C309" s="5"/>
      <c r="D309" s="17" t="s">
        <v>693</v>
      </c>
      <c r="E309" s="18" t="s">
        <v>247</v>
      </c>
      <c r="F309" s="19">
        <v>28</v>
      </c>
      <c r="G309" s="17">
        <v>2804</v>
      </c>
    </row>
    <row r="310" spans="2:7" x14ac:dyDescent="0.35">
      <c r="B310" s="5" t="s">
        <v>610</v>
      </c>
      <c r="C310" s="5"/>
      <c r="D310" s="17" t="s">
        <v>694</v>
      </c>
      <c r="E310" s="18" t="s">
        <v>247</v>
      </c>
      <c r="F310" s="19">
        <v>29</v>
      </c>
      <c r="G310" s="17">
        <v>3471</v>
      </c>
    </row>
    <row r="311" spans="2:7" x14ac:dyDescent="0.35">
      <c r="B311" s="5" t="s">
        <v>611</v>
      </c>
      <c r="C311" s="5"/>
      <c r="D311" s="17" t="s">
        <v>695</v>
      </c>
      <c r="E311" s="18" t="s">
        <v>247</v>
      </c>
      <c r="F311" s="19">
        <v>30</v>
      </c>
      <c r="G311" s="17">
        <v>2161</v>
      </c>
    </row>
    <row r="312" spans="2:7" x14ac:dyDescent="0.35">
      <c r="B312" s="5" t="s">
        <v>612</v>
      </c>
      <c r="C312" s="5"/>
      <c r="D312" s="17" t="s">
        <v>696</v>
      </c>
      <c r="E312" s="18" t="s">
        <v>247</v>
      </c>
      <c r="F312" s="19">
        <v>31</v>
      </c>
      <c r="G312" s="17">
        <v>745</v>
      </c>
    </row>
    <row r="313" spans="2:7" x14ac:dyDescent="0.35">
      <c r="B313" s="5" t="s">
        <v>613</v>
      </c>
      <c r="C313" s="5"/>
      <c r="D313" s="17" t="s">
        <v>697</v>
      </c>
      <c r="E313" s="18" t="s">
        <v>247</v>
      </c>
      <c r="F313" s="19">
        <v>32</v>
      </c>
      <c r="G313" s="17">
        <v>10974</v>
      </c>
    </row>
    <row r="314" spans="2:7" x14ac:dyDescent="0.35">
      <c r="B314" s="5" t="s">
        <v>614</v>
      </c>
      <c r="C314" s="5"/>
      <c r="D314" s="17" t="s">
        <v>698</v>
      </c>
      <c r="E314" s="18" t="s">
        <v>247</v>
      </c>
      <c r="F314" s="19">
        <v>33</v>
      </c>
      <c r="G314" s="17">
        <v>299</v>
      </c>
    </row>
    <row r="315" spans="2:7" x14ac:dyDescent="0.35">
      <c r="B315" s="5" t="s">
        <v>615</v>
      </c>
      <c r="C315" s="5"/>
      <c r="D315" s="17" t="s">
        <v>699</v>
      </c>
      <c r="E315" s="18" t="s">
        <v>247</v>
      </c>
      <c r="F315" s="19">
        <v>34</v>
      </c>
      <c r="G315" s="17">
        <v>1528</v>
      </c>
    </row>
    <row r="316" spans="2:7" x14ac:dyDescent="0.35">
      <c r="B316" s="5" t="s">
        <v>616</v>
      </c>
      <c r="C316" s="5"/>
      <c r="D316" s="17" t="s">
        <v>700</v>
      </c>
      <c r="E316" s="18" t="s">
        <v>247</v>
      </c>
      <c r="F316" s="19">
        <v>35</v>
      </c>
      <c r="G316" s="17">
        <v>862</v>
      </c>
    </row>
    <row r="317" spans="2:7" x14ac:dyDescent="0.35">
      <c r="B317" s="5" t="s">
        <v>617</v>
      </c>
      <c r="C317" s="5"/>
      <c r="D317" s="17" t="s">
        <v>701</v>
      </c>
      <c r="E317" s="18" t="s">
        <v>247</v>
      </c>
      <c r="F317" s="19">
        <v>36</v>
      </c>
      <c r="G317" s="17">
        <v>1180</v>
      </c>
    </row>
    <row r="318" spans="2:7" x14ac:dyDescent="0.35">
      <c r="B318" s="5" t="s">
        <v>618</v>
      </c>
      <c r="C318" s="5"/>
      <c r="D318" s="17" t="s">
        <v>702</v>
      </c>
      <c r="E318" s="18" t="s">
        <v>247</v>
      </c>
      <c r="F318" s="19">
        <v>37</v>
      </c>
      <c r="G318" s="17">
        <v>2724</v>
      </c>
    </row>
    <row r="319" spans="2:7" x14ac:dyDescent="0.35">
      <c r="B319" s="5" t="s">
        <v>703</v>
      </c>
      <c r="C319" s="5"/>
      <c r="D319" s="17" t="s">
        <v>704</v>
      </c>
      <c r="E319" s="18" t="s">
        <v>247</v>
      </c>
      <c r="F319" s="19">
        <v>38</v>
      </c>
      <c r="G319" s="17">
        <v>4060</v>
      </c>
    </row>
    <row r="320" spans="2:7" x14ac:dyDescent="0.35">
      <c r="B320" s="5" t="s">
        <v>705</v>
      </c>
      <c r="C320" s="5"/>
      <c r="D320" s="17" t="s">
        <v>706</v>
      </c>
      <c r="E320" s="18" t="s">
        <v>247</v>
      </c>
      <c r="F320" s="19">
        <v>39</v>
      </c>
      <c r="G320" s="17">
        <v>5094</v>
      </c>
    </row>
    <row r="321" spans="2:7" x14ac:dyDescent="0.35">
      <c r="B321" s="5" t="s">
        <v>707</v>
      </c>
      <c r="C321" s="5"/>
      <c r="D321" s="17" t="s">
        <v>708</v>
      </c>
      <c r="E321" s="18" t="s">
        <v>247</v>
      </c>
      <c r="F321" s="19">
        <v>40</v>
      </c>
      <c r="G321" s="17">
        <v>16662</v>
      </c>
    </row>
    <row r="322" spans="2:7" x14ac:dyDescent="0.35">
      <c r="B322" s="5" t="s">
        <v>709</v>
      </c>
      <c r="C322" s="5"/>
      <c r="D322" s="17" t="s">
        <v>710</v>
      </c>
      <c r="E322" s="18" t="s">
        <v>247</v>
      </c>
      <c r="F322" s="19">
        <v>41</v>
      </c>
      <c r="G322" s="17">
        <v>558</v>
      </c>
    </row>
    <row r="323" spans="2:7" x14ac:dyDescent="0.35">
      <c r="B323" s="5" t="s">
        <v>711</v>
      </c>
      <c r="C323" s="5"/>
      <c r="D323" s="17" t="s">
        <v>712</v>
      </c>
      <c r="E323" s="18" t="s">
        <v>247</v>
      </c>
      <c r="F323" s="19">
        <v>42</v>
      </c>
      <c r="G323" s="17">
        <v>10790</v>
      </c>
    </row>
    <row r="324" spans="2:7" x14ac:dyDescent="0.35">
      <c r="B324" s="5" t="s">
        <v>713</v>
      </c>
      <c r="C324" s="5"/>
      <c r="D324" s="17" t="s">
        <v>714</v>
      </c>
      <c r="E324" s="18" t="s">
        <v>247</v>
      </c>
      <c r="F324" s="19">
        <v>43</v>
      </c>
      <c r="G324" s="17">
        <v>3642</v>
      </c>
    </row>
    <row r="325" spans="2:7" x14ac:dyDescent="0.35">
      <c r="B325" s="5" t="s">
        <v>715</v>
      </c>
      <c r="C325" s="5"/>
      <c r="D325" s="17" t="s">
        <v>716</v>
      </c>
      <c r="E325" s="18" t="s">
        <v>247</v>
      </c>
      <c r="F325" s="19">
        <v>44</v>
      </c>
      <c r="G325" s="17">
        <v>655</v>
      </c>
    </row>
    <row r="326" spans="2:7" x14ac:dyDescent="0.35">
      <c r="B326" s="5" t="s">
        <v>717</v>
      </c>
      <c r="C326" s="5"/>
      <c r="D326" s="17" t="s">
        <v>718</v>
      </c>
      <c r="E326" s="18" t="s">
        <v>247</v>
      </c>
      <c r="F326" s="19">
        <v>45</v>
      </c>
      <c r="G326" s="17">
        <v>1573</v>
      </c>
    </row>
    <row r="327" spans="2:7" x14ac:dyDescent="0.35">
      <c r="B327" s="5" t="s">
        <v>619</v>
      </c>
      <c r="C327" s="5"/>
      <c r="D327" s="17" t="s">
        <v>719</v>
      </c>
      <c r="E327" s="18" t="s">
        <v>247</v>
      </c>
      <c r="F327" s="19">
        <v>46</v>
      </c>
      <c r="G327" s="17">
        <v>11015</v>
      </c>
    </row>
    <row r="328" spans="2:7" x14ac:dyDescent="0.35">
      <c r="B328" s="5" t="s">
        <v>620</v>
      </c>
      <c r="C328" s="5"/>
      <c r="D328" s="17" t="s">
        <v>720</v>
      </c>
      <c r="E328" s="18" t="s">
        <v>248</v>
      </c>
      <c r="F328" s="19">
        <v>1</v>
      </c>
      <c r="G328" s="17">
        <v>5901</v>
      </c>
    </row>
    <row r="329" spans="2:7" x14ac:dyDescent="0.35">
      <c r="B329" s="5" t="s">
        <v>621</v>
      </c>
      <c r="C329" s="5"/>
      <c r="D329" s="17" t="s">
        <v>721</v>
      </c>
      <c r="E329" s="18" t="s">
        <v>248</v>
      </c>
      <c r="F329" s="19">
        <v>2</v>
      </c>
      <c r="G329" s="17">
        <v>7560</v>
      </c>
    </row>
    <row r="330" spans="2:7" x14ac:dyDescent="0.35">
      <c r="B330" s="5" t="s">
        <v>622</v>
      </c>
      <c r="C330" s="5"/>
      <c r="D330" s="17" t="s">
        <v>722</v>
      </c>
      <c r="E330" s="18" t="s">
        <v>248</v>
      </c>
      <c r="F330" s="19">
        <v>3</v>
      </c>
      <c r="G330" s="17">
        <v>5233</v>
      </c>
    </row>
    <row r="331" spans="2:7" x14ac:dyDescent="0.35">
      <c r="B331" s="5" t="s">
        <v>623</v>
      </c>
      <c r="C331" s="5"/>
      <c r="D331" s="17" t="s">
        <v>723</v>
      </c>
      <c r="E331" s="18" t="s">
        <v>248</v>
      </c>
      <c r="F331" s="19">
        <v>4</v>
      </c>
      <c r="G331" s="17">
        <v>2692</v>
      </c>
    </row>
    <row r="332" spans="2:7" x14ac:dyDescent="0.35">
      <c r="B332" s="5" t="s">
        <v>624</v>
      </c>
      <c r="C332" s="5"/>
      <c r="D332" s="17" t="s">
        <v>724</v>
      </c>
      <c r="E332" s="18" t="s">
        <v>249</v>
      </c>
      <c r="F332" s="19">
        <v>1</v>
      </c>
      <c r="G332" s="17">
        <v>17215</v>
      </c>
    </row>
    <row r="333" spans="2:7" x14ac:dyDescent="0.35">
      <c r="B333" s="5" t="s">
        <v>625</v>
      </c>
      <c r="C333" s="5"/>
      <c r="D333" s="17" t="s">
        <v>725</v>
      </c>
      <c r="E333" s="18" t="s">
        <v>249</v>
      </c>
      <c r="F333" s="19">
        <v>2</v>
      </c>
      <c r="G333" s="17">
        <v>42669</v>
      </c>
    </row>
    <row r="334" spans="2:7" x14ac:dyDescent="0.35">
      <c r="B334" s="5" t="s">
        <v>626</v>
      </c>
      <c r="C334" s="5"/>
      <c r="D334" s="17" t="s">
        <v>726</v>
      </c>
      <c r="E334" s="18" t="s">
        <v>249</v>
      </c>
      <c r="F334" s="19">
        <v>3</v>
      </c>
      <c r="G334" s="17">
        <v>24026</v>
      </c>
    </row>
    <row r="335" spans="2:7" x14ac:dyDescent="0.35">
      <c r="B335" s="5" t="s">
        <v>627</v>
      </c>
      <c r="C335" s="5"/>
      <c r="D335" s="17" t="s">
        <v>727</v>
      </c>
      <c r="E335" s="18" t="s">
        <v>249</v>
      </c>
      <c r="F335" s="19">
        <v>4</v>
      </c>
      <c r="G335" s="17">
        <v>66214</v>
      </c>
    </row>
    <row r="336" spans="2:7" x14ac:dyDescent="0.35">
      <c r="B336" s="5" t="s">
        <v>628</v>
      </c>
      <c r="C336" s="5"/>
      <c r="D336" s="17" t="s">
        <v>728</v>
      </c>
      <c r="E336" s="18" t="s">
        <v>249</v>
      </c>
      <c r="F336" s="19">
        <v>5</v>
      </c>
      <c r="G336" s="17">
        <v>15797</v>
      </c>
    </row>
    <row r="337" spans="2:7" x14ac:dyDescent="0.35">
      <c r="B337" s="5" t="s">
        <v>629</v>
      </c>
      <c r="C337" s="5"/>
      <c r="D337" s="17" t="s">
        <v>729</v>
      </c>
      <c r="E337" s="18" t="s">
        <v>249</v>
      </c>
      <c r="F337" s="19">
        <v>6</v>
      </c>
      <c r="G337" s="17">
        <v>35777</v>
      </c>
    </row>
    <row r="338" spans="2:7" x14ac:dyDescent="0.35">
      <c r="B338" s="5" t="s">
        <v>631</v>
      </c>
      <c r="C338" s="5"/>
      <c r="D338" s="17" t="s">
        <v>730</v>
      </c>
      <c r="E338" s="18" t="s">
        <v>249</v>
      </c>
      <c r="F338" s="19">
        <v>7</v>
      </c>
      <c r="G338" s="17">
        <v>12572</v>
      </c>
    </row>
    <row r="339" spans="2:7" x14ac:dyDescent="0.35">
      <c r="B339" s="5" t="s">
        <v>633</v>
      </c>
      <c r="C339" s="5"/>
      <c r="D339" s="17" t="s">
        <v>731</v>
      </c>
      <c r="E339" s="18" t="s">
        <v>249</v>
      </c>
      <c r="F339" s="19">
        <v>8</v>
      </c>
      <c r="G339" s="17">
        <v>17152</v>
      </c>
    </row>
    <row r="340" spans="2:7" x14ac:dyDescent="0.35">
      <c r="B340" s="5" t="s">
        <v>635</v>
      </c>
      <c r="C340" s="5"/>
      <c r="D340" s="17" t="s">
        <v>732</v>
      </c>
      <c r="E340" s="18" t="s">
        <v>250</v>
      </c>
      <c r="F340" s="19">
        <v>1</v>
      </c>
      <c r="G340" s="17">
        <v>4357</v>
      </c>
    </row>
    <row r="341" spans="2:7" x14ac:dyDescent="0.35">
      <c r="B341" s="5" t="s">
        <v>637</v>
      </c>
      <c r="C341" s="5"/>
      <c r="D341" s="17" t="s">
        <v>733</v>
      </c>
      <c r="E341" s="18" t="s">
        <v>250</v>
      </c>
      <c r="F341" s="19">
        <v>2</v>
      </c>
      <c r="G341" s="17">
        <v>6126</v>
      </c>
    </row>
    <row r="342" spans="2:7" x14ac:dyDescent="0.35">
      <c r="B342" s="5" t="s">
        <v>639</v>
      </c>
      <c r="C342" s="5"/>
      <c r="D342" s="17" t="s">
        <v>734</v>
      </c>
      <c r="E342" s="18" t="s">
        <v>250</v>
      </c>
      <c r="F342" s="19">
        <v>3</v>
      </c>
      <c r="G342" s="17">
        <v>102355</v>
      </c>
    </row>
    <row r="343" spans="2:7" x14ac:dyDescent="0.35">
      <c r="B343" s="5" t="s">
        <v>641</v>
      </c>
      <c r="C343" s="5"/>
      <c r="D343" s="17" t="s">
        <v>735</v>
      </c>
      <c r="E343" s="18" t="s">
        <v>250</v>
      </c>
      <c r="F343" s="19">
        <v>4</v>
      </c>
      <c r="G343" s="17">
        <v>12332</v>
      </c>
    </row>
    <row r="344" spans="2:7" x14ac:dyDescent="0.35">
      <c r="B344" s="5" t="s">
        <v>643</v>
      </c>
      <c r="C344" s="5"/>
      <c r="D344" s="17" t="s">
        <v>736</v>
      </c>
      <c r="E344" s="18" t="s">
        <v>250</v>
      </c>
      <c r="F344" s="19">
        <v>5</v>
      </c>
      <c r="G344" s="17">
        <v>18256</v>
      </c>
    </row>
    <row r="345" spans="2:7" x14ac:dyDescent="0.35">
      <c r="B345" s="5" t="s">
        <v>645</v>
      </c>
      <c r="C345" s="5"/>
      <c r="D345" s="17" t="s">
        <v>737</v>
      </c>
      <c r="E345" s="18" t="s">
        <v>250</v>
      </c>
      <c r="F345" s="19">
        <v>6</v>
      </c>
      <c r="G345" s="17">
        <v>5966</v>
      </c>
    </row>
    <row r="346" spans="2:7" x14ac:dyDescent="0.35">
      <c r="B346" s="5" t="s">
        <v>647</v>
      </c>
      <c r="C346" s="5"/>
      <c r="D346" s="17" t="s">
        <v>738</v>
      </c>
      <c r="E346" s="18" t="s">
        <v>250</v>
      </c>
      <c r="F346" s="19">
        <v>7</v>
      </c>
      <c r="G346" s="17">
        <v>14614</v>
      </c>
    </row>
    <row r="347" spans="2:7" x14ac:dyDescent="0.35">
      <c r="B347" s="5" t="s">
        <v>648</v>
      </c>
      <c r="C347" s="5"/>
      <c r="D347" s="17" t="s">
        <v>739</v>
      </c>
      <c r="E347" s="18" t="s">
        <v>250</v>
      </c>
      <c r="F347" s="19">
        <v>8</v>
      </c>
      <c r="G347" s="17">
        <v>335297</v>
      </c>
    </row>
    <row r="348" spans="2:7" x14ac:dyDescent="0.35">
      <c r="B348" s="5" t="s">
        <v>649</v>
      </c>
      <c r="C348" s="5"/>
      <c r="D348" s="17" t="s">
        <v>740</v>
      </c>
      <c r="E348" s="18" t="s">
        <v>250</v>
      </c>
      <c r="F348" s="19">
        <v>9</v>
      </c>
      <c r="G348" s="17">
        <v>55131</v>
      </c>
    </row>
    <row r="349" spans="2:7" x14ac:dyDescent="0.35">
      <c r="B349" s="5" t="s">
        <v>650</v>
      </c>
      <c r="C349" s="5"/>
      <c r="D349" s="17" t="s">
        <v>741</v>
      </c>
      <c r="E349" s="18" t="s">
        <v>250</v>
      </c>
      <c r="F349" s="19">
        <v>10</v>
      </c>
      <c r="G349" s="17">
        <v>322173</v>
      </c>
    </row>
    <row r="350" spans="2:7" x14ac:dyDescent="0.35">
      <c r="B350" s="5" t="s">
        <v>651</v>
      </c>
      <c r="C350" s="5"/>
      <c r="D350" s="17" t="s">
        <v>742</v>
      </c>
      <c r="E350" s="18" t="s">
        <v>250</v>
      </c>
      <c r="F350" s="19">
        <v>11</v>
      </c>
      <c r="G350" s="17">
        <v>9433</v>
      </c>
    </row>
    <row r="351" spans="2:7" x14ac:dyDescent="0.35">
      <c r="B351" s="5" t="s">
        <v>652</v>
      </c>
      <c r="C351" s="5"/>
      <c r="D351" s="17" t="s">
        <v>743</v>
      </c>
      <c r="E351" s="18" t="s">
        <v>250</v>
      </c>
      <c r="F351" s="19">
        <v>12</v>
      </c>
      <c r="G351" s="17">
        <v>11055</v>
      </c>
    </row>
    <row r="352" spans="2:7" x14ac:dyDescent="0.35">
      <c r="B352" s="5" t="s">
        <v>653</v>
      </c>
      <c r="C352" s="5"/>
      <c r="D352" s="17" t="s">
        <v>744</v>
      </c>
      <c r="E352" s="18" t="s">
        <v>250</v>
      </c>
      <c r="F352" s="19">
        <v>13</v>
      </c>
      <c r="G352" s="17">
        <v>7058</v>
      </c>
    </row>
    <row r="353" spans="2:7" x14ac:dyDescent="0.35">
      <c r="B353" s="5" t="s">
        <v>654</v>
      </c>
      <c r="C353" s="5"/>
      <c r="D353" s="17" t="s">
        <v>745</v>
      </c>
      <c r="E353" s="18" t="s">
        <v>250</v>
      </c>
      <c r="F353" s="19">
        <v>14</v>
      </c>
      <c r="G353" s="17">
        <v>8615</v>
      </c>
    </row>
    <row r="354" spans="2:7" x14ac:dyDescent="0.35">
      <c r="B354" s="5" t="s">
        <v>655</v>
      </c>
      <c r="C354" s="5"/>
      <c r="D354" s="17" t="s">
        <v>746</v>
      </c>
      <c r="E354" s="18" t="s">
        <v>250</v>
      </c>
      <c r="F354" s="19">
        <v>15</v>
      </c>
      <c r="G354" s="17">
        <v>35056</v>
      </c>
    </row>
    <row r="355" spans="2:7" x14ac:dyDescent="0.35">
      <c r="B355" s="5" t="s">
        <v>655</v>
      </c>
      <c r="C355" s="5"/>
      <c r="D355" s="17" t="s">
        <v>747</v>
      </c>
      <c r="E355" s="18" t="s">
        <v>250</v>
      </c>
      <c r="F355" s="19">
        <v>16</v>
      </c>
      <c r="G355" s="17">
        <v>3948</v>
      </c>
    </row>
    <row r="356" spans="2:7" x14ac:dyDescent="0.35">
      <c r="B356" s="5" t="s">
        <v>656</v>
      </c>
      <c r="C356" s="5"/>
      <c r="D356" s="17" t="s">
        <v>748</v>
      </c>
      <c r="E356" s="18" t="s">
        <v>250</v>
      </c>
      <c r="F356" s="19">
        <v>17</v>
      </c>
      <c r="G356" s="17">
        <v>4308</v>
      </c>
    </row>
    <row r="357" spans="2:7" x14ac:dyDescent="0.35">
      <c r="B357" s="5" t="s">
        <v>657</v>
      </c>
      <c r="C357" s="5"/>
      <c r="D357" s="17" t="s">
        <v>749</v>
      </c>
      <c r="E357" s="18" t="s">
        <v>250</v>
      </c>
      <c r="F357" s="19">
        <v>18</v>
      </c>
      <c r="G357" s="17">
        <v>3174</v>
      </c>
    </row>
    <row r="358" spans="2:7" x14ac:dyDescent="0.35">
      <c r="B358" s="5" t="s">
        <v>658</v>
      </c>
      <c r="C358" s="5"/>
      <c r="D358" s="17" t="s">
        <v>750</v>
      </c>
      <c r="E358" s="18" t="s">
        <v>250</v>
      </c>
      <c r="F358" s="19">
        <v>19</v>
      </c>
      <c r="G358" s="17">
        <v>112567</v>
      </c>
    </row>
    <row r="359" spans="2:7" x14ac:dyDescent="0.35">
      <c r="B359" s="5" t="s">
        <v>659</v>
      </c>
      <c r="C359" s="5"/>
      <c r="D359" s="17" t="s">
        <v>751</v>
      </c>
      <c r="E359" s="18" t="s">
        <v>250</v>
      </c>
      <c r="F359" s="19">
        <v>20</v>
      </c>
      <c r="G359" s="17">
        <v>4097</v>
      </c>
    </row>
    <row r="360" spans="2:7" x14ac:dyDescent="0.35">
      <c r="B360" s="5" t="s">
        <v>660</v>
      </c>
      <c r="C360" s="5"/>
      <c r="D360" s="17" t="s">
        <v>752</v>
      </c>
      <c r="E360" s="18" t="s">
        <v>250</v>
      </c>
      <c r="F360" s="19">
        <v>21</v>
      </c>
      <c r="G360" s="17">
        <v>2502</v>
      </c>
    </row>
    <row r="361" spans="2:7" x14ac:dyDescent="0.35">
      <c r="B361" s="5" t="s">
        <v>661</v>
      </c>
      <c r="C361" s="5"/>
      <c r="D361" s="17" t="s">
        <v>753</v>
      </c>
      <c r="E361" s="18" t="s">
        <v>250</v>
      </c>
      <c r="F361" s="19">
        <v>22</v>
      </c>
      <c r="G361" s="17">
        <v>8521</v>
      </c>
    </row>
    <row r="362" spans="2:7" x14ac:dyDescent="0.35">
      <c r="B362" s="5" t="s">
        <v>662</v>
      </c>
      <c r="C362" s="5"/>
      <c r="D362" s="17" t="s">
        <v>754</v>
      </c>
      <c r="E362" s="18" t="s">
        <v>250</v>
      </c>
      <c r="F362" s="19">
        <v>23</v>
      </c>
      <c r="G362" s="17">
        <v>3646</v>
      </c>
    </row>
    <row r="363" spans="2:7" x14ac:dyDescent="0.35">
      <c r="B363" s="5" t="s">
        <v>663</v>
      </c>
      <c r="C363" s="5"/>
      <c r="D363" s="17" t="s">
        <v>755</v>
      </c>
      <c r="E363" s="18" t="s">
        <v>250</v>
      </c>
      <c r="F363" s="19">
        <v>24</v>
      </c>
      <c r="G363" s="17">
        <v>7150</v>
      </c>
    </row>
    <row r="364" spans="2:7" x14ac:dyDescent="0.35">
      <c r="B364" s="5" t="s">
        <v>664</v>
      </c>
      <c r="C364" s="5"/>
      <c r="D364" s="17" t="s">
        <v>756</v>
      </c>
      <c r="E364" s="18" t="s">
        <v>250</v>
      </c>
      <c r="F364" s="19">
        <v>25</v>
      </c>
      <c r="G364" s="17">
        <v>3947</v>
      </c>
    </row>
    <row r="365" spans="2:7" x14ac:dyDescent="0.35">
      <c r="B365" s="5" t="s">
        <v>665</v>
      </c>
      <c r="C365" s="5"/>
      <c r="D365" s="17" t="s">
        <v>757</v>
      </c>
      <c r="E365" s="18" t="s">
        <v>250</v>
      </c>
      <c r="F365" s="19">
        <v>26</v>
      </c>
      <c r="G365" s="17">
        <v>103446</v>
      </c>
    </row>
    <row r="366" spans="2:7" x14ac:dyDescent="0.35">
      <c r="B366" s="5" t="s">
        <v>758</v>
      </c>
      <c r="C366" s="5"/>
      <c r="D366" s="17" t="s">
        <v>759</v>
      </c>
      <c r="E366" s="18" t="s">
        <v>251</v>
      </c>
      <c r="F366" s="19">
        <v>1</v>
      </c>
      <c r="G366" s="17">
        <v>6217</v>
      </c>
    </row>
    <row r="367" spans="2:7" x14ac:dyDescent="0.35">
      <c r="B367" s="5" t="s">
        <v>666</v>
      </c>
      <c r="C367" s="5"/>
      <c r="D367" s="17" t="s">
        <v>760</v>
      </c>
      <c r="E367" s="18" t="s">
        <v>251</v>
      </c>
      <c r="F367" s="19">
        <v>2</v>
      </c>
      <c r="G367" s="17">
        <v>11803</v>
      </c>
    </row>
    <row r="368" spans="2:7" x14ac:dyDescent="0.35">
      <c r="B368" s="5" t="s">
        <v>667</v>
      </c>
      <c r="C368" s="5"/>
      <c r="D368" s="17" t="s">
        <v>761</v>
      </c>
      <c r="E368" s="18" t="s">
        <v>251</v>
      </c>
      <c r="F368" s="19">
        <v>3</v>
      </c>
      <c r="G368" s="17">
        <v>72638</v>
      </c>
    </row>
    <row r="369" spans="2:7" x14ac:dyDescent="0.35">
      <c r="B369" s="5" t="s">
        <v>668</v>
      </c>
      <c r="C369" s="5"/>
      <c r="D369" s="17" t="s">
        <v>762</v>
      </c>
      <c r="E369" s="18" t="s">
        <v>251</v>
      </c>
      <c r="F369" s="19">
        <v>4</v>
      </c>
      <c r="G369" s="17">
        <v>28382</v>
      </c>
    </row>
    <row r="370" spans="2:7" x14ac:dyDescent="0.35">
      <c r="B370" s="5" t="s">
        <v>669</v>
      </c>
      <c r="C370" s="5"/>
      <c r="D370" s="17" t="s">
        <v>763</v>
      </c>
      <c r="E370" s="18" t="s">
        <v>251</v>
      </c>
      <c r="F370" s="19">
        <v>5</v>
      </c>
      <c r="G370" s="17">
        <v>11914</v>
      </c>
    </row>
    <row r="371" spans="2:7" x14ac:dyDescent="0.35">
      <c r="B371" s="5" t="s">
        <v>670</v>
      </c>
      <c r="C371" s="5"/>
      <c r="D371" s="17" t="s">
        <v>764</v>
      </c>
      <c r="E371" s="18" t="s">
        <v>251</v>
      </c>
      <c r="F371" s="19">
        <v>6</v>
      </c>
      <c r="G371" s="17">
        <v>9655</v>
      </c>
    </row>
    <row r="372" spans="2:7" x14ac:dyDescent="0.35">
      <c r="B372" s="5" t="s">
        <v>671</v>
      </c>
      <c r="C372" s="5"/>
      <c r="D372" s="17" t="s">
        <v>765</v>
      </c>
      <c r="E372" s="18" t="s">
        <v>252</v>
      </c>
      <c r="F372" s="19">
        <v>1</v>
      </c>
      <c r="G372" s="17">
        <v>5660</v>
      </c>
    </row>
    <row r="373" spans="2:7" x14ac:dyDescent="0.35">
      <c r="B373" s="5" t="s">
        <v>672</v>
      </c>
      <c r="C373" s="5"/>
      <c r="D373" s="17" t="s">
        <v>766</v>
      </c>
      <c r="E373" s="18" t="s">
        <v>252</v>
      </c>
      <c r="F373" s="19">
        <v>2</v>
      </c>
      <c r="G373" s="17">
        <v>10318</v>
      </c>
    </row>
    <row r="374" spans="2:7" x14ac:dyDescent="0.35">
      <c r="B374" s="5" t="s">
        <v>673</v>
      </c>
      <c r="C374" s="5"/>
      <c r="D374" s="17" t="s">
        <v>767</v>
      </c>
      <c r="E374" s="18" t="s">
        <v>252</v>
      </c>
      <c r="F374" s="19">
        <v>3</v>
      </c>
      <c r="G374" s="17">
        <v>5902</v>
      </c>
    </row>
    <row r="375" spans="2:7" x14ac:dyDescent="0.35">
      <c r="B375" s="5" t="s">
        <v>674</v>
      </c>
      <c r="C375" s="5"/>
      <c r="D375" s="17" t="s">
        <v>768</v>
      </c>
      <c r="E375" s="18" t="s">
        <v>252</v>
      </c>
      <c r="F375" s="19">
        <v>4</v>
      </c>
      <c r="G375" s="17">
        <v>4728</v>
      </c>
    </row>
    <row r="376" spans="2:7" x14ac:dyDescent="0.35">
      <c r="B376" s="5" t="s">
        <v>675</v>
      </c>
      <c r="C376" s="5"/>
      <c r="D376" s="17" t="s">
        <v>769</v>
      </c>
      <c r="E376" s="18" t="s">
        <v>252</v>
      </c>
      <c r="F376" s="19">
        <v>5</v>
      </c>
      <c r="G376" s="17">
        <v>3549</v>
      </c>
    </row>
    <row r="377" spans="2:7" x14ac:dyDescent="0.35">
      <c r="B377" s="5" t="s">
        <v>676</v>
      </c>
      <c r="C377" s="5"/>
      <c r="D377" s="17" t="s">
        <v>770</v>
      </c>
      <c r="E377" s="18" t="s">
        <v>252</v>
      </c>
      <c r="F377" s="19">
        <v>6</v>
      </c>
      <c r="G377" s="17">
        <v>11626</v>
      </c>
    </row>
    <row r="378" spans="2:7" x14ac:dyDescent="0.35">
      <c r="B378" s="5" t="s">
        <v>677</v>
      </c>
      <c r="C378" s="5"/>
      <c r="D378" s="17" t="s">
        <v>771</v>
      </c>
      <c r="E378" s="18" t="s">
        <v>252</v>
      </c>
      <c r="F378" s="19">
        <v>7</v>
      </c>
      <c r="G378" s="17">
        <v>66333</v>
      </c>
    </row>
    <row r="379" spans="2:7" x14ac:dyDescent="0.35">
      <c r="B379" s="5" t="s">
        <v>678</v>
      </c>
      <c r="C379" s="5"/>
      <c r="D379" s="17" t="s">
        <v>772</v>
      </c>
      <c r="E379" s="18" t="s">
        <v>252</v>
      </c>
      <c r="F379" s="19">
        <v>8</v>
      </c>
      <c r="G379" s="17">
        <v>14766</v>
      </c>
    </row>
    <row r="380" spans="2:7" x14ac:dyDescent="0.35">
      <c r="B380" s="5" t="s">
        <v>679</v>
      </c>
      <c r="C380" s="5"/>
      <c r="D380" s="17" t="s">
        <v>773</v>
      </c>
      <c r="E380" s="18" t="s">
        <v>252</v>
      </c>
      <c r="F380" s="19">
        <v>9</v>
      </c>
      <c r="G380" s="17">
        <v>63459</v>
      </c>
    </row>
    <row r="381" spans="2:7" x14ac:dyDescent="0.35">
      <c r="B381" s="5" t="s">
        <v>680</v>
      </c>
      <c r="C381" s="5"/>
      <c r="D381" s="17" t="s">
        <v>774</v>
      </c>
      <c r="E381" s="18" t="s">
        <v>252</v>
      </c>
      <c r="F381" s="19">
        <v>10</v>
      </c>
      <c r="G381" s="17">
        <v>147541</v>
      </c>
    </row>
    <row r="382" spans="2:7" x14ac:dyDescent="0.35">
      <c r="B382" s="5" t="s">
        <v>681</v>
      </c>
      <c r="C382" s="5"/>
      <c r="D382" s="17" t="s">
        <v>775</v>
      </c>
      <c r="E382" s="18" t="s">
        <v>252</v>
      </c>
      <c r="F382" s="19">
        <v>11</v>
      </c>
      <c r="G382" s="17">
        <v>4283</v>
      </c>
    </row>
    <row r="383" spans="2:7" x14ac:dyDescent="0.35">
      <c r="B383" s="5" t="s">
        <v>682</v>
      </c>
      <c r="C383" s="5"/>
      <c r="D383" s="17" t="s">
        <v>776</v>
      </c>
      <c r="E383" s="18" t="s">
        <v>252</v>
      </c>
      <c r="F383" s="19">
        <v>12</v>
      </c>
      <c r="G383" s="17">
        <v>46967</v>
      </c>
    </row>
    <row r="384" spans="2:7" x14ac:dyDescent="0.35">
      <c r="B384" s="5" t="s">
        <v>683</v>
      </c>
      <c r="C384" s="5"/>
      <c r="D384" s="17" t="s">
        <v>777</v>
      </c>
      <c r="E384" s="18" t="s">
        <v>254</v>
      </c>
      <c r="F384" s="19">
        <v>1</v>
      </c>
      <c r="G384" s="17">
        <v>33476</v>
      </c>
    </row>
    <row r="385" spans="2:7" x14ac:dyDescent="0.35">
      <c r="B385" s="5" t="s">
        <v>684</v>
      </c>
      <c r="C385" s="5"/>
      <c r="D385" s="17" t="s">
        <v>778</v>
      </c>
      <c r="E385" s="18" t="s">
        <v>254</v>
      </c>
      <c r="F385" s="19">
        <v>2</v>
      </c>
      <c r="G385" s="17">
        <v>14504</v>
      </c>
    </row>
    <row r="386" spans="2:7" x14ac:dyDescent="0.35">
      <c r="B386" s="5" t="s">
        <v>685</v>
      </c>
      <c r="C386" s="5"/>
      <c r="D386" s="17" t="s">
        <v>779</v>
      </c>
      <c r="E386" s="18" t="s">
        <v>254</v>
      </c>
      <c r="F386" s="19">
        <v>3</v>
      </c>
      <c r="G386" s="17">
        <v>6402</v>
      </c>
    </row>
    <row r="387" spans="2:7" x14ac:dyDescent="0.35">
      <c r="B387" s="5" t="s">
        <v>686</v>
      </c>
      <c r="C387" s="5"/>
      <c r="D387" s="17" t="s">
        <v>780</v>
      </c>
      <c r="E387" s="18" t="s">
        <v>254</v>
      </c>
      <c r="F387" s="19">
        <v>4</v>
      </c>
      <c r="G387" s="17">
        <v>8749</v>
      </c>
    </row>
    <row r="388" spans="2:7" x14ac:dyDescent="0.35">
      <c r="B388" s="5" t="s">
        <v>687</v>
      </c>
      <c r="C388" s="5"/>
      <c r="D388" s="17" t="s">
        <v>781</v>
      </c>
      <c r="E388" s="18" t="s">
        <v>254</v>
      </c>
      <c r="F388" s="19">
        <v>5</v>
      </c>
      <c r="G388" s="17">
        <v>6381</v>
      </c>
    </row>
    <row r="389" spans="2:7" x14ac:dyDescent="0.35">
      <c r="B389" s="5" t="s">
        <v>688</v>
      </c>
      <c r="C389" s="5"/>
      <c r="D389" s="17" t="s">
        <v>782</v>
      </c>
      <c r="E389" s="18" t="s">
        <v>254</v>
      </c>
      <c r="F389" s="19">
        <v>6</v>
      </c>
      <c r="G389" s="17">
        <v>8233</v>
      </c>
    </row>
    <row r="390" spans="2:7" x14ac:dyDescent="0.35">
      <c r="B390" s="5" t="s">
        <v>689</v>
      </c>
      <c r="C390" s="5"/>
      <c r="D390" s="17" t="s">
        <v>783</v>
      </c>
      <c r="E390" s="18" t="s">
        <v>254</v>
      </c>
      <c r="F390" s="19">
        <v>7</v>
      </c>
      <c r="G390" s="17">
        <v>5440</v>
      </c>
    </row>
    <row r="391" spans="2:7" x14ac:dyDescent="0.35">
      <c r="B391" s="5" t="s">
        <v>690</v>
      </c>
      <c r="C391" s="5"/>
      <c r="D391" s="17" t="s">
        <v>784</v>
      </c>
      <c r="E391" s="18" t="s">
        <v>254</v>
      </c>
      <c r="F391" s="19">
        <v>8</v>
      </c>
      <c r="G391" s="17">
        <v>7062</v>
      </c>
    </row>
    <row r="392" spans="2:7" x14ac:dyDescent="0.35">
      <c r="B392" s="5" t="s">
        <v>691</v>
      </c>
      <c r="C392" s="5"/>
      <c r="D392" s="17" t="s">
        <v>785</v>
      </c>
      <c r="E392" s="18" t="s">
        <v>254</v>
      </c>
      <c r="F392" s="19">
        <v>9</v>
      </c>
      <c r="G392" s="17">
        <v>11538</v>
      </c>
    </row>
    <row r="393" spans="2:7" x14ac:dyDescent="0.35">
      <c r="B393" s="5" t="s">
        <v>692</v>
      </c>
      <c r="C393" s="5"/>
      <c r="D393" s="17" t="s">
        <v>786</v>
      </c>
      <c r="E393" s="18" t="s">
        <v>254</v>
      </c>
      <c r="F393" s="19">
        <v>10</v>
      </c>
      <c r="G393" s="17">
        <v>14001</v>
      </c>
    </row>
    <row r="394" spans="2:7" x14ac:dyDescent="0.35">
      <c r="B394" s="5" t="s">
        <v>693</v>
      </c>
      <c r="C394" s="5"/>
      <c r="D394" s="17" t="s">
        <v>787</v>
      </c>
      <c r="E394" s="18" t="s">
        <v>254</v>
      </c>
      <c r="F394" s="19">
        <v>11</v>
      </c>
      <c r="G394" s="17">
        <v>25163</v>
      </c>
    </row>
    <row r="395" spans="2:7" x14ac:dyDescent="0.35">
      <c r="B395" s="5" t="s">
        <v>694</v>
      </c>
      <c r="C395" s="5"/>
      <c r="D395" s="17" t="s">
        <v>788</v>
      </c>
      <c r="E395" s="18" t="s">
        <v>254</v>
      </c>
      <c r="F395" s="19">
        <v>12</v>
      </c>
      <c r="G395" s="17">
        <v>19143</v>
      </c>
    </row>
    <row r="396" spans="2:7" x14ac:dyDescent="0.35">
      <c r="B396" s="5" t="s">
        <v>695</v>
      </c>
      <c r="C396" s="5"/>
      <c r="D396" s="17" t="s">
        <v>789</v>
      </c>
      <c r="E396" s="18" t="s">
        <v>254</v>
      </c>
      <c r="F396" s="19">
        <v>13</v>
      </c>
      <c r="G396" s="17">
        <v>6461</v>
      </c>
    </row>
    <row r="397" spans="2:7" x14ac:dyDescent="0.35">
      <c r="B397" s="5" t="s">
        <v>696</v>
      </c>
      <c r="C397" s="5"/>
      <c r="D397" s="17" t="s">
        <v>790</v>
      </c>
      <c r="E397" s="18" t="s">
        <v>254</v>
      </c>
      <c r="F397" s="19">
        <v>14</v>
      </c>
      <c r="G397" s="17">
        <v>14812</v>
      </c>
    </row>
    <row r="398" spans="2:7" x14ac:dyDescent="0.35">
      <c r="B398" s="5" t="s">
        <v>697</v>
      </c>
      <c r="C398" s="5"/>
      <c r="D398" s="17" t="s">
        <v>791</v>
      </c>
      <c r="E398" s="18" t="s">
        <v>254</v>
      </c>
      <c r="F398" s="19">
        <v>15</v>
      </c>
      <c r="G398" s="17">
        <v>5665</v>
      </c>
    </row>
    <row r="399" spans="2:7" x14ac:dyDescent="0.35">
      <c r="B399" s="5" t="s">
        <v>698</v>
      </c>
      <c r="C399" s="5"/>
      <c r="D399" s="17" t="s">
        <v>792</v>
      </c>
      <c r="E399" s="18" t="s">
        <v>254</v>
      </c>
      <c r="F399" s="19">
        <v>16</v>
      </c>
      <c r="G399" s="17">
        <v>20310</v>
      </c>
    </row>
    <row r="400" spans="2:7" x14ac:dyDescent="0.35">
      <c r="B400" s="5" t="s">
        <v>699</v>
      </c>
      <c r="C400" s="5"/>
      <c r="D400" s="17" t="s">
        <v>793</v>
      </c>
      <c r="E400" s="18" t="s">
        <v>255</v>
      </c>
      <c r="F400" s="19">
        <v>1</v>
      </c>
      <c r="G400" s="17">
        <v>3080</v>
      </c>
    </row>
    <row r="401" spans="2:7" x14ac:dyDescent="0.35">
      <c r="B401" s="5" t="s">
        <v>700</v>
      </c>
      <c r="C401" s="5"/>
      <c r="D401" s="17" t="s">
        <v>794</v>
      </c>
      <c r="E401" s="18" t="s">
        <v>255</v>
      </c>
      <c r="F401" s="19">
        <v>2</v>
      </c>
      <c r="G401" s="17">
        <v>3401</v>
      </c>
    </row>
    <row r="402" spans="2:7" x14ac:dyDescent="0.35">
      <c r="B402" s="5" t="s">
        <v>701</v>
      </c>
      <c r="C402" s="5"/>
      <c r="D402" s="17" t="s">
        <v>795</v>
      </c>
      <c r="E402" s="18" t="s">
        <v>255</v>
      </c>
      <c r="F402" s="19">
        <v>3</v>
      </c>
      <c r="G402" s="17">
        <v>2044</v>
      </c>
    </row>
    <row r="403" spans="2:7" x14ac:dyDescent="0.35">
      <c r="B403" s="5" t="s">
        <v>702</v>
      </c>
      <c r="C403" s="5"/>
      <c r="D403" s="17" t="s">
        <v>796</v>
      </c>
      <c r="E403" s="18" t="s">
        <v>255</v>
      </c>
      <c r="F403" s="19">
        <v>4</v>
      </c>
      <c r="G403" s="17">
        <v>3101</v>
      </c>
    </row>
    <row r="404" spans="2:7" x14ac:dyDescent="0.35">
      <c r="B404" s="5" t="s">
        <v>704</v>
      </c>
      <c r="C404" s="5"/>
      <c r="D404" s="17" t="s">
        <v>797</v>
      </c>
      <c r="E404" s="18" t="s">
        <v>255</v>
      </c>
      <c r="F404" s="19">
        <v>5</v>
      </c>
      <c r="G404" s="17">
        <v>3700</v>
      </c>
    </row>
    <row r="405" spans="2:7" x14ac:dyDescent="0.35">
      <c r="B405" s="5" t="s">
        <v>706</v>
      </c>
      <c r="C405" s="5"/>
      <c r="D405" s="17" t="s">
        <v>798</v>
      </c>
      <c r="E405" s="18" t="s">
        <v>255</v>
      </c>
      <c r="F405" s="19">
        <v>6</v>
      </c>
      <c r="G405" s="17">
        <v>3151</v>
      </c>
    </row>
    <row r="406" spans="2:7" x14ac:dyDescent="0.35">
      <c r="B406" s="5" t="s">
        <v>708</v>
      </c>
      <c r="C406" s="5"/>
      <c r="D406" s="17" t="s">
        <v>799</v>
      </c>
      <c r="E406" s="18" t="s">
        <v>255</v>
      </c>
      <c r="F406" s="19">
        <v>7</v>
      </c>
      <c r="G406" s="17">
        <v>1950</v>
      </c>
    </row>
    <row r="407" spans="2:7" x14ac:dyDescent="0.35">
      <c r="B407" s="5" t="s">
        <v>710</v>
      </c>
      <c r="C407" s="5"/>
      <c r="D407" s="17" t="s">
        <v>800</v>
      </c>
      <c r="E407" s="18" t="s">
        <v>255</v>
      </c>
      <c r="F407" s="19">
        <v>8</v>
      </c>
      <c r="G407" s="17">
        <v>3640</v>
      </c>
    </row>
    <row r="408" spans="2:7" x14ac:dyDescent="0.35">
      <c r="B408" s="5" t="s">
        <v>712</v>
      </c>
      <c r="C408" s="5"/>
      <c r="D408" s="17" t="s">
        <v>801</v>
      </c>
      <c r="E408" s="18" t="s">
        <v>255</v>
      </c>
      <c r="F408" s="19">
        <v>9</v>
      </c>
      <c r="G408" s="17">
        <v>4153</v>
      </c>
    </row>
    <row r="409" spans="2:7" x14ac:dyDescent="0.35">
      <c r="B409" s="5" t="s">
        <v>714</v>
      </c>
      <c r="C409" s="5"/>
      <c r="D409" s="17" t="s">
        <v>802</v>
      </c>
      <c r="E409" s="18" t="s">
        <v>255</v>
      </c>
      <c r="F409" s="19">
        <v>10</v>
      </c>
      <c r="G409" s="17">
        <v>2573</v>
      </c>
    </row>
    <row r="410" spans="2:7" x14ac:dyDescent="0.35">
      <c r="B410" s="5" t="s">
        <v>716</v>
      </c>
      <c r="C410" s="5"/>
      <c r="D410" s="17" t="s">
        <v>803</v>
      </c>
      <c r="E410" s="18" t="s">
        <v>255</v>
      </c>
      <c r="F410" s="19">
        <v>11</v>
      </c>
      <c r="G410" s="17">
        <v>2624</v>
      </c>
    </row>
    <row r="411" spans="2:7" x14ac:dyDescent="0.35">
      <c r="B411" s="5" t="s">
        <v>718</v>
      </c>
      <c r="C411" s="5"/>
      <c r="D411" s="17" t="s">
        <v>804</v>
      </c>
      <c r="E411" s="18" t="s">
        <v>256</v>
      </c>
      <c r="F411" s="19">
        <v>1</v>
      </c>
      <c r="G411" s="17">
        <v>2253</v>
      </c>
    </row>
    <row r="412" spans="2:7" x14ac:dyDescent="0.35">
      <c r="B412" s="5" t="s">
        <v>719</v>
      </c>
      <c r="C412" s="5"/>
      <c r="D412" s="17" t="s">
        <v>805</v>
      </c>
      <c r="E412" s="18" t="s">
        <v>256</v>
      </c>
      <c r="F412" s="19">
        <v>2</v>
      </c>
      <c r="G412" s="17">
        <v>2580</v>
      </c>
    </row>
    <row r="413" spans="2:7" x14ac:dyDescent="0.35">
      <c r="B413" s="5" t="s">
        <v>720</v>
      </c>
      <c r="C413" s="5"/>
      <c r="D413" s="17" t="s">
        <v>806</v>
      </c>
      <c r="E413" s="18" t="s">
        <v>256</v>
      </c>
      <c r="F413" s="19">
        <v>3</v>
      </c>
      <c r="G413" s="17">
        <v>16256</v>
      </c>
    </row>
    <row r="414" spans="2:7" x14ac:dyDescent="0.35">
      <c r="B414" s="5" t="s">
        <v>721</v>
      </c>
      <c r="C414" s="5"/>
      <c r="D414" s="5" t="s">
        <v>342</v>
      </c>
      <c r="E414" s="5" t="s">
        <v>208</v>
      </c>
      <c r="F414">
        <v>1</v>
      </c>
      <c r="G414">
        <v>50630</v>
      </c>
    </row>
    <row r="415" spans="2:7" x14ac:dyDescent="0.35">
      <c r="B415" s="5" t="s">
        <v>722</v>
      </c>
      <c r="C415" s="5"/>
      <c r="D415" s="5" t="s">
        <v>344</v>
      </c>
      <c r="E415" s="5" t="s">
        <v>208</v>
      </c>
      <c r="F415">
        <v>2</v>
      </c>
      <c r="G415">
        <v>50280</v>
      </c>
    </row>
    <row r="416" spans="2:7" x14ac:dyDescent="0.35">
      <c r="B416" s="5" t="s">
        <v>723</v>
      </c>
      <c r="C416" s="5"/>
      <c r="D416" s="5" t="s">
        <v>346</v>
      </c>
      <c r="E416" s="5" t="s">
        <v>208</v>
      </c>
      <c r="F416">
        <v>3</v>
      </c>
      <c r="G416">
        <v>68690</v>
      </c>
    </row>
    <row r="417" spans="2:7" x14ac:dyDescent="0.35">
      <c r="B417" s="5" t="s">
        <v>724</v>
      </c>
      <c r="C417" s="5"/>
      <c r="D417" s="5" t="s">
        <v>348</v>
      </c>
      <c r="E417" s="5" t="s">
        <v>208</v>
      </c>
      <c r="F417">
        <v>4</v>
      </c>
      <c r="G417">
        <v>35500</v>
      </c>
    </row>
    <row r="418" spans="2:7" x14ac:dyDescent="0.35">
      <c r="B418" s="5" t="s">
        <v>725</v>
      </c>
      <c r="C418" s="5"/>
      <c r="D418" s="5" t="s">
        <v>350</v>
      </c>
      <c r="E418" s="5" t="s">
        <v>208</v>
      </c>
      <c r="F418">
        <v>5</v>
      </c>
      <c r="G418">
        <v>37820</v>
      </c>
    </row>
    <row r="419" spans="2:7" x14ac:dyDescent="0.35">
      <c r="B419" s="5" t="s">
        <v>726</v>
      </c>
      <c r="C419" s="5"/>
      <c r="D419" s="5" t="s">
        <v>352</v>
      </c>
      <c r="E419" s="5" t="s">
        <v>208</v>
      </c>
      <c r="F419">
        <v>6</v>
      </c>
      <c r="G419">
        <v>61530</v>
      </c>
    </row>
    <row r="420" spans="2:7" x14ac:dyDescent="0.35">
      <c r="B420" s="5" t="s">
        <v>727</v>
      </c>
      <c r="C420" s="5"/>
      <c r="D420" s="5" t="s">
        <v>354</v>
      </c>
      <c r="E420" s="5" t="s">
        <v>208</v>
      </c>
      <c r="F420">
        <v>7</v>
      </c>
      <c r="G420">
        <v>59390</v>
      </c>
    </row>
    <row r="421" spans="2:7" x14ac:dyDescent="0.35">
      <c r="B421" s="5" t="s">
        <v>728</v>
      </c>
      <c r="C421" s="5"/>
      <c r="D421" s="5" t="s">
        <v>356</v>
      </c>
      <c r="E421" s="5" t="s">
        <v>208</v>
      </c>
      <c r="F421">
        <v>8</v>
      </c>
      <c r="G421">
        <v>24840</v>
      </c>
    </row>
    <row r="422" spans="2:7" x14ac:dyDescent="0.35">
      <c r="B422" s="5" t="s">
        <v>729</v>
      </c>
      <c r="C422" s="5"/>
      <c r="D422" s="5" t="s">
        <v>358</v>
      </c>
      <c r="E422" s="5" t="s">
        <v>208</v>
      </c>
      <c r="F422">
        <v>9</v>
      </c>
      <c r="G422">
        <v>29120</v>
      </c>
    </row>
    <row r="423" spans="2:7" x14ac:dyDescent="0.35">
      <c r="B423" s="5" t="s">
        <v>730</v>
      </c>
      <c r="C423" s="5"/>
      <c r="D423" s="5" t="s">
        <v>360</v>
      </c>
      <c r="E423" s="5" t="s">
        <v>208</v>
      </c>
      <c r="F423">
        <v>10</v>
      </c>
      <c r="G423">
        <v>60620</v>
      </c>
    </row>
    <row r="424" spans="2:7" x14ac:dyDescent="0.35">
      <c r="B424" s="5" t="s">
        <v>731</v>
      </c>
      <c r="C424" s="5"/>
      <c r="D424" s="5" t="s">
        <v>362</v>
      </c>
      <c r="E424" s="5" t="s">
        <v>208</v>
      </c>
      <c r="F424">
        <v>11</v>
      </c>
      <c r="G424">
        <v>26870</v>
      </c>
    </row>
    <row r="425" spans="2:7" x14ac:dyDescent="0.35">
      <c r="B425" s="5" t="s">
        <v>732</v>
      </c>
      <c r="C425" s="5"/>
      <c r="D425" s="5" t="s">
        <v>364</v>
      </c>
      <c r="E425" s="5" t="s">
        <v>208</v>
      </c>
      <c r="F425">
        <v>12</v>
      </c>
      <c r="G425">
        <v>59480</v>
      </c>
    </row>
    <row r="426" spans="2:7" x14ac:dyDescent="0.35">
      <c r="B426" s="5" t="s">
        <v>733</v>
      </c>
      <c r="C426" s="5"/>
      <c r="D426" s="5" t="s">
        <v>366</v>
      </c>
      <c r="E426" s="5" t="s">
        <v>208</v>
      </c>
      <c r="F426">
        <v>13</v>
      </c>
      <c r="G426">
        <v>7210</v>
      </c>
    </row>
    <row r="427" spans="2:7" x14ac:dyDescent="0.35">
      <c r="B427" s="5" t="s">
        <v>734</v>
      </c>
      <c r="C427" s="5"/>
      <c r="D427" s="5" t="s">
        <v>368</v>
      </c>
      <c r="E427" s="5" t="s">
        <v>208</v>
      </c>
      <c r="F427">
        <v>14</v>
      </c>
      <c r="G427">
        <v>17130</v>
      </c>
    </row>
    <row r="428" spans="2:7" x14ac:dyDescent="0.35">
      <c r="B428" s="5" t="s">
        <v>735</v>
      </c>
      <c r="C428" s="5"/>
      <c r="D428" s="5" t="s">
        <v>370</v>
      </c>
      <c r="E428" s="5" t="s">
        <v>208</v>
      </c>
      <c r="F428">
        <v>15</v>
      </c>
      <c r="G428">
        <v>157210</v>
      </c>
    </row>
    <row r="429" spans="2:7" x14ac:dyDescent="0.35">
      <c r="B429" s="5" t="s">
        <v>736</v>
      </c>
      <c r="C429" s="5"/>
      <c r="D429" s="5" t="s">
        <v>372</v>
      </c>
      <c r="E429" s="5" t="s">
        <v>208</v>
      </c>
      <c r="F429">
        <v>16</v>
      </c>
      <c r="G429">
        <v>197420</v>
      </c>
    </row>
    <row r="430" spans="2:7" x14ac:dyDescent="0.35">
      <c r="B430" s="5" t="s">
        <v>737</v>
      </c>
      <c r="C430" s="5"/>
      <c r="D430" s="5" t="s">
        <v>374</v>
      </c>
      <c r="E430" s="5" t="s">
        <v>208</v>
      </c>
      <c r="F430">
        <v>17</v>
      </c>
      <c r="G430">
        <v>116480</v>
      </c>
    </row>
    <row r="431" spans="2:7" x14ac:dyDescent="0.35">
      <c r="B431" s="5" t="s">
        <v>738</v>
      </c>
      <c r="C431" s="5"/>
      <c r="D431" s="5" t="s">
        <v>376</v>
      </c>
      <c r="E431" s="5" t="s">
        <v>208</v>
      </c>
      <c r="F431">
        <v>18</v>
      </c>
      <c r="G431">
        <v>127200</v>
      </c>
    </row>
    <row r="432" spans="2:7" x14ac:dyDescent="0.35">
      <c r="B432" s="5" t="s">
        <v>739</v>
      </c>
      <c r="C432" s="5"/>
      <c r="D432" s="5" t="s">
        <v>378</v>
      </c>
      <c r="E432" s="5" t="s">
        <v>208</v>
      </c>
      <c r="F432">
        <v>19</v>
      </c>
      <c r="G432">
        <v>120750</v>
      </c>
    </row>
    <row r="433" spans="2:7" x14ac:dyDescent="0.35">
      <c r="B433" s="5" t="s">
        <v>740</v>
      </c>
      <c r="C433" s="5"/>
      <c r="D433" s="5" t="s">
        <v>602</v>
      </c>
      <c r="E433" s="5" t="s">
        <v>227</v>
      </c>
      <c r="F433" s="5">
        <v>1</v>
      </c>
      <c r="G433" s="17">
        <v>48108</v>
      </c>
    </row>
    <row r="434" spans="2:7" x14ac:dyDescent="0.35">
      <c r="B434" s="5" t="s">
        <v>741</v>
      </c>
      <c r="C434" s="5"/>
      <c r="D434" s="5" t="s">
        <v>604</v>
      </c>
      <c r="E434" s="5" t="s">
        <v>227</v>
      </c>
      <c r="F434" s="5">
        <v>2</v>
      </c>
      <c r="G434" s="17">
        <v>13221</v>
      </c>
    </row>
    <row r="435" spans="2:7" x14ac:dyDescent="0.35">
      <c r="B435" s="5" t="s">
        <v>742</v>
      </c>
      <c r="C435" s="5"/>
      <c r="D435" s="5" t="s">
        <v>606</v>
      </c>
      <c r="E435" s="5" t="s">
        <v>227</v>
      </c>
      <c r="F435" s="5">
        <v>3</v>
      </c>
      <c r="G435" s="17">
        <v>50085</v>
      </c>
    </row>
    <row r="436" spans="2:7" x14ac:dyDescent="0.35">
      <c r="B436" s="5" t="s">
        <v>743</v>
      </c>
      <c r="C436" s="5"/>
      <c r="D436" s="5" t="s">
        <v>608</v>
      </c>
      <c r="E436" s="5" t="s">
        <v>227</v>
      </c>
      <c r="F436" s="5">
        <v>4</v>
      </c>
      <c r="G436" s="17">
        <v>11273</v>
      </c>
    </row>
    <row r="437" spans="2:7" x14ac:dyDescent="0.35">
      <c r="B437" s="5" t="s">
        <v>744</v>
      </c>
      <c r="C437" s="5"/>
      <c r="D437" s="5" t="s">
        <v>703</v>
      </c>
      <c r="E437" s="5" t="s">
        <v>241</v>
      </c>
      <c r="F437" s="5">
        <v>1</v>
      </c>
      <c r="G437" s="17">
        <v>21192</v>
      </c>
    </row>
    <row r="438" spans="2:7" x14ac:dyDescent="0.35">
      <c r="B438" s="5" t="s">
        <v>745</v>
      </c>
      <c r="C438" s="5"/>
      <c r="D438" s="5" t="s">
        <v>705</v>
      </c>
      <c r="E438" s="5" t="s">
        <v>241</v>
      </c>
      <c r="F438" s="5">
        <v>2</v>
      </c>
      <c r="G438" s="17">
        <v>26869</v>
      </c>
    </row>
    <row r="439" spans="2:7" x14ac:dyDescent="0.35">
      <c r="B439" s="5" t="s">
        <v>746</v>
      </c>
      <c r="C439" s="5"/>
      <c r="D439" s="5" t="s">
        <v>707</v>
      </c>
      <c r="E439" s="5" t="s">
        <v>241</v>
      </c>
      <c r="F439" s="5">
        <v>3</v>
      </c>
      <c r="G439" s="17">
        <v>23279</v>
      </c>
    </row>
    <row r="440" spans="2:7" x14ac:dyDescent="0.35">
      <c r="B440" s="5" t="s">
        <v>747</v>
      </c>
      <c r="C440" s="5"/>
      <c r="D440" s="5" t="s">
        <v>709</v>
      </c>
      <c r="E440" s="5" t="s">
        <v>241</v>
      </c>
      <c r="F440" s="5">
        <v>4</v>
      </c>
      <c r="G440" s="17">
        <v>211077</v>
      </c>
    </row>
    <row r="441" spans="2:7" x14ac:dyDescent="0.35">
      <c r="B441" s="5" t="s">
        <v>748</v>
      </c>
      <c r="C441" s="5"/>
      <c r="D441" s="5" t="s">
        <v>711</v>
      </c>
      <c r="E441" s="5" t="s">
        <v>241</v>
      </c>
      <c r="F441" s="5">
        <v>5</v>
      </c>
      <c r="G441" s="17">
        <v>19142</v>
      </c>
    </row>
    <row r="442" spans="2:7" x14ac:dyDescent="0.35">
      <c r="B442" s="5" t="s">
        <v>749</v>
      </c>
      <c r="C442" s="5"/>
      <c r="D442" s="5" t="s">
        <v>713</v>
      </c>
      <c r="E442" s="5" t="s">
        <v>241</v>
      </c>
      <c r="F442" s="5">
        <v>6</v>
      </c>
      <c r="G442" s="17">
        <v>19249</v>
      </c>
    </row>
    <row r="443" spans="2:7" x14ac:dyDescent="0.35">
      <c r="B443" s="5" t="s">
        <v>750</v>
      </c>
      <c r="C443" s="5"/>
      <c r="D443" s="5" t="s">
        <v>715</v>
      </c>
      <c r="E443" s="5" t="s">
        <v>241</v>
      </c>
      <c r="F443" s="5">
        <v>7</v>
      </c>
      <c r="G443" s="17">
        <v>16526</v>
      </c>
    </row>
    <row r="444" spans="2:7" x14ac:dyDescent="0.35">
      <c r="B444" s="5" t="s">
        <v>751</v>
      </c>
      <c r="C444" s="5"/>
      <c r="D444" s="5" t="s">
        <v>717</v>
      </c>
      <c r="E444" s="5" t="s">
        <v>241</v>
      </c>
      <c r="F444" s="5">
        <v>8</v>
      </c>
      <c r="G444" s="17">
        <v>78018</v>
      </c>
    </row>
    <row r="445" spans="2:7" x14ac:dyDescent="0.35">
      <c r="B445" s="5" t="s">
        <v>752</v>
      </c>
      <c r="C445" s="5"/>
    </row>
    <row r="446" spans="2:7" x14ac:dyDescent="0.35">
      <c r="B446" s="5" t="s">
        <v>753</v>
      </c>
      <c r="C446" s="5"/>
    </row>
    <row r="447" spans="2:7" x14ac:dyDescent="0.35">
      <c r="B447" s="5" t="s">
        <v>754</v>
      </c>
      <c r="C447" s="5"/>
    </row>
    <row r="448" spans="2:7" x14ac:dyDescent="0.35">
      <c r="B448" s="5" t="s">
        <v>755</v>
      </c>
      <c r="C448" s="5"/>
    </row>
    <row r="449" spans="2:3" x14ac:dyDescent="0.35">
      <c r="B449" s="5" t="s">
        <v>756</v>
      </c>
      <c r="C449" s="5"/>
    </row>
    <row r="450" spans="2:3" x14ac:dyDescent="0.35">
      <c r="B450" s="5" t="s">
        <v>757</v>
      </c>
      <c r="C450" s="5"/>
    </row>
    <row r="451" spans="2:3" x14ac:dyDescent="0.35">
      <c r="B451" s="5" t="s">
        <v>759</v>
      </c>
      <c r="C451" s="5"/>
    </row>
    <row r="452" spans="2:3" x14ac:dyDescent="0.35">
      <c r="B452" s="5" t="s">
        <v>760</v>
      </c>
      <c r="C452" s="5"/>
    </row>
    <row r="453" spans="2:3" x14ac:dyDescent="0.35">
      <c r="B453" s="5" t="s">
        <v>761</v>
      </c>
      <c r="C453" s="5"/>
    </row>
    <row r="454" spans="2:3" x14ac:dyDescent="0.35">
      <c r="B454" s="5" t="s">
        <v>762</v>
      </c>
      <c r="C454" s="5"/>
    </row>
    <row r="455" spans="2:3" x14ac:dyDescent="0.35">
      <c r="B455" s="5" t="s">
        <v>763</v>
      </c>
      <c r="C455" s="5"/>
    </row>
    <row r="456" spans="2:3" x14ac:dyDescent="0.35">
      <c r="B456" s="5" t="s">
        <v>764</v>
      </c>
      <c r="C456" s="5"/>
    </row>
    <row r="457" spans="2:3" x14ac:dyDescent="0.35">
      <c r="B457" s="5" t="s">
        <v>765</v>
      </c>
      <c r="C457" s="5"/>
    </row>
    <row r="458" spans="2:3" x14ac:dyDescent="0.35">
      <c r="B458" s="5" t="s">
        <v>766</v>
      </c>
      <c r="C458" s="5"/>
    </row>
    <row r="459" spans="2:3" x14ac:dyDescent="0.35">
      <c r="B459" s="5" t="s">
        <v>767</v>
      </c>
      <c r="C459" s="5"/>
    </row>
    <row r="460" spans="2:3" x14ac:dyDescent="0.35">
      <c r="B460" s="5" t="s">
        <v>768</v>
      </c>
      <c r="C460" s="5"/>
    </row>
    <row r="461" spans="2:3" x14ac:dyDescent="0.35">
      <c r="B461" s="5" t="s">
        <v>769</v>
      </c>
      <c r="C461" s="5"/>
    </row>
    <row r="462" spans="2:3" x14ac:dyDescent="0.35">
      <c r="B462" s="5" t="s">
        <v>770</v>
      </c>
      <c r="C462" s="5"/>
    </row>
    <row r="463" spans="2:3" x14ac:dyDescent="0.35">
      <c r="B463" s="5" t="s">
        <v>771</v>
      </c>
      <c r="C463" s="5"/>
    </row>
    <row r="464" spans="2:3" x14ac:dyDescent="0.35">
      <c r="B464" s="5" t="s">
        <v>772</v>
      </c>
      <c r="C464" s="5"/>
    </row>
    <row r="465" spans="2:3" x14ac:dyDescent="0.35">
      <c r="B465" s="5" t="s">
        <v>773</v>
      </c>
      <c r="C465" s="5"/>
    </row>
    <row r="466" spans="2:3" x14ac:dyDescent="0.35">
      <c r="B466" s="5" t="s">
        <v>774</v>
      </c>
      <c r="C466" s="5"/>
    </row>
    <row r="467" spans="2:3" x14ac:dyDescent="0.35">
      <c r="B467" s="5" t="s">
        <v>775</v>
      </c>
      <c r="C467" s="5"/>
    </row>
    <row r="468" spans="2:3" x14ac:dyDescent="0.35">
      <c r="B468" s="5" t="s">
        <v>776</v>
      </c>
      <c r="C468" s="5"/>
    </row>
    <row r="469" spans="2:3" x14ac:dyDescent="0.35">
      <c r="B469" s="5" t="s">
        <v>807</v>
      </c>
      <c r="C469" s="5"/>
    </row>
    <row r="470" spans="2:3" x14ac:dyDescent="0.35">
      <c r="B470" s="5" t="s">
        <v>808</v>
      </c>
      <c r="C470" s="5"/>
    </row>
    <row r="471" spans="2:3" x14ac:dyDescent="0.35">
      <c r="B471" s="5" t="s">
        <v>809</v>
      </c>
      <c r="C471" s="5"/>
    </row>
    <row r="472" spans="2:3" x14ac:dyDescent="0.35">
      <c r="B472" s="5" t="s">
        <v>810</v>
      </c>
      <c r="C472" s="5"/>
    </row>
    <row r="473" spans="2:3" x14ac:dyDescent="0.35">
      <c r="B473" s="5" t="s">
        <v>811</v>
      </c>
      <c r="C473" s="5"/>
    </row>
    <row r="474" spans="2:3" x14ac:dyDescent="0.35">
      <c r="B474" s="5" t="s">
        <v>812</v>
      </c>
      <c r="C474" s="5"/>
    </row>
    <row r="475" spans="2:3" x14ac:dyDescent="0.35">
      <c r="B475" s="5" t="s">
        <v>777</v>
      </c>
      <c r="C475" s="5"/>
    </row>
    <row r="476" spans="2:3" x14ac:dyDescent="0.35">
      <c r="B476" s="5" t="s">
        <v>778</v>
      </c>
      <c r="C476" s="5"/>
    </row>
    <row r="477" spans="2:3" x14ac:dyDescent="0.35">
      <c r="B477" s="5" t="s">
        <v>779</v>
      </c>
      <c r="C477" s="5"/>
    </row>
    <row r="478" spans="2:3" x14ac:dyDescent="0.35">
      <c r="B478" s="5" t="s">
        <v>780</v>
      </c>
      <c r="C478" s="5"/>
    </row>
    <row r="479" spans="2:3" x14ac:dyDescent="0.35">
      <c r="B479" s="5" t="s">
        <v>781</v>
      </c>
      <c r="C479" s="5"/>
    </row>
    <row r="480" spans="2:3" x14ac:dyDescent="0.35">
      <c r="B480" s="5" t="s">
        <v>782</v>
      </c>
      <c r="C480" s="5"/>
    </row>
    <row r="481" spans="2:3" x14ac:dyDescent="0.35">
      <c r="B481" s="5" t="s">
        <v>783</v>
      </c>
      <c r="C481" s="5"/>
    </row>
    <row r="482" spans="2:3" x14ac:dyDescent="0.35">
      <c r="B482" s="5" t="s">
        <v>784</v>
      </c>
      <c r="C482" s="5"/>
    </row>
    <row r="483" spans="2:3" x14ac:dyDescent="0.35">
      <c r="B483" s="5" t="s">
        <v>785</v>
      </c>
      <c r="C483" s="5"/>
    </row>
    <row r="484" spans="2:3" x14ac:dyDescent="0.35">
      <c r="B484" s="5" t="s">
        <v>786</v>
      </c>
      <c r="C484" s="5"/>
    </row>
    <row r="485" spans="2:3" x14ac:dyDescent="0.35">
      <c r="B485" s="5" t="s">
        <v>787</v>
      </c>
      <c r="C485" s="5"/>
    </row>
    <row r="486" spans="2:3" x14ac:dyDescent="0.35">
      <c r="B486" s="5" t="s">
        <v>788</v>
      </c>
      <c r="C486" s="5"/>
    </row>
    <row r="487" spans="2:3" x14ac:dyDescent="0.35">
      <c r="B487" s="5" t="s">
        <v>789</v>
      </c>
      <c r="C487" s="5"/>
    </row>
    <row r="488" spans="2:3" x14ac:dyDescent="0.35">
      <c r="B488" s="5" t="s">
        <v>790</v>
      </c>
      <c r="C488" s="5"/>
    </row>
    <row r="489" spans="2:3" x14ac:dyDescent="0.35">
      <c r="B489" s="5" t="s">
        <v>791</v>
      </c>
      <c r="C489" s="5"/>
    </row>
    <row r="490" spans="2:3" x14ac:dyDescent="0.35">
      <c r="B490" s="5" t="s">
        <v>792</v>
      </c>
      <c r="C490" s="5"/>
    </row>
    <row r="491" spans="2:3" x14ac:dyDescent="0.35">
      <c r="B491" s="5" t="s">
        <v>793</v>
      </c>
      <c r="C491" s="5"/>
    </row>
    <row r="492" spans="2:3" x14ac:dyDescent="0.35">
      <c r="B492" s="5" t="s">
        <v>794</v>
      </c>
      <c r="C492" s="5"/>
    </row>
    <row r="493" spans="2:3" x14ac:dyDescent="0.35">
      <c r="B493" s="5" t="s">
        <v>795</v>
      </c>
      <c r="C493" s="5"/>
    </row>
    <row r="494" spans="2:3" x14ac:dyDescent="0.35">
      <c r="B494" s="5" t="s">
        <v>796</v>
      </c>
      <c r="C494" s="5"/>
    </row>
    <row r="495" spans="2:3" x14ac:dyDescent="0.35">
      <c r="B495" s="5" t="s">
        <v>797</v>
      </c>
      <c r="C495" s="5"/>
    </row>
    <row r="496" spans="2:3" x14ac:dyDescent="0.35">
      <c r="B496" s="5" t="s">
        <v>798</v>
      </c>
      <c r="C496" s="5"/>
    </row>
    <row r="497" spans="2:3" x14ac:dyDescent="0.35">
      <c r="B497" s="5" t="s">
        <v>799</v>
      </c>
      <c r="C497" s="5"/>
    </row>
    <row r="498" spans="2:3" x14ac:dyDescent="0.35">
      <c r="B498" s="5" t="s">
        <v>800</v>
      </c>
      <c r="C498" s="5"/>
    </row>
    <row r="499" spans="2:3" x14ac:dyDescent="0.35">
      <c r="B499" s="5" t="s">
        <v>801</v>
      </c>
      <c r="C499" s="5"/>
    </row>
    <row r="500" spans="2:3" x14ac:dyDescent="0.35">
      <c r="B500" s="5" t="s">
        <v>802</v>
      </c>
      <c r="C500" s="5"/>
    </row>
    <row r="501" spans="2:3" x14ac:dyDescent="0.35">
      <c r="B501" s="5" t="s">
        <v>803</v>
      </c>
      <c r="C501" s="5"/>
    </row>
    <row r="502" spans="2:3" x14ac:dyDescent="0.35">
      <c r="B502" s="5" t="s">
        <v>804</v>
      </c>
      <c r="C502" s="5"/>
    </row>
    <row r="503" spans="2:3" x14ac:dyDescent="0.35">
      <c r="B503" s="5" t="s">
        <v>805</v>
      </c>
      <c r="C503" s="5"/>
    </row>
    <row r="504" spans="2:3" x14ac:dyDescent="0.35">
      <c r="B504" s="5" t="s">
        <v>806</v>
      </c>
      <c r="C504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25"/>
  <sheetViews>
    <sheetView workbookViewId="0">
      <selection activeCell="I2163" sqref="I2163"/>
    </sheetView>
  </sheetViews>
  <sheetFormatPr defaultColWidth="12.54296875" defaultRowHeight="15.5" x14ac:dyDescent="0.35"/>
  <cols>
    <col min="1" max="1" width="12.54296875" style="20"/>
    <col min="2" max="2" width="27.453125" style="20" customWidth="1"/>
    <col min="3" max="16384" width="12.54296875" style="20"/>
  </cols>
  <sheetData>
    <row r="1" spans="1:47" x14ac:dyDescent="0.35">
      <c r="B1" s="21" t="s">
        <v>813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</row>
    <row r="2" spans="1:47" x14ac:dyDescent="0.35">
      <c r="A2" s="20">
        <v>1</v>
      </c>
      <c r="B2" s="23">
        <v>2</v>
      </c>
      <c r="C2" s="23">
        <v>3</v>
      </c>
      <c r="D2" s="23">
        <v>4</v>
      </c>
      <c r="E2" s="23">
        <v>5</v>
      </c>
      <c r="F2" s="23">
        <v>6</v>
      </c>
      <c r="G2" s="23">
        <v>7</v>
      </c>
      <c r="H2" s="23">
        <v>8</v>
      </c>
      <c r="I2" s="23">
        <v>9</v>
      </c>
      <c r="J2" s="23">
        <v>10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spans="1:47" x14ac:dyDescent="0.35">
      <c r="B3" s="24"/>
      <c r="C3" s="24" t="s">
        <v>814</v>
      </c>
      <c r="D3" s="24">
        <v>21</v>
      </c>
      <c r="E3" s="24">
        <v>22</v>
      </c>
      <c r="F3" s="24">
        <v>23</v>
      </c>
      <c r="G3" s="24">
        <v>24</v>
      </c>
      <c r="H3" s="24">
        <v>25</v>
      </c>
      <c r="I3" s="24">
        <v>26</v>
      </c>
      <c r="J3" s="24">
        <v>27</v>
      </c>
      <c r="K3" s="24">
        <v>28</v>
      </c>
      <c r="L3" s="24">
        <v>29</v>
      </c>
      <c r="M3" s="24">
        <v>30</v>
      </c>
      <c r="N3" s="24">
        <v>31</v>
      </c>
      <c r="O3" s="24">
        <v>32</v>
      </c>
      <c r="P3" s="24">
        <v>33</v>
      </c>
      <c r="Q3" s="24">
        <v>34</v>
      </c>
      <c r="R3" s="24">
        <v>35</v>
      </c>
      <c r="S3" s="24">
        <v>36</v>
      </c>
      <c r="T3" s="24">
        <v>37</v>
      </c>
      <c r="U3" s="24">
        <v>38</v>
      </c>
      <c r="V3" s="24">
        <v>39</v>
      </c>
      <c r="W3" s="24">
        <v>40</v>
      </c>
      <c r="X3" s="24">
        <v>41</v>
      </c>
      <c r="Y3" s="24">
        <v>42</v>
      </c>
      <c r="Z3" s="24">
        <v>43</v>
      </c>
      <c r="AA3" s="24">
        <v>44</v>
      </c>
      <c r="AB3" s="24">
        <v>45</v>
      </c>
      <c r="AC3" s="24">
        <v>46</v>
      </c>
      <c r="AD3" s="24">
        <v>47</v>
      </c>
      <c r="AE3" s="24">
        <v>48</v>
      </c>
      <c r="AF3" s="24">
        <v>49</v>
      </c>
      <c r="AG3" s="24">
        <v>50</v>
      </c>
      <c r="AH3" s="24">
        <v>51</v>
      </c>
      <c r="AI3" s="24">
        <v>52</v>
      </c>
      <c r="AJ3" s="24">
        <v>53</v>
      </c>
      <c r="AK3" s="24">
        <v>54</v>
      </c>
      <c r="AL3" s="24">
        <v>55</v>
      </c>
      <c r="AM3" s="24">
        <v>56</v>
      </c>
      <c r="AN3" s="24">
        <v>57</v>
      </c>
      <c r="AO3" s="24">
        <v>58</v>
      </c>
      <c r="AP3" s="24">
        <v>59</v>
      </c>
      <c r="AQ3" s="24">
        <v>60</v>
      </c>
      <c r="AR3" s="24">
        <v>61</v>
      </c>
      <c r="AS3" s="24">
        <v>62</v>
      </c>
      <c r="AT3" s="24">
        <v>63</v>
      </c>
      <c r="AU3" s="24" t="s">
        <v>815</v>
      </c>
    </row>
    <row r="4" spans="1:47" x14ac:dyDescent="0.35">
      <c r="B4" s="25" t="s">
        <v>816</v>
      </c>
      <c r="C4" s="26">
        <v>0.63500000000000001</v>
      </c>
      <c r="D4" s="26">
        <v>1</v>
      </c>
      <c r="E4" s="26">
        <v>1</v>
      </c>
      <c r="F4" s="26">
        <v>1</v>
      </c>
      <c r="G4" s="26">
        <v>1</v>
      </c>
      <c r="H4" s="26">
        <v>1.004</v>
      </c>
      <c r="I4" s="26">
        <v>1.024</v>
      </c>
      <c r="J4" s="26">
        <v>1.048</v>
      </c>
      <c r="K4" s="26">
        <v>1.087</v>
      </c>
      <c r="L4" s="26">
        <v>1.119</v>
      </c>
      <c r="M4" s="26">
        <v>1.135</v>
      </c>
      <c r="N4" s="26">
        <v>1.159</v>
      </c>
      <c r="O4" s="26">
        <v>1.1830000000000001</v>
      </c>
      <c r="P4" s="26">
        <v>1.198</v>
      </c>
      <c r="Q4" s="26">
        <v>1.214</v>
      </c>
      <c r="R4" s="26">
        <v>1.222</v>
      </c>
      <c r="S4" s="26">
        <v>1.23</v>
      </c>
      <c r="T4" s="26">
        <v>1.238</v>
      </c>
      <c r="U4" s="26">
        <v>1.246</v>
      </c>
      <c r="V4" s="26">
        <v>1.262</v>
      </c>
      <c r="W4" s="26">
        <v>1.278</v>
      </c>
      <c r="X4" s="26">
        <v>1.302</v>
      </c>
      <c r="Y4" s="26">
        <v>1.325</v>
      </c>
      <c r="Z4" s="26">
        <v>1.357</v>
      </c>
      <c r="AA4" s="26">
        <v>1.397</v>
      </c>
      <c r="AB4" s="26">
        <v>1.444</v>
      </c>
      <c r="AC4" s="26">
        <v>1.5</v>
      </c>
      <c r="AD4" s="26">
        <v>1.5629999999999999</v>
      </c>
      <c r="AE4" s="26">
        <v>1.635</v>
      </c>
      <c r="AF4" s="26">
        <v>1.706</v>
      </c>
      <c r="AG4" s="26">
        <v>1.786</v>
      </c>
      <c r="AH4" s="26">
        <v>1.865</v>
      </c>
      <c r="AI4" s="26">
        <v>1.952</v>
      </c>
      <c r="AJ4" s="26">
        <v>2.04</v>
      </c>
      <c r="AK4" s="26">
        <v>2.1349999999999998</v>
      </c>
      <c r="AL4" s="26">
        <v>2.23</v>
      </c>
      <c r="AM4" s="26">
        <v>2.3330000000000002</v>
      </c>
      <c r="AN4" s="26">
        <v>2.4369999999999998</v>
      </c>
      <c r="AO4" s="26">
        <v>2.548</v>
      </c>
      <c r="AP4" s="26">
        <v>2.6030000000000002</v>
      </c>
      <c r="AQ4" s="26">
        <v>2.714</v>
      </c>
      <c r="AR4" s="26">
        <v>2.81</v>
      </c>
      <c r="AS4" s="26">
        <v>2.8730000000000002</v>
      </c>
      <c r="AT4" s="26">
        <v>2.952</v>
      </c>
      <c r="AU4" s="26">
        <v>3</v>
      </c>
    </row>
    <row r="5" spans="1:47" x14ac:dyDescent="0.35">
      <c r="B5" s="25" t="s">
        <v>817</v>
      </c>
      <c r="C5" s="26">
        <v>0.65400000000000003</v>
      </c>
      <c r="D5" s="26">
        <v>0.72699999999999998</v>
      </c>
      <c r="E5" s="26">
        <v>0.72699999999999998</v>
      </c>
      <c r="F5" s="26">
        <v>0.72699999999999998</v>
      </c>
      <c r="G5" s="26">
        <v>0.72699999999999998</v>
      </c>
      <c r="H5" s="26">
        <v>0.72699999999999998</v>
      </c>
      <c r="I5" s="26">
        <v>0.72699999999999998</v>
      </c>
      <c r="J5" s="26">
        <v>0.72699999999999998</v>
      </c>
      <c r="K5" s="26">
        <v>0.74399999999999999</v>
      </c>
      <c r="L5" s="26">
        <v>0.76</v>
      </c>
      <c r="M5" s="26">
        <v>0.77900000000000003</v>
      </c>
      <c r="N5" s="26">
        <v>0.79900000000000004</v>
      </c>
      <c r="O5" s="26">
        <v>0.81699999999999995</v>
      </c>
      <c r="P5" s="26">
        <v>0.83599999999999997</v>
      </c>
      <c r="Q5" s="26">
        <v>0.85599999999999998</v>
      </c>
      <c r="R5" s="26">
        <v>0.876</v>
      </c>
      <c r="S5" s="26">
        <v>0.89600000000000002</v>
      </c>
      <c r="T5" s="26">
        <v>0.91600000000000004</v>
      </c>
      <c r="U5" s="26">
        <v>0.92700000000000005</v>
      </c>
      <c r="V5" s="26">
        <v>0.93799999999999994</v>
      </c>
      <c r="W5" s="26">
        <v>0.97499999999999998</v>
      </c>
      <c r="X5" s="26">
        <v>1.0129999999999999</v>
      </c>
      <c r="Y5" s="26">
        <v>1.0529999999999999</v>
      </c>
      <c r="Z5" s="26">
        <v>1.0940000000000001</v>
      </c>
      <c r="AA5" s="26">
        <v>1.137</v>
      </c>
      <c r="AB5" s="26">
        <v>1.181</v>
      </c>
      <c r="AC5" s="26">
        <v>1.2270000000000001</v>
      </c>
      <c r="AD5" s="26">
        <v>1.2749999999999999</v>
      </c>
      <c r="AE5" s="26">
        <v>1.325</v>
      </c>
      <c r="AF5" s="26">
        <v>1.377</v>
      </c>
      <c r="AG5" s="26">
        <v>1.431</v>
      </c>
      <c r="AH5" s="26">
        <v>1.4870000000000001</v>
      </c>
      <c r="AI5" s="26">
        <v>1.5449999999999999</v>
      </c>
      <c r="AJ5" s="26">
        <v>1.605</v>
      </c>
      <c r="AK5" s="26">
        <v>1.6679999999999999</v>
      </c>
      <c r="AL5" s="26">
        <v>1.7330000000000001</v>
      </c>
      <c r="AM5" s="26">
        <v>1.8009999999999999</v>
      </c>
      <c r="AN5" s="26">
        <v>1.871</v>
      </c>
      <c r="AO5" s="26">
        <v>1.944</v>
      </c>
      <c r="AP5" s="26">
        <v>2.02</v>
      </c>
      <c r="AQ5" s="26">
        <v>2.0990000000000002</v>
      </c>
      <c r="AR5" s="26">
        <v>2.181</v>
      </c>
      <c r="AS5" s="26">
        <v>2.181</v>
      </c>
      <c r="AT5" s="26">
        <v>2.181</v>
      </c>
      <c r="AU5" s="26">
        <v>2.181</v>
      </c>
    </row>
    <row r="6" spans="1:47" x14ac:dyDescent="0.35">
      <c r="A6" s="20" t="s">
        <v>226</v>
      </c>
      <c r="B6" s="25" t="s">
        <v>818</v>
      </c>
      <c r="C6" s="26">
        <v>0.751</v>
      </c>
      <c r="D6" s="26">
        <v>1.1830000000000001</v>
      </c>
      <c r="E6" s="26">
        <v>1.1830000000000001</v>
      </c>
      <c r="F6" s="26">
        <v>1.1830000000000001</v>
      </c>
      <c r="G6" s="26">
        <v>1.1830000000000001</v>
      </c>
      <c r="H6" s="26">
        <v>1.1830000000000001</v>
      </c>
      <c r="I6" s="26">
        <v>1.1830000000000001</v>
      </c>
      <c r="J6" s="26">
        <v>1.22</v>
      </c>
      <c r="K6" s="26">
        <v>1.25</v>
      </c>
      <c r="L6" s="26">
        <v>1.2749999999999999</v>
      </c>
      <c r="M6" s="26">
        <v>1.2869999999999999</v>
      </c>
      <c r="N6" s="26">
        <v>1.3049999999999999</v>
      </c>
      <c r="O6" s="26">
        <v>1.323</v>
      </c>
      <c r="P6" s="26">
        <v>1.3340000000000001</v>
      </c>
      <c r="Q6" s="26">
        <v>1.3460000000000001</v>
      </c>
      <c r="R6" s="26">
        <v>1.3520000000000001</v>
      </c>
      <c r="S6" s="26">
        <v>1.3580000000000001</v>
      </c>
      <c r="T6" s="26">
        <v>1.363</v>
      </c>
      <c r="U6" s="26">
        <v>1.369</v>
      </c>
      <c r="V6" s="26">
        <v>1.381</v>
      </c>
      <c r="W6" s="26">
        <v>1.393</v>
      </c>
      <c r="X6" s="26">
        <v>1.41</v>
      </c>
      <c r="Y6" s="26">
        <v>1.427</v>
      </c>
      <c r="Z6" s="26">
        <v>1.45</v>
      </c>
      <c r="AA6" s="26">
        <v>1.478</v>
      </c>
      <c r="AB6" s="26">
        <v>1.5109999999999999</v>
      </c>
      <c r="AC6" s="26">
        <v>1.55</v>
      </c>
      <c r="AD6" s="26">
        <v>1.593</v>
      </c>
      <c r="AE6" s="26">
        <v>1.641</v>
      </c>
      <c r="AF6" s="26">
        <v>1.6879999999999999</v>
      </c>
      <c r="AG6" s="26">
        <v>1.7410000000000001</v>
      </c>
      <c r="AH6" s="26">
        <v>1.792</v>
      </c>
      <c r="AI6" s="26">
        <v>1.847</v>
      </c>
      <c r="AJ6" s="26">
        <v>1.9019999999999999</v>
      </c>
      <c r="AK6" s="26">
        <v>1.9610000000000001</v>
      </c>
      <c r="AL6" s="26">
        <v>2.0190000000000001</v>
      </c>
      <c r="AM6" s="26">
        <v>2.08</v>
      </c>
      <c r="AN6" s="26">
        <v>2.1419999999999999</v>
      </c>
      <c r="AO6" s="26">
        <v>2.206</v>
      </c>
      <c r="AP6" s="26">
        <v>2.2799999999999998</v>
      </c>
      <c r="AQ6" s="26">
        <v>2.3650000000000002</v>
      </c>
      <c r="AR6" s="26">
        <v>2.3650000000000002</v>
      </c>
      <c r="AS6" s="26">
        <v>2.3650000000000002</v>
      </c>
      <c r="AT6" s="26">
        <v>2.3650000000000002</v>
      </c>
      <c r="AU6" s="26">
        <v>2.3650000000000002</v>
      </c>
    </row>
    <row r="7" spans="1:47" x14ac:dyDescent="0.35">
      <c r="A7" s="20" t="s">
        <v>230</v>
      </c>
      <c r="B7" s="25" t="s">
        <v>819</v>
      </c>
      <c r="C7" s="26">
        <v>0.89</v>
      </c>
      <c r="D7" s="26">
        <v>1</v>
      </c>
      <c r="E7" s="26">
        <v>1</v>
      </c>
      <c r="F7" s="26">
        <v>1</v>
      </c>
      <c r="G7" s="26">
        <v>1</v>
      </c>
      <c r="H7" s="26">
        <v>1.004</v>
      </c>
      <c r="I7" s="26">
        <v>1.024</v>
      </c>
      <c r="J7" s="26">
        <v>1.048</v>
      </c>
      <c r="K7" s="26">
        <v>1.087</v>
      </c>
      <c r="L7" s="26">
        <v>1.119</v>
      </c>
      <c r="M7" s="26">
        <v>1.135</v>
      </c>
      <c r="N7" s="26">
        <v>1.159</v>
      </c>
      <c r="O7" s="26">
        <v>1.1830000000000001</v>
      </c>
      <c r="P7" s="26">
        <v>1.198</v>
      </c>
      <c r="Q7" s="26">
        <v>1.214</v>
      </c>
      <c r="R7" s="26">
        <v>1.222</v>
      </c>
      <c r="S7" s="26">
        <v>1.23</v>
      </c>
      <c r="T7" s="26">
        <v>1.238</v>
      </c>
      <c r="U7" s="26">
        <v>1.246</v>
      </c>
      <c r="V7" s="26">
        <v>1.262</v>
      </c>
      <c r="W7" s="26">
        <v>1.278</v>
      </c>
      <c r="X7" s="26">
        <v>1.302</v>
      </c>
      <c r="Y7" s="26">
        <v>1.325</v>
      </c>
      <c r="Z7" s="26">
        <v>1.357</v>
      </c>
      <c r="AA7" s="26">
        <v>1.397</v>
      </c>
      <c r="AB7" s="26">
        <v>1.444</v>
      </c>
      <c r="AC7" s="26">
        <v>1.5</v>
      </c>
      <c r="AD7" s="26">
        <v>1.5629999999999999</v>
      </c>
      <c r="AE7" s="26">
        <v>1.635</v>
      </c>
      <c r="AF7" s="26">
        <v>1.706</v>
      </c>
      <c r="AG7" s="26">
        <v>1.786</v>
      </c>
      <c r="AH7" s="26">
        <v>1.865</v>
      </c>
      <c r="AI7" s="26">
        <v>1.952</v>
      </c>
      <c r="AJ7" s="26">
        <v>2.04</v>
      </c>
      <c r="AK7" s="26">
        <v>2.1349999999999998</v>
      </c>
      <c r="AL7" s="26">
        <v>2.23</v>
      </c>
      <c r="AM7" s="26">
        <v>2.3330000000000002</v>
      </c>
      <c r="AN7" s="26">
        <v>2.4369999999999998</v>
      </c>
      <c r="AO7" s="26">
        <v>2.548</v>
      </c>
      <c r="AP7" s="26">
        <v>2.6030000000000002</v>
      </c>
      <c r="AQ7" s="26">
        <v>2.714</v>
      </c>
      <c r="AR7" s="26">
        <v>2.81</v>
      </c>
      <c r="AS7" s="26">
        <v>2.8730000000000002</v>
      </c>
      <c r="AT7" s="26">
        <v>2.952</v>
      </c>
      <c r="AU7" s="26">
        <v>3</v>
      </c>
    </row>
    <row r="8" spans="1:47" x14ac:dyDescent="0.35">
      <c r="A8" s="20" t="s">
        <v>251</v>
      </c>
      <c r="B8" s="25" t="s">
        <v>820</v>
      </c>
      <c r="C8" s="26">
        <v>0.79300000000000004</v>
      </c>
      <c r="D8" s="26">
        <v>1</v>
      </c>
      <c r="E8" s="26">
        <v>1.05</v>
      </c>
      <c r="F8" s="26">
        <v>1.113</v>
      </c>
      <c r="G8" s="26">
        <v>1.1910000000000001</v>
      </c>
      <c r="H8" s="26">
        <v>1.298</v>
      </c>
      <c r="I8" s="26">
        <v>1.363</v>
      </c>
      <c r="J8" s="26">
        <v>1.39</v>
      </c>
      <c r="K8" s="26">
        <v>1.39</v>
      </c>
      <c r="L8" s="26">
        <v>1.39</v>
      </c>
      <c r="M8" s="26">
        <v>1.39</v>
      </c>
      <c r="N8" s="26">
        <v>1.39</v>
      </c>
      <c r="O8" s="26">
        <v>1.39</v>
      </c>
      <c r="P8" s="26">
        <v>1.39</v>
      </c>
      <c r="Q8" s="26">
        <v>1.39</v>
      </c>
      <c r="R8" s="26">
        <v>1.39</v>
      </c>
      <c r="S8" s="26">
        <v>1.39</v>
      </c>
      <c r="T8" s="26">
        <v>1.4039999999999999</v>
      </c>
      <c r="U8" s="26">
        <v>1.425</v>
      </c>
      <c r="V8" s="26">
        <v>1.45</v>
      </c>
      <c r="W8" s="26">
        <v>1.4790000000000001</v>
      </c>
      <c r="X8" s="26">
        <v>1.516</v>
      </c>
      <c r="Y8" s="26">
        <v>1.5620000000000001</v>
      </c>
      <c r="Z8" s="26">
        <v>1.6160000000000001</v>
      </c>
      <c r="AA8" s="26">
        <v>1.681</v>
      </c>
      <c r="AB8" s="26">
        <v>1.748</v>
      </c>
      <c r="AC8" s="26">
        <v>1.8180000000000001</v>
      </c>
      <c r="AD8" s="26">
        <v>1.891</v>
      </c>
      <c r="AE8" s="26">
        <v>1.966</v>
      </c>
      <c r="AF8" s="26">
        <v>2.0449999999999999</v>
      </c>
      <c r="AG8" s="26">
        <v>2.1269999999999998</v>
      </c>
      <c r="AH8" s="26">
        <v>2.2120000000000002</v>
      </c>
      <c r="AI8" s="26">
        <v>2.2999999999999998</v>
      </c>
      <c r="AJ8" s="26">
        <v>2.3919999999999999</v>
      </c>
      <c r="AK8" s="26">
        <v>2.488</v>
      </c>
      <c r="AL8" s="26">
        <v>2.5880000000000001</v>
      </c>
      <c r="AM8" s="26">
        <v>2.6909999999999998</v>
      </c>
      <c r="AN8" s="26">
        <v>2.7989999999999999</v>
      </c>
      <c r="AO8" s="26">
        <v>2.911</v>
      </c>
      <c r="AP8" s="26">
        <v>3</v>
      </c>
      <c r="AQ8" s="26">
        <v>3</v>
      </c>
      <c r="AR8" s="26">
        <v>3</v>
      </c>
      <c r="AS8" s="26">
        <v>3</v>
      </c>
      <c r="AT8" s="26">
        <v>3</v>
      </c>
      <c r="AU8" s="26">
        <v>3</v>
      </c>
    </row>
    <row r="9" spans="1:47" x14ac:dyDescent="0.35">
      <c r="B9" s="27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</row>
    <row r="10" spans="1:47" ht="46.5" x14ac:dyDescent="0.35">
      <c r="B10" s="28" t="s">
        <v>821</v>
      </c>
      <c r="C10" s="26">
        <v>0.75</v>
      </c>
      <c r="D10" s="26">
        <v>1.25</v>
      </c>
      <c r="E10" s="26">
        <v>1.25</v>
      </c>
      <c r="F10" s="26">
        <v>1.25</v>
      </c>
      <c r="G10" s="26">
        <v>1.25</v>
      </c>
      <c r="H10" s="26">
        <v>1.25</v>
      </c>
      <c r="I10" s="26">
        <v>1.25</v>
      </c>
      <c r="J10" s="26">
        <v>1.25</v>
      </c>
      <c r="K10" s="26">
        <v>1.25</v>
      </c>
      <c r="L10" s="26">
        <v>1.2749999999999999</v>
      </c>
      <c r="M10" s="26">
        <v>1.2869999999999999</v>
      </c>
      <c r="N10" s="26">
        <v>1.3049999999999999</v>
      </c>
      <c r="O10" s="26">
        <v>1.323</v>
      </c>
      <c r="P10" s="26">
        <v>1.3340000000000001</v>
      </c>
      <c r="Q10" s="26">
        <v>1.3460000000000001</v>
      </c>
      <c r="R10" s="26">
        <v>1.3520000000000001</v>
      </c>
      <c r="S10" s="26">
        <v>1.3580000000000001</v>
      </c>
      <c r="T10" s="26">
        <v>1.363</v>
      </c>
      <c r="U10" s="26">
        <v>1.369</v>
      </c>
      <c r="V10" s="26">
        <v>1.381</v>
      </c>
      <c r="W10" s="26">
        <v>1.393</v>
      </c>
      <c r="X10" s="26">
        <v>1.41</v>
      </c>
      <c r="Y10" s="26">
        <v>1.427</v>
      </c>
      <c r="Z10" s="26">
        <v>1.45</v>
      </c>
      <c r="AA10" s="26">
        <v>1.478</v>
      </c>
      <c r="AB10" s="26">
        <v>1.5109999999999999</v>
      </c>
      <c r="AC10" s="26">
        <v>1.55</v>
      </c>
      <c r="AD10" s="26">
        <v>1.593</v>
      </c>
      <c r="AE10" s="26">
        <v>1.641</v>
      </c>
      <c r="AF10" s="26">
        <v>1.6879999999999999</v>
      </c>
      <c r="AG10" s="26">
        <v>1.7410000000000001</v>
      </c>
      <c r="AH10" s="26">
        <v>1.792</v>
      </c>
      <c r="AI10" s="26">
        <v>1.847</v>
      </c>
      <c r="AJ10" s="26">
        <v>1.9019999999999999</v>
      </c>
      <c r="AK10" s="26">
        <v>1.9610000000000001</v>
      </c>
      <c r="AL10" s="26">
        <v>2.0190000000000001</v>
      </c>
      <c r="AM10" s="26">
        <v>2.08</v>
      </c>
      <c r="AN10" s="26">
        <v>2.1419999999999999</v>
      </c>
      <c r="AO10" s="26">
        <v>2.206</v>
      </c>
      <c r="AP10" s="26">
        <v>2.2799999999999998</v>
      </c>
      <c r="AQ10" s="26">
        <v>2.2799999999999998</v>
      </c>
      <c r="AR10" s="26">
        <v>2.2799999999999998</v>
      </c>
      <c r="AS10" s="26">
        <v>2.2799999999999998</v>
      </c>
      <c r="AT10" s="26">
        <v>2.2799999999999998</v>
      </c>
      <c r="AU10" s="26">
        <v>2.2799999999999998</v>
      </c>
    </row>
    <row r="13" spans="1:47" ht="62" x14ac:dyDescent="0.35">
      <c r="C13" s="29" t="s">
        <v>822</v>
      </c>
      <c r="D13" s="29" t="s">
        <v>823</v>
      </c>
      <c r="E13" s="30" t="s">
        <v>824</v>
      </c>
      <c r="F13" s="31" t="s">
        <v>825</v>
      </c>
    </row>
    <row r="14" spans="1:47" x14ac:dyDescent="0.35">
      <c r="B14" s="25" t="s">
        <v>826</v>
      </c>
      <c r="C14" s="32">
        <v>1</v>
      </c>
      <c r="D14" s="32">
        <v>2</v>
      </c>
      <c r="E14" s="33">
        <v>1.7</v>
      </c>
      <c r="F14" s="33">
        <v>2.85</v>
      </c>
    </row>
    <row r="15" spans="1:47" x14ac:dyDescent="0.35">
      <c r="B15" s="25" t="s">
        <v>827</v>
      </c>
      <c r="C15" s="32">
        <v>1</v>
      </c>
      <c r="D15" s="34">
        <v>2</v>
      </c>
      <c r="E15" s="35">
        <v>1.93</v>
      </c>
      <c r="F15" s="35">
        <v>2.81</v>
      </c>
    </row>
    <row r="18" spans="4:5" x14ac:dyDescent="0.35">
      <c r="D18" s="20" t="s">
        <v>209</v>
      </c>
      <c r="E18" s="36">
        <f>J5</f>
        <v>0.72699999999999998</v>
      </c>
    </row>
    <row r="19" spans="4:5" x14ac:dyDescent="0.35">
      <c r="D19" s="20" t="s">
        <v>226</v>
      </c>
      <c r="E19" s="36">
        <f>J6</f>
        <v>1.22</v>
      </c>
    </row>
    <row r="20" spans="4:5" x14ac:dyDescent="0.35">
      <c r="D20" s="20" t="s">
        <v>230</v>
      </c>
      <c r="E20" s="36">
        <f>J7</f>
        <v>1.048</v>
      </c>
    </row>
    <row r="21" spans="4:5" x14ac:dyDescent="0.35">
      <c r="D21" s="20" t="s">
        <v>251</v>
      </c>
      <c r="E21" s="36">
        <f>J8</f>
        <v>1.39</v>
      </c>
    </row>
    <row r="22" spans="4:5" x14ac:dyDescent="0.35">
      <c r="D22" s="20" t="s">
        <v>238</v>
      </c>
      <c r="E22" s="36">
        <f>J10</f>
        <v>1.25</v>
      </c>
    </row>
    <row r="23" spans="4:5" x14ac:dyDescent="0.35">
      <c r="D23" s="20" t="s">
        <v>253</v>
      </c>
      <c r="E23" s="34">
        <f>C15</f>
        <v>1</v>
      </c>
    </row>
    <row r="24" spans="4:5" x14ac:dyDescent="0.35">
      <c r="D24" s="20" t="s">
        <v>241</v>
      </c>
      <c r="E24" s="34">
        <f>C14</f>
        <v>1</v>
      </c>
    </row>
    <row r="25" spans="4:5" x14ac:dyDescent="0.35">
      <c r="D25" s="20" t="s">
        <v>828</v>
      </c>
      <c r="E25" s="36">
        <f>J4</f>
        <v>1.048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15</vt:i4>
      </vt:variant>
    </vt:vector>
  </HeadingPairs>
  <TitlesOfParts>
    <vt:vector size="27" baseType="lpstr">
      <vt:lpstr>ByCounty</vt:lpstr>
      <vt:lpstr>ByArea</vt:lpstr>
      <vt:lpstr>2014</vt:lpstr>
      <vt:lpstr>2014&amp;2019 Data</vt:lpstr>
      <vt:lpstr>CostAnalysis</vt:lpstr>
      <vt:lpstr>InsurersAnalysis</vt:lpstr>
      <vt:lpstr>2015</vt:lpstr>
      <vt:lpstr>2016(p)</vt:lpstr>
      <vt:lpstr>2015_HIXCOMPARE</vt:lpstr>
      <vt:lpstr>2016_HIXCOMPARE</vt:lpstr>
      <vt:lpstr>Weight</vt:lpstr>
      <vt:lpstr>AgeFactors</vt:lpstr>
      <vt:lpstr>_2016_HIXCOMPAREclean</vt:lpstr>
      <vt:lpstr>AgeFactors</vt:lpstr>
      <vt:lpstr>AREA</vt:lpstr>
      <vt:lpstr>Carrier</vt:lpstr>
      <vt:lpstr>Metal</vt:lpstr>
      <vt:lpstr>PERMI2C30</vt:lpstr>
      <vt:lpstr>PREMC2CA30</vt:lpstr>
      <vt:lpstr>PREMI27</vt:lpstr>
      <vt:lpstr>PREMI50</vt:lpstr>
      <vt:lpstr>'2015'!Silverplans</vt:lpstr>
      <vt:lpstr>'2016(p)'!Silverplans</vt:lpstr>
      <vt:lpstr>Silverplans</vt:lpstr>
      <vt:lpstr>State</vt:lpstr>
      <vt:lpstr>Weight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lastModifiedBy>Raymond Packer</cp:lastModifiedBy>
  <dcterms:created xsi:type="dcterms:W3CDTF">2015-12-24T20:48:50Z</dcterms:created>
  <dcterms:modified xsi:type="dcterms:W3CDTF">2024-08-29T17:51:57Z</dcterms:modified>
</cp:coreProperties>
</file>