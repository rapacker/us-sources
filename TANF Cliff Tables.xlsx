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defaultThemeVersion="166925"/>
  <mc:AlternateContent xmlns:mc="http://schemas.openxmlformats.org/markup-compatibility/2006">
    <mc:Choice Requires="x15">
      <x15ac:absPath xmlns:x15ac="http://schemas.microsoft.com/office/spreadsheetml/2010/11/ac" url="C:\Users\Owner\Documents\Just Saying That\Consulting\GCO\Program Sources\TANF\"/>
    </mc:Choice>
  </mc:AlternateContent>
  <xr:revisionPtr revIDLastSave="0" documentId="13_ncr:1_{709F9485-68A9-4A8D-9EC1-EF13DFD6DF75}" xr6:coauthVersionLast="47" xr6:coauthVersionMax="47" xr10:uidLastSave="{00000000-0000-0000-0000-000000000000}"/>
  <bookViews>
    <workbookView xWindow="1740" yWindow="90" windowWidth="15210" windowHeight="10060" xr2:uid="{67265AD9-0157-406C-92D8-32A2608C1176}"/>
  </bookViews>
  <sheets>
    <sheet name="TANF" sheetId="1" r:id="rId1"/>
    <sheet name="FPIG" sheetId="2" r:id="rId2"/>
  </sheets>
  <externalReferences>
    <externalReference r:id="rId3"/>
    <externalReference r:id="rId4"/>
    <externalReference r:id="rId5"/>
  </externalReferences>
  <definedNames>
    <definedName name="Adjusted_Gross_Income" localSheetId="1">[1]Calc1!$N$65:INDEX([1]Calc1!$N$65:$HH$65,COUNTIF([1]Calc1!$N$65:$HH$65,”&lt;&gt;”&amp;””))</definedName>
    <definedName name="Adjusted_Gross_Income">[2]Calc1!$N$66:INDEX([2]Calc1!$N$66:$HH$66,COUNTIF([2]Calc1!$N$66:$HH$66,”&lt;&gt;”&amp;””))</definedName>
    <definedName name="AgeAdult" localSheetId="1">[1]Lists!$F$10:$F$60</definedName>
    <definedName name="AgeAdult">[2]Lists!$F$10:$F$60</definedName>
    <definedName name="AgeChild" localSheetId="1">[1]Lists!$H$10:$H$29</definedName>
    <definedName name="AgeChild">[2]Lists!$H$10:$H$29</definedName>
    <definedName name="CCA_RateCategoryEntireCol" localSheetId="1">INDEX([1]!CCA_RateCategory[#Data],,FPIG!CCA_RateCategoryStateColNum)</definedName>
    <definedName name="CCA_RateCategoryEntireCol">INDEX([2]!CCA_RateCategory[#Data],,CCA_RateCategoryStateColNum)</definedName>
    <definedName name="CCA_RateCategoryLookup" localSheetId="1">OFFSET(INDEX([1]!CCA_RateCategory[Rate Category],MATCH(1,([1]!CCA_RateCategory[State]=[1]Inputs!$C$6)*([1]!CCA_RateCategory[Year]=[1]Inputs!$C$5),0)),0,0,COUNTIFS([1]!CCA_RateCategory[State],[1]Inputs!$C$6,[1]!CCA_RateCategory[Year],[1]Inputs!$C$5,[1]!CCA_RateCategory[Setting],[1]Inputs!$Y1))</definedName>
    <definedName name="CCA_RateCategoryLookup">INDEX([2]!CCA_RateCategory[#Data],1,CCA_RateCategoryStateColNum):INDEX([2]!CCA_RateCategory[#Data],COUNTA(CCA_RateCategoryEntireCol),CCA_RateCategoryStateColNum)</definedName>
    <definedName name="CCA_RateCategoryStateColNum" localSheetId="1">MATCH(FPIG!InputStateName,[1]!CCA_RateCategory[#Headers],0)</definedName>
    <definedName name="CCA_RateCategoryStateColNum">MATCH(InputStateName,[2]!CCA_RateCategory[#Headers],0)</definedName>
    <definedName name="CCA_SettingsEntireCol" localSheetId="1">INDEX([1]!CCA_Settings[#Data],,FPIG!CCA_SettingsStateColNum)</definedName>
    <definedName name="CCA_SettingsEntireCol">INDEX([2]!CCA_Settings[#Data],,CCA_SettingsStateColNum)</definedName>
    <definedName name="CCA_SettingsLookup" localSheetId="1">INDEX([1]!CCA_Settings[#Data],1,FPIG!CCA_SettingsStateColNum):INDEX([1]!CCA_Settings[#Data],COUNTA(FPIG!CCA_SettingsEntireCol),FPIG!CCA_SettingsStateColNum)</definedName>
    <definedName name="CCA_SettingsLookup">INDEX([2]!CCA_Settings[#Data],1,CCA_SettingsStateColNum):INDEX([2]!CCA_Settings[#Data],COUNTA(CCA_SettingsEntireCol),CCA_SettingsStateColNum)</definedName>
    <definedName name="CCA_SettingsStateColNum" localSheetId="1">MATCH(FPIG!InputStateName,[1]!CCA_Settings[#Headers],0)</definedName>
    <definedName name="CCA_SettingsStateColNum">MATCH(InputStateName,[2]!CCA_Settings[#Headers],0)</definedName>
    <definedName name="CHIP_GroupLookup1">[2]Calc1!$C$384:$G$391</definedName>
    <definedName name="CompareAlabamaAdjusted_Gross_Income" localSheetId="1">[1]Calc1!$N$65:INDEX([1]Calc1!$N$65:$HH$65,COUNTIF([1]Calc1!$N$65:$HH$65,”&lt;&gt;”&amp;””))</definedName>
    <definedName name="CompareAlabamaAdjusted_Gross_Income">[2]Calc1!$N$66:INDEX([2]Calc1!$N$66:$HH$66,COUNTIF([2]Calc1!$N$66:$HH$66,”&lt;&gt;”&amp;””))</definedName>
    <definedName name="CompareAlabamaHousehold_Annual_Earned_Income" localSheetId="1">[1]Calc1!$N$45:INDEX([1]Calc1!$N$45:$HH$45,COUNTIF([1]Calc1!$N$45:$HH$45,”&lt;&gt;”&amp;””))</definedName>
    <definedName name="CompareAlabamaHousehold_Annual_Earned_Income">[2]Calc1!$N$46:INDEX([2]Calc1!$N$46:$HH$46,COUNTIF([2]Calc1!$N$46:$HH$46,”&lt;&gt;”&amp;””))</definedName>
    <definedName name="CompareAlabamaHousehold_Annual_Income" localSheetId="1">[1]Calc1!$N$49:INDEX([1]Calc1!$N$49:$HH$49,COUNTIF([1]Calc1!$N$49:$HH$49,”&lt;&gt;”&amp;””))</definedName>
    <definedName name="CompareAlabamaHousehold_Annual_Income">[2]Calc1!$N$50:INDEX([2]Calc1!$N$50:$HH$50,COUNTIF([2]Calc1!$N$50:$HH$50,”&lt;&gt;”&amp;””))</definedName>
    <definedName name="CompareAlabamaHousehold_Annual_Unearned_Income" localSheetId="1">[1]Calc1!$N$47:INDEX([1]Calc1!$N$47:$HH$47,COUNTIF([1]Calc1!$N$47:$HH$47,”&lt;&gt;”&amp;””))</definedName>
    <definedName name="CompareAlabamaHousehold_Annual_Unearned_Income">[2]Calc1!$N$48:INDEX([2]Calc1!$N$48:$HH$48,COUNTIF([2]Calc1!$N$48:$HH$48,”&lt;&gt;”&amp;””))</definedName>
    <definedName name="CompareAlabamaHousehold_Monthly_Earned_Income" localSheetId="1">[1]Calc1!$N$44:INDEX([1]Calc1!$N$44:$HH$44,COUNTIF([1]Calc1!$N$44:$HH$44,”&lt;&gt;”&amp;””))</definedName>
    <definedName name="CompareAlabamaHousehold_Monthly_Earned_Income">[2]Calc1!$N$45:INDEX([2]Calc1!$N$45:$HH$45,COUNTIF([2]Calc1!$N$45:$HH$45,”&lt;&gt;”&amp;””))</definedName>
    <definedName name="CompareAlabamaHousehold_Monthly_Income" localSheetId="1">[1]Calc1!$N$48:INDEX([1]Calc1!$N$48:$HH$48,COUNTIF([1]Calc1!$N$48:$HH$48,”&lt;&gt;”&amp;””))</definedName>
    <definedName name="CompareAlabamaHousehold_Monthly_Income">[2]Calc1!$N$49:INDEX([2]Calc1!$N$49:$HH$49,COUNTIF([2]Calc1!$N$49:$HH$49,”&lt;&gt;”&amp;””))</definedName>
    <definedName name="CompareAlabamaHousehold_Monthly_Unearned_Income" localSheetId="1">[1]Calc1!$N$46:INDEX([1]Calc1!$N$46:$HH$46,COUNTIF([1]Calc1!$N$46:$HH$46,”&lt;&gt;”&amp;””))</definedName>
    <definedName name="CompareAlabamaHousehold_Monthly_Unearned_Income">[2]Calc1!$N$47:INDEX([2]Calc1!$N$47:$HH$47,COUNTIF([2]Calc1!$N$47:$HH$47,”&lt;&gt;”&amp;””))</definedName>
    <definedName name="CompareAlabamaOutputACTC" localSheetId="1">[1]Calc1!$N$139:$HF$139</definedName>
    <definedName name="CompareAlabamaOutputACTC">[2]Calc1!$N$140:$HF$140</definedName>
    <definedName name="CompareAlabamaOutputChildCareSubsidyFinal" localSheetId="1">[1]Calc1!$N$594:$HF$594</definedName>
    <definedName name="CompareAlabamaOutputChildCareSubsidyFinal">[2]Calc1!$N$588:$HF$588</definedName>
    <definedName name="CompareAlabamaOutputCHIP" localSheetId="1">[1]Calc1!$N$421:$HF$421</definedName>
    <definedName name="CompareAlabamaOutputCHIP">[2]Calc1!$N$419:$HF$419</definedName>
    <definedName name="CompareAlabamaOutputComboCashAssistance" localSheetId="1">FPIG!CompareAlabamaOutputTANF + FPIG!CompareAlabamaOutputSSI +FPIG!CompareAlabamaOutputLIHEAP</definedName>
    <definedName name="CompareAlabamaOutputComboCashAssistance">CompareAlabamaOutputTANF + CompareAlabamaOutputSSI +CompareAlabamaOutputLIHEAP</definedName>
    <definedName name="CompareAlabamaOutputComboFoodAssistance" localSheetId="1">FPIG!CompareAlabamaOutputSNAP + FPIG!CompareAlabamaOutputWIC + FPIG!CompareAlabamaOutputSubsidizedSchoolMeals</definedName>
    <definedName name="CompareAlabamaOutputComboFoodAssistance">CompareAlabamaOutputSNAP + CompareAlabamaOutputWIC + CompareAlabamaOutputSubsidizedSchoolMeals</definedName>
    <definedName name="CompareAlabamaOutputComboMedicalAssistance" localSheetId="1">FPIG!CompareAlabamaOutputMedicaid + FPIG!CompareAlabamaOutputCHIP + FPIG!CompareAlabamaOutputHIXPTC</definedName>
    <definedName name="CompareAlabamaOutputComboMedicalAssistance">CompareAlabamaOutputMedicaid + CompareAlabamaOutputCHIP + CompareAlabamaOutputHIXPTC</definedName>
    <definedName name="CompareAlabamaOutputComboNetEarnings" localSheetId="1">FPIG!CompareAlabamaAdjusted_Gross_Income - FPIG!CompareAlabamaOutputFICA - FPIG!CompareAlabamaOutputFedTax - FPIG!CompareAlabamaOutputStateTax</definedName>
    <definedName name="CompareAlabamaOutputComboNetEarnings">CompareAlabamaAdjusted_Gross_Income - CompareAlabamaOutputFICA - CompareAlabamaOutputFedTax - CompareAlabamaOutputStateTax</definedName>
    <definedName name="CompareAlabamaOutputComboRefundableTaxCredits" localSheetId="1">FPIG!CompareAlabamaOutputEITC + FPIG!CompareAlabamaOutputACTC + FPIG!CompareAlabamaOutputStateEITC + FPIG!CompareAlabamaOutputCTC</definedName>
    <definedName name="CompareAlabamaOutputComboRefundableTaxCredits">CompareAlabamaOutputEITC + CompareAlabamaOutputACTC + CompareAlabamaOutputStateEITC + CompareAlabamaOutputCTC</definedName>
    <definedName name="CompareAlabamaOutputCTC" localSheetId="1">[1]Calc1!$N$107:$HF$107</definedName>
    <definedName name="CompareAlabamaOutputCTC">[2]Calc1!$N$108:$HF$108</definedName>
    <definedName name="CompareAlabamaOutputEITC" localSheetId="1">[1]Calc1!$N$121:$HF$121</definedName>
    <definedName name="CompareAlabamaOutputEITC">[2]Calc1!$N$122:$HF$122</definedName>
    <definedName name="CompareAlabamaOutputFedTax" localSheetId="1">[1]Calc1!$N$101:$HF$101</definedName>
    <definedName name="CompareAlabamaOutputFedTax">[2]Calc1!$N$102:$HF$102</definedName>
    <definedName name="CompareAlabamaOutputFICA" localSheetId="1">[1]Calc1!$N$53:$HF$53</definedName>
    <definedName name="CompareAlabamaOutputFICA">[2]Calc1!$N$54:$HF$54</definedName>
    <definedName name="CompareAlabamaOutputHIXPTC" localSheetId="1">[1]Calc1!$N$464:$HF$464</definedName>
    <definedName name="CompareAlabamaOutputHIXPTC">[2]Calc1!$N$462:$HF$462</definedName>
    <definedName name="CompareAlabamaOutputInterval" localSheetId="1">[1]Calc1!$N$2:$HF$2</definedName>
    <definedName name="CompareAlabamaOutputInterval">[2]Calc1!$N$2:$HF$2</definedName>
    <definedName name="CompareAlabamaOutputLIHEAP" localSheetId="1">[1]Calc1!$N$720:$HF$720</definedName>
    <definedName name="CompareAlabamaOutputLIHEAP">[2]Calc1!$N$711:$HF$711</definedName>
    <definedName name="CompareAlabamaOutputMedicaid" localSheetId="1">[1]Calc1!$N$377:$HF$377</definedName>
    <definedName name="CompareAlabamaOutputMedicaid">[2]Calc1!$N$375:$HF$375</definedName>
    <definedName name="CompareAlabamaOutputMedicaidAndCHIP" localSheetId="1">FPIG!CompareAlabamaOutputMedicaid + FPIG!CompareAlabamaOutputCHIP</definedName>
    <definedName name="CompareAlabamaOutputMedicaidAndCHIP">CompareAlabamaOutputMedicaid + CompareAlabamaOutputCHIP</definedName>
    <definedName name="CompareAlabamaOutputMomHourlyWage" localSheetId="1">[1]Calc1!$N$9:$HF$9</definedName>
    <definedName name="CompareAlabamaOutputMomHourlyWage">[2]Calc1!$N$10:$HF$10</definedName>
    <definedName name="CompareAlabamaOutputMomWeeklyHours" localSheetId="1">[1]Calc1!$N$4:$HF$4</definedName>
    <definedName name="CompareAlabamaOutputMomWeeklyHours">[2]Calc1!$N$5:$HF$5</definedName>
    <definedName name="CompareAlabamaOutputSec8Entry" localSheetId="1">[1]Calc1!$N$691:$HF$691</definedName>
    <definedName name="CompareAlabamaOutputSec8Entry">[2]Calc1!$N$685:$HF$685</definedName>
    <definedName name="CompareAlabamaOutputSec8Extended" localSheetId="1">[1]Calc1!$N$696:$HF$696</definedName>
    <definedName name="CompareAlabamaOutputSec8Extended">[2]Calc1!$N$690:$HF$690</definedName>
    <definedName name="CompareAlabamaOutputSec8Final" localSheetId="1">[1]Calc1!$N$694:$HF$694</definedName>
    <definedName name="CompareAlabamaOutputSec8Final">[2]Calc1!$N$688:$HF$688</definedName>
    <definedName name="CompareAlabamaOutputSNAP" localSheetId="1">[1]Calc1!$N$315:$HF$315</definedName>
    <definedName name="CompareAlabamaOutputSNAP">[2]Calc1!$N$313:$HF$313</definedName>
    <definedName name="CompareAlabamaOutputSSI" localSheetId="1">[1]Calc1!$N$282:$HF$282</definedName>
    <definedName name="CompareAlabamaOutputSSI">[2]Calc1!$N$280:$HF$280</definedName>
    <definedName name="CompareAlabamaOutputStackPlusCashAssistance" localSheetId="1">FPIG!CompareAlabamaOutputStackPlusRefundableTaxCredits + FPIG!CompareAlabamaOutputComboCashAssistance</definedName>
    <definedName name="CompareAlabamaOutputStackPlusCashAssistance">CompareAlabamaOutputStackPlusRefundableTaxCredits + CompareAlabamaOutputComboCashAssistance</definedName>
    <definedName name="CompareAlabamaOutputStackPlusChildCareFinal" localSheetId="1">FPIG!CompareAlabamaOutputStackPlusMedicalAssistance + FPIG!CompareAlabamaOutputChildCareSubsidyFinal</definedName>
    <definedName name="CompareAlabamaOutputStackPlusChildCareFinal">CompareAlabamaOutputStackPlusMedicalAssistance + CompareAlabamaOutputChildCareSubsidyFinal</definedName>
    <definedName name="CompareAlabamaOutputStackPlusFoodAssistance" localSheetId="1">FPIG!CompareAlabamaOutputStackPlusCashAssistance + FPIG!CompareAlabamaOutputComboFoodAssistance</definedName>
    <definedName name="CompareAlabamaOutputStackPlusFoodAssistance">CompareAlabamaOutputStackPlusCashAssistance + CompareAlabamaOutputComboFoodAssistance</definedName>
    <definedName name="CompareAlabamaOutputStackPlusHIXPTC" localSheetId="1">FPIG!CompareAlabamaOutputStackPlusMedicaidAndCHIP + FPIG!CompareAlabamaOutputHIXPTC</definedName>
    <definedName name="CompareAlabamaOutputStackPlusHIXPTC">CompareAlabamaOutputStackPlusMedicaidAndCHIP + CompareAlabamaOutputHIXPTC</definedName>
    <definedName name="CompareAlabamaOutputStackPlusMedicaidAndCHIP" localSheetId="1">FPIG!CompareAlabamaOutputStackPlusFoodAssistance + FPIG!CompareAlabamaOutputMedicaid + FPIG!CompareAlabamaOutputCHIP</definedName>
    <definedName name="CompareAlabamaOutputStackPlusMedicaidAndCHIP">CompareAlabamaOutputStackPlusFoodAssistance + CompareAlabamaOutputMedicaid + CompareAlabamaOutputCHIP</definedName>
    <definedName name="CompareAlabamaOutputStackPlusMedicalAssistance" localSheetId="1">FPIG!CompareAlabamaOutputStackPlusFoodAssistance + FPIG!CompareAlabamaOutputComboMedicalAssistance</definedName>
    <definedName name="CompareAlabamaOutputStackPlusMedicalAssistance">CompareAlabamaOutputStackPlusFoodAssistance + CompareAlabamaOutputComboMedicalAssistance</definedName>
    <definedName name="CompareAlabamaOutputStackPlusRefundableTaxCredits" localSheetId="1">FPIG!CompareAlabamaOutputComboNetEarnings+FPIG!CompareAlabamaOutputComboRefundableTaxCredits</definedName>
    <definedName name="CompareAlabamaOutputStackPlusRefundableTaxCredits">CompareAlabamaOutputComboNetEarnings+CompareAlabamaOutputComboRefundableTaxCredits</definedName>
    <definedName name="CompareAlabamaOutputStackPlusSec8Entry" localSheetId="1">FPIG!CompareAlabamaOutputStackPlusChildCareFinal + FPIG!CompareAlabamaOutputSec8Entry</definedName>
    <definedName name="CompareAlabamaOutputStackPlusSec8Entry">CompareAlabamaOutputStackPlusChildCareFinal + CompareAlabamaOutputSec8Entry</definedName>
    <definedName name="CompareAlabamaOutputStackPlusSec8Entry_Graph" localSheetId="1">FPIG!CompareAlabamaOutputStackPlusChildCareFinal + FPIG!CompareAlabamaOutputSec8Final</definedName>
    <definedName name="CompareAlabamaOutputStackPlusSec8Entry_Graph">CompareAlabamaOutputStackPlusChildCareFinal + CompareAlabamaOutputSec8Final</definedName>
    <definedName name="CompareAlabamaOutputStackPlusSec8Extended" localSheetId="1">FPIG!CompareAlabamaOutputStackPlusSec8Entry + FPIG!CompareAlabamaOutputSec8Extended</definedName>
    <definedName name="CompareAlabamaOutputStackPlusSec8Extended">CompareAlabamaOutputStackPlusSec8Entry + CompareAlabamaOutputSec8Extended</definedName>
    <definedName name="CompareAlabamaOutputStateEITC" localSheetId="1">[1]Calc1!$N$221:$HF$221</definedName>
    <definedName name="CompareAlabamaOutputStateEITC">[2]Calc1!$N$221:$HF$221</definedName>
    <definedName name="CompareAlabamaOutputStateTax" localSheetId="1">[1]Calc1!$N$206:$HF$206</definedName>
    <definedName name="CompareAlabamaOutputStateTax">[2]Calc1!$N$206:$HF$206</definedName>
    <definedName name="CompareAlabamaOutputSubsidizedSchoolMeals" localSheetId="1">[1]Calc1!$N$348:$HF$348</definedName>
    <definedName name="CompareAlabamaOutputSubsidizedSchoolMeals">[2]Calc1!$N$346:$HF$346</definedName>
    <definedName name="CompareAlabamaOutputTANF" localSheetId="1">[1]Calc1!$N$269:$HF$269</definedName>
    <definedName name="CompareAlabamaOutputTANF">[2]Calc1!$N$267:$HF$267</definedName>
    <definedName name="CompareAlabamaOutputWIC" localSheetId="1">[1]Calc1!$N$337:$HF$337</definedName>
    <definedName name="CompareAlabamaOutputWIC">[2]Calc1!$N$335:$HF$335</definedName>
    <definedName name="CompareFloridaAdjusted_Gross_Income" localSheetId="1">[1]Calc1!$N$65:INDEX([1]Calc1!$N$65:$HH$65,COUNTIF([1]Calc1!$N$65:$HH$65,”&lt;&gt;”&amp;””))</definedName>
    <definedName name="CompareFloridaAdjusted_Gross_Income">[2]Calc1!$N$66:INDEX([2]Calc1!$N$66:$HH$66,COUNTIF([2]Calc1!$N$66:$HH$66,”&lt;&gt;”&amp;””))</definedName>
    <definedName name="CompareFloridaHousehold_Annual_Earned_Income" localSheetId="1">[1]Calc1!$N$45:INDEX([1]Calc1!$N$45:$HH$45,COUNTIF([1]Calc1!$N$45:$HH$45,”&lt;&gt;”&amp;””))</definedName>
    <definedName name="CompareFloridaHousehold_Annual_Earned_Income">[2]Calc1!$N$46:INDEX([2]Calc1!$N$46:$HH$46,COUNTIF([2]Calc1!$N$46:$HH$46,”&lt;&gt;”&amp;””))</definedName>
    <definedName name="CompareFloridaHousehold_Annual_Income" localSheetId="1">[1]Calc1!$N$49:INDEX([1]Calc1!$N$49:$HH$49,COUNTIF([1]Calc1!$N$49:$HH$49,”&lt;&gt;”&amp;””))</definedName>
    <definedName name="CompareFloridaHousehold_Annual_Income">[2]Calc1!$N$50:INDEX([2]Calc1!$N$50:$HH$50,COUNTIF([2]Calc1!$N$50:$HH$50,”&lt;&gt;”&amp;””))</definedName>
    <definedName name="CompareFloridaHousehold_Annual_Unearned_Income" localSheetId="1">[1]Calc1!$N$47:INDEX([1]Calc1!$N$47:$HH$47,COUNTIF([1]Calc1!$N$47:$HH$47,”&lt;&gt;”&amp;””))</definedName>
    <definedName name="CompareFloridaHousehold_Annual_Unearned_Income">[2]Calc1!$N$48:INDEX([2]Calc1!$N$48:$HH$48,COUNTIF([2]Calc1!$N$48:$HH$48,”&lt;&gt;”&amp;””))</definedName>
    <definedName name="CompareFloridaHousehold_Monthly_Earned_Income" localSheetId="1">[1]Calc1!$N$44:INDEX([1]Calc1!$N$44:$HH$44,COUNTIF([1]Calc1!$N$44:$HH$44,”&lt;&gt;”&amp;””))</definedName>
    <definedName name="CompareFloridaHousehold_Monthly_Earned_Income">[2]Calc1!$N$45:INDEX([2]Calc1!$N$45:$HH$45,COUNTIF([2]Calc1!$N$45:$HH$45,”&lt;&gt;”&amp;””))</definedName>
    <definedName name="CompareFloridaHousehold_Monthly_Income" localSheetId="1">[1]Calc1!$N$48:INDEX([1]Calc1!$N$48:$HH$48,COUNTIF([1]Calc1!$N$48:$HH$48,”&lt;&gt;”&amp;””))</definedName>
    <definedName name="CompareFloridaHousehold_Monthly_Income">[2]Calc1!$N$49:INDEX([2]Calc1!$N$49:$HH$49,COUNTIF([2]Calc1!$N$49:$HH$49,”&lt;&gt;”&amp;””))</definedName>
    <definedName name="CompareFloridaHousehold_Monthly_Unearned_Income" localSheetId="1">[1]Calc1!$N$46:INDEX([1]Calc1!$N$46:$HH$46,COUNTIF([1]Calc1!$N$46:$HH$46,”&lt;&gt;”&amp;””))</definedName>
    <definedName name="CompareFloridaHousehold_Monthly_Unearned_Income">[2]Calc1!$N$47:INDEX([2]Calc1!$N$47:$HH$47,COUNTIF([2]Calc1!$N$47:$HH$47,”&lt;&gt;”&amp;””))</definedName>
    <definedName name="CompareFloridaOutputACTC" localSheetId="1">[1]Calc1!$N$139:$HF$139</definedName>
    <definedName name="CompareFloridaOutputACTC">[2]Calc1!$N$140:$HF$140</definedName>
    <definedName name="CompareFloridaOutputChildCareSubsidyFinal" localSheetId="1">[1]Calc1!$N$594:$HF$594</definedName>
    <definedName name="CompareFloridaOutputChildCareSubsidyFinal">[2]Calc1!$N$588:$HF$588</definedName>
    <definedName name="CompareFloridaOutputCHIP" localSheetId="1">[1]Calc1!$N$421:$HF$421</definedName>
    <definedName name="CompareFloridaOutputCHIP">[2]Calc1!$N$419:$HF$419</definedName>
    <definedName name="CompareFloridaOutputComboCashAssistance" localSheetId="1">FPIG!CompareFloridaOutputTANF + FPIG!CompareFloridaOutputSSI +FPIG!CompareFloridaOutputLIHEAP</definedName>
    <definedName name="CompareFloridaOutputComboCashAssistance">CompareFloridaOutputTANF + CompareFloridaOutputSSI +CompareFloridaOutputLIHEAP</definedName>
    <definedName name="CompareFloridaOutputComboFoodAssistance" localSheetId="1">FPIG!CompareFloridaOutputSNAP + FPIG!CompareFloridaOutputWIC + FPIG!CompareFloridaOutputSubsidizedSchoolMeals</definedName>
    <definedName name="CompareFloridaOutputComboFoodAssistance">CompareFloridaOutputSNAP + CompareFloridaOutputWIC + CompareFloridaOutputSubsidizedSchoolMeals</definedName>
    <definedName name="CompareFloridaOutputComboMedicalAssistance" localSheetId="1">FPIG!CompareFloridaOutputMedicaid + FPIG!CompareFloridaOutputCHIP + FPIG!CompareFloridaOutputHIXPTC</definedName>
    <definedName name="CompareFloridaOutputComboMedicalAssistance">CompareFloridaOutputMedicaid + CompareFloridaOutputCHIP + CompareFloridaOutputHIXPTC</definedName>
    <definedName name="CompareFloridaOutputComboNetEarnings" localSheetId="1">FPIG!CompareFloridaAdjusted_Gross_Income - FPIG!CompareFloridaOutputFICA - FPIG!CompareFloridaOutputFedTax - FPIG!CompareFloridaOutputStateTax</definedName>
    <definedName name="CompareFloridaOutputComboNetEarnings">CompareFloridaAdjusted_Gross_Income - CompareFloridaOutputFICA - CompareFloridaOutputFedTax - CompareFloridaOutputStateTax</definedName>
    <definedName name="CompareFloridaOutputComboRefundableTaxCredits" localSheetId="1">FPIG!CompareFloridaOutputEITC + FPIG!CompareFloridaOutputACTC + FPIG!CompareFloridaOutputStateEITC + FPIG!CompareFloridaOutputCTC</definedName>
    <definedName name="CompareFloridaOutputComboRefundableTaxCredits">CompareFloridaOutputEITC + CompareFloridaOutputACTC + CompareFloridaOutputStateEITC + CompareFloridaOutputCTC</definedName>
    <definedName name="CompareFloridaOutputCTC" localSheetId="1">[1]Calc1!$N$107:$HF$107</definedName>
    <definedName name="CompareFloridaOutputCTC">[2]Calc1!$N$108:$HF$108</definedName>
    <definedName name="CompareFloridaOutputEITC" localSheetId="1">[1]Calc1!$N$121:$HF$121</definedName>
    <definedName name="CompareFloridaOutputEITC">[2]Calc1!$N$122:$HF$122</definedName>
    <definedName name="CompareFloridaOutputFedTax" localSheetId="1">[1]Calc1!$N$101:$HF$101</definedName>
    <definedName name="CompareFloridaOutputFedTax">[2]Calc1!$N$102:$HF$102</definedName>
    <definedName name="CompareFloridaOutputFICA" localSheetId="1">[1]Calc1!$N$53:$HF$53</definedName>
    <definedName name="CompareFloridaOutputFICA">[2]Calc1!$N$54:$HF$54</definedName>
    <definedName name="CompareFloridaOutputHIXPTC" localSheetId="1">[1]Calc1!$N$464:$HF$464</definedName>
    <definedName name="CompareFloridaOutputHIXPTC">[2]Calc1!$N$462:$HF$462</definedName>
    <definedName name="CompareFloridaOutputInterval" localSheetId="1">[1]Calc1!$N$2:$HF$2</definedName>
    <definedName name="CompareFloridaOutputInterval">[2]Calc1!$N$2:$HF$2</definedName>
    <definedName name="CompareFloridaOutputLIHEAP" localSheetId="1">[1]Calc1!$N$720:$HF$720</definedName>
    <definedName name="CompareFloridaOutputLIHEAP">[2]Calc1!$N$711:$HF$711</definedName>
    <definedName name="CompareFloridaOutputMedicaid" localSheetId="1">[1]Calc1!$N$377:$HF$377</definedName>
    <definedName name="CompareFloridaOutputMedicaid">[2]Calc1!$N$375:$HF$375</definedName>
    <definedName name="CompareFloridaOutputMedicaidAndCHIP" localSheetId="1">FPIG!CompareFloridaOutputMedicaid + FPIG!CompareFloridaOutputCHIP</definedName>
    <definedName name="CompareFloridaOutputMedicaidAndCHIP">CompareFloridaOutputMedicaid + CompareFloridaOutputCHIP</definedName>
    <definedName name="CompareFloridaOutputMomHourlyWage" localSheetId="1">[1]Calc1!$N$9:$HF$9</definedName>
    <definedName name="CompareFloridaOutputMomHourlyWage">[2]Calc1!$N$10:$HF$10</definedName>
    <definedName name="CompareFloridaOutputMomWeeklyHours" localSheetId="1">[1]Calc1!$N$4:$HF$4</definedName>
    <definedName name="CompareFloridaOutputMomWeeklyHours">[2]Calc1!$N$5:$HF$5</definedName>
    <definedName name="CompareFloridaOutputSec8Entry" localSheetId="1">[1]Calc1!$N$691:$HF$691</definedName>
    <definedName name="CompareFloridaOutputSec8Entry">[2]Calc1!$N$685:$HF$685</definedName>
    <definedName name="CompareFloridaOutputSec8Extended" localSheetId="1">[1]Calc1!$N$696:$HF$696</definedName>
    <definedName name="CompareFloridaOutputSec8Extended">[2]Calc1!$N$690:$HF$690</definedName>
    <definedName name="CompareFloridaOutputSec8Final" localSheetId="1">[1]Calc1!$N$694:$HF$694</definedName>
    <definedName name="CompareFloridaOutputSec8Final">[2]Calc1!$N$688:$HF$688</definedName>
    <definedName name="CompareFloridaOutputSNAP" localSheetId="1">[1]Calc1!$N$315:$HF$315</definedName>
    <definedName name="CompareFloridaOutputSNAP">[2]Calc1!$N$313:$HF$313</definedName>
    <definedName name="CompareFloridaOutputSSI" localSheetId="1">[1]Calc1!$N$282:$HF$282</definedName>
    <definedName name="CompareFloridaOutputSSI">[2]Calc1!$N$280:$HF$280</definedName>
    <definedName name="CompareFloridaOutputStackPlusCashAssistance" localSheetId="1">FPIG!CompareFloridaOutputStackPlusRefundableTaxCredits + FPIG!CompareFloridaOutputComboCashAssistance</definedName>
    <definedName name="CompareFloridaOutputStackPlusCashAssistance">CompareFloridaOutputStackPlusRefundableTaxCredits + CompareFloridaOutputComboCashAssistance</definedName>
    <definedName name="CompareFloridaOutputStackPlusChildCareFinal" localSheetId="1">FPIG!CompareFloridaOutputStackPlusMedicalAssistance + FPIG!CompareFloridaOutputChildCareSubsidyFinal</definedName>
    <definedName name="CompareFloridaOutputStackPlusChildCareFinal">CompareFloridaOutputStackPlusMedicalAssistance + CompareFloridaOutputChildCareSubsidyFinal</definedName>
    <definedName name="CompareFloridaOutputStackPlusFoodAssistance" localSheetId="1">FPIG!CompareFloridaOutputStackPlusCashAssistance + FPIG!CompareFloridaOutputComboFoodAssistance</definedName>
    <definedName name="CompareFloridaOutputStackPlusFoodAssistance">CompareFloridaOutputStackPlusCashAssistance + CompareFloridaOutputComboFoodAssistance</definedName>
    <definedName name="CompareFloridaOutputStackPlusHIXPTC" localSheetId="1">FPIG!CompareFloridaOutputStackPlusMedicaidAndCHIP + FPIG!CompareFloridaOutputHIXPTC</definedName>
    <definedName name="CompareFloridaOutputStackPlusHIXPTC">CompareFloridaOutputStackPlusMedicaidAndCHIP + CompareFloridaOutputHIXPTC</definedName>
    <definedName name="CompareFloridaOutputStackPlusMedicaidAndCHIP" localSheetId="1">FPIG!CompareFloridaOutputStackPlusFoodAssistance + FPIG!CompareFloridaOutputMedicaid + FPIG!CompareFloridaOutputCHIP</definedName>
    <definedName name="CompareFloridaOutputStackPlusMedicaidAndCHIP">CompareFloridaOutputStackPlusFoodAssistance + CompareFloridaOutputMedicaid + CompareFloridaOutputCHIP</definedName>
    <definedName name="CompareFloridaOutputStackPlusMedicalAssistance" localSheetId="1">FPIG!CompareFloridaOutputStackPlusFoodAssistance + FPIG!CompareFloridaOutputComboMedicalAssistance</definedName>
    <definedName name="CompareFloridaOutputStackPlusMedicalAssistance">CompareFloridaOutputStackPlusFoodAssistance + CompareFloridaOutputComboMedicalAssistance</definedName>
    <definedName name="CompareFloridaOutputStackPlusRefundableTaxCredits" localSheetId="1">FPIG!CompareFloridaOutputComboNetEarnings+FPIG!CompareFloridaOutputComboRefundableTaxCredits</definedName>
    <definedName name="CompareFloridaOutputStackPlusRefundableTaxCredits">CompareFloridaOutputComboNetEarnings+CompareFloridaOutputComboRefundableTaxCredits</definedName>
    <definedName name="CompareFloridaOutputStackPlusSec8Entry" localSheetId="1">FPIG!CompareFloridaOutputStackPlusChildCareFinal + FPIG!CompareFloridaOutputSec8Entry</definedName>
    <definedName name="CompareFloridaOutputStackPlusSec8Entry">CompareFloridaOutputStackPlusChildCareFinal + CompareFloridaOutputSec8Entry</definedName>
    <definedName name="CompareFloridaOutputStackPlusSec8Entry_Graph" localSheetId="1">FPIG!CompareFloridaOutputStackPlusChildCareFinal + FPIG!CompareFloridaOutputSec8Final</definedName>
    <definedName name="CompareFloridaOutputStackPlusSec8Entry_Graph">CompareFloridaOutputStackPlusChildCareFinal + CompareFloridaOutputSec8Final</definedName>
    <definedName name="CompareFloridaOutputStackPlusSec8Extended" localSheetId="1">FPIG!CompareFloridaOutputStackPlusSec8Entry + FPIG!CompareFloridaOutputSec8Extended</definedName>
    <definedName name="CompareFloridaOutputStackPlusSec8Extended">CompareFloridaOutputStackPlusSec8Entry + CompareFloridaOutputSec8Extended</definedName>
    <definedName name="CompareFloridaOutputStateEITC" localSheetId="1">[1]Calc1!$N$221:$HF$221</definedName>
    <definedName name="CompareFloridaOutputStateEITC">[2]Calc1!$N$221:$HF$221</definedName>
    <definedName name="CompareFloridaOutputStateTax" localSheetId="1">[1]Calc1!$N$206:$HF$206</definedName>
    <definedName name="CompareFloridaOutputStateTax">[2]Calc1!$N$206:$HF$206</definedName>
    <definedName name="CompareFloridaOutputSubsidizedSchoolMeals" localSheetId="1">[1]Calc1!$N$348:$HF$348</definedName>
    <definedName name="CompareFloridaOutputSubsidizedSchoolMeals">[2]Calc1!$N$346:$HF$346</definedName>
    <definedName name="CompareFloridaOutputTANF" localSheetId="1">[1]Calc1!$N$269:$HF$269</definedName>
    <definedName name="CompareFloridaOutputTANF">[2]Calc1!$N$267:$HF$267</definedName>
    <definedName name="CompareFloridaOutputWIC" localSheetId="1">[1]Calc1!$N$337:$HF$337</definedName>
    <definedName name="CompareFloridaOutputWIC">[2]Calc1!$N$335:$HF$335</definedName>
    <definedName name="CompareGeorgiaAdjusted_Gross_Income" localSheetId="1">[1]Calc1!$N$65:INDEX([1]Calc1!$N$65:$HH$65,COUNTIF([1]Calc1!$N$65:$HH$65,”&lt;&gt;”&amp;””))</definedName>
    <definedName name="CompareGeorgiaAdjusted_Gross_Income">[2]Calc1!$N$66:INDEX([2]Calc1!$N$66:$HH$66,COUNTIF([2]Calc1!$N$66:$HH$66,”&lt;&gt;”&amp;””))</definedName>
    <definedName name="CompareGeorgiaHousehold_Annual_Earned_Income" localSheetId="1">[1]Calc1!$N$45:INDEX([1]Calc1!$N$45:$HH$45,COUNTIF([1]Calc1!$N$45:$HH$45,”&lt;&gt;”&amp;””))</definedName>
    <definedName name="CompareGeorgiaHousehold_Annual_Earned_Income">[2]Calc1!$N$46:INDEX([2]Calc1!$N$46:$HH$46,COUNTIF([2]Calc1!$N$46:$HH$46,”&lt;&gt;”&amp;””))</definedName>
    <definedName name="CompareGeorgiaHousehold_Annual_Income" localSheetId="1">[1]Calc1!$N$49:INDEX([1]Calc1!$N$49:$HH$49,COUNTIF([1]Calc1!$N$49:$HH$49,”&lt;&gt;”&amp;””))</definedName>
    <definedName name="CompareGeorgiaHousehold_Annual_Income">[2]Calc1!$N$50:INDEX([2]Calc1!$N$50:$HH$50,COUNTIF([2]Calc1!$N$50:$HH$50,”&lt;&gt;”&amp;””))</definedName>
    <definedName name="CompareGeorgiaHousehold_Annual_Unearned_Income" localSheetId="1">[1]Calc1!$N$47:INDEX([1]Calc1!$N$47:$HH$47,COUNTIF([1]Calc1!$N$47:$HH$47,”&lt;&gt;”&amp;””))</definedName>
    <definedName name="CompareGeorgiaHousehold_Annual_Unearned_Income">[2]Calc1!$N$48:INDEX([2]Calc1!$N$48:$HH$48,COUNTIF([2]Calc1!$N$48:$HH$48,”&lt;&gt;”&amp;””))</definedName>
    <definedName name="CompareGeorgiaHousehold_Monthly_Earned_Income" localSheetId="1">[1]Calc1!$N$44:INDEX([1]Calc1!$N$44:$HH$44,COUNTIF([1]Calc1!$N$44:$HH$44,”&lt;&gt;”&amp;””))</definedName>
    <definedName name="CompareGeorgiaHousehold_Monthly_Earned_Income">[2]Calc1!$N$45:INDEX([2]Calc1!$N$45:$HH$45,COUNTIF([2]Calc1!$N$45:$HH$45,”&lt;&gt;”&amp;””))</definedName>
    <definedName name="CompareGeorgiaHousehold_Monthly_Income" localSheetId="1">[1]Calc1!$N$48:INDEX([1]Calc1!$N$48:$HH$48,COUNTIF([1]Calc1!$N$48:$HH$48,”&lt;&gt;”&amp;””))</definedName>
    <definedName name="CompareGeorgiaHousehold_Monthly_Income">[2]Calc1!$N$49:INDEX([2]Calc1!$N$49:$HH$49,COUNTIF([2]Calc1!$N$49:$HH$49,”&lt;&gt;”&amp;””))</definedName>
    <definedName name="CompareGeorgiaHousehold_Monthly_Unearned_Income" localSheetId="1">[1]Calc1!$N$46:INDEX([1]Calc1!$N$46:$HH$46,COUNTIF([1]Calc1!$N$46:$HH$46,”&lt;&gt;”&amp;””))</definedName>
    <definedName name="CompareGeorgiaHousehold_Monthly_Unearned_Income">[2]Calc1!$N$47:INDEX([2]Calc1!$N$47:$HH$47,COUNTIF([2]Calc1!$N$47:$HH$47,”&lt;&gt;”&amp;””))</definedName>
    <definedName name="CompareGeorgiaOutputACTC" localSheetId="1">[1]Calc1!$N$139:$HF$139</definedName>
    <definedName name="CompareGeorgiaOutputACTC">[2]Calc1!$N$140:$HF$140</definedName>
    <definedName name="CompareGeorgiaOutputChildCareSubsidyFinal" localSheetId="1">[1]Calc1!$N$594:$HF$594</definedName>
    <definedName name="CompareGeorgiaOutputChildCareSubsidyFinal">[2]Calc1!$N$588:$HF$588</definedName>
    <definedName name="CompareGeorgiaOutputCHIP" localSheetId="1">[1]Calc1!$N$421:$HF$421</definedName>
    <definedName name="CompareGeorgiaOutputCHIP">[2]Calc1!$N$419:$HF$419</definedName>
    <definedName name="CompareGeorgiaOutputComboCashAssistance" localSheetId="1">FPIG!CompareGeorgiaOutputTANF + FPIG!CompareGeorgiaOutputSSI +FPIG!CompareGeorgiaOutputLIHEAP</definedName>
    <definedName name="CompareGeorgiaOutputComboCashAssistance">CompareGeorgiaOutputTANF + CompareGeorgiaOutputSSI +CompareGeorgiaOutputLIHEAP</definedName>
    <definedName name="CompareGeorgiaOutputComboFoodAssistance" localSheetId="1">FPIG!CompareGeorgiaOutputSNAP + FPIG!CompareGeorgiaOutputWIC + FPIG!CompareGeorgiaOutputSubsidizedSchoolMeals</definedName>
    <definedName name="CompareGeorgiaOutputComboFoodAssistance">CompareGeorgiaOutputSNAP + CompareGeorgiaOutputWIC + CompareGeorgiaOutputSubsidizedSchoolMeals</definedName>
    <definedName name="CompareGeorgiaOutputComboMedicalAssistance" localSheetId="1">FPIG!CompareGeorgiaOutputMedicaid + FPIG!CompareGeorgiaOutputCHIP + FPIG!CompareGeorgiaOutputHIXPTC</definedName>
    <definedName name="CompareGeorgiaOutputComboMedicalAssistance">CompareGeorgiaOutputMedicaid + CompareGeorgiaOutputCHIP + CompareGeorgiaOutputHIXPTC</definedName>
    <definedName name="CompareGeorgiaOutputComboNetEarnings" localSheetId="1">FPIG!CompareGeorgiaAdjusted_Gross_Income - FPIG!CompareGeorgiaOutputFICA - FPIG!CompareGeorgiaOutputFedTax - FPIG!CompareGeorgiaOutputStateTax</definedName>
    <definedName name="CompareGeorgiaOutputComboNetEarnings">CompareGeorgiaAdjusted_Gross_Income - CompareGeorgiaOutputFICA - CompareGeorgiaOutputFedTax - CompareGeorgiaOutputStateTax</definedName>
    <definedName name="CompareGeorgiaOutputComboRefundableTaxCredits" localSheetId="1">FPIG!CompareGeorgiaOutputEITC + FPIG!CompareGeorgiaOutputACTC + FPIG!CompareGeorgiaOutputStateEITC + FPIG!CompareGeorgiaOutputCTC</definedName>
    <definedName name="CompareGeorgiaOutputComboRefundableTaxCredits">CompareGeorgiaOutputEITC + CompareGeorgiaOutputACTC + CompareGeorgiaOutputStateEITC + CompareGeorgiaOutputCTC</definedName>
    <definedName name="CompareGeorgiaOutputCTC" localSheetId="1">[1]Calc1!$N$107:$HF$107</definedName>
    <definedName name="CompareGeorgiaOutputCTC">[2]Calc1!$N$108:$HF$108</definedName>
    <definedName name="CompareGeorgiaOutputEITC" localSheetId="1">[1]Calc1!$N$121:$HF$121</definedName>
    <definedName name="CompareGeorgiaOutputEITC">[2]Calc1!$N$122:$HF$122</definedName>
    <definedName name="CompareGeorgiaOutputFedTax" localSheetId="1">[1]Calc1!$N$101:$HF$101</definedName>
    <definedName name="CompareGeorgiaOutputFedTax">[2]Calc1!$N$102:$HF$102</definedName>
    <definedName name="CompareGeorgiaOutputFICA" localSheetId="1">[1]Calc1!$N$53:$HF$53</definedName>
    <definedName name="CompareGeorgiaOutputFICA">[2]Calc1!$N$54:$HF$54</definedName>
    <definedName name="CompareGeorgiaOutputHIXPTC" localSheetId="1">[1]Calc1!$N$464:$HF$464</definedName>
    <definedName name="CompareGeorgiaOutputHIXPTC">[2]Calc1!$N$462:$HF$462</definedName>
    <definedName name="CompareGeorgiaOutputInterval" localSheetId="1">[1]Calc1!$N$2:$HF$2</definedName>
    <definedName name="CompareGeorgiaOutputInterval">[2]Calc1!$N$2:$HF$2</definedName>
    <definedName name="CompareGeorgiaOutputLIHEAP" localSheetId="1">[1]Calc1!$N$720:$HF$720</definedName>
    <definedName name="CompareGeorgiaOutputLIHEAP">[2]Calc1!$N$711:$HF$711</definedName>
    <definedName name="CompareGeorgiaOutputMedicaid" localSheetId="1">[1]Calc1!$N$377:$HF$377</definedName>
    <definedName name="CompareGeorgiaOutputMedicaid">[2]Calc1!$N$375:$HF$375</definedName>
    <definedName name="CompareGeorgiaOutputMedicaidAndCHIP" localSheetId="1">FPIG!CompareGeorgiaOutputMedicaid + FPIG!CompareGeorgiaOutputCHIP</definedName>
    <definedName name="CompareGeorgiaOutputMedicaidAndCHIP">CompareGeorgiaOutputMedicaid + CompareGeorgiaOutputCHIP</definedName>
    <definedName name="CompareGeorgiaOutputMomHourlyWage" localSheetId="1">[1]Calc1!$N$9:$HF$9</definedName>
    <definedName name="CompareGeorgiaOutputMomHourlyWage">[2]Calc1!$N$10:$HF$10</definedName>
    <definedName name="CompareGeorgiaOutputMomWeeklyHours" localSheetId="1">[1]Calc1!$N$4:$HF$4</definedName>
    <definedName name="CompareGeorgiaOutputMomWeeklyHours">[2]Calc1!$N$5:$HF$5</definedName>
    <definedName name="CompareGeorgiaOutputSec8Entry" localSheetId="1">[1]Calc1!$N$691:$HF$691</definedName>
    <definedName name="CompareGeorgiaOutputSec8Entry">[2]Calc1!$N$685:$HF$685</definedName>
    <definedName name="CompareGeorgiaOutputSec8Extended" localSheetId="1">[1]Calc1!$N$696:$HF$696</definedName>
    <definedName name="CompareGeorgiaOutputSec8Extended">[2]Calc1!$N$690:$HF$690</definedName>
    <definedName name="CompareGeorgiaOutputSec8Final" localSheetId="1">[1]Calc1!$N$694:$HF$694</definedName>
    <definedName name="CompareGeorgiaOutputSec8Final">[2]Calc1!$N$688:$HF$688</definedName>
    <definedName name="CompareGeorgiaOutputSNAP" localSheetId="1">[1]Calc1!$N$315:$HF$315</definedName>
    <definedName name="CompareGeorgiaOutputSNAP">[2]Calc1!$N$313:$HF$313</definedName>
    <definedName name="CompareGeorgiaOutputSSI" localSheetId="1">[1]Calc1!$N$282:$HF$282</definedName>
    <definedName name="CompareGeorgiaOutputSSI">[2]Calc1!$N$280:$HF$280</definedName>
    <definedName name="CompareGeorgiaOutputStackPlusCashAssistance" localSheetId="1">FPIG!CompareGeorgiaOutputStackPlusRefundableTaxCredits + FPIG!CompareGeorgiaOutputComboCashAssistance</definedName>
    <definedName name="CompareGeorgiaOutputStackPlusCashAssistance">CompareGeorgiaOutputStackPlusRefundableTaxCredits + CompareGeorgiaOutputComboCashAssistance</definedName>
    <definedName name="CompareGeorgiaOutputStackPlusChildCareFinal" localSheetId="1">FPIG!CompareGeorgiaOutputStackPlusMedicalAssistance + FPIG!CompareGeorgiaOutputChildCareSubsidyFinal</definedName>
    <definedName name="CompareGeorgiaOutputStackPlusChildCareFinal">CompareGeorgiaOutputStackPlusMedicalAssistance + CompareGeorgiaOutputChildCareSubsidyFinal</definedName>
    <definedName name="CompareGeorgiaOutputStackPlusFoodAssistance" localSheetId="1">FPIG!CompareGeorgiaOutputStackPlusCashAssistance + FPIG!CompareGeorgiaOutputComboFoodAssistance</definedName>
    <definedName name="CompareGeorgiaOutputStackPlusFoodAssistance">CompareGeorgiaOutputStackPlusCashAssistance + CompareGeorgiaOutputComboFoodAssistance</definedName>
    <definedName name="CompareGeorgiaOutputStackPlusHIXPTC" localSheetId="1">FPIG!CompareGeorgiaOutputStackPlusMedicaidAndCHIP + FPIG!CompareGeorgiaOutputHIXPTC</definedName>
    <definedName name="CompareGeorgiaOutputStackPlusHIXPTC">CompareGeorgiaOutputStackPlusMedicaidAndCHIP + CompareGeorgiaOutputHIXPTC</definedName>
    <definedName name="CompareGeorgiaOutputStackPlusMedicaidAndCHIP" localSheetId="1">FPIG!CompareGeorgiaOutputStackPlusFoodAssistance + FPIG!CompareGeorgiaOutputMedicaid + FPIG!CompareGeorgiaOutputCHIP</definedName>
    <definedName name="CompareGeorgiaOutputStackPlusMedicaidAndCHIP">CompareGeorgiaOutputStackPlusFoodAssistance + CompareGeorgiaOutputMedicaid + CompareGeorgiaOutputCHIP</definedName>
    <definedName name="CompareGeorgiaOutputStackPlusMedicalAssistance" localSheetId="1">FPIG!CompareGeorgiaOutputStackPlusFoodAssistance + FPIG!CompareGeorgiaOutputComboMedicalAssistance</definedName>
    <definedName name="CompareGeorgiaOutputStackPlusMedicalAssistance">CompareGeorgiaOutputStackPlusFoodAssistance + CompareGeorgiaOutputComboMedicalAssistance</definedName>
    <definedName name="CompareGeorgiaOutputStackPlusRefundableTaxCredits" localSheetId="1">FPIG!CompareGeorgiaOutputComboNetEarnings+FPIG!CompareGeorgiaOutputComboRefundableTaxCredits</definedName>
    <definedName name="CompareGeorgiaOutputStackPlusRefundableTaxCredits">CompareGeorgiaOutputComboNetEarnings+CompareGeorgiaOutputComboRefundableTaxCredits</definedName>
    <definedName name="CompareGeorgiaOutputStackPlusSec8Entry" localSheetId="1">FPIG!CompareGeorgiaOutputStackPlusChildCareFinal + FPIG!CompareGeorgiaOutputSec8Entry</definedName>
    <definedName name="CompareGeorgiaOutputStackPlusSec8Entry">CompareGeorgiaOutputStackPlusChildCareFinal + CompareGeorgiaOutputSec8Entry</definedName>
    <definedName name="CompareGeorgiaOutputStackPlusSec8Entry_Graph" localSheetId="1">FPIG!CompareGeorgiaOutputStackPlusChildCareFinal + FPIG!CompareGeorgiaOutputSec8Final</definedName>
    <definedName name="CompareGeorgiaOutputStackPlusSec8Entry_Graph">CompareGeorgiaOutputStackPlusChildCareFinal + CompareGeorgiaOutputSec8Final</definedName>
    <definedName name="CompareGeorgiaOutputStackPlusSec8Extended" localSheetId="1">FPIG!CompareGeorgiaOutputStackPlusSec8Entry + FPIG!CompareGeorgiaOutputSec8Extended</definedName>
    <definedName name="CompareGeorgiaOutputStackPlusSec8Extended">CompareGeorgiaOutputStackPlusSec8Entry + CompareGeorgiaOutputSec8Extended</definedName>
    <definedName name="CompareGeorgiaOutputStateEITC" localSheetId="1">[1]Calc1!$N$221:$HF$221</definedName>
    <definedName name="CompareGeorgiaOutputStateEITC">[2]Calc1!$N$221:$HF$221</definedName>
    <definedName name="CompareGeorgiaOutputStateTax" localSheetId="1">[1]Calc1!$N$206:$HF$206</definedName>
    <definedName name="CompareGeorgiaOutputStateTax">[2]Calc1!$N$206:$HF$206</definedName>
    <definedName name="CompareGeorgiaOutputSubsidizedSchoolMeals" localSheetId="1">[1]Calc1!$N$348:$HF$348</definedName>
    <definedName name="CompareGeorgiaOutputSubsidizedSchoolMeals">[2]Calc1!$N$346:$HF$346</definedName>
    <definedName name="CompareGeorgiaOutputTANF" localSheetId="1">[1]Calc1!$N$269:$HF$269</definedName>
    <definedName name="CompareGeorgiaOutputTANF">[2]Calc1!$N$267:$HF$267</definedName>
    <definedName name="CompareGeorgiaOutputWIC" localSheetId="1">[1]Calc1!$N$337:$HF$337</definedName>
    <definedName name="CompareGeorgiaOutputWIC">[2]Calc1!$N$335:$HF$335</definedName>
    <definedName name="CompareLouisianaAdjusted_Gross_Income" localSheetId="1">[1]Calc1!$N$65:INDEX([1]Calc1!$N$65:$HH$65,COUNTIF([1]Calc1!$N$65:$HH$65,”&lt;&gt;”&amp;””))</definedName>
    <definedName name="CompareLouisianaAdjusted_Gross_Income">[2]Calc1!$N$66:INDEX([2]Calc1!$N$66:$HH$66,COUNTIF([2]Calc1!$N$66:$HH$66,”&lt;&gt;”&amp;””))</definedName>
    <definedName name="CompareLouisianaHousehold_Annual_Earned_Income" localSheetId="1">[1]Calc1!$N$45:INDEX([1]Calc1!$N$45:$HH$45,COUNTIF([1]Calc1!$N$45:$HH$45,”&lt;&gt;”&amp;””))</definedName>
    <definedName name="CompareLouisianaHousehold_Annual_Earned_Income">[2]Calc1!$N$46:INDEX([2]Calc1!$N$46:$HH$46,COUNTIF([2]Calc1!$N$46:$HH$46,”&lt;&gt;”&amp;””))</definedName>
    <definedName name="CompareLouisianaHousehold_Annual_Income" localSheetId="1">[1]Calc1!$N$49:INDEX([1]Calc1!$N$49:$HH$49,COUNTIF([1]Calc1!$N$49:$HH$49,”&lt;&gt;”&amp;””))</definedName>
    <definedName name="CompareLouisianaHousehold_Annual_Income">[2]Calc1!$N$50:INDEX([2]Calc1!$N$50:$HH$50,COUNTIF([2]Calc1!$N$50:$HH$50,”&lt;&gt;”&amp;””))</definedName>
    <definedName name="CompareLouisianaHousehold_Annual_Unearned_Income" localSheetId="1">[1]Calc1!$N$47:INDEX([1]Calc1!$N$47:$HH$47,COUNTIF([1]Calc1!$N$47:$HH$47,”&lt;&gt;”&amp;””))</definedName>
    <definedName name="CompareLouisianaHousehold_Annual_Unearned_Income">[2]Calc1!$N$48:INDEX([2]Calc1!$N$48:$HH$48,COUNTIF([2]Calc1!$N$48:$HH$48,”&lt;&gt;”&amp;””))</definedName>
    <definedName name="CompareLouisianaHousehold_Monthly_Earned_Income" localSheetId="1">[1]Calc1!$N$44:INDEX([1]Calc1!$N$44:$HH$44,COUNTIF([1]Calc1!$N$44:$HH$44,”&lt;&gt;”&amp;””))</definedName>
    <definedName name="CompareLouisianaHousehold_Monthly_Earned_Income">[2]Calc1!$N$45:INDEX([2]Calc1!$N$45:$HH$45,COUNTIF([2]Calc1!$N$45:$HH$45,”&lt;&gt;”&amp;””))</definedName>
    <definedName name="CompareLouisianaHousehold_Monthly_Income" localSheetId="1">[1]Calc1!$N$48:INDEX([1]Calc1!$N$48:$HH$48,COUNTIF([1]Calc1!$N$48:$HH$48,”&lt;&gt;”&amp;””))</definedName>
    <definedName name="CompareLouisianaHousehold_Monthly_Income">[2]Calc1!$N$49:INDEX([2]Calc1!$N$49:$HH$49,COUNTIF([2]Calc1!$N$49:$HH$49,”&lt;&gt;”&amp;””))</definedName>
    <definedName name="CompareLouisianaHousehold_Monthly_Unearned_Income" localSheetId="1">[1]Calc1!$N$46:INDEX([1]Calc1!$N$46:$HH$46,COUNTIF([1]Calc1!$N$46:$HH$46,”&lt;&gt;”&amp;””))</definedName>
    <definedName name="CompareLouisianaHousehold_Monthly_Unearned_Income">[2]Calc1!$N$47:INDEX([2]Calc1!$N$47:$HH$47,COUNTIF([2]Calc1!$N$47:$HH$47,”&lt;&gt;”&amp;””))</definedName>
    <definedName name="CompareLouisianaOutputACTC" localSheetId="1">[1]Calc1!$N$139:$HF$139</definedName>
    <definedName name="CompareLouisianaOutputACTC">[2]Calc1!$N$140:$HF$140</definedName>
    <definedName name="CompareLouisianaOutputChildCareSubsidyFinal" localSheetId="1">[1]Calc1!$N$594:$HF$594</definedName>
    <definedName name="CompareLouisianaOutputChildCareSubsidyFinal">[2]Calc1!$N$588:$HF$588</definedName>
    <definedName name="CompareLouisianaOutputCHIP" localSheetId="1">[1]Calc1!$N$421:$HF$421</definedName>
    <definedName name="CompareLouisianaOutputCHIP">[2]Calc1!$N$419:$HF$419</definedName>
    <definedName name="CompareLouisianaOutputComboCashAssistance" localSheetId="1">FPIG!CompareLouisianaOutputTANF + FPIG!CompareLouisianaOutputSSI + FPIG!CompareLouisianaOutputLIHEAP</definedName>
    <definedName name="CompareLouisianaOutputComboCashAssistance">CompareLouisianaOutputTANF + CompareLouisianaOutputSSI + CompareLouisianaOutputLIHEAP</definedName>
    <definedName name="CompareLouisianaOutputComboFoodAssistance" localSheetId="1">FPIG!CompareLouisianaOutputSNAP + FPIG!CompareLouisianaOutputWIC + FPIG!CompareLouisianaOutputSubsidizedSchoolMeals</definedName>
    <definedName name="CompareLouisianaOutputComboFoodAssistance">CompareLouisianaOutputSNAP + CompareLouisianaOutputWIC + CompareLouisianaOutputSubsidizedSchoolMeals</definedName>
    <definedName name="CompareLouisianaOutputComboMedicalAssistance" localSheetId="1">FPIG!CompareLouisianaOutputMedicaid + FPIG!CompareLouisianaOutputCHIP + FPIG!CompareLouisianaOutputHIXPTC</definedName>
    <definedName name="CompareLouisianaOutputComboMedicalAssistance">CompareLouisianaOutputMedicaid + CompareLouisianaOutputCHIP + CompareLouisianaOutputHIXPTC</definedName>
    <definedName name="CompareLouisianaOutputComboNetEarnings" localSheetId="1">FPIG!CompareLouisianaAdjusted_Gross_Income - FPIG!CompareLouisianaOutputFICA - FPIG!CompareLouisianaOutputFedTax - FPIG!CompareLouisianaOutputStateTax</definedName>
    <definedName name="CompareLouisianaOutputComboNetEarnings">CompareLouisianaAdjusted_Gross_Income - CompareLouisianaOutputFICA - CompareLouisianaOutputFedTax - CompareLouisianaOutputStateTax</definedName>
    <definedName name="CompareLouisianaOutputComboRefundableTaxCredits" localSheetId="1">FPIG!CompareLouisianaOutputEITC + FPIG!CompareLouisianaOutputACTC + FPIG!CompareLouisianaOutputStateEITC + FPIG!CompareLouisianaOutputCTC</definedName>
    <definedName name="CompareLouisianaOutputComboRefundableTaxCredits">CompareLouisianaOutputEITC + CompareLouisianaOutputACTC + CompareLouisianaOutputStateEITC + CompareLouisianaOutputCTC</definedName>
    <definedName name="CompareLouisianaOutputCTC" localSheetId="1">[1]Calc1!$N$107:$HF$107</definedName>
    <definedName name="CompareLouisianaOutputCTC">[2]Calc1!$N$108:$HF$108</definedName>
    <definedName name="CompareLouisianaOutputEITC" localSheetId="1">[1]Calc1!$N$121:$HF$121</definedName>
    <definedName name="CompareLouisianaOutputEITC">[2]Calc1!$N$122:$HF$122</definedName>
    <definedName name="CompareLouisianaOutputFedTax" localSheetId="1">[1]Calc1!$N$101:$HF$101</definedName>
    <definedName name="CompareLouisianaOutputFedTax">[2]Calc1!$N$102:$HF$102</definedName>
    <definedName name="CompareLouisianaOutputFICA" localSheetId="1">[1]Calc1!$N$53:$HF$53</definedName>
    <definedName name="CompareLouisianaOutputFICA">[2]Calc1!$N$54:$HF$54</definedName>
    <definedName name="CompareLouisianaOutputHIXPTC" localSheetId="1">[1]Calc1!$N$464:$HF$464</definedName>
    <definedName name="CompareLouisianaOutputHIXPTC">[2]Calc1!$N$462:$HF$462</definedName>
    <definedName name="CompareLouisianaOutputInterval" localSheetId="1">[1]Calc1!$N$2:$HF$2</definedName>
    <definedName name="CompareLouisianaOutputInterval">[2]Calc1!$N$2:$HF$2</definedName>
    <definedName name="CompareLouisianaOutputLIHEAP" localSheetId="1">[1]Calc1!$N$720:$HF$720</definedName>
    <definedName name="CompareLouisianaOutputLIHEAP">[2]Calc1!$N$711:$HF$711</definedName>
    <definedName name="CompareLouisianaOutputMedicaid" localSheetId="1">[1]Calc1!$N$377:$HF$377</definedName>
    <definedName name="CompareLouisianaOutputMedicaid">[2]Calc1!$N$375:$HF$375</definedName>
    <definedName name="CompareLouisianaOutputMedicaidAndCHIP" localSheetId="1">FPIG!CompareLouisianaOutputMedicaid + FPIG!CompareLouisianaOutputCHIP</definedName>
    <definedName name="CompareLouisianaOutputMedicaidAndCHIP">CompareLouisianaOutputMedicaid + CompareLouisianaOutputCHIP</definedName>
    <definedName name="CompareLouisianaOutputMomHourlyWage" localSheetId="1">[1]Calc1!$N$9:$HF$9</definedName>
    <definedName name="CompareLouisianaOutputMomHourlyWage">[2]Calc1!$N$10:$HF$10</definedName>
    <definedName name="CompareLouisianaOutputMomWeeklyHours" localSheetId="1">[1]Calc1!$N$4:$HF$4</definedName>
    <definedName name="CompareLouisianaOutputMomWeeklyHours">[2]Calc1!$N$5:$HF$5</definedName>
    <definedName name="CompareLouisianaOutputSec8Entry" localSheetId="1">[1]Calc1!$N$691:$HF$691</definedName>
    <definedName name="CompareLouisianaOutputSec8Entry">[2]Calc1!$N$685:$HF$685</definedName>
    <definedName name="CompareLouisianaOutputSec8Extended" localSheetId="1">[1]Calc1!$N$696:$HF$696</definedName>
    <definedName name="CompareLouisianaOutputSec8Extended">[2]Calc1!$N$690:$HF$690</definedName>
    <definedName name="CompareLouisianaOutputSec8Final" localSheetId="1">[1]Calc1!$N$694:$HF$694</definedName>
    <definedName name="CompareLouisianaOutputSec8Final">[2]Calc1!$N$688:$HF$688</definedName>
    <definedName name="CompareLouisianaOutputSNAP" localSheetId="1">[1]Calc1!$N$315:$HF$315</definedName>
    <definedName name="CompareLouisianaOutputSNAP">[2]Calc1!$N$313:$HF$313</definedName>
    <definedName name="CompareLouisianaOutputSSI" localSheetId="1">[1]Calc1!$N$282:$HF$282</definedName>
    <definedName name="CompareLouisianaOutputSSI">[2]Calc1!$N$280:$HF$280</definedName>
    <definedName name="CompareLouisianaOutputStackPlusCashAssistance" localSheetId="1">FPIG!CompareLouisianaOutputStackPlusRefundableTaxCredits + FPIG!CompareLouisianaOutputComboCashAssistance</definedName>
    <definedName name="CompareLouisianaOutputStackPlusCashAssistance">CompareLouisianaOutputStackPlusRefundableTaxCredits + CompareLouisianaOutputComboCashAssistance</definedName>
    <definedName name="CompareLouisianaOutputStackPlusChildCareFinal" localSheetId="1">FPIG!CompareLouisianaOutputStackPlusMedicalAssistance + FPIG!CompareLouisianaOutputChildCareSubsidyFinal</definedName>
    <definedName name="CompareLouisianaOutputStackPlusChildCareFinal">CompareLouisianaOutputStackPlusMedicalAssistance + CompareLouisianaOutputChildCareSubsidyFinal</definedName>
    <definedName name="CompareLouisianaOutputStackPlusFoodAssistance" localSheetId="1">FPIG!CompareLouisianaOutputStackPlusCashAssistance + FPIG!CompareLouisianaOutputComboFoodAssistance</definedName>
    <definedName name="CompareLouisianaOutputStackPlusFoodAssistance">CompareLouisianaOutputStackPlusCashAssistance + CompareLouisianaOutputComboFoodAssistance</definedName>
    <definedName name="CompareLouisianaOutputStackPlusHIXPTC" localSheetId="1">FPIG!CompareLouisianaOutputStackPlusMedicaidAndCHIP + FPIG!CompareLouisianaOutputHIXPTC</definedName>
    <definedName name="CompareLouisianaOutputStackPlusHIXPTC">CompareLouisianaOutputStackPlusMedicaidAndCHIP + CompareLouisianaOutputHIXPTC</definedName>
    <definedName name="CompareLouisianaOutputStackPlusMedicaidAndCHIP" localSheetId="1">FPIG!CompareLouisianaOutputStackPlusFoodAssistance + FPIG!CompareLouisianaOutputMedicaid + FPIG!CompareLouisianaOutputCHIP</definedName>
    <definedName name="CompareLouisianaOutputStackPlusMedicaidAndCHIP">CompareLouisianaOutputStackPlusFoodAssistance + CompareLouisianaOutputMedicaid + CompareLouisianaOutputCHIP</definedName>
    <definedName name="CompareLouisianaOutputStackPlusMedicalAssistance" localSheetId="1">FPIG!CompareLouisianaOutputStackPlusFoodAssistance + FPIG!CompareLouisianaOutputComboMedicalAssistance</definedName>
    <definedName name="CompareLouisianaOutputStackPlusMedicalAssistance">CompareLouisianaOutputStackPlusFoodAssistance + CompareLouisianaOutputComboMedicalAssistance</definedName>
    <definedName name="CompareLouisianaOutputStackPlusRefundableTaxCredits" localSheetId="1">FPIG!CompareLouisianaOutputComboNetEarnings+FPIG!CompareLouisianaOutputComboRefundableTaxCredits</definedName>
    <definedName name="CompareLouisianaOutputStackPlusRefundableTaxCredits">CompareLouisianaOutputComboNetEarnings+CompareLouisianaOutputComboRefundableTaxCredits</definedName>
    <definedName name="CompareLouisianaOutputStackPlusSec8Entry" localSheetId="1">FPIG!CompareLouisianaOutputStackPlusChildCareFinal + FPIG!CompareLouisianaOutputSec8Entry</definedName>
    <definedName name="CompareLouisianaOutputStackPlusSec8Entry">CompareLouisianaOutputStackPlusChildCareFinal + CompareLouisianaOutputSec8Entry</definedName>
    <definedName name="CompareLouisianaOutputStackPlusSec8Entry_Graph" localSheetId="1">FPIG!CompareLouisianaOutputStackPlusChildCareFinal + FPIG!CompareLouisianaOutputSec8Final</definedName>
    <definedName name="CompareLouisianaOutputStackPlusSec8Entry_Graph">CompareLouisianaOutputStackPlusChildCareFinal + CompareLouisianaOutputSec8Final</definedName>
    <definedName name="CompareLouisianaOutputStackPlusSec8Extended" localSheetId="1">FPIG!CompareLouisianaOutputStackPlusSec8Entry + FPIG!CompareLouisianaOutputSec8Extended</definedName>
    <definedName name="CompareLouisianaOutputStackPlusSec8Extended">CompareLouisianaOutputStackPlusSec8Entry + CompareLouisianaOutputSec8Extended</definedName>
    <definedName name="CompareLouisianaOutputStateEITC" localSheetId="1">[1]Calc1!$N$221:$HF$221</definedName>
    <definedName name="CompareLouisianaOutputStateEITC">[2]Calc1!$N$221:$HF$221</definedName>
    <definedName name="CompareLouisianaOutputStateTax" localSheetId="1">[1]Calc1!$N$206:$HF$206</definedName>
    <definedName name="CompareLouisianaOutputStateTax">[2]Calc1!$N$206:$HF$206</definedName>
    <definedName name="CompareLouisianaOutputSubsidizedSchoolMeals" localSheetId="1">[1]Calc1!$N$348:$HF$348</definedName>
    <definedName name="CompareLouisianaOutputSubsidizedSchoolMeals">[2]Calc1!$N$346:$HF$346</definedName>
    <definedName name="CompareLouisianaOutputTANF" localSheetId="1">[1]Calc1!$N$269:$HF$269</definedName>
    <definedName name="CompareLouisianaOutputTANF">[2]Calc1!$N$267:$HF$267</definedName>
    <definedName name="CompareLouisianaOutputWIC" localSheetId="1">[1]Calc1!$N$337:$HF$337</definedName>
    <definedName name="CompareLouisianaOutputWIC">[2]Calc1!$N$335:$HF$335</definedName>
    <definedName name="CompareMississippiAdjusted_Gross_Income" localSheetId="1">[1]Calc1!$N$65:INDEX([1]Calc1!$N$65:$HH$65,COUNTIF([1]Calc1!$N$65:$HH$65,”&lt;&gt;”&amp;””))</definedName>
    <definedName name="CompareMississippiAdjusted_Gross_Income">[2]Calc1!$N$66:INDEX([2]Calc1!$N$66:$HH$66,COUNTIF([2]Calc1!$N$66:$HH$66,”&lt;&gt;”&amp;””))</definedName>
    <definedName name="CompareMississippiHousehold_Annual_Earned_Income" localSheetId="1">[1]Calc1!$N$45:INDEX([1]Calc1!$N$45:$HH$45,COUNTIF([1]Calc1!$N$45:$HH$45,”&lt;&gt;”&amp;””))</definedName>
    <definedName name="CompareMississippiHousehold_Annual_Earned_Income">[2]Calc1!$N$46:INDEX([2]Calc1!$N$46:$HH$46,COUNTIF([2]Calc1!$N$46:$HH$46,”&lt;&gt;”&amp;””))</definedName>
    <definedName name="CompareMississippiHousehold_Annual_Income" localSheetId="1">[1]Calc1!$N$49:INDEX([1]Calc1!$N$49:$HH$49,COUNTIF([1]Calc1!$N$49:$HH$49,”&lt;&gt;”&amp;””))</definedName>
    <definedName name="CompareMississippiHousehold_Annual_Income">[2]Calc1!$N$50:INDEX([2]Calc1!$N$50:$HH$50,COUNTIF([2]Calc1!$N$50:$HH$50,”&lt;&gt;”&amp;””))</definedName>
    <definedName name="CompareMississippiHousehold_Annual_Unearned_Income" localSheetId="1">[1]Calc1!$N$47:INDEX([1]Calc1!$N$47:$HH$47,COUNTIF([1]Calc1!$N$47:$HH$47,”&lt;&gt;”&amp;””))</definedName>
    <definedName name="CompareMississippiHousehold_Annual_Unearned_Income">[2]Calc1!$N$48:INDEX([2]Calc1!$N$48:$HH$48,COUNTIF([2]Calc1!$N$48:$HH$48,”&lt;&gt;”&amp;””))</definedName>
    <definedName name="CompareMississippiHousehold_Monthly_Earned_Income" localSheetId="1">[1]Calc1!$N$44:INDEX([1]Calc1!$N$44:$HH$44,COUNTIF([1]Calc1!$N$44:$HH$44,”&lt;&gt;”&amp;””))</definedName>
    <definedName name="CompareMississippiHousehold_Monthly_Earned_Income">[2]Calc1!$N$45:INDEX([2]Calc1!$N$45:$HH$45,COUNTIF([2]Calc1!$N$45:$HH$45,”&lt;&gt;”&amp;””))</definedName>
    <definedName name="CompareMississippiHousehold_Monthly_Income" localSheetId="1">[1]Calc1!$N$48:INDEX([1]Calc1!$N$48:$HH$48,COUNTIF([1]Calc1!$N$48:$HH$48,”&lt;&gt;”&amp;””))</definedName>
    <definedName name="CompareMississippiHousehold_Monthly_Income">[2]Calc1!$N$49:INDEX([2]Calc1!$N$49:$HH$49,COUNTIF([2]Calc1!$N$49:$HH$49,”&lt;&gt;”&amp;””))</definedName>
    <definedName name="CompareMississippiHousehold_Monthly_Unearned_Income" localSheetId="1">[1]Calc1!$N$46:INDEX([1]Calc1!$N$46:$HH$46,COUNTIF([1]Calc1!$N$46:$HH$46,”&lt;&gt;”&amp;””))</definedName>
    <definedName name="CompareMississippiHousehold_Monthly_Unearned_Income">[2]Calc1!$N$47:INDEX([2]Calc1!$N$47:$HH$47,COUNTIF([2]Calc1!$N$47:$HH$47,”&lt;&gt;”&amp;””))</definedName>
    <definedName name="CompareMississippiOutputACTC" localSheetId="1">[1]Calc1!$N$139:$HF$139</definedName>
    <definedName name="CompareMississippiOutputACTC">[2]Calc1!$N$140:$HF$140</definedName>
    <definedName name="CompareMississippiOutputChildCareSubsidyFinal" localSheetId="1">[1]Calc1!$N$594:$HF$594</definedName>
    <definedName name="CompareMississippiOutputChildCareSubsidyFinal">[2]Calc1!$N$588:$HF$588</definedName>
    <definedName name="CompareMississippiOutputCHIP" localSheetId="1">[1]Calc1!$N$421:$HF$421</definedName>
    <definedName name="CompareMississippiOutputCHIP">[2]Calc1!$N$419:$HF$419</definedName>
    <definedName name="CompareMississippiOutputComboCashAssistance" localSheetId="1">FPIG!CompareMississippiOutputTANF + FPIG!CompareMississippiOutputSSI + FPIG!CompareMississippiOutputLIHEAP</definedName>
    <definedName name="CompareMississippiOutputComboCashAssistance">CompareMississippiOutputTANF + CompareMississippiOutputSSI + CompareMississippiOutputLIHEAP</definedName>
    <definedName name="CompareMississippiOutputComboFoodAssistance" localSheetId="1">FPIG!CompareMississippiOutputSNAP + FPIG!CompareMississippiOutputWIC + FPIG!CompareMississippiOutputSubsidizedSchoolMeals</definedName>
    <definedName name="CompareMississippiOutputComboFoodAssistance">CompareMississippiOutputSNAP + CompareMississippiOutputWIC + CompareMississippiOutputSubsidizedSchoolMeals</definedName>
    <definedName name="CompareMississippiOutputComboMedicalAssistance" localSheetId="1">FPIG!CompareMississippiOutputMedicaid + FPIG!CompareMississippiOutputCHIP + FPIG!CompareMississippiOutputHIXPTC</definedName>
    <definedName name="CompareMississippiOutputComboMedicalAssistance">CompareMississippiOutputMedicaid + CompareMississippiOutputCHIP + CompareMississippiOutputHIXPTC</definedName>
    <definedName name="CompareMississippiOutputComboNetEarnings" localSheetId="1">FPIG!CompareMississippiAdjusted_Gross_Income - FPIG!CompareMississippiOutputFICA - FPIG!CompareMississippiOutputFedTax - FPIG!CompareMississippiOutputStateTax</definedName>
    <definedName name="CompareMississippiOutputComboNetEarnings">CompareMississippiAdjusted_Gross_Income - CompareMississippiOutputFICA - CompareMississippiOutputFedTax - CompareMississippiOutputStateTax</definedName>
    <definedName name="CompareMississippiOutputComboRefundableTaxCredits" localSheetId="1">FPIG!CompareMississippiOutputEITC + FPIG!CompareMississippiOutputACTC + FPIG!CompareMississippiOutputStateEITC + FPIG!CompareMississippiOutputCTC</definedName>
    <definedName name="CompareMississippiOutputComboRefundableTaxCredits">CompareMississippiOutputEITC + CompareMississippiOutputACTC + CompareMississippiOutputStateEITC + CompareMississippiOutputCTC</definedName>
    <definedName name="CompareMississippiOutputCTC" localSheetId="1">[1]Calc1!$N$107:$HF$107</definedName>
    <definedName name="CompareMississippiOutputCTC">[2]Calc1!$N$108:$HF$108</definedName>
    <definedName name="CompareMississippiOutputEITC" localSheetId="1">[1]Calc1!$N$121:$HF$121</definedName>
    <definedName name="CompareMississippiOutputEITC">[2]Calc1!$N$122:$HF$122</definedName>
    <definedName name="CompareMississippiOutputFedTax" localSheetId="1">[1]Calc1!$N$101:$HF$101</definedName>
    <definedName name="CompareMississippiOutputFedTax">[2]Calc1!$N$102:$HF$102</definedName>
    <definedName name="CompareMississippiOutputFICA" localSheetId="1">[1]Calc1!$N$53:$HF$53</definedName>
    <definedName name="CompareMississippiOutputFICA">[2]Calc1!$N$54:$HF$54</definedName>
    <definedName name="CompareMississippiOutputHIXPTC" localSheetId="1">[1]Calc1!$N$464:$HF$464</definedName>
    <definedName name="CompareMississippiOutputHIXPTC">[2]Calc1!$N$462:$HF$462</definedName>
    <definedName name="CompareMississippiOutputInterval" localSheetId="1">[1]Calc1!$N$2:$HF$2</definedName>
    <definedName name="CompareMississippiOutputInterval">[2]Calc1!$N$2:$HF$2</definedName>
    <definedName name="CompareMississippiOutputLIHEAP" localSheetId="1">[1]Calc1!$N$720:$HF$720</definedName>
    <definedName name="CompareMississippiOutputLIHEAP">[2]Calc1!$N$711:$HF$711</definedName>
    <definedName name="CompareMississippiOutputMedicaid" localSheetId="1">[1]Calc1!$N$377:$HF$377</definedName>
    <definedName name="CompareMississippiOutputMedicaid">[2]Calc1!$N$375:$HF$375</definedName>
    <definedName name="CompareMississippiOutputMedicaidAndCHIP" localSheetId="1">FPIG!CompareMississippiOutputMedicaid + FPIG!CompareMississippiOutputCHIP</definedName>
    <definedName name="CompareMississippiOutputMedicaidAndCHIP">CompareMississippiOutputMedicaid + CompareMississippiOutputCHIP</definedName>
    <definedName name="CompareMississippiOutputMomHourlyWage" localSheetId="1">[1]Calc1!$N$9:$HF$9</definedName>
    <definedName name="CompareMississippiOutputMomHourlyWage">[2]Calc1!$N$10:$HF$10</definedName>
    <definedName name="CompareMississippiOutputMomWeeklyHours" localSheetId="1">[1]Calc1!$N$4:$HF$4</definedName>
    <definedName name="CompareMississippiOutputMomWeeklyHours">[2]Calc1!$N$5:$HF$5</definedName>
    <definedName name="CompareMississippiOutputSec8Entry" localSheetId="1">[1]Calc1!$N$691:$HF$691</definedName>
    <definedName name="CompareMississippiOutputSec8Entry">[2]Calc1!$N$685:$HF$685</definedName>
    <definedName name="CompareMississippiOutputSec8Extended" localSheetId="1">[1]Calc1!$N$696:$HF$696</definedName>
    <definedName name="CompareMississippiOutputSec8Extended">[2]Calc1!$N$690:$HF$690</definedName>
    <definedName name="CompareMississippiOutputSec8Final" localSheetId="1">[1]Calc1!$N$694:$HF$694</definedName>
    <definedName name="CompareMississippiOutputSec8Final">[2]Calc1!$N$688:$HF$688</definedName>
    <definedName name="CompareMississippiOutputSNAP" localSheetId="1">[1]Calc1!$N$315:$HF$315</definedName>
    <definedName name="CompareMississippiOutputSNAP">[2]Calc1!$N$313:$HF$313</definedName>
    <definedName name="CompareMississippiOutputSSI" localSheetId="1">[1]Calc1!$N$282:$HF$282</definedName>
    <definedName name="CompareMississippiOutputSSI">[2]Calc1!$N$280:$HF$280</definedName>
    <definedName name="CompareMississippiOutputStackPlusCashAssistance" localSheetId="1">FPIG!CompareMississippiOutputStackPlusRefundableTaxCredits + FPIG!CompareMississippiOutputComboCashAssistance</definedName>
    <definedName name="CompareMississippiOutputStackPlusCashAssistance">CompareMississippiOutputStackPlusRefundableTaxCredits + CompareMississippiOutputComboCashAssistance</definedName>
    <definedName name="CompareMississippiOutputStackPlusChildCareFinal" localSheetId="1">FPIG!CompareMississippiOutputStackPlusMedicalAssistance + FPIG!CompareMississippiOutputChildCareSubsidyFinal</definedName>
    <definedName name="CompareMississippiOutputStackPlusChildCareFinal">CompareMississippiOutputStackPlusMedicalAssistance + CompareMississippiOutputChildCareSubsidyFinal</definedName>
    <definedName name="CompareMississippiOutputStackPlusFoodAssistance" localSheetId="1">FPIG!CompareMississippiOutputStackPlusCashAssistance + FPIG!CompareMississippiOutputComboFoodAssistance</definedName>
    <definedName name="CompareMississippiOutputStackPlusFoodAssistance">CompareMississippiOutputStackPlusCashAssistance + CompareMississippiOutputComboFoodAssistance</definedName>
    <definedName name="CompareMississippiOutputStackPlusHIXPTC" localSheetId="1">FPIG!CompareMississippiOutputStackPlusMedicaidAndCHIP + FPIG!CompareMississippiOutputHIXPTC</definedName>
    <definedName name="CompareMississippiOutputStackPlusHIXPTC">CompareMississippiOutputStackPlusMedicaidAndCHIP + CompareMississippiOutputHIXPTC</definedName>
    <definedName name="CompareMississippiOutputStackPlusMedicaidAndCHIP" localSheetId="1">FPIG!CompareMississippiOutputStackPlusFoodAssistance + FPIG!CompareMississippiOutputMedicaid + FPIG!CompareMississippiOutputCHIP</definedName>
    <definedName name="CompareMississippiOutputStackPlusMedicaidAndCHIP">CompareMississippiOutputStackPlusFoodAssistance + CompareMississippiOutputMedicaid + CompareMississippiOutputCHIP</definedName>
    <definedName name="CompareMississippiOutputStackPlusMedicalAssistance" localSheetId="1">FPIG!CompareMississippiOutputStackPlusFoodAssistance + FPIG!CompareMississippiOutputComboMedicalAssistance</definedName>
    <definedName name="CompareMississippiOutputStackPlusMedicalAssistance">CompareMississippiOutputStackPlusFoodAssistance + CompareMississippiOutputComboMedicalAssistance</definedName>
    <definedName name="CompareMississippiOutputStackPlusRefundableTaxCredits" localSheetId="1">FPIG!CompareMississippiOutputComboNetEarnings+FPIG!CompareMississippiOutputComboRefundableTaxCredits</definedName>
    <definedName name="CompareMississippiOutputStackPlusRefundableTaxCredits">CompareMississippiOutputComboNetEarnings+CompareMississippiOutputComboRefundableTaxCredits</definedName>
    <definedName name="CompareMississippiOutputStackPlusSec8Entry" localSheetId="1">FPIG!CompareMississippiOutputStackPlusChildCareFinal + FPIG!CompareMississippiOutputSec8Entry</definedName>
    <definedName name="CompareMississippiOutputStackPlusSec8Entry">CompareMississippiOutputStackPlusChildCareFinal + CompareMississippiOutputSec8Entry</definedName>
    <definedName name="CompareMississippiOutputStackPlusSec8Entry_Graph" localSheetId="1">FPIG!CompareMississippiOutputStackPlusChildCareFinal + FPIG!CompareMississippiOutputSec8Final</definedName>
    <definedName name="CompareMississippiOutputStackPlusSec8Entry_Graph">CompareMississippiOutputStackPlusChildCareFinal + CompareMississippiOutputSec8Final</definedName>
    <definedName name="CompareMississippiOutputStackPlusSec8Extended" localSheetId="1">FPIG!CompareMississippiOutputStackPlusSec8Entry + FPIG!CompareMississippiOutputSec8Extended</definedName>
    <definedName name="CompareMississippiOutputStackPlusSec8Extended">CompareMississippiOutputStackPlusSec8Entry + CompareMississippiOutputSec8Extended</definedName>
    <definedName name="CompareMississippiOutputStateEITC" localSheetId="1">[1]Calc1!$N$221:$HF$221</definedName>
    <definedName name="CompareMississippiOutputStateEITC">[2]Calc1!$N$221:$HF$221</definedName>
    <definedName name="CompareMississippiOutputStateTax" localSheetId="1">[1]Calc1!$N$206:$HF$206</definedName>
    <definedName name="CompareMississippiOutputStateTax">[2]Calc1!$N$206:$HF$206</definedName>
    <definedName name="CompareMississippiOutputSubsidizedSchoolMeals" localSheetId="1">[1]Calc1!$N$348:$HF$348</definedName>
    <definedName name="CompareMississippiOutputSubsidizedSchoolMeals">[2]Calc1!$N$346:$HF$346</definedName>
    <definedName name="CompareMississippiOutputTANF" localSheetId="1">[1]Calc1!$N$269:$HF$269</definedName>
    <definedName name="CompareMississippiOutputTANF">[2]Calc1!$N$267:$HF$267</definedName>
    <definedName name="CompareMississippiOutputWIC" localSheetId="1">[1]Calc1!$N$337:$HF$337</definedName>
    <definedName name="CompareMississippiOutputWIC">[2]Calc1!$N$335:$HF$335</definedName>
    <definedName name="CompareNorthCarolinaAdjusted_Gross_Income" localSheetId="1">[1]Calc1!$N$65:INDEX([1]Calc1!$N$65:$HH$65,COUNTIF([1]Calc1!$N$65:$HH$65,”&lt;&gt;”&amp;””))</definedName>
    <definedName name="CompareNorthCarolinaAdjusted_Gross_Income">[2]Calc1!$N$66:INDEX([2]Calc1!$N$66:$HH$66,COUNTIF([2]Calc1!$N$66:$HH$66,”&lt;&gt;”&amp;””))</definedName>
    <definedName name="CompareNorthCarolinaHousehold_Annual_Earned_Income" localSheetId="1">[1]Calc1!$N$45:INDEX([1]Calc1!$N$45:$HH$45,COUNTIF([1]Calc1!$N$45:$HH$45,”&lt;&gt;”&amp;””))</definedName>
    <definedName name="CompareNorthCarolinaHousehold_Annual_Earned_Income">[2]Calc1!$N$46:INDEX([2]Calc1!$N$46:$HH$46,COUNTIF([2]Calc1!$N$46:$HH$46,”&lt;&gt;”&amp;””))</definedName>
    <definedName name="CompareNorthCarolinaHousehold_Annual_Income" localSheetId="1">[1]Calc1!$N$49:INDEX([1]Calc1!$N$49:$HH$49,COUNTIF([1]Calc1!$N$49:$HH$49,”&lt;&gt;”&amp;””))</definedName>
    <definedName name="CompareNorthCarolinaHousehold_Annual_Income">[2]Calc1!$N$50:INDEX([2]Calc1!$N$50:$HH$50,COUNTIF([2]Calc1!$N$50:$HH$50,”&lt;&gt;”&amp;””))</definedName>
    <definedName name="CompareNorthCarolinaHousehold_Annual_Unearned_Income" localSheetId="1">[1]Calc1!$N$47:INDEX([1]Calc1!$N$47:$HH$47,COUNTIF([1]Calc1!$N$47:$HH$47,”&lt;&gt;”&amp;””))</definedName>
    <definedName name="CompareNorthCarolinaHousehold_Annual_Unearned_Income">[2]Calc1!$N$48:INDEX([2]Calc1!$N$48:$HH$48,COUNTIF([2]Calc1!$N$48:$HH$48,”&lt;&gt;”&amp;””))</definedName>
    <definedName name="CompareNorthCarolinaHousehold_Monthly_Earned_Income" localSheetId="1">[1]Calc1!$N$44:INDEX([1]Calc1!$N$44:$HH$44,COUNTIF([1]Calc1!$N$44:$HH$44,”&lt;&gt;”&amp;””))</definedName>
    <definedName name="CompareNorthCarolinaHousehold_Monthly_Earned_Income">[2]Calc1!$N$45:INDEX([2]Calc1!$N$45:$HH$45,COUNTIF([2]Calc1!$N$45:$HH$45,”&lt;&gt;”&amp;””))</definedName>
    <definedName name="CompareNorthCarolinaHousehold_Monthly_Income" localSheetId="1">[1]Calc1!$N$48:INDEX([1]Calc1!$N$48:$HH$48,COUNTIF([1]Calc1!$N$48:$HH$48,”&lt;&gt;”&amp;””))</definedName>
    <definedName name="CompareNorthCarolinaHousehold_Monthly_Income">[2]Calc1!$N$49:INDEX([2]Calc1!$N$49:$HH$49,COUNTIF([2]Calc1!$N$49:$HH$49,”&lt;&gt;”&amp;””))</definedName>
    <definedName name="CompareNorthCarolinaHousehold_Monthly_Unearned_Income" localSheetId="1">[1]Calc1!$N$46:INDEX([1]Calc1!$N$46:$HH$46,COUNTIF([1]Calc1!$N$46:$HH$46,”&lt;&gt;”&amp;””))</definedName>
    <definedName name="CompareNorthCarolinaHousehold_Monthly_Unearned_Income">[2]Calc1!$N$47:INDEX([2]Calc1!$N$47:$HH$47,COUNTIF([2]Calc1!$N$47:$HH$47,”&lt;&gt;”&amp;””))</definedName>
    <definedName name="CompareNorthCarolinaOutputACTC" localSheetId="1">[1]Calc1!$N$139:$HF$139</definedName>
    <definedName name="CompareNorthCarolinaOutputACTC">[2]Calc1!$N$140:$HF$140</definedName>
    <definedName name="CompareNorthCarolinaOutputChildCareSubsidyFinal" localSheetId="1">[1]Calc1!$N$594:$HF$594</definedName>
    <definedName name="CompareNorthCarolinaOutputChildCareSubsidyFinal">[2]Calc1!$N$588:$HF$588</definedName>
    <definedName name="CompareNorthCarolinaOutputCHIP" localSheetId="1">[1]Calc1!$N$421:$HF$421</definedName>
    <definedName name="CompareNorthCarolinaOutputCHIP">[2]Calc1!$N$419:$HF$419</definedName>
    <definedName name="CompareNorthCarolinaOutputComboCashAssistance" localSheetId="1">FPIG!CompareNorthCarolinaOutputTANF + FPIG!CompareNorthCarolinaOutputSSI +FPIG!CompareNorthCarolinaOutputLIHEAP</definedName>
    <definedName name="CompareNorthCarolinaOutputComboCashAssistance">CompareNorthCarolinaOutputTANF + CompareNorthCarolinaOutputSSI +CompareNorthCarolinaOutputLIHEAP</definedName>
    <definedName name="CompareNorthCarolinaOutputComboFoodAssistance" localSheetId="1">FPIG!CompareNorthCarolinaOutputSNAP + FPIG!CompareNorthCarolinaOutputWIC + FPIG!CompareNorthCarolinaOutputSubsidizedSchoolMeals</definedName>
    <definedName name="CompareNorthCarolinaOutputComboFoodAssistance">CompareNorthCarolinaOutputSNAP + CompareNorthCarolinaOutputWIC + CompareNorthCarolinaOutputSubsidizedSchoolMeals</definedName>
    <definedName name="CompareNorthCarolinaOutputComboMedicalAssistance" localSheetId="1">FPIG!CompareNorthCarolinaOutputMedicaid + FPIG!CompareNorthCarolinaOutputCHIP + FPIG!CompareNorthCarolinaOutputHIXPTC</definedName>
    <definedName name="CompareNorthCarolinaOutputComboMedicalAssistance">CompareNorthCarolinaOutputMedicaid + CompareNorthCarolinaOutputCHIP + CompareNorthCarolinaOutputHIXPTC</definedName>
    <definedName name="CompareNorthCarolinaOutputComboNetEarnings" localSheetId="1">FPIG!CompareNorthCarolinaAdjusted_Gross_Income - FPIG!CompareNorthCarolinaOutputFICA - FPIG!CompareNorthCarolinaOutputFedTax - FPIG!CompareNorthCarolinaOutputStateTax</definedName>
    <definedName name="CompareNorthCarolinaOutputComboNetEarnings">CompareNorthCarolinaAdjusted_Gross_Income - CompareNorthCarolinaOutputFICA - CompareNorthCarolinaOutputFedTax - CompareNorthCarolinaOutputStateTax</definedName>
    <definedName name="CompareNorthCarolinaOutputComboRefundableTaxCredits" localSheetId="1">FPIG!CompareNorthCarolinaOutputEITC + FPIG!CompareNorthCarolinaOutputACTC + FPIG!CompareNorthCarolinaOutputStateEITC + FPIG!CompareNorthCarolinaOutputCTC</definedName>
    <definedName name="CompareNorthCarolinaOutputComboRefundableTaxCredits">CompareNorthCarolinaOutputEITC + CompareNorthCarolinaOutputACTC + CompareNorthCarolinaOutputStateEITC + CompareNorthCarolinaOutputCTC</definedName>
    <definedName name="CompareNorthCarolinaOutputCTC" localSheetId="1">[1]Calc1!$N$107:$HF$107</definedName>
    <definedName name="CompareNorthCarolinaOutputCTC">[2]Calc1!$N$108:$HF$108</definedName>
    <definedName name="CompareNorthCarolinaOutputEITC" localSheetId="1">[1]Calc1!$N$121:$HF$121</definedName>
    <definedName name="CompareNorthCarolinaOutputEITC">[2]Calc1!$N$122:$HF$122</definedName>
    <definedName name="CompareNorthCarolinaOutputFedTax" localSheetId="1">[1]Calc1!$N$101:$HF$101</definedName>
    <definedName name="CompareNorthCarolinaOutputFedTax">[2]Calc1!$N$102:$HF$102</definedName>
    <definedName name="CompareNorthCarolinaOutputFICA" localSheetId="1">[1]Calc1!$N$53:$HF$53</definedName>
    <definedName name="CompareNorthCarolinaOutputFICA">[2]Calc1!$N$54:$HF$54</definedName>
    <definedName name="CompareNorthCarolinaOutputHIXPTC" localSheetId="1">[1]Calc1!$N$464:$HF$464</definedName>
    <definedName name="CompareNorthCarolinaOutputHIXPTC">[2]Calc1!$N$462:$HF$462</definedName>
    <definedName name="CompareNorthCarolinaOutputInterval" localSheetId="1">[1]Calc1!$N$2:$HF$2</definedName>
    <definedName name="CompareNorthCarolinaOutputInterval">[2]Calc1!$N$2:$HF$2</definedName>
    <definedName name="CompareNorthCarolinaOutputLIHEAP" localSheetId="1">[1]Calc1!$N$720:$HF$720</definedName>
    <definedName name="CompareNorthCarolinaOutputLIHEAP">[2]Calc1!$N$711:$HF$711</definedName>
    <definedName name="CompareNorthCarolinaOutputMedicaid" localSheetId="1">[1]Calc1!$N$377:$HF$377</definedName>
    <definedName name="CompareNorthCarolinaOutputMedicaid">[2]Calc1!$N$375:$HF$375</definedName>
    <definedName name="CompareNorthCarolinaOutputMedicaidAndCHIP" localSheetId="1">FPIG!CompareNorthCarolinaOutputMedicaid + FPIG!CompareNorthCarolinaOutputCHIP</definedName>
    <definedName name="CompareNorthCarolinaOutputMedicaidAndCHIP">CompareNorthCarolinaOutputMedicaid + CompareNorthCarolinaOutputCHIP</definedName>
    <definedName name="CompareNorthCarolinaOutputMomHourlyWage" localSheetId="1">[1]Calc1!$N$9:$HF$9</definedName>
    <definedName name="CompareNorthCarolinaOutputMomHourlyWage">[2]Calc1!$N$10:$HF$10</definedName>
    <definedName name="CompareNorthCarolinaOutputMomWeeklyHours" localSheetId="1">[1]Calc1!$N$4:$HF$4</definedName>
    <definedName name="CompareNorthCarolinaOutputMomWeeklyHours">[2]Calc1!$N$5:$HF$5</definedName>
    <definedName name="CompareNorthCarolinaOutputSec8Entry" localSheetId="1">[1]Calc1!$N$691:$HF$691</definedName>
    <definedName name="CompareNorthCarolinaOutputSec8Entry">[2]Calc1!$N$685:$HF$685</definedName>
    <definedName name="CompareNorthCarolinaOutputSec8Extended" localSheetId="1">[1]Calc1!$N$696:$HF$696</definedName>
    <definedName name="CompareNorthCarolinaOutputSec8Extended">[2]Calc1!$N$690:$HF$690</definedName>
    <definedName name="CompareNorthCarolinaOutputSec8Final" localSheetId="1">[1]Calc1!$N$694:$HF$694</definedName>
    <definedName name="CompareNorthCarolinaOutputSec8Final">[2]Calc1!$N$688:$HF$688</definedName>
    <definedName name="CompareNorthCarolinaOutputSNAP" localSheetId="1">[1]Calc1!$N$315:$HF$315</definedName>
    <definedName name="CompareNorthCarolinaOutputSNAP">[2]Calc1!$N$313:$HF$313</definedName>
    <definedName name="CompareNorthCarolinaOutputSSI" localSheetId="1">[1]Calc1!$N$282:$HF$282</definedName>
    <definedName name="CompareNorthCarolinaOutputSSI">[2]Calc1!$N$280:$HF$280</definedName>
    <definedName name="CompareNorthCarolinaOutputStackPlusCashAssistance" localSheetId="1">FPIG!CompareNorthCarolinaOutputStackPlusRefundableTaxCredits + FPIG!CompareNorthCarolinaOutputComboCashAssistance</definedName>
    <definedName name="CompareNorthCarolinaOutputStackPlusCashAssistance">CompareNorthCarolinaOutputStackPlusRefundableTaxCredits + CompareNorthCarolinaOutputComboCashAssistance</definedName>
    <definedName name="CompareNorthCarolinaOutputStackPlusChildCareFinal" localSheetId="1">FPIG!CompareNorthCarolinaOutputStackPlusMedicalAssistance + FPIG!CompareNorthCarolinaOutputChildCareSubsidyFinal</definedName>
    <definedName name="CompareNorthCarolinaOutputStackPlusChildCareFinal">CompareNorthCarolinaOutputStackPlusMedicalAssistance + CompareNorthCarolinaOutputChildCareSubsidyFinal</definedName>
    <definedName name="CompareNorthCarolinaOutputStackPlusFoodAssistance" localSheetId="1">FPIG!CompareNorthCarolinaOutputStackPlusCashAssistance + FPIG!CompareNorthCarolinaOutputComboFoodAssistance</definedName>
    <definedName name="CompareNorthCarolinaOutputStackPlusFoodAssistance">CompareNorthCarolinaOutputStackPlusCashAssistance + CompareNorthCarolinaOutputComboFoodAssistance</definedName>
    <definedName name="CompareNorthCarolinaOutputStackPlusHIXPTC" localSheetId="1">FPIG!CompareNorthCarolinaOutputStackPlusMedicaidAndCHIP + FPIG!CompareNorthCarolinaOutputHIXPTC</definedName>
    <definedName name="CompareNorthCarolinaOutputStackPlusHIXPTC">CompareNorthCarolinaOutputStackPlusMedicaidAndCHIP + CompareNorthCarolinaOutputHIXPTC</definedName>
    <definedName name="CompareNorthCarolinaOutputStackPlusMedicaidAndCHIP" localSheetId="1">FPIG!CompareNorthCarolinaOutputStackPlusFoodAssistance + FPIG!CompareNorthCarolinaOutputMedicaid + FPIG!CompareNorthCarolinaOutputCHIP</definedName>
    <definedName name="CompareNorthCarolinaOutputStackPlusMedicaidAndCHIP">CompareNorthCarolinaOutputStackPlusFoodAssistance + CompareNorthCarolinaOutputMedicaid + CompareNorthCarolinaOutputCHIP</definedName>
    <definedName name="CompareNorthCarolinaOutputStackPlusMedicalAssistance" localSheetId="1">FPIG!CompareNorthCarolinaOutputStackPlusFoodAssistance + FPIG!CompareNorthCarolinaOutputComboMedicalAssistance</definedName>
    <definedName name="CompareNorthCarolinaOutputStackPlusMedicalAssistance">CompareNorthCarolinaOutputStackPlusFoodAssistance + CompareNorthCarolinaOutputComboMedicalAssistance</definedName>
    <definedName name="CompareNorthCarolinaOutputStackPlusRefundableTaxCredits" localSheetId="1">FPIG!CompareNorthCarolinaOutputComboNetEarnings+FPIG!CompareNorthCarolinaOutputComboRefundableTaxCredits</definedName>
    <definedName name="CompareNorthCarolinaOutputStackPlusRefundableTaxCredits">CompareNorthCarolinaOutputComboNetEarnings+CompareNorthCarolinaOutputComboRefundableTaxCredits</definedName>
    <definedName name="CompareNorthCarolinaOutputStackPlusSec8Entry" localSheetId="1">FPIG!CompareNorthCarolinaOutputStackPlusChildCareFinal + FPIG!CompareNorthCarolinaOutputSec8Entry</definedName>
    <definedName name="CompareNorthCarolinaOutputStackPlusSec8Entry">CompareNorthCarolinaOutputStackPlusChildCareFinal + CompareNorthCarolinaOutputSec8Entry</definedName>
    <definedName name="CompareNorthCarolinaOutputStackPlusSec8Entry_Graph" localSheetId="1">FPIG!CompareNorthCarolinaOutputStackPlusChildCareFinal + FPIG!CompareNorthCarolinaOutputSec8Final</definedName>
    <definedName name="CompareNorthCarolinaOutputStackPlusSec8Entry_Graph">CompareNorthCarolinaOutputStackPlusChildCareFinal + CompareNorthCarolinaOutputSec8Final</definedName>
    <definedName name="CompareNorthCarolinaOutputStackPlusSec8Extended" localSheetId="1">FPIG!CompareNorthCarolinaOutputStackPlusSec8Entry + FPIG!CompareNorthCarolinaOutputSec8Extended</definedName>
    <definedName name="CompareNorthCarolinaOutputStackPlusSec8Extended">CompareNorthCarolinaOutputStackPlusSec8Entry + CompareNorthCarolinaOutputSec8Extended</definedName>
    <definedName name="CompareNorthCarolinaOutputStateEITC" localSheetId="1">[1]Calc1!$N$221:$HF$221</definedName>
    <definedName name="CompareNorthCarolinaOutputStateEITC">[2]Calc1!$N$221:$HF$221</definedName>
    <definedName name="CompareNorthCarolinaOutputStateTax" localSheetId="1">[1]Calc1!$N$206:$HF$206</definedName>
    <definedName name="CompareNorthCarolinaOutputStateTax">[2]Calc1!$N$206:$HF$206</definedName>
    <definedName name="CompareNorthCarolinaOutputSubsidizedSchoolMeals" localSheetId="1">[1]Calc1!$N$348:$HF$348</definedName>
    <definedName name="CompareNorthCarolinaOutputSubsidizedSchoolMeals">[2]Calc1!$N$346:$HF$346</definedName>
    <definedName name="CompareNorthCarolinaOutputTANF" localSheetId="1">[1]Calc1!$N$269:$HF$269</definedName>
    <definedName name="CompareNorthCarolinaOutputTANF">[2]Calc1!$N$267:$HF$267</definedName>
    <definedName name="CompareNorthCarolinaOutputWIC" localSheetId="1">[1]Calc1!$N$337:$HF$337</definedName>
    <definedName name="CompareNorthCarolinaOutputWIC">[2]Calc1!$N$335:$HF$335</definedName>
    <definedName name="CompareOriginalIncomeAdjusted_Gross_Income" localSheetId="1">[1]Calc1!$N$65:INDEX([1]Calc1!$N$65:$HH$65,COUNTIF([1]Calc1!$N$65:$HH$65,”&lt;&gt;”&amp;””))</definedName>
    <definedName name="CompareOriginalIncomeAdjusted_Gross_Income">[2]Calc1!$N$66:INDEX([2]Calc1!$N$66:$HH$66,COUNTIF([2]Calc1!$N$66:$HH$66,”&lt;&gt;”&amp;””))</definedName>
    <definedName name="CompareOriginalIncomeHousehold_Annual_Earned_Income" localSheetId="1">[1]Calc1!$N$45:INDEX([1]Calc1!$N$45:$HH$45,COUNTIF([1]Calc1!$N$45:$HH$45,”&lt;&gt;”&amp;””))</definedName>
    <definedName name="CompareOriginalIncomeHousehold_Annual_Earned_Income">[2]Calc1!$N$46:INDEX([2]Calc1!$N$46:$HH$46,COUNTIF([2]Calc1!$N$46:$HH$46,”&lt;&gt;”&amp;””))</definedName>
    <definedName name="CompareOriginalIncomeHousehold_Annual_Income" localSheetId="1">[1]Calc1!$N$49:INDEX([1]Calc1!$N$49:$HH$49,COUNTIF([1]Calc1!$N$49:$HH$49,”&lt;&gt;”&amp;””))</definedName>
    <definedName name="CompareOriginalIncomeHousehold_Annual_Income">[2]Calc1!$N$50:INDEX([2]Calc1!$N$50:$HH$50,COUNTIF([2]Calc1!$N$50:$HH$50,”&lt;&gt;”&amp;””))</definedName>
    <definedName name="CompareOriginalIncomeHousehold_Annual_Unearned_Income" localSheetId="1">[1]Calc1!$N$47:INDEX([1]Calc1!$N$47:$HH$47,COUNTIF([1]Calc1!$N$47:$HH$47,”&lt;&gt;”&amp;””))</definedName>
    <definedName name="CompareOriginalIncomeHousehold_Annual_Unearned_Income">[2]Calc1!$N$48:INDEX([2]Calc1!$N$48:$HH$48,COUNTIF([2]Calc1!$N$48:$HH$48,”&lt;&gt;”&amp;””))</definedName>
    <definedName name="CompareOriginalIncomeHousehold_Monthly_Earned_Income" localSheetId="1">[1]Calc1!$N$44:INDEX([1]Calc1!$N$44:$HH$44,COUNTIF([1]Calc1!$N$44:$HH$44,”&lt;&gt;”&amp;””))</definedName>
    <definedName name="CompareOriginalIncomeHousehold_Monthly_Earned_Income">[2]Calc1!$N$45:INDEX([2]Calc1!$N$45:$HH$45,COUNTIF([2]Calc1!$N$45:$HH$45,”&lt;&gt;”&amp;””))</definedName>
    <definedName name="CompareOriginalIncomeHousehold_Monthly_Income" localSheetId="1">[1]Calc1!$N$48:INDEX([1]Calc1!$N$48:$HH$48,COUNTIF([1]Calc1!$N$48:$HH$48,”&lt;&gt;”&amp;””))</definedName>
    <definedName name="CompareOriginalIncomeHousehold_Monthly_Income">[2]Calc1!$N$49:INDEX([2]Calc1!$N$49:$HH$49,COUNTIF([2]Calc1!$N$49:$HH$49,”&lt;&gt;”&amp;””))</definedName>
    <definedName name="CompareOriginalIncomeHousehold_Monthly_Unearned_Income" localSheetId="1">[1]Calc1!$N$46:INDEX([1]Calc1!$N$46:$HH$46,COUNTIF([1]Calc1!$N$46:$HH$46,”&lt;&gt;”&amp;””))</definedName>
    <definedName name="CompareOriginalIncomeHousehold_Monthly_Unearned_Income">[2]Calc1!$N$47:INDEX([2]Calc1!$N$47:$HH$47,COUNTIF([2]Calc1!$N$47:$HH$47,”&lt;&gt;”&amp;””))</definedName>
    <definedName name="CompareOriginalIncomeOutputACTC" localSheetId="1">[1]Calc1!$N$139:$HF$139</definedName>
    <definedName name="CompareOriginalIncomeOutputACTC">[2]Calc1!$N$140:$HF$140</definedName>
    <definedName name="CompareOriginalIncomeOutputChildCareSubsidyFinal" localSheetId="1">[1]Calc1!$N$594:$HF$594</definedName>
    <definedName name="CompareOriginalIncomeOutputChildCareSubsidyFinal">[2]Calc1!$N$588:$HF$588</definedName>
    <definedName name="CompareOriginalIncomeOutputCHIP" localSheetId="1">[1]Calc1!$N$421:$HF$421</definedName>
    <definedName name="CompareOriginalIncomeOutputCHIP">[2]Calc1!$N$419:$HF$419</definedName>
    <definedName name="CompareOriginalIncomeOutputComboCashAssistance" localSheetId="1">FPIG!CompareOriginalIncomeOutputTANF + FPIG!CompareOriginalIncomeOutputSSI + FPIG!CompareOriginalIncomeOutputLIHEAP</definedName>
    <definedName name="CompareOriginalIncomeOutputComboCashAssistance">CompareOriginalIncomeOutputTANF + CompareOriginalIncomeOutputSSI + CompareOriginalIncomeOutputLIHEAP</definedName>
    <definedName name="CompareOriginalIncomeOutputComboFoodAssistance" localSheetId="1">FPIG!CompareOriginalIncomeOutputSNAP + FPIG!CompareOriginalIncomeOutputWIC + FPIG!CompareOriginalIncomeOutputSubsidizedSchoolMeals</definedName>
    <definedName name="CompareOriginalIncomeOutputComboFoodAssistance">CompareOriginalIncomeOutputSNAP + CompareOriginalIncomeOutputWIC + CompareOriginalIncomeOutputSubsidizedSchoolMeals</definedName>
    <definedName name="CompareOriginalIncomeOutputComboMedicalAssistance" localSheetId="1">FPIG!CompareOriginalIncomeOutputMedicaid + FPIG!CompareOriginalIncomeOutputCHIP + FPIG!CompareOriginalIncomeOutputHIXPTC</definedName>
    <definedName name="CompareOriginalIncomeOutputComboMedicalAssistance">CompareOriginalIncomeOutputMedicaid + CompareOriginalIncomeOutputCHIP + CompareOriginalIncomeOutputHIXPTC</definedName>
    <definedName name="CompareOriginalIncomeOutputComboNetEarnings" localSheetId="1">FPIG!CompareOriginalIncomeAdjusted_Gross_Income - FPIG!CompareOriginalIncomeOutputFICA - FPIG!CompareOriginalIncomeOutputFedTax - FPIG!CompareOriginalIncomeOutputStateTax</definedName>
    <definedName name="CompareOriginalIncomeOutputComboNetEarnings">CompareOriginalIncomeAdjusted_Gross_Income - CompareOriginalIncomeOutputFICA - CompareOriginalIncomeOutputFedTax - CompareOriginalIncomeOutputStateTax</definedName>
    <definedName name="CompareOriginalIncomeOutputComboRefundableTaxCredits" localSheetId="1">FPIG!CompareOriginalIncomeOutputEITC + FPIG!CompareOriginalIncomeOutputACTC + FPIG!CompareOriginalIncomeOutputStateEITC + FPIG!CompareOriginalIncomeOutputCTC</definedName>
    <definedName name="CompareOriginalIncomeOutputComboRefundableTaxCredits">CompareOriginalIncomeOutputEITC + CompareOriginalIncomeOutputACTC + CompareOriginalIncomeOutputStateEITC + CompareOriginalIncomeOutputCTC</definedName>
    <definedName name="CompareOriginalIncomeOutputCTC" localSheetId="1">[1]Calc1!$N$107:$HF$107</definedName>
    <definedName name="CompareOriginalIncomeOutputCTC">[2]Calc1!$N$108:$HF$108</definedName>
    <definedName name="CompareOriginalIncomeOutputEITC" localSheetId="1">[1]Calc1!$N$121:$HF$121</definedName>
    <definedName name="CompareOriginalIncomeOutputEITC">[2]Calc1!$N$122:$HF$122</definedName>
    <definedName name="CompareOriginalIncomeOutputFedTax" localSheetId="1">[1]Calc1!$N$101:$HF$101</definedName>
    <definedName name="CompareOriginalIncomeOutputFedTax">[2]Calc1!$N$102:$HF$102</definedName>
    <definedName name="CompareOriginalIncomeOutputFICA" localSheetId="1">[1]Calc1!$N$53:$HF$53</definedName>
    <definedName name="CompareOriginalIncomeOutputFICA">[2]Calc1!$N$54:$HF$54</definedName>
    <definedName name="CompareOriginalIncomeOutputHIXPTC" localSheetId="1">[1]Calc1!$N$464:$HF$464</definedName>
    <definedName name="CompareOriginalIncomeOutputHIXPTC">[2]Calc1!$N$462:$HF$462</definedName>
    <definedName name="CompareOriginalIncomeOutputInterval" localSheetId="1">[1]Calc1!$N$2:$HF$2</definedName>
    <definedName name="CompareOriginalIncomeOutputInterval">[2]Calc1!$N$2:$HF$2</definedName>
    <definedName name="CompareOriginalIncomeOutputLIHEAP" localSheetId="1">[1]Calc1!$N$720:$HF$720</definedName>
    <definedName name="CompareOriginalIncomeOutputLIHEAP">[2]Calc1!$N$711:$HF$711</definedName>
    <definedName name="CompareOriginalIncomeOutputMedicaid" localSheetId="1">[1]Calc1!$N$377:$HF$377</definedName>
    <definedName name="CompareOriginalIncomeOutputMedicaid">[2]Calc1!$N$375:$HF$375</definedName>
    <definedName name="CompareOriginalIncomeOutputMedicaidAndCHIP" localSheetId="1">FPIG!CompareOriginalIncomeOutputMedicaid + FPIG!CompareOriginalIncomeOutputCHIP</definedName>
    <definedName name="CompareOriginalIncomeOutputMedicaidAndCHIP">CompareOriginalIncomeOutputMedicaid + CompareOriginalIncomeOutputCHIP</definedName>
    <definedName name="CompareOriginalIncomeOutputMomHourlyWage" localSheetId="1">[1]Calc1!$N$9:$HF$9</definedName>
    <definedName name="CompareOriginalIncomeOutputMomHourlyWage">[2]Calc1!$N$10:$HF$10</definedName>
    <definedName name="CompareOriginalIncomeOutputMomWeeklyHours" localSheetId="1">[1]Calc1!$N$4:$HF$4</definedName>
    <definedName name="CompareOriginalIncomeOutputMomWeeklyHours">[2]Calc1!$N$5:$HF$5</definedName>
    <definedName name="CompareOriginalIncomeOutputSec8Entry" localSheetId="1">[1]Calc1!$N$691:$HF$691</definedName>
    <definedName name="CompareOriginalIncomeOutputSec8Entry">[2]Calc1!$N$685:$HF$685</definedName>
    <definedName name="CompareOriginalIncomeOutputSec8Extended" localSheetId="1">[1]Calc1!$N$696:$HF$696</definedName>
    <definedName name="CompareOriginalIncomeOutputSec8Extended">[2]Calc1!$N$690:$HF$690</definedName>
    <definedName name="CompareOriginalIncomeOutputSec8Final" localSheetId="1">[1]Calc1!$N$694:$HF$694</definedName>
    <definedName name="CompareOriginalIncomeOutputSec8Final">[2]Calc1!$N$688:$HF$688</definedName>
    <definedName name="CompareOriginalIncomeOutputSNAP" localSheetId="1">[1]Calc1!$N$315:$HF$315</definedName>
    <definedName name="CompareOriginalIncomeOutputSNAP">[2]Calc1!$N$313:$HF$313</definedName>
    <definedName name="CompareOriginalIncomeOutputSSI" localSheetId="1">[1]Calc1!$N$282:$HF$282</definedName>
    <definedName name="CompareOriginalIncomeOutputSSI">[2]Calc1!$N$280:$HF$280</definedName>
    <definedName name="CompareOriginalIncomeOutputStackPlusCashAssistance" localSheetId="1">FPIG!CompareOriginalIncomeOutputStackPlusRefundableTaxCredits + FPIG!CompareOriginalIncomeOutputComboCashAssistance</definedName>
    <definedName name="CompareOriginalIncomeOutputStackPlusCashAssistance">CompareOriginalIncomeOutputStackPlusRefundableTaxCredits + CompareOriginalIncomeOutputComboCashAssistance</definedName>
    <definedName name="CompareOriginalIncomeOutputStackPlusChildCareFinal" localSheetId="1">FPIG!CompareOriginalIncomeOutputStackPlusMedicalAssistance + FPIG!CompareOriginalIncomeOutputChildCareSubsidyFinal</definedName>
    <definedName name="CompareOriginalIncomeOutputStackPlusChildCareFinal">CompareOriginalIncomeOutputStackPlusMedicalAssistance + CompareOriginalIncomeOutputChildCareSubsidyFinal</definedName>
    <definedName name="CompareOriginalIncomeOutputStackPlusFoodAssistance" localSheetId="1">FPIG!CompareOriginalIncomeOutputStackPlusCashAssistance + FPIG!CompareOriginalIncomeOutputComboFoodAssistance</definedName>
    <definedName name="CompareOriginalIncomeOutputStackPlusFoodAssistance">CompareOriginalIncomeOutputStackPlusCashAssistance + CompareOriginalIncomeOutputComboFoodAssistance</definedName>
    <definedName name="CompareOriginalIncomeOutputStackPlusHIXPTC" localSheetId="1">FPIG!CompareOriginalIncomeOutputStackPlusMedicaidAndCHIP + FPIG!CompareOriginalIncomeOutputHIXPTC</definedName>
    <definedName name="CompareOriginalIncomeOutputStackPlusHIXPTC">CompareOriginalIncomeOutputStackPlusMedicaidAndCHIP + CompareOriginalIncomeOutputHIXPTC</definedName>
    <definedName name="CompareOriginalIncomeOutputStackPlusMedicaidAndCHIP" localSheetId="1">FPIG!CompareOriginalIncomeOutputStackPlusFoodAssistance + FPIG!CompareOriginalIncomeOutputMedicaid + FPIG!CompareOriginalIncomeOutputCHIP</definedName>
    <definedName name="CompareOriginalIncomeOutputStackPlusMedicaidAndCHIP">CompareOriginalIncomeOutputStackPlusFoodAssistance + CompareOriginalIncomeOutputMedicaid + CompareOriginalIncomeOutputCHIP</definedName>
    <definedName name="CompareOriginalIncomeOutputStackPlusMedicalAssistance" localSheetId="1">FPIG!CompareOriginalIncomeOutputStackPlusFoodAssistance + FPIG!CompareOriginalIncomeOutputComboMedicalAssistance</definedName>
    <definedName name="CompareOriginalIncomeOutputStackPlusMedicalAssistance">CompareOriginalIncomeOutputStackPlusFoodAssistance + CompareOriginalIncomeOutputComboMedicalAssistance</definedName>
    <definedName name="CompareOriginalIncomeOutputStackPlusRefundableTaxCredits" localSheetId="1">FPIG!CompareOriginalIncomeOutputComboNetEarnings+FPIG!CompareOriginalIncomeOutputComboRefundableTaxCredits</definedName>
    <definedName name="CompareOriginalIncomeOutputStackPlusRefundableTaxCredits">CompareOriginalIncomeOutputComboNetEarnings+CompareOriginalIncomeOutputComboRefundableTaxCredits</definedName>
    <definedName name="CompareOriginalIncomeOutputStackPlusSec8Entry" localSheetId="1">FPIG!CompareOriginalIncomeOutputStackPlusChildCareFinal + FPIG!CompareOriginalIncomeOutputSec8Entry</definedName>
    <definedName name="CompareOriginalIncomeOutputStackPlusSec8Entry">CompareOriginalIncomeOutputStackPlusChildCareFinal + CompareOriginalIncomeOutputSec8Entry</definedName>
    <definedName name="CompareOriginalIncomeOutputStackPlusSec8Entry_Graph" localSheetId="1">FPIG!CompareOriginalIncomeOutputStackPlusChildCareFinal + FPIG!CompareOriginalIncomeOutputSec8Final</definedName>
    <definedName name="CompareOriginalIncomeOutputStackPlusSec8Entry_Graph">CompareOriginalIncomeOutputStackPlusChildCareFinal + CompareOriginalIncomeOutputSec8Final</definedName>
    <definedName name="CompareOriginalIncomeOutputStackPlusSec8Extended" localSheetId="1">FPIG!CompareOriginalIncomeOutputStackPlusSec8Entry + FPIG!CompareOriginalIncomeOutputSec8Extended</definedName>
    <definedName name="CompareOriginalIncomeOutputStackPlusSec8Extended">CompareOriginalIncomeOutputStackPlusSec8Entry + CompareOriginalIncomeOutputSec8Extended</definedName>
    <definedName name="CompareOriginalIncomeOutputStateEITC" localSheetId="1">[1]Calc1!$N$221:$HF$221</definedName>
    <definedName name="CompareOriginalIncomeOutputStateEITC">[2]Calc1!$N$221:$HF$221</definedName>
    <definedName name="CompareOriginalIncomeOutputStateTax" localSheetId="1">[1]Calc1!$N$206:$HF$206</definedName>
    <definedName name="CompareOriginalIncomeOutputStateTax">[2]Calc1!$N$206:$HF$206</definedName>
    <definedName name="CompareOriginalIncomeOutputSubsidizedSchoolMeals" localSheetId="1">[1]Calc1!$N$348:$HF$348</definedName>
    <definedName name="CompareOriginalIncomeOutputSubsidizedSchoolMeals">[2]Calc1!$N$346:$HF$346</definedName>
    <definedName name="CompareOriginalIncomeOutputTANF" localSheetId="1">[1]Calc1!$N$269:$HF$269</definedName>
    <definedName name="CompareOriginalIncomeOutputTANF">[2]Calc1!$N$267:$HF$267</definedName>
    <definedName name="CompareOriginalIncomeOutputWIC" localSheetId="1">[1]Calc1!$N$337:$HF$337</definedName>
    <definedName name="CompareOriginalIncomeOutputWIC">[2]Calc1!$N$335:$HF$335</definedName>
    <definedName name="CompareProspectiveIncomeAdjusted_Gross_Income" localSheetId="1">[1]Calc1!$N$65:INDEX([1]Calc1!$N$65:$HH$65,COUNTIF([1]Calc1!$N$65:$HH$65,”&lt;&gt;”&amp;””))</definedName>
    <definedName name="CompareProspectiveIncomeAdjusted_Gross_Income">[2]Calc1!$N$66:INDEX([2]Calc1!$N$66:$HH$66,COUNTIF([2]Calc1!$N$66:$HH$66,”&lt;&gt;”&amp;””))</definedName>
    <definedName name="CompareProspectiveIncomeHousehold_Annual_Earned_Income" localSheetId="1">[1]Calc1!$N$45:INDEX([1]Calc1!$N$45:$HH$45,COUNTIF([1]Calc1!$N$45:$HH$45,”&lt;&gt;”&amp;””))</definedName>
    <definedName name="CompareProspectiveIncomeHousehold_Annual_Earned_Income">[2]Calc1!$N$46:INDEX([2]Calc1!$N$46:$HH$46,COUNTIF([2]Calc1!$N$46:$HH$46,”&lt;&gt;”&amp;””))</definedName>
    <definedName name="CompareProspectiveIncomeHousehold_Annual_Income" localSheetId="1">[1]Calc1!$N$49:INDEX([1]Calc1!$N$49:$HH$49,COUNTIF([1]Calc1!$N$49:$HH$49,”&lt;&gt;”&amp;””))</definedName>
    <definedName name="CompareProspectiveIncomeHousehold_Annual_Income">[2]Calc1!$N$50:INDEX([2]Calc1!$N$50:$HH$50,COUNTIF([2]Calc1!$N$50:$HH$50,”&lt;&gt;”&amp;””))</definedName>
    <definedName name="CompareProspectiveIncomeHousehold_Annual_Unearned_Income" localSheetId="1">[1]Calc1!$N$47:INDEX([1]Calc1!$N$47:$HH$47,COUNTIF([1]Calc1!$N$47:$HH$47,”&lt;&gt;”&amp;””))</definedName>
    <definedName name="CompareProspectiveIncomeHousehold_Annual_Unearned_Income">[2]Calc1!$N$48:INDEX([2]Calc1!$N$48:$HH$48,COUNTIF([2]Calc1!$N$48:$HH$48,”&lt;&gt;”&amp;””))</definedName>
    <definedName name="CompareProspectiveIncomeHousehold_Monthly_Earned_Income" localSheetId="1">[1]Calc1!$N$44:INDEX([1]Calc1!$N$44:$HH$44,COUNTIF([1]Calc1!$N$44:$HH$44,”&lt;&gt;”&amp;””))</definedName>
    <definedName name="CompareProspectiveIncomeHousehold_Monthly_Earned_Income">[2]Calc1!$N$45:INDEX([2]Calc1!$N$45:$HH$45,COUNTIF([2]Calc1!$N$45:$HH$45,”&lt;&gt;”&amp;””))</definedName>
    <definedName name="CompareProspectiveIncomeHousehold_Monthly_Income" localSheetId="1">[1]Calc1!$N$48:INDEX([1]Calc1!$N$48:$HH$48,COUNTIF([1]Calc1!$N$48:$HH$48,”&lt;&gt;”&amp;””))</definedName>
    <definedName name="CompareProspectiveIncomeHousehold_Monthly_Income">[2]Calc1!$N$49:INDEX([2]Calc1!$N$49:$HH$49,COUNTIF([2]Calc1!$N$49:$HH$49,”&lt;&gt;”&amp;””))</definedName>
    <definedName name="CompareProspectiveIncomeHousehold_Monthly_Unearned_Income" localSheetId="1">[1]Calc1!$N$46:INDEX([1]Calc1!$N$46:$HH$46,COUNTIF([1]Calc1!$N$46:$HH$46,”&lt;&gt;”&amp;””))</definedName>
    <definedName name="CompareProspectiveIncomeHousehold_Monthly_Unearned_Income">[2]Calc1!$N$47:INDEX([2]Calc1!$N$47:$HH$47,COUNTIF([2]Calc1!$N$47:$HH$47,”&lt;&gt;”&amp;””))</definedName>
    <definedName name="CompareProspectiveIncomeOutputACTC" localSheetId="1">[1]Calc1!$N$139:$HF$139</definedName>
    <definedName name="CompareProspectiveIncomeOutputACTC">[2]Calc1!$N$140:$HF$140</definedName>
    <definedName name="CompareProspectiveIncomeOutputChildCareSubsidyFinal" localSheetId="1">[1]Calc1!$N$594:$HF$594</definedName>
    <definedName name="CompareProspectiveIncomeOutputChildCareSubsidyFinal">[2]Calc1!$N$588:$HF$588</definedName>
    <definedName name="CompareProspectiveIncomeOutputCHIP" localSheetId="1">[1]Calc1!$N$421:$HF$421</definedName>
    <definedName name="CompareProspectiveIncomeOutputCHIP">[2]Calc1!$N$419:$HF$419</definedName>
    <definedName name="CompareProspectiveIncomeOutputComboCashAssistance" localSheetId="1">FPIG!CompareProspectiveIncomeOutputTANF + FPIG!CompareProspectiveIncomeOutputSSI + FPIG!CompareProspectiveIncomeOutputLIHEAP</definedName>
    <definedName name="CompareProspectiveIncomeOutputComboCashAssistance">CompareProspectiveIncomeOutputTANF + CompareProspectiveIncomeOutputSSI + CompareProspectiveIncomeOutputLIHEAP</definedName>
    <definedName name="CompareProspectiveIncomeOutputComboFoodAssistance" localSheetId="1">FPIG!CompareProspectiveIncomeOutputSNAP + FPIG!CompareProspectiveIncomeOutputWIC + FPIG!CompareProspectiveIncomeOutputSubsidizedSchoolMeals</definedName>
    <definedName name="CompareProspectiveIncomeOutputComboFoodAssistance">CompareProspectiveIncomeOutputSNAP + CompareProspectiveIncomeOutputWIC + CompareProspectiveIncomeOutputSubsidizedSchoolMeals</definedName>
    <definedName name="CompareProspectiveIncomeOutputComboMedicalAssistance" localSheetId="1">FPIG!CompareProspectiveIncomeOutputMedicaid + FPIG!CompareProspectiveIncomeOutputCHIP + FPIG!CompareProspectiveIncomeOutputHIXPTC</definedName>
    <definedName name="CompareProspectiveIncomeOutputComboMedicalAssistance">CompareProspectiveIncomeOutputMedicaid + CompareProspectiveIncomeOutputCHIP + CompareProspectiveIncomeOutputHIXPTC</definedName>
    <definedName name="CompareProspectiveIncomeOutputComboNetEarnings" localSheetId="1">FPIG!CompareProspectiveIncomeAdjusted_Gross_Income - FPIG!CompareProspectiveIncomeOutputFICA - FPIG!CompareProspectiveIncomeOutputFedTax - FPIG!CompareProspectiveIncomeOutputStateTax</definedName>
    <definedName name="CompareProspectiveIncomeOutputComboNetEarnings">CompareProspectiveIncomeAdjusted_Gross_Income - CompareProspectiveIncomeOutputFICA - CompareProspectiveIncomeOutputFedTax - CompareProspectiveIncomeOutputStateTax</definedName>
    <definedName name="CompareProspectiveIncomeOutputComboRefundableTaxCredits" localSheetId="1">FPIG!CompareProspectiveIncomeOutputEITC + FPIG!CompareProspectiveIncomeOutputACTC + FPIG!CompareProspectiveIncomeOutputStateEITC</definedName>
    <definedName name="CompareProspectiveIncomeOutputComboRefundableTaxCredits">CompareProspectiveIncomeOutputEITC + CompareProspectiveIncomeOutputACTC + CompareProspectiveIncomeOutputStateEITC</definedName>
    <definedName name="CompareProspectiveIncomeOutputCTC" localSheetId="1">[1]Calc1!$N$107:$HF$107</definedName>
    <definedName name="CompareProspectiveIncomeOutputCTC">[2]Calc1!$N$108:$HF$108</definedName>
    <definedName name="CompareProspectiveIncomeOutputEITC" localSheetId="1">[1]Calc1!$N$121:$HF$121</definedName>
    <definedName name="CompareProspectiveIncomeOutputEITC">[2]Calc1!$N$122:$HF$122</definedName>
    <definedName name="CompareProspectiveIncomeOutputFedTax" localSheetId="1">[1]Calc1!$N$101:$HF$101</definedName>
    <definedName name="CompareProspectiveIncomeOutputFedTax">[2]Calc1!$N$102:$HF$102</definedName>
    <definedName name="CompareProspectiveIncomeOutputFICA" localSheetId="1">[1]Calc1!$N$53:$HF$53</definedName>
    <definedName name="CompareProspectiveIncomeOutputFICA">[2]Calc1!$N$54:$HF$54</definedName>
    <definedName name="CompareProspectiveIncomeOutputHIXPTC" localSheetId="1">[1]Calc1!$N$464:$HF$464</definedName>
    <definedName name="CompareProspectiveIncomeOutputHIXPTC">[2]Calc1!$N$462:$HF$462</definedName>
    <definedName name="CompareProspectiveIncomeOutputInterval" localSheetId="1">[1]Calc1!$N$2:$HF$2</definedName>
    <definedName name="CompareProspectiveIncomeOutputInterval">[2]Calc1!$N$2:$HF$2</definedName>
    <definedName name="CompareProspectiveIncomeOutputLIHEAP" localSheetId="1">[1]Calc1!$N$720:$HF$720</definedName>
    <definedName name="CompareProspectiveIncomeOutputLIHEAP">[2]Calc1!$N$711:$HF$711</definedName>
    <definedName name="CompareProspectiveIncomeOutputMedicaid" localSheetId="1">[1]Calc1!$N$377:$HF$377</definedName>
    <definedName name="CompareProspectiveIncomeOutputMedicaid">[2]Calc1!$N$375:$HF$375</definedName>
    <definedName name="CompareProspectiveIncomeOutputMedicaidAndCHIP" localSheetId="1">FPIG!CompareProspectiveIncomeOutputMedicaid + FPIG!CompareProspectiveIncomeOutputCHIP</definedName>
    <definedName name="CompareProspectiveIncomeOutputMedicaidAndCHIP">CompareProspectiveIncomeOutputMedicaid + CompareProspectiveIncomeOutputCHIP</definedName>
    <definedName name="CompareProspectiveIncomeOutputMomHourlyWage" localSheetId="1">[1]Calc1!$N$9:$HF$9</definedName>
    <definedName name="CompareProspectiveIncomeOutputMomHourlyWage">[2]Calc1!$N$10:$HF$10</definedName>
    <definedName name="CompareProspectiveIncomeOutputMomWeeklyHours" localSheetId="1">[1]Calc1!$N$4:$HF$4</definedName>
    <definedName name="CompareProspectiveIncomeOutputMomWeeklyHours">[2]Calc1!$N$5:$HF$5</definedName>
    <definedName name="CompareProspectiveIncomeOutputSec8Entry" localSheetId="1">[1]Calc1!$N$691:$HF$691</definedName>
    <definedName name="CompareProspectiveIncomeOutputSec8Entry">[2]Calc1!$N$685:$HF$685</definedName>
    <definedName name="CompareProspectiveIncomeOutputSec8Extended" localSheetId="1">[1]Calc1!$N$696:$HF$696</definedName>
    <definedName name="CompareProspectiveIncomeOutputSec8Extended">[2]Calc1!$N$690:$HF$690</definedName>
    <definedName name="CompareProspectiveIncomeOutputSec8Final" localSheetId="1">[1]Calc1!$N$694:$HF$694</definedName>
    <definedName name="CompareProspectiveIncomeOutputSec8Final">[2]Calc1!$N$688:$HF$688</definedName>
    <definedName name="CompareProspectiveIncomeOutputSNAP" localSheetId="1">[1]Calc1!$N$315:$HF$315</definedName>
    <definedName name="CompareProspectiveIncomeOutputSNAP">[2]Calc1!$N$313:$HF$313</definedName>
    <definedName name="CompareProspectiveIncomeOutputSSI" localSheetId="1">[1]Calc1!$N$282:$HF$282</definedName>
    <definedName name="CompareProspectiveIncomeOutputSSI">[2]Calc1!$N$280:$HF$280</definedName>
    <definedName name="CompareProspectiveIncomeOutputStackPlusCashAssistance" localSheetId="1">FPIG!CompareProspectiveIncomeOutputStackPlusRefundableTaxCredits + FPIG!CompareProspectiveIncomeOutputComboCashAssistance</definedName>
    <definedName name="CompareProspectiveIncomeOutputStackPlusCashAssistance">CompareProspectiveIncomeOutputStackPlusRefundableTaxCredits + CompareProspectiveIncomeOutputComboCashAssistance</definedName>
    <definedName name="CompareProspectiveIncomeOutputStackPlusChildCareFinal" localSheetId="1">FPIG!CompareProspectiveIncomeOutputStackPlusMedicalAssistance + FPIG!CompareProspectiveIncomeOutputChildCareSubsidyFinal</definedName>
    <definedName name="CompareProspectiveIncomeOutputStackPlusChildCareFinal">CompareProspectiveIncomeOutputStackPlusMedicalAssistance + CompareProspectiveIncomeOutputChildCareSubsidyFinal</definedName>
    <definedName name="CompareProspectiveIncomeOutputStackPlusFoodAssistance" localSheetId="1">FPIG!CompareProspectiveIncomeOutputStackPlusCashAssistance + FPIG!CompareProspectiveIncomeOutputComboFoodAssistance</definedName>
    <definedName name="CompareProspectiveIncomeOutputStackPlusFoodAssistance">CompareProspectiveIncomeOutputStackPlusCashAssistance + CompareProspectiveIncomeOutputComboFoodAssistance</definedName>
    <definedName name="CompareProspectiveIncomeOutputStackPlusHIXPTC" localSheetId="1">FPIG!CompareProspectiveIncomeOutputStackPlusMedicaidAndCHIP + FPIG!CompareProspectiveIncomeOutputHIXPTC</definedName>
    <definedName name="CompareProspectiveIncomeOutputStackPlusHIXPTC">CompareProspectiveIncomeOutputStackPlusMedicaidAndCHIP + CompareProspectiveIncomeOutputHIXPTC</definedName>
    <definedName name="CompareProspectiveIncomeOutputStackPlusMedicaidAndCHIP" localSheetId="1">FPIG!CompareProspectiveIncomeOutputStackPlusFoodAssistance + FPIG!CompareProspectiveIncomeOutputMedicaid + FPIG!CompareProspectiveIncomeOutputCHIP</definedName>
    <definedName name="CompareProspectiveIncomeOutputStackPlusMedicaidAndCHIP">CompareProspectiveIncomeOutputStackPlusFoodAssistance + CompareProspectiveIncomeOutputMedicaid + CompareProspectiveIncomeOutputCHIP</definedName>
    <definedName name="CompareProspectiveIncomeOutputStackPlusMedicalAssistance" localSheetId="1">FPIG!CompareProspectiveIncomeOutputStackPlusFoodAssistance + FPIG!CompareProspectiveIncomeOutputComboMedicalAssistance</definedName>
    <definedName name="CompareProspectiveIncomeOutputStackPlusMedicalAssistance">CompareProspectiveIncomeOutputStackPlusFoodAssistance + CompareProspectiveIncomeOutputComboMedicalAssistance</definedName>
    <definedName name="CompareProspectiveIncomeOutputStackPlusRefundableTaxCredits" localSheetId="1">FPIG!CompareProspectiveIncomeOutputComboNetEarnings+FPIG!CompareProspectiveIncomeOutputComboRefundableTaxCredits</definedName>
    <definedName name="CompareProspectiveIncomeOutputStackPlusRefundableTaxCredits">CompareProspectiveIncomeOutputComboNetEarnings+CompareProspectiveIncomeOutputComboRefundableTaxCredits</definedName>
    <definedName name="CompareProspectiveIncomeOutputStackPlusSec8Entry" localSheetId="1">FPIG!CompareProspectiveIncomeOutputStackPlusChildCareFinal + FPIG!CompareProspectiveIncomeOutputSec8Entry</definedName>
    <definedName name="CompareProspectiveIncomeOutputStackPlusSec8Entry">CompareProspectiveIncomeOutputStackPlusChildCareFinal + CompareProspectiveIncomeOutputSec8Entry</definedName>
    <definedName name="CompareProspectiveIncomeOutputStackPlusSec8Entry_Graph" localSheetId="1">FPIG!CompareProspectiveIncomeOutputStackPlusChildCareFinal + FPIG!CompareProspectiveIncomeOutputSec8Final</definedName>
    <definedName name="CompareProspectiveIncomeOutputStackPlusSec8Entry_Graph">CompareProspectiveIncomeOutputStackPlusChildCareFinal + CompareProspectiveIncomeOutputSec8Final</definedName>
    <definedName name="CompareProspectiveIncomeOutputStackPlusSec8Extended" localSheetId="1">FPIG!CompareProspectiveIncomeOutputStackPlusSec8Entry + FPIG!CompareProspectiveIncomeOutputSec8Extended</definedName>
    <definedName name="CompareProspectiveIncomeOutputStackPlusSec8Extended">CompareProspectiveIncomeOutputStackPlusSec8Entry + CompareProspectiveIncomeOutputSec8Extended</definedName>
    <definedName name="CompareProspectiveIncomeOutputStateEITC" localSheetId="1">[1]Calc1!$N$221:$HF$221</definedName>
    <definedName name="CompareProspectiveIncomeOutputStateEITC">[2]Calc1!$N$221:$HF$221</definedName>
    <definedName name="CompareProspectiveIncomeOutputStateTax" localSheetId="1">[1]Calc1!$N$206:$HF$206</definedName>
    <definedName name="CompareProspectiveIncomeOutputStateTax">[2]Calc1!$N$206:$HF$206</definedName>
    <definedName name="CompareProspectiveIncomeOutputSubsidizedSchoolMeals" localSheetId="1">[1]Calc1!$N$348:$HF$348</definedName>
    <definedName name="CompareProspectiveIncomeOutputSubsidizedSchoolMeals">[2]Calc1!$N$346:$HF$346</definedName>
    <definedName name="CompareProspectiveIncomeOutputTANF" localSheetId="1">[1]Calc1!$N$269:$HF$269</definedName>
    <definedName name="CompareProspectiveIncomeOutputTANF">[2]Calc1!$N$267:$HF$267</definedName>
    <definedName name="CompareProspectiveIncomeOutputWIC" localSheetId="1">[1]Calc1!$N$337:$HF$337</definedName>
    <definedName name="CompareProspectiveIncomeOutputWIC">[2]Calc1!$N$335:$HF$335</definedName>
    <definedName name="CompareSouthCarolinaAdjusted_Gross_Income" localSheetId="1">[1]Calc1!$N$65:INDEX([1]Calc1!$N$65:$HH$65,COUNTIF([1]Calc1!$N$65:$HH$65,”&lt;&gt;”&amp;””))</definedName>
    <definedName name="CompareSouthCarolinaAdjusted_Gross_Income">[2]Calc1!$N$66:INDEX([2]Calc1!$N$66:$HH$66,COUNTIF([2]Calc1!$N$66:$HH$66,”&lt;&gt;”&amp;””))</definedName>
    <definedName name="CompareSouthCarolinaHousehold_Annual_Earned_Income" localSheetId="1">[1]Calc1!$N$45:INDEX([1]Calc1!$N$45:$HH$45,COUNTIF([1]Calc1!$N$45:$HH$45,”&lt;&gt;”&amp;””))</definedName>
    <definedName name="CompareSouthCarolinaHousehold_Annual_Earned_Income">[2]Calc1!$N$46:INDEX([2]Calc1!$N$46:$HH$46,COUNTIF([2]Calc1!$N$46:$HH$46,”&lt;&gt;”&amp;””))</definedName>
    <definedName name="CompareSouthCarolinaHousehold_Annual_Income" localSheetId="1">[1]Calc1!$N$49:INDEX([1]Calc1!$N$49:$HH$49,COUNTIF([1]Calc1!$N$49:$HH$49,”&lt;&gt;”&amp;””))</definedName>
    <definedName name="CompareSouthCarolinaHousehold_Annual_Income">[2]Calc1!$N$50:INDEX([2]Calc1!$N$50:$HH$50,COUNTIF([2]Calc1!$N$50:$HH$50,”&lt;&gt;”&amp;””))</definedName>
    <definedName name="CompareSouthCarolinaHousehold_Annual_Unearned_Income" localSheetId="1">[1]Calc1!$N$47:INDEX([1]Calc1!$N$47:$HH$47,COUNTIF([1]Calc1!$N$47:$HH$47,”&lt;&gt;”&amp;””))</definedName>
    <definedName name="CompareSouthCarolinaHousehold_Annual_Unearned_Income">[2]Calc1!$N$48:INDEX([2]Calc1!$N$48:$HH$48,COUNTIF([2]Calc1!$N$48:$HH$48,”&lt;&gt;”&amp;””))</definedName>
    <definedName name="CompareSouthCarolinaHousehold_Monthly_Earned_Income" localSheetId="1">[1]Calc1!$N$44:INDEX([1]Calc1!$N$44:$HH$44,COUNTIF([1]Calc1!$N$44:$HH$44,”&lt;&gt;”&amp;””))</definedName>
    <definedName name="CompareSouthCarolinaHousehold_Monthly_Earned_Income">[2]Calc1!$N$45:INDEX([2]Calc1!$N$45:$HH$45,COUNTIF([2]Calc1!$N$45:$HH$45,”&lt;&gt;”&amp;””))</definedName>
    <definedName name="CompareSouthCarolinaHousehold_Monthly_Income" localSheetId="1">[1]Calc1!$N$48:INDEX([1]Calc1!$N$48:$HH$48,COUNTIF([1]Calc1!$N$48:$HH$48,”&lt;&gt;”&amp;””))</definedName>
    <definedName name="CompareSouthCarolinaHousehold_Monthly_Income">[2]Calc1!$N$49:INDEX([2]Calc1!$N$49:$HH$49,COUNTIF([2]Calc1!$N$49:$HH$49,”&lt;&gt;”&amp;””))</definedName>
    <definedName name="CompareSouthCarolinaHousehold_Monthly_Unearned_Income" localSheetId="1">[1]Calc1!$N$46:INDEX([1]Calc1!$N$46:$HH$46,COUNTIF([1]Calc1!$N$46:$HH$46,”&lt;&gt;”&amp;””))</definedName>
    <definedName name="CompareSouthCarolinaHousehold_Monthly_Unearned_Income">[2]Calc1!$N$47:INDEX([2]Calc1!$N$47:$HH$47,COUNTIF([2]Calc1!$N$47:$HH$47,”&lt;&gt;”&amp;””))</definedName>
    <definedName name="CompareSouthCarolinaOutputACTC" localSheetId="1">[1]Calc1!$N$139:$HF$139</definedName>
    <definedName name="CompareSouthCarolinaOutputACTC">[2]Calc1!$N$140:$HF$140</definedName>
    <definedName name="CompareSouthCarolinaOutputChildCareSubsidyFinal" localSheetId="1">[1]Calc1!$N$594:$HF$594</definedName>
    <definedName name="CompareSouthCarolinaOutputChildCareSubsidyFinal">[2]Calc1!$N$588:$HF$588</definedName>
    <definedName name="CompareSouthCarolinaOutputCHIP" localSheetId="1">[1]Calc1!$N$421:$HF$421</definedName>
    <definedName name="CompareSouthCarolinaOutputCHIP">[2]Calc1!$N$419:$HF$419</definedName>
    <definedName name="CompareSouthCarolinaOutputComboCashAssistance" localSheetId="1">FPIG!CompareSouthCarolinaOutputTANF + FPIG!CompareSouthCarolinaOutputSSI + FPIG!CompareSouthCarolinaOutputLIHEAP</definedName>
    <definedName name="CompareSouthCarolinaOutputComboCashAssistance">CompareSouthCarolinaOutputTANF + CompareSouthCarolinaOutputSSI + CompareSouthCarolinaOutputLIHEAP</definedName>
    <definedName name="CompareSouthCarolinaOutputComboFoodAssistance" localSheetId="1">FPIG!CompareSouthCarolinaOutputSNAP + FPIG!CompareSouthCarolinaOutputWIC + FPIG!CompareSouthCarolinaOutputSubsidizedSchoolMeals</definedName>
    <definedName name="CompareSouthCarolinaOutputComboFoodAssistance">CompareSouthCarolinaOutputSNAP + CompareSouthCarolinaOutputWIC + CompareSouthCarolinaOutputSubsidizedSchoolMeals</definedName>
    <definedName name="CompareSouthCarolinaOutputComboMedicalAssistance" localSheetId="1">FPIG!CompareSouthCarolinaOutputMedicaid + FPIG!CompareSouthCarolinaOutputCHIP + FPIG!CompareSouthCarolinaOutputHIXPTC</definedName>
    <definedName name="CompareSouthCarolinaOutputComboMedicalAssistance">CompareSouthCarolinaOutputMedicaid + CompareSouthCarolinaOutputCHIP + CompareSouthCarolinaOutputHIXPTC</definedName>
    <definedName name="CompareSouthCarolinaOutputComboNetEarnings" localSheetId="1">FPIG!CompareSouthCarolinaAdjusted_Gross_Income - FPIG!CompareSouthCarolinaOutputFICA - FPIG!CompareSouthCarolinaOutputFedTax - FPIG!CompareSouthCarolinaOutputStateTax</definedName>
    <definedName name="CompareSouthCarolinaOutputComboNetEarnings">CompareSouthCarolinaAdjusted_Gross_Income - CompareSouthCarolinaOutputFICA - CompareSouthCarolinaOutputFedTax - CompareSouthCarolinaOutputStateTax</definedName>
    <definedName name="CompareSouthCarolinaOutputComboRefundableTaxCredits" localSheetId="1">FPIG!CompareSouthCarolinaOutputEITC + FPIG!CompareSouthCarolinaOutputACTC + FPIG!CompareSouthCarolinaOutputStateEITC + FPIG!CompareSouthCarolinaOutputCTC</definedName>
    <definedName name="CompareSouthCarolinaOutputComboRefundableTaxCredits">CompareSouthCarolinaOutputEITC + CompareSouthCarolinaOutputACTC + CompareSouthCarolinaOutputStateEITC + CompareSouthCarolinaOutputCTC</definedName>
    <definedName name="CompareSouthCarolinaOutputCTC" localSheetId="1">[1]Calc1!$N$107:$HF$107</definedName>
    <definedName name="CompareSouthCarolinaOutputCTC">[2]Calc1!$N$108:$HF$108</definedName>
    <definedName name="CompareSouthCarolinaOutputEITC" localSheetId="1">[1]Calc1!$N$121:$HF$121</definedName>
    <definedName name="CompareSouthCarolinaOutputEITC">[2]Calc1!$N$122:$HF$122</definedName>
    <definedName name="CompareSouthCarolinaOutputFedTax" localSheetId="1">[1]Calc1!$N$101:$HF$101</definedName>
    <definedName name="CompareSouthCarolinaOutputFedTax">[2]Calc1!$N$102:$HF$102</definedName>
    <definedName name="CompareSouthCarolinaOutputFICA" localSheetId="1">[1]Calc1!$N$53:$HF$53</definedName>
    <definedName name="CompareSouthCarolinaOutputFICA">[2]Calc1!$N$54:$HF$54</definedName>
    <definedName name="CompareSouthCarolinaOutputHIXPTC" localSheetId="1">[1]Calc1!$N$464:$HF$464</definedName>
    <definedName name="CompareSouthCarolinaOutputHIXPTC">[2]Calc1!$N$462:$HF$462</definedName>
    <definedName name="CompareSouthCarolinaOutputInterval" localSheetId="1">[1]Calc1!$N$2:$HF$2</definedName>
    <definedName name="CompareSouthCarolinaOutputInterval">[2]Calc1!$N$2:$HF$2</definedName>
    <definedName name="CompareSouthCarolinaOutputLIHEAP" localSheetId="1">[1]Calc1!$N$720:$HF$720</definedName>
    <definedName name="CompareSouthCarolinaOutputLIHEAP">[2]Calc1!$N$711:$HF$711</definedName>
    <definedName name="CompareSouthCarolinaOutputMedicaid" localSheetId="1">[1]Calc1!$N$377:$HF$377</definedName>
    <definedName name="CompareSouthCarolinaOutputMedicaid">[2]Calc1!$N$375:$HF$375</definedName>
    <definedName name="CompareSouthCarolinaOutputMedicaidAndCHIP" localSheetId="1">FPIG!CompareSouthCarolinaOutputMedicaid + FPIG!CompareSouthCarolinaOutputCHIP</definedName>
    <definedName name="CompareSouthCarolinaOutputMedicaidAndCHIP">CompareSouthCarolinaOutputMedicaid + CompareSouthCarolinaOutputCHIP</definedName>
    <definedName name="CompareSouthCarolinaOutputMomHourlyWage" localSheetId="1">[1]Calc1!$N$9:$HF$9</definedName>
    <definedName name="CompareSouthCarolinaOutputMomHourlyWage">[2]Calc1!$N$10:$HF$10</definedName>
    <definedName name="CompareSouthCarolinaOutputMomWeeklyHours" localSheetId="1">[1]Calc1!$N$4:$HF$4</definedName>
    <definedName name="CompareSouthCarolinaOutputMomWeeklyHours">[2]Calc1!$N$5:$HF$5</definedName>
    <definedName name="CompareSouthCarolinaOutputSec8Entry" localSheetId="1">[1]Calc1!$N$691:$HF$691</definedName>
    <definedName name="CompareSouthCarolinaOutputSec8Entry">[2]Calc1!$N$685:$HF$685</definedName>
    <definedName name="CompareSouthCarolinaOutputSec8Extended" localSheetId="1">[1]Calc1!$N$696:$HF$696</definedName>
    <definedName name="CompareSouthCarolinaOutputSec8Extended">[2]Calc1!$N$690:$HF$690</definedName>
    <definedName name="CompareSouthCarolinaOutputSec8Final" localSheetId="1">[1]Calc1!$N$694:$HF$694</definedName>
    <definedName name="CompareSouthCarolinaOutputSec8Final">[2]Calc1!$N$688:$HF$688</definedName>
    <definedName name="CompareSouthCarolinaOutputSNAP" localSheetId="1">[1]Calc1!$N$315:$HF$315</definedName>
    <definedName name="CompareSouthCarolinaOutputSNAP">[2]Calc1!$N$313:$HF$313</definedName>
    <definedName name="CompareSouthCarolinaOutputSSI" localSheetId="1">[1]Calc1!$N$282:$HF$282</definedName>
    <definedName name="CompareSouthCarolinaOutputSSI">[2]Calc1!$N$280:$HF$280</definedName>
    <definedName name="CompareSouthCarolinaOutputStackPlusCashAssistance" localSheetId="1">FPIG!CompareSouthCarolinaOutputStackPlusRefundableTaxCredits + FPIG!CompareSouthCarolinaOutputComboCashAssistance</definedName>
    <definedName name="CompareSouthCarolinaOutputStackPlusCashAssistance">CompareSouthCarolinaOutputStackPlusRefundableTaxCredits + CompareSouthCarolinaOutputComboCashAssistance</definedName>
    <definedName name="CompareSouthCarolinaOutputStackPlusChildCareFinal" localSheetId="1">FPIG!CompareSouthCarolinaOutputStackPlusMedicalAssistance + FPIG!CompareSouthCarolinaOutputChildCareSubsidyFinal</definedName>
    <definedName name="CompareSouthCarolinaOutputStackPlusChildCareFinal">CompareSouthCarolinaOutputStackPlusMedicalAssistance + CompareSouthCarolinaOutputChildCareSubsidyFinal</definedName>
    <definedName name="CompareSouthCarolinaOutputStackPlusFoodAssistance" localSheetId="1">FPIG!CompareSouthCarolinaOutputStackPlusCashAssistance + FPIG!CompareSouthCarolinaOutputComboFoodAssistance</definedName>
    <definedName name="CompareSouthCarolinaOutputStackPlusFoodAssistance">CompareSouthCarolinaOutputStackPlusCashAssistance + CompareSouthCarolinaOutputComboFoodAssistance</definedName>
    <definedName name="CompareSouthCarolinaOutputStackPlusHIXPTC" localSheetId="1">FPIG!CompareSouthCarolinaOutputStackPlusMedicaidAndCHIP + FPIG!CompareSouthCarolinaOutputHIXPTC</definedName>
    <definedName name="CompareSouthCarolinaOutputStackPlusHIXPTC">CompareSouthCarolinaOutputStackPlusMedicaidAndCHIP + CompareSouthCarolinaOutputHIXPTC</definedName>
    <definedName name="CompareSouthCarolinaOutputStackPlusMedicaidAndCHIP" localSheetId="1">FPIG!CompareSouthCarolinaOutputStackPlusFoodAssistance + FPIG!CompareSouthCarolinaOutputMedicaid + FPIG!CompareSouthCarolinaOutputCHIP</definedName>
    <definedName name="CompareSouthCarolinaOutputStackPlusMedicaidAndCHIP">CompareSouthCarolinaOutputStackPlusFoodAssistance + CompareSouthCarolinaOutputMedicaid + CompareSouthCarolinaOutputCHIP</definedName>
    <definedName name="CompareSouthCarolinaOutputStackPlusMedicalAssistance" localSheetId="1">FPIG!CompareSouthCarolinaOutputStackPlusFoodAssistance + FPIG!CompareSouthCarolinaOutputComboMedicalAssistance</definedName>
    <definedName name="CompareSouthCarolinaOutputStackPlusMedicalAssistance">CompareSouthCarolinaOutputStackPlusFoodAssistance + CompareSouthCarolinaOutputComboMedicalAssistance</definedName>
    <definedName name="CompareSouthCarolinaOutputStackPlusRefundableTaxCredits" localSheetId="1">FPIG!CompareSouthCarolinaOutputComboNetEarnings+FPIG!CompareSouthCarolinaOutputComboRefundableTaxCredits</definedName>
    <definedName name="CompareSouthCarolinaOutputStackPlusRefundableTaxCredits">CompareSouthCarolinaOutputComboNetEarnings+CompareSouthCarolinaOutputComboRefundableTaxCredits</definedName>
    <definedName name="CompareSouthCarolinaOutputStackPlusSec8Entry" localSheetId="1">FPIG!CompareSouthCarolinaOutputStackPlusChildCareFinal + FPIG!CompareSouthCarolinaOutputSec8Entry</definedName>
    <definedName name="CompareSouthCarolinaOutputStackPlusSec8Entry">CompareSouthCarolinaOutputStackPlusChildCareFinal + CompareSouthCarolinaOutputSec8Entry</definedName>
    <definedName name="CompareSouthCarolinaOutputStackPlusSec8Entry_Graph" localSheetId="1">FPIG!CompareSouthCarolinaOutputStackPlusChildCareFinal + FPIG!CompareSouthCarolinaOutputSec8Final</definedName>
    <definedName name="CompareSouthCarolinaOutputStackPlusSec8Entry_Graph">CompareSouthCarolinaOutputStackPlusChildCareFinal + CompareSouthCarolinaOutputSec8Final</definedName>
    <definedName name="CompareSouthCarolinaOutputStackPlusSec8Extended" localSheetId="1">FPIG!CompareSouthCarolinaOutputStackPlusSec8Entry + FPIG!CompareSouthCarolinaOutputSec8Extended</definedName>
    <definedName name="CompareSouthCarolinaOutputStackPlusSec8Extended">CompareSouthCarolinaOutputStackPlusSec8Entry + CompareSouthCarolinaOutputSec8Extended</definedName>
    <definedName name="CompareSouthCarolinaOutputStateEITC" localSheetId="1">[1]Calc1!$N$221:$HF$221</definedName>
    <definedName name="CompareSouthCarolinaOutputStateEITC">[2]Calc1!$N$221:$HF$221</definedName>
    <definedName name="CompareSouthCarolinaOutputStateTax" localSheetId="1">[1]Calc1!$N$206:$HF$206</definedName>
    <definedName name="CompareSouthCarolinaOutputStateTax">[2]Calc1!$N$206:$HF$206</definedName>
    <definedName name="CompareSouthCarolinaOutputSubsidizedSchoolMeals" localSheetId="1">[1]Calc1!$N$348:$HF$348</definedName>
    <definedName name="CompareSouthCarolinaOutputSubsidizedSchoolMeals">[2]Calc1!$N$346:$HF$346</definedName>
    <definedName name="CompareSouthCarolinaOutputTANF" localSheetId="1">[1]Calc1!$N$269:$HF$269</definedName>
    <definedName name="CompareSouthCarolinaOutputTANF">[2]Calc1!$N$267:$HF$267</definedName>
    <definedName name="CompareSouthCarolinaOutputWIC" localSheetId="1">[1]Calc1!$N$337:$HF$337</definedName>
    <definedName name="CompareSouthCarolinaOutputWIC">[2]Calc1!$N$335:$HF$335</definedName>
    <definedName name="CompareTennesseeAdjusted_Gross_Income" localSheetId="1">[1]Calc1!$N$65:INDEX([1]Calc1!$N$65:$HH$65,COUNTIF([1]Calc1!$N$65:$HH$65,”&lt;&gt;”&amp;””))</definedName>
    <definedName name="CompareTennesseeAdjusted_Gross_Income">[2]Calc1!$N$66:INDEX([2]Calc1!$N$66:$HH$66,COUNTIF([2]Calc1!$N$66:$HH$66,”&lt;&gt;”&amp;””))</definedName>
    <definedName name="CompareTennesseeHousehold_Annual_Earned_Income" localSheetId="1">[1]Calc1!$N$45:INDEX([1]Calc1!$N$45:$HH$45,COUNTIF([1]Calc1!$N$45:$HH$45,”&lt;&gt;”&amp;””))</definedName>
    <definedName name="CompareTennesseeHousehold_Annual_Earned_Income">[2]Calc1!$N$46:INDEX([2]Calc1!$N$46:$HH$46,COUNTIF([2]Calc1!$N$46:$HH$46,”&lt;&gt;”&amp;””))</definedName>
    <definedName name="CompareTennesseeHousehold_Annual_Income" localSheetId="1">[1]Calc1!$N$49:INDEX([1]Calc1!$N$49:$HH$49,COUNTIF([1]Calc1!$N$49:$HH$49,”&lt;&gt;”&amp;””))</definedName>
    <definedName name="CompareTennesseeHousehold_Annual_Income">[2]Calc1!$N$50:INDEX([2]Calc1!$N$50:$HH$50,COUNTIF([2]Calc1!$N$50:$HH$50,”&lt;&gt;”&amp;””))</definedName>
    <definedName name="CompareTennesseeHousehold_Annual_Unearned_Income" localSheetId="1">[1]Calc1!$N$47:INDEX([1]Calc1!$N$47:$HH$47,COUNTIF([1]Calc1!$N$47:$HH$47,”&lt;&gt;”&amp;””))</definedName>
    <definedName name="CompareTennesseeHousehold_Annual_Unearned_Income">[2]Calc1!$N$48:INDEX([2]Calc1!$N$48:$HH$48,COUNTIF([2]Calc1!$N$48:$HH$48,”&lt;&gt;”&amp;””))</definedName>
    <definedName name="CompareTennesseeHousehold_Monthly_Earned_Income" localSheetId="1">[1]Calc1!$N$44:INDEX([1]Calc1!$N$44:$HH$44,COUNTIF([1]Calc1!$N$44:$HH$44,”&lt;&gt;”&amp;””))</definedName>
    <definedName name="CompareTennesseeHousehold_Monthly_Earned_Income">[2]Calc1!$N$45:INDEX([2]Calc1!$N$45:$HH$45,COUNTIF([2]Calc1!$N$45:$HH$45,”&lt;&gt;”&amp;””))</definedName>
    <definedName name="CompareTennesseeHousehold_Monthly_Income" localSheetId="1">[1]Calc1!$N$48:INDEX([1]Calc1!$N$48:$HH$48,COUNTIF([1]Calc1!$N$48:$HH$48,”&lt;&gt;”&amp;””))</definedName>
    <definedName name="CompareTennesseeHousehold_Monthly_Income">[2]Calc1!$N$49:INDEX([2]Calc1!$N$49:$HH$49,COUNTIF([2]Calc1!$N$49:$HH$49,”&lt;&gt;”&amp;””))</definedName>
    <definedName name="CompareTennesseeHousehold_Monthly_Unearned_Income" localSheetId="1">[1]Calc1!$N$46:INDEX([1]Calc1!$N$46:$HH$46,COUNTIF([1]Calc1!$N$46:$HH$46,”&lt;&gt;”&amp;””))</definedName>
    <definedName name="CompareTennesseeHousehold_Monthly_Unearned_Income">[2]Calc1!$N$47:INDEX([2]Calc1!$N$47:$HH$47,COUNTIF([2]Calc1!$N$47:$HH$47,”&lt;&gt;”&amp;””))</definedName>
    <definedName name="CompareTennesseeOutputACTC" localSheetId="1">[1]Calc1!$N$139:$HF$139</definedName>
    <definedName name="CompareTennesseeOutputACTC">[2]Calc1!$N$140:$HF$140</definedName>
    <definedName name="CompareTennesseeOutputChildCareSubsidyFinal" localSheetId="1">[1]Calc1!$N$594:$HF$594</definedName>
    <definedName name="CompareTennesseeOutputChildCareSubsidyFinal">[2]Calc1!$N$588:$HF$588</definedName>
    <definedName name="CompareTennesseeOutputCHIP" localSheetId="1">[1]Calc1!$N$421:$HF$421</definedName>
    <definedName name="CompareTennesseeOutputCHIP">[2]Calc1!$N$419:$HF$419</definedName>
    <definedName name="CompareTennesseeOutputComboCashAssistance" localSheetId="1">FPIG!CompareTennesseeOutputTANF + FPIG!CompareTennesseeOutputSSI + FPIG!CompareTennesseeOutputLIHEAP</definedName>
    <definedName name="CompareTennesseeOutputComboCashAssistance">CompareTennesseeOutputTANF + CompareTennesseeOutputSSI + CompareTennesseeOutputLIHEAP</definedName>
    <definedName name="CompareTennesseeOutputComboFoodAssistance" localSheetId="1">FPIG!CompareTennesseeOutputSNAP + FPIG!CompareTennesseeOutputWIC + FPIG!CompareTennesseeOutputSubsidizedSchoolMeals</definedName>
    <definedName name="CompareTennesseeOutputComboFoodAssistance">CompareTennesseeOutputSNAP + CompareTennesseeOutputWIC + CompareTennesseeOutputSubsidizedSchoolMeals</definedName>
    <definedName name="CompareTennesseeOutputComboMedicalAssistance" localSheetId="1">FPIG!CompareTennesseeOutputMedicaid + FPIG!CompareTennesseeOutputCHIP + FPIG!CompareTennesseeOutputHIXPTC</definedName>
    <definedName name="CompareTennesseeOutputComboMedicalAssistance">CompareTennesseeOutputMedicaid + CompareTennesseeOutputCHIP + CompareTennesseeOutputHIXPTC</definedName>
    <definedName name="CompareTennesseeOutputComboNetEarnings" localSheetId="1">FPIG!CompareTennesseeAdjusted_Gross_Income - FPIG!CompareTennesseeOutputFICA - FPIG!CompareTennesseeOutputFedTax - FPIG!CompareTennesseeOutputStateTax</definedName>
    <definedName name="CompareTennesseeOutputComboNetEarnings">CompareTennesseeAdjusted_Gross_Income - CompareTennesseeOutputFICA - CompareTennesseeOutputFedTax - CompareTennesseeOutputStateTax</definedName>
    <definedName name="CompareTennesseeOutputComboRefundableTaxCredits" localSheetId="1">FPIG!CompareTennesseeOutputEITC + FPIG!CompareTennesseeOutputACTC + FPIG!CompareTennesseeOutputStateEITC + FPIG!CompareTennesseeOutputCTC</definedName>
    <definedName name="CompareTennesseeOutputComboRefundableTaxCredits">CompareTennesseeOutputEITC + CompareTennesseeOutputACTC + CompareTennesseeOutputStateEITC + CompareTennesseeOutputCTC</definedName>
    <definedName name="CompareTennesseeOutputCTC" localSheetId="1">[1]Calc1!$N$107:$HF$107</definedName>
    <definedName name="CompareTennesseeOutputCTC">[2]Calc1!$N$108:$HF$108</definedName>
    <definedName name="CompareTennesseeOutputEITC" localSheetId="1">[1]Calc1!$N$121:$HF$121</definedName>
    <definedName name="CompareTennesseeOutputEITC">[2]Calc1!$N$122:$HF$122</definedName>
    <definedName name="CompareTennesseeOutputFedTax" localSheetId="1">[1]Calc1!$N$101:$HF$101</definedName>
    <definedName name="CompareTennesseeOutputFedTax">[2]Calc1!$N$102:$HF$102</definedName>
    <definedName name="CompareTennesseeOutputFICA" localSheetId="1">[1]Calc1!$N$53:$HF$53</definedName>
    <definedName name="CompareTennesseeOutputFICA">[2]Calc1!$N$54:$HF$54</definedName>
    <definedName name="CompareTennesseeOutputHIXPTC" localSheetId="1">[1]Calc1!$N$464:$HF$464</definedName>
    <definedName name="CompareTennesseeOutputHIXPTC">[2]Calc1!$N$462:$HF$462</definedName>
    <definedName name="CompareTennesseeOutputInterval" localSheetId="1">[1]Calc1!$N$2:$HF$2</definedName>
    <definedName name="CompareTennesseeOutputInterval">[2]Calc1!$N$2:$HF$2</definedName>
    <definedName name="CompareTennesseeOutputLIHEAP" localSheetId="1">[1]Calc1!$N$720:$HF$720</definedName>
    <definedName name="CompareTennesseeOutputLIHEAP">[2]Calc1!$N$711:$HF$711</definedName>
    <definedName name="CompareTennesseeOutputMedicaid" localSheetId="1">[1]Calc1!$N$377:$HF$377</definedName>
    <definedName name="CompareTennesseeOutputMedicaid">[2]Calc1!$N$375:$HF$375</definedName>
    <definedName name="CompareTennesseeOutputMedicaidAndCHIP" localSheetId="1">FPIG!CompareTennesseeOutputMedicaid + FPIG!CompareTennesseeOutputCHIP</definedName>
    <definedName name="CompareTennesseeOutputMedicaidAndCHIP">CompareTennesseeOutputMedicaid + CompareTennesseeOutputCHIP</definedName>
    <definedName name="CompareTennesseeOutputMomHourlyWage" localSheetId="1">[1]Calc1!$N$9:$HF$9</definedName>
    <definedName name="CompareTennesseeOutputMomHourlyWage">[2]Calc1!$N$10:$HF$10</definedName>
    <definedName name="CompareTennesseeOutputMomWeeklyHours" localSheetId="1">[1]Calc1!$N$4:$HF$4</definedName>
    <definedName name="CompareTennesseeOutputMomWeeklyHours">[2]Calc1!$N$5:$HF$5</definedName>
    <definedName name="CompareTennesseeOutputSec8Entry" localSheetId="1">[1]Calc1!$N$691:$HF$691</definedName>
    <definedName name="CompareTennesseeOutputSec8Entry">[2]Calc1!$N$685:$HF$685</definedName>
    <definedName name="CompareTennesseeOutputSec8Extended" localSheetId="1">[1]Calc1!$N$696:$HF$696</definedName>
    <definedName name="CompareTennesseeOutputSec8Extended">[2]Calc1!$N$690:$HF$690</definedName>
    <definedName name="CompareTennesseeOutputSec8Final" localSheetId="1">[1]Calc1!$N$694:$HF$694</definedName>
    <definedName name="CompareTennesseeOutputSec8Final">[2]Calc1!$N$688:$HF$688</definedName>
    <definedName name="CompareTennesseeOutputSNAP" localSheetId="1">[1]Calc1!$N$315:$HF$315</definedName>
    <definedName name="CompareTennesseeOutputSNAP">[2]Calc1!$N$313:$HF$313</definedName>
    <definedName name="CompareTennesseeOutputSSI" localSheetId="1">[1]Calc1!$N$282:$HF$282</definedName>
    <definedName name="CompareTennesseeOutputSSI">[2]Calc1!$N$280:$HF$280</definedName>
    <definedName name="CompareTennesseeOutputStackPlusCashAssistance" localSheetId="1">FPIG!CompareTennesseeOutputStackPlusRefundableTaxCredits + FPIG!CompareTennesseeOutputComboCashAssistance</definedName>
    <definedName name="CompareTennesseeOutputStackPlusCashAssistance">CompareTennesseeOutputStackPlusRefundableTaxCredits + CompareTennesseeOutputComboCashAssistance</definedName>
    <definedName name="CompareTennesseeOutputStackPlusChildCareFinal" localSheetId="1">FPIG!CompareTennesseeOutputStackPlusMedicalAssistance + FPIG!CompareTennesseeOutputChildCareSubsidyFinal</definedName>
    <definedName name="CompareTennesseeOutputStackPlusChildCareFinal">CompareTennesseeOutputStackPlusMedicalAssistance + CompareTennesseeOutputChildCareSubsidyFinal</definedName>
    <definedName name="CompareTennesseeOutputStackPlusFoodAssistance" localSheetId="1">FPIG!CompareTennesseeOutputStackPlusCashAssistance + FPIG!CompareTennesseeOutputComboFoodAssistance</definedName>
    <definedName name="CompareTennesseeOutputStackPlusFoodAssistance">CompareTennesseeOutputStackPlusCashAssistance + CompareTennesseeOutputComboFoodAssistance</definedName>
    <definedName name="CompareTennesseeOutputStackPlusHIXPTC" localSheetId="1">FPIG!CompareTennesseeOutputStackPlusMedicaidAndCHIP + FPIG!CompareTennesseeOutputHIXPTC</definedName>
    <definedName name="CompareTennesseeOutputStackPlusHIXPTC">CompareTennesseeOutputStackPlusMedicaidAndCHIP + CompareTennesseeOutputHIXPTC</definedName>
    <definedName name="CompareTennesseeOutputStackPlusMedicaidAndCHIP" localSheetId="1">FPIG!CompareTennesseeOutputStackPlusFoodAssistance + FPIG!CompareTennesseeOutputMedicaid + FPIG!CompareTennesseeOutputCHIP</definedName>
    <definedName name="CompareTennesseeOutputStackPlusMedicaidAndCHIP">CompareTennesseeOutputStackPlusFoodAssistance + CompareTennesseeOutputMedicaid + CompareTennesseeOutputCHIP</definedName>
    <definedName name="CompareTennesseeOutputStackPlusMedicalAssistance" localSheetId="1">FPIG!CompareTennesseeOutputStackPlusFoodAssistance + FPIG!CompareTennesseeOutputComboMedicalAssistance</definedName>
    <definedName name="CompareTennesseeOutputStackPlusMedicalAssistance">CompareTennesseeOutputStackPlusFoodAssistance + CompareTennesseeOutputComboMedicalAssistance</definedName>
    <definedName name="CompareTennesseeOutputStackPlusRefundableTaxCredits" localSheetId="1">FPIG!CompareTennesseeOutputComboNetEarnings+FPIG!CompareTennesseeOutputComboRefundableTaxCredits</definedName>
    <definedName name="CompareTennesseeOutputStackPlusRefundableTaxCredits">CompareTennesseeOutputComboNetEarnings+CompareTennesseeOutputComboRefundableTaxCredits</definedName>
    <definedName name="CompareTennesseeOutputStackPlusSec8Entry" localSheetId="1">FPIG!CompareTennesseeOutputStackPlusChildCareFinal + FPIG!CompareTennesseeOutputSec8Entry</definedName>
    <definedName name="CompareTennesseeOutputStackPlusSec8Entry">CompareTennesseeOutputStackPlusChildCareFinal + CompareTennesseeOutputSec8Entry</definedName>
    <definedName name="CompareTennesseeOutputStackPlusSec8Entry_Graph" localSheetId="1">FPIG!CompareTennesseeOutputStackPlusChildCareFinal + FPIG!CompareTennesseeOutputSec8Final</definedName>
    <definedName name="CompareTennesseeOutputStackPlusSec8Entry_Graph">CompareTennesseeOutputStackPlusChildCareFinal + CompareTennesseeOutputSec8Final</definedName>
    <definedName name="CompareTennesseeOutputStackPlusSec8Extended" localSheetId="1">FPIG!CompareTennesseeOutputStackPlusSec8Entry + FPIG!CompareTennesseeOutputSec8Extended</definedName>
    <definedName name="CompareTennesseeOutputStackPlusSec8Extended">CompareTennesseeOutputStackPlusSec8Entry + CompareTennesseeOutputSec8Extended</definedName>
    <definedName name="CompareTennesseeOutputStateEITC" localSheetId="1">[1]Calc1!$N$221:$HF$221</definedName>
    <definedName name="CompareTennesseeOutputStateEITC">[2]Calc1!$N$221:$HF$221</definedName>
    <definedName name="CompareTennesseeOutputStateTax" localSheetId="1">[1]Calc1!$N$206:$HF$206</definedName>
    <definedName name="CompareTennesseeOutputStateTax">[2]Calc1!$N$206:$HF$206</definedName>
    <definedName name="CompareTennesseeOutputSubsidizedSchoolMeals" localSheetId="1">[1]Calc1!$N$348:$HF$348</definedName>
    <definedName name="CompareTennesseeOutputSubsidizedSchoolMeals">[2]Calc1!$N$346:$HF$346</definedName>
    <definedName name="CompareTennesseeOutputTANF" localSheetId="1">[1]Calc1!$N$269:$HF$269</definedName>
    <definedName name="CompareTennesseeOutputTANF">[2]Calc1!$N$267:$HF$267</definedName>
    <definedName name="CompareTennesseeOutputWIC" localSheetId="1">[1]Calc1!$N$337:$HF$337</definedName>
    <definedName name="CompareTennesseeOutputWIC">[2]Calc1!$N$335:$HF$335</definedName>
    <definedName name="CompareTexasAdjusted_Gross_Income" localSheetId="1">[1]Calc1!$N$65:INDEX([1]Calc1!$N$65:$HH$65,COUNTIF([1]Calc1!$N$65:$HH$65,”&lt;&gt;”&amp;””))</definedName>
    <definedName name="CompareTexasAdjusted_Gross_Income">[2]Calc1!$N$66:INDEX([2]Calc1!$N$66:$HH$66,COUNTIF([2]Calc1!$N$66:$HH$66,”&lt;&gt;”&amp;””))</definedName>
    <definedName name="CompareTexasHousehold_Annual_Earned_Income" localSheetId="1">[1]Calc1!$N$45:INDEX([1]Calc1!$N$45:$HH$45,COUNTIF([1]Calc1!$N$45:$HH$45,”&lt;&gt;”&amp;””))</definedName>
    <definedName name="CompareTexasHousehold_Annual_Earned_Income">[2]Calc1!$N$46:INDEX([2]Calc1!$N$46:$HH$46,COUNTIF([2]Calc1!$N$46:$HH$46,”&lt;&gt;”&amp;””))</definedName>
    <definedName name="CompareTexasHousehold_Annual_Income" localSheetId="1">[1]Calc1!$N$49:INDEX([1]Calc1!$N$49:$HH$49,COUNTIF([1]Calc1!$N$49:$HH$49,”&lt;&gt;”&amp;””))</definedName>
    <definedName name="CompareTexasHousehold_Annual_Income">[2]Calc1!$N$50:INDEX([2]Calc1!$N$50:$HH$50,COUNTIF([2]Calc1!$N$50:$HH$50,”&lt;&gt;”&amp;””))</definedName>
    <definedName name="CompareTexasHousehold_Annual_Unearned_Income" localSheetId="1">[1]Calc1!$N$47:INDEX([1]Calc1!$N$47:$HH$47,COUNTIF([1]Calc1!$N$47:$HH$47,”&lt;&gt;”&amp;””))</definedName>
    <definedName name="CompareTexasHousehold_Annual_Unearned_Income">[2]Calc1!$N$48:INDEX([2]Calc1!$N$48:$HH$48,COUNTIF([2]Calc1!$N$48:$HH$48,”&lt;&gt;”&amp;””))</definedName>
    <definedName name="CompareTexasHousehold_Monthly_Earned_Income" localSheetId="1">[1]Calc1!$N$44:INDEX([1]Calc1!$N$44:$HH$44,COUNTIF([1]Calc1!$N$44:$HH$44,”&lt;&gt;”&amp;””))</definedName>
    <definedName name="CompareTexasHousehold_Monthly_Earned_Income">[2]Calc1!$N$45:INDEX([2]Calc1!$N$45:$HH$45,COUNTIF([2]Calc1!$N$45:$HH$45,”&lt;&gt;”&amp;””))</definedName>
    <definedName name="CompareTexasHousehold_Monthly_Income" localSheetId="1">[1]Calc1!$N$48:INDEX([1]Calc1!$N$48:$HH$48,COUNTIF([1]Calc1!$N$48:$HH$48,”&lt;&gt;”&amp;””))</definedName>
    <definedName name="CompareTexasHousehold_Monthly_Income">[2]Calc1!$N$49:INDEX([2]Calc1!$N$49:$HH$49,COUNTIF([2]Calc1!$N$49:$HH$49,”&lt;&gt;”&amp;””))</definedName>
    <definedName name="CompareTexasHousehold_Monthly_Unearned_Income" localSheetId="1">[1]Calc1!$N$46:INDEX([1]Calc1!$N$46:$HH$46,COUNTIF([1]Calc1!$N$46:$HH$46,”&lt;&gt;”&amp;””))</definedName>
    <definedName name="CompareTexasHousehold_Monthly_Unearned_Income">[2]Calc1!$N$47:INDEX([2]Calc1!$N$47:$HH$47,COUNTIF([2]Calc1!$N$47:$HH$47,”&lt;&gt;”&amp;””))</definedName>
    <definedName name="CompareTexasOutputACTC" localSheetId="1">[1]Calc1!$N$139:$HF$139</definedName>
    <definedName name="CompareTexasOutputACTC">[2]Calc1!$N$140:$HF$140</definedName>
    <definedName name="CompareTexasOutputChildCareSubsidyFinal" localSheetId="1">[1]Calc1!$N$594:$HF$594</definedName>
    <definedName name="CompareTexasOutputChildCareSubsidyFinal">[2]Calc1!$N$588:$HF$588</definedName>
    <definedName name="CompareTexasOutputCHIP" localSheetId="1">[1]Calc1!$N$421:$HF$421</definedName>
    <definedName name="CompareTexasOutputCHIP">[2]Calc1!$N$419:$HF$419</definedName>
    <definedName name="CompareTexasOutputComboCashAssistance" localSheetId="1">FPIG!CompareTexasOutputTANF + FPIG!CompareTexasOutputSSI + FPIG!CompareTexasOutputLIHEAP</definedName>
    <definedName name="CompareTexasOutputComboCashAssistance">CompareTexasOutputTANF + CompareTexasOutputSSI + CompareTexasOutputLIHEAP</definedName>
    <definedName name="CompareTexasOutputComboFoodAssistance" localSheetId="1">FPIG!CompareTexasOutputSNAP + FPIG!CompareTexasOutputWIC + FPIG!CompareTexasOutputSubsidizedSchoolMeals</definedName>
    <definedName name="CompareTexasOutputComboFoodAssistance">CompareTexasOutputSNAP + CompareTexasOutputWIC + CompareTexasOutputSubsidizedSchoolMeals</definedName>
    <definedName name="CompareTexasOutputComboMedicalAssistance" localSheetId="1">FPIG!CompareTexasOutputMedicaid + FPIG!CompareTexasOutputCHIP + FPIG!CompareTexasOutputHIXPTC</definedName>
    <definedName name="CompareTexasOutputComboMedicalAssistance">CompareTexasOutputMedicaid + CompareTexasOutputCHIP + CompareTexasOutputHIXPTC</definedName>
    <definedName name="CompareTexasOutputComboNetEarnings" localSheetId="1">FPIG!CompareTexasAdjusted_Gross_Income - FPIG!CompareTexasOutputFICA - FPIG!CompareTexasOutputFedTax - FPIG!CompareTexasOutputStateTax</definedName>
    <definedName name="CompareTexasOutputComboNetEarnings">CompareTexasAdjusted_Gross_Income - CompareTexasOutputFICA - CompareTexasOutputFedTax - CompareTexasOutputStateTax</definedName>
    <definedName name="CompareTexasOutputComboRefundableTaxCredits" localSheetId="1">FPIG!CompareTexasOutputEITC + FPIG!CompareTexasOutputACTC + FPIG!CompareTexasOutputStateEITC + FPIG!CompareTexasOutputCTC</definedName>
    <definedName name="CompareTexasOutputComboRefundableTaxCredits">CompareTexasOutputEITC + CompareTexasOutputACTC + CompareTexasOutputStateEITC + CompareTexasOutputCTC</definedName>
    <definedName name="CompareTexasOutputCTC" localSheetId="1">[1]Calc1!$N$107:$HF$107</definedName>
    <definedName name="CompareTexasOutputCTC">[2]Calc1!$N$108:$HF$108</definedName>
    <definedName name="CompareTexasOutputEITC" localSheetId="1">[1]Calc1!$N$121:$HF$121</definedName>
    <definedName name="CompareTexasOutputEITC">[2]Calc1!$N$122:$HF$122</definedName>
    <definedName name="CompareTexasOutputFedTax" localSheetId="1">[1]Calc1!$N$101:$HF$101</definedName>
    <definedName name="CompareTexasOutputFedTax">[2]Calc1!$N$102:$HF$102</definedName>
    <definedName name="CompareTexasOutputFICA" localSheetId="1">[1]Calc1!$N$53:$HF$53</definedName>
    <definedName name="CompareTexasOutputFICA">[2]Calc1!$N$54:$HF$54</definedName>
    <definedName name="CompareTexasOutputHIXPTC" localSheetId="1">[1]Calc1!$N$464:$HF$464</definedName>
    <definedName name="CompareTexasOutputHIXPTC">[2]Calc1!$N$462:$HF$462</definedName>
    <definedName name="CompareTexasOutputInterval" localSheetId="1">[1]Calc1!$N$2:$HF$2</definedName>
    <definedName name="CompareTexasOutputInterval">[2]Calc1!$N$2:$HF$2</definedName>
    <definedName name="CompareTexasOutputLIHEAP" localSheetId="1">[1]Calc1!$N$720:$HF$720</definedName>
    <definedName name="CompareTexasOutputLIHEAP">[2]Calc1!$N$711:$HF$711</definedName>
    <definedName name="CompareTexasOutputMedicaid" localSheetId="1">[1]Calc1!$N$377:$HF$377</definedName>
    <definedName name="CompareTexasOutputMedicaid">[2]Calc1!$N$375:$HF$375</definedName>
    <definedName name="CompareTexasOutputMedicaidAndCHIP" localSheetId="1">FPIG!CompareTexasOutputMedicaid + FPIG!CompareTexasOutputCHIP</definedName>
    <definedName name="CompareTexasOutputMedicaidAndCHIP">CompareTexasOutputMedicaid + CompareTexasOutputCHIP</definedName>
    <definedName name="CompareTexasOutputMomHourlyWage" localSheetId="1">[1]Calc1!$N$9:$HF$9</definedName>
    <definedName name="CompareTexasOutputMomHourlyWage">[2]Calc1!$N$10:$HF$10</definedName>
    <definedName name="CompareTexasOutputMomWeeklyHours" localSheetId="1">[1]Calc1!$N$4:$HF$4</definedName>
    <definedName name="CompareTexasOutputMomWeeklyHours">[2]Calc1!$N$5:$HF$5</definedName>
    <definedName name="CompareTexasOutputSec8Entry" localSheetId="1">[1]Calc1!$N$691:$HF$691</definedName>
    <definedName name="CompareTexasOutputSec8Entry">[2]Calc1!$N$685:$HF$685</definedName>
    <definedName name="CompareTexasOutputSec8Extended" localSheetId="1">[1]Calc1!$N$696:$HF$696</definedName>
    <definedName name="CompareTexasOutputSec8Extended">[2]Calc1!$N$690:$HF$690</definedName>
    <definedName name="CompareTexasOutputSec8Final" localSheetId="1">[1]Calc1!$N$694:$HF$694</definedName>
    <definedName name="CompareTexasOutputSec8Final">[2]Calc1!$N$688:$HF$688</definedName>
    <definedName name="CompareTexasOutputSNAP" localSheetId="1">[1]Calc1!$N$315:$HF$315</definedName>
    <definedName name="CompareTexasOutputSNAP">[2]Calc1!$N$313:$HF$313</definedName>
    <definedName name="CompareTexasOutputSSI" localSheetId="1">[1]Calc1!$N$282:$HF$282</definedName>
    <definedName name="CompareTexasOutputSSI">[2]Calc1!$N$280:$HF$280</definedName>
    <definedName name="CompareTexasOutputStackPlusCashAssistance" localSheetId="1">FPIG!CompareTexasOutputStackPlusRefundableTaxCredits + FPIG!CompareTexasOutputComboCashAssistance</definedName>
    <definedName name="CompareTexasOutputStackPlusCashAssistance">CompareTexasOutputStackPlusRefundableTaxCredits + CompareTexasOutputComboCashAssistance</definedName>
    <definedName name="CompareTexasOutputStackPlusChildCareFinal" localSheetId="1">FPIG!CompareTexasOutputStackPlusMedicalAssistance + FPIG!CompareTexasOutputChildCareSubsidyFinal</definedName>
    <definedName name="CompareTexasOutputStackPlusChildCareFinal">CompareTexasOutputStackPlusMedicalAssistance + CompareTexasOutputChildCareSubsidyFinal</definedName>
    <definedName name="CompareTexasOutputStackPlusFoodAssistance" localSheetId="1">FPIG!CompareTexasOutputStackPlusCashAssistance + FPIG!CompareTexasOutputComboFoodAssistance</definedName>
    <definedName name="CompareTexasOutputStackPlusFoodAssistance">CompareTexasOutputStackPlusCashAssistance + CompareTexasOutputComboFoodAssistance</definedName>
    <definedName name="CompareTexasOutputStackPlusHIXPTC" localSheetId="1">FPIG!CompareTexasOutputStackPlusMedicaidAndCHIP + FPIG!CompareTexasOutputHIXPTC</definedName>
    <definedName name="CompareTexasOutputStackPlusHIXPTC">CompareTexasOutputStackPlusMedicaidAndCHIP + CompareTexasOutputHIXPTC</definedName>
    <definedName name="CompareTexasOutputStackPlusMedicaidAndCHIP" localSheetId="1">FPIG!CompareTexasOutputStackPlusFoodAssistance + FPIG!CompareTexasOutputMedicaid + FPIG!CompareTexasOutputCHIP</definedName>
    <definedName name="CompareTexasOutputStackPlusMedicaidAndCHIP">CompareTexasOutputStackPlusFoodAssistance + CompareTexasOutputMedicaid + CompareTexasOutputCHIP</definedName>
    <definedName name="CompareTexasOutputStackPlusMedicalAssistance" localSheetId="1">FPIG!CompareTexasOutputStackPlusFoodAssistance + FPIG!CompareTexasOutputComboMedicalAssistance</definedName>
    <definedName name="CompareTexasOutputStackPlusMedicalAssistance">CompareTexasOutputStackPlusFoodAssistance + CompareTexasOutputComboMedicalAssistance</definedName>
    <definedName name="CompareTexasOutputStackPlusRefundableTaxCredits" localSheetId="1">FPIG!CompareTexasOutputComboNetEarnings+FPIG!CompareTexasOutputComboRefundableTaxCredits</definedName>
    <definedName name="CompareTexasOutputStackPlusRefundableTaxCredits">CompareTexasOutputComboNetEarnings+CompareTexasOutputComboRefundableTaxCredits</definedName>
    <definedName name="CompareTexasOutputStackPlusSec8Entry" localSheetId="1">FPIG!CompareTexasOutputStackPlusChildCareFinal + FPIG!CompareTexasOutputSec8Entry</definedName>
    <definedName name="CompareTexasOutputStackPlusSec8Entry">CompareTexasOutputStackPlusChildCareFinal + CompareTexasOutputSec8Entry</definedName>
    <definedName name="CompareTexasOutputStackPlusSec8Entry_Graph" localSheetId="1">FPIG!CompareTexasOutputStackPlusChildCareFinal + FPIG!CompareTexasOutputSec8Final</definedName>
    <definedName name="CompareTexasOutputStackPlusSec8Entry_Graph">CompareTexasOutputStackPlusChildCareFinal + CompareTexasOutputSec8Final</definedName>
    <definedName name="CompareTexasOutputStackPlusSec8Extended" localSheetId="1">FPIG!CompareTexasOutputStackPlusSec8Entry + FPIG!CompareTexasOutputSec8Extended</definedName>
    <definedName name="CompareTexasOutputStackPlusSec8Extended">CompareTexasOutputStackPlusSec8Entry + CompareTexasOutputSec8Extended</definedName>
    <definedName name="CompareTexasOutputStateEITC" localSheetId="1">[1]Calc1!$N$221:$HF$221</definedName>
    <definedName name="CompareTexasOutputStateEITC">[2]Calc1!$N$221:$HF$221</definedName>
    <definedName name="CompareTexasOutputStateTax" localSheetId="1">[1]Calc1!$N$206:$HF$206</definedName>
    <definedName name="CompareTexasOutputStateTax">[2]Calc1!$N$206:$HF$206</definedName>
    <definedName name="CompareTexasOutputSubsidizedSchoolMeals" localSheetId="1">[1]Calc1!$N$348:$HF$348</definedName>
    <definedName name="CompareTexasOutputSubsidizedSchoolMeals">[2]Calc1!$N$346:$HF$346</definedName>
    <definedName name="CompareTexasOutputTANF" localSheetId="1">[1]Calc1!$N$269:$HF$269</definedName>
    <definedName name="CompareTexasOutputTANF">[2]Calc1!$N$267:$HF$267</definedName>
    <definedName name="CompareTexasOutputWIC" localSheetId="1">[1]Calc1!$N$337:$HF$337</definedName>
    <definedName name="CompareTexasOutputWIC">[2]Calc1!$N$335:$HF$335</definedName>
    <definedName name="FICAlist">[2]!FICAtbl[#Headers]</definedName>
    <definedName name="GeorgiaLowIncomeTaxCredit">[3]GAIncTax!$B$71:$J$76</definedName>
    <definedName name="Household_Annual_Earned_Income" localSheetId="1">[1]Calc1!$N$45:INDEX([1]Calc1!$N$45:$HH$45,COUNTIF([1]Calc1!$N$45:$HH$45,”&lt;&gt;”&amp;””))</definedName>
    <definedName name="Household_Annual_Earned_Income">[2]Calc1!$N$46:INDEX([2]Calc1!$N$46:$HH$46,COUNTIF([2]Calc1!$N$46:$HH$46,”&lt;&gt;”&amp;””))</definedName>
    <definedName name="Household_Annual_Income" localSheetId="1">[1]Calc1!$N$49:INDEX([1]Calc1!$N$49:$HH$49,COUNTIF([1]Calc1!$N$49:$HH$49,”&lt;&gt;”&amp;””))</definedName>
    <definedName name="Household_Annual_Income">[2]Calc1!$N$50:INDEX([2]Calc1!$N$50:$HH$50,COUNTIF([2]Calc1!$N$50:$HH$50,”&lt;&gt;”&amp;””))</definedName>
    <definedName name="Household_Annual_Unearned_Income" localSheetId="1">[1]Calc1!$N$47:INDEX([1]Calc1!$N$47:$HH$47,COUNTIF([1]Calc1!$N$47:$HH$47,”&lt;&gt;”&amp;””))</definedName>
    <definedName name="Household_Annual_Unearned_Income">[2]Calc1!$N$48:INDEX([2]Calc1!$N$48:$HH$48,COUNTIF([2]Calc1!$N$48:$HH$48,”&lt;&gt;”&amp;””))</definedName>
    <definedName name="Household_Monthly_Earned_Income" localSheetId="1">[1]Calc1!$N$44:INDEX([1]Calc1!$N$44:$HH$44,COUNTIF([1]Calc1!$N$44:$HH$44,”&lt;&gt;”&amp;””))</definedName>
    <definedName name="Household_Monthly_Earned_Income">[2]Calc1!$N$45:INDEX([2]Calc1!$N$45:$HH$45,COUNTIF([2]Calc1!$N$45:$HH$45,”&lt;&gt;”&amp;””))</definedName>
    <definedName name="Household_Monthly_Income" localSheetId="1">[1]Calc1!$N$48:INDEX([1]Calc1!$N$48:$HH$48,COUNTIF([1]Calc1!$N$48:$HH$48,”&lt;&gt;”&amp;””))</definedName>
    <definedName name="Household_Monthly_Income">[2]Calc1!$N$49:INDEX([2]Calc1!$N$49:$HH$49,COUNTIF([2]Calc1!$N$49:$HH$49,”&lt;&gt;”&amp;””))</definedName>
    <definedName name="Household_Monthly_Unearned_Income" localSheetId="1">[1]Calc1!$N$46:INDEX([1]Calc1!$N$46:$HH$46,COUNTIF([1]Calc1!$N$46:$HH$46,”&lt;&gt;”&amp;””))</definedName>
    <definedName name="Household_Monthly_Unearned_Income">[2]Calc1!$N$47:INDEX([2]Calc1!$N$47:$HH$47,COUNTIF([2]Calc1!$N$47:$HH$47,”&lt;&gt;”&amp;””))</definedName>
    <definedName name="HouseholdMember1AnnualIncome" localSheetId="1">[1]Calc1!$N$5:$HF$5</definedName>
    <definedName name="HouseholdMember1AnnualIncome">[2]Calc1!$N$6:$HF$6</definedName>
    <definedName name="HouseholdMember2AnnualIncome" localSheetId="1">[1]Calc1!$N$6:$HF$6</definedName>
    <definedName name="HouseholdMember2AnnualIncome">[2]Calc1!$N$7:$HF$7</definedName>
    <definedName name="Income_Exclusions" localSheetId="1">[1]!fTaxIncomeExclusions[#All]</definedName>
    <definedName name="Income_Exclusions">[2]!Table86[#All]</definedName>
    <definedName name="InputDadAge" localSheetId="1">[1]Inputs!$D$12</definedName>
    <definedName name="InputDadAge">[2]Inputs!$D$12</definedName>
    <definedName name="InputDadDisabled">IF([1]Inputs!$B$11="Father",[1]Inputs!$R$11,IF([1]Inputs!$B$12="Father",[1]Inputs!$R$12,IF([1]Inputs!$B$13="Father",[1]Inputs!$R$13,IF([1]Inputs!$B$14="Father",[1]Inputs!$R$14))))</definedName>
    <definedName name="InputMarried">[2]Inputs!#REF!</definedName>
    <definedName name="InputMom" localSheetId="1">IF([1]Inputs!$B$11="Mother",[1]Inputs!$C$11,IF([1]Inputs!$B$12="Mother",[1]Inputs!$C$12,IF([1]Inputs!$B$13="Mother",[1]Inputs!$C$13,IF([1]Inputs!$B$14="Mother",[1]Inputs!$C$14))))</definedName>
    <definedName name="InputMom">[2]Inputs!$C$11</definedName>
    <definedName name="InputMomAge" localSheetId="1">IF([1]Inputs!$B$11="Mother",[1]Inputs!$D$11,IF([1]Inputs!$B$12="Mother",[1]Inputs!$D$12,IF([1]Inputs!$B$13="Mother",[1]Inputs!$D$13,IF([1]Inputs!$B$14="Mother",[1]Inputs!$D$14))))</definedName>
    <definedName name="InputMomAge">[2]Inputs!$D$11</definedName>
    <definedName name="InputMomDisabled">IF([1]Inputs!$B$11="Mother",[1]Inputs!$R$11,IF([1]Inputs!$B$12="Mother",[1]Inputs!$R$12,IF([1]Inputs!$B$13="Mother",[1]Inputs!$R$13,IF([1]Inputs!$B$14="Mother",[1]Inputs!$R$14))))</definedName>
    <definedName name="InputMomPregnant" localSheetId="1">IF([1]Inputs!$B$11="Mother",[1]Inputs!$H$11,IF([1]Inputs!$B$12="Mother",[1]Inputs!$H$12,IF([1]Inputs!$B$13="Mother",[1]Inputs!$H$13,IF([1]Inputs!$B$14="Mother",[1]Inputs!$H$14))))</definedName>
    <definedName name="InputMomPregnant">[2]Inputs!$H$11:$H$14</definedName>
    <definedName name="InputStateName" localSheetId="1">[1]Inputs!$C$6</definedName>
    <definedName name="InputStateName">[2]Inputs!$C$6</definedName>
    <definedName name="InputYear" localSheetId="1">[1]Inputs!$C$5</definedName>
    <definedName name="InputYear">[2]Inputs!$C$5</definedName>
    <definedName name="LIEAP_Fuel_Type">[2]!Table93[[#All],[LIEAP Fuel Type]]</definedName>
    <definedName name="OnACTC" localSheetId="1">[1]Inputs!$D$33</definedName>
    <definedName name="OnACTC">[2]Inputs!$D$33</definedName>
    <definedName name="OnCHIP" localSheetId="1">[1]Inputs!$D$40</definedName>
    <definedName name="OnCHIP">[2]Inputs!$D$40</definedName>
    <definedName name="OnCTC" localSheetId="1">[1]Inputs!$D$32</definedName>
    <definedName name="OnCTC">[2]Inputs!$D$32</definedName>
    <definedName name="OnEITC" localSheetId="1">[1]Inputs!$D$30</definedName>
    <definedName name="OnEITC">[2]Inputs!$D$30</definedName>
    <definedName name="OnFedTax" localSheetId="1">[1]Inputs!$D$28</definedName>
    <definedName name="OnFedTax">[2]Inputs!$D$28</definedName>
    <definedName name="OnFICA" localSheetId="1">[1]Inputs!$D$27</definedName>
    <definedName name="OnFICA">[2]Inputs!$D$27</definedName>
    <definedName name="OnHIX_PTC" localSheetId="1">[1]Inputs!$D$41</definedName>
    <definedName name="OnHIX_PTC">[2]Inputs!$D$41</definedName>
    <definedName name="OnLIHEAP" localSheetId="1">[1]Inputs!$D$44</definedName>
    <definedName name="OnLIHEAP">[2]Inputs!$D$44</definedName>
    <definedName name="OnMedicaid" localSheetId="1">[1]Inputs!$D$39</definedName>
    <definedName name="OnMedicaid">[2]Inputs!$D$39</definedName>
    <definedName name="OnPandemic" localSheetId="1">[1]Inputs!$D$26</definedName>
    <definedName name="OnPandemic">[2]Inputs!$D$26</definedName>
    <definedName name="OnSchoolMealsSubsidy" localSheetId="1">[1]Inputs!$D$37</definedName>
    <definedName name="OnSchoolMealsSubsidy">[2]Inputs!$D$37</definedName>
    <definedName name="OnSec8_Housing" localSheetId="1">[1]Inputs!$D$43</definedName>
    <definedName name="OnSec8_Housing">[2]Inputs!$D$43</definedName>
    <definedName name="OnSNAP" localSheetId="1">[1]Inputs!$D$36</definedName>
    <definedName name="OnSNAP">[2]Inputs!$D$36</definedName>
    <definedName name="OnSSI" localSheetId="1">[1]Inputs!$D$35</definedName>
    <definedName name="OnSSI">[2]Inputs!$D$35</definedName>
    <definedName name="OnstateEITC" localSheetId="1">[1]Inputs!$D$31</definedName>
    <definedName name="OnstateEITC">[2]Inputs!$D$31</definedName>
    <definedName name="OnStateTax" localSheetId="1">[1]Inputs!$D$29</definedName>
    <definedName name="OnStateTax">[2]Inputs!$D$29</definedName>
    <definedName name="OnSubsidizedChildcare" localSheetId="1">[1]Inputs!$D$42</definedName>
    <definedName name="OnSubsidizedChildcare">[2]Inputs!$D$42</definedName>
    <definedName name="OnTANF" localSheetId="1">[1]Inputs!$D$34</definedName>
    <definedName name="OnTANF">[2]Inputs!$D$34</definedName>
    <definedName name="OnWIC" localSheetId="1">[1]Inputs!$D$38</definedName>
    <definedName name="OnWIC">[2]Inputs!$D$38</definedName>
    <definedName name="OutputACTC" localSheetId="1">[1]Calc1!$N$139:$HF$139</definedName>
    <definedName name="OutputACTC">[2]Calc1!$N$140:$HF$140</definedName>
    <definedName name="OutputChildCareSubsidyFinal" localSheetId="1">[1]Calc1!$N$594:$HF$594</definedName>
    <definedName name="OutputChildCareSubsidyFinal">[2]Calc1!$N$588:$HF$588</definedName>
    <definedName name="OutputCHIP" localSheetId="1">[1]Calc1!$N$421:$HF$421</definedName>
    <definedName name="OutputCHIP">[2]Calc1!$N$419:$HF$419</definedName>
    <definedName name="OutputComboCashAssistance" localSheetId="1">FPIG!OutputTANF + FPIG!OutputSSI + FPIG!OutputLIHEAP</definedName>
    <definedName name="OutputComboCashAssistance">OutputTANF + OutputSSI + OutputLIHEAP</definedName>
    <definedName name="OutputComboFoodAssistance" localSheetId="1">FPIG!OutputSNAP + FPIG!OutputWIC + FPIG!OutputSubsidizedSchoolMeals</definedName>
    <definedName name="OutputComboFoodAssistance">OutputSNAP + OutputWIC + OutputSubsidizedSchoolMeals</definedName>
    <definedName name="OutputComboMedicalAssistance" localSheetId="1">FPIG!OutputMedicaid + FPIG!OutputCHIP + FPIG!OutputHIXPTC</definedName>
    <definedName name="OutputComboMedicalAssistance">OutputMedicaid + OutputCHIP + OutputHIXPTC</definedName>
    <definedName name="OutputComboNetEarnings" localSheetId="1">FPIG!Adjusted_Gross_Income - FPIG!OutputFICA - FPIG!OutputFedTax - FPIG!OutputStateTax</definedName>
    <definedName name="OutputComboNetEarnings">Adjusted_Gross_Income - OutputFICA - OutputFedTax - OutputStateTax</definedName>
    <definedName name="OutputComboRefundableTaxCredits" localSheetId="1">FPIG!OutputEITC + FPIG!OutputACTC + FPIG!OutputStateEITC + FPIG!OutputCTC</definedName>
    <definedName name="OutputComboRefundableTaxCredits">OutputEITC + OutputACTC + OutputStateEITC + OutputCTC</definedName>
    <definedName name="OutputCTC" localSheetId="1">[1]Calc1!$N$107:$HF$107</definedName>
    <definedName name="OutputCTC">[2]Calc1!$N$108:$HF$108</definedName>
    <definedName name="OutputEarnings" localSheetId="1">[1]Calc1!$N$49:$HF$49</definedName>
    <definedName name="OutputEarnings">[2]Calc1!$N$46:$HF$46</definedName>
    <definedName name="OutputEITC" localSheetId="1">[1]Calc1!$N$121:$HF$121</definedName>
    <definedName name="OutputEITC">[2]Calc1!$N$122:$HF$122</definedName>
    <definedName name="OutputFedTax" localSheetId="1">[1]Calc1!$N$101:$HF$101</definedName>
    <definedName name="OutputFedTax">[2]Calc1!$N$102:$HF$102</definedName>
    <definedName name="OutputFICA" localSheetId="1">[1]Calc1!$N$53:$HF$53</definedName>
    <definedName name="OutputFICA">[2]Calc1!$N$54:$HF$54</definedName>
    <definedName name="OutputHIXPTC" localSheetId="1">[1]Calc1!$N$464:$HF$464</definedName>
    <definedName name="OutputHIXPTC">[2]Calc1!$N$462:$HF$462</definedName>
    <definedName name="OutputInterval" localSheetId="1">[1]Calc1!$N$2:$HF$2</definedName>
    <definedName name="OutputInterval">[2]Calc1!$N$2:$HF$2</definedName>
    <definedName name="OutputLIHEAP" localSheetId="1">[1]Calc1!$N$720:$HF$720</definedName>
    <definedName name="OutputLIHEAP">[2]Calc1!$N$711:$HF$711</definedName>
    <definedName name="OutputMedicaid" localSheetId="1">[1]Calc1!$N$377:$HF$377</definedName>
    <definedName name="OutputMedicaid">[2]Calc1!$N$375:$HF$375</definedName>
    <definedName name="OutputMedicaidAndCHIP" localSheetId="1">FPIG!OutputMedicaid + FPIG!OutputCHIP</definedName>
    <definedName name="OutputMedicaidAndCHIP">OutputMedicaid + OutputCHIP</definedName>
    <definedName name="OutputMomHourlyWage" localSheetId="1">[1]Calc1!$N$9:$HF$9</definedName>
    <definedName name="OutputMomHourlyWage">[2]Calc1!$N$10:$HF$10</definedName>
    <definedName name="OutputMomWeeklyHours" localSheetId="1">[1]Calc1!$N$4:$HF$4</definedName>
    <definedName name="OutputMomWeeklyHours">[2]Calc1!$N$5:$HF$5</definedName>
    <definedName name="OutputSec8Entry" localSheetId="1">[1]Calc1!$N$691:$HF$691</definedName>
    <definedName name="OutputSec8Entry">[2]Calc1!$N$685:$HF$685</definedName>
    <definedName name="OutputSec8Extended" localSheetId="1">[1]Calc1!$N$696:$HF$696</definedName>
    <definedName name="OutputSec8Extended">[2]Calc1!$N$690:$HF$690</definedName>
    <definedName name="OutputSec8Final" localSheetId="1">[1]Calc1!$N$694:$HF$694</definedName>
    <definedName name="OutputSec8Final">[2]Calc1!$N$688:$HF$688</definedName>
    <definedName name="OutputSNAP" localSheetId="1">[1]Calc1!$N$315:$HF$315</definedName>
    <definedName name="OutputSNAP">[2]Calc1!$N$313:$HF$313</definedName>
    <definedName name="OutputSSI" localSheetId="1">[1]Calc1!$N$282:$HF$282</definedName>
    <definedName name="OutputSSI">[2]Calc1!$N$280:$HF$280</definedName>
    <definedName name="OutputStackPlusCashAssistance" localSheetId="1">FPIG!OutputStackPlusRefundableTaxCredits + FPIG!OutputComboCashAssistance</definedName>
    <definedName name="OutputStackPlusCashAssistance">OutputStackPlusRefundableTaxCredits + OutputComboCashAssistance</definedName>
    <definedName name="OutputStackPlusChildCareFinal" localSheetId="1">FPIG!OutputStackPlusMedicalAssistance + FPIG!OutputChildCareSubsidyFinal</definedName>
    <definedName name="OutputStackPlusChildCareFinal">OutputStackPlusMedicalAssistance + OutputChildCareSubsidyFinal</definedName>
    <definedName name="OutputStackPlusFoodAssistance" localSheetId="1">FPIG!OutputStackPlusCashAssistance + FPIG!OutputComboFoodAssistance</definedName>
    <definedName name="OutputStackPlusFoodAssistance">OutputStackPlusCashAssistance + OutputComboFoodAssistance</definedName>
    <definedName name="OutputStackPlusHIXPTC" localSheetId="1">FPIG!OutputStackPlusMedicaidAndCHIP + FPIG!OutputHIXPTC</definedName>
    <definedName name="OutputStackPlusHIXPTC">OutputStackPlusMedicaidAndCHIP + OutputHIXPTC</definedName>
    <definedName name="OutputStackPlusMedicaidAndCHIP" localSheetId="1">FPIG!OutputStackPlusFoodAssistance + FPIG!OutputMedicaid + FPIG!OutputCHIP</definedName>
    <definedName name="OutputStackPlusMedicaidAndCHIP">OutputStackPlusFoodAssistance + OutputMedicaid + OutputCHIP</definedName>
    <definedName name="OutputStackPlusMedicalAssistance" localSheetId="1">FPIG!OutputStackPlusFoodAssistance + FPIG!OutputComboMedicalAssistance</definedName>
    <definedName name="OutputStackPlusMedicalAssistance">OutputStackPlusFoodAssistance + OutputComboMedicalAssistance</definedName>
    <definedName name="OutputStackPlusRefundableTaxCredits" localSheetId="1">FPIG!OutputComboNetEarnings+FPIG!OutputComboRefundableTaxCredits</definedName>
    <definedName name="OutputStackPlusRefundableTaxCredits">OutputComboNetEarnings+OutputComboRefundableTaxCredits</definedName>
    <definedName name="OutputStackPlusSec8Entry" localSheetId="1">FPIG!OutputStackPlusChildCareFinal + FPIG!OutputSec8Entry</definedName>
    <definedName name="OutputStackPlusSec8Entry">OutputStackPlusChildCareFinal + OutputSec8Entry</definedName>
    <definedName name="OutputStackPlusSec8Entry_Graph" localSheetId="1">FPIG!OutputStackPlusChildCareFinal + FPIG!OutputSec8Final</definedName>
    <definedName name="OutputStackPlusSec8Entry_Graph">OutputStackPlusChildCareFinal + OutputSec8Final</definedName>
    <definedName name="OutputStackPlusSec8Extended" localSheetId="1">FPIG!OutputStackPlusSec8Entry + FPIG!OutputSec8Extended</definedName>
    <definedName name="OutputStackPlusSec8Extended">OutputStackPlusSec8Entry + OutputSec8Extended</definedName>
    <definedName name="OutputStateEITC" localSheetId="1">[1]Calc1!$N$221:$HF$221</definedName>
    <definedName name="OutputStateEITC">[2]Calc1!$N$221:$HF$221</definedName>
    <definedName name="OutputStateTax" localSheetId="1">[1]Calc1!$N$206:$HF$206</definedName>
    <definedName name="OutputStateTax">[2]Calc1!$N$206:$HF$206</definedName>
    <definedName name="OutputSubsidizedSchoolMeals" localSheetId="1">[1]Calc1!$N$348:$HF$348</definedName>
    <definedName name="OutputSubsidizedSchoolMeals">[2]Calc1!$N$346:$HF$346</definedName>
    <definedName name="OutputTANF" localSheetId="1">[1]Calc1!$N$269:$HF$269</definedName>
    <definedName name="OutputTANF">[2]Calc1!$N$267:$HF$267</definedName>
    <definedName name="OutputWIC" localSheetId="1">[1]Calc1!$N$337:$HF$337</definedName>
    <definedName name="OutputWIC">[2]Calc1!$N$335:$HF$335</definedName>
    <definedName name="Sex" localSheetId="1">[1]Lists!$D$15:$D$16</definedName>
    <definedName name="Sex">[2]Lists!$D$15:$D$16</definedName>
    <definedName name="Social_Security_Income_Deductions" localSheetId="1">[1]!SocialSecurityIncomeDeductions[#All]</definedName>
    <definedName name="Social_Security_Income_Deductions">[2]!Table89[#All]</definedName>
    <definedName name="State_List">[2]!StateAreasTbl[#Headers]</definedName>
    <definedName name="StateColNum" localSheetId="1">MATCH(FPIG!InputStateName,State_List,0)</definedName>
    <definedName name="StateColNum">MATCH(InputStateName,State_List,0)</definedName>
    <definedName name="StateEntireCol" localSheetId="1">INDEX([1]!StateAreasTbl[#Data],,FPIG!StateColNum)</definedName>
    <definedName name="StateEntireCol">INDEX([2]!StateAreasTbl[#Data],,StateColNum)</definedName>
    <definedName name="StateLookup2" localSheetId="1">INDEX([1]!StateAreasTbl[#Data],1,FPIG!StateColNum):INDEX([1]!StateAreasTbl[#Data],COUNTA(FPIG!StateEntireCol),FPIG!StateColNum)</definedName>
    <definedName name="StateLookup2">INDEX([2]!StateAreasTbl[#Data],1,StateColNum):INDEX([2]!StateAreasTbl[#Data],COUNTA(StateEntireCol),StateColNum)</definedName>
    <definedName name="SubdivisionName" localSheetId="1">[1]Inputs!$C$7</definedName>
    <definedName name="SubdivisionName">[2]Inputs!$C$7</definedName>
    <definedName name="YearSelect">[1]Lists!$B$12:$B$16</definedName>
    <definedName name="YesNo" localSheetId="1">[1]Lists!$D$10:$D$11</definedName>
    <definedName name="YesNo">[2]Lists!$D$10:$D$11</definedName>
  </definedNames>
  <calcPr calcId="191029"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36" i="1" l="1"/>
  <c r="M636" i="1"/>
  <c r="N636" i="1"/>
  <c r="O636" i="1"/>
  <c r="P636" i="1"/>
  <c r="Q636" i="1"/>
  <c r="R636" i="1"/>
  <c r="L637" i="1"/>
  <c r="M637" i="1"/>
  <c r="N637" i="1"/>
  <c r="O637" i="1"/>
  <c r="P637" i="1"/>
  <c r="Q637" i="1"/>
  <c r="R637" i="1"/>
  <c r="L638" i="1"/>
  <c r="M638" i="1"/>
  <c r="N638" i="1"/>
  <c r="O638" i="1"/>
  <c r="P638" i="1"/>
  <c r="Q638" i="1"/>
  <c r="R638" i="1"/>
  <c r="L639" i="1"/>
  <c r="M639" i="1"/>
  <c r="N639" i="1"/>
  <c r="O639" i="1"/>
  <c r="P639" i="1"/>
  <c r="Q639" i="1"/>
  <c r="R639" i="1"/>
  <c r="L640" i="1"/>
  <c r="M640" i="1"/>
  <c r="N640" i="1"/>
  <c r="O640" i="1"/>
  <c r="P640" i="1"/>
  <c r="Q640" i="1"/>
  <c r="R640" i="1"/>
  <c r="L641" i="1"/>
  <c r="M641" i="1"/>
  <c r="N641" i="1"/>
  <c r="O641" i="1"/>
  <c r="P641" i="1"/>
  <c r="Q641" i="1"/>
  <c r="R641" i="1"/>
  <c r="L642" i="1"/>
  <c r="M642" i="1"/>
  <c r="N642" i="1"/>
  <c r="O642" i="1"/>
  <c r="P642" i="1"/>
  <c r="Q642" i="1"/>
  <c r="R642" i="1"/>
  <c r="R635" i="1"/>
  <c r="Q635" i="1"/>
  <c r="P635" i="1"/>
  <c r="O635" i="1"/>
  <c r="N635" i="1"/>
  <c r="M635" i="1"/>
  <c r="L635" i="1"/>
  <c r="U319" i="1"/>
  <c r="V319" i="1"/>
  <c r="P280" i="1"/>
  <c r="Q280" i="1"/>
  <c r="P281" i="1"/>
  <c r="Q281" i="1"/>
  <c r="P282" i="1"/>
  <c r="Q282" i="1"/>
  <c r="P283" i="1"/>
  <c r="Q283" i="1"/>
  <c r="P284" i="1"/>
  <c r="Q284" i="1"/>
  <c r="P285" i="1"/>
  <c r="Q285" i="1"/>
  <c r="P286" i="1"/>
  <c r="Q286" i="1"/>
  <c r="Q279" i="1"/>
  <c r="P279" i="1"/>
  <c r="V279" i="1"/>
  <c r="V286" i="1"/>
  <c r="P288" i="1"/>
  <c r="Q288" i="1"/>
  <c r="P289" i="1"/>
  <c r="Q289" i="1"/>
  <c r="P290" i="1"/>
  <c r="Q290" i="1"/>
  <c r="P291" i="1"/>
  <c r="Q291" i="1"/>
  <c r="P292" i="1"/>
  <c r="Q292" i="1"/>
  <c r="P293" i="1"/>
  <c r="Q293" i="1"/>
  <c r="P294" i="1"/>
  <c r="Q294" i="1"/>
  <c r="Q287" i="1"/>
  <c r="P287" i="1"/>
  <c r="V287" i="1"/>
  <c r="P248" i="1"/>
  <c r="Q248" i="1"/>
  <c r="P249" i="1"/>
  <c r="Q249" i="1"/>
  <c r="P250" i="1"/>
  <c r="Q250" i="1"/>
  <c r="P251" i="1"/>
  <c r="Q251" i="1"/>
  <c r="P252" i="1"/>
  <c r="Q252" i="1"/>
  <c r="P253" i="1"/>
  <c r="Q253" i="1"/>
  <c r="P254" i="1"/>
  <c r="Q254" i="1"/>
  <c r="Q247" i="1"/>
  <c r="P247" i="1"/>
  <c r="E63" i="2" a="1"/>
  <c r="E63" i="2" s="1"/>
  <c r="O50" i="2"/>
  <c r="N50" i="2"/>
  <c r="F50" i="2"/>
  <c r="O49" i="2"/>
  <c r="N49" i="2"/>
  <c r="M49" i="2"/>
  <c r="M50" i="2" s="1"/>
  <c r="L49" i="2"/>
  <c r="L50" i="2" s="1"/>
  <c r="K49" i="2"/>
  <c r="K50" i="2" s="1"/>
  <c r="J49" i="2"/>
  <c r="J50" i="2" s="1"/>
  <c r="I49" i="2"/>
  <c r="I50" i="2" s="1"/>
  <c r="H49" i="2"/>
  <c r="H50" i="2" s="1"/>
  <c r="G49" i="2"/>
  <c r="G50" i="2" s="1"/>
  <c r="F49" i="2"/>
  <c r="E49" i="2"/>
  <c r="E50" i="2" s="1"/>
  <c r="N39" i="2"/>
  <c r="M39" i="2"/>
  <c r="J39" i="2"/>
  <c r="I39" i="2"/>
  <c r="H39" i="2"/>
  <c r="E39" i="2"/>
  <c r="O38" i="2"/>
  <c r="O39" i="2" s="1"/>
  <c r="N38" i="2"/>
  <c r="M38" i="2"/>
  <c r="L38" i="2"/>
  <c r="L39" i="2" s="1"/>
  <c r="K38" i="2"/>
  <c r="K39" i="2" s="1"/>
  <c r="J38" i="2"/>
  <c r="I38" i="2"/>
  <c r="H38" i="2"/>
  <c r="G38" i="2"/>
  <c r="G39" i="2" s="1"/>
  <c r="F38" i="2"/>
  <c r="F39" i="2" s="1"/>
  <c r="E38" i="2"/>
  <c r="S32" i="2"/>
  <c r="R32" i="2"/>
  <c r="S31" i="2"/>
  <c r="R31" i="2"/>
  <c r="S30" i="2"/>
  <c r="R30" i="2"/>
  <c r="S29" i="2"/>
  <c r="R29" i="2"/>
  <c r="N28" i="2"/>
  <c r="K28" i="2"/>
  <c r="J28" i="2"/>
  <c r="I28" i="2"/>
  <c r="O27" i="2"/>
  <c r="O28" i="2" s="1"/>
  <c r="N27" i="2"/>
  <c r="M27" i="2"/>
  <c r="M28" i="2" s="1"/>
  <c r="L27" i="2"/>
  <c r="L28" i="2" s="1"/>
  <c r="K27" i="2"/>
  <c r="J27" i="2"/>
  <c r="I27" i="2"/>
  <c r="H27" i="2"/>
  <c r="H28" i="2" s="1"/>
  <c r="G27" i="2"/>
  <c r="G28" i="2" s="1"/>
  <c r="F27" i="2"/>
  <c r="F28" i="2" s="1"/>
  <c r="E27" i="2"/>
  <c r="E28" i="2" s="1"/>
  <c r="S26" i="2"/>
  <c r="R26" i="2"/>
  <c r="S25" i="2"/>
  <c r="R25" i="2"/>
  <c r="AL24" i="2"/>
  <c r="AK24" i="2"/>
  <c r="AJ24" i="2"/>
  <c r="AI24" i="2"/>
  <c r="AF24" i="2"/>
  <c r="AC24" i="2"/>
  <c r="AB24" i="2"/>
  <c r="AH24" i="2" s="1"/>
  <c r="AA24" i="2"/>
  <c r="AG24" i="2" s="1"/>
  <c r="Z24" i="2"/>
  <c r="Y24" i="2"/>
  <c r="X24" i="2"/>
  <c r="S24" i="2"/>
  <c r="R24" i="2"/>
  <c r="AL23" i="2"/>
  <c r="AK23" i="2"/>
  <c r="AJ23" i="2"/>
  <c r="AI23" i="2"/>
  <c r="AB23" i="2"/>
  <c r="AE23" i="2" s="1"/>
  <c r="AA23" i="2"/>
  <c r="AD23" i="2" s="1"/>
  <c r="Z23" i="2"/>
  <c r="AC23" i="2" s="1"/>
  <c r="Y23" i="2"/>
  <c r="X23" i="2"/>
  <c r="S23" i="2"/>
  <c r="R23" i="2"/>
  <c r="AL22" i="2"/>
  <c r="AK22" i="2"/>
  <c r="AJ22" i="2"/>
  <c r="AI22" i="2"/>
  <c r="AB22" i="2"/>
  <c r="AH22" i="2" s="1"/>
  <c r="AA22" i="2"/>
  <c r="AD22" i="2" s="1"/>
  <c r="Z22" i="2"/>
  <c r="AF22" i="2" s="1"/>
  <c r="Y22" i="2"/>
  <c r="X22" i="2"/>
  <c r="U22" i="2"/>
  <c r="T22" i="2"/>
  <c r="R22" i="2"/>
  <c r="AL21" i="2"/>
  <c r="AK21" i="2"/>
  <c r="AJ21" i="2"/>
  <c r="AI21" i="2"/>
  <c r="AB21" i="2"/>
  <c r="AE21" i="2" s="1"/>
  <c r="AA21" i="2"/>
  <c r="AG21" i="2" s="1"/>
  <c r="Z21" i="2"/>
  <c r="AC21" i="2" s="1"/>
  <c r="Y21" i="2"/>
  <c r="X21" i="2"/>
  <c r="AL20" i="2"/>
  <c r="AK20" i="2"/>
  <c r="AJ20" i="2"/>
  <c r="AI20" i="2"/>
  <c r="AB20" i="2"/>
  <c r="AE20" i="2" s="1"/>
  <c r="AA20" i="2"/>
  <c r="AG20" i="2" s="1"/>
  <c r="Z20" i="2"/>
  <c r="AC20" i="2" s="1"/>
  <c r="Y20" i="2"/>
  <c r="X20" i="2"/>
  <c r="S20" i="2"/>
  <c r="AL19" i="2"/>
  <c r="AK19" i="2"/>
  <c r="AJ19" i="2"/>
  <c r="AI19" i="2"/>
  <c r="AB19" i="2"/>
  <c r="AE19" i="2" s="1"/>
  <c r="AA19" i="2"/>
  <c r="AG19" i="2" s="1"/>
  <c r="Z19" i="2"/>
  <c r="AF19" i="2" s="1"/>
  <c r="Y19" i="2"/>
  <c r="X19" i="2"/>
  <c r="R19" i="2"/>
  <c r="E667" i="1" a="1"/>
  <c r="E667" i="1" s="1"/>
  <c r="X499" i="1"/>
  <c r="W499" i="1"/>
  <c r="V499" i="1"/>
  <c r="T432" i="1"/>
  <c r="E215" i="1" a="1"/>
  <c r="E215" i="1" s="1"/>
  <c r="E167" i="1" a="1"/>
  <c r="E167" i="1" s="1"/>
  <c r="E160" i="1"/>
  <c r="E73" i="1"/>
  <c r="E75" i="1" s="1" a="1"/>
  <c r="E75" i="1" s="1"/>
  <c r="AH23" i="2" l="1"/>
  <c r="AD21" i="2"/>
  <c r="AH20" i="2"/>
  <c r="AF21" i="2"/>
  <c r="AH21" i="2"/>
  <c r="AF23" i="2"/>
  <c r="AG23" i="2"/>
  <c r="AD24" i="2"/>
  <c r="AD19" i="2"/>
  <c r="AC22" i="2"/>
  <c r="AE22" i="2"/>
  <c r="AH19" i="2"/>
  <c r="AD20" i="2"/>
  <c r="AG22" i="2"/>
  <c r="AF20" i="2"/>
  <c r="AC19" i="2"/>
  <c r="AE24" i="2"/>
  <c r="L142" i="1"/>
  <c r="M142" i="1"/>
  <c r="K142" i="1"/>
  <c r="H142" i="1"/>
  <c r="I142" i="1"/>
  <c r="J142" i="1"/>
</calcChain>
</file>

<file path=xl/sharedStrings.xml><?xml version="1.0" encoding="utf-8"?>
<sst xmlns="http://schemas.openxmlformats.org/spreadsheetml/2006/main" count="3106" uniqueCount="357">
  <si>
    <t>TANF</t>
  </si>
  <si>
    <t>Temporary Assistance for Needy Families</t>
  </si>
  <si>
    <t>Income Disregards</t>
  </si>
  <si>
    <t>Program Disregards</t>
  </si>
  <si>
    <t>Earnings from children</t>
  </si>
  <si>
    <t>SSI</t>
  </si>
  <si>
    <t>Other disability benefits</t>
  </si>
  <si>
    <t>EITC</t>
  </si>
  <si>
    <t>SNAP</t>
  </si>
  <si>
    <t>Georgia</t>
  </si>
  <si>
    <t>þ</t>
  </si>
  <si>
    <t>Table: TANFComponents</t>
  </si>
  <si>
    <t>State</t>
  </si>
  <si>
    <t>Component</t>
  </si>
  <si>
    <t>Comment</t>
  </si>
  <si>
    <t>2018</t>
  </si>
  <si>
    <t>2019</t>
  </si>
  <si>
    <t>2020</t>
  </si>
  <si>
    <t>2021</t>
  </si>
  <si>
    <t>2022</t>
  </si>
  <si>
    <t>Alabama</t>
  </si>
  <si>
    <t>Include SSI Child in AU?</t>
  </si>
  <si>
    <t>Arkansas</t>
  </si>
  <si>
    <t>Florida</t>
  </si>
  <si>
    <t>Louisiana</t>
  </si>
  <si>
    <t>Missouri</t>
  </si>
  <si>
    <t>Mississippi</t>
  </si>
  <si>
    <t>North Carolina</t>
  </si>
  <si>
    <t>Oklahoma</t>
  </si>
  <si>
    <t>South Carolina</t>
  </si>
  <si>
    <t>Tennessee</t>
  </si>
  <si>
    <t>Texas</t>
  </si>
  <si>
    <t>Utah</t>
  </si>
  <si>
    <t>West Virginia</t>
  </si>
  <si>
    <t>Pregnant without children</t>
  </si>
  <si>
    <t>9th month</t>
  </si>
  <si>
    <t>6th month</t>
  </si>
  <si>
    <t>Two parents benefit?</t>
  </si>
  <si>
    <t>Include Step Parents in AU?</t>
  </si>
  <si>
    <t>Optional</t>
  </si>
  <si>
    <t>Formula</t>
  </si>
  <si>
    <t>formula=</t>
  </si>
  <si>
    <t>INDEX(TANFComponents,MATCH(1,(TANFComponents[State]=$E$29)*(TANFComponents[Component]=$E$30),0),MATCH($E$31,VALUE(TANFComponents[#Headers]),0))</t>
  </si>
  <si>
    <t>test formula=</t>
  </si>
  <si>
    <t xml:space="preserve">input: state </t>
  </si>
  <si>
    <t>input:  name</t>
  </si>
  <si>
    <t>input: year</t>
  </si>
  <si>
    <t>test result =</t>
  </si>
  <si>
    <t>Sources</t>
  </si>
  <si>
    <t>2018 Welfare Rules Databook (see below for full citation)</t>
  </si>
  <si>
    <t>Table I.B.10.</t>
  </si>
  <si>
    <t>Inclusion of SSI Recipients in the Assistance Unit, July 2018</t>
  </si>
  <si>
    <t xml:space="preserve">Table 1.B.1. </t>
  </si>
  <si>
    <t>Eligibility of Pregnant Women with No Other Children, July 2018</t>
  </si>
  <si>
    <t>Footnote: In some states, benefits are provided to two-parent units under a state-funded program instead of through federal TANF. This table describes the treatment of two-parent units regardless of the funding source. Eligibility rules for two-parent, nondisabled families are special categorical rules in addition to the other state rules that all units must pass. Under the AFDC program, states imposed rules on two-parent families' work effort, including limits on hours of work, work history tests, and waiting periods. Some states have continued to impose these policies under TANF.</t>
  </si>
  <si>
    <t>Table I.B.2.</t>
  </si>
  <si>
    <t>Eligibility Rules for Two-Parent, Nondisabled Applicant Units, July 2018</t>
  </si>
  <si>
    <t>Secondary Eligibility Earnings Disregard</t>
  </si>
  <si>
    <t>Percent</t>
  </si>
  <si>
    <t>Table: TANFDisregards: Monthly</t>
  </si>
  <si>
    <t>Name</t>
  </si>
  <si>
    <t>Type</t>
  </si>
  <si>
    <t>Description</t>
  </si>
  <si>
    <t>Initial Eligibility Earnings Disregard</t>
  </si>
  <si>
    <t>Benefit Computation Earnings Disregard</t>
  </si>
  <si>
    <t>Income Limit %</t>
  </si>
  <si>
    <t>100% of Payment Standard</t>
  </si>
  <si>
    <t>Child Support</t>
  </si>
  <si>
    <t>Disregard and/or Pass-through</t>
  </si>
  <si>
    <t>Flat Grant</t>
  </si>
  <si>
    <t>Gross Limit Benefit Reduction</t>
  </si>
  <si>
    <t>200% of Income Eligibility Standard</t>
  </si>
  <si>
    <t>100% of Income Eligibility Standard</t>
  </si>
  <si>
    <t>Flat Amount</t>
  </si>
  <si>
    <t>To Standard of Need</t>
  </si>
  <si>
    <t>Of Remainder</t>
  </si>
  <si>
    <t>Benefit Determination Percent</t>
  </si>
  <si>
    <t>Based on Recognizable needs</t>
  </si>
  <si>
    <t xml:space="preserve">If based on recognizable needs </t>
  </si>
  <si>
    <t>1st Year</t>
  </si>
  <si>
    <t>Second Benefit Computation Earnings Disregard</t>
  </si>
  <si>
    <t>After Disregard % and After 1st Year</t>
  </si>
  <si>
    <t>100% of Standard of Need</t>
  </si>
  <si>
    <t>No disregard</t>
  </si>
  <si>
    <t>Research Texas's program. When is budgetary needs used and when is recognizable needs used.</t>
  </si>
  <si>
    <t>Based on Budgetary Needs</t>
  </si>
  <si>
    <t>Based on Budgetary Needs or Recognizable needs</t>
  </si>
  <si>
    <t>After Initial Disregard - All Months</t>
  </si>
  <si>
    <t>100% of Adjusted Standard Needs Budget (SNB)</t>
  </si>
  <si>
    <t>Notes</t>
  </si>
  <si>
    <t>For a new job, recipients get a 12 month 100% earnings disregard.</t>
  </si>
  <si>
    <t>plus $900 in any 8 months over a recipients lifetime. The six months in which the extra $900 is disregarded need not be consecutive, but the recipient may use this extra disregard in no more than six months over the course of his or her lifetime.</t>
  </si>
  <si>
    <t>Recipients are eligible for a one-time 100 percent disregard for the first six consecutive months of earnings if they find employment of 35 hours a week within the first 30 days of their initial approval for TANF. If work is not found within 30 days, the recipient is ineligible to ever receive the disregard again. An additional 100 percent disregard is available to units for three months when the unit's case is subject to closure because of increased earnings and the individual is employed for at least 25 hours a week at the federal minimum wage or higher. The recipient may not have already received the six-month disregard, unless there has been at least a 12-month break in receipt of TANF benefits. The three-month disregard may be received more than once during the 60-month TANF benefit period provided there is a period of at least 12 consecutive months in which a family does not receive TANF benefits before the family reapplies for assistance.</t>
  </si>
  <si>
    <t>plus 90% of remainder (up to $1,400) for 4 out of 12 months. Once the recipient has received four months (they need not be consecutive) of the 90 percent disregard, he or she is not eligible to receive the disregard again until the TANF case has been denied and remains denied for one full month, and 12 calendar months have passed since the denial. The 12-month ineligibility period begins with the first full month of denial after the client used the fourth month of the 90 percent disregard.</t>
  </si>
  <si>
    <t>Adjust for $1,400 for remainder: Add to:</t>
  </si>
  <si>
    <t>+$120 rounds to $237</t>
  </si>
  <si>
    <t>for Benefit Computation Earnings Disregard</t>
  </si>
  <si>
    <t>INDEX(TANFDisregards,MATCH(1,(TANFDisregards[State]=$E$21)*(TANFDisregards[Name]=$E$22),0),MATCH($E$23,VALUE(TANFDisregards[#Headers]),0))</t>
  </si>
  <si>
    <t>Table I.E.2.</t>
  </si>
  <si>
    <t>Earned Income Disregards for Initial Income Eligibility Purposes, July 2018</t>
  </si>
  <si>
    <t>Footnote: The table describes the disregards used for initial applicant eligibility purposes. See table IV.A.5 for the disregards used for ongoing, recipient eligibility purposes. Note that several states treat applicants who have recently received benefits as recipients. Only earned income disregards are described in the table. Child care disregards and other special disregards, such as deductions for units subject to a time limit or a family cap, are not included.  This table only shows earned income disregards for explicit net income tests. "No explicit net income test" indicates that either the state does not impose a net income test at application or the state imposes a net income test, but the calculation of the test and disregards allowed for the test are the same as those used to calculate the benefit. See table II.A.2 for information on benefit computation policies.</t>
  </si>
  <si>
    <t>Table II.A.1.</t>
  </si>
  <si>
    <t>Earned Income Disregards for Benefit Computation, July 2018</t>
  </si>
  <si>
    <t>Table I.E.1.</t>
  </si>
  <si>
    <t>Income Eligibility Tests for Applicants, July 2018</t>
  </si>
  <si>
    <t xml:space="preserve">Footnote: This table generally describes states' overall income eligibility tests for applicants (see footnote 2 for an exception); some families who pass these tests may be ineligible for cash aid. See table II.A.2 for information on benefit computation policies. See table I.E.3 for information on the value of the standards for a family of three. 2 "No explicit tests" indicates that either the state imposes no income tests on applicants or the state imposes an income test, but the calculation of the test and disregards allowed for the test are no different from those used to calculate the benefit. Also, in some states, applicants could pass the explicit tests shown, but might not be eligible for a positive benefit because of the way the state computes benefits. </t>
  </si>
  <si>
    <t>Table II.A.2.</t>
  </si>
  <si>
    <t>Benefit Determination Policies, July 2018</t>
  </si>
  <si>
    <t>{Note: Calc tab set up so if result is #NA, then it shows as FALSE and not applied.}</t>
  </si>
  <si>
    <t>Table: TANFCCExpenses: Monthly</t>
  </si>
  <si>
    <t>Age</t>
  </si>
  <si>
    <t>Allowable Expense</t>
  </si>
  <si>
    <t>Limit on CC Expense</t>
  </si>
  <si>
    <t>Comment_1</t>
  </si>
  <si>
    <t>Comment_2</t>
  </si>
  <si>
    <t>&lt;2</t>
  </si>
  <si>
    <t>&gt;=2</t>
  </si>
  <si>
    <t>Per WRD databbase</t>
  </si>
  <si>
    <t>Expended by worker</t>
  </si>
  <si>
    <t>Per State Plan</t>
  </si>
  <si>
    <t>Obsolete Since 2011</t>
  </si>
  <si>
    <t>WHEN ADDING STATES BEYOND THE FIRST 8, CHECK TO MAKE SURE CUT OFF AGE 2 IS THE SAME</t>
  </si>
  <si>
    <t>See notes on Caregiver Program</t>
  </si>
  <si>
    <t>https://www.myflfamilies.com/service-programs/access/temporary-cash-assistance.shtml</t>
  </si>
  <si>
    <t>See Fact sheet on caregive program</t>
  </si>
  <si>
    <t>https://www.myflfamilies.com/service-programs/access/docs/tcafactsheet.pdf</t>
  </si>
  <si>
    <t>INDEX(TANFCCExpenses,MATCH(1,(TANFCCExpenses[State]=$E$33)*(TANFCCExpenses[Name]=$E$34),0),MATCH($E$35,VALUE(TANFCCExpenses[#Headers]),0))</t>
  </si>
  <si>
    <t>input: age</t>
  </si>
  <si>
    <t>Source</t>
  </si>
  <si>
    <t>Urban Institute maintains for the Office of Family Assistance a Welfare Rules Database</t>
  </si>
  <si>
    <t>Queried the database for Child Care disregards, March 25, 2020</t>
  </si>
  <si>
    <t>https://wrd.urban.org/wrd/Query/query.cfm</t>
  </si>
  <si>
    <t>Table: TANFFactors: Monthly</t>
  </si>
  <si>
    <t>State Name</t>
  </si>
  <si>
    <t>Number Parents</t>
  </si>
  <si>
    <t>Comment_3</t>
  </si>
  <si>
    <t>Family Size</t>
  </si>
  <si>
    <t>Standard of Need</t>
  </si>
  <si>
    <t>Payment Standard</t>
  </si>
  <si>
    <t>One or Two Parents</t>
  </si>
  <si>
    <t>WRD &amp; State Plan</t>
  </si>
  <si>
    <t>Ongoing</t>
  </si>
  <si>
    <t>matches state plan</t>
  </si>
  <si>
    <t>Net Income Test</t>
  </si>
  <si>
    <t>WRD Only</t>
  </si>
  <si>
    <t>matches Table II.A.$</t>
  </si>
  <si>
    <t>Ended 3/31/2019.  Need update</t>
  </si>
  <si>
    <t>Maximum Family Benefit</t>
  </si>
  <si>
    <t>Gross Monthly Income Limit</t>
  </si>
  <si>
    <t>185% of FPIG</t>
  </si>
  <si>
    <t>TANF State Plan</t>
  </si>
  <si>
    <t>Maximum Payment Level</t>
  </si>
  <si>
    <t>Consolidated Need Standard</t>
  </si>
  <si>
    <t>WRD only</t>
  </si>
  <si>
    <t>Ends 3/31/2019</t>
  </si>
  <si>
    <t>Ends 3/31/2020</t>
  </si>
  <si>
    <t>Ends 3/31/2021</t>
  </si>
  <si>
    <t>check rounding</t>
  </si>
  <si>
    <t>Assumes &gt;$50 shelter payments</t>
  </si>
  <si>
    <t>Research Florida's Payment Standard for 2020</t>
  </si>
  <si>
    <t>Need Standard</t>
  </si>
  <si>
    <t>Flat Grant Amount</t>
  </si>
  <si>
    <t>100% of Flat Grant Amount</t>
  </si>
  <si>
    <t>Need Standard and Payment Standard</t>
  </si>
  <si>
    <t>100% of Need Standard and Payment Standard</t>
  </si>
  <si>
    <t>State Plan. Matches WRD</t>
  </si>
  <si>
    <t>matches MS website</t>
  </si>
  <si>
    <t>Maximum Benefit</t>
  </si>
  <si>
    <t>NC Maximum Payment for Family of 3: Matches Calc1 page</t>
  </si>
  <si>
    <t>https://www.ncdhhs.gov/divisions/social-services/work-first-family-assistance/work-first-eligibility-and-income</t>
  </si>
  <si>
    <t>Ma</t>
  </si>
  <si>
    <t>185% of Standard of Need</t>
  </si>
  <si>
    <t>100% Standard of Need</t>
  </si>
  <si>
    <t>34.526% of Need</t>
  </si>
  <si>
    <t>Less Net Income</t>
  </si>
  <si>
    <t>185% Standard of Need</t>
  </si>
  <si>
    <t>33.72% of (Need Standard minus net income)</t>
  </si>
  <si>
    <t>Research Texas's TANF Program</t>
  </si>
  <si>
    <t>verified</t>
  </si>
  <si>
    <t>Texas'sMaximum Benefits Match</t>
  </si>
  <si>
    <t>Texas website: https://yourtexasbenefits.hhsc.texas.gov/programs/tanf/families</t>
  </si>
  <si>
    <t>Child only</t>
  </si>
  <si>
    <t>1 parent</t>
  </si>
  <si>
    <t>2 parents</t>
  </si>
  <si>
    <t>--------</t>
  </si>
  <si>
    <t>Maximum Benefit (Standard Payment Amount)</t>
  </si>
  <si>
    <t>Unit with a caretaker who is not elderly, disabled, or caring for disabled family member</t>
  </si>
  <si>
    <t>Budgetary Needs Standard</t>
  </si>
  <si>
    <t>One Parent Only</t>
  </si>
  <si>
    <t>Ends 1/31/2019</t>
  </si>
  <si>
    <t>One-parent or one-caretaker families</t>
  </si>
  <si>
    <t>does not change annually. Verified with State Plan</t>
  </si>
  <si>
    <t>Ends 1/31/2020</t>
  </si>
  <si>
    <t>Ends 1/31/2021</t>
  </si>
  <si>
    <t>Two Parents Only</t>
  </si>
  <si>
    <t>Maximum Grant</t>
  </si>
  <si>
    <t>WRD (2018); website</t>
  </si>
  <si>
    <t>Changes annually. Matches website</t>
  </si>
  <si>
    <t>Changes annually</t>
  </si>
  <si>
    <t>Maximum Family Benefit-2</t>
  </si>
  <si>
    <t>Maximum Family Benefit-3</t>
  </si>
  <si>
    <t>Maximum Family Benefit-4</t>
  </si>
  <si>
    <t>100% of Budgetary Needs Standard</t>
  </si>
  <si>
    <t>Second Net Income Test</t>
  </si>
  <si>
    <t>Recognizable Need</t>
  </si>
  <si>
    <t>185% of Adjusted Standard Needs Budget (SNB)</t>
  </si>
  <si>
    <t>Maximum Financial Assistance</t>
  </si>
  <si>
    <t>maximum payments based on shelter obligation. Above assumes $50.01 or more shelter payment. See fact sheet for lower shelter payments: https://www.myflfamilies.com/service-programs/access/docs/tcafactsheet.pdf</t>
  </si>
  <si>
    <t>Provides an annual $#0 supplement per each certified TANF child</t>
  </si>
  <si>
    <t>INDEX(TANFFactors,MATCH(1,(TANFFactors[State]=$E$51)*(TANFFactors[Name]=$E$52)*(TANFFactors[Family Size]=$E$53),0),MATCH($E$54,VALUE(TANFFactors[#Headers]),0))</t>
  </si>
  <si>
    <t>input: federal status</t>
  </si>
  <si>
    <t>{Gross Income Limits &amp; Net Income Tests}</t>
  </si>
  <si>
    <t xml:space="preserve">Income Eligibility Tests for Applicants, July 2018 </t>
  </si>
  <si>
    <t>For Standard of Need &amp; Maximum Family Benefits, data was extracted from the online Welfare Rules Database (see below for full citation)</t>
  </si>
  <si>
    <t>Crossreferences</t>
  </si>
  <si>
    <t xml:space="preserve">Table II.A.3. </t>
  </si>
  <si>
    <t>Standards for Determining Benefits, July 2018</t>
  </si>
  <si>
    <t>Footnote: This table provides information on the standards only. For information on how the standards are used, see table II.A.2.  The amounts in the table are based on the following assumptions about the assistance unit: there is one adult and two children; the children are not subject to a family cap; the head of the unit is not pregnant; and the unit has no special needs, pays for shelter, and lives in the most populated area of the state.</t>
  </si>
  <si>
    <t>Table II.A.4.</t>
  </si>
  <si>
    <t>Maximum Monthly Benefit for a Family with No Income, July 2018</t>
  </si>
  <si>
    <t>Footnote: Maximum benefits are calculated assuming that the unit contains one adult and no children subject to a family cap, has no special needs, pays for shelter, and lives in the most populated area of the state.</t>
  </si>
  <si>
    <t>website has pages on search, databook, tables, maps, about, getting started, resources</t>
  </si>
  <si>
    <t>Databook July 2018: PDF text</t>
  </si>
  <si>
    <t>https://wrd.urban.org/wrd/data/databooks/2018%20Welfare%20Rules%20Databook%20(final%2008%2007%202019).pdf</t>
  </si>
  <si>
    <t>Databook July 2018: Excel workkbook</t>
  </si>
  <si>
    <t>https://wrd.urban.org/wrd/data/databooks/2018%20Welfare%20Rules%20Databook%20Tables%20(final%2008%2007%202019).xlsx</t>
  </si>
  <si>
    <t>Query the database:</t>
  </si>
  <si>
    <t xml:space="preserve">Data Dictionary: </t>
  </si>
  <si>
    <t>https://wrd.urban.org/wrd/dictionary/Wrdcategories.cfm?ShowVars=y</t>
  </si>
  <si>
    <t>National Data Sources</t>
  </si>
  <si>
    <t>Category Descriptions</t>
  </si>
  <si>
    <t>https://wrd.urban.org/wrd/dictionary/WRDCategoryDescriptions.cfm#Dollar_amounts</t>
  </si>
  <si>
    <t>Specific Tables used for Calc tab consistent for all</t>
  </si>
  <si>
    <t>Table I.B.9.</t>
  </si>
  <si>
    <t>True for 8 states, not all states</t>
  </si>
  <si>
    <t>Eligibility Requirements for Children, July 2018 1</t>
  </si>
  <si>
    <t>Footnote: This table covers policies for children living with parents or caretakers. Policies for children in foster care may differ.</t>
  </si>
  <si>
    <t>Department of Human Resources, Family Assistance Division</t>
  </si>
  <si>
    <t>Family Assistance Division, 50 North Ripley Street, Montgomery, Alabama 36130</t>
  </si>
  <si>
    <t>Nancy Buckner, Commissioner of DHS</t>
  </si>
  <si>
    <t>Phone Number: (334) 242-1773 or (334) 242-1950, mailto:dhr_fad@dhr.alabama.gov</t>
  </si>
  <si>
    <t xml:space="preserve">State Plan </t>
  </si>
  <si>
    <t>www.dhr.alabama.gov/services/Family_Assistance/Documents/2019StatePlan.pdf</t>
  </si>
  <si>
    <t>https://dhr.alabama.gov/wp-content/uploads/2020/02/2019StatePlan.pdf</t>
  </si>
  <si>
    <t>website</t>
  </si>
  <si>
    <t>https://dhr.alabama.gov/family-assistance/</t>
  </si>
  <si>
    <t>https://dhr.alabama.gov/family-assistance/family-assistance-program-eligibility-requirements/</t>
  </si>
  <si>
    <t>State Data Sources</t>
  </si>
  <si>
    <t>Florida Department of Children and Families – MYFLFAMILIES.com</t>
  </si>
  <si>
    <t>Florida Temporary Cash Assistance, 1317 Winewood Blvd., Room 202, Tallahassee, FL 32399</t>
  </si>
  <si>
    <t>866-762-2237 or 850-487-1111</t>
  </si>
  <si>
    <t>State Plan: Florida Department of Children and Families, Economic Self-Sufficiency Program Office, Temporary Assistance for Needy Families State Plan Renewal: October 1, 2017 to September 30, 2020, Amended Augsut 15, 2019.</t>
  </si>
  <si>
    <t>https://www.myflfamilies.com/service-programs/access/docs/TANF-Plan.pdf</t>
  </si>
  <si>
    <t>Website for TANF</t>
  </si>
  <si>
    <t>Fact Sheet</t>
  </si>
  <si>
    <t>Department of Human Services, Division of Family &amp; Children Services</t>
  </si>
  <si>
    <t>DFCS Director: Tom C. Rawlings (404) 232-1634, Director, Legislative Affairs &amp; Outreach: Jackie Tate (404) 657-1894, 2 Peachtree St. NW, 19th Floor, Atlanta, GA 30303</t>
  </si>
  <si>
    <t>Main #: 404-657-3433, Food Stamps, TANF, and Childcare: 877-423-4746</t>
  </si>
  <si>
    <t>Georgia’s State Plan Renewal for TANF 2020</t>
  </si>
  <si>
    <t>https://dfcs.georgia.gov/document/document/georgias-tanf-state-plan-renewal-2020-2022/download</t>
  </si>
  <si>
    <t>https://dfcs.georgia.gov/services/temporary-assistance-needy-families</t>
  </si>
  <si>
    <t>Department of Children &amp; Family Services</t>
  </si>
  <si>
    <t>State Plan</t>
  </si>
  <si>
    <t>www.dcfs.louisiana.gov/assets/docs/searchable/EconomicStability/TANF/TANF_portion_combined_WIOAplan.pdf</t>
  </si>
  <si>
    <t xml:space="preserve">Louisiana </t>
  </si>
  <si>
    <t>Department of Labor, Workforce Commission, Louisiana's Workforce Combined State Plan (WIOA) Combined State Plan-PY 2020-2023-Finalized, Appendix 4 Temporary Assistance for Needy Families Program (TANF): http://www.laworks.net/Downloads/WIOA/WIOA_Appendix_4_2020_Final.pdf.</t>
  </si>
  <si>
    <t>Department of Labor, Workforce Commission, Louisiana's Workforce Combined State Plan (WIOA) Combined State Plan-PY 2020-2023-Finalized: http://www.laworks.net/PublicRelations/WIOA_StatePlan.asp</t>
  </si>
  <si>
    <t>http://www.dcfs.louisiana.gov/page/139</t>
  </si>
  <si>
    <t>Department of Human Resources: https://www.mdhs.ms.gov/</t>
  </si>
  <si>
    <t>200 South Lamar St., Jackson, MS 39201, 601-359-4500</t>
  </si>
  <si>
    <t>https://www.mdhs.ms.gov/economic-assistance/tanf/</t>
  </si>
  <si>
    <t xml:space="preserve">Mississippi </t>
  </si>
  <si>
    <t>Department of Human Resources, Workforce Innovation and Opportunity Act (WIOA) Draft Combined 2020, Temporary Assistance for Needy Families, pp. 220 et seq. : https://swib.ms.gov/wioa2020/ and https://www2.ed.gov/about/offices/list/osers/rsa/wioa/state-plans/ms.pdf.</t>
  </si>
  <si>
    <t>Department of Human Resources, Workforce Innovation and Opportunity Act (WIOA) Draft Combined 2020, Temporary Assistance for Needy Families, pp. 220 et seq.: https://swib.ms.gov/wp-content/uploads/2020/02/MSWIOA_2020_PublicReview.pdf.</t>
  </si>
  <si>
    <t xml:space="preserve">Combined State Plan (pp 234 + </t>
  </si>
  <si>
    <t>https://www2.ed.gov/about/offices/list/osers/rsa/wioa/state-plans/ms.pdf</t>
  </si>
  <si>
    <t>Old State Plans</t>
  </si>
  <si>
    <t>couldn't find recent: older: https://sos.ms.gov/ACProposed/00018313b.pdf; plan through 2014: https://sos.ms.gov/ACProposed/00020378b.pdf</t>
  </si>
  <si>
    <t>NC Department of Health and Human Services, Division of Social Services</t>
  </si>
  <si>
    <t>NC DHHS - Division of Social Services, Dorothea Dix Campus, McBryde Building, 820 S. Boylan Avenue, Raleigh, NC 27603</t>
  </si>
  <si>
    <t>Phone: 919-527-6335</t>
  </si>
  <si>
    <t>https://files.nc.gov/ncdhhs/documents/files/2019-2022%20TANF%20STATE%20PLAN%20DRAFT.pdf</t>
  </si>
  <si>
    <t>Work First Family Assistance.</t>
  </si>
  <si>
    <t>https://www.ncdhhs.gov/divisions/social-services/work-first-family-assistance</t>
  </si>
  <si>
    <t>Department of Human Resources</t>
  </si>
  <si>
    <t>Danielle W. Barnes, 505 Deaderick Street, Nashville, TN 37243-1403</t>
  </si>
  <si>
    <t>https://www.tn.gov/content/tn/humanservices.html</t>
  </si>
  <si>
    <t xml:space="preserve">Combined State Plan (pp 229 + </t>
  </si>
  <si>
    <t xml:space="preserve">https://www.tn.gov/content/dam/tn/human-services/documents/TN_WIOA_Combined_State_Plan.pdf </t>
  </si>
  <si>
    <t>Families First (TANF</t>
  </si>
  <si>
    <t>https://www.tn.gov/humanservices/for-families/families-first-tanf.html</t>
  </si>
  <si>
    <t>Department of Health and Human Services, Dr. Courtney N. Phillips, HHS Executive Commissioner, Texas Temporary Assistance for Needy Families</t>
  </si>
  <si>
    <t>Texas Workforce Innovation and Opportunity Act (WIOA) Combined State Plan, FY 2018, two year modification, approved September 13, 2018, pp. 63 et seq.: https://www.twc.texas.gov/files/partners/wioa-combined-state-plan-twc.pdf and https://www.twc.texas.gov/partners/workforce-innovation-opportunity-act-wioa#service.</t>
  </si>
  <si>
    <t>101 E. 15th Street, Austin, TX 78778, 877-541-7905 or 512-463-2222</t>
  </si>
  <si>
    <t>https://yourtexasbenefits.hhsc.texas.gov/programs/tanf/families</t>
  </si>
  <si>
    <t>2016 State Plan</t>
  </si>
  <si>
    <t>https://hhs.texas.gov/file/74841/download?token=xPCB2aix</t>
  </si>
  <si>
    <t>Texas Works Handbook</t>
  </si>
  <si>
    <t>https://hhs.texas.gov/laws-regulations/handbooks/twh/part-c-appendix/section-100-income-limits-proration-charts</t>
  </si>
  <si>
    <t>Texas Works Handbook: explains deductions</t>
  </si>
  <si>
    <t>https://hhs.texas.gov/laws-regulations/handbooks/twh/part-a-determining-eligibility/section-1400-deductions#A1425</t>
  </si>
  <si>
    <t>Disregard and/or Pass-through 1 Child</t>
  </si>
  <si>
    <t>Disregard and/or Pass-through 2 or More Children</t>
  </si>
  <si>
    <t>Increase in Grant if Support Assigned</t>
  </si>
  <si>
    <t>Child Support Incentive</t>
  </si>
  <si>
    <t>Count Step Parents Income?</t>
  </si>
  <si>
    <t>2023</t>
  </si>
  <si>
    <t>FPIG</t>
  </si>
  <si>
    <t>Federal Poverty Income Guidelines</t>
  </si>
  <si>
    <t>U.S. Federal Poverty Guidelines Used to Determine Financial Eligibility for Certain Federal Programs</t>
  </si>
  <si>
    <t>U.S Department of Health and Human Services</t>
  </si>
  <si>
    <t>Office of the Assistant Secretary for Planning Evaluation</t>
  </si>
  <si>
    <t>https://aspe.hhs.gov/poverty-guidelines</t>
  </si>
  <si>
    <t>From the website, accessed 02/21/2020</t>
  </si>
  <si>
    <t>"There are two slightly different versions of the federal poverty measure: poverty thresholds and poverty guidelines."</t>
  </si>
  <si>
    <t>"The poverty thresholds are the original version of the federal poverty measure. They are updated each year by the Census Bureau. The thresholds are used mainly for statistical purposes — for instance, preparing estimates of the number of Americans in poverty each year. (In other words, all official poverty population figures are calculated using the poverty thresholds, not the guidelines). Poverty thresholds since 1973 (and for selected earlier years) and weighted average poverty thresholds since 1959 are available on the Census Bureau’s Web site. For an example of how the Census Bureau applies the thresholds to a family’s income to determine its poverty status, see “How the Census Bureau Measures Poverty” on the Census Bureau’s web site."</t>
  </si>
  <si>
    <r>
      <t xml:space="preserve">"The poverty guidelines are the other version of the federal poverty measure. They are issued each year in the </t>
    </r>
    <r>
      <rPr>
        <sz val="11"/>
        <color rgb="FFFF0000"/>
        <rFont val="Calibri"/>
        <family val="2"/>
        <scheme val="minor"/>
      </rPr>
      <t>Federal Register by the Department of Health and Human Services (HHS</t>
    </r>
    <r>
      <rPr>
        <sz val="11"/>
        <color theme="1"/>
        <rFont val="Calibri"/>
        <family val="2"/>
        <scheme val="minor"/>
      </rPr>
      <t>). The guidelines are a simplification of the poverty thresholds for use for administrative purposes — for instance, determining financial eligibility for certain federal programs."</t>
    </r>
  </si>
  <si>
    <t>"The poverty guidelines are sometimes loosely referred to as the “federal poverty level” (FPL), but that phrase is ambiguous and should be avoided, especially in situations (e.g., legislative or administrative) where precision is important."</t>
  </si>
  <si>
    <t>"Key differences between poverty thresholds and poverty guidelines are outlined in a table under Frequently Asked Questions (FAQs). See also the discussion of this topic on the Institute for Research on Poverty’s web site"</t>
  </si>
  <si>
    <t>"The January 2020 poverty guidelines are calculated by taking the 2018 Census Bureau’s poverty thresholds and adjusting them for price changes between 2018 and 2019 using the Consumer Price Index (CPI-U). The poverty thresholds used by the Census Bureau for statistical purposes are complex and are not composed of standardized increments between family sizes. Since many program officials prefer to use guidelines with uniform increments across family sizes, the poverty guidelines include rounding and standardizing adjustments."</t>
  </si>
  <si>
    <t>LookupTable: FPIG</t>
  </si>
  <si>
    <t>Monthly</t>
  </si>
  <si>
    <t>Persons in Family/Household</t>
  </si>
  <si>
    <t>2011</t>
  </si>
  <si>
    <t>2012</t>
  </si>
  <si>
    <t>2013</t>
  </si>
  <si>
    <t>2014</t>
  </si>
  <si>
    <t>2015</t>
  </si>
  <si>
    <t>2016</t>
  </si>
  <si>
    <t>2017</t>
  </si>
  <si>
    <t>48 States</t>
  </si>
  <si>
    <t>add*</t>
  </si>
  <si>
    <t>Alaska</t>
  </si>
  <si>
    <t>Hawaii</t>
  </si>
  <si>
    <t>add* means amount to be added per each additional family/household member over 8 persons</t>
  </si>
  <si>
    <t>48 states mean 48 contiguous states plus the District of Columbia</t>
  </si>
  <si>
    <t>The poverty guidelines are not defined for Puerto Rico, the U.S. Virgin Islands, American Samoa, Guam, the Republic of the Marshall Islands, the Federated States of Micronesia, the Commonwealth of the Northern Mariana Islands, and Palau. In cases in which a Federal program using the poverty guidelines serves any of those jurisdictions, the Federal office which administers the program is responsible for deciding whether to use the contiguous-states-and-D.C. guidelines for those jurisdictions or to follow some other procedure.</t>
  </si>
  <si>
    <t>INDEX(FPIG,MATCH(1,(FPIG[State]=$E$54)*(FPIG[Persons in Family/Household]=$E$55),0),MATCH($E$56,VALUE(FPIG[#Headers]),0))</t>
  </si>
  <si>
    <t>Most recent year found here: https://aspe.hhs.gov/poverty-guidelines</t>
  </si>
  <si>
    <t>Prior years can be found here: https://aspe.hhs.gov/prior-hhs-poverty-guidelines-and-federal-register-references</t>
  </si>
  <si>
    <t>Federal Register</t>
  </si>
  <si>
    <t>2011 Vol. 76, No. 13, January 20, 2011, pp. 3637-3638</t>
  </si>
  <si>
    <t>2012 Vol. 77, No. 17, January 26, 2012, pp. 4034-4035</t>
  </si>
  <si>
    <t>2013 Vol. 78, No. 16, January 24, 2013, pp. 5182-5183</t>
  </si>
  <si>
    <t>2014 Vol. 79, No. 14, January 22, 2014, pp. 3593-3594</t>
  </si>
  <si>
    <t>2015 Vol. 80, No. 14, January 22, 2015, pp. 3236-3237</t>
  </si>
  <si>
    <t>2016 Vol. 81, No.15 January 25, 2016, pp. 4036-4037</t>
  </si>
  <si>
    <t>2017 Vol. 82, No. 19, January 31, 2017, pp. 8831-8832</t>
  </si>
  <si>
    <t>2018 Vol. 83, No. 12, January 18, 2018, pp. 2642-2644</t>
  </si>
  <si>
    <t>2019 Vol. 84, No. 22, February 1, 2019, pp. 1167-1168</t>
  </si>
  <si>
    <t>The 2020 poverty guidelines are in effect as of January 15, 2020</t>
  </si>
  <si>
    <t>2020 Vol. 85, No. 12, January 17, 2020, pp. 3060-3061</t>
  </si>
  <si>
    <t>The Federal Register notice for the 2020 Poverty Guidelines was published January 17, 2020</t>
  </si>
  <si>
    <t>https://www.federalregister.gov/documents/2020/01/17/2020-00858/annual-update-of-the-hhs-poverty-guidelines</t>
  </si>
  <si>
    <t>https://aspe.hhs.gov/topics/poverty-economic-mobility/poverty-guidelines</t>
  </si>
  <si>
    <t>2024</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</si>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</sst>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164" formatCode="&quot;$&quot;#,##0"/>
    <numFmt numFmtId="165" formatCode="0.0%"/>
  </numFmts>
  <fonts count="12"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color theme="1"/>
      <name val="Wingdings"/>
      <charset val="2"/>
    </font>
    <font>
      <b/>
      <sz val="11"/>
      <color rgb="FFFF0000"/>
      <name val="Calibri"/>
      <family val="2"/>
      <scheme val="minor"/>
    </font>
    <font>
      <sz val="12"/>
      <color rgb="FF000000"/>
      <name val="Verdana"/>
      <family val="2"/>
    </font>
    <font>
      <b/>
      <sz val="11"/>
      <color rgb="FF000000"/>
      <name val="Calibri"/>
      <family val="2"/>
      <scheme val="minor"/>
    </font>
    <font>
      <sz val="8"/>
      <name val="Calibri"/>
      <family val="2"/>
      <scheme val="minor"/>
    </font>
    <font>
      <i/>
      <sz val="12"/>
      <color rgb="FF2F2F2F"/>
      <name val="Arial"/>
      <family val="2"/>
    </font>
    <font>
      <sz val="10"/>
      <color rgb="FF333333"/>
      <name val="Arial"/>
      <family val="2"/>
    </font>
  </fonts>
  <fills count="3">
    <fill>
      <patternFill patternType="none"/>
    </fill>
    <fill>
      <patternFill patternType="gray125"/>
    </fill>
    <fill>
      <patternFill patternType="solid">
        <fgColor theme="4" tint="0.79998168889431442"/>
        <bgColor theme="4" tint="0.79998168889431442"/>
      </patternFill>
    </fill>
  </fills>
  <borders count="15">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rgb="FFE4E2E0"/>
      </left>
      <right/>
      <top style="medium">
        <color rgb="FFE4E2E0"/>
      </top>
      <bottom style="medium">
        <color rgb="FFE4E2E0"/>
      </bottom>
      <diagonal/>
    </border>
    <border>
      <left/>
      <right/>
      <top style="medium">
        <color rgb="FFE4E2E0"/>
      </top>
      <bottom style="medium">
        <color rgb="FFE4E2E0"/>
      </bottom>
      <diagonal/>
    </border>
    <border>
      <left/>
      <right style="medium">
        <color rgb="FFE4E2E0"/>
      </right>
      <top style="medium">
        <color rgb="FFE4E2E0"/>
      </top>
      <bottom style="medium">
        <color rgb="FFE4E2E0"/>
      </bottom>
      <diagonal/>
    </border>
    <border>
      <left style="medium">
        <color rgb="FFE4E2E0"/>
      </left>
      <right/>
      <top/>
      <bottom style="medium">
        <color rgb="FFE4E2E0"/>
      </bottom>
      <diagonal/>
    </border>
    <border>
      <left/>
      <right/>
      <top/>
      <bottom style="medium">
        <color rgb="FFE4E2E0"/>
      </bottom>
      <diagonal/>
    </border>
    <border>
      <left/>
      <right style="medium">
        <color rgb="FFE4E2E0"/>
      </right>
      <top/>
      <bottom style="medium">
        <color rgb="FFE4E2E0"/>
      </bottom>
      <diagonal/>
    </border>
    <border>
      <left style="medium">
        <color rgb="FFE4E2E0"/>
      </left>
      <right/>
      <top/>
      <bottom/>
      <diagonal/>
    </border>
    <border>
      <left/>
      <right style="medium">
        <color rgb="FFE4E2E0"/>
      </right>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bottom style="thin">
        <color theme="4" tint="0.39997558519241921"/>
      </bottom>
      <diagonal/>
    </border>
  </borders>
  <cellStyleXfs count="3">
    <xf numFmtId="0" fontId="0" fillId="0" borderId="0"/>
    <xf numFmtId="9" fontId="1" fillId="0" borderId="0" applyFont="0" applyFill="0" applyBorder="0" applyAlignment="0" applyProtection="0"/>
    <xf numFmtId="0" fontId="4" fillId="0" borderId="0" applyNumberFormat="0" applyFill="0" applyBorder="0" applyAlignment="0" applyProtection="0"/>
  </cellStyleXfs>
  <cellXfs count="59">
    <xf numFmtId="0" fontId="0" fillId="0" borderId="0" xfId="0"/>
    <xf numFmtId="0" fontId="3" fillId="0" borderId="0" xfId="0" applyFont="1"/>
    <xf numFmtId="0" fontId="5" fillId="0" borderId="0" xfId="0" applyFont="1" applyAlignment="1">
      <alignment horizontal="center"/>
    </xf>
    <xf numFmtId="0" fontId="6" fillId="0" borderId="0" xfId="0" applyFont="1"/>
    <xf numFmtId="0" fontId="0" fillId="0" borderId="0" xfId="0" applyAlignment="1">
      <alignment horizontal="center"/>
    </xf>
    <xf numFmtId="0" fontId="0" fillId="0" borderId="0" xfId="0" applyAlignment="1">
      <alignment horizontal="right"/>
    </xf>
    <xf numFmtId="0" fontId="0" fillId="2" borderId="1" xfId="0" applyFill="1" applyBorder="1"/>
    <xf numFmtId="0" fontId="2" fillId="0" borderId="0" xfId="0" applyFont="1" applyAlignment="1">
      <alignment horizontal="right"/>
    </xf>
    <xf numFmtId="0" fontId="0" fillId="0" borderId="1" xfId="0" applyBorder="1"/>
    <xf numFmtId="9" fontId="0" fillId="0" borderId="0" xfId="0" applyNumberFormat="1" applyAlignment="1">
      <alignment horizontal="center"/>
    </xf>
    <xf numFmtId="164" fontId="0" fillId="0" borderId="0" xfId="0" applyNumberFormat="1" applyAlignment="1">
      <alignment horizontal="center"/>
    </xf>
    <xf numFmtId="6" fontId="0" fillId="0" borderId="0" xfId="0" applyNumberFormat="1" applyAlignment="1">
      <alignment horizontal="center"/>
    </xf>
    <xf numFmtId="0" fontId="0" fillId="0" borderId="0" xfId="0" applyAlignment="1">
      <alignment horizontal="left"/>
    </xf>
    <xf numFmtId="165" fontId="0" fillId="0" borderId="0" xfId="0" applyNumberFormat="1" applyAlignment="1">
      <alignment horizontal="center"/>
    </xf>
    <xf numFmtId="10" fontId="0" fillId="0" borderId="0" xfId="0" applyNumberFormat="1" applyAlignment="1">
      <alignment horizontal="center"/>
    </xf>
    <xf numFmtId="0" fontId="2" fillId="0" borderId="0" xfId="0" applyFont="1"/>
    <xf numFmtId="0" fontId="0" fillId="0" borderId="0" xfId="0" quotePrefix="1"/>
    <xf numFmtId="9" fontId="0" fillId="0" borderId="0" xfId="0" applyNumberFormat="1" applyAlignment="1">
      <alignment horizontal="left"/>
    </xf>
    <xf numFmtId="9" fontId="0" fillId="0" borderId="0" xfId="1" applyFont="1"/>
    <xf numFmtId="6" fontId="0" fillId="0" borderId="0" xfId="0" applyNumberFormat="1" applyAlignment="1">
      <alignment horizontal="left"/>
    </xf>
    <xf numFmtId="6" fontId="0" fillId="0" borderId="0" xfId="0" applyNumberFormat="1"/>
    <xf numFmtId="6" fontId="4" fillId="0" borderId="0" xfId="2" applyNumberFormat="1"/>
    <xf numFmtId="0" fontId="4" fillId="0" borderId="0" xfId="2"/>
    <xf numFmtId="3" fontId="0" fillId="0" borderId="1" xfId="0" applyNumberFormat="1" applyBorder="1" applyAlignment="1">
      <alignment horizontal="center"/>
    </xf>
    <xf numFmtId="3" fontId="0" fillId="0" borderId="2" xfId="0" applyNumberFormat="1" applyBorder="1" applyAlignment="1">
      <alignment horizontal="center"/>
    </xf>
    <xf numFmtId="3" fontId="0" fillId="0" borderId="0" xfId="0" applyNumberFormat="1" applyAlignment="1">
      <alignment horizontal="center"/>
    </xf>
    <xf numFmtId="3" fontId="0" fillId="0" borderId="0" xfId="0" applyNumberFormat="1"/>
    <xf numFmtId="4" fontId="0" fillId="0" borderId="0" xfId="0" applyNumberFormat="1" applyAlignment="1">
      <alignment horizontal="center"/>
    </xf>
    <xf numFmtId="9" fontId="0" fillId="0" borderId="0" xfId="0" applyNumberFormat="1"/>
    <xf numFmtId="4" fontId="0" fillId="2" borderId="1" xfId="0" applyNumberFormat="1" applyFill="1" applyBorder="1" applyAlignment="1">
      <alignment horizontal="center"/>
    </xf>
    <xf numFmtId="0" fontId="7" fillId="0" borderId="3" xfId="0" applyFont="1" applyBorder="1" applyAlignment="1">
      <alignment vertical="top" wrapText="1"/>
    </xf>
    <xf numFmtId="6" fontId="7" fillId="0" borderId="4" xfId="0" applyNumberFormat="1" applyFont="1" applyBorder="1" applyAlignment="1">
      <alignment vertical="top" wrapText="1"/>
    </xf>
    <xf numFmtId="0" fontId="7" fillId="0" borderId="5" xfId="0" applyFont="1" applyBorder="1" applyAlignment="1">
      <alignment vertical="top" wrapText="1"/>
    </xf>
    <xf numFmtId="0" fontId="7" fillId="0" borderId="6" xfId="0" applyFont="1" applyBorder="1" applyAlignment="1">
      <alignment vertical="top" wrapText="1"/>
    </xf>
    <xf numFmtId="6" fontId="7" fillId="0" borderId="7" xfId="0" applyNumberFormat="1" applyFont="1" applyBorder="1" applyAlignment="1">
      <alignment vertical="top" wrapText="1"/>
    </xf>
    <xf numFmtId="0" fontId="7" fillId="0" borderId="8" xfId="0" applyFont="1" applyBorder="1" applyAlignment="1">
      <alignment vertical="top" wrapText="1"/>
    </xf>
    <xf numFmtId="6" fontId="7" fillId="0" borderId="8" xfId="0" applyNumberFormat="1" applyFont="1" applyBorder="1" applyAlignment="1">
      <alignment vertical="top" wrapText="1"/>
    </xf>
    <xf numFmtId="0" fontId="7" fillId="0" borderId="9" xfId="0" applyFont="1" applyBorder="1" applyAlignment="1">
      <alignment vertical="top" wrapText="1"/>
    </xf>
    <xf numFmtId="6" fontId="7" fillId="0" borderId="0" xfId="0" applyNumberFormat="1" applyFont="1" applyAlignment="1">
      <alignment vertical="top" wrapText="1"/>
    </xf>
    <xf numFmtId="6" fontId="7" fillId="0" borderId="10" xfId="0" applyNumberFormat="1" applyFont="1" applyBorder="1" applyAlignment="1">
      <alignment vertical="top" wrapText="1"/>
    </xf>
    <xf numFmtId="3" fontId="0" fillId="0" borderId="11" xfId="0" applyNumberFormat="1" applyBorder="1" applyAlignment="1">
      <alignment horizontal="center"/>
    </xf>
    <xf numFmtId="3" fontId="0" fillId="0" borderId="12" xfId="0" applyNumberFormat="1" applyBorder="1" applyAlignment="1">
      <alignment horizontal="center"/>
    </xf>
    <xf numFmtId="0" fontId="0" fillId="2" borderId="1" xfId="0" applyFill="1" applyBorder="1" applyAlignment="1">
      <alignment horizontal="center"/>
    </xf>
    <xf numFmtId="0" fontId="0" fillId="0" borderId="1" xfId="0" applyBorder="1" applyAlignment="1">
      <alignment horizontal="center"/>
    </xf>
    <xf numFmtId="0" fontId="4" fillId="0" borderId="0" xfId="2" applyAlignment="1">
      <alignment vertical="center"/>
    </xf>
    <xf numFmtId="0" fontId="3" fillId="0" borderId="0" xfId="0" applyFont="1" applyAlignment="1">
      <alignment vertical="center"/>
    </xf>
    <xf numFmtId="0" fontId="8" fillId="0" borderId="0" xfId="0" applyFont="1"/>
    <xf numFmtId="0" fontId="10" fillId="0" borderId="0" xfId="0" applyFont="1"/>
    <xf numFmtId="0" fontId="11" fillId="0" borderId="0" xfId="0" applyFont="1"/>
    <xf numFmtId="8" fontId="0" fillId="0" borderId="0" xfId="0" applyNumberFormat="1"/>
    <xf numFmtId="165" fontId="0" fillId="0" borderId="0" xfId="1" applyNumberFormat="1" applyFont="1"/>
    <xf numFmtId="164" fontId="0" fillId="0" borderId="0" xfId="0" applyNumberFormat="1"/>
    <xf numFmtId="0" fontId="0" fillId="2" borderId="13" xfId="0" applyFill="1" applyBorder="1"/>
    <xf numFmtId="0" fontId="0" fillId="0" borderId="13" xfId="0" applyBorder="1"/>
    <xf numFmtId="6" fontId="0" fillId="0" borderId="1" xfId="0" applyNumberFormat="1" applyBorder="1"/>
    <xf numFmtId="40" fontId="0" fillId="0" borderId="0" xfId="0" applyNumberFormat="1"/>
    <xf numFmtId="3" fontId="0" fillId="0" borderId="14" xfId="0" applyNumberFormat="1" applyBorder="1" applyAlignment="1">
      <alignment horizontal="center"/>
    </xf>
    <xf numFmtId="3" fontId="0" fillId="0" borderId="1" xfId="0" applyNumberFormat="1" applyFill="1" applyBorder="1" applyAlignment="1">
      <alignment horizontal="center"/>
    </xf>
    <xf numFmtId="3" fontId="0" fillId="0" borderId="2" xfId="0" applyNumberFormat="1" applyFill="1" applyBorder="1" applyAlignment="1">
      <alignment horizontal="center"/>
    </xf>
  </cellXfs>
  <cellStyles count="3">
    <cellStyle name="Hyperlink" xfId="2" builtinId="8"/>
    <cellStyle name="Normal" xfId="0" builtinId="0"/>
    <cellStyle name="Percent" xfId="1" builtinId="5"/>
  </cellStyles>
  <dxfs count="44">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numFmt numFmtId="10" formatCode="&quot;$&quot;#,##0_);[Red]\(&quot;$&quot;#,##0\)"/>
    </dxf>
    <dxf>
      <alignment horizontal="center" vertical="bottom" textRotation="0" wrapText="0" indent="0" justifyLastLine="0" shrinkToFit="0" readingOrder="0"/>
    </dxf>
    <dxf>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numFmt numFmtId="10" formatCode="&quot;$&quot;#,##0_);[Red]\(&quot;$&quot;#,##0\)"/>
      <alignment horizontal="center"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 formatCode="#,##0"/>
      <fill>
        <patternFill patternType="none">
          <fgColor indexed="64"/>
          <bgColor indexed="65"/>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numFmt numFmtId="3" formatCode="#,##0"/>
      <fill>
        <patternFill patternType="none">
          <fgColor indexed="64"/>
          <bgColor indexed="65"/>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numFmt numFmtId="3" formatCode="#,##0"/>
      <fill>
        <patternFill patternType="none">
          <fgColor indexed="64"/>
          <bgColor indexed="65"/>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numFmt numFmtId="3" formatCode="#,##0"/>
      <fill>
        <patternFill patternType="none">
          <fgColor indexed="64"/>
          <bgColor indexed="65"/>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numFmt numFmtId="3" formatCode="#,##0"/>
      <fill>
        <patternFill patternType="none">
          <fgColor indexed="64"/>
          <bgColor indexed="65"/>
        </patternFill>
      </fill>
      <alignment horizontal="center"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vertical/>
        <horizontal/>
      </border>
    </dxf>
    <dxf>
      <numFmt numFmtId="3" formatCode="#,##0"/>
      <fill>
        <patternFill patternType="none">
          <fgColor indexed="64"/>
          <bgColor indexed="65"/>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numFmt numFmtId="3" formatCode="#,##0"/>
      <fill>
        <patternFill patternType="none">
          <fgColor indexed="64"/>
          <bgColor indexed="65"/>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wner\Documents\Just%20Saying%20That\Consulting\GCO\Cliff%20Development\Cliff%20Model%20Working%20Group-v13.0.23.5.xlsm" TargetMode="External"/><Relationship Id="rId1" Type="http://schemas.openxmlformats.org/officeDocument/2006/relationships/externalLinkPath" Target="/Users/Owner/Documents/Just%20Saying%20That/Consulting/GCO/Cliff%20Development/Cliff%20Model%20Working%20Group-v13.0.23.5.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Owner\Documents\Just%20Saying%20That\Consulting\GCO\Cliff%20Development\Cliff%20Model%20Working%20Group-v12.8x.xlsm" TargetMode="External"/><Relationship Id="rId1" Type="http://schemas.openxmlformats.org/officeDocument/2006/relationships/externalLinkPath" Target="/Users/Owner/Documents/Just%20Saying%20That/Consulting/GCO/Cliff%20Development/Cliff%20Model%20Working%20Group-v12.8x.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e05eebcf225b5e6d/Documents/1-Georgia%20Center%20for%20Opportunity/Project-Cliff%20Expansion/Cliff%20Model%20Georgia%20v3d%20Sour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aphs"/>
      <sheetName val="Export"/>
      <sheetName val="Analysis"/>
      <sheetName val="Income Compare Graphs"/>
      <sheetName val="Output Income Compare"/>
      <sheetName val="Output Marriage Penalty"/>
      <sheetName val="State Compare Graphs"/>
      <sheetName val="Output State Compare"/>
      <sheetName val="Output"/>
      <sheetName val="Inputs"/>
      <sheetName val="Calc1"/>
      <sheetName val="FPIG"/>
      <sheetName val="FICA"/>
      <sheetName val="CTC"/>
      <sheetName val="fTax"/>
      <sheetName val="EITC"/>
      <sheetName val="TANF"/>
      <sheetName val="sTax"/>
      <sheetName val="sTax2"/>
      <sheetName val="sEITC"/>
      <sheetName val="HIX"/>
      <sheetName val="SSI"/>
      <sheetName val="sSSI"/>
      <sheetName val="SNAP"/>
      <sheetName val="WIC"/>
      <sheetName val="NSLP"/>
      <sheetName val="Mcaid"/>
      <sheetName val="CHIP"/>
      <sheetName val="CCare"/>
      <sheetName val="Sec8"/>
      <sheetName val="LIHEAP"/>
      <sheetName val="States"/>
      <sheetName val="Subdivisions"/>
      <sheetName val="Lists"/>
      <sheetName val="Codes"/>
      <sheetName val="Federal Sources"/>
      <sheetName val="State Sources"/>
      <sheetName val="Tables"/>
      <sheetName val="Defined Name Table"/>
      <sheetName val="Cliff Model Working Group-v13"/>
    </sheetNames>
    <sheetDataSet>
      <sheetData sheetId="0"/>
      <sheetData sheetId="1"/>
      <sheetData sheetId="2"/>
      <sheetData sheetId="3"/>
      <sheetData sheetId="4"/>
      <sheetData sheetId="5"/>
      <sheetData sheetId="6"/>
      <sheetData sheetId="7"/>
      <sheetData sheetId="8"/>
      <sheetData sheetId="9">
        <row r="5">
          <cell r="C5">
            <v>2022</v>
          </cell>
        </row>
        <row r="6">
          <cell r="C6" t="str">
            <v>Georgia</v>
          </cell>
        </row>
        <row r="7">
          <cell r="C7" t="str">
            <v>Statewide Average</v>
          </cell>
        </row>
        <row r="11">
          <cell r="B11" t="str">
            <v>Mother</v>
          </cell>
          <cell r="C11" t="str">
            <v>Yes</v>
          </cell>
          <cell r="D11">
            <v>30</v>
          </cell>
          <cell r="H11" t="str">
            <v>No</v>
          </cell>
        </row>
        <row r="12">
          <cell r="B12" t="str">
            <v>Father</v>
          </cell>
        </row>
        <row r="26">
          <cell r="D26" t="b">
            <v>1</v>
          </cell>
        </row>
        <row r="27">
          <cell r="D27" t="b">
            <v>1</v>
          </cell>
        </row>
        <row r="28">
          <cell r="D28" t="b">
            <v>1</v>
          </cell>
        </row>
        <row r="29">
          <cell r="D29" t="b">
            <v>1</v>
          </cell>
        </row>
        <row r="30">
          <cell r="D30" t="b">
            <v>1</v>
          </cell>
        </row>
        <row r="31">
          <cell r="D31" t="b">
            <v>1</v>
          </cell>
        </row>
        <row r="32">
          <cell r="D32" t="b">
            <v>1</v>
          </cell>
        </row>
        <row r="33">
          <cell r="D33" t="b">
            <v>1</v>
          </cell>
        </row>
        <row r="34">
          <cell r="D34" t="b">
            <v>1</v>
          </cell>
        </row>
        <row r="35">
          <cell r="D35" t="b">
            <v>1</v>
          </cell>
        </row>
        <row r="36">
          <cell r="D36" t="b">
            <v>1</v>
          </cell>
        </row>
        <row r="37">
          <cell r="D37" t="b">
            <v>1</v>
          </cell>
        </row>
        <row r="38">
          <cell r="D38" t="b">
            <v>1</v>
          </cell>
        </row>
        <row r="39">
          <cell r="D39" t="b">
            <v>1</v>
          </cell>
        </row>
        <row r="40">
          <cell r="D40" t="b">
            <v>1</v>
          </cell>
        </row>
        <row r="41">
          <cell r="D41" t="b">
            <v>1</v>
          </cell>
        </row>
        <row r="42">
          <cell r="D42" t="b">
            <v>1</v>
          </cell>
        </row>
        <row r="43">
          <cell r="D43" t="b">
            <v>1</v>
          </cell>
        </row>
        <row r="44">
          <cell r="D44" t="b">
            <v>0</v>
          </cell>
        </row>
      </sheetData>
      <sheetData sheetId="10">
        <row r="2">
          <cell r="N2">
            <v>1</v>
          </cell>
          <cell r="O2">
            <v>2</v>
          </cell>
          <cell r="P2">
            <v>3</v>
          </cell>
          <cell r="Q2">
            <v>4</v>
          </cell>
          <cell r="R2">
            <v>5</v>
          </cell>
          <cell r="S2">
            <v>6</v>
          </cell>
          <cell r="T2">
            <v>7</v>
          </cell>
          <cell r="U2">
            <v>8</v>
          </cell>
          <cell r="V2">
            <v>9</v>
          </cell>
          <cell r="W2">
            <v>10</v>
          </cell>
          <cell r="X2">
            <v>11</v>
          </cell>
          <cell r="Y2">
            <v>12</v>
          </cell>
          <cell r="Z2">
            <v>13</v>
          </cell>
          <cell r="AA2">
            <v>14</v>
          </cell>
          <cell r="AB2">
            <v>15</v>
          </cell>
          <cell r="AC2">
            <v>16</v>
          </cell>
          <cell r="AD2">
            <v>17</v>
          </cell>
          <cell r="AE2">
            <v>18</v>
          </cell>
          <cell r="AF2">
            <v>19</v>
          </cell>
          <cell r="AG2">
            <v>20</v>
          </cell>
          <cell r="AH2">
            <v>21</v>
          </cell>
          <cell r="AI2">
            <v>22</v>
          </cell>
          <cell r="AJ2">
            <v>23</v>
          </cell>
          <cell r="AK2">
            <v>24</v>
          </cell>
          <cell r="AL2">
            <v>25</v>
          </cell>
          <cell r="AM2">
            <v>26</v>
          </cell>
          <cell r="AN2">
            <v>27</v>
          </cell>
          <cell r="AO2">
            <v>28</v>
          </cell>
          <cell r="AP2">
            <v>29</v>
          </cell>
          <cell r="AQ2">
            <v>30</v>
          </cell>
          <cell r="AR2">
            <v>31</v>
          </cell>
          <cell r="AS2">
            <v>32</v>
          </cell>
          <cell r="AT2">
            <v>33</v>
          </cell>
          <cell r="AU2">
            <v>34</v>
          </cell>
          <cell r="AV2">
            <v>35</v>
          </cell>
          <cell r="AW2">
            <v>36</v>
          </cell>
          <cell r="AX2">
            <v>37</v>
          </cell>
          <cell r="AY2">
            <v>38</v>
          </cell>
          <cell r="AZ2">
            <v>39</v>
          </cell>
          <cell r="BA2">
            <v>40</v>
          </cell>
          <cell r="BB2">
            <v>41</v>
          </cell>
          <cell r="BC2">
            <v>42</v>
          </cell>
          <cell r="BD2">
            <v>43</v>
          </cell>
          <cell r="BE2">
            <v>44</v>
          </cell>
          <cell r="BF2">
            <v>45</v>
          </cell>
          <cell r="BG2">
            <v>46</v>
          </cell>
          <cell r="BH2">
            <v>47</v>
          </cell>
          <cell r="BI2">
            <v>48</v>
          </cell>
          <cell r="BJ2">
            <v>49</v>
          </cell>
          <cell r="BK2">
            <v>50</v>
          </cell>
          <cell r="BL2">
            <v>51</v>
          </cell>
          <cell r="BM2">
            <v>52</v>
          </cell>
          <cell r="BN2">
            <v>53</v>
          </cell>
          <cell r="BO2">
            <v>54</v>
          </cell>
          <cell r="BP2">
            <v>55</v>
          </cell>
          <cell r="BQ2">
            <v>56</v>
          </cell>
          <cell r="BR2">
            <v>57</v>
          </cell>
          <cell r="BS2">
            <v>58</v>
          </cell>
          <cell r="BT2">
            <v>59</v>
          </cell>
          <cell r="BU2">
            <v>60</v>
          </cell>
          <cell r="BV2">
            <v>61</v>
          </cell>
          <cell r="BW2">
            <v>62</v>
          </cell>
          <cell r="BX2">
            <v>63</v>
          </cell>
          <cell r="BY2">
            <v>64</v>
          </cell>
          <cell r="BZ2">
            <v>65</v>
          </cell>
          <cell r="CA2">
            <v>66</v>
          </cell>
          <cell r="CB2">
            <v>67</v>
          </cell>
          <cell r="CC2">
            <v>68</v>
          </cell>
          <cell r="CD2">
            <v>69</v>
          </cell>
          <cell r="CE2">
            <v>70</v>
          </cell>
          <cell r="CF2">
            <v>71</v>
          </cell>
          <cell r="CG2">
            <v>72</v>
          </cell>
          <cell r="CH2">
            <v>73</v>
          </cell>
          <cell r="CI2">
            <v>74</v>
          </cell>
          <cell r="CJ2">
            <v>75</v>
          </cell>
          <cell r="CK2">
            <v>76</v>
          </cell>
          <cell r="CL2">
            <v>77</v>
          </cell>
          <cell r="CM2">
            <v>78</v>
          </cell>
          <cell r="CN2">
            <v>79</v>
          </cell>
          <cell r="CO2">
            <v>80</v>
          </cell>
          <cell r="CP2">
            <v>81</v>
          </cell>
          <cell r="CQ2">
            <v>82</v>
          </cell>
          <cell r="CR2">
            <v>83</v>
          </cell>
          <cell r="CS2">
            <v>84</v>
          </cell>
          <cell r="CT2">
            <v>85</v>
          </cell>
          <cell r="CU2">
            <v>86</v>
          </cell>
          <cell r="CV2">
            <v>87</v>
          </cell>
          <cell r="CW2">
            <v>88</v>
          </cell>
          <cell r="CX2">
            <v>89</v>
          </cell>
          <cell r="CY2">
            <v>90</v>
          </cell>
          <cell r="CZ2">
            <v>91</v>
          </cell>
          <cell r="DA2">
            <v>92</v>
          </cell>
          <cell r="DB2">
            <v>93</v>
          </cell>
          <cell r="DC2">
            <v>94</v>
          </cell>
          <cell r="DD2">
            <v>95</v>
          </cell>
          <cell r="DE2">
            <v>96</v>
          </cell>
          <cell r="DF2">
            <v>97</v>
          </cell>
          <cell r="DG2">
            <v>98</v>
          </cell>
          <cell r="DH2">
            <v>99</v>
          </cell>
          <cell r="DI2">
            <v>100</v>
          </cell>
          <cell r="DJ2">
            <v>101</v>
          </cell>
          <cell r="DK2">
            <v>102</v>
          </cell>
          <cell r="DL2">
            <v>103</v>
          </cell>
          <cell r="DM2">
            <v>104</v>
          </cell>
          <cell r="DN2">
            <v>105</v>
          </cell>
          <cell r="DO2">
            <v>106</v>
          </cell>
          <cell r="DP2">
            <v>107</v>
          </cell>
          <cell r="DQ2">
            <v>108</v>
          </cell>
          <cell r="DR2">
            <v>109</v>
          </cell>
          <cell r="DS2">
            <v>110</v>
          </cell>
          <cell r="DT2">
            <v>111</v>
          </cell>
          <cell r="DU2">
            <v>112</v>
          </cell>
          <cell r="DV2">
            <v>113</v>
          </cell>
          <cell r="DW2">
            <v>114</v>
          </cell>
          <cell r="DX2">
            <v>115</v>
          </cell>
          <cell r="DY2">
            <v>116</v>
          </cell>
          <cell r="DZ2">
            <v>117</v>
          </cell>
          <cell r="EA2">
            <v>118</v>
          </cell>
          <cell r="EB2">
            <v>119</v>
          </cell>
          <cell r="EC2">
            <v>120</v>
          </cell>
          <cell r="ED2">
            <v>121</v>
          </cell>
          <cell r="EE2">
            <v>122</v>
          </cell>
          <cell r="EF2">
            <v>123</v>
          </cell>
          <cell r="EG2">
            <v>124</v>
          </cell>
          <cell r="EH2">
            <v>125</v>
          </cell>
          <cell r="EI2">
            <v>126</v>
          </cell>
          <cell r="EJ2">
            <v>127</v>
          </cell>
          <cell r="EK2">
            <v>128</v>
          </cell>
          <cell r="EL2">
            <v>129</v>
          </cell>
          <cell r="EM2">
            <v>130</v>
          </cell>
          <cell r="EN2">
            <v>131</v>
          </cell>
          <cell r="EO2">
            <v>132</v>
          </cell>
          <cell r="EP2">
            <v>133</v>
          </cell>
          <cell r="EQ2">
            <v>134</v>
          </cell>
          <cell r="ER2">
            <v>135</v>
          </cell>
          <cell r="ES2">
            <v>136</v>
          </cell>
          <cell r="ET2">
            <v>137</v>
          </cell>
          <cell r="EU2">
            <v>138</v>
          </cell>
          <cell r="EV2">
            <v>139</v>
          </cell>
          <cell r="EW2">
            <v>140</v>
          </cell>
          <cell r="EX2">
            <v>141</v>
          </cell>
          <cell r="EY2">
            <v>142</v>
          </cell>
          <cell r="EZ2">
            <v>143</v>
          </cell>
          <cell r="FA2">
            <v>144</v>
          </cell>
          <cell r="FB2">
            <v>145</v>
          </cell>
          <cell r="FC2">
            <v>146</v>
          </cell>
          <cell r="FD2">
            <v>147</v>
          </cell>
          <cell r="FE2">
            <v>148</v>
          </cell>
          <cell r="FF2">
            <v>149</v>
          </cell>
          <cell r="FG2">
            <v>150</v>
          </cell>
          <cell r="FH2">
            <v>151</v>
          </cell>
          <cell r="FI2">
            <v>152</v>
          </cell>
          <cell r="FJ2">
            <v>153</v>
          </cell>
          <cell r="FK2">
            <v>154</v>
          </cell>
          <cell r="FL2">
            <v>155</v>
          </cell>
          <cell r="FM2">
            <v>156</v>
          </cell>
          <cell r="FN2">
            <v>157</v>
          </cell>
          <cell r="FO2">
            <v>158</v>
          </cell>
          <cell r="FP2">
            <v>159</v>
          </cell>
          <cell r="FQ2">
            <v>160</v>
          </cell>
          <cell r="FR2">
            <v>161</v>
          </cell>
          <cell r="FS2">
            <v>162</v>
          </cell>
          <cell r="FT2">
            <v>163</v>
          </cell>
          <cell r="FU2">
            <v>164</v>
          </cell>
          <cell r="FV2">
            <v>165</v>
          </cell>
          <cell r="FW2">
            <v>166</v>
          </cell>
          <cell r="FX2">
            <v>167</v>
          </cell>
          <cell r="FY2">
            <v>168</v>
          </cell>
          <cell r="FZ2">
            <v>169</v>
          </cell>
          <cell r="GA2">
            <v>170</v>
          </cell>
          <cell r="GB2">
            <v>171</v>
          </cell>
          <cell r="GC2">
            <v>172</v>
          </cell>
          <cell r="GD2">
            <v>173</v>
          </cell>
          <cell r="GE2">
            <v>174</v>
          </cell>
          <cell r="GF2">
            <v>175</v>
          </cell>
          <cell r="GG2">
            <v>176</v>
          </cell>
          <cell r="GH2">
            <v>177</v>
          </cell>
          <cell r="GI2">
            <v>178</v>
          </cell>
          <cell r="GJ2">
            <v>179</v>
          </cell>
          <cell r="GK2">
            <v>180</v>
          </cell>
          <cell r="GL2">
            <v>181</v>
          </cell>
          <cell r="GM2">
            <v>182</v>
          </cell>
          <cell r="GN2">
            <v>183</v>
          </cell>
          <cell r="GO2">
            <v>184</v>
          </cell>
          <cell r="GP2">
            <v>185</v>
          </cell>
          <cell r="GQ2">
            <v>186</v>
          </cell>
          <cell r="GR2">
            <v>187</v>
          </cell>
          <cell r="GS2">
            <v>188</v>
          </cell>
          <cell r="GT2">
            <v>189</v>
          </cell>
          <cell r="GU2">
            <v>190</v>
          </cell>
          <cell r="GV2">
            <v>191</v>
          </cell>
          <cell r="GW2">
            <v>192</v>
          </cell>
          <cell r="GX2">
            <v>193</v>
          </cell>
          <cell r="GY2">
            <v>194</v>
          </cell>
          <cell r="GZ2">
            <v>195</v>
          </cell>
          <cell r="HA2">
            <v>196</v>
          </cell>
          <cell r="HB2">
            <v>197</v>
          </cell>
          <cell r="HC2">
            <v>198</v>
          </cell>
          <cell r="HD2">
            <v>199</v>
          </cell>
          <cell r="HE2">
            <v>200</v>
          </cell>
          <cell r="HF2">
            <v>201</v>
          </cell>
        </row>
        <row r="4">
          <cell r="N4">
            <v>0</v>
          </cell>
          <cell r="O4">
            <v>19.93</v>
          </cell>
          <cell r="P4">
            <v>20.89</v>
          </cell>
          <cell r="Q4">
            <v>21.85</v>
          </cell>
          <cell r="R4">
            <v>22.81</v>
          </cell>
          <cell r="S4">
            <v>23.76</v>
          </cell>
          <cell r="T4">
            <v>24.72</v>
          </cell>
          <cell r="U4">
            <v>25.68</v>
          </cell>
          <cell r="V4">
            <v>26.64</v>
          </cell>
          <cell r="W4">
            <v>27.6</v>
          </cell>
          <cell r="X4">
            <v>28.56</v>
          </cell>
          <cell r="Y4">
            <v>29.51</v>
          </cell>
          <cell r="Z4">
            <v>30.47</v>
          </cell>
          <cell r="AA4">
            <v>31.43</v>
          </cell>
          <cell r="AB4">
            <v>32.39</v>
          </cell>
          <cell r="AC4">
            <v>33.35</v>
          </cell>
          <cell r="AD4">
            <v>34.31</v>
          </cell>
          <cell r="AE4">
            <v>35.26</v>
          </cell>
          <cell r="AF4">
            <v>36.22</v>
          </cell>
          <cell r="AG4">
            <v>37.18</v>
          </cell>
          <cell r="AH4">
            <v>38.14</v>
          </cell>
          <cell r="AI4">
            <v>39.1</v>
          </cell>
          <cell r="AJ4">
            <v>40</v>
          </cell>
          <cell r="AK4">
            <v>40</v>
          </cell>
          <cell r="AL4">
            <v>40</v>
          </cell>
          <cell r="AM4">
            <v>40</v>
          </cell>
          <cell r="AN4">
            <v>40</v>
          </cell>
          <cell r="AO4">
            <v>40</v>
          </cell>
          <cell r="AP4">
            <v>40</v>
          </cell>
          <cell r="AQ4">
            <v>40</v>
          </cell>
          <cell r="AR4">
            <v>40</v>
          </cell>
          <cell r="AS4">
            <v>40</v>
          </cell>
          <cell r="AT4">
            <v>40</v>
          </cell>
          <cell r="AU4">
            <v>40</v>
          </cell>
          <cell r="AV4">
            <v>40</v>
          </cell>
          <cell r="AW4">
            <v>39.99</v>
          </cell>
          <cell r="AX4">
            <v>39.99</v>
          </cell>
          <cell r="AY4">
            <v>39.99</v>
          </cell>
          <cell r="AZ4">
            <v>39.99</v>
          </cell>
          <cell r="BA4">
            <v>39.99</v>
          </cell>
          <cell r="BB4">
            <v>39.99</v>
          </cell>
          <cell r="BC4">
            <v>39.99</v>
          </cell>
          <cell r="BD4">
            <v>40</v>
          </cell>
          <cell r="BE4">
            <v>40</v>
          </cell>
          <cell r="BF4">
            <v>40</v>
          </cell>
          <cell r="BG4">
            <v>40</v>
          </cell>
          <cell r="BH4">
            <v>40</v>
          </cell>
          <cell r="BI4">
            <v>40</v>
          </cell>
          <cell r="BJ4">
            <v>40</v>
          </cell>
          <cell r="BK4">
            <v>40</v>
          </cell>
          <cell r="BL4">
            <v>40</v>
          </cell>
          <cell r="BM4">
            <v>40</v>
          </cell>
          <cell r="BN4">
            <v>40</v>
          </cell>
          <cell r="BO4">
            <v>40</v>
          </cell>
          <cell r="BP4">
            <v>40</v>
          </cell>
          <cell r="BQ4">
            <v>40</v>
          </cell>
          <cell r="BR4">
            <v>40</v>
          </cell>
          <cell r="BS4">
            <v>40</v>
          </cell>
          <cell r="BT4">
            <v>40</v>
          </cell>
          <cell r="BU4">
            <v>39.99</v>
          </cell>
          <cell r="BV4">
            <v>39.99</v>
          </cell>
          <cell r="BW4">
            <v>39.99</v>
          </cell>
          <cell r="BX4">
            <v>39.99</v>
          </cell>
          <cell r="BY4">
            <v>39.99</v>
          </cell>
          <cell r="BZ4">
            <v>39.99</v>
          </cell>
          <cell r="CA4">
            <v>40</v>
          </cell>
          <cell r="CB4">
            <v>40</v>
          </cell>
          <cell r="CC4">
            <v>40</v>
          </cell>
          <cell r="CD4">
            <v>40</v>
          </cell>
          <cell r="CE4">
            <v>40</v>
          </cell>
          <cell r="CF4">
            <v>40</v>
          </cell>
          <cell r="CG4">
            <v>40</v>
          </cell>
          <cell r="CH4">
            <v>40</v>
          </cell>
          <cell r="CI4">
            <v>40</v>
          </cell>
          <cell r="CJ4">
            <v>40</v>
          </cell>
          <cell r="CK4">
            <v>40</v>
          </cell>
          <cell r="CL4">
            <v>40</v>
          </cell>
          <cell r="CM4">
            <v>40</v>
          </cell>
          <cell r="CN4">
            <v>40</v>
          </cell>
          <cell r="CO4">
            <v>40</v>
          </cell>
          <cell r="CP4">
            <v>40</v>
          </cell>
          <cell r="CQ4">
            <v>40</v>
          </cell>
          <cell r="CR4">
            <v>40</v>
          </cell>
          <cell r="CS4">
            <v>40</v>
          </cell>
          <cell r="CT4">
            <v>39.99</v>
          </cell>
          <cell r="CU4">
            <v>39.99</v>
          </cell>
          <cell r="CV4">
            <v>39.99</v>
          </cell>
          <cell r="CW4">
            <v>39.99</v>
          </cell>
          <cell r="CX4">
            <v>40</v>
          </cell>
          <cell r="CY4">
            <v>40</v>
          </cell>
          <cell r="CZ4">
            <v>40</v>
          </cell>
          <cell r="DA4">
            <v>40</v>
          </cell>
          <cell r="DB4">
            <v>40</v>
          </cell>
          <cell r="DC4">
            <v>40</v>
          </cell>
          <cell r="DD4">
            <v>40</v>
          </cell>
          <cell r="DE4">
            <v>40</v>
          </cell>
          <cell r="DF4">
            <v>40</v>
          </cell>
          <cell r="DG4">
            <v>40</v>
          </cell>
          <cell r="DH4">
            <v>40</v>
          </cell>
          <cell r="DI4">
            <v>40</v>
          </cell>
          <cell r="DJ4">
            <v>40</v>
          </cell>
          <cell r="DK4">
            <v>40</v>
          </cell>
          <cell r="DL4">
            <v>40</v>
          </cell>
          <cell r="DM4">
            <v>40</v>
          </cell>
          <cell r="DN4">
            <v>40</v>
          </cell>
          <cell r="DO4">
            <v>40</v>
          </cell>
          <cell r="DP4">
            <v>40</v>
          </cell>
          <cell r="DQ4">
            <v>40</v>
          </cell>
          <cell r="DR4">
            <v>39.99</v>
          </cell>
          <cell r="DS4">
            <v>39.99</v>
          </cell>
          <cell r="DT4">
            <v>39.99</v>
          </cell>
          <cell r="DU4">
            <v>40</v>
          </cell>
          <cell r="DV4">
            <v>40</v>
          </cell>
          <cell r="DW4">
            <v>40</v>
          </cell>
          <cell r="DX4">
            <v>40</v>
          </cell>
          <cell r="DY4">
            <v>40</v>
          </cell>
          <cell r="DZ4">
            <v>40</v>
          </cell>
          <cell r="EA4">
            <v>40</v>
          </cell>
          <cell r="EB4">
            <v>40</v>
          </cell>
          <cell r="EC4">
            <v>40</v>
          </cell>
          <cell r="ED4">
            <v>40</v>
          </cell>
          <cell r="EE4">
            <v>40</v>
          </cell>
          <cell r="EF4">
            <v>40</v>
          </cell>
          <cell r="EG4">
            <v>40</v>
          </cell>
          <cell r="EH4">
            <v>40</v>
          </cell>
          <cell r="EI4">
            <v>40</v>
          </cell>
          <cell r="EJ4">
            <v>40</v>
          </cell>
          <cell r="EK4">
            <v>40</v>
          </cell>
          <cell r="EL4">
            <v>40</v>
          </cell>
          <cell r="EM4">
            <v>40</v>
          </cell>
          <cell r="EN4">
            <v>40</v>
          </cell>
          <cell r="EO4">
            <v>40</v>
          </cell>
          <cell r="EP4">
            <v>40</v>
          </cell>
          <cell r="EQ4">
            <v>39.99</v>
          </cell>
          <cell r="ER4">
            <v>40</v>
          </cell>
          <cell r="ES4">
            <v>40</v>
          </cell>
          <cell r="ET4">
            <v>40</v>
          </cell>
          <cell r="EU4">
            <v>40</v>
          </cell>
          <cell r="EV4">
            <v>40</v>
          </cell>
          <cell r="EW4">
            <v>40</v>
          </cell>
          <cell r="EX4">
            <v>40</v>
          </cell>
          <cell r="EY4">
            <v>40</v>
          </cell>
          <cell r="EZ4">
            <v>40</v>
          </cell>
          <cell r="FA4">
            <v>40</v>
          </cell>
          <cell r="FB4">
            <v>40</v>
          </cell>
          <cell r="FC4">
            <v>40</v>
          </cell>
          <cell r="FD4">
            <v>40</v>
          </cell>
          <cell r="FE4">
            <v>40</v>
          </cell>
          <cell r="FF4">
            <v>40</v>
          </cell>
          <cell r="FG4">
            <v>40</v>
          </cell>
          <cell r="FH4">
            <v>40</v>
          </cell>
          <cell r="FI4">
            <v>40</v>
          </cell>
          <cell r="FJ4">
            <v>40</v>
          </cell>
          <cell r="FK4">
            <v>40</v>
          </cell>
          <cell r="FL4">
            <v>40</v>
          </cell>
          <cell r="FM4">
            <v>40</v>
          </cell>
          <cell r="FN4">
            <v>40</v>
          </cell>
          <cell r="FO4">
            <v>40</v>
          </cell>
          <cell r="FP4">
            <v>40</v>
          </cell>
          <cell r="FQ4">
            <v>40</v>
          </cell>
          <cell r="FR4">
            <v>40</v>
          </cell>
          <cell r="FS4">
            <v>40</v>
          </cell>
          <cell r="FT4">
            <v>40</v>
          </cell>
          <cell r="FU4">
            <v>40</v>
          </cell>
          <cell r="FV4">
            <v>40</v>
          </cell>
          <cell r="FW4">
            <v>40</v>
          </cell>
          <cell r="FX4">
            <v>40</v>
          </cell>
          <cell r="FY4">
            <v>40</v>
          </cell>
          <cell r="FZ4">
            <v>40</v>
          </cell>
          <cell r="GA4">
            <v>40</v>
          </cell>
          <cell r="GB4">
            <v>40</v>
          </cell>
          <cell r="GC4">
            <v>40</v>
          </cell>
          <cell r="GD4">
            <v>40</v>
          </cell>
          <cell r="GE4">
            <v>40</v>
          </cell>
          <cell r="GF4">
            <v>40</v>
          </cell>
          <cell r="GG4">
            <v>40</v>
          </cell>
          <cell r="GH4">
            <v>40</v>
          </cell>
          <cell r="GI4">
            <v>40</v>
          </cell>
          <cell r="GJ4">
            <v>40</v>
          </cell>
          <cell r="GK4">
            <v>40</v>
          </cell>
          <cell r="GL4">
            <v>40</v>
          </cell>
          <cell r="GM4">
            <v>40</v>
          </cell>
          <cell r="GN4">
            <v>40</v>
          </cell>
          <cell r="GO4">
            <v>40</v>
          </cell>
          <cell r="GP4">
            <v>40</v>
          </cell>
          <cell r="GQ4">
            <v>40</v>
          </cell>
          <cell r="GR4">
            <v>40</v>
          </cell>
          <cell r="GS4">
            <v>40</v>
          </cell>
          <cell r="GT4">
            <v>40</v>
          </cell>
          <cell r="GU4">
            <v>40</v>
          </cell>
          <cell r="GV4">
            <v>40</v>
          </cell>
          <cell r="GW4">
            <v>40</v>
          </cell>
          <cell r="GX4">
            <v>40</v>
          </cell>
          <cell r="GY4">
            <v>40</v>
          </cell>
          <cell r="GZ4">
            <v>40</v>
          </cell>
          <cell r="HA4">
            <v>40</v>
          </cell>
          <cell r="HB4">
            <v>40</v>
          </cell>
          <cell r="HC4">
            <v>40</v>
          </cell>
          <cell r="HD4">
            <v>40</v>
          </cell>
          <cell r="HE4">
            <v>40</v>
          </cell>
          <cell r="HF4">
            <v>40</v>
          </cell>
        </row>
        <row r="5">
          <cell r="N5">
            <v>0</v>
          </cell>
          <cell r="O5">
            <v>866.66666666666663</v>
          </cell>
          <cell r="P5">
            <v>908.33333333333326</v>
          </cell>
          <cell r="Q5">
            <v>949.99999999999989</v>
          </cell>
          <cell r="R5">
            <v>991.66666666666652</v>
          </cell>
          <cell r="S5">
            <v>1033.3333333333333</v>
          </cell>
          <cell r="T5">
            <v>1075</v>
          </cell>
          <cell r="U5">
            <v>1116.6666666666667</v>
          </cell>
          <cell r="V5">
            <v>1158.3333333333335</v>
          </cell>
          <cell r="W5">
            <v>1200.0000000000002</v>
          </cell>
          <cell r="X5">
            <v>1241.666666666667</v>
          </cell>
          <cell r="Y5">
            <v>1283.3333333333337</v>
          </cell>
          <cell r="Z5">
            <v>1325.0000000000005</v>
          </cell>
          <cell r="AA5">
            <v>1366.6666666666672</v>
          </cell>
          <cell r="AB5">
            <v>1408.3333333333339</v>
          </cell>
          <cell r="AC5">
            <v>1450.0000000000007</v>
          </cell>
          <cell r="AD5">
            <v>1491.6666666666674</v>
          </cell>
          <cell r="AE5">
            <v>1533.3333333333342</v>
          </cell>
          <cell r="AF5">
            <v>1575.0000000000009</v>
          </cell>
          <cell r="AG5">
            <v>1616.6666666666677</v>
          </cell>
          <cell r="AH5">
            <v>1658.3333333333344</v>
          </cell>
          <cell r="AI5">
            <v>1700.0000000000011</v>
          </cell>
          <cell r="AJ5">
            <v>1741.6666666666679</v>
          </cell>
          <cell r="AK5">
            <v>1783.3333333333346</v>
          </cell>
          <cell r="AL5">
            <v>1825.0000000000014</v>
          </cell>
          <cell r="AM5">
            <v>1866.6666666666681</v>
          </cell>
          <cell r="AN5">
            <v>1908.3333333333348</v>
          </cell>
          <cell r="AO5">
            <v>1950.0000000000016</v>
          </cell>
          <cell r="AP5">
            <v>1991.6666666666683</v>
          </cell>
          <cell r="AQ5">
            <v>2033.3333333333351</v>
          </cell>
          <cell r="AR5">
            <v>2075.0000000000018</v>
          </cell>
          <cell r="AS5">
            <v>2116.6666666666683</v>
          </cell>
          <cell r="AT5">
            <v>2158.3333333333348</v>
          </cell>
          <cell r="AU5">
            <v>2200.0000000000014</v>
          </cell>
          <cell r="AV5">
            <v>2241.6666666666679</v>
          </cell>
          <cell r="AW5">
            <v>2283.3333333333344</v>
          </cell>
          <cell r="AX5">
            <v>2325.0000000000009</v>
          </cell>
          <cell r="AY5">
            <v>2366.6666666666674</v>
          </cell>
          <cell r="AZ5">
            <v>2408.3333333333339</v>
          </cell>
          <cell r="BA5">
            <v>2450.0000000000005</v>
          </cell>
          <cell r="BB5">
            <v>2491.666666666667</v>
          </cell>
          <cell r="BC5">
            <v>2533.3333333333335</v>
          </cell>
          <cell r="BD5">
            <v>2575</v>
          </cell>
          <cell r="BE5">
            <v>2616.6666666666665</v>
          </cell>
          <cell r="BF5">
            <v>2658.333333333333</v>
          </cell>
          <cell r="BG5">
            <v>2699.9999999999995</v>
          </cell>
          <cell r="BH5">
            <v>2741.6666666666661</v>
          </cell>
          <cell r="BI5">
            <v>2783.3333333333326</v>
          </cell>
          <cell r="BJ5">
            <v>2824.9999999999991</v>
          </cell>
          <cell r="BK5">
            <v>2866.6666666666656</v>
          </cell>
          <cell r="BL5">
            <v>2908.3333333333321</v>
          </cell>
          <cell r="BM5">
            <v>2949.9999999999986</v>
          </cell>
          <cell r="BN5">
            <v>2991.6666666666652</v>
          </cell>
          <cell r="BO5">
            <v>3033.3333333333317</v>
          </cell>
          <cell r="BP5">
            <v>3074.9999999999982</v>
          </cell>
          <cell r="BQ5">
            <v>3116.6666666666647</v>
          </cell>
          <cell r="BR5">
            <v>3158.3333333333312</v>
          </cell>
          <cell r="BS5">
            <v>3199.9999999999977</v>
          </cell>
          <cell r="BT5">
            <v>3241.6666666666642</v>
          </cell>
          <cell r="BU5">
            <v>3283.3333333333308</v>
          </cell>
          <cell r="BV5">
            <v>3324.9999999999973</v>
          </cell>
          <cell r="BW5">
            <v>3366.6666666666638</v>
          </cell>
          <cell r="BX5">
            <v>3408.3333333333303</v>
          </cell>
          <cell r="BY5">
            <v>3449.9999999999968</v>
          </cell>
          <cell r="BZ5">
            <v>3491.6666666666633</v>
          </cell>
          <cell r="CA5">
            <v>3533.3333333333298</v>
          </cell>
          <cell r="CB5">
            <v>3574.9999999999964</v>
          </cell>
          <cell r="CC5">
            <v>3616.6666666666629</v>
          </cell>
          <cell r="CD5">
            <v>3658.3333333333294</v>
          </cell>
          <cell r="CE5">
            <v>3699.9999999999959</v>
          </cell>
          <cell r="CF5">
            <v>3741.6666666666624</v>
          </cell>
          <cell r="CG5">
            <v>3783.3333333333289</v>
          </cell>
          <cell r="CH5">
            <v>3824.9999999999955</v>
          </cell>
          <cell r="CI5">
            <v>3866.666666666662</v>
          </cell>
          <cell r="CJ5">
            <v>3908.3333333333285</v>
          </cell>
          <cell r="CK5">
            <v>3949.999999999995</v>
          </cell>
          <cell r="CL5">
            <v>3991.6666666666615</v>
          </cell>
          <cell r="CM5">
            <v>4033.333333333328</v>
          </cell>
          <cell r="CN5">
            <v>4074.9999999999945</v>
          </cell>
          <cell r="CO5">
            <v>4116.6666666666615</v>
          </cell>
          <cell r="CP5">
            <v>4158.3333333333285</v>
          </cell>
          <cell r="CQ5">
            <v>4199.9999999999955</v>
          </cell>
          <cell r="CR5">
            <v>4241.6666666666624</v>
          </cell>
          <cell r="CS5">
            <v>4283.3333333333294</v>
          </cell>
          <cell r="CT5">
            <v>4324.9999999999964</v>
          </cell>
          <cell r="CU5">
            <v>4366.6666666666633</v>
          </cell>
          <cell r="CV5">
            <v>4408.3333333333303</v>
          </cell>
          <cell r="CW5">
            <v>4449.9999999999973</v>
          </cell>
          <cell r="CX5">
            <v>4491.6666666666642</v>
          </cell>
          <cell r="CY5">
            <v>4533.3333333333312</v>
          </cell>
          <cell r="CZ5">
            <v>4574.9999999999982</v>
          </cell>
          <cell r="DA5">
            <v>4616.6666666666652</v>
          </cell>
          <cell r="DB5">
            <v>4658.3333333333321</v>
          </cell>
          <cell r="DC5">
            <v>4699.9999999999991</v>
          </cell>
          <cell r="DD5">
            <v>4741.6666666666661</v>
          </cell>
          <cell r="DE5">
            <v>4783.333333333333</v>
          </cell>
          <cell r="DF5">
            <v>4825</v>
          </cell>
          <cell r="DG5">
            <v>4866.666666666667</v>
          </cell>
          <cell r="DH5">
            <v>4908.3333333333339</v>
          </cell>
          <cell r="DI5">
            <v>4950.0000000000009</v>
          </cell>
          <cell r="DJ5">
            <v>4991.6666666666679</v>
          </cell>
          <cell r="DK5">
            <v>5033.3333333333348</v>
          </cell>
          <cell r="DL5">
            <v>5075.0000000000018</v>
          </cell>
          <cell r="DM5">
            <v>5116.6666666666688</v>
          </cell>
          <cell r="DN5">
            <v>5158.3333333333358</v>
          </cell>
          <cell r="DO5">
            <v>5200.0000000000027</v>
          </cell>
          <cell r="DP5">
            <v>5241.6666666666697</v>
          </cell>
          <cell r="DQ5">
            <v>5283.3333333333367</v>
          </cell>
          <cell r="DR5">
            <v>5325.0000000000036</v>
          </cell>
          <cell r="DS5">
            <v>5366.6666666666706</v>
          </cell>
          <cell r="DT5">
            <v>5408.3333333333376</v>
          </cell>
          <cell r="DU5">
            <v>5450.0000000000045</v>
          </cell>
          <cell r="DV5">
            <v>5491.6666666666715</v>
          </cell>
          <cell r="DW5">
            <v>5533.3333333333385</v>
          </cell>
          <cell r="DX5">
            <v>5575.0000000000055</v>
          </cell>
          <cell r="DY5">
            <v>5616.6666666666724</v>
          </cell>
          <cell r="DZ5">
            <v>5658.3333333333394</v>
          </cell>
          <cell r="EA5">
            <v>5700.0000000000064</v>
          </cell>
          <cell r="EB5">
            <v>5741.6666666666733</v>
          </cell>
          <cell r="EC5">
            <v>5783.3333333333403</v>
          </cell>
          <cell r="ED5">
            <v>5825.0000000000073</v>
          </cell>
          <cell r="EE5">
            <v>5866.6666666666742</v>
          </cell>
          <cell r="EF5">
            <v>5908.3333333333412</v>
          </cell>
          <cell r="EG5">
            <v>5950.0000000000082</v>
          </cell>
          <cell r="EH5">
            <v>5991.6666666666752</v>
          </cell>
          <cell r="EI5">
            <v>6033.3333333333421</v>
          </cell>
          <cell r="EJ5">
            <v>6075.0000000000091</v>
          </cell>
          <cell r="EK5">
            <v>6116.6666666666761</v>
          </cell>
          <cell r="EL5">
            <v>6158.333333333343</v>
          </cell>
          <cell r="EM5">
            <v>6200.00000000001</v>
          </cell>
          <cell r="EN5">
            <v>6241.666666666677</v>
          </cell>
          <cell r="EO5">
            <v>6283.3333333333439</v>
          </cell>
          <cell r="EP5">
            <v>6325.0000000000109</v>
          </cell>
          <cell r="EQ5">
            <v>6366.6666666666779</v>
          </cell>
          <cell r="ER5">
            <v>6408.3333333333449</v>
          </cell>
          <cell r="ES5">
            <v>6450.0000000000118</v>
          </cell>
          <cell r="ET5">
            <v>6491.6666666666788</v>
          </cell>
          <cell r="EU5">
            <v>6533.3333333333458</v>
          </cell>
          <cell r="EV5">
            <v>6575.0000000000127</v>
          </cell>
          <cell r="EW5">
            <v>6616.6666666666797</v>
          </cell>
          <cell r="EX5">
            <v>6658.3333333333467</v>
          </cell>
          <cell r="EY5">
            <v>6700.0000000000136</v>
          </cell>
          <cell r="EZ5">
            <v>6741.6666666666806</v>
          </cell>
          <cell r="FA5">
            <v>6783.3333333333476</v>
          </cell>
          <cell r="FB5">
            <v>6825.0000000000146</v>
          </cell>
          <cell r="FC5">
            <v>6866.6666666666815</v>
          </cell>
          <cell r="FD5">
            <v>6908.3333333333485</v>
          </cell>
          <cell r="FE5">
            <v>6950.0000000000155</v>
          </cell>
          <cell r="FF5">
            <v>6991.6666666666824</v>
          </cell>
          <cell r="FG5">
            <v>7033.3333333333494</v>
          </cell>
          <cell r="FH5">
            <v>7075.0000000000164</v>
          </cell>
          <cell r="FI5">
            <v>7116.6666666666833</v>
          </cell>
          <cell r="FJ5">
            <v>7158.3333333333503</v>
          </cell>
          <cell r="FK5">
            <v>7200.0000000000173</v>
          </cell>
          <cell r="FL5">
            <v>7241.6666666666843</v>
          </cell>
          <cell r="FM5">
            <v>7283.3333333333512</v>
          </cell>
          <cell r="FN5">
            <v>7325.0000000000182</v>
          </cell>
          <cell r="FO5">
            <v>7366.6666666666852</v>
          </cell>
          <cell r="FP5">
            <v>7408.3333333333521</v>
          </cell>
          <cell r="FQ5">
            <v>7450.0000000000191</v>
          </cell>
          <cell r="FR5">
            <v>7491.6666666666861</v>
          </cell>
          <cell r="FS5">
            <v>7533.333333333353</v>
          </cell>
          <cell r="FT5">
            <v>7575.00000000002</v>
          </cell>
          <cell r="FU5">
            <v>7616.666666666687</v>
          </cell>
          <cell r="FV5">
            <v>7658.3333333333539</v>
          </cell>
          <cell r="FW5">
            <v>7700.0000000000209</v>
          </cell>
          <cell r="FX5">
            <v>7741.6666666666879</v>
          </cell>
          <cell r="FY5">
            <v>7783.3333333333549</v>
          </cell>
          <cell r="FZ5">
            <v>7825.0000000000218</v>
          </cell>
          <cell r="GA5">
            <v>7866.6666666666888</v>
          </cell>
          <cell r="GB5">
            <v>7908.3333333333558</v>
          </cell>
          <cell r="GC5">
            <v>7950.0000000000227</v>
          </cell>
          <cell r="GD5">
            <v>7991.6666666666897</v>
          </cell>
          <cell r="GE5">
            <v>8033.3333333333567</v>
          </cell>
          <cell r="GF5">
            <v>8075.0000000000236</v>
          </cell>
          <cell r="GG5">
            <v>8116.6666666666906</v>
          </cell>
          <cell r="GH5">
            <v>8158.3333333333576</v>
          </cell>
          <cell r="GI5">
            <v>8200.0000000000236</v>
          </cell>
          <cell r="GJ5">
            <v>8241.6666666666897</v>
          </cell>
          <cell r="GK5">
            <v>8283.3333333333558</v>
          </cell>
          <cell r="GL5">
            <v>8325.0000000000218</v>
          </cell>
          <cell r="GM5">
            <v>8366.6666666666879</v>
          </cell>
          <cell r="GN5">
            <v>8408.3333333333539</v>
          </cell>
          <cell r="GO5">
            <v>8450.00000000002</v>
          </cell>
          <cell r="GP5">
            <v>8491.6666666666861</v>
          </cell>
          <cell r="GQ5">
            <v>8533.3333333333521</v>
          </cell>
          <cell r="GR5">
            <v>8575.0000000000182</v>
          </cell>
          <cell r="GS5">
            <v>8616.6666666666843</v>
          </cell>
          <cell r="GT5">
            <v>8658.3333333333503</v>
          </cell>
          <cell r="GU5">
            <v>8700.0000000000164</v>
          </cell>
          <cell r="GV5">
            <v>8741.6666666666824</v>
          </cell>
          <cell r="GW5">
            <v>8783.3333333333485</v>
          </cell>
          <cell r="GX5">
            <v>8825.0000000000146</v>
          </cell>
          <cell r="GY5">
            <v>8866.6666666666806</v>
          </cell>
          <cell r="GZ5">
            <v>8908.3333333333467</v>
          </cell>
          <cell r="HA5">
            <v>8950.0000000000127</v>
          </cell>
          <cell r="HB5">
            <v>8991.6666666666788</v>
          </cell>
          <cell r="HC5">
            <v>9033.3333333333449</v>
          </cell>
          <cell r="HD5">
            <v>9075.0000000000109</v>
          </cell>
          <cell r="HE5">
            <v>9116.666666666677</v>
          </cell>
          <cell r="HF5">
            <v>9158.333333333343</v>
          </cell>
        </row>
        <row r="6">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v>0</v>
          </cell>
          <cell r="DU6">
            <v>0</v>
          </cell>
          <cell r="DV6">
            <v>0</v>
          </cell>
          <cell r="DW6">
            <v>0</v>
          </cell>
          <cell r="DX6">
            <v>0</v>
          </cell>
          <cell r="DY6">
            <v>0</v>
          </cell>
          <cell r="DZ6">
            <v>0</v>
          </cell>
          <cell r="EA6">
            <v>0</v>
          </cell>
          <cell r="EB6">
            <v>0</v>
          </cell>
          <cell r="EC6">
            <v>0</v>
          </cell>
          <cell r="ED6">
            <v>0</v>
          </cell>
          <cell r="EE6">
            <v>0</v>
          </cell>
          <cell r="EF6">
            <v>0</v>
          </cell>
          <cell r="EG6">
            <v>0</v>
          </cell>
          <cell r="EH6">
            <v>0</v>
          </cell>
          <cell r="EI6">
            <v>0</v>
          </cell>
          <cell r="EJ6">
            <v>0</v>
          </cell>
          <cell r="EK6">
            <v>0</v>
          </cell>
          <cell r="EL6">
            <v>0</v>
          </cell>
          <cell r="EM6">
            <v>0</v>
          </cell>
          <cell r="EN6">
            <v>0</v>
          </cell>
          <cell r="EO6">
            <v>0</v>
          </cell>
          <cell r="EP6">
            <v>0</v>
          </cell>
          <cell r="EQ6">
            <v>0</v>
          </cell>
          <cell r="ER6">
            <v>0</v>
          </cell>
          <cell r="ES6">
            <v>0</v>
          </cell>
          <cell r="ET6">
            <v>0</v>
          </cell>
          <cell r="EU6">
            <v>0</v>
          </cell>
          <cell r="EV6">
            <v>0</v>
          </cell>
          <cell r="EW6">
            <v>0</v>
          </cell>
          <cell r="EX6">
            <v>0</v>
          </cell>
          <cell r="EY6">
            <v>0</v>
          </cell>
          <cell r="EZ6">
            <v>0</v>
          </cell>
          <cell r="FA6">
            <v>0</v>
          </cell>
          <cell r="FB6">
            <v>0</v>
          </cell>
          <cell r="FC6">
            <v>0</v>
          </cell>
          <cell r="FD6">
            <v>0</v>
          </cell>
          <cell r="FE6">
            <v>0</v>
          </cell>
          <cell r="FF6">
            <v>0</v>
          </cell>
          <cell r="FG6">
            <v>0</v>
          </cell>
          <cell r="FH6">
            <v>0</v>
          </cell>
          <cell r="FI6">
            <v>0</v>
          </cell>
          <cell r="FJ6">
            <v>0</v>
          </cell>
          <cell r="FK6">
            <v>0</v>
          </cell>
          <cell r="FL6">
            <v>0</v>
          </cell>
          <cell r="FM6">
            <v>0</v>
          </cell>
          <cell r="FN6">
            <v>0</v>
          </cell>
          <cell r="FO6">
            <v>0</v>
          </cell>
          <cell r="FP6">
            <v>0</v>
          </cell>
          <cell r="FQ6">
            <v>0</v>
          </cell>
          <cell r="FR6">
            <v>0</v>
          </cell>
          <cell r="FS6">
            <v>0</v>
          </cell>
          <cell r="FT6">
            <v>0</v>
          </cell>
          <cell r="FU6">
            <v>0</v>
          </cell>
          <cell r="FV6">
            <v>0</v>
          </cell>
          <cell r="FW6">
            <v>0</v>
          </cell>
          <cell r="FX6">
            <v>0</v>
          </cell>
          <cell r="FY6">
            <v>0</v>
          </cell>
          <cell r="FZ6">
            <v>0</v>
          </cell>
          <cell r="GA6">
            <v>0</v>
          </cell>
          <cell r="GB6">
            <v>0</v>
          </cell>
          <cell r="GC6">
            <v>0</v>
          </cell>
          <cell r="GD6">
            <v>0</v>
          </cell>
          <cell r="GE6">
            <v>0</v>
          </cell>
          <cell r="GF6">
            <v>0</v>
          </cell>
          <cell r="GG6">
            <v>0</v>
          </cell>
          <cell r="GH6">
            <v>0</v>
          </cell>
          <cell r="GI6">
            <v>0</v>
          </cell>
          <cell r="GJ6">
            <v>0</v>
          </cell>
          <cell r="GK6">
            <v>0</v>
          </cell>
          <cell r="GL6">
            <v>0</v>
          </cell>
          <cell r="GM6">
            <v>0</v>
          </cell>
          <cell r="GN6">
            <v>0</v>
          </cell>
          <cell r="GO6">
            <v>0</v>
          </cell>
          <cell r="GP6">
            <v>0</v>
          </cell>
          <cell r="GQ6">
            <v>0</v>
          </cell>
          <cell r="GR6">
            <v>0</v>
          </cell>
          <cell r="GS6">
            <v>0</v>
          </cell>
          <cell r="GT6">
            <v>0</v>
          </cell>
          <cell r="GU6">
            <v>0</v>
          </cell>
          <cell r="GV6">
            <v>0</v>
          </cell>
          <cell r="GW6">
            <v>0</v>
          </cell>
          <cell r="GX6">
            <v>0</v>
          </cell>
          <cell r="GY6">
            <v>0</v>
          </cell>
          <cell r="GZ6">
            <v>0</v>
          </cell>
          <cell r="HA6">
            <v>0</v>
          </cell>
          <cell r="HB6">
            <v>0</v>
          </cell>
          <cell r="HC6">
            <v>0</v>
          </cell>
          <cell r="HD6">
            <v>0</v>
          </cell>
          <cell r="HE6">
            <v>0</v>
          </cell>
          <cell r="HF6">
            <v>0</v>
          </cell>
        </row>
        <row r="9">
          <cell r="N9">
            <v>0</v>
          </cell>
          <cell r="O9">
            <v>10</v>
          </cell>
          <cell r="P9">
            <v>10</v>
          </cell>
          <cell r="Q9">
            <v>10</v>
          </cell>
          <cell r="R9">
            <v>10</v>
          </cell>
          <cell r="S9">
            <v>10</v>
          </cell>
          <cell r="T9">
            <v>10</v>
          </cell>
          <cell r="U9">
            <v>10</v>
          </cell>
          <cell r="V9">
            <v>10</v>
          </cell>
          <cell r="W9">
            <v>10</v>
          </cell>
          <cell r="X9">
            <v>10</v>
          </cell>
          <cell r="Y9">
            <v>10</v>
          </cell>
          <cell r="Z9">
            <v>10</v>
          </cell>
          <cell r="AA9">
            <v>10</v>
          </cell>
          <cell r="AB9">
            <v>10</v>
          </cell>
          <cell r="AC9">
            <v>10</v>
          </cell>
          <cell r="AD9">
            <v>10</v>
          </cell>
          <cell r="AE9">
            <v>10</v>
          </cell>
          <cell r="AF9">
            <v>10</v>
          </cell>
          <cell r="AG9">
            <v>10</v>
          </cell>
          <cell r="AH9">
            <v>10</v>
          </cell>
          <cell r="AI9">
            <v>10</v>
          </cell>
          <cell r="AJ9">
            <v>10.01</v>
          </cell>
          <cell r="AK9">
            <v>10.25</v>
          </cell>
          <cell r="AL9">
            <v>10.49</v>
          </cell>
          <cell r="AM9">
            <v>10.73</v>
          </cell>
          <cell r="AN9">
            <v>10.97</v>
          </cell>
          <cell r="AO9">
            <v>11.21</v>
          </cell>
          <cell r="AP9">
            <v>11.45</v>
          </cell>
          <cell r="AQ9">
            <v>11.69</v>
          </cell>
          <cell r="AR9">
            <v>11.93</v>
          </cell>
          <cell r="AS9">
            <v>12.17</v>
          </cell>
          <cell r="AT9">
            <v>12.41</v>
          </cell>
          <cell r="AU9">
            <v>12.65</v>
          </cell>
          <cell r="AV9">
            <v>12.89</v>
          </cell>
          <cell r="AW9">
            <v>13.13</v>
          </cell>
          <cell r="AX9">
            <v>13.37</v>
          </cell>
          <cell r="AY9">
            <v>13.61</v>
          </cell>
          <cell r="AZ9">
            <v>13.85</v>
          </cell>
          <cell r="BA9">
            <v>14.09</v>
          </cell>
          <cell r="BB9">
            <v>14.33</v>
          </cell>
          <cell r="BC9">
            <v>14.57</v>
          </cell>
          <cell r="BD9">
            <v>14.8</v>
          </cell>
          <cell r="BE9">
            <v>15.04</v>
          </cell>
          <cell r="BF9">
            <v>15.28</v>
          </cell>
          <cell r="BG9">
            <v>15.52</v>
          </cell>
          <cell r="BH9">
            <v>15.76</v>
          </cell>
          <cell r="BI9">
            <v>16</v>
          </cell>
          <cell r="BJ9">
            <v>16.239999999999998</v>
          </cell>
          <cell r="BK9">
            <v>16.48</v>
          </cell>
          <cell r="BL9">
            <v>16.72</v>
          </cell>
          <cell r="BM9">
            <v>16.96</v>
          </cell>
          <cell r="BN9">
            <v>17.2</v>
          </cell>
          <cell r="BO9">
            <v>17.440000000000001</v>
          </cell>
          <cell r="BP9">
            <v>17.68</v>
          </cell>
          <cell r="BQ9">
            <v>17.920000000000002</v>
          </cell>
          <cell r="BR9">
            <v>18.16</v>
          </cell>
          <cell r="BS9">
            <v>18.399999999999999</v>
          </cell>
          <cell r="BT9">
            <v>18.64</v>
          </cell>
          <cell r="BU9">
            <v>18.88</v>
          </cell>
          <cell r="BV9">
            <v>19.12</v>
          </cell>
          <cell r="BW9">
            <v>19.36</v>
          </cell>
          <cell r="BX9">
            <v>19.600000000000001</v>
          </cell>
          <cell r="BY9">
            <v>19.84</v>
          </cell>
          <cell r="BZ9">
            <v>20.079999999999998</v>
          </cell>
          <cell r="CA9">
            <v>20.309999999999999</v>
          </cell>
          <cell r="CB9">
            <v>20.55</v>
          </cell>
          <cell r="CC9">
            <v>20.79</v>
          </cell>
          <cell r="CD9">
            <v>21.03</v>
          </cell>
          <cell r="CE9">
            <v>21.27</v>
          </cell>
          <cell r="CF9">
            <v>21.51</v>
          </cell>
          <cell r="CG9">
            <v>21.75</v>
          </cell>
          <cell r="CH9">
            <v>21.99</v>
          </cell>
          <cell r="CI9">
            <v>22.23</v>
          </cell>
          <cell r="CJ9">
            <v>22.47</v>
          </cell>
          <cell r="CK9">
            <v>22.71</v>
          </cell>
          <cell r="CL9">
            <v>22.95</v>
          </cell>
          <cell r="CM9">
            <v>23.19</v>
          </cell>
          <cell r="CN9">
            <v>23.43</v>
          </cell>
          <cell r="CO9">
            <v>23.67</v>
          </cell>
          <cell r="CP9">
            <v>23.91</v>
          </cell>
          <cell r="CQ9">
            <v>24.15</v>
          </cell>
          <cell r="CR9">
            <v>24.39</v>
          </cell>
          <cell r="CS9">
            <v>24.63</v>
          </cell>
          <cell r="CT9">
            <v>24.87</v>
          </cell>
          <cell r="CU9">
            <v>25.11</v>
          </cell>
          <cell r="CV9">
            <v>25.35</v>
          </cell>
          <cell r="CW9">
            <v>25.59</v>
          </cell>
          <cell r="CX9">
            <v>25.82</v>
          </cell>
          <cell r="CY9">
            <v>26.06</v>
          </cell>
          <cell r="CZ9">
            <v>26.3</v>
          </cell>
          <cell r="DA9">
            <v>26.54</v>
          </cell>
          <cell r="DB9">
            <v>26.78</v>
          </cell>
          <cell r="DC9">
            <v>27.02</v>
          </cell>
          <cell r="DD9">
            <v>27.26</v>
          </cell>
          <cell r="DE9">
            <v>27.5</v>
          </cell>
          <cell r="DF9">
            <v>27.74</v>
          </cell>
          <cell r="DG9">
            <v>27.98</v>
          </cell>
          <cell r="DH9">
            <v>28.22</v>
          </cell>
          <cell r="DI9">
            <v>28.46</v>
          </cell>
          <cell r="DJ9">
            <v>28.7</v>
          </cell>
          <cell r="DK9">
            <v>28.94</v>
          </cell>
          <cell r="DL9">
            <v>29.18</v>
          </cell>
          <cell r="DM9">
            <v>29.42</v>
          </cell>
          <cell r="DN9">
            <v>29.66</v>
          </cell>
          <cell r="DO9">
            <v>29.9</v>
          </cell>
          <cell r="DP9">
            <v>30.14</v>
          </cell>
          <cell r="DQ9">
            <v>30.38</v>
          </cell>
          <cell r="DR9">
            <v>30.62</v>
          </cell>
          <cell r="DS9">
            <v>30.86</v>
          </cell>
          <cell r="DT9">
            <v>31.1</v>
          </cell>
          <cell r="DU9">
            <v>31.33</v>
          </cell>
          <cell r="DV9">
            <v>31.57</v>
          </cell>
          <cell r="DW9">
            <v>31.81</v>
          </cell>
          <cell r="DX9">
            <v>32.049999999999997</v>
          </cell>
          <cell r="DY9">
            <v>32.29</v>
          </cell>
          <cell r="DZ9">
            <v>32.53</v>
          </cell>
          <cell r="EA9">
            <v>32.770000000000003</v>
          </cell>
          <cell r="EB9">
            <v>33.01</v>
          </cell>
          <cell r="EC9">
            <v>33.25</v>
          </cell>
          <cell r="ED9">
            <v>33.49</v>
          </cell>
          <cell r="EE9">
            <v>33.729999999999997</v>
          </cell>
          <cell r="EF9">
            <v>33.97</v>
          </cell>
          <cell r="EG9">
            <v>34.21</v>
          </cell>
          <cell r="EH9">
            <v>34.450000000000003</v>
          </cell>
          <cell r="EI9">
            <v>34.69</v>
          </cell>
          <cell r="EJ9">
            <v>34.93</v>
          </cell>
          <cell r="EK9">
            <v>35.17</v>
          </cell>
          <cell r="EL9">
            <v>35.409999999999997</v>
          </cell>
          <cell r="EM9">
            <v>35.65</v>
          </cell>
          <cell r="EN9">
            <v>35.89</v>
          </cell>
          <cell r="EO9">
            <v>36.130000000000003</v>
          </cell>
          <cell r="EP9">
            <v>36.369999999999997</v>
          </cell>
          <cell r="EQ9">
            <v>36.61</v>
          </cell>
          <cell r="ER9">
            <v>36.840000000000003</v>
          </cell>
          <cell r="ES9">
            <v>37.08</v>
          </cell>
          <cell r="ET9">
            <v>37.32</v>
          </cell>
          <cell r="EU9">
            <v>37.56</v>
          </cell>
          <cell r="EV9">
            <v>37.799999999999997</v>
          </cell>
          <cell r="EW9">
            <v>38.04</v>
          </cell>
          <cell r="EX9">
            <v>38.28</v>
          </cell>
          <cell r="EY9">
            <v>38.520000000000003</v>
          </cell>
          <cell r="EZ9">
            <v>38.76</v>
          </cell>
          <cell r="FA9">
            <v>39</v>
          </cell>
          <cell r="FB9">
            <v>39.24</v>
          </cell>
          <cell r="FC9">
            <v>39.479999999999997</v>
          </cell>
          <cell r="FD9">
            <v>39.72</v>
          </cell>
          <cell r="FE9">
            <v>39.96</v>
          </cell>
          <cell r="FF9">
            <v>40.200000000000003</v>
          </cell>
          <cell r="FG9">
            <v>40.44</v>
          </cell>
          <cell r="FH9">
            <v>40.68</v>
          </cell>
          <cell r="FI9">
            <v>40.92</v>
          </cell>
          <cell r="FJ9">
            <v>41.16</v>
          </cell>
          <cell r="FK9">
            <v>41.4</v>
          </cell>
          <cell r="FL9">
            <v>41.64</v>
          </cell>
          <cell r="FM9">
            <v>41.88</v>
          </cell>
          <cell r="FN9">
            <v>42.11</v>
          </cell>
          <cell r="FO9">
            <v>42.35</v>
          </cell>
          <cell r="FP9">
            <v>42.59</v>
          </cell>
          <cell r="FQ9">
            <v>42.83</v>
          </cell>
          <cell r="FR9">
            <v>43.07</v>
          </cell>
          <cell r="FS9">
            <v>43.31</v>
          </cell>
          <cell r="FT9">
            <v>43.55</v>
          </cell>
          <cell r="FU9">
            <v>43.79</v>
          </cell>
          <cell r="FV9">
            <v>44.03</v>
          </cell>
          <cell r="FW9">
            <v>44.27</v>
          </cell>
          <cell r="FX9">
            <v>44.51</v>
          </cell>
          <cell r="FY9">
            <v>44.75</v>
          </cell>
          <cell r="FZ9">
            <v>44.99</v>
          </cell>
          <cell r="GA9">
            <v>45.23</v>
          </cell>
          <cell r="GB9">
            <v>45.47</v>
          </cell>
          <cell r="GC9">
            <v>45.71</v>
          </cell>
          <cell r="GD9">
            <v>45.95</v>
          </cell>
          <cell r="GE9">
            <v>46.19</v>
          </cell>
          <cell r="GF9">
            <v>46.43</v>
          </cell>
          <cell r="GG9">
            <v>46.67</v>
          </cell>
          <cell r="GH9">
            <v>46.91</v>
          </cell>
          <cell r="GI9">
            <v>47.15</v>
          </cell>
          <cell r="GJ9">
            <v>47.39</v>
          </cell>
          <cell r="GK9">
            <v>47.62</v>
          </cell>
          <cell r="GL9">
            <v>47.86</v>
          </cell>
          <cell r="GM9">
            <v>48.1</v>
          </cell>
          <cell r="GN9">
            <v>48.34</v>
          </cell>
          <cell r="GO9">
            <v>48.58</v>
          </cell>
          <cell r="GP9">
            <v>48.82</v>
          </cell>
          <cell r="GQ9">
            <v>49.06</v>
          </cell>
          <cell r="GR9">
            <v>49.3</v>
          </cell>
          <cell r="GS9">
            <v>49.54</v>
          </cell>
          <cell r="GT9">
            <v>49.78</v>
          </cell>
          <cell r="GU9">
            <v>50.02</v>
          </cell>
          <cell r="GV9">
            <v>50.26</v>
          </cell>
          <cell r="GW9">
            <v>50.5</v>
          </cell>
          <cell r="GX9">
            <v>50.74</v>
          </cell>
          <cell r="GY9">
            <v>50.98</v>
          </cell>
          <cell r="GZ9">
            <v>51.22</v>
          </cell>
          <cell r="HA9">
            <v>51.46</v>
          </cell>
          <cell r="HB9">
            <v>51.7</v>
          </cell>
          <cell r="HC9">
            <v>51.94</v>
          </cell>
          <cell r="HD9">
            <v>52.18</v>
          </cell>
          <cell r="HE9">
            <v>52.42</v>
          </cell>
          <cell r="HF9">
            <v>52.66</v>
          </cell>
        </row>
        <row r="44">
          <cell r="N44">
            <v>0</v>
          </cell>
          <cell r="O44">
            <v>866.66666666666663</v>
          </cell>
          <cell r="P44">
            <v>908.33333333333326</v>
          </cell>
          <cell r="Q44">
            <v>949.99999999999989</v>
          </cell>
          <cell r="R44">
            <v>991.66666666666652</v>
          </cell>
          <cell r="S44">
            <v>1033.3333333333333</v>
          </cell>
          <cell r="T44">
            <v>1075</v>
          </cell>
          <cell r="U44">
            <v>1116.6666666666667</v>
          </cell>
          <cell r="V44">
            <v>1158.3333333333335</v>
          </cell>
          <cell r="W44">
            <v>1200.0000000000002</v>
          </cell>
          <cell r="X44">
            <v>1241.666666666667</v>
          </cell>
          <cell r="Y44">
            <v>1283.3333333333337</v>
          </cell>
          <cell r="Z44">
            <v>1325.0000000000005</v>
          </cell>
          <cell r="AA44">
            <v>1366.6666666666672</v>
          </cell>
          <cell r="AB44">
            <v>1408.3333333333339</v>
          </cell>
          <cell r="AC44">
            <v>1450.0000000000007</v>
          </cell>
          <cell r="AD44">
            <v>1491.6666666666674</v>
          </cell>
          <cell r="AE44">
            <v>1533.3333333333342</v>
          </cell>
          <cell r="AF44">
            <v>1575.0000000000009</v>
          </cell>
          <cell r="AG44">
            <v>1616.6666666666677</v>
          </cell>
          <cell r="AH44">
            <v>1658.3333333333344</v>
          </cell>
          <cell r="AI44">
            <v>1700.0000000000011</v>
          </cell>
          <cell r="AJ44">
            <v>1741.6666666666679</v>
          </cell>
          <cell r="AK44">
            <v>1783.3333333333346</v>
          </cell>
          <cell r="AL44">
            <v>1825.0000000000014</v>
          </cell>
          <cell r="AM44">
            <v>1866.6666666666681</v>
          </cell>
          <cell r="AN44">
            <v>1908.3333333333348</v>
          </cell>
          <cell r="AO44">
            <v>1950.0000000000016</v>
          </cell>
          <cell r="AP44">
            <v>1991.6666666666683</v>
          </cell>
          <cell r="AQ44">
            <v>2033.3333333333351</v>
          </cell>
          <cell r="AR44">
            <v>2075.0000000000018</v>
          </cell>
          <cell r="AS44">
            <v>2116.6666666666683</v>
          </cell>
          <cell r="AT44">
            <v>2158.3333333333348</v>
          </cell>
          <cell r="AU44">
            <v>2200.0000000000014</v>
          </cell>
          <cell r="AV44">
            <v>2241.6666666666679</v>
          </cell>
          <cell r="AW44">
            <v>2283.3333333333344</v>
          </cell>
          <cell r="AX44">
            <v>2325.0000000000009</v>
          </cell>
          <cell r="AY44">
            <v>2366.6666666666674</v>
          </cell>
          <cell r="AZ44">
            <v>2408.3333333333339</v>
          </cell>
          <cell r="BA44">
            <v>2450.0000000000005</v>
          </cell>
          <cell r="BB44">
            <v>2491.666666666667</v>
          </cell>
          <cell r="BC44">
            <v>2533.3333333333335</v>
          </cell>
          <cell r="BD44">
            <v>2575</v>
          </cell>
          <cell r="BE44">
            <v>2616.6666666666665</v>
          </cell>
          <cell r="BF44">
            <v>2658.333333333333</v>
          </cell>
          <cell r="BG44">
            <v>2699.9999999999995</v>
          </cell>
          <cell r="BH44">
            <v>2741.6666666666661</v>
          </cell>
          <cell r="BI44">
            <v>2783.3333333333326</v>
          </cell>
          <cell r="BJ44">
            <v>2824.9999999999991</v>
          </cell>
          <cell r="BK44">
            <v>2866.6666666666656</v>
          </cell>
          <cell r="BL44">
            <v>2908.3333333333321</v>
          </cell>
          <cell r="BM44">
            <v>2949.9999999999986</v>
          </cell>
          <cell r="BN44">
            <v>2991.6666666666652</v>
          </cell>
          <cell r="BO44">
            <v>3033.3333333333317</v>
          </cell>
          <cell r="BP44">
            <v>3074.9999999999982</v>
          </cell>
          <cell r="BQ44">
            <v>3116.6666666666647</v>
          </cell>
          <cell r="BR44">
            <v>3158.3333333333312</v>
          </cell>
          <cell r="BS44">
            <v>3199.9999999999977</v>
          </cell>
          <cell r="BT44">
            <v>3241.6666666666642</v>
          </cell>
          <cell r="BU44">
            <v>3283.3333333333308</v>
          </cell>
          <cell r="BV44">
            <v>3324.9999999999973</v>
          </cell>
          <cell r="BW44">
            <v>3366.6666666666638</v>
          </cell>
          <cell r="BX44">
            <v>3408.3333333333303</v>
          </cell>
          <cell r="BY44">
            <v>3449.9999999999968</v>
          </cell>
          <cell r="BZ44">
            <v>3491.6666666666633</v>
          </cell>
          <cell r="CA44">
            <v>3533.3333333333298</v>
          </cell>
          <cell r="CB44">
            <v>3574.9999999999964</v>
          </cell>
          <cell r="CC44">
            <v>3616.6666666666629</v>
          </cell>
          <cell r="CD44">
            <v>3658.3333333333294</v>
          </cell>
          <cell r="CE44">
            <v>3699.9999999999959</v>
          </cell>
          <cell r="CF44">
            <v>3741.6666666666624</v>
          </cell>
          <cell r="CG44">
            <v>3783.3333333333289</v>
          </cell>
          <cell r="CH44">
            <v>3824.9999999999955</v>
          </cell>
          <cell r="CI44">
            <v>3866.666666666662</v>
          </cell>
          <cell r="CJ44">
            <v>3908.3333333333285</v>
          </cell>
          <cell r="CK44">
            <v>3949.999999999995</v>
          </cell>
          <cell r="CL44">
            <v>3991.6666666666615</v>
          </cell>
          <cell r="CM44">
            <v>4033.333333333328</v>
          </cell>
          <cell r="CN44">
            <v>4074.9999999999945</v>
          </cell>
          <cell r="CO44">
            <v>4116.6666666666615</v>
          </cell>
          <cell r="CP44">
            <v>4158.3333333333285</v>
          </cell>
          <cell r="CQ44">
            <v>4199.9999999999955</v>
          </cell>
          <cell r="CR44">
            <v>4241.6666666666624</v>
          </cell>
          <cell r="CS44">
            <v>4283.3333333333294</v>
          </cell>
          <cell r="CT44">
            <v>4324.9999999999964</v>
          </cell>
          <cell r="CU44">
            <v>4366.6666666666633</v>
          </cell>
          <cell r="CV44">
            <v>4408.3333333333303</v>
          </cell>
          <cell r="CW44">
            <v>4449.9999999999973</v>
          </cell>
          <cell r="CX44">
            <v>4491.6666666666642</v>
          </cell>
          <cell r="CY44">
            <v>4533.3333333333312</v>
          </cell>
          <cell r="CZ44">
            <v>4574.9999999999982</v>
          </cell>
          <cell r="DA44">
            <v>4616.6666666666652</v>
          </cell>
          <cell r="DB44">
            <v>4658.3333333333321</v>
          </cell>
          <cell r="DC44">
            <v>4699.9999999999991</v>
          </cell>
          <cell r="DD44">
            <v>4741.6666666666661</v>
          </cell>
          <cell r="DE44">
            <v>4783.333333333333</v>
          </cell>
          <cell r="DF44">
            <v>4825</v>
          </cell>
          <cell r="DG44">
            <v>4866.666666666667</v>
          </cell>
          <cell r="DH44">
            <v>4908.3333333333339</v>
          </cell>
          <cell r="DI44">
            <v>4950.0000000000009</v>
          </cell>
          <cell r="DJ44">
            <v>4991.6666666666679</v>
          </cell>
          <cell r="DK44">
            <v>5033.3333333333348</v>
          </cell>
          <cell r="DL44">
            <v>5075.0000000000018</v>
          </cell>
          <cell r="DM44">
            <v>5116.6666666666688</v>
          </cell>
          <cell r="DN44">
            <v>5158.3333333333358</v>
          </cell>
          <cell r="DO44">
            <v>5200.0000000000027</v>
          </cell>
          <cell r="DP44">
            <v>5241.6666666666697</v>
          </cell>
          <cell r="DQ44">
            <v>5283.3333333333367</v>
          </cell>
          <cell r="DR44">
            <v>5325.0000000000036</v>
          </cell>
          <cell r="DS44">
            <v>5366.6666666666706</v>
          </cell>
          <cell r="DT44">
            <v>5408.3333333333376</v>
          </cell>
          <cell r="DU44">
            <v>5450.0000000000045</v>
          </cell>
          <cell r="DV44">
            <v>5491.6666666666715</v>
          </cell>
          <cell r="DW44">
            <v>5533.3333333333385</v>
          </cell>
          <cell r="DX44">
            <v>5575.0000000000055</v>
          </cell>
          <cell r="DY44">
            <v>5616.6666666666724</v>
          </cell>
          <cell r="DZ44">
            <v>5658.3333333333394</v>
          </cell>
          <cell r="EA44">
            <v>5700.0000000000064</v>
          </cell>
          <cell r="EB44">
            <v>5741.6666666666733</v>
          </cell>
          <cell r="EC44">
            <v>5783.3333333333403</v>
          </cell>
          <cell r="ED44">
            <v>5825.0000000000073</v>
          </cell>
          <cell r="EE44">
            <v>5866.6666666666742</v>
          </cell>
          <cell r="EF44">
            <v>5908.3333333333412</v>
          </cell>
          <cell r="EG44">
            <v>5950.0000000000082</v>
          </cell>
          <cell r="EH44">
            <v>5991.6666666666752</v>
          </cell>
          <cell r="EI44">
            <v>6033.3333333333421</v>
          </cell>
          <cell r="EJ44">
            <v>6075.0000000000091</v>
          </cell>
          <cell r="EK44">
            <v>6116.6666666666761</v>
          </cell>
          <cell r="EL44">
            <v>6158.333333333343</v>
          </cell>
          <cell r="EM44">
            <v>6200.00000000001</v>
          </cell>
          <cell r="EN44">
            <v>6241.666666666677</v>
          </cell>
          <cell r="EO44">
            <v>6283.3333333333439</v>
          </cell>
          <cell r="EP44">
            <v>6325.0000000000109</v>
          </cell>
          <cell r="EQ44">
            <v>6366.6666666666779</v>
          </cell>
          <cell r="ER44">
            <v>6408.3333333333449</v>
          </cell>
          <cell r="ES44">
            <v>6450.0000000000118</v>
          </cell>
          <cell r="ET44">
            <v>6491.6666666666788</v>
          </cell>
          <cell r="EU44">
            <v>6533.3333333333458</v>
          </cell>
          <cell r="EV44">
            <v>6575.0000000000127</v>
          </cell>
          <cell r="EW44">
            <v>6616.6666666666797</v>
          </cell>
          <cell r="EX44">
            <v>6658.3333333333467</v>
          </cell>
          <cell r="EY44">
            <v>6700.0000000000136</v>
          </cell>
          <cell r="EZ44">
            <v>6741.6666666666806</v>
          </cell>
          <cell r="FA44">
            <v>6783.3333333333476</v>
          </cell>
          <cell r="FB44">
            <v>6825.0000000000146</v>
          </cell>
          <cell r="FC44">
            <v>6866.6666666666815</v>
          </cell>
          <cell r="FD44">
            <v>6908.3333333333485</v>
          </cell>
          <cell r="FE44">
            <v>6950.0000000000155</v>
          </cell>
          <cell r="FF44">
            <v>6991.6666666666824</v>
          </cell>
          <cell r="FG44">
            <v>7033.3333333333494</v>
          </cell>
          <cell r="FH44">
            <v>7075.0000000000164</v>
          </cell>
          <cell r="FI44">
            <v>7116.6666666666833</v>
          </cell>
          <cell r="FJ44">
            <v>7158.3333333333503</v>
          </cell>
          <cell r="FK44">
            <v>7200.0000000000173</v>
          </cell>
          <cell r="FL44">
            <v>7241.6666666666843</v>
          </cell>
          <cell r="FM44">
            <v>7283.3333333333512</v>
          </cell>
          <cell r="FN44">
            <v>7325.0000000000182</v>
          </cell>
          <cell r="FO44">
            <v>7366.6666666666852</v>
          </cell>
          <cell r="FP44">
            <v>7408.3333333333521</v>
          </cell>
          <cell r="FQ44">
            <v>7450.0000000000191</v>
          </cell>
          <cell r="FR44">
            <v>7491.6666666666861</v>
          </cell>
          <cell r="FS44">
            <v>7533.333333333353</v>
          </cell>
          <cell r="FT44">
            <v>7575.00000000002</v>
          </cell>
          <cell r="FU44">
            <v>7616.666666666687</v>
          </cell>
          <cell r="FV44">
            <v>7658.3333333333539</v>
          </cell>
          <cell r="FW44">
            <v>7700.0000000000209</v>
          </cell>
          <cell r="FX44">
            <v>7741.6666666666879</v>
          </cell>
          <cell r="FY44">
            <v>7783.3333333333549</v>
          </cell>
          <cell r="FZ44">
            <v>7825.0000000000218</v>
          </cell>
          <cell r="GA44">
            <v>7866.6666666666888</v>
          </cell>
          <cell r="GB44">
            <v>7908.3333333333558</v>
          </cell>
          <cell r="GC44">
            <v>7950.0000000000227</v>
          </cell>
          <cell r="GD44">
            <v>7991.6666666666897</v>
          </cell>
          <cell r="GE44">
            <v>8033.3333333333567</v>
          </cell>
          <cell r="GF44">
            <v>8075.0000000000236</v>
          </cell>
          <cell r="GG44">
            <v>8116.6666666666906</v>
          </cell>
          <cell r="GH44">
            <v>8158.3333333333576</v>
          </cell>
          <cell r="GI44">
            <v>8200.0000000000236</v>
          </cell>
          <cell r="GJ44">
            <v>8241.6666666666897</v>
          </cell>
          <cell r="GK44">
            <v>8283.3333333333558</v>
          </cell>
          <cell r="GL44">
            <v>8325.0000000000218</v>
          </cell>
          <cell r="GM44">
            <v>8366.6666666666879</v>
          </cell>
          <cell r="GN44">
            <v>8408.3333333333539</v>
          </cell>
          <cell r="GO44">
            <v>8450.00000000002</v>
          </cell>
          <cell r="GP44">
            <v>8491.6666666666861</v>
          </cell>
          <cell r="GQ44">
            <v>8533.3333333333521</v>
          </cell>
          <cell r="GR44">
            <v>8575.0000000000182</v>
          </cell>
          <cell r="GS44">
            <v>8616.6666666666843</v>
          </cell>
          <cell r="GT44">
            <v>8658.3333333333503</v>
          </cell>
          <cell r="GU44">
            <v>8700.0000000000164</v>
          </cell>
          <cell r="GV44">
            <v>8741.6666666666824</v>
          </cell>
          <cell r="GW44">
            <v>8783.3333333333485</v>
          </cell>
          <cell r="GX44">
            <v>8825.0000000000146</v>
          </cell>
          <cell r="GY44">
            <v>8866.6666666666806</v>
          </cell>
          <cell r="GZ44">
            <v>8908.3333333333467</v>
          </cell>
          <cell r="HA44">
            <v>8950.0000000000127</v>
          </cell>
          <cell r="HB44">
            <v>8991.6666666666788</v>
          </cell>
          <cell r="HC44">
            <v>9033.3333333333449</v>
          </cell>
          <cell r="HD44">
            <v>9075.0000000000109</v>
          </cell>
          <cell r="HE44">
            <v>9116.666666666677</v>
          </cell>
          <cell r="HF44">
            <v>9158.333333333343</v>
          </cell>
        </row>
        <row r="45">
          <cell r="N45">
            <v>0</v>
          </cell>
          <cell r="O45">
            <v>10400</v>
          </cell>
          <cell r="P45">
            <v>10900</v>
          </cell>
          <cell r="Q45">
            <v>11400</v>
          </cell>
          <cell r="R45">
            <v>11900</v>
          </cell>
          <cell r="S45">
            <v>12400</v>
          </cell>
          <cell r="T45">
            <v>12900</v>
          </cell>
          <cell r="U45">
            <v>13400</v>
          </cell>
          <cell r="V45">
            <v>13900</v>
          </cell>
          <cell r="W45">
            <v>14400</v>
          </cell>
          <cell r="X45">
            <v>14900</v>
          </cell>
          <cell r="Y45">
            <v>15400</v>
          </cell>
          <cell r="Z45">
            <v>15900</v>
          </cell>
          <cell r="AA45">
            <v>16400</v>
          </cell>
          <cell r="AB45">
            <v>16900</v>
          </cell>
          <cell r="AC45">
            <v>17400</v>
          </cell>
          <cell r="AD45">
            <v>17900</v>
          </cell>
          <cell r="AE45">
            <v>18400</v>
          </cell>
          <cell r="AF45">
            <v>18900</v>
          </cell>
          <cell r="AG45">
            <v>19400</v>
          </cell>
          <cell r="AH45">
            <v>19900</v>
          </cell>
          <cell r="AI45">
            <v>20400</v>
          </cell>
          <cell r="AJ45">
            <v>20900</v>
          </cell>
          <cell r="AK45">
            <v>21400</v>
          </cell>
          <cell r="AL45">
            <v>21900</v>
          </cell>
          <cell r="AM45">
            <v>22400</v>
          </cell>
          <cell r="AN45">
            <v>22900</v>
          </cell>
          <cell r="AO45">
            <v>23400</v>
          </cell>
          <cell r="AP45">
            <v>23900</v>
          </cell>
          <cell r="AQ45">
            <v>24400</v>
          </cell>
          <cell r="AR45">
            <v>24900</v>
          </cell>
          <cell r="AS45">
            <v>25400</v>
          </cell>
          <cell r="AT45">
            <v>25900</v>
          </cell>
          <cell r="AU45">
            <v>26400</v>
          </cell>
          <cell r="AV45">
            <v>26900</v>
          </cell>
          <cell r="AW45">
            <v>27400</v>
          </cell>
          <cell r="AX45">
            <v>27900</v>
          </cell>
          <cell r="AY45">
            <v>28400</v>
          </cell>
          <cell r="AZ45">
            <v>28900</v>
          </cell>
          <cell r="BA45">
            <v>29400</v>
          </cell>
          <cell r="BB45">
            <v>29900</v>
          </cell>
          <cell r="BC45">
            <v>30400</v>
          </cell>
          <cell r="BD45">
            <v>30900</v>
          </cell>
          <cell r="BE45">
            <v>31400</v>
          </cell>
          <cell r="BF45">
            <v>31900</v>
          </cell>
          <cell r="BG45">
            <v>32400</v>
          </cell>
          <cell r="BH45">
            <v>32900</v>
          </cell>
          <cell r="BI45">
            <v>33400</v>
          </cell>
          <cell r="BJ45">
            <v>33900</v>
          </cell>
          <cell r="BK45">
            <v>34400</v>
          </cell>
          <cell r="BL45">
            <v>34900</v>
          </cell>
          <cell r="BM45">
            <v>35400</v>
          </cell>
          <cell r="BN45">
            <v>35900</v>
          </cell>
          <cell r="BO45">
            <v>36400</v>
          </cell>
          <cell r="BP45">
            <v>36900</v>
          </cell>
          <cell r="BQ45">
            <v>37400</v>
          </cell>
          <cell r="BR45">
            <v>37900</v>
          </cell>
          <cell r="BS45">
            <v>38400</v>
          </cell>
          <cell r="BT45">
            <v>38900</v>
          </cell>
          <cell r="BU45">
            <v>39400</v>
          </cell>
          <cell r="BV45">
            <v>39900</v>
          </cell>
          <cell r="BW45">
            <v>40400</v>
          </cell>
          <cell r="BX45">
            <v>40900</v>
          </cell>
          <cell r="BY45">
            <v>41400</v>
          </cell>
          <cell r="BZ45">
            <v>41900</v>
          </cell>
          <cell r="CA45">
            <v>42400</v>
          </cell>
          <cell r="CB45">
            <v>42900</v>
          </cell>
          <cell r="CC45">
            <v>43400</v>
          </cell>
          <cell r="CD45">
            <v>43900</v>
          </cell>
          <cell r="CE45">
            <v>44400</v>
          </cell>
          <cell r="CF45">
            <v>44900</v>
          </cell>
          <cell r="CG45">
            <v>45400</v>
          </cell>
          <cell r="CH45">
            <v>45900</v>
          </cell>
          <cell r="CI45">
            <v>46400</v>
          </cell>
          <cell r="CJ45">
            <v>46900</v>
          </cell>
          <cell r="CK45">
            <v>47400</v>
          </cell>
          <cell r="CL45">
            <v>47900</v>
          </cell>
          <cell r="CM45">
            <v>48400</v>
          </cell>
          <cell r="CN45">
            <v>48900</v>
          </cell>
          <cell r="CO45">
            <v>49400</v>
          </cell>
          <cell r="CP45">
            <v>49900</v>
          </cell>
          <cell r="CQ45">
            <v>50400</v>
          </cell>
          <cell r="CR45">
            <v>50900</v>
          </cell>
          <cell r="CS45">
            <v>51400</v>
          </cell>
          <cell r="CT45">
            <v>51900</v>
          </cell>
          <cell r="CU45">
            <v>52400</v>
          </cell>
          <cell r="CV45">
            <v>52900</v>
          </cell>
          <cell r="CW45">
            <v>53400</v>
          </cell>
          <cell r="CX45">
            <v>53900</v>
          </cell>
          <cell r="CY45">
            <v>54400</v>
          </cell>
          <cell r="CZ45">
            <v>54900</v>
          </cell>
          <cell r="DA45">
            <v>55400</v>
          </cell>
          <cell r="DB45">
            <v>55900</v>
          </cell>
          <cell r="DC45">
            <v>56400</v>
          </cell>
          <cell r="DD45">
            <v>56900</v>
          </cell>
          <cell r="DE45">
            <v>57400</v>
          </cell>
          <cell r="DF45">
            <v>57900</v>
          </cell>
          <cell r="DG45">
            <v>58400</v>
          </cell>
          <cell r="DH45">
            <v>58900</v>
          </cell>
          <cell r="DI45">
            <v>59400</v>
          </cell>
          <cell r="DJ45">
            <v>59900</v>
          </cell>
          <cell r="DK45">
            <v>60400</v>
          </cell>
          <cell r="DL45">
            <v>60900</v>
          </cell>
          <cell r="DM45">
            <v>61400</v>
          </cell>
          <cell r="DN45">
            <v>61900</v>
          </cell>
          <cell r="DO45">
            <v>62400</v>
          </cell>
          <cell r="DP45">
            <v>62900</v>
          </cell>
          <cell r="DQ45">
            <v>63400</v>
          </cell>
          <cell r="DR45">
            <v>63900</v>
          </cell>
          <cell r="DS45">
            <v>64400</v>
          </cell>
          <cell r="DT45">
            <v>64900</v>
          </cell>
          <cell r="DU45">
            <v>65400</v>
          </cell>
          <cell r="DV45">
            <v>65900</v>
          </cell>
          <cell r="DW45">
            <v>66400</v>
          </cell>
          <cell r="DX45">
            <v>66900</v>
          </cell>
          <cell r="DY45">
            <v>67400</v>
          </cell>
          <cell r="DZ45">
            <v>67900</v>
          </cell>
          <cell r="EA45">
            <v>68400</v>
          </cell>
          <cell r="EB45">
            <v>68900</v>
          </cell>
          <cell r="EC45">
            <v>69400</v>
          </cell>
          <cell r="ED45">
            <v>69900</v>
          </cell>
          <cell r="EE45">
            <v>70400</v>
          </cell>
          <cell r="EF45">
            <v>70900</v>
          </cell>
          <cell r="EG45">
            <v>71400</v>
          </cell>
          <cell r="EH45">
            <v>71900</v>
          </cell>
          <cell r="EI45">
            <v>72400</v>
          </cell>
          <cell r="EJ45">
            <v>72900</v>
          </cell>
          <cell r="EK45">
            <v>73400</v>
          </cell>
          <cell r="EL45">
            <v>73900</v>
          </cell>
          <cell r="EM45">
            <v>74400</v>
          </cell>
          <cell r="EN45">
            <v>74900</v>
          </cell>
          <cell r="EO45">
            <v>75400</v>
          </cell>
          <cell r="EP45">
            <v>75900</v>
          </cell>
          <cell r="EQ45">
            <v>76400</v>
          </cell>
          <cell r="ER45">
            <v>76900</v>
          </cell>
          <cell r="ES45">
            <v>77400</v>
          </cell>
          <cell r="ET45">
            <v>77900</v>
          </cell>
          <cell r="EU45">
            <v>78400</v>
          </cell>
          <cell r="EV45">
            <v>78900</v>
          </cell>
          <cell r="EW45">
            <v>79400</v>
          </cell>
          <cell r="EX45">
            <v>79900</v>
          </cell>
          <cell r="EY45">
            <v>80400</v>
          </cell>
          <cell r="EZ45">
            <v>80900</v>
          </cell>
          <cell r="FA45">
            <v>81400</v>
          </cell>
          <cell r="FB45">
            <v>81900</v>
          </cell>
          <cell r="FC45">
            <v>82400</v>
          </cell>
          <cell r="FD45">
            <v>82900</v>
          </cell>
          <cell r="FE45">
            <v>83400</v>
          </cell>
          <cell r="FF45">
            <v>83900</v>
          </cell>
          <cell r="FG45">
            <v>84400</v>
          </cell>
          <cell r="FH45">
            <v>84900</v>
          </cell>
          <cell r="FI45">
            <v>85400</v>
          </cell>
          <cell r="FJ45">
            <v>85900</v>
          </cell>
          <cell r="FK45">
            <v>86400</v>
          </cell>
          <cell r="FL45">
            <v>86900</v>
          </cell>
          <cell r="FM45">
            <v>87400</v>
          </cell>
          <cell r="FN45">
            <v>87900</v>
          </cell>
          <cell r="FO45">
            <v>88400</v>
          </cell>
          <cell r="FP45">
            <v>88900</v>
          </cell>
          <cell r="FQ45">
            <v>89400</v>
          </cell>
          <cell r="FR45">
            <v>89900</v>
          </cell>
          <cell r="FS45">
            <v>90400</v>
          </cell>
          <cell r="FT45">
            <v>90900</v>
          </cell>
          <cell r="FU45">
            <v>91400</v>
          </cell>
          <cell r="FV45">
            <v>91900</v>
          </cell>
          <cell r="FW45">
            <v>92400</v>
          </cell>
          <cell r="FX45">
            <v>92900</v>
          </cell>
          <cell r="FY45">
            <v>93400</v>
          </cell>
          <cell r="FZ45">
            <v>93900</v>
          </cell>
          <cell r="GA45">
            <v>94400</v>
          </cell>
          <cell r="GB45">
            <v>94900</v>
          </cell>
          <cell r="GC45">
            <v>95400</v>
          </cell>
          <cell r="GD45">
            <v>95900</v>
          </cell>
          <cell r="GE45">
            <v>96400</v>
          </cell>
          <cell r="GF45">
            <v>96900</v>
          </cell>
          <cell r="GG45">
            <v>97400</v>
          </cell>
          <cell r="GH45">
            <v>97900</v>
          </cell>
          <cell r="GI45">
            <v>98400</v>
          </cell>
          <cell r="GJ45">
            <v>98900</v>
          </cell>
          <cell r="GK45">
            <v>99400</v>
          </cell>
          <cell r="GL45">
            <v>99900</v>
          </cell>
          <cell r="GM45">
            <v>100400</v>
          </cell>
          <cell r="GN45">
            <v>100900</v>
          </cell>
          <cell r="GO45">
            <v>101400</v>
          </cell>
          <cell r="GP45">
            <v>101900</v>
          </cell>
          <cell r="GQ45">
            <v>102400</v>
          </cell>
          <cell r="GR45">
            <v>102900</v>
          </cell>
          <cell r="GS45">
            <v>103400</v>
          </cell>
          <cell r="GT45">
            <v>103900</v>
          </cell>
          <cell r="GU45">
            <v>104400</v>
          </cell>
          <cell r="GV45">
            <v>104900</v>
          </cell>
          <cell r="GW45">
            <v>105400</v>
          </cell>
          <cell r="GX45">
            <v>105900</v>
          </cell>
          <cell r="GY45">
            <v>106400</v>
          </cell>
          <cell r="GZ45">
            <v>106900</v>
          </cell>
          <cell r="HA45">
            <v>107400</v>
          </cell>
          <cell r="HB45">
            <v>107900</v>
          </cell>
          <cell r="HC45">
            <v>108400</v>
          </cell>
          <cell r="HD45">
            <v>108900</v>
          </cell>
          <cell r="HE45">
            <v>109400</v>
          </cell>
          <cell r="HF45">
            <v>109900</v>
          </cell>
        </row>
        <row r="46">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cell r="BM46">
            <v>0</v>
          </cell>
          <cell r="BN46">
            <v>0</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0</v>
          </cell>
          <cell r="DE46">
            <v>0</v>
          </cell>
          <cell r="DF46">
            <v>0</v>
          </cell>
          <cell r="DG46">
            <v>0</v>
          </cell>
          <cell r="DH46">
            <v>0</v>
          </cell>
          <cell r="DI46">
            <v>0</v>
          </cell>
          <cell r="DJ46">
            <v>0</v>
          </cell>
          <cell r="DK46">
            <v>0</v>
          </cell>
          <cell r="DL46">
            <v>0</v>
          </cell>
          <cell r="DM46">
            <v>0</v>
          </cell>
          <cell r="DN46">
            <v>0</v>
          </cell>
          <cell r="DO46">
            <v>0</v>
          </cell>
          <cell r="DP46">
            <v>0</v>
          </cell>
          <cell r="DQ46">
            <v>0</v>
          </cell>
          <cell r="DR46">
            <v>0</v>
          </cell>
          <cell r="DS46">
            <v>0</v>
          </cell>
          <cell r="DT46">
            <v>0</v>
          </cell>
          <cell r="DU46">
            <v>0</v>
          </cell>
          <cell r="DV46">
            <v>0</v>
          </cell>
          <cell r="DW46">
            <v>0</v>
          </cell>
          <cell r="DX46">
            <v>0</v>
          </cell>
          <cell r="DY46">
            <v>0</v>
          </cell>
          <cell r="DZ46">
            <v>0</v>
          </cell>
          <cell r="EA46">
            <v>0</v>
          </cell>
          <cell r="EB46">
            <v>0</v>
          </cell>
          <cell r="EC46">
            <v>0</v>
          </cell>
          <cell r="ED46">
            <v>0</v>
          </cell>
          <cell r="EE46">
            <v>0</v>
          </cell>
          <cell r="EF46">
            <v>0</v>
          </cell>
          <cell r="EG46">
            <v>0</v>
          </cell>
          <cell r="EH46">
            <v>0</v>
          </cell>
          <cell r="EI46">
            <v>0</v>
          </cell>
          <cell r="EJ46">
            <v>0</v>
          </cell>
          <cell r="EK46">
            <v>0</v>
          </cell>
          <cell r="EL46">
            <v>0</v>
          </cell>
          <cell r="EM46">
            <v>0</v>
          </cell>
          <cell r="EN46">
            <v>0</v>
          </cell>
          <cell r="EO46">
            <v>0</v>
          </cell>
          <cell r="EP46">
            <v>0</v>
          </cell>
          <cell r="EQ46">
            <v>0</v>
          </cell>
          <cell r="ER46">
            <v>0</v>
          </cell>
          <cell r="ES46">
            <v>0</v>
          </cell>
          <cell r="ET46">
            <v>0</v>
          </cell>
          <cell r="EU46">
            <v>0</v>
          </cell>
          <cell r="EV46">
            <v>0</v>
          </cell>
          <cell r="EW46">
            <v>0</v>
          </cell>
          <cell r="EX46">
            <v>0</v>
          </cell>
          <cell r="EY46">
            <v>0</v>
          </cell>
          <cell r="EZ46">
            <v>0</v>
          </cell>
          <cell r="FA46">
            <v>0</v>
          </cell>
          <cell r="FB46">
            <v>0</v>
          </cell>
          <cell r="FC46">
            <v>0</v>
          </cell>
          <cell r="FD46">
            <v>0</v>
          </cell>
          <cell r="FE46">
            <v>0</v>
          </cell>
          <cell r="FF46">
            <v>0</v>
          </cell>
          <cell r="FG46">
            <v>0</v>
          </cell>
          <cell r="FH46">
            <v>0</v>
          </cell>
          <cell r="FI46">
            <v>0</v>
          </cell>
          <cell r="FJ46">
            <v>0</v>
          </cell>
          <cell r="FK46">
            <v>0</v>
          </cell>
          <cell r="FL46">
            <v>0</v>
          </cell>
          <cell r="FM46">
            <v>0</v>
          </cell>
          <cell r="FN46">
            <v>0</v>
          </cell>
          <cell r="FO46">
            <v>0</v>
          </cell>
          <cell r="FP46">
            <v>0</v>
          </cell>
          <cell r="FQ46">
            <v>0</v>
          </cell>
          <cell r="FR46">
            <v>0</v>
          </cell>
          <cell r="FS46">
            <v>0</v>
          </cell>
          <cell r="FT46">
            <v>0</v>
          </cell>
          <cell r="FU46">
            <v>0</v>
          </cell>
          <cell r="FV46">
            <v>0</v>
          </cell>
          <cell r="FW46">
            <v>0</v>
          </cell>
          <cell r="FX46">
            <v>0</v>
          </cell>
          <cell r="FY46">
            <v>0</v>
          </cell>
          <cell r="FZ46">
            <v>0</v>
          </cell>
          <cell r="GA46">
            <v>0</v>
          </cell>
          <cell r="GB46">
            <v>0</v>
          </cell>
          <cell r="GC46">
            <v>0</v>
          </cell>
          <cell r="GD46">
            <v>0</v>
          </cell>
          <cell r="GE46">
            <v>0</v>
          </cell>
          <cell r="GF46">
            <v>0</v>
          </cell>
          <cell r="GG46">
            <v>0</v>
          </cell>
          <cell r="GH46">
            <v>0</v>
          </cell>
          <cell r="GI46">
            <v>0</v>
          </cell>
          <cell r="GJ46">
            <v>0</v>
          </cell>
          <cell r="GK46">
            <v>0</v>
          </cell>
          <cell r="GL46">
            <v>0</v>
          </cell>
          <cell r="GM46">
            <v>0</v>
          </cell>
          <cell r="GN46">
            <v>0</v>
          </cell>
          <cell r="GO46">
            <v>0</v>
          </cell>
          <cell r="GP46">
            <v>0</v>
          </cell>
          <cell r="GQ46">
            <v>0</v>
          </cell>
          <cell r="GR46">
            <v>0</v>
          </cell>
          <cell r="GS46">
            <v>0</v>
          </cell>
          <cell r="GT46">
            <v>0</v>
          </cell>
          <cell r="GU46">
            <v>0</v>
          </cell>
          <cell r="GV46">
            <v>0</v>
          </cell>
          <cell r="GW46">
            <v>0</v>
          </cell>
          <cell r="GX46">
            <v>0</v>
          </cell>
          <cell r="GY46">
            <v>0</v>
          </cell>
          <cell r="GZ46">
            <v>0</v>
          </cell>
          <cell r="HA46">
            <v>0</v>
          </cell>
          <cell r="HB46">
            <v>0</v>
          </cell>
          <cell r="HC46">
            <v>0</v>
          </cell>
          <cell r="HD46">
            <v>0</v>
          </cell>
          <cell r="HE46">
            <v>0</v>
          </cell>
          <cell r="HF46">
            <v>0</v>
          </cell>
        </row>
        <row r="47">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v>0</v>
          </cell>
          <cell r="DU47">
            <v>0</v>
          </cell>
          <cell r="DV47">
            <v>0</v>
          </cell>
          <cell r="DW47">
            <v>0</v>
          </cell>
          <cell r="DX47">
            <v>0</v>
          </cell>
          <cell r="DY47">
            <v>0</v>
          </cell>
          <cell r="DZ47">
            <v>0</v>
          </cell>
          <cell r="EA47">
            <v>0</v>
          </cell>
          <cell r="EB47">
            <v>0</v>
          </cell>
          <cell r="EC47">
            <v>0</v>
          </cell>
          <cell r="ED47">
            <v>0</v>
          </cell>
          <cell r="EE47">
            <v>0</v>
          </cell>
          <cell r="EF47">
            <v>0</v>
          </cell>
          <cell r="EG47">
            <v>0</v>
          </cell>
          <cell r="EH47">
            <v>0</v>
          </cell>
          <cell r="EI47">
            <v>0</v>
          </cell>
          <cell r="EJ47">
            <v>0</v>
          </cell>
          <cell r="EK47">
            <v>0</v>
          </cell>
          <cell r="EL47">
            <v>0</v>
          </cell>
          <cell r="EM47">
            <v>0</v>
          </cell>
          <cell r="EN47">
            <v>0</v>
          </cell>
          <cell r="EO47">
            <v>0</v>
          </cell>
          <cell r="EP47">
            <v>0</v>
          </cell>
          <cell r="EQ47">
            <v>0</v>
          </cell>
          <cell r="ER47">
            <v>0</v>
          </cell>
          <cell r="ES47">
            <v>0</v>
          </cell>
          <cell r="ET47">
            <v>0</v>
          </cell>
          <cell r="EU47">
            <v>0</v>
          </cell>
          <cell r="EV47">
            <v>0</v>
          </cell>
          <cell r="EW47">
            <v>0</v>
          </cell>
          <cell r="EX47">
            <v>0</v>
          </cell>
          <cell r="EY47">
            <v>0</v>
          </cell>
          <cell r="EZ47">
            <v>0</v>
          </cell>
          <cell r="FA47">
            <v>0</v>
          </cell>
          <cell r="FB47">
            <v>0</v>
          </cell>
          <cell r="FC47">
            <v>0</v>
          </cell>
          <cell r="FD47">
            <v>0</v>
          </cell>
          <cell r="FE47">
            <v>0</v>
          </cell>
          <cell r="FF47">
            <v>0</v>
          </cell>
          <cell r="FG47">
            <v>0</v>
          </cell>
          <cell r="FH47">
            <v>0</v>
          </cell>
          <cell r="FI47">
            <v>0</v>
          </cell>
          <cell r="FJ47">
            <v>0</v>
          </cell>
          <cell r="FK47">
            <v>0</v>
          </cell>
          <cell r="FL47">
            <v>0</v>
          </cell>
          <cell r="FM47">
            <v>0</v>
          </cell>
          <cell r="FN47">
            <v>0</v>
          </cell>
          <cell r="FO47">
            <v>0</v>
          </cell>
          <cell r="FP47">
            <v>0</v>
          </cell>
          <cell r="FQ47">
            <v>0</v>
          </cell>
          <cell r="FR47">
            <v>0</v>
          </cell>
          <cell r="FS47">
            <v>0</v>
          </cell>
          <cell r="FT47">
            <v>0</v>
          </cell>
          <cell r="FU47">
            <v>0</v>
          </cell>
          <cell r="FV47">
            <v>0</v>
          </cell>
          <cell r="FW47">
            <v>0</v>
          </cell>
          <cell r="FX47">
            <v>0</v>
          </cell>
          <cell r="FY47">
            <v>0</v>
          </cell>
          <cell r="FZ47">
            <v>0</v>
          </cell>
          <cell r="GA47">
            <v>0</v>
          </cell>
          <cell r="GB47">
            <v>0</v>
          </cell>
          <cell r="GC47">
            <v>0</v>
          </cell>
          <cell r="GD47">
            <v>0</v>
          </cell>
          <cell r="GE47">
            <v>0</v>
          </cell>
          <cell r="GF47">
            <v>0</v>
          </cell>
          <cell r="GG47">
            <v>0</v>
          </cell>
          <cell r="GH47">
            <v>0</v>
          </cell>
          <cell r="GI47">
            <v>0</v>
          </cell>
          <cell r="GJ47">
            <v>0</v>
          </cell>
          <cell r="GK47">
            <v>0</v>
          </cell>
          <cell r="GL47">
            <v>0</v>
          </cell>
          <cell r="GM47">
            <v>0</v>
          </cell>
          <cell r="GN47">
            <v>0</v>
          </cell>
          <cell r="GO47">
            <v>0</v>
          </cell>
          <cell r="GP47">
            <v>0</v>
          </cell>
          <cell r="GQ47">
            <v>0</v>
          </cell>
          <cell r="GR47">
            <v>0</v>
          </cell>
          <cell r="GS47">
            <v>0</v>
          </cell>
          <cell r="GT47">
            <v>0</v>
          </cell>
          <cell r="GU47">
            <v>0</v>
          </cell>
          <cell r="GV47">
            <v>0</v>
          </cell>
          <cell r="GW47">
            <v>0</v>
          </cell>
          <cell r="GX47">
            <v>0</v>
          </cell>
          <cell r="GY47">
            <v>0</v>
          </cell>
          <cell r="GZ47">
            <v>0</v>
          </cell>
          <cell r="HA47">
            <v>0</v>
          </cell>
          <cell r="HB47">
            <v>0</v>
          </cell>
          <cell r="HC47">
            <v>0</v>
          </cell>
          <cell r="HD47">
            <v>0</v>
          </cell>
          <cell r="HE47">
            <v>0</v>
          </cell>
          <cell r="HF47">
            <v>0</v>
          </cell>
        </row>
        <row r="48">
          <cell r="N48">
            <v>0</v>
          </cell>
          <cell r="O48">
            <v>866.66666666666663</v>
          </cell>
          <cell r="P48">
            <v>908.33333333333326</v>
          </cell>
          <cell r="Q48">
            <v>949.99999999999989</v>
          </cell>
          <cell r="R48">
            <v>991.66666666666652</v>
          </cell>
          <cell r="S48">
            <v>1033.3333333333333</v>
          </cell>
          <cell r="T48">
            <v>1075</v>
          </cell>
          <cell r="U48">
            <v>1116.6666666666667</v>
          </cell>
          <cell r="V48">
            <v>1158.3333333333335</v>
          </cell>
          <cell r="W48">
            <v>1200.0000000000002</v>
          </cell>
          <cell r="X48">
            <v>1241.666666666667</v>
          </cell>
          <cell r="Y48">
            <v>1283.3333333333337</v>
          </cell>
          <cell r="Z48">
            <v>1325.0000000000005</v>
          </cell>
          <cell r="AA48">
            <v>1366.6666666666672</v>
          </cell>
          <cell r="AB48">
            <v>1408.3333333333339</v>
          </cell>
          <cell r="AC48">
            <v>1450.0000000000007</v>
          </cell>
          <cell r="AD48">
            <v>1491.6666666666674</v>
          </cell>
          <cell r="AE48">
            <v>1533.3333333333342</v>
          </cell>
          <cell r="AF48">
            <v>1575.0000000000009</v>
          </cell>
          <cell r="AG48">
            <v>1616.6666666666677</v>
          </cell>
          <cell r="AH48">
            <v>1658.3333333333344</v>
          </cell>
          <cell r="AI48">
            <v>1700.0000000000011</v>
          </cell>
          <cell r="AJ48">
            <v>1741.6666666666679</v>
          </cell>
          <cell r="AK48">
            <v>1783.3333333333346</v>
          </cell>
          <cell r="AL48">
            <v>1825.0000000000014</v>
          </cell>
          <cell r="AM48">
            <v>1866.6666666666681</v>
          </cell>
          <cell r="AN48">
            <v>1908.3333333333348</v>
          </cell>
          <cell r="AO48">
            <v>1950.0000000000016</v>
          </cell>
          <cell r="AP48">
            <v>1991.6666666666683</v>
          </cell>
          <cell r="AQ48">
            <v>2033.3333333333351</v>
          </cell>
          <cell r="AR48">
            <v>2075.0000000000018</v>
          </cell>
          <cell r="AS48">
            <v>2116.6666666666683</v>
          </cell>
          <cell r="AT48">
            <v>2158.3333333333348</v>
          </cell>
          <cell r="AU48">
            <v>2200.0000000000014</v>
          </cell>
          <cell r="AV48">
            <v>2241.6666666666679</v>
          </cell>
          <cell r="AW48">
            <v>2283.3333333333344</v>
          </cell>
          <cell r="AX48">
            <v>2325.0000000000009</v>
          </cell>
          <cell r="AY48">
            <v>2366.6666666666674</v>
          </cell>
          <cell r="AZ48">
            <v>2408.3333333333339</v>
          </cell>
          <cell r="BA48">
            <v>2450.0000000000005</v>
          </cell>
          <cell r="BB48">
            <v>2491.666666666667</v>
          </cell>
          <cell r="BC48">
            <v>2533.3333333333335</v>
          </cell>
          <cell r="BD48">
            <v>2575</v>
          </cell>
          <cell r="BE48">
            <v>2616.6666666666665</v>
          </cell>
          <cell r="BF48">
            <v>2658.333333333333</v>
          </cell>
          <cell r="BG48">
            <v>2699.9999999999995</v>
          </cell>
          <cell r="BH48">
            <v>2741.6666666666661</v>
          </cell>
          <cell r="BI48">
            <v>2783.3333333333326</v>
          </cell>
          <cell r="BJ48">
            <v>2824.9999999999991</v>
          </cell>
          <cell r="BK48">
            <v>2866.6666666666656</v>
          </cell>
          <cell r="BL48">
            <v>2908.3333333333321</v>
          </cell>
          <cell r="BM48">
            <v>2949.9999999999986</v>
          </cell>
          <cell r="BN48">
            <v>2991.6666666666652</v>
          </cell>
          <cell r="BO48">
            <v>3033.3333333333317</v>
          </cell>
          <cell r="BP48">
            <v>3074.9999999999982</v>
          </cell>
          <cell r="BQ48">
            <v>3116.6666666666647</v>
          </cell>
          <cell r="BR48">
            <v>3158.3333333333312</v>
          </cell>
          <cell r="BS48">
            <v>3199.9999999999977</v>
          </cell>
          <cell r="BT48">
            <v>3241.6666666666642</v>
          </cell>
          <cell r="BU48">
            <v>3283.3333333333308</v>
          </cell>
          <cell r="BV48">
            <v>3324.9999999999973</v>
          </cell>
          <cell r="BW48">
            <v>3366.6666666666638</v>
          </cell>
          <cell r="BX48">
            <v>3408.3333333333303</v>
          </cell>
          <cell r="BY48">
            <v>3449.9999999999968</v>
          </cell>
          <cell r="BZ48">
            <v>3491.6666666666633</v>
          </cell>
          <cell r="CA48">
            <v>3533.3333333333298</v>
          </cell>
          <cell r="CB48">
            <v>3574.9999999999964</v>
          </cell>
          <cell r="CC48">
            <v>3616.6666666666629</v>
          </cell>
          <cell r="CD48">
            <v>3658.3333333333294</v>
          </cell>
          <cell r="CE48">
            <v>3699.9999999999959</v>
          </cell>
          <cell r="CF48">
            <v>3741.6666666666624</v>
          </cell>
          <cell r="CG48">
            <v>3783.3333333333289</v>
          </cell>
          <cell r="CH48">
            <v>3824.9999999999955</v>
          </cell>
          <cell r="CI48">
            <v>3866.666666666662</v>
          </cell>
          <cell r="CJ48">
            <v>3908.3333333333285</v>
          </cell>
          <cell r="CK48">
            <v>3949.999999999995</v>
          </cell>
          <cell r="CL48">
            <v>3991.6666666666615</v>
          </cell>
          <cell r="CM48">
            <v>4033.333333333328</v>
          </cell>
          <cell r="CN48">
            <v>4074.9999999999945</v>
          </cell>
          <cell r="CO48">
            <v>4116.6666666666615</v>
          </cell>
          <cell r="CP48">
            <v>4158.3333333333285</v>
          </cell>
          <cell r="CQ48">
            <v>4199.9999999999955</v>
          </cell>
          <cell r="CR48">
            <v>4241.6666666666624</v>
          </cell>
          <cell r="CS48">
            <v>4283.3333333333294</v>
          </cell>
          <cell r="CT48">
            <v>4324.9999999999964</v>
          </cell>
          <cell r="CU48">
            <v>4366.6666666666633</v>
          </cell>
          <cell r="CV48">
            <v>4408.3333333333303</v>
          </cell>
          <cell r="CW48">
            <v>4449.9999999999973</v>
          </cell>
          <cell r="CX48">
            <v>4491.6666666666642</v>
          </cell>
          <cell r="CY48">
            <v>4533.3333333333312</v>
          </cell>
          <cell r="CZ48">
            <v>4574.9999999999982</v>
          </cell>
          <cell r="DA48">
            <v>4616.6666666666652</v>
          </cell>
          <cell r="DB48">
            <v>4658.3333333333321</v>
          </cell>
          <cell r="DC48">
            <v>4699.9999999999991</v>
          </cell>
          <cell r="DD48">
            <v>4741.6666666666661</v>
          </cell>
          <cell r="DE48">
            <v>4783.333333333333</v>
          </cell>
          <cell r="DF48">
            <v>4825</v>
          </cell>
          <cell r="DG48">
            <v>4866.666666666667</v>
          </cell>
          <cell r="DH48">
            <v>4908.3333333333339</v>
          </cell>
          <cell r="DI48">
            <v>4950.0000000000009</v>
          </cell>
          <cell r="DJ48">
            <v>4991.6666666666679</v>
          </cell>
          <cell r="DK48">
            <v>5033.3333333333348</v>
          </cell>
          <cell r="DL48">
            <v>5075.0000000000018</v>
          </cell>
          <cell r="DM48">
            <v>5116.6666666666688</v>
          </cell>
          <cell r="DN48">
            <v>5158.3333333333358</v>
          </cell>
          <cell r="DO48">
            <v>5200.0000000000027</v>
          </cell>
          <cell r="DP48">
            <v>5241.6666666666697</v>
          </cell>
          <cell r="DQ48">
            <v>5283.3333333333367</v>
          </cell>
          <cell r="DR48">
            <v>5325.0000000000036</v>
          </cell>
          <cell r="DS48">
            <v>5366.6666666666706</v>
          </cell>
          <cell r="DT48">
            <v>5408.3333333333376</v>
          </cell>
          <cell r="DU48">
            <v>5450.0000000000045</v>
          </cell>
          <cell r="DV48">
            <v>5491.6666666666715</v>
          </cell>
          <cell r="DW48">
            <v>5533.3333333333385</v>
          </cell>
          <cell r="DX48">
            <v>5575.0000000000055</v>
          </cell>
          <cell r="DY48">
            <v>5616.6666666666724</v>
          </cell>
          <cell r="DZ48">
            <v>5658.3333333333394</v>
          </cell>
          <cell r="EA48">
            <v>5700.0000000000064</v>
          </cell>
          <cell r="EB48">
            <v>5741.6666666666733</v>
          </cell>
          <cell r="EC48">
            <v>5783.3333333333403</v>
          </cell>
          <cell r="ED48">
            <v>5825.0000000000073</v>
          </cell>
          <cell r="EE48">
            <v>5866.6666666666742</v>
          </cell>
          <cell r="EF48">
            <v>5908.3333333333412</v>
          </cell>
          <cell r="EG48">
            <v>5950.0000000000082</v>
          </cell>
          <cell r="EH48">
            <v>5991.6666666666752</v>
          </cell>
          <cell r="EI48">
            <v>6033.3333333333421</v>
          </cell>
          <cell r="EJ48">
            <v>6075.0000000000091</v>
          </cell>
          <cell r="EK48">
            <v>6116.6666666666761</v>
          </cell>
          <cell r="EL48">
            <v>6158.333333333343</v>
          </cell>
          <cell r="EM48">
            <v>6200.00000000001</v>
          </cell>
          <cell r="EN48">
            <v>6241.666666666677</v>
          </cell>
          <cell r="EO48">
            <v>6283.3333333333439</v>
          </cell>
          <cell r="EP48">
            <v>6325.0000000000109</v>
          </cell>
          <cell r="EQ48">
            <v>6366.6666666666779</v>
          </cell>
          <cell r="ER48">
            <v>6408.3333333333449</v>
          </cell>
          <cell r="ES48">
            <v>6450.0000000000118</v>
          </cell>
          <cell r="ET48">
            <v>6491.6666666666788</v>
          </cell>
          <cell r="EU48">
            <v>6533.3333333333458</v>
          </cell>
          <cell r="EV48">
            <v>6575.0000000000127</v>
          </cell>
          <cell r="EW48">
            <v>6616.6666666666797</v>
          </cell>
          <cell r="EX48">
            <v>6658.3333333333467</v>
          </cell>
          <cell r="EY48">
            <v>6700.0000000000136</v>
          </cell>
          <cell r="EZ48">
            <v>6741.6666666666806</v>
          </cell>
          <cell r="FA48">
            <v>6783.3333333333476</v>
          </cell>
          <cell r="FB48">
            <v>6825.0000000000146</v>
          </cell>
          <cell r="FC48">
            <v>6866.6666666666815</v>
          </cell>
          <cell r="FD48">
            <v>6908.3333333333485</v>
          </cell>
          <cell r="FE48">
            <v>6950.0000000000155</v>
          </cell>
          <cell r="FF48">
            <v>6991.6666666666824</v>
          </cell>
          <cell r="FG48">
            <v>7033.3333333333494</v>
          </cell>
          <cell r="FH48">
            <v>7075.0000000000164</v>
          </cell>
          <cell r="FI48">
            <v>7116.6666666666833</v>
          </cell>
          <cell r="FJ48">
            <v>7158.3333333333503</v>
          </cell>
          <cell r="FK48">
            <v>7200.0000000000173</v>
          </cell>
          <cell r="FL48">
            <v>7241.6666666666843</v>
          </cell>
          <cell r="FM48">
            <v>7283.3333333333512</v>
          </cell>
          <cell r="FN48">
            <v>7325.0000000000182</v>
          </cell>
          <cell r="FO48">
            <v>7366.6666666666852</v>
          </cell>
          <cell r="FP48">
            <v>7408.3333333333521</v>
          </cell>
          <cell r="FQ48">
            <v>7450.0000000000191</v>
          </cell>
          <cell r="FR48">
            <v>7491.6666666666861</v>
          </cell>
          <cell r="FS48">
            <v>7533.333333333353</v>
          </cell>
          <cell r="FT48">
            <v>7575.00000000002</v>
          </cell>
          <cell r="FU48">
            <v>7616.666666666687</v>
          </cell>
          <cell r="FV48">
            <v>7658.3333333333539</v>
          </cell>
          <cell r="FW48">
            <v>7700.0000000000209</v>
          </cell>
          <cell r="FX48">
            <v>7741.6666666666879</v>
          </cell>
          <cell r="FY48">
            <v>7783.3333333333549</v>
          </cell>
          <cell r="FZ48">
            <v>7825.0000000000218</v>
          </cell>
          <cell r="GA48">
            <v>7866.6666666666888</v>
          </cell>
          <cell r="GB48">
            <v>7908.3333333333558</v>
          </cell>
          <cell r="GC48">
            <v>7950.0000000000227</v>
          </cell>
          <cell r="GD48">
            <v>7991.6666666666897</v>
          </cell>
          <cell r="GE48">
            <v>8033.3333333333567</v>
          </cell>
          <cell r="GF48">
            <v>8075.0000000000236</v>
          </cell>
          <cell r="GG48">
            <v>8116.6666666666906</v>
          </cell>
          <cell r="GH48">
            <v>8158.3333333333576</v>
          </cell>
          <cell r="GI48">
            <v>8200.0000000000236</v>
          </cell>
          <cell r="GJ48">
            <v>8241.6666666666897</v>
          </cell>
          <cell r="GK48">
            <v>8283.3333333333558</v>
          </cell>
          <cell r="GL48">
            <v>8325.0000000000218</v>
          </cell>
          <cell r="GM48">
            <v>8366.6666666666879</v>
          </cell>
          <cell r="GN48">
            <v>8408.3333333333539</v>
          </cell>
          <cell r="GO48">
            <v>8450.00000000002</v>
          </cell>
          <cell r="GP48">
            <v>8491.6666666666861</v>
          </cell>
          <cell r="GQ48">
            <v>8533.3333333333521</v>
          </cell>
          <cell r="GR48">
            <v>8575.0000000000182</v>
          </cell>
          <cell r="GS48">
            <v>8616.6666666666843</v>
          </cell>
          <cell r="GT48">
            <v>8658.3333333333503</v>
          </cell>
          <cell r="GU48">
            <v>8700.0000000000164</v>
          </cell>
          <cell r="GV48">
            <v>8741.6666666666824</v>
          </cell>
          <cell r="GW48">
            <v>8783.3333333333485</v>
          </cell>
          <cell r="GX48">
            <v>8825.0000000000146</v>
          </cell>
          <cell r="GY48">
            <v>8866.6666666666806</v>
          </cell>
          <cell r="GZ48">
            <v>8908.3333333333467</v>
          </cell>
          <cell r="HA48">
            <v>8950.0000000000127</v>
          </cell>
          <cell r="HB48">
            <v>8991.6666666666788</v>
          </cell>
          <cell r="HC48">
            <v>9033.3333333333449</v>
          </cell>
          <cell r="HD48">
            <v>9075.0000000000109</v>
          </cell>
          <cell r="HE48">
            <v>9116.666666666677</v>
          </cell>
          <cell r="HF48">
            <v>9158.333333333343</v>
          </cell>
        </row>
        <row r="49">
          <cell r="N49">
            <v>0</v>
          </cell>
          <cell r="O49">
            <v>10400</v>
          </cell>
          <cell r="P49">
            <v>10900</v>
          </cell>
          <cell r="Q49">
            <v>11400</v>
          </cell>
          <cell r="R49">
            <v>11900</v>
          </cell>
          <cell r="S49">
            <v>12400</v>
          </cell>
          <cell r="T49">
            <v>12900</v>
          </cell>
          <cell r="U49">
            <v>13400</v>
          </cell>
          <cell r="V49">
            <v>13900</v>
          </cell>
          <cell r="W49">
            <v>14400</v>
          </cell>
          <cell r="X49">
            <v>14900</v>
          </cell>
          <cell r="Y49">
            <v>15400</v>
          </cell>
          <cell r="Z49">
            <v>15900</v>
          </cell>
          <cell r="AA49">
            <v>16400</v>
          </cell>
          <cell r="AB49">
            <v>16900</v>
          </cell>
          <cell r="AC49">
            <v>17400</v>
          </cell>
          <cell r="AD49">
            <v>17900</v>
          </cell>
          <cell r="AE49">
            <v>18400</v>
          </cell>
          <cell r="AF49">
            <v>18900</v>
          </cell>
          <cell r="AG49">
            <v>19400</v>
          </cell>
          <cell r="AH49">
            <v>19900</v>
          </cell>
          <cell r="AI49">
            <v>20400</v>
          </cell>
          <cell r="AJ49">
            <v>20900</v>
          </cell>
          <cell r="AK49">
            <v>21400</v>
          </cell>
          <cell r="AL49">
            <v>21900</v>
          </cell>
          <cell r="AM49">
            <v>22400</v>
          </cell>
          <cell r="AN49">
            <v>22900</v>
          </cell>
          <cell r="AO49">
            <v>23400</v>
          </cell>
          <cell r="AP49">
            <v>23900</v>
          </cell>
          <cell r="AQ49">
            <v>24400</v>
          </cell>
          <cell r="AR49">
            <v>24900</v>
          </cell>
          <cell r="AS49">
            <v>25400</v>
          </cell>
          <cell r="AT49">
            <v>25900</v>
          </cell>
          <cell r="AU49">
            <v>26400</v>
          </cell>
          <cell r="AV49">
            <v>26900</v>
          </cell>
          <cell r="AW49">
            <v>27400</v>
          </cell>
          <cell r="AX49">
            <v>27900</v>
          </cell>
          <cell r="AY49">
            <v>28400</v>
          </cell>
          <cell r="AZ49">
            <v>28900</v>
          </cell>
          <cell r="BA49">
            <v>29400</v>
          </cell>
          <cell r="BB49">
            <v>29900</v>
          </cell>
          <cell r="BC49">
            <v>30400</v>
          </cell>
          <cell r="BD49">
            <v>30900</v>
          </cell>
          <cell r="BE49">
            <v>31400</v>
          </cell>
          <cell r="BF49">
            <v>31900</v>
          </cell>
          <cell r="BG49">
            <v>32400</v>
          </cell>
          <cell r="BH49">
            <v>32900</v>
          </cell>
          <cell r="BI49">
            <v>33400</v>
          </cell>
          <cell r="BJ49">
            <v>33900</v>
          </cell>
          <cell r="BK49">
            <v>34400</v>
          </cell>
          <cell r="BL49">
            <v>34900</v>
          </cell>
          <cell r="BM49">
            <v>35400</v>
          </cell>
          <cell r="BN49">
            <v>35900</v>
          </cell>
          <cell r="BO49">
            <v>36400</v>
          </cell>
          <cell r="BP49">
            <v>36900</v>
          </cell>
          <cell r="BQ49">
            <v>37400</v>
          </cell>
          <cell r="BR49">
            <v>37900</v>
          </cell>
          <cell r="BS49">
            <v>38400</v>
          </cell>
          <cell r="BT49">
            <v>38900</v>
          </cell>
          <cell r="BU49">
            <v>39400</v>
          </cell>
          <cell r="BV49">
            <v>39900</v>
          </cell>
          <cell r="BW49">
            <v>40400</v>
          </cell>
          <cell r="BX49">
            <v>40900</v>
          </cell>
          <cell r="BY49">
            <v>41400</v>
          </cell>
          <cell r="BZ49">
            <v>41900</v>
          </cell>
          <cell r="CA49">
            <v>42400</v>
          </cell>
          <cell r="CB49">
            <v>42900</v>
          </cell>
          <cell r="CC49">
            <v>43400</v>
          </cell>
          <cell r="CD49">
            <v>43900</v>
          </cell>
          <cell r="CE49">
            <v>44400</v>
          </cell>
          <cell r="CF49">
            <v>44900</v>
          </cell>
          <cell r="CG49">
            <v>45400</v>
          </cell>
          <cell r="CH49">
            <v>45900</v>
          </cell>
          <cell r="CI49">
            <v>46400</v>
          </cell>
          <cell r="CJ49">
            <v>46900</v>
          </cell>
          <cell r="CK49">
            <v>47400</v>
          </cell>
          <cell r="CL49">
            <v>47900</v>
          </cell>
          <cell r="CM49">
            <v>48400</v>
          </cell>
          <cell r="CN49">
            <v>48900</v>
          </cell>
          <cell r="CO49">
            <v>49400</v>
          </cell>
          <cell r="CP49">
            <v>49900</v>
          </cell>
          <cell r="CQ49">
            <v>50400</v>
          </cell>
          <cell r="CR49">
            <v>50900</v>
          </cell>
          <cell r="CS49">
            <v>51400</v>
          </cell>
          <cell r="CT49">
            <v>51900</v>
          </cell>
          <cell r="CU49">
            <v>52400</v>
          </cell>
          <cell r="CV49">
            <v>52900</v>
          </cell>
          <cell r="CW49">
            <v>53400</v>
          </cell>
          <cell r="CX49">
            <v>53900</v>
          </cell>
          <cell r="CY49">
            <v>54400</v>
          </cell>
          <cell r="CZ49">
            <v>54900</v>
          </cell>
          <cell r="DA49">
            <v>55400</v>
          </cell>
          <cell r="DB49">
            <v>55900</v>
          </cell>
          <cell r="DC49">
            <v>56400</v>
          </cell>
          <cell r="DD49">
            <v>56900</v>
          </cell>
          <cell r="DE49">
            <v>57400</v>
          </cell>
          <cell r="DF49">
            <v>57900</v>
          </cell>
          <cell r="DG49">
            <v>58400</v>
          </cell>
          <cell r="DH49">
            <v>58900</v>
          </cell>
          <cell r="DI49">
            <v>59400</v>
          </cell>
          <cell r="DJ49">
            <v>59900</v>
          </cell>
          <cell r="DK49">
            <v>60400</v>
          </cell>
          <cell r="DL49">
            <v>60900</v>
          </cell>
          <cell r="DM49">
            <v>61400</v>
          </cell>
          <cell r="DN49">
            <v>61900</v>
          </cell>
          <cell r="DO49">
            <v>62400</v>
          </cell>
          <cell r="DP49">
            <v>62900</v>
          </cell>
          <cell r="DQ49">
            <v>63400</v>
          </cell>
          <cell r="DR49">
            <v>63900</v>
          </cell>
          <cell r="DS49">
            <v>64400</v>
          </cell>
          <cell r="DT49">
            <v>64900</v>
          </cell>
          <cell r="DU49">
            <v>65400</v>
          </cell>
          <cell r="DV49">
            <v>65900</v>
          </cell>
          <cell r="DW49">
            <v>66400</v>
          </cell>
          <cell r="DX49">
            <v>66900</v>
          </cell>
          <cell r="DY49">
            <v>67400</v>
          </cell>
          <cell r="DZ49">
            <v>67900</v>
          </cell>
          <cell r="EA49">
            <v>68400</v>
          </cell>
          <cell r="EB49">
            <v>68900</v>
          </cell>
          <cell r="EC49">
            <v>69400</v>
          </cell>
          <cell r="ED49">
            <v>69900</v>
          </cell>
          <cell r="EE49">
            <v>70400</v>
          </cell>
          <cell r="EF49">
            <v>70900</v>
          </cell>
          <cell r="EG49">
            <v>71400</v>
          </cell>
          <cell r="EH49">
            <v>71900</v>
          </cell>
          <cell r="EI49">
            <v>72400</v>
          </cell>
          <cell r="EJ49">
            <v>72900</v>
          </cell>
          <cell r="EK49">
            <v>73400</v>
          </cell>
          <cell r="EL49">
            <v>73900</v>
          </cell>
          <cell r="EM49">
            <v>74400</v>
          </cell>
          <cell r="EN49">
            <v>74900</v>
          </cell>
          <cell r="EO49">
            <v>75400</v>
          </cell>
          <cell r="EP49">
            <v>75900</v>
          </cell>
          <cell r="EQ49">
            <v>76400</v>
          </cell>
          <cell r="ER49">
            <v>76900</v>
          </cell>
          <cell r="ES49">
            <v>77400</v>
          </cell>
          <cell r="ET49">
            <v>77900</v>
          </cell>
          <cell r="EU49">
            <v>78400</v>
          </cell>
          <cell r="EV49">
            <v>78900</v>
          </cell>
          <cell r="EW49">
            <v>79400</v>
          </cell>
          <cell r="EX49">
            <v>79900</v>
          </cell>
          <cell r="EY49">
            <v>80400</v>
          </cell>
          <cell r="EZ49">
            <v>80900</v>
          </cell>
          <cell r="FA49">
            <v>81400</v>
          </cell>
          <cell r="FB49">
            <v>81900</v>
          </cell>
          <cell r="FC49">
            <v>82400</v>
          </cell>
          <cell r="FD49">
            <v>82900</v>
          </cell>
          <cell r="FE49">
            <v>83400</v>
          </cell>
          <cell r="FF49">
            <v>83900</v>
          </cell>
          <cell r="FG49">
            <v>84400</v>
          </cell>
          <cell r="FH49">
            <v>84900</v>
          </cell>
          <cell r="FI49">
            <v>85400</v>
          </cell>
          <cell r="FJ49">
            <v>85900</v>
          </cell>
          <cell r="FK49">
            <v>86400</v>
          </cell>
          <cell r="FL49">
            <v>86900</v>
          </cell>
          <cell r="FM49">
            <v>87400</v>
          </cell>
          <cell r="FN49">
            <v>87900</v>
          </cell>
          <cell r="FO49">
            <v>88400</v>
          </cell>
          <cell r="FP49">
            <v>88900</v>
          </cell>
          <cell r="FQ49">
            <v>89400</v>
          </cell>
          <cell r="FR49">
            <v>89900</v>
          </cell>
          <cell r="FS49">
            <v>90400</v>
          </cell>
          <cell r="FT49">
            <v>90900</v>
          </cell>
          <cell r="FU49">
            <v>91400</v>
          </cell>
          <cell r="FV49">
            <v>91900</v>
          </cell>
          <cell r="FW49">
            <v>92400</v>
          </cell>
          <cell r="FX49">
            <v>92900</v>
          </cell>
          <cell r="FY49">
            <v>93400</v>
          </cell>
          <cell r="FZ49">
            <v>93900</v>
          </cell>
          <cell r="GA49">
            <v>94400</v>
          </cell>
          <cell r="GB49">
            <v>94900</v>
          </cell>
          <cell r="GC49">
            <v>95400</v>
          </cell>
          <cell r="GD49">
            <v>95900</v>
          </cell>
          <cell r="GE49">
            <v>96400</v>
          </cell>
          <cell r="GF49">
            <v>96900</v>
          </cell>
          <cell r="GG49">
            <v>97400</v>
          </cell>
          <cell r="GH49">
            <v>97900</v>
          </cell>
          <cell r="GI49">
            <v>98400</v>
          </cell>
          <cell r="GJ49">
            <v>98900</v>
          </cell>
          <cell r="GK49">
            <v>99400</v>
          </cell>
          <cell r="GL49">
            <v>99900</v>
          </cell>
          <cell r="GM49">
            <v>100400</v>
          </cell>
          <cell r="GN49">
            <v>100900</v>
          </cell>
          <cell r="GO49">
            <v>101400</v>
          </cell>
          <cell r="GP49">
            <v>101900</v>
          </cell>
          <cell r="GQ49">
            <v>102400</v>
          </cell>
          <cell r="GR49">
            <v>102900</v>
          </cell>
          <cell r="GS49">
            <v>103400</v>
          </cell>
          <cell r="GT49">
            <v>103900</v>
          </cell>
          <cell r="GU49">
            <v>104400</v>
          </cell>
          <cell r="GV49">
            <v>104900</v>
          </cell>
          <cell r="GW49">
            <v>105400</v>
          </cell>
          <cell r="GX49">
            <v>105900</v>
          </cell>
          <cell r="GY49">
            <v>106400</v>
          </cell>
          <cell r="GZ49">
            <v>106900</v>
          </cell>
          <cell r="HA49">
            <v>107400</v>
          </cell>
          <cell r="HB49">
            <v>107900</v>
          </cell>
          <cell r="HC49">
            <v>108400</v>
          </cell>
          <cell r="HD49">
            <v>108900</v>
          </cell>
          <cell r="HE49">
            <v>109400</v>
          </cell>
          <cell r="HF49">
            <v>109900</v>
          </cell>
        </row>
        <row r="53">
          <cell r="N53">
            <v>0</v>
          </cell>
          <cell r="O53">
            <v>796</v>
          </cell>
          <cell r="P53">
            <v>834</v>
          </cell>
          <cell r="Q53">
            <v>872</v>
          </cell>
          <cell r="R53">
            <v>910</v>
          </cell>
          <cell r="S53">
            <v>949</v>
          </cell>
          <cell r="T53">
            <v>987</v>
          </cell>
          <cell r="U53">
            <v>1025</v>
          </cell>
          <cell r="V53">
            <v>1063</v>
          </cell>
          <cell r="W53">
            <v>1102</v>
          </cell>
          <cell r="X53">
            <v>1140</v>
          </cell>
          <cell r="Y53">
            <v>1178</v>
          </cell>
          <cell r="Z53">
            <v>1216</v>
          </cell>
          <cell r="AA53">
            <v>1255</v>
          </cell>
          <cell r="AB53">
            <v>1293</v>
          </cell>
          <cell r="AC53">
            <v>1331</v>
          </cell>
          <cell r="AD53">
            <v>1369</v>
          </cell>
          <cell r="AE53">
            <v>1408</v>
          </cell>
          <cell r="AF53">
            <v>1446</v>
          </cell>
          <cell r="AG53">
            <v>1484</v>
          </cell>
          <cell r="AH53">
            <v>1522</v>
          </cell>
          <cell r="AI53">
            <v>1561</v>
          </cell>
          <cell r="AJ53">
            <v>1599</v>
          </cell>
          <cell r="AK53">
            <v>1637</v>
          </cell>
          <cell r="AL53">
            <v>1675</v>
          </cell>
          <cell r="AM53">
            <v>1714</v>
          </cell>
          <cell r="AN53">
            <v>1752</v>
          </cell>
          <cell r="AO53">
            <v>1790</v>
          </cell>
          <cell r="AP53">
            <v>1828</v>
          </cell>
          <cell r="AQ53">
            <v>1867</v>
          </cell>
          <cell r="AR53">
            <v>1905</v>
          </cell>
          <cell r="AS53">
            <v>1943</v>
          </cell>
          <cell r="AT53">
            <v>1981</v>
          </cell>
          <cell r="AU53">
            <v>2020</v>
          </cell>
          <cell r="AV53">
            <v>2058</v>
          </cell>
          <cell r="AW53">
            <v>2096</v>
          </cell>
          <cell r="AX53">
            <v>2134</v>
          </cell>
          <cell r="AY53">
            <v>2173</v>
          </cell>
          <cell r="AZ53">
            <v>2211</v>
          </cell>
          <cell r="BA53">
            <v>2249</v>
          </cell>
          <cell r="BB53">
            <v>2287</v>
          </cell>
          <cell r="BC53">
            <v>2326</v>
          </cell>
          <cell r="BD53">
            <v>2364</v>
          </cell>
          <cell r="BE53">
            <v>2402</v>
          </cell>
          <cell r="BF53">
            <v>2440</v>
          </cell>
          <cell r="BG53">
            <v>2479</v>
          </cell>
          <cell r="BH53">
            <v>2517</v>
          </cell>
          <cell r="BI53">
            <v>2555</v>
          </cell>
          <cell r="BJ53">
            <v>2593</v>
          </cell>
          <cell r="BK53">
            <v>2632</v>
          </cell>
          <cell r="BL53">
            <v>2670</v>
          </cell>
          <cell r="BM53">
            <v>2708</v>
          </cell>
          <cell r="BN53">
            <v>2746</v>
          </cell>
          <cell r="BO53">
            <v>2785</v>
          </cell>
          <cell r="BP53">
            <v>2823</v>
          </cell>
          <cell r="BQ53">
            <v>2861</v>
          </cell>
          <cell r="BR53">
            <v>2899</v>
          </cell>
          <cell r="BS53">
            <v>2938</v>
          </cell>
          <cell r="BT53">
            <v>2976</v>
          </cell>
          <cell r="BU53">
            <v>3014</v>
          </cell>
          <cell r="BV53">
            <v>3052</v>
          </cell>
          <cell r="BW53">
            <v>3091</v>
          </cell>
          <cell r="BX53">
            <v>3129</v>
          </cell>
          <cell r="BY53">
            <v>3167</v>
          </cell>
          <cell r="BZ53">
            <v>3205</v>
          </cell>
          <cell r="CA53">
            <v>3244</v>
          </cell>
          <cell r="CB53">
            <v>3282</v>
          </cell>
          <cell r="CC53">
            <v>3320</v>
          </cell>
          <cell r="CD53">
            <v>3358</v>
          </cell>
          <cell r="CE53">
            <v>3397</v>
          </cell>
          <cell r="CF53">
            <v>3435</v>
          </cell>
          <cell r="CG53">
            <v>3473</v>
          </cell>
          <cell r="CH53">
            <v>3511</v>
          </cell>
          <cell r="CI53">
            <v>3550</v>
          </cell>
          <cell r="CJ53">
            <v>3588</v>
          </cell>
          <cell r="CK53">
            <v>3626</v>
          </cell>
          <cell r="CL53">
            <v>3664</v>
          </cell>
          <cell r="CM53">
            <v>3703</v>
          </cell>
          <cell r="CN53">
            <v>3741</v>
          </cell>
          <cell r="CO53">
            <v>3779</v>
          </cell>
          <cell r="CP53">
            <v>3817</v>
          </cell>
          <cell r="CQ53">
            <v>3856</v>
          </cell>
          <cell r="CR53">
            <v>3894</v>
          </cell>
          <cell r="CS53">
            <v>3932</v>
          </cell>
          <cell r="CT53">
            <v>3970</v>
          </cell>
          <cell r="CU53">
            <v>4009</v>
          </cell>
          <cell r="CV53">
            <v>4047</v>
          </cell>
          <cell r="CW53">
            <v>4085</v>
          </cell>
          <cell r="CX53">
            <v>4123</v>
          </cell>
          <cell r="CY53">
            <v>4162</v>
          </cell>
          <cell r="CZ53">
            <v>4200</v>
          </cell>
          <cell r="DA53">
            <v>4238</v>
          </cell>
          <cell r="DB53">
            <v>4276</v>
          </cell>
          <cell r="DC53">
            <v>4315</v>
          </cell>
          <cell r="DD53">
            <v>4353</v>
          </cell>
          <cell r="DE53">
            <v>4391</v>
          </cell>
          <cell r="DF53">
            <v>4429</v>
          </cell>
          <cell r="DG53">
            <v>4468</v>
          </cell>
          <cell r="DH53">
            <v>4506</v>
          </cell>
          <cell r="DI53">
            <v>4544</v>
          </cell>
          <cell r="DJ53">
            <v>4582</v>
          </cell>
          <cell r="DK53">
            <v>4621</v>
          </cell>
          <cell r="DL53">
            <v>4659</v>
          </cell>
          <cell r="DM53">
            <v>4697</v>
          </cell>
          <cell r="DN53">
            <v>4735</v>
          </cell>
          <cell r="DO53">
            <v>4774</v>
          </cell>
          <cell r="DP53">
            <v>4812</v>
          </cell>
          <cell r="DQ53">
            <v>4850</v>
          </cell>
          <cell r="DR53">
            <v>4888</v>
          </cell>
          <cell r="DS53">
            <v>4927</v>
          </cell>
          <cell r="DT53">
            <v>4965</v>
          </cell>
          <cell r="DU53">
            <v>5003</v>
          </cell>
          <cell r="DV53">
            <v>5041</v>
          </cell>
          <cell r="DW53">
            <v>5080</v>
          </cell>
          <cell r="DX53">
            <v>5118</v>
          </cell>
          <cell r="DY53">
            <v>5156</v>
          </cell>
          <cell r="DZ53">
            <v>5194</v>
          </cell>
          <cell r="EA53">
            <v>5233</v>
          </cell>
          <cell r="EB53">
            <v>5271</v>
          </cell>
          <cell r="EC53">
            <v>5309</v>
          </cell>
          <cell r="ED53">
            <v>5347</v>
          </cell>
          <cell r="EE53">
            <v>5386</v>
          </cell>
          <cell r="EF53">
            <v>5424</v>
          </cell>
          <cell r="EG53">
            <v>5462</v>
          </cell>
          <cell r="EH53">
            <v>5500</v>
          </cell>
          <cell r="EI53">
            <v>5539</v>
          </cell>
          <cell r="EJ53">
            <v>5577</v>
          </cell>
          <cell r="EK53">
            <v>5615</v>
          </cell>
          <cell r="EL53">
            <v>5653</v>
          </cell>
          <cell r="EM53">
            <v>5692</v>
          </cell>
          <cell r="EN53">
            <v>5730</v>
          </cell>
          <cell r="EO53">
            <v>5768</v>
          </cell>
          <cell r="EP53">
            <v>5806</v>
          </cell>
          <cell r="EQ53">
            <v>5845</v>
          </cell>
          <cell r="ER53">
            <v>5883</v>
          </cell>
          <cell r="ES53">
            <v>5921</v>
          </cell>
          <cell r="ET53">
            <v>5959</v>
          </cell>
          <cell r="EU53">
            <v>5998</v>
          </cell>
          <cell r="EV53">
            <v>6036</v>
          </cell>
          <cell r="EW53">
            <v>6074</v>
          </cell>
          <cell r="EX53">
            <v>6112</v>
          </cell>
          <cell r="EY53">
            <v>6151</v>
          </cell>
          <cell r="EZ53">
            <v>6189</v>
          </cell>
          <cell r="FA53">
            <v>6227</v>
          </cell>
          <cell r="FB53">
            <v>6265</v>
          </cell>
          <cell r="FC53">
            <v>6304</v>
          </cell>
          <cell r="FD53">
            <v>6342</v>
          </cell>
          <cell r="FE53">
            <v>6380</v>
          </cell>
          <cell r="FF53">
            <v>6418</v>
          </cell>
          <cell r="FG53">
            <v>6457</v>
          </cell>
          <cell r="FH53">
            <v>6495</v>
          </cell>
          <cell r="FI53">
            <v>6533</v>
          </cell>
          <cell r="FJ53">
            <v>6571</v>
          </cell>
          <cell r="FK53">
            <v>6610</v>
          </cell>
          <cell r="FL53">
            <v>6648</v>
          </cell>
          <cell r="FM53">
            <v>6686</v>
          </cell>
          <cell r="FN53">
            <v>6724</v>
          </cell>
          <cell r="FO53">
            <v>6763</v>
          </cell>
          <cell r="FP53">
            <v>6801</v>
          </cell>
          <cell r="FQ53">
            <v>6839</v>
          </cell>
          <cell r="FR53">
            <v>6877</v>
          </cell>
          <cell r="FS53">
            <v>6916</v>
          </cell>
          <cell r="FT53">
            <v>6954</v>
          </cell>
          <cell r="FU53">
            <v>6992</v>
          </cell>
          <cell r="FV53">
            <v>7030</v>
          </cell>
          <cell r="FW53">
            <v>7069</v>
          </cell>
          <cell r="FX53">
            <v>7107</v>
          </cell>
          <cell r="FY53">
            <v>7145</v>
          </cell>
          <cell r="FZ53">
            <v>7183</v>
          </cell>
          <cell r="GA53">
            <v>7222</v>
          </cell>
          <cell r="GB53">
            <v>7260</v>
          </cell>
          <cell r="GC53">
            <v>7298</v>
          </cell>
          <cell r="GD53">
            <v>7336</v>
          </cell>
          <cell r="GE53">
            <v>7375</v>
          </cell>
          <cell r="GF53">
            <v>7413</v>
          </cell>
          <cell r="GG53">
            <v>7451</v>
          </cell>
          <cell r="GH53">
            <v>7489</v>
          </cell>
          <cell r="GI53">
            <v>7528</v>
          </cell>
          <cell r="GJ53">
            <v>7566</v>
          </cell>
          <cell r="GK53">
            <v>7604</v>
          </cell>
          <cell r="GL53">
            <v>7642</v>
          </cell>
          <cell r="GM53">
            <v>7681</v>
          </cell>
          <cell r="GN53">
            <v>7719</v>
          </cell>
          <cell r="GO53">
            <v>7757</v>
          </cell>
          <cell r="GP53">
            <v>7795</v>
          </cell>
          <cell r="GQ53">
            <v>7834</v>
          </cell>
          <cell r="GR53">
            <v>7872</v>
          </cell>
          <cell r="GS53">
            <v>7910</v>
          </cell>
          <cell r="GT53">
            <v>7948</v>
          </cell>
          <cell r="GU53">
            <v>7987</v>
          </cell>
          <cell r="GV53">
            <v>8025</v>
          </cell>
          <cell r="GW53">
            <v>8063</v>
          </cell>
          <cell r="GX53">
            <v>8101</v>
          </cell>
          <cell r="GY53">
            <v>8140</v>
          </cell>
          <cell r="GZ53">
            <v>8178</v>
          </cell>
          <cell r="HA53">
            <v>8216</v>
          </cell>
          <cell r="HB53">
            <v>8254</v>
          </cell>
          <cell r="HC53">
            <v>8293</v>
          </cell>
          <cell r="HD53">
            <v>8331</v>
          </cell>
          <cell r="HE53">
            <v>8369</v>
          </cell>
          <cell r="HF53">
            <v>8407</v>
          </cell>
        </row>
        <row r="65">
          <cell r="N65">
            <v>0</v>
          </cell>
          <cell r="O65">
            <v>10400</v>
          </cell>
          <cell r="P65">
            <v>10900</v>
          </cell>
          <cell r="Q65">
            <v>11400</v>
          </cell>
          <cell r="R65">
            <v>11900</v>
          </cell>
          <cell r="S65">
            <v>12400</v>
          </cell>
          <cell r="T65">
            <v>12900</v>
          </cell>
          <cell r="U65">
            <v>13400</v>
          </cell>
          <cell r="V65">
            <v>13900</v>
          </cell>
          <cell r="W65">
            <v>14400</v>
          </cell>
          <cell r="X65">
            <v>14900</v>
          </cell>
          <cell r="Y65">
            <v>15400</v>
          </cell>
          <cell r="Z65">
            <v>15900</v>
          </cell>
          <cell r="AA65">
            <v>16400</v>
          </cell>
          <cell r="AB65">
            <v>16900</v>
          </cell>
          <cell r="AC65">
            <v>17400</v>
          </cell>
          <cell r="AD65">
            <v>17900</v>
          </cell>
          <cell r="AE65">
            <v>18400</v>
          </cell>
          <cell r="AF65">
            <v>18900</v>
          </cell>
          <cell r="AG65">
            <v>19400</v>
          </cell>
          <cell r="AH65">
            <v>19900</v>
          </cell>
          <cell r="AI65">
            <v>20400</v>
          </cell>
          <cell r="AJ65">
            <v>20900</v>
          </cell>
          <cell r="AK65">
            <v>21400</v>
          </cell>
          <cell r="AL65">
            <v>21900</v>
          </cell>
          <cell r="AM65">
            <v>22400</v>
          </cell>
          <cell r="AN65">
            <v>22900</v>
          </cell>
          <cell r="AO65">
            <v>23400</v>
          </cell>
          <cell r="AP65">
            <v>23900</v>
          </cell>
          <cell r="AQ65">
            <v>24400</v>
          </cell>
          <cell r="AR65">
            <v>24900</v>
          </cell>
          <cell r="AS65">
            <v>25400</v>
          </cell>
          <cell r="AT65">
            <v>25900</v>
          </cell>
          <cell r="AU65">
            <v>26400</v>
          </cell>
          <cell r="AV65">
            <v>26900</v>
          </cell>
          <cell r="AW65">
            <v>27400</v>
          </cell>
          <cell r="AX65">
            <v>27900</v>
          </cell>
          <cell r="AY65">
            <v>28400</v>
          </cell>
          <cell r="AZ65">
            <v>28900</v>
          </cell>
          <cell r="BA65">
            <v>29400</v>
          </cell>
          <cell r="BB65">
            <v>29900</v>
          </cell>
          <cell r="BC65">
            <v>30400</v>
          </cell>
          <cell r="BD65">
            <v>30900</v>
          </cell>
          <cell r="BE65">
            <v>31400</v>
          </cell>
          <cell r="BF65">
            <v>31900</v>
          </cell>
          <cell r="BG65">
            <v>32400</v>
          </cell>
          <cell r="BH65">
            <v>32900</v>
          </cell>
          <cell r="BI65">
            <v>33400</v>
          </cell>
          <cell r="BJ65">
            <v>33900</v>
          </cell>
          <cell r="BK65">
            <v>34400</v>
          </cell>
          <cell r="BL65">
            <v>34900</v>
          </cell>
          <cell r="BM65">
            <v>35400</v>
          </cell>
          <cell r="BN65">
            <v>35900</v>
          </cell>
          <cell r="BO65">
            <v>36400</v>
          </cell>
          <cell r="BP65">
            <v>36900</v>
          </cell>
          <cell r="BQ65">
            <v>37400</v>
          </cell>
          <cell r="BR65">
            <v>37900</v>
          </cell>
          <cell r="BS65">
            <v>38400</v>
          </cell>
          <cell r="BT65">
            <v>38900</v>
          </cell>
          <cell r="BU65">
            <v>39400</v>
          </cell>
          <cell r="BV65">
            <v>39900</v>
          </cell>
          <cell r="BW65">
            <v>40400</v>
          </cell>
          <cell r="BX65">
            <v>40900</v>
          </cell>
          <cell r="BY65">
            <v>41400</v>
          </cell>
          <cell r="BZ65">
            <v>41900</v>
          </cell>
          <cell r="CA65">
            <v>42400</v>
          </cell>
          <cell r="CB65">
            <v>42900</v>
          </cell>
          <cell r="CC65">
            <v>43400</v>
          </cell>
          <cell r="CD65">
            <v>43900</v>
          </cell>
          <cell r="CE65">
            <v>44400</v>
          </cell>
          <cell r="CF65">
            <v>44900</v>
          </cell>
          <cell r="CG65">
            <v>45400</v>
          </cell>
          <cell r="CH65">
            <v>45900</v>
          </cell>
          <cell r="CI65">
            <v>46400</v>
          </cell>
          <cell r="CJ65">
            <v>46900</v>
          </cell>
          <cell r="CK65">
            <v>47400</v>
          </cell>
          <cell r="CL65">
            <v>47900</v>
          </cell>
          <cell r="CM65">
            <v>48400</v>
          </cell>
          <cell r="CN65">
            <v>48900</v>
          </cell>
          <cell r="CO65">
            <v>49400</v>
          </cell>
          <cell r="CP65">
            <v>49900</v>
          </cell>
          <cell r="CQ65">
            <v>50400</v>
          </cell>
          <cell r="CR65">
            <v>50900</v>
          </cell>
          <cell r="CS65">
            <v>51400</v>
          </cell>
          <cell r="CT65">
            <v>51900</v>
          </cell>
          <cell r="CU65">
            <v>52400</v>
          </cell>
          <cell r="CV65">
            <v>52900</v>
          </cell>
          <cell r="CW65">
            <v>53400</v>
          </cell>
          <cell r="CX65">
            <v>53900</v>
          </cell>
          <cell r="CY65">
            <v>54400</v>
          </cell>
          <cell r="CZ65">
            <v>54900</v>
          </cell>
          <cell r="DA65">
            <v>55400</v>
          </cell>
          <cell r="DB65">
            <v>55900</v>
          </cell>
          <cell r="DC65">
            <v>56400</v>
          </cell>
          <cell r="DD65">
            <v>56900</v>
          </cell>
          <cell r="DE65">
            <v>57400</v>
          </cell>
          <cell r="DF65">
            <v>57900</v>
          </cell>
          <cell r="DG65">
            <v>58400</v>
          </cell>
          <cell r="DH65">
            <v>58900</v>
          </cell>
          <cell r="DI65">
            <v>59400</v>
          </cell>
          <cell r="DJ65">
            <v>59900</v>
          </cell>
          <cell r="DK65">
            <v>60400</v>
          </cell>
          <cell r="DL65">
            <v>60900</v>
          </cell>
          <cell r="DM65">
            <v>61400</v>
          </cell>
          <cell r="DN65">
            <v>61900</v>
          </cell>
          <cell r="DO65">
            <v>62400</v>
          </cell>
          <cell r="DP65">
            <v>62900</v>
          </cell>
          <cell r="DQ65">
            <v>63400</v>
          </cell>
          <cell r="DR65">
            <v>63900</v>
          </cell>
          <cell r="DS65">
            <v>64400</v>
          </cell>
          <cell r="DT65">
            <v>64900</v>
          </cell>
          <cell r="DU65">
            <v>65400</v>
          </cell>
          <cell r="DV65">
            <v>65900</v>
          </cell>
          <cell r="DW65">
            <v>66400</v>
          </cell>
          <cell r="DX65">
            <v>66900</v>
          </cell>
          <cell r="DY65">
            <v>67400</v>
          </cell>
          <cell r="DZ65">
            <v>67900</v>
          </cell>
          <cell r="EA65">
            <v>68400</v>
          </cell>
          <cell r="EB65">
            <v>68900</v>
          </cell>
          <cell r="EC65">
            <v>69400</v>
          </cell>
          <cell r="ED65">
            <v>69900</v>
          </cell>
          <cell r="EE65">
            <v>70400</v>
          </cell>
          <cell r="EF65">
            <v>70900</v>
          </cell>
          <cell r="EG65">
            <v>71400</v>
          </cell>
          <cell r="EH65">
            <v>71900</v>
          </cell>
          <cell r="EI65">
            <v>72400</v>
          </cell>
          <cell r="EJ65">
            <v>72900</v>
          </cell>
          <cell r="EK65">
            <v>73400</v>
          </cell>
          <cell r="EL65">
            <v>73900</v>
          </cell>
          <cell r="EM65">
            <v>74400</v>
          </cell>
          <cell r="EN65">
            <v>74900</v>
          </cell>
          <cell r="EO65">
            <v>75400</v>
          </cell>
          <cell r="EP65">
            <v>75900</v>
          </cell>
          <cell r="EQ65">
            <v>76400</v>
          </cell>
          <cell r="ER65">
            <v>76900</v>
          </cell>
          <cell r="ES65">
            <v>77400</v>
          </cell>
          <cell r="ET65">
            <v>77900</v>
          </cell>
          <cell r="EU65">
            <v>78400</v>
          </cell>
          <cell r="EV65">
            <v>78900</v>
          </cell>
          <cell r="EW65">
            <v>79400</v>
          </cell>
          <cell r="EX65">
            <v>79900</v>
          </cell>
          <cell r="EY65">
            <v>80400</v>
          </cell>
          <cell r="EZ65">
            <v>80900</v>
          </cell>
          <cell r="FA65">
            <v>81400</v>
          </cell>
          <cell r="FB65">
            <v>81900</v>
          </cell>
          <cell r="FC65">
            <v>82400</v>
          </cell>
          <cell r="FD65">
            <v>82900</v>
          </cell>
          <cell r="FE65">
            <v>83400</v>
          </cell>
          <cell r="FF65">
            <v>83900</v>
          </cell>
          <cell r="FG65">
            <v>84400</v>
          </cell>
          <cell r="FH65">
            <v>84900</v>
          </cell>
          <cell r="FI65">
            <v>85400</v>
          </cell>
          <cell r="FJ65">
            <v>85900</v>
          </cell>
          <cell r="FK65">
            <v>86400</v>
          </cell>
          <cell r="FL65">
            <v>86900</v>
          </cell>
          <cell r="FM65">
            <v>87400</v>
          </cell>
          <cell r="FN65">
            <v>87900</v>
          </cell>
          <cell r="FO65">
            <v>88400</v>
          </cell>
          <cell r="FP65">
            <v>88900</v>
          </cell>
          <cell r="FQ65">
            <v>89400</v>
          </cell>
          <cell r="FR65">
            <v>89900</v>
          </cell>
          <cell r="FS65">
            <v>90400</v>
          </cell>
          <cell r="FT65">
            <v>90900</v>
          </cell>
          <cell r="FU65">
            <v>91400</v>
          </cell>
          <cell r="FV65">
            <v>91900</v>
          </cell>
          <cell r="FW65">
            <v>92400</v>
          </cell>
          <cell r="FX65">
            <v>92900</v>
          </cell>
          <cell r="FY65">
            <v>93400</v>
          </cell>
          <cell r="FZ65">
            <v>93900</v>
          </cell>
          <cell r="GA65">
            <v>94400</v>
          </cell>
          <cell r="GB65">
            <v>94900</v>
          </cell>
          <cell r="GC65">
            <v>95400</v>
          </cell>
          <cell r="GD65">
            <v>95900</v>
          </cell>
          <cell r="GE65">
            <v>96400</v>
          </cell>
          <cell r="GF65">
            <v>96900</v>
          </cell>
          <cell r="GG65">
            <v>97400</v>
          </cell>
          <cell r="GH65">
            <v>97900</v>
          </cell>
          <cell r="GI65">
            <v>98400</v>
          </cell>
          <cell r="GJ65">
            <v>98900</v>
          </cell>
          <cell r="GK65">
            <v>99400</v>
          </cell>
          <cell r="GL65">
            <v>99900</v>
          </cell>
          <cell r="GM65">
            <v>100400</v>
          </cell>
          <cell r="GN65">
            <v>100900</v>
          </cell>
          <cell r="GO65">
            <v>101400</v>
          </cell>
          <cell r="GP65">
            <v>101900</v>
          </cell>
          <cell r="GQ65">
            <v>102400</v>
          </cell>
          <cell r="GR65">
            <v>102900</v>
          </cell>
          <cell r="GS65">
            <v>103400</v>
          </cell>
          <cell r="GT65">
            <v>103900</v>
          </cell>
          <cell r="GU65">
            <v>104400</v>
          </cell>
          <cell r="GV65">
            <v>104900</v>
          </cell>
          <cell r="GW65">
            <v>105400</v>
          </cell>
          <cell r="GX65">
            <v>105900</v>
          </cell>
          <cell r="GY65">
            <v>106400</v>
          </cell>
          <cell r="GZ65">
            <v>106900</v>
          </cell>
          <cell r="HA65">
            <v>107400</v>
          </cell>
          <cell r="HB65">
            <v>107900</v>
          </cell>
          <cell r="HC65">
            <v>108400</v>
          </cell>
          <cell r="HD65">
            <v>108900</v>
          </cell>
          <cell r="HE65">
            <v>109400</v>
          </cell>
          <cell r="HF65">
            <v>109900</v>
          </cell>
        </row>
        <row r="101">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34</v>
          </cell>
          <cell r="AI101">
            <v>68</v>
          </cell>
          <cell r="AJ101">
            <v>102</v>
          </cell>
          <cell r="AK101">
            <v>138</v>
          </cell>
          <cell r="AL101">
            <v>173</v>
          </cell>
          <cell r="AM101">
            <v>207</v>
          </cell>
          <cell r="AN101">
            <v>242</v>
          </cell>
          <cell r="AO101">
            <v>280</v>
          </cell>
          <cell r="AP101">
            <v>315</v>
          </cell>
          <cell r="AQ101">
            <v>350</v>
          </cell>
          <cell r="AR101">
            <v>385</v>
          </cell>
          <cell r="AS101">
            <v>426</v>
          </cell>
          <cell r="AT101">
            <v>462</v>
          </cell>
          <cell r="AU101">
            <v>497</v>
          </cell>
          <cell r="AV101">
            <v>533</v>
          </cell>
          <cell r="AW101">
            <v>576</v>
          </cell>
          <cell r="AX101">
            <v>612</v>
          </cell>
          <cell r="AY101">
            <v>648</v>
          </cell>
          <cell r="AZ101">
            <v>684</v>
          </cell>
          <cell r="BA101">
            <v>730</v>
          </cell>
          <cell r="BB101">
            <v>767</v>
          </cell>
          <cell r="BC101">
            <v>803</v>
          </cell>
          <cell r="BD101">
            <v>840</v>
          </cell>
          <cell r="BE101">
            <v>888</v>
          </cell>
          <cell r="BF101">
            <v>925</v>
          </cell>
          <cell r="BG101">
            <v>962</v>
          </cell>
          <cell r="BH101">
            <v>999</v>
          </cell>
          <cell r="BI101">
            <v>1050</v>
          </cell>
          <cell r="BJ101">
            <v>1088</v>
          </cell>
          <cell r="BK101">
            <v>1130</v>
          </cell>
          <cell r="BL101">
            <v>1175</v>
          </cell>
          <cell r="BM101">
            <v>1237</v>
          </cell>
          <cell r="BN101">
            <v>1289</v>
          </cell>
          <cell r="BO101">
            <v>1343</v>
          </cell>
          <cell r="BP101">
            <v>1398</v>
          </cell>
          <cell r="BQ101">
            <v>1469</v>
          </cell>
          <cell r="BR101">
            <v>1524</v>
          </cell>
          <cell r="BS101">
            <v>1579</v>
          </cell>
          <cell r="BT101">
            <v>1633</v>
          </cell>
          <cell r="BU101">
            <v>1706</v>
          </cell>
          <cell r="BV101">
            <v>1761</v>
          </cell>
          <cell r="BW101">
            <v>1816</v>
          </cell>
          <cell r="BX101">
            <v>1871</v>
          </cell>
          <cell r="BY101">
            <v>1945</v>
          </cell>
          <cell r="BZ101">
            <v>2000</v>
          </cell>
          <cell r="CA101">
            <v>1949</v>
          </cell>
          <cell r="CB101">
            <v>1996</v>
          </cell>
          <cell r="CC101">
            <v>2070</v>
          </cell>
          <cell r="CD101">
            <v>2118</v>
          </cell>
          <cell r="CE101">
            <v>2166</v>
          </cell>
          <cell r="CF101">
            <v>2214</v>
          </cell>
          <cell r="CG101">
            <v>2262</v>
          </cell>
          <cell r="CH101">
            <v>2310</v>
          </cell>
          <cell r="CI101">
            <v>2358</v>
          </cell>
          <cell r="CJ101">
            <v>2406</v>
          </cell>
          <cell r="CK101">
            <v>2454</v>
          </cell>
          <cell r="CL101">
            <v>2507</v>
          </cell>
          <cell r="CM101">
            <v>2560</v>
          </cell>
          <cell r="CN101">
            <v>2614</v>
          </cell>
          <cell r="CO101">
            <v>2667</v>
          </cell>
          <cell r="CP101">
            <v>2721</v>
          </cell>
          <cell r="CQ101">
            <v>2774</v>
          </cell>
          <cell r="CR101">
            <v>2828</v>
          </cell>
          <cell r="CS101">
            <v>2881</v>
          </cell>
          <cell r="CT101">
            <v>2935</v>
          </cell>
          <cell r="CU101">
            <v>2989</v>
          </cell>
          <cell r="CV101">
            <v>3042</v>
          </cell>
          <cell r="CW101">
            <v>3096</v>
          </cell>
          <cell r="CX101">
            <v>3149</v>
          </cell>
          <cell r="CY101">
            <v>3203</v>
          </cell>
          <cell r="CZ101">
            <v>3256</v>
          </cell>
          <cell r="DA101">
            <v>3310</v>
          </cell>
          <cell r="DB101">
            <v>3363</v>
          </cell>
          <cell r="DC101">
            <v>3417</v>
          </cell>
          <cell r="DD101">
            <v>3470</v>
          </cell>
          <cell r="DE101">
            <v>3524</v>
          </cell>
          <cell r="DF101">
            <v>3577</v>
          </cell>
          <cell r="DG101">
            <v>3631</v>
          </cell>
          <cell r="DH101">
            <v>3684</v>
          </cell>
          <cell r="DI101">
            <v>3738</v>
          </cell>
          <cell r="DJ101">
            <v>3791</v>
          </cell>
          <cell r="DK101">
            <v>3845</v>
          </cell>
          <cell r="DL101">
            <v>3898</v>
          </cell>
          <cell r="DM101">
            <v>3952</v>
          </cell>
          <cell r="DN101">
            <v>4005</v>
          </cell>
          <cell r="DO101">
            <v>4059</v>
          </cell>
          <cell r="DP101">
            <v>4113</v>
          </cell>
          <cell r="DQ101">
            <v>4166</v>
          </cell>
          <cell r="DR101">
            <v>4220</v>
          </cell>
          <cell r="DS101">
            <v>4273</v>
          </cell>
          <cell r="DT101">
            <v>4327</v>
          </cell>
          <cell r="DU101">
            <v>4380</v>
          </cell>
          <cell r="DV101">
            <v>4434</v>
          </cell>
          <cell r="DW101">
            <v>4487</v>
          </cell>
          <cell r="DX101">
            <v>4541</v>
          </cell>
          <cell r="DY101">
            <v>4594</v>
          </cell>
          <cell r="DZ101">
            <v>4648</v>
          </cell>
          <cell r="EA101">
            <v>4701</v>
          </cell>
          <cell r="EB101">
            <v>4755</v>
          </cell>
          <cell r="EC101">
            <v>4808</v>
          </cell>
          <cell r="ED101">
            <v>4862</v>
          </cell>
          <cell r="EE101">
            <v>4915</v>
          </cell>
          <cell r="EF101">
            <v>4969</v>
          </cell>
          <cell r="EG101">
            <v>5022</v>
          </cell>
          <cell r="EH101">
            <v>5076</v>
          </cell>
          <cell r="EI101">
            <v>5130</v>
          </cell>
          <cell r="EJ101">
            <v>5183</v>
          </cell>
          <cell r="EK101">
            <v>5237</v>
          </cell>
          <cell r="EL101">
            <v>5290</v>
          </cell>
          <cell r="EM101">
            <v>5344</v>
          </cell>
          <cell r="EN101">
            <v>5397</v>
          </cell>
          <cell r="EO101">
            <v>5461</v>
          </cell>
          <cell r="EP101">
            <v>5564</v>
          </cell>
          <cell r="EQ101">
            <v>5668</v>
          </cell>
          <cell r="ER101">
            <v>5771</v>
          </cell>
          <cell r="ES101">
            <v>5875</v>
          </cell>
          <cell r="ET101">
            <v>5978</v>
          </cell>
          <cell r="EU101">
            <v>6082</v>
          </cell>
          <cell r="EV101">
            <v>6185</v>
          </cell>
          <cell r="EW101">
            <v>6289</v>
          </cell>
          <cell r="EX101">
            <v>6392</v>
          </cell>
          <cell r="EY101">
            <v>6496</v>
          </cell>
          <cell r="EZ101">
            <v>6599</v>
          </cell>
          <cell r="FA101">
            <v>6703</v>
          </cell>
          <cell r="FB101">
            <v>6806</v>
          </cell>
          <cell r="FC101">
            <v>6910</v>
          </cell>
          <cell r="FD101">
            <v>7014</v>
          </cell>
          <cell r="FE101">
            <v>7117</v>
          </cell>
          <cell r="FF101">
            <v>7221</v>
          </cell>
          <cell r="FG101">
            <v>7324</v>
          </cell>
          <cell r="FH101">
            <v>7428</v>
          </cell>
          <cell r="FI101">
            <v>7531</v>
          </cell>
          <cell r="FJ101">
            <v>7635</v>
          </cell>
          <cell r="FK101">
            <v>7738</v>
          </cell>
          <cell r="FL101">
            <v>7842</v>
          </cell>
          <cell r="FM101">
            <v>7945</v>
          </cell>
          <cell r="FN101">
            <v>8049</v>
          </cell>
          <cell r="FO101">
            <v>8152</v>
          </cell>
          <cell r="FP101">
            <v>8256</v>
          </cell>
          <cell r="FQ101">
            <v>8359</v>
          </cell>
          <cell r="FR101">
            <v>8463</v>
          </cell>
          <cell r="FS101">
            <v>8566</v>
          </cell>
          <cell r="FT101">
            <v>8670</v>
          </cell>
          <cell r="FU101">
            <v>8773</v>
          </cell>
          <cell r="FV101">
            <v>8877</v>
          </cell>
          <cell r="FW101">
            <v>8981</v>
          </cell>
          <cell r="FX101">
            <v>9087</v>
          </cell>
          <cell r="FY101">
            <v>9197</v>
          </cell>
          <cell r="FZ101">
            <v>9307</v>
          </cell>
          <cell r="GA101">
            <v>9417</v>
          </cell>
          <cell r="GB101">
            <v>9527</v>
          </cell>
          <cell r="GC101">
            <v>9637</v>
          </cell>
          <cell r="GD101">
            <v>9747</v>
          </cell>
          <cell r="GE101">
            <v>9857</v>
          </cell>
          <cell r="GF101">
            <v>9967</v>
          </cell>
          <cell r="GG101">
            <v>10077</v>
          </cell>
          <cell r="GH101">
            <v>10187</v>
          </cell>
          <cell r="GI101">
            <v>10297</v>
          </cell>
          <cell r="GJ101">
            <v>10407</v>
          </cell>
          <cell r="GK101">
            <v>10517</v>
          </cell>
          <cell r="GL101">
            <v>10627</v>
          </cell>
          <cell r="GM101">
            <v>10737</v>
          </cell>
          <cell r="GN101">
            <v>10847</v>
          </cell>
          <cell r="GO101">
            <v>10957</v>
          </cell>
          <cell r="GP101">
            <v>11067</v>
          </cell>
          <cell r="GQ101">
            <v>11177</v>
          </cell>
          <cell r="GR101">
            <v>11287</v>
          </cell>
          <cell r="GS101">
            <v>11397</v>
          </cell>
          <cell r="GT101">
            <v>11507</v>
          </cell>
          <cell r="GU101">
            <v>11617</v>
          </cell>
          <cell r="GV101">
            <v>11727</v>
          </cell>
          <cell r="GW101">
            <v>11837</v>
          </cell>
          <cell r="GX101">
            <v>11947</v>
          </cell>
          <cell r="GY101">
            <v>12057</v>
          </cell>
          <cell r="GZ101">
            <v>12167</v>
          </cell>
          <cell r="HA101">
            <v>12277</v>
          </cell>
          <cell r="HB101">
            <v>12387</v>
          </cell>
          <cell r="HC101">
            <v>12497</v>
          </cell>
          <cell r="HD101">
            <v>12616</v>
          </cell>
          <cell r="HE101">
            <v>12736</v>
          </cell>
          <cell r="HF101">
            <v>12856</v>
          </cell>
        </row>
        <row r="107">
          <cell r="N107">
            <v>9000</v>
          </cell>
          <cell r="O107">
            <v>9000</v>
          </cell>
          <cell r="P107">
            <v>9000</v>
          </cell>
          <cell r="Q107">
            <v>9000</v>
          </cell>
          <cell r="R107">
            <v>9000</v>
          </cell>
          <cell r="S107">
            <v>9000</v>
          </cell>
          <cell r="T107">
            <v>9000</v>
          </cell>
          <cell r="U107">
            <v>9000</v>
          </cell>
          <cell r="V107">
            <v>9000</v>
          </cell>
          <cell r="W107">
            <v>9000</v>
          </cell>
          <cell r="X107">
            <v>9000</v>
          </cell>
          <cell r="Y107">
            <v>9000</v>
          </cell>
          <cell r="Z107">
            <v>9000</v>
          </cell>
          <cell r="AA107">
            <v>9000</v>
          </cell>
          <cell r="AB107">
            <v>9000</v>
          </cell>
          <cell r="AC107">
            <v>9000</v>
          </cell>
          <cell r="AD107">
            <v>9000</v>
          </cell>
          <cell r="AE107">
            <v>9000</v>
          </cell>
          <cell r="AF107">
            <v>9000</v>
          </cell>
          <cell r="AG107">
            <v>9000</v>
          </cell>
          <cell r="AH107">
            <v>9000</v>
          </cell>
          <cell r="AI107">
            <v>9000</v>
          </cell>
          <cell r="AJ107">
            <v>9000</v>
          </cell>
          <cell r="AK107">
            <v>9000</v>
          </cell>
          <cell r="AL107">
            <v>9000</v>
          </cell>
          <cell r="AM107">
            <v>9000</v>
          </cell>
          <cell r="AN107">
            <v>9000</v>
          </cell>
          <cell r="AO107">
            <v>9000</v>
          </cell>
          <cell r="AP107">
            <v>9000</v>
          </cell>
          <cell r="AQ107">
            <v>9000</v>
          </cell>
          <cell r="AR107">
            <v>9000</v>
          </cell>
          <cell r="AS107">
            <v>9000</v>
          </cell>
          <cell r="AT107">
            <v>9000</v>
          </cell>
          <cell r="AU107">
            <v>9000</v>
          </cell>
          <cell r="AV107">
            <v>9000</v>
          </cell>
          <cell r="AW107">
            <v>9000</v>
          </cell>
          <cell r="AX107">
            <v>9000</v>
          </cell>
          <cell r="AY107">
            <v>9000</v>
          </cell>
          <cell r="AZ107">
            <v>9000</v>
          </cell>
          <cell r="BA107">
            <v>9000</v>
          </cell>
          <cell r="BB107">
            <v>9000</v>
          </cell>
          <cell r="BC107">
            <v>9000</v>
          </cell>
          <cell r="BD107">
            <v>9000</v>
          </cell>
          <cell r="BE107">
            <v>9000</v>
          </cell>
          <cell r="BF107">
            <v>9000</v>
          </cell>
          <cell r="BG107">
            <v>9000</v>
          </cell>
          <cell r="BH107">
            <v>9000</v>
          </cell>
          <cell r="BI107">
            <v>9000</v>
          </cell>
          <cell r="BJ107">
            <v>9000</v>
          </cell>
          <cell r="BK107">
            <v>9000</v>
          </cell>
          <cell r="BL107">
            <v>9000</v>
          </cell>
          <cell r="BM107">
            <v>9000</v>
          </cell>
          <cell r="BN107">
            <v>9000</v>
          </cell>
          <cell r="BO107">
            <v>9000</v>
          </cell>
          <cell r="BP107">
            <v>9000</v>
          </cell>
          <cell r="BQ107">
            <v>9000</v>
          </cell>
          <cell r="BR107">
            <v>9000</v>
          </cell>
          <cell r="BS107">
            <v>9000</v>
          </cell>
          <cell r="BT107">
            <v>9000</v>
          </cell>
          <cell r="BU107">
            <v>9000</v>
          </cell>
          <cell r="BV107">
            <v>9000</v>
          </cell>
          <cell r="BW107">
            <v>9000</v>
          </cell>
          <cell r="BX107">
            <v>9000</v>
          </cell>
          <cell r="BY107">
            <v>9000</v>
          </cell>
          <cell r="BZ107">
            <v>9000</v>
          </cell>
          <cell r="CA107">
            <v>9000</v>
          </cell>
          <cell r="CB107">
            <v>9000</v>
          </cell>
          <cell r="CC107">
            <v>9000</v>
          </cell>
          <cell r="CD107">
            <v>9000</v>
          </cell>
          <cell r="CE107">
            <v>9000</v>
          </cell>
          <cell r="CF107">
            <v>9000</v>
          </cell>
          <cell r="CG107">
            <v>9000</v>
          </cell>
          <cell r="CH107">
            <v>9000</v>
          </cell>
          <cell r="CI107">
            <v>9000</v>
          </cell>
          <cell r="CJ107">
            <v>9000</v>
          </cell>
          <cell r="CK107">
            <v>9000</v>
          </cell>
          <cell r="CL107">
            <v>9000</v>
          </cell>
          <cell r="CM107">
            <v>9000</v>
          </cell>
          <cell r="CN107">
            <v>9000</v>
          </cell>
          <cell r="CO107">
            <v>9000</v>
          </cell>
          <cell r="CP107">
            <v>9000</v>
          </cell>
          <cell r="CQ107">
            <v>9000</v>
          </cell>
          <cell r="CR107">
            <v>9000</v>
          </cell>
          <cell r="CS107">
            <v>9000</v>
          </cell>
          <cell r="CT107">
            <v>9000</v>
          </cell>
          <cell r="CU107">
            <v>9000</v>
          </cell>
          <cell r="CV107">
            <v>9000</v>
          </cell>
          <cell r="CW107">
            <v>9000</v>
          </cell>
          <cell r="CX107">
            <v>9000</v>
          </cell>
          <cell r="CY107">
            <v>9000</v>
          </cell>
          <cell r="CZ107">
            <v>9000</v>
          </cell>
          <cell r="DA107">
            <v>9000</v>
          </cell>
          <cell r="DB107">
            <v>9000</v>
          </cell>
          <cell r="DC107">
            <v>9000</v>
          </cell>
          <cell r="DD107">
            <v>9000</v>
          </cell>
          <cell r="DE107">
            <v>9000</v>
          </cell>
          <cell r="DF107">
            <v>9000</v>
          </cell>
          <cell r="DG107">
            <v>9000</v>
          </cell>
          <cell r="DH107">
            <v>9000</v>
          </cell>
          <cell r="DI107">
            <v>9000</v>
          </cell>
          <cell r="DJ107">
            <v>9000</v>
          </cell>
          <cell r="DK107">
            <v>9000</v>
          </cell>
          <cell r="DL107">
            <v>9000</v>
          </cell>
          <cell r="DM107">
            <v>9000</v>
          </cell>
          <cell r="DN107">
            <v>9000</v>
          </cell>
          <cell r="DO107">
            <v>9000</v>
          </cell>
          <cell r="DP107">
            <v>9000</v>
          </cell>
          <cell r="DQ107">
            <v>9000</v>
          </cell>
          <cell r="DR107">
            <v>9000</v>
          </cell>
          <cell r="DS107">
            <v>9000</v>
          </cell>
          <cell r="DT107">
            <v>9000</v>
          </cell>
          <cell r="DU107">
            <v>9000</v>
          </cell>
          <cell r="DV107">
            <v>9000</v>
          </cell>
          <cell r="DW107">
            <v>9000</v>
          </cell>
          <cell r="DX107">
            <v>9000</v>
          </cell>
          <cell r="DY107">
            <v>9000</v>
          </cell>
          <cell r="DZ107">
            <v>9000</v>
          </cell>
          <cell r="EA107">
            <v>9000</v>
          </cell>
          <cell r="EB107">
            <v>9000</v>
          </cell>
          <cell r="EC107">
            <v>9000</v>
          </cell>
          <cell r="ED107">
            <v>9000</v>
          </cell>
          <cell r="EE107">
            <v>9000</v>
          </cell>
          <cell r="EF107">
            <v>9000</v>
          </cell>
          <cell r="EG107">
            <v>9000</v>
          </cell>
          <cell r="EH107">
            <v>9000</v>
          </cell>
          <cell r="EI107">
            <v>9000</v>
          </cell>
          <cell r="EJ107">
            <v>9000</v>
          </cell>
          <cell r="EK107">
            <v>9000</v>
          </cell>
          <cell r="EL107">
            <v>9000</v>
          </cell>
          <cell r="EM107">
            <v>9000</v>
          </cell>
          <cell r="EN107">
            <v>9000</v>
          </cell>
          <cell r="EO107">
            <v>9000</v>
          </cell>
          <cell r="EP107">
            <v>9000</v>
          </cell>
          <cell r="EQ107">
            <v>9000</v>
          </cell>
          <cell r="ER107">
            <v>9000</v>
          </cell>
          <cell r="ES107">
            <v>9000</v>
          </cell>
          <cell r="ET107">
            <v>9000</v>
          </cell>
          <cell r="EU107">
            <v>9000</v>
          </cell>
          <cell r="EV107">
            <v>9000</v>
          </cell>
          <cell r="EW107">
            <v>9000</v>
          </cell>
          <cell r="EX107">
            <v>9000</v>
          </cell>
          <cell r="EY107">
            <v>9000</v>
          </cell>
          <cell r="EZ107">
            <v>9000</v>
          </cell>
          <cell r="FA107">
            <v>9000</v>
          </cell>
          <cell r="FB107">
            <v>9000</v>
          </cell>
          <cell r="FC107">
            <v>9000</v>
          </cell>
          <cell r="FD107">
            <v>9000</v>
          </cell>
          <cell r="FE107">
            <v>9000</v>
          </cell>
          <cell r="FF107">
            <v>9000</v>
          </cell>
          <cell r="FG107">
            <v>9000</v>
          </cell>
          <cell r="FH107">
            <v>9000</v>
          </cell>
          <cell r="FI107">
            <v>9000</v>
          </cell>
          <cell r="FJ107">
            <v>9000</v>
          </cell>
          <cell r="FK107">
            <v>9000</v>
          </cell>
          <cell r="FL107">
            <v>9000</v>
          </cell>
          <cell r="FM107">
            <v>9000</v>
          </cell>
          <cell r="FN107">
            <v>9000</v>
          </cell>
          <cell r="FO107">
            <v>9000</v>
          </cell>
          <cell r="FP107">
            <v>9000</v>
          </cell>
          <cell r="FQ107">
            <v>9000</v>
          </cell>
          <cell r="FR107">
            <v>9000</v>
          </cell>
          <cell r="FS107">
            <v>9000</v>
          </cell>
          <cell r="FT107">
            <v>9000</v>
          </cell>
          <cell r="FU107">
            <v>9000</v>
          </cell>
          <cell r="FV107">
            <v>9000</v>
          </cell>
          <cell r="FW107">
            <v>9000</v>
          </cell>
          <cell r="FX107">
            <v>9000</v>
          </cell>
          <cell r="FY107">
            <v>9000</v>
          </cell>
          <cell r="FZ107">
            <v>9000</v>
          </cell>
          <cell r="GA107">
            <v>9000</v>
          </cell>
          <cell r="GB107">
            <v>9000</v>
          </cell>
          <cell r="GC107">
            <v>9000</v>
          </cell>
          <cell r="GD107">
            <v>9000</v>
          </cell>
          <cell r="GE107">
            <v>9000</v>
          </cell>
          <cell r="GF107">
            <v>9000</v>
          </cell>
          <cell r="GG107">
            <v>9000</v>
          </cell>
          <cell r="GH107">
            <v>9000</v>
          </cell>
          <cell r="GI107">
            <v>9000</v>
          </cell>
          <cell r="GJ107">
            <v>9000</v>
          </cell>
          <cell r="GK107">
            <v>9000</v>
          </cell>
          <cell r="GL107">
            <v>9000</v>
          </cell>
          <cell r="GM107">
            <v>9000</v>
          </cell>
          <cell r="GN107">
            <v>9000</v>
          </cell>
          <cell r="GO107">
            <v>9000</v>
          </cell>
          <cell r="GP107">
            <v>9000</v>
          </cell>
          <cell r="GQ107">
            <v>9000</v>
          </cell>
          <cell r="GR107">
            <v>9000</v>
          </cell>
          <cell r="GS107">
            <v>9000</v>
          </cell>
          <cell r="GT107">
            <v>9000</v>
          </cell>
          <cell r="GU107">
            <v>9000</v>
          </cell>
          <cell r="GV107">
            <v>9000</v>
          </cell>
          <cell r="GW107">
            <v>9000</v>
          </cell>
          <cell r="GX107">
            <v>9000</v>
          </cell>
          <cell r="GY107">
            <v>9000</v>
          </cell>
          <cell r="GZ107">
            <v>9000</v>
          </cell>
          <cell r="HA107">
            <v>9000</v>
          </cell>
          <cell r="HB107">
            <v>9000</v>
          </cell>
          <cell r="HC107">
            <v>9000</v>
          </cell>
          <cell r="HD107">
            <v>9000</v>
          </cell>
          <cell r="HE107">
            <v>9000</v>
          </cell>
          <cell r="HF107">
            <v>9000</v>
          </cell>
        </row>
        <row r="121">
          <cell r="N121">
            <v>0</v>
          </cell>
          <cell r="O121">
            <v>4691</v>
          </cell>
          <cell r="P121">
            <v>4916</v>
          </cell>
          <cell r="Q121">
            <v>5141</v>
          </cell>
          <cell r="R121">
            <v>5366</v>
          </cell>
          <cell r="S121">
            <v>5591</v>
          </cell>
          <cell r="T121">
            <v>5816</v>
          </cell>
          <cell r="U121">
            <v>6041</v>
          </cell>
          <cell r="V121">
            <v>6266</v>
          </cell>
          <cell r="W121">
            <v>6491</v>
          </cell>
          <cell r="X121">
            <v>6716</v>
          </cell>
          <cell r="Y121">
            <v>6935</v>
          </cell>
          <cell r="Z121">
            <v>6935</v>
          </cell>
          <cell r="AA121">
            <v>6935</v>
          </cell>
          <cell r="AB121">
            <v>6935</v>
          </cell>
          <cell r="AC121">
            <v>6935</v>
          </cell>
          <cell r="AD121">
            <v>6935</v>
          </cell>
          <cell r="AE121">
            <v>6935</v>
          </cell>
          <cell r="AF121">
            <v>6935</v>
          </cell>
          <cell r="AG121">
            <v>6935</v>
          </cell>
          <cell r="AH121">
            <v>6935</v>
          </cell>
          <cell r="AI121">
            <v>6873</v>
          </cell>
          <cell r="AJ121">
            <v>6768</v>
          </cell>
          <cell r="AK121">
            <v>6662</v>
          </cell>
          <cell r="AL121">
            <v>6557</v>
          </cell>
          <cell r="AM121">
            <v>6452</v>
          </cell>
          <cell r="AN121">
            <v>6346</v>
          </cell>
          <cell r="AO121">
            <v>6241</v>
          </cell>
          <cell r="AP121">
            <v>6136</v>
          </cell>
          <cell r="AQ121">
            <v>6030</v>
          </cell>
          <cell r="AR121">
            <v>5925</v>
          </cell>
          <cell r="AS121">
            <v>5820</v>
          </cell>
          <cell r="AT121">
            <v>5715</v>
          </cell>
          <cell r="AU121">
            <v>5609</v>
          </cell>
          <cell r="AV121">
            <v>5504</v>
          </cell>
          <cell r="AW121">
            <v>5399</v>
          </cell>
          <cell r="AX121">
            <v>5293</v>
          </cell>
          <cell r="AY121">
            <v>5188</v>
          </cell>
          <cell r="AZ121">
            <v>5083</v>
          </cell>
          <cell r="BA121">
            <v>4977</v>
          </cell>
          <cell r="BB121">
            <v>4872</v>
          </cell>
          <cell r="BC121">
            <v>4767</v>
          </cell>
          <cell r="BD121">
            <v>4662</v>
          </cell>
          <cell r="BE121">
            <v>4556</v>
          </cell>
          <cell r="BF121">
            <v>4451</v>
          </cell>
          <cell r="BG121">
            <v>4346</v>
          </cell>
          <cell r="BH121">
            <v>4240</v>
          </cell>
          <cell r="BI121">
            <v>4135</v>
          </cell>
          <cell r="BJ121">
            <v>4030</v>
          </cell>
          <cell r="BK121">
            <v>3924</v>
          </cell>
          <cell r="BL121">
            <v>3819</v>
          </cell>
          <cell r="BM121">
            <v>3714</v>
          </cell>
          <cell r="BN121">
            <v>3609</v>
          </cell>
          <cell r="BO121">
            <v>3503</v>
          </cell>
          <cell r="BP121">
            <v>3398</v>
          </cell>
          <cell r="BQ121">
            <v>3293</v>
          </cell>
          <cell r="BR121">
            <v>3187</v>
          </cell>
          <cell r="BS121">
            <v>3082</v>
          </cell>
          <cell r="BT121">
            <v>2977</v>
          </cell>
          <cell r="BU121">
            <v>2871</v>
          </cell>
          <cell r="BV121">
            <v>2766</v>
          </cell>
          <cell r="BW121">
            <v>2661</v>
          </cell>
          <cell r="BX121">
            <v>2556</v>
          </cell>
          <cell r="BY121">
            <v>2450</v>
          </cell>
          <cell r="BZ121">
            <v>2345</v>
          </cell>
          <cell r="CA121">
            <v>2240</v>
          </cell>
          <cell r="CB121">
            <v>2134</v>
          </cell>
          <cell r="CC121">
            <v>2029</v>
          </cell>
          <cell r="CD121">
            <v>1924</v>
          </cell>
          <cell r="CE121">
            <v>1818</v>
          </cell>
          <cell r="CF121">
            <v>1713</v>
          </cell>
          <cell r="CG121">
            <v>1608</v>
          </cell>
          <cell r="CH121">
            <v>1503</v>
          </cell>
          <cell r="CI121">
            <v>1397</v>
          </cell>
          <cell r="CJ121">
            <v>1292</v>
          </cell>
          <cell r="CK121">
            <v>1187</v>
          </cell>
          <cell r="CL121">
            <v>1081</v>
          </cell>
          <cell r="CM121">
            <v>976</v>
          </cell>
          <cell r="CN121">
            <v>871</v>
          </cell>
          <cell r="CO121">
            <v>765</v>
          </cell>
          <cell r="CP121">
            <v>660</v>
          </cell>
          <cell r="CQ121">
            <v>555</v>
          </cell>
          <cell r="CR121">
            <v>450</v>
          </cell>
          <cell r="CS121">
            <v>344</v>
          </cell>
          <cell r="CT121">
            <v>239</v>
          </cell>
          <cell r="CU121">
            <v>134</v>
          </cell>
          <cell r="CV121">
            <v>28</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0</v>
          </cell>
          <cell r="DM121">
            <v>0</v>
          </cell>
          <cell r="DN121">
            <v>0</v>
          </cell>
          <cell r="DO121">
            <v>0</v>
          </cell>
          <cell r="DP121">
            <v>0</v>
          </cell>
          <cell r="DQ121">
            <v>0</v>
          </cell>
          <cell r="DR121">
            <v>0</v>
          </cell>
          <cell r="DS121">
            <v>0</v>
          </cell>
          <cell r="DT121">
            <v>0</v>
          </cell>
          <cell r="DU121">
            <v>0</v>
          </cell>
          <cell r="DV121">
            <v>0</v>
          </cell>
          <cell r="DW121">
            <v>0</v>
          </cell>
          <cell r="DX121">
            <v>0</v>
          </cell>
          <cell r="DY121">
            <v>0</v>
          </cell>
          <cell r="DZ121">
            <v>0</v>
          </cell>
          <cell r="EA121">
            <v>0</v>
          </cell>
          <cell r="EB121">
            <v>0</v>
          </cell>
          <cell r="EC121">
            <v>0</v>
          </cell>
          <cell r="ED121">
            <v>0</v>
          </cell>
          <cell r="EE121">
            <v>0</v>
          </cell>
          <cell r="EF121">
            <v>0</v>
          </cell>
          <cell r="EG121">
            <v>0</v>
          </cell>
          <cell r="EH121">
            <v>0</v>
          </cell>
          <cell r="EI121">
            <v>0</v>
          </cell>
          <cell r="EJ121">
            <v>0</v>
          </cell>
          <cell r="EK121">
            <v>0</v>
          </cell>
          <cell r="EL121">
            <v>0</v>
          </cell>
          <cell r="EM121">
            <v>0</v>
          </cell>
          <cell r="EN121">
            <v>0</v>
          </cell>
          <cell r="EO121">
            <v>0</v>
          </cell>
          <cell r="EP121">
            <v>0</v>
          </cell>
          <cell r="EQ121">
            <v>0</v>
          </cell>
          <cell r="ER121">
            <v>0</v>
          </cell>
          <cell r="ES121">
            <v>0</v>
          </cell>
          <cell r="ET121">
            <v>0</v>
          </cell>
          <cell r="EU121">
            <v>0</v>
          </cell>
          <cell r="EV121">
            <v>0</v>
          </cell>
          <cell r="EW121">
            <v>0</v>
          </cell>
          <cell r="EX121">
            <v>0</v>
          </cell>
          <cell r="EY121">
            <v>0</v>
          </cell>
          <cell r="EZ121">
            <v>0</v>
          </cell>
          <cell r="FA121">
            <v>0</v>
          </cell>
          <cell r="FB121">
            <v>0</v>
          </cell>
          <cell r="FC121">
            <v>0</v>
          </cell>
          <cell r="FD121">
            <v>0</v>
          </cell>
          <cell r="FE121">
            <v>0</v>
          </cell>
          <cell r="FF121">
            <v>0</v>
          </cell>
          <cell r="FG121">
            <v>0</v>
          </cell>
          <cell r="FH121">
            <v>0</v>
          </cell>
          <cell r="FI121">
            <v>0</v>
          </cell>
          <cell r="FJ121">
            <v>0</v>
          </cell>
          <cell r="FK121">
            <v>0</v>
          </cell>
          <cell r="FL121">
            <v>0</v>
          </cell>
          <cell r="FM121">
            <v>0</v>
          </cell>
          <cell r="FN121">
            <v>0</v>
          </cell>
          <cell r="FO121">
            <v>0</v>
          </cell>
          <cell r="FP121">
            <v>0</v>
          </cell>
          <cell r="FQ121">
            <v>0</v>
          </cell>
          <cell r="FR121">
            <v>0</v>
          </cell>
          <cell r="FS121">
            <v>0</v>
          </cell>
          <cell r="FT121">
            <v>0</v>
          </cell>
          <cell r="FU121">
            <v>0</v>
          </cell>
          <cell r="FV121">
            <v>0</v>
          </cell>
          <cell r="FW121">
            <v>0</v>
          </cell>
          <cell r="FX121">
            <v>0</v>
          </cell>
          <cell r="FY121">
            <v>0</v>
          </cell>
          <cell r="FZ121">
            <v>0</v>
          </cell>
          <cell r="GA121">
            <v>0</v>
          </cell>
          <cell r="GB121">
            <v>0</v>
          </cell>
          <cell r="GC121">
            <v>0</v>
          </cell>
          <cell r="GD121">
            <v>0</v>
          </cell>
          <cell r="GE121">
            <v>0</v>
          </cell>
          <cell r="GF121">
            <v>0</v>
          </cell>
          <cell r="GG121">
            <v>0</v>
          </cell>
          <cell r="GH121">
            <v>0</v>
          </cell>
          <cell r="GI121">
            <v>0</v>
          </cell>
          <cell r="GJ121">
            <v>0</v>
          </cell>
          <cell r="GK121">
            <v>0</v>
          </cell>
          <cell r="GL121">
            <v>0</v>
          </cell>
          <cell r="GM121">
            <v>0</v>
          </cell>
          <cell r="GN121">
            <v>0</v>
          </cell>
          <cell r="GO121">
            <v>0</v>
          </cell>
          <cell r="GP121">
            <v>0</v>
          </cell>
          <cell r="GQ121">
            <v>0</v>
          </cell>
          <cell r="GR121">
            <v>0</v>
          </cell>
          <cell r="GS121">
            <v>0</v>
          </cell>
          <cell r="GT121">
            <v>0</v>
          </cell>
          <cell r="GU121">
            <v>0</v>
          </cell>
          <cell r="GV121">
            <v>0</v>
          </cell>
          <cell r="GW121">
            <v>0</v>
          </cell>
          <cell r="GX121">
            <v>0</v>
          </cell>
          <cell r="GY121">
            <v>0</v>
          </cell>
          <cell r="GZ121">
            <v>0</v>
          </cell>
          <cell r="HA121">
            <v>0</v>
          </cell>
          <cell r="HB121">
            <v>0</v>
          </cell>
          <cell r="HC121">
            <v>0</v>
          </cell>
          <cell r="HD121">
            <v>0</v>
          </cell>
          <cell r="HE121">
            <v>0</v>
          </cell>
          <cell r="HF121">
            <v>0</v>
          </cell>
        </row>
        <row r="139">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v>0</v>
          </cell>
          <cell r="DU139">
            <v>0</v>
          </cell>
          <cell r="DV139">
            <v>0</v>
          </cell>
          <cell r="DW139">
            <v>0</v>
          </cell>
          <cell r="DX139">
            <v>0</v>
          </cell>
          <cell r="DY139">
            <v>0</v>
          </cell>
          <cell r="DZ139">
            <v>0</v>
          </cell>
          <cell r="EA139">
            <v>0</v>
          </cell>
          <cell r="EB139">
            <v>0</v>
          </cell>
          <cell r="EC139">
            <v>0</v>
          </cell>
          <cell r="ED139">
            <v>0</v>
          </cell>
          <cell r="EE139">
            <v>0</v>
          </cell>
          <cell r="EF139">
            <v>0</v>
          </cell>
          <cell r="EG139">
            <v>0</v>
          </cell>
          <cell r="EH139">
            <v>0</v>
          </cell>
          <cell r="EI139">
            <v>0</v>
          </cell>
          <cell r="EJ139">
            <v>0</v>
          </cell>
          <cell r="EK139">
            <v>0</v>
          </cell>
          <cell r="EL139">
            <v>0</v>
          </cell>
          <cell r="EM139">
            <v>0</v>
          </cell>
          <cell r="EN139">
            <v>0</v>
          </cell>
          <cell r="EO139">
            <v>0</v>
          </cell>
          <cell r="EP139">
            <v>0</v>
          </cell>
          <cell r="EQ139">
            <v>0</v>
          </cell>
          <cell r="ER139">
            <v>0</v>
          </cell>
          <cell r="ES139">
            <v>0</v>
          </cell>
          <cell r="ET139">
            <v>0</v>
          </cell>
          <cell r="EU139">
            <v>0</v>
          </cell>
          <cell r="EV139">
            <v>0</v>
          </cell>
          <cell r="EW139">
            <v>0</v>
          </cell>
          <cell r="EX139">
            <v>0</v>
          </cell>
          <cell r="EY139">
            <v>0</v>
          </cell>
          <cell r="EZ139">
            <v>0</v>
          </cell>
          <cell r="FA139">
            <v>0</v>
          </cell>
          <cell r="FB139">
            <v>0</v>
          </cell>
          <cell r="FC139">
            <v>0</v>
          </cell>
          <cell r="FD139">
            <v>0</v>
          </cell>
          <cell r="FE139">
            <v>0</v>
          </cell>
          <cell r="FF139">
            <v>0</v>
          </cell>
          <cell r="FG139">
            <v>0</v>
          </cell>
          <cell r="FH139">
            <v>0</v>
          </cell>
          <cell r="FI139">
            <v>0</v>
          </cell>
          <cell r="FJ139">
            <v>0</v>
          </cell>
          <cell r="FK139">
            <v>0</v>
          </cell>
          <cell r="FL139">
            <v>0</v>
          </cell>
          <cell r="FM139">
            <v>0</v>
          </cell>
          <cell r="FN139">
            <v>0</v>
          </cell>
          <cell r="FO139">
            <v>0</v>
          </cell>
          <cell r="FP139">
            <v>0</v>
          </cell>
          <cell r="FQ139">
            <v>0</v>
          </cell>
          <cell r="FR139">
            <v>0</v>
          </cell>
          <cell r="FS139">
            <v>0</v>
          </cell>
          <cell r="FT139">
            <v>0</v>
          </cell>
          <cell r="FU139">
            <v>0</v>
          </cell>
          <cell r="FV139">
            <v>0</v>
          </cell>
          <cell r="FW139">
            <v>0</v>
          </cell>
          <cell r="FX139">
            <v>0</v>
          </cell>
          <cell r="FY139">
            <v>0</v>
          </cell>
          <cell r="FZ139">
            <v>0</v>
          </cell>
          <cell r="GA139">
            <v>0</v>
          </cell>
          <cell r="GB139">
            <v>0</v>
          </cell>
          <cell r="GC139">
            <v>0</v>
          </cell>
          <cell r="GD139">
            <v>0</v>
          </cell>
          <cell r="GE139">
            <v>0</v>
          </cell>
          <cell r="GF139">
            <v>0</v>
          </cell>
          <cell r="GG139">
            <v>0</v>
          </cell>
          <cell r="GH139">
            <v>0</v>
          </cell>
          <cell r="GI139">
            <v>0</v>
          </cell>
          <cell r="GJ139">
            <v>0</v>
          </cell>
          <cell r="GK139">
            <v>0</v>
          </cell>
          <cell r="GL139">
            <v>0</v>
          </cell>
          <cell r="GM139">
            <v>0</v>
          </cell>
          <cell r="GN139">
            <v>0</v>
          </cell>
          <cell r="GO139">
            <v>0</v>
          </cell>
          <cell r="GP139">
            <v>0</v>
          </cell>
          <cell r="GQ139">
            <v>0</v>
          </cell>
          <cell r="GR139">
            <v>0</v>
          </cell>
          <cell r="GS139">
            <v>0</v>
          </cell>
          <cell r="GT139">
            <v>0</v>
          </cell>
          <cell r="GU139">
            <v>0</v>
          </cell>
          <cell r="GV139">
            <v>0</v>
          </cell>
          <cell r="GW139">
            <v>0</v>
          </cell>
          <cell r="GX139">
            <v>0</v>
          </cell>
          <cell r="GY139">
            <v>0</v>
          </cell>
          <cell r="GZ139">
            <v>0</v>
          </cell>
          <cell r="HA139">
            <v>0</v>
          </cell>
          <cell r="HB139">
            <v>0</v>
          </cell>
          <cell r="HC139">
            <v>0</v>
          </cell>
          <cell r="HD139">
            <v>0</v>
          </cell>
          <cell r="HE139">
            <v>0</v>
          </cell>
          <cell r="HF139">
            <v>0</v>
          </cell>
        </row>
        <row r="206">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2</v>
          </cell>
          <cell r="BD206">
            <v>13</v>
          </cell>
          <cell r="BE206">
            <v>30</v>
          </cell>
          <cell r="BF206">
            <v>47</v>
          </cell>
          <cell r="BG206">
            <v>63</v>
          </cell>
          <cell r="BH206">
            <v>79</v>
          </cell>
          <cell r="BI206">
            <v>103</v>
          </cell>
          <cell r="BJ206">
            <v>124</v>
          </cell>
          <cell r="BK206">
            <v>145</v>
          </cell>
          <cell r="BL206">
            <v>165</v>
          </cell>
          <cell r="BM206">
            <v>191</v>
          </cell>
          <cell r="BN206">
            <v>213</v>
          </cell>
          <cell r="BO206">
            <v>239</v>
          </cell>
          <cell r="BP206">
            <v>266</v>
          </cell>
          <cell r="BQ206">
            <v>299</v>
          </cell>
          <cell r="BR206">
            <v>325</v>
          </cell>
          <cell r="BS206">
            <v>352</v>
          </cell>
          <cell r="BT206">
            <v>380</v>
          </cell>
          <cell r="BU206">
            <v>413</v>
          </cell>
          <cell r="BV206">
            <v>439</v>
          </cell>
          <cell r="BW206">
            <v>467</v>
          </cell>
          <cell r="BX206">
            <v>494</v>
          </cell>
          <cell r="BY206">
            <v>527</v>
          </cell>
          <cell r="BZ206">
            <v>554</v>
          </cell>
          <cell r="CA206">
            <v>550</v>
          </cell>
          <cell r="CB206">
            <v>575</v>
          </cell>
          <cell r="CC206">
            <v>608</v>
          </cell>
          <cell r="CD206">
            <v>632</v>
          </cell>
          <cell r="CE206">
            <v>658</v>
          </cell>
          <cell r="CF206">
            <v>683</v>
          </cell>
          <cell r="CG206">
            <v>708</v>
          </cell>
          <cell r="CH206">
            <v>733</v>
          </cell>
          <cell r="CI206">
            <v>758</v>
          </cell>
          <cell r="CJ206">
            <v>784</v>
          </cell>
          <cell r="CK206">
            <v>809</v>
          </cell>
          <cell r="CL206">
            <v>835</v>
          </cell>
          <cell r="CM206">
            <v>862</v>
          </cell>
          <cell r="CN206">
            <v>889</v>
          </cell>
          <cell r="CO206">
            <v>916</v>
          </cell>
          <cell r="CP206">
            <v>942</v>
          </cell>
          <cell r="CQ206">
            <v>969</v>
          </cell>
          <cell r="CR206">
            <v>996</v>
          </cell>
          <cell r="CS206">
            <v>1023</v>
          </cell>
          <cell r="CT206">
            <v>1049</v>
          </cell>
          <cell r="CU206">
            <v>1076</v>
          </cell>
          <cell r="CV206">
            <v>1104</v>
          </cell>
          <cell r="CW206">
            <v>1131</v>
          </cell>
          <cell r="CX206">
            <v>1157</v>
          </cell>
          <cell r="CY206">
            <v>1184</v>
          </cell>
          <cell r="CZ206">
            <v>1211</v>
          </cell>
          <cell r="DA206">
            <v>1238</v>
          </cell>
          <cell r="DB206">
            <v>1264</v>
          </cell>
          <cell r="DC206">
            <v>1291</v>
          </cell>
          <cell r="DD206">
            <v>1318</v>
          </cell>
          <cell r="DE206">
            <v>1345</v>
          </cell>
          <cell r="DF206">
            <v>1371</v>
          </cell>
          <cell r="DG206">
            <v>1398</v>
          </cell>
          <cell r="DH206">
            <v>1425</v>
          </cell>
          <cell r="DI206">
            <v>1452</v>
          </cell>
          <cell r="DJ206">
            <v>1478</v>
          </cell>
          <cell r="DK206">
            <v>1505</v>
          </cell>
          <cell r="DL206">
            <v>1532</v>
          </cell>
          <cell r="DM206">
            <v>1560</v>
          </cell>
          <cell r="DN206">
            <v>1586</v>
          </cell>
          <cell r="DO206">
            <v>1613</v>
          </cell>
          <cell r="DP206">
            <v>1640</v>
          </cell>
          <cell r="DQ206">
            <v>1667</v>
          </cell>
          <cell r="DR206">
            <v>1693</v>
          </cell>
          <cell r="DS206">
            <v>1720</v>
          </cell>
          <cell r="DT206">
            <v>1747</v>
          </cell>
          <cell r="DU206">
            <v>1774</v>
          </cell>
          <cell r="DV206">
            <v>1800</v>
          </cell>
          <cell r="DW206">
            <v>1827</v>
          </cell>
          <cell r="DX206">
            <v>1854</v>
          </cell>
          <cell r="DY206">
            <v>1881</v>
          </cell>
          <cell r="DZ206">
            <v>1907</v>
          </cell>
          <cell r="EA206">
            <v>1934</v>
          </cell>
          <cell r="EB206">
            <v>1961</v>
          </cell>
          <cell r="EC206">
            <v>1988</v>
          </cell>
          <cell r="ED206">
            <v>2014</v>
          </cell>
          <cell r="EE206">
            <v>2042</v>
          </cell>
          <cell r="EF206">
            <v>2069</v>
          </cell>
          <cell r="EG206">
            <v>2096</v>
          </cell>
          <cell r="EH206">
            <v>2122</v>
          </cell>
          <cell r="EI206">
            <v>2149</v>
          </cell>
          <cell r="EJ206">
            <v>2176</v>
          </cell>
          <cell r="EK206">
            <v>2203</v>
          </cell>
          <cell r="EL206">
            <v>2229</v>
          </cell>
          <cell r="EM206">
            <v>2256</v>
          </cell>
          <cell r="EN206">
            <v>2283</v>
          </cell>
          <cell r="EO206">
            <v>2310</v>
          </cell>
          <cell r="EP206">
            <v>2336</v>
          </cell>
          <cell r="EQ206">
            <v>2363</v>
          </cell>
          <cell r="ER206">
            <v>2390</v>
          </cell>
          <cell r="ES206">
            <v>2417</v>
          </cell>
          <cell r="ET206">
            <v>2443</v>
          </cell>
          <cell r="EU206">
            <v>2470</v>
          </cell>
          <cell r="EV206">
            <v>2498</v>
          </cell>
          <cell r="EW206">
            <v>2525</v>
          </cell>
          <cell r="EX206">
            <v>2551</v>
          </cell>
          <cell r="EY206">
            <v>2578</v>
          </cell>
          <cell r="EZ206">
            <v>2605</v>
          </cell>
          <cell r="FA206">
            <v>2632</v>
          </cell>
          <cell r="FB206">
            <v>2658</v>
          </cell>
          <cell r="FC206">
            <v>2685</v>
          </cell>
          <cell r="FD206">
            <v>2712</v>
          </cell>
          <cell r="FE206">
            <v>2739</v>
          </cell>
          <cell r="FF206">
            <v>2765</v>
          </cell>
          <cell r="FG206">
            <v>2792</v>
          </cell>
          <cell r="FH206">
            <v>2819</v>
          </cell>
          <cell r="FI206">
            <v>2846</v>
          </cell>
          <cell r="FJ206">
            <v>2872</v>
          </cell>
          <cell r="FK206">
            <v>2899</v>
          </cell>
          <cell r="FL206">
            <v>2926</v>
          </cell>
          <cell r="FM206">
            <v>2953</v>
          </cell>
          <cell r="FN206">
            <v>2980</v>
          </cell>
          <cell r="FO206">
            <v>3007</v>
          </cell>
          <cell r="FP206">
            <v>3034</v>
          </cell>
          <cell r="FQ206">
            <v>3061</v>
          </cell>
          <cell r="FR206">
            <v>3087</v>
          </cell>
          <cell r="FS206">
            <v>3114</v>
          </cell>
          <cell r="FT206">
            <v>3141</v>
          </cell>
          <cell r="FU206">
            <v>3168</v>
          </cell>
          <cell r="FV206">
            <v>3194</v>
          </cell>
          <cell r="FW206">
            <v>3221</v>
          </cell>
          <cell r="FX206">
            <v>3249</v>
          </cell>
          <cell r="FY206">
            <v>3278</v>
          </cell>
          <cell r="FZ206">
            <v>3306</v>
          </cell>
          <cell r="GA206">
            <v>3335</v>
          </cell>
          <cell r="GB206">
            <v>3364</v>
          </cell>
          <cell r="GC206">
            <v>3393</v>
          </cell>
          <cell r="GD206">
            <v>3421</v>
          </cell>
          <cell r="GE206">
            <v>3450</v>
          </cell>
          <cell r="GF206">
            <v>3479</v>
          </cell>
          <cell r="GG206">
            <v>3508</v>
          </cell>
          <cell r="GH206">
            <v>3536</v>
          </cell>
          <cell r="GI206">
            <v>3565</v>
          </cell>
          <cell r="GJ206">
            <v>3594</v>
          </cell>
          <cell r="GK206">
            <v>3623</v>
          </cell>
          <cell r="GL206">
            <v>3651</v>
          </cell>
          <cell r="GM206">
            <v>3680</v>
          </cell>
          <cell r="GN206">
            <v>3709</v>
          </cell>
          <cell r="GO206">
            <v>3738</v>
          </cell>
          <cell r="GP206">
            <v>3766</v>
          </cell>
          <cell r="GQ206">
            <v>3795</v>
          </cell>
          <cell r="GR206">
            <v>3824</v>
          </cell>
          <cell r="GS206">
            <v>3853</v>
          </cell>
          <cell r="GT206">
            <v>3881</v>
          </cell>
          <cell r="GU206">
            <v>3910</v>
          </cell>
          <cell r="GV206">
            <v>3939</v>
          </cell>
          <cell r="GW206">
            <v>3968</v>
          </cell>
          <cell r="GX206">
            <v>3996</v>
          </cell>
          <cell r="GY206">
            <v>4025</v>
          </cell>
          <cell r="GZ206">
            <v>4054</v>
          </cell>
          <cell r="HA206">
            <v>4083</v>
          </cell>
          <cell r="HB206">
            <v>4111</v>
          </cell>
          <cell r="HC206">
            <v>4140</v>
          </cell>
          <cell r="HD206">
            <v>4169</v>
          </cell>
          <cell r="HE206">
            <v>4198</v>
          </cell>
          <cell r="HF206">
            <v>4226</v>
          </cell>
        </row>
        <row r="221">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v>0</v>
          </cell>
          <cell r="DK221">
            <v>0</v>
          </cell>
          <cell r="DL221">
            <v>0</v>
          </cell>
          <cell r="DM221">
            <v>0</v>
          </cell>
          <cell r="DN221">
            <v>0</v>
          </cell>
          <cell r="DO221">
            <v>0</v>
          </cell>
          <cell r="DP221">
            <v>0</v>
          </cell>
          <cell r="DQ221">
            <v>0</v>
          </cell>
          <cell r="DR221">
            <v>0</v>
          </cell>
          <cell r="DS221">
            <v>0</v>
          </cell>
          <cell r="DT221">
            <v>0</v>
          </cell>
          <cell r="DU221">
            <v>0</v>
          </cell>
          <cell r="DV221">
            <v>0</v>
          </cell>
          <cell r="DW221">
            <v>0</v>
          </cell>
          <cell r="DX221">
            <v>0</v>
          </cell>
          <cell r="DY221">
            <v>0</v>
          </cell>
          <cell r="DZ221">
            <v>0</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cell r="FD221">
            <v>0</v>
          </cell>
          <cell r="FE221">
            <v>0</v>
          </cell>
          <cell r="FF221">
            <v>0</v>
          </cell>
          <cell r="FG221">
            <v>0</v>
          </cell>
          <cell r="FH221">
            <v>0</v>
          </cell>
          <cell r="FI221">
            <v>0</v>
          </cell>
          <cell r="FJ221">
            <v>0</v>
          </cell>
          <cell r="FK221">
            <v>0</v>
          </cell>
          <cell r="FL221">
            <v>0</v>
          </cell>
          <cell r="FM221">
            <v>0</v>
          </cell>
          <cell r="FN221">
            <v>0</v>
          </cell>
          <cell r="FO221">
            <v>0</v>
          </cell>
          <cell r="FP221">
            <v>0</v>
          </cell>
          <cell r="FQ221">
            <v>0</v>
          </cell>
          <cell r="FR221">
            <v>0</v>
          </cell>
          <cell r="FS221">
            <v>0</v>
          </cell>
          <cell r="FT221">
            <v>0</v>
          </cell>
          <cell r="FU221">
            <v>0</v>
          </cell>
          <cell r="FV221">
            <v>0</v>
          </cell>
          <cell r="FW221">
            <v>0</v>
          </cell>
          <cell r="FX221">
            <v>0</v>
          </cell>
          <cell r="FY221">
            <v>0</v>
          </cell>
          <cell r="FZ221">
            <v>0</v>
          </cell>
          <cell r="GA221">
            <v>0</v>
          </cell>
          <cell r="GB221">
            <v>0</v>
          </cell>
          <cell r="GC221">
            <v>0</v>
          </cell>
          <cell r="GD221">
            <v>0</v>
          </cell>
          <cell r="GE221">
            <v>0</v>
          </cell>
          <cell r="GF221">
            <v>0</v>
          </cell>
          <cell r="GG221">
            <v>0</v>
          </cell>
          <cell r="GH221">
            <v>0</v>
          </cell>
          <cell r="GI221">
            <v>0</v>
          </cell>
          <cell r="GJ221">
            <v>0</v>
          </cell>
          <cell r="GK221">
            <v>0</v>
          </cell>
          <cell r="GL221">
            <v>0</v>
          </cell>
          <cell r="GM221">
            <v>0</v>
          </cell>
          <cell r="GN221">
            <v>0</v>
          </cell>
          <cell r="GO221">
            <v>0</v>
          </cell>
          <cell r="GP221">
            <v>0</v>
          </cell>
          <cell r="GQ221">
            <v>0</v>
          </cell>
          <cell r="GR221">
            <v>0</v>
          </cell>
          <cell r="GS221">
            <v>0</v>
          </cell>
          <cell r="GT221">
            <v>0</v>
          </cell>
          <cell r="GU221">
            <v>0</v>
          </cell>
          <cell r="GV221">
            <v>0</v>
          </cell>
          <cell r="GW221">
            <v>0</v>
          </cell>
          <cell r="GX221">
            <v>0</v>
          </cell>
          <cell r="GY221">
            <v>0</v>
          </cell>
          <cell r="GZ221">
            <v>0</v>
          </cell>
          <cell r="HA221">
            <v>0</v>
          </cell>
          <cell r="HB221">
            <v>0</v>
          </cell>
          <cell r="HC221">
            <v>0</v>
          </cell>
          <cell r="HD221">
            <v>0</v>
          </cell>
          <cell r="HE221">
            <v>0</v>
          </cell>
          <cell r="HF221">
            <v>0</v>
          </cell>
        </row>
        <row r="269">
          <cell r="N269">
            <v>4920</v>
          </cell>
          <cell r="O269">
            <v>278</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0</v>
          </cell>
          <cell r="BW269">
            <v>0</v>
          </cell>
          <cell r="BX269">
            <v>0</v>
          </cell>
          <cell r="BY269">
            <v>0</v>
          </cell>
          <cell r="BZ269">
            <v>0</v>
          </cell>
          <cell r="CA269">
            <v>0</v>
          </cell>
          <cell r="CB269">
            <v>0</v>
          </cell>
          <cell r="CC269">
            <v>0</v>
          </cell>
          <cell r="CD269">
            <v>0</v>
          </cell>
          <cell r="CE269">
            <v>0</v>
          </cell>
          <cell r="CF269">
            <v>0</v>
          </cell>
          <cell r="CG269">
            <v>0</v>
          </cell>
          <cell r="CH269">
            <v>0</v>
          </cell>
          <cell r="CI269">
            <v>0</v>
          </cell>
          <cell r="CJ269">
            <v>0</v>
          </cell>
          <cell r="CK269">
            <v>0</v>
          </cell>
          <cell r="CL269">
            <v>0</v>
          </cell>
          <cell r="CM269">
            <v>0</v>
          </cell>
          <cell r="CN269">
            <v>0</v>
          </cell>
          <cell r="CO269">
            <v>0</v>
          </cell>
          <cell r="CP269">
            <v>0</v>
          </cell>
          <cell r="CQ269">
            <v>0</v>
          </cell>
          <cell r="CR269">
            <v>0</v>
          </cell>
          <cell r="CS269">
            <v>0</v>
          </cell>
          <cell r="CT269">
            <v>0</v>
          </cell>
          <cell r="CU269">
            <v>0</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0</v>
          </cell>
          <cell r="DM269">
            <v>0</v>
          </cell>
          <cell r="DN269">
            <v>0</v>
          </cell>
          <cell r="DO269">
            <v>0</v>
          </cell>
          <cell r="DP269">
            <v>0</v>
          </cell>
          <cell r="DQ269">
            <v>0</v>
          </cell>
          <cell r="DR269">
            <v>0</v>
          </cell>
          <cell r="DS269">
            <v>0</v>
          </cell>
          <cell r="DT269">
            <v>0</v>
          </cell>
          <cell r="DU269">
            <v>0</v>
          </cell>
          <cell r="DV269">
            <v>0</v>
          </cell>
          <cell r="DW269">
            <v>0</v>
          </cell>
          <cell r="DX269">
            <v>0</v>
          </cell>
          <cell r="DY269">
            <v>0</v>
          </cell>
          <cell r="DZ269">
            <v>0</v>
          </cell>
          <cell r="EA269">
            <v>0</v>
          </cell>
          <cell r="EB269">
            <v>0</v>
          </cell>
          <cell r="EC269">
            <v>0</v>
          </cell>
          <cell r="ED269">
            <v>0</v>
          </cell>
          <cell r="EE269">
            <v>0</v>
          </cell>
          <cell r="EF269">
            <v>0</v>
          </cell>
          <cell r="EG269">
            <v>0</v>
          </cell>
          <cell r="EH269">
            <v>0</v>
          </cell>
          <cell r="EI269">
            <v>0</v>
          </cell>
          <cell r="EJ269">
            <v>0</v>
          </cell>
          <cell r="EK269">
            <v>0</v>
          </cell>
          <cell r="EL269">
            <v>0</v>
          </cell>
          <cell r="EM269">
            <v>0</v>
          </cell>
          <cell r="EN269">
            <v>0</v>
          </cell>
          <cell r="EO269">
            <v>0</v>
          </cell>
          <cell r="EP269">
            <v>0</v>
          </cell>
          <cell r="EQ269">
            <v>0</v>
          </cell>
          <cell r="ER269">
            <v>0</v>
          </cell>
          <cell r="ES269">
            <v>0</v>
          </cell>
          <cell r="ET269">
            <v>0</v>
          </cell>
          <cell r="EU269">
            <v>0</v>
          </cell>
          <cell r="EV269">
            <v>0</v>
          </cell>
          <cell r="EW269">
            <v>0</v>
          </cell>
          <cell r="EX269">
            <v>0</v>
          </cell>
          <cell r="EY269">
            <v>0</v>
          </cell>
          <cell r="EZ269">
            <v>0</v>
          </cell>
          <cell r="FA269">
            <v>0</v>
          </cell>
          <cell r="FB269">
            <v>0</v>
          </cell>
          <cell r="FC269">
            <v>0</v>
          </cell>
          <cell r="FD269">
            <v>0</v>
          </cell>
          <cell r="FE269">
            <v>0</v>
          </cell>
          <cell r="FF269">
            <v>0</v>
          </cell>
          <cell r="FG269">
            <v>0</v>
          </cell>
          <cell r="FH269">
            <v>0</v>
          </cell>
          <cell r="FI269">
            <v>0</v>
          </cell>
          <cell r="FJ269">
            <v>0</v>
          </cell>
          <cell r="FK269">
            <v>0</v>
          </cell>
          <cell r="FL269">
            <v>0</v>
          </cell>
          <cell r="FM269">
            <v>0</v>
          </cell>
          <cell r="FN269">
            <v>0</v>
          </cell>
          <cell r="FO269">
            <v>0</v>
          </cell>
          <cell r="FP269">
            <v>0</v>
          </cell>
          <cell r="FQ269">
            <v>0</v>
          </cell>
          <cell r="FR269">
            <v>0</v>
          </cell>
          <cell r="FS269">
            <v>0</v>
          </cell>
          <cell r="FT269">
            <v>0</v>
          </cell>
          <cell r="FU269">
            <v>0</v>
          </cell>
          <cell r="FV269">
            <v>0</v>
          </cell>
          <cell r="FW269">
            <v>0</v>
          </cell>
          <cell r="FX269">
            <v>0</v>
          </cell>
          <cell r="FY269">
            <v>0</v>
          </cell>
          <cell r="FZ269">
            <v>0</v>
          </cell>
          <cell r="GA269">
            <v>0</v>
          </cell>
          <cell r="GB269">
            <v>0</v>
          </cell>
          <cell r="GC269">
            <v>0</v>
          </cell>
          <cell r="GD269">
            <v>0</v>
          </cell>
          <cell r="GE269">
            <v>0</v>
          </cell>
          <cell r="GF269">
            <v>0</v>
          </cell>
          <cell r="GG269">
            <v>0</v>
          </cell>
          <cell r="GH269">
            <v>0</v>
          </cell>
          <cell r="GI269">
            <v>0</v>
          </cell>
          <cell r="GJ269">
            <v>0</v>
          </cell>
          <cell r="GK269">
            <v>0</v>
          </cell>
          <cell r="GL269">
            <v>0</v>
          </cell>
          <cell r="GM269">
            <v>0</v>
          </cell>
          <cell r="GN269">
            <v>0</v>
          </cell>
          <cell r="GO269">
            <v>0</v>
          </cell>
          <cell r="GP269">
            <v>0</v>
          </cell>
          <cell r="GQ269">
            <v>0</v>
          </cell>
          <cell r="GR269">
            <v>0</v>
          </cell>
          <cell r="GS269">
            <v>0</v>
          </cell>
          <cell r="GT269">
            <v>0</v>
          </cell>
          <cell r="GU269">
            <v>0</v>
          </cell>
          <cell r="GV269">
            <v>0</v>
          </cell>
          <cell r="GW269">
            <v>0</v>
          </cell>
          <cell r="GX269">
            <v>0</v>
          </cell>
          <cell r="GY269">
            <v>0</v>
          </cell>
          <cell r="GZ269">
            <v>0</v>
          </cell>
          <cell r="HA269">
            <v>0</v>
          </cell>
          <cell r="HB269">
            <v>0</v>
          </cell>
          <cell r="HC269">
            <v>0</v>
          </cell>
          <cell r="HD269">
            <v>0</v>
          </cell>
          <cell r="HE269">
            <v>0</v>
          </cell>
          <cell r="HF269">
            <v>0</v>
          </cell>
        </row>
        <row r="282">
          <cell r="N282">
            <v>10092</v>
          </cell>
          <cell r="O282">
            <v>10092</v>
          </cell>
          <cell r="P282">
            <v>10092</v>
          </cell>
          <cell r="Q282">
            <v>10092</v>
          </cell>
          <cell r="R282">
            <v>10092</v>
          </cell>
          <cell r="S282">
            <v>10092</v>
          </cell>
          <cell r="T282">
            <v>10092</v>
          </cell>
          <cell r="U282">
            <v>10092</v>
          </cell>
          <cell r="V282">
            <v>10092</v>
          </cell>
          <cell r="W282">
            <v>10092</v>
          </cell>
          <cell r="X282">
            <v>10092</v>
          </cell>
          <cell r="Y282">
            <v>10092</v>
          </cell>
          <cell r="Z282">
            <v>10092</v>
          </cell>
          <cell r="AA282">
            <v>10092</v>
          </cell>
          <cell r="AB282">
            <v>10092</v>
          </cell>
          <cell r="AC282">
            <v>10092</v>
          </cell>
          <cell r="AD282">
            <v>10092</v>
          </cell>
          <cell r="AE282">
            <v>10092</v>
          </cell>
          <cell r="AF282">
            <v>10092</v>
          </cell>
          <cell r="AG282">
            <v>10092</v>
          </cell>
          <cell r="AH282">
            <v>10092</v>
          </cell>
          <cell r="AI282">
            <v>10092</v>
          </cell>
          <cell r="AJ282">
            <v>10092</v>
          </cell>
          <cell r="AK282">
            <v>10092</v>
          </cell>
          <cell r="AL282">
            <v>10092</v>
          </cell>
          <cell r="AM282">
            <v>10092</v>
          </cell>
          <cell r="AN282">
            <v>10092</v>
          </cell>
          <cell r="AO282">
            <v>10092</v>
          </cell>
          <cell r="AP282">
            <v>10092</v>
          </cell>
          <cell r="AQ282">
            <v>10092</v>
          </cell>
          <cell r="AR282">
            <v>10092</v>
          </cell>
          <cell r="AS282">
            <v>10092</v>
          </cell>
          <cell r="AT282">
            <v>10092</v>
          </cell>
          <cell r="AU282">
            <v>10092</v>
          </cell>
          <cell r="AV282">
            <v>10092</v>
          </cell>
          <cell r="AW282">
            <v>10092</v>
          </cell>
          <cell r="AX282">
            <v>10092</v>
          </cell>
          <cell r="AY282">
            <v>10092</v>
          </cell>
          <cell r="AZ282">
            <v>10092</v>
          </cell>
          <cell r="BA282">
            <v>10092</v>
          </cell>
          <cell r="BB282">
            <v>10092</v>
          </cell>
          <cell r="BC282">
            <v>10092</v>
          </cell>
          <cell r="BD282">
            <v>10092</v>
          </cell>
          <cell r="BE282">
            <v>10092</v>
          </cell>
          <cell r="BF282">
            <v>10092</v>
          </cell>
          <cell r="BG282">
            <v>10092</v>
          </cell>
          <cell r="BH282">
            <v>10092</v>
          </cell>
          <cell r="BI282">
            <v>10092</v>
          </cell>
          <cell r="BJ282">
            <v>10092</v>
          </cell>
          <cell r="BK282">
            <v>10092</v>
          </cell>
          <cell r="BL282">
            <v>10092</v>
          </cell>
          <cell r="BM282">
            <v>10092</v>
          </cell>
          <cell r="BN282">
            <v>10092</v>
          </cell>
          <cell r="BO282">
            <v>10092</v>
          </cell>
          <cell r="BP282">
            <v>10092</v>
          </cell>
          <cell r="BQ282">
            <v>10092</v>
          </cell>
          <cell r="BR282">
            <v>10092</v>
          </cell>
          <cell r="BS282">
            <v>10092</v>
          </cell>
          <cell r="BT282">
            <v>10092</v>
          </cell>
          <cell r="BU282">
            <v>10092</v>
          </cell>
          <cell r="BV282">
            <v>10092</v>
          </cell>
          <cell r="BW282">
            <v>10092</v>
          </cell>
          <cell r="BX282">
            <v>10092</v>
          </cell>
          <cell r="BY282">
            <v>10092</v>
          </cell>
          <cell r="BZ282">
            <v>10092</v>
          </cell>
          <cell r="CA282">
            <v>10092</v>
          </cell>
          <cell r="CB282">
            <v>10092</v>
          </cell>
          <cell r="CC282">
            <v>10092</v>
          </cell>
          <cell r="CD282">
            <v>10092</v>
          </cell>
          <cell r="CE282">
            <v>10092</v>
          </cell>
          <cell r="CF282">
            <v>10092</v>
          </cell>
          <cell r="CG282">
            <v>10092</v>
          </cell>
          <cell r="CH282">
            <v>10092</v>
          </cell>
          <cell r="CI282">
            <v>10092</v>
          </cell>
          <cell r="CJ282">
            <v>10092</v>
          </cell>
          <cell r="CK282">
            <v>9864</v>
          </cell>
          <cell r="CL282">
            <v>9614</v>
          </cell>
          <cell r="CM282">
            <v>9364</v>
          </cell>
          <cell r="CN282">
            <v>9114</v>
          </cell>
          <cell r="CO282">
            <v>8864</v>
          </cell>
          <cell r="CP282">
            <v>8614</v>
          </cell>
          <cell r="CQ282">
            <v>8364</v>
          </cell>
          <cell r="CR282">
            <v>8114</v>
          </cell>
          <cell r="CS282">
            <v>7864</v>
          </cell>
          <cell r="CT282">
            <v>7614</v>
          </cell>
          <cell r="CU282">
            <v>7364</v>
          </cell>
          <cell r="CV282">
            <v>7114</v>
          </cell>
          <cell r="CW282">
            <v>6864</v>
          </cell>
          <cell r="CX282">
            <v>6614</v>
          </cell>
          <cell r="CY282">
            <v>6364</v>
          </cell>
          <cell r="CZ282">
            <v>6114</v>
          </cell>
          <cell r="DA282">
            <v>5864</v>
          </cell>
          <cell r="DB282">
            <v>5614</v>
          </cell>
          <cell r="DC282">
            <v>5364</v>
          </cell>
          <cell r="DD282">
            <v>5114</v>
          </cell>
          <cell r="DE282">
            <v>4864</v>
          </cell>
          <cell r="DF282">
            <v>4614</v>
          </cell>
          <cell r="DG282">
            <v>4364</v>
          </cell>
          <cell r="DH282">
            <v>4114</v>
          </cell>
          <cell r="DI282">
            <v>3864</v>
          </cell>
          <cell r="DJ282">
            <v>3614</v>
          </cell>
          <cell r="DK282">
            <v>3364</v>
          </cell>
          <cell r="DL282">
            <v>3114</v>
          </cell>
          <cell r="DM282">
            <v>2864</v>
          </cell>
          <cell r="DN282">
            <v>2614</v>
          </cell>
          <cell r="DO282">
            <v>2364</v>
          </cell>
          <cell r="DP282">
            <v>2114</v>
          </cell>
          <cell r="DQ282">
            <v>1864</v>
          </cell>
          <cell r="DR282">
            <v>1614</v>
          </cell>
          <cell r="DS282">
            <v>1364</v>
          </cell>
          <cell r="DT282">
            <v>1114</v>
          </cell>
          <cell r="DU282">
            <v>864</v>
          </cell>
          <cell r="DV282">
            <v>614</v>
          </cell>
          <cell r="DW282">
            <v>364</v>
          </cell>
          <cell r="DX282">
            <v>114</v>
          </cell>
          <cell r="DY282">
            <v>0</v>
          </cell>
          <cell r="DZ282">
            <v>0</v>
          </cell>
          <cell r="EA282">
            <v>0</v>
          </cell>
          <cell r="EB282">
            <v>0</v>
          </cell>
          <cell r="EC282">
            <v>0</v>
          </cell>
          <cell r="ED282">
            <v>0</v>
          </cell>
          <cell r="EE282">
            <v>0</v>
          </cell>
          <cell r="EF282">
            <v>0</v>
          </cell>
          <cell r="EG282">
            <v>0</v>
          </cell>
          <cell r="EH282">
            <v>0</v>
          </cell>
          <cell r="EI282">
            <v>0</v>
          </cell>
          <cell r="EJ282">
            <v>0</v>
          </cell>
          <cell r="EK282">
            <v>0</v>
          </cell>
          <cell r="EL282">
            <v>0</v>
          </cell>
          <cell r="EM282">
            <v>0</v>
          </cell>
          <cell r="EN282">
            <v>0</v>
          </cell>
          <cell r="EO282">
            <v>0</v>
          </cell>
          <cell r="EP282">
            <v>0</v>
          </cell>
          <cell r="EQ282">
            <v>0</v>
          </cell>
          <cell r="ER282">
            <v>0</v>
          </cell>
          <cell r="ES282">
            <v>0</v>
          </cell>
          <cell r="ET282">
            <v>0</v>
          </cell>
          <cell r="EU282">
            <v>0</v>
          </cell>
          <cell r="EV282">
            <v>0</v>
          </cell>
          <cell r="EW282">
            <v>0</v>
          </cell>
          <cell r="EX282">
            <v>0</v>
          </cell>
          <cell r="EY282">
            <v>0</v>
          </cell>
          <cell r="EZ282">
            <v>0</v>
          </cell>
          <cell r="FA282">
            <v>0</v>
          </cell>
          <cell r="FB282">
            <v>0</v>
          </cell>
          <cell r="FC282">
            <v>0</v>
          </cell>
          <cell r="FD282">
            <v>0</v>
          </cell>
          <cell r="FE282">
            <v>0</v>
          </cell>
          <cell r="FF282">
            <v>0</v>
          </cell>
          <cell r="FG282">
            <v>0</v>
          </cell>
          <cell r="FH282">
            <v>0</v>
          </cell>
          <cell r="FI282">
            <v>0</v>
          </cell>
          <cell r="FJ282">
            <v>0</v>
          </cell>
          <cell r="FK282">
            <v>0</v>
          </cell>
          <cell r="FL282">
            <v>0</v>
          </cell>
          <cell r="FM282">
            <v>0</v>
          </cell>
          <cell r="FN282">
            <v>0</v>
          </cell>
          <cell r="FO282">
            <v>0</v>
          </cell>
          <cell r="FP282">
            <v>0</v>
          </cell>
          <cell r="FQ282">
            <v>0</v>
          </cell>
          <cell r="FR282">
            <v>0</v>
          </cell>
          <cell r="FS282">
            <v>0</v>
          </cell>
          <cell r="FT282">
            <v>0</v>
          </cell>
          <cell r="FU282">
            <v>0</v>
          </cell>
          <cell r="FV282">
            <v>0</v>
          </cell>
          <cell r="FW282">
            <v>0</v>
          </cell>
          <cell r="FX282">
            <v>0</v>
          </cell>
          <cell r="FY282">
            <v>0</v>
          </cell>
          <cell r="FZ282">
            <v>0</v>
          </cell>
          <cell r="GA282">
            <v>0</v>
          </cell>
          <cell r="GB282">
            <v>0</v>
          </cell>
          <cell r="GC282">
            <v>0</v>
          </cell>
          <cell r="GD282">
            <v>0</v>
          </cell>
          <cell r="GE282">
            <v>0</v>
          </cell>
          <cell r="GF282">
            <v>0</v>
          </cell>
          <cell r="GG282">
            <v>0</v>
          </cell>
          <cell r="GH282">
            <v>0</v>
          </cell>
          <cell r="GI282">
            <v>0</v>
          </cell>
          <cell r="GJ282">
            <v>0</v>
          </cell>
          <cell r="GK282">
            <v>0</v>
          </cell>
          <cell r="GL282">
            <v>0</v>
          </cell>
          <cell r="GM282">
            <v>0</v>
          </cell>
          <cell r="GN282">
            <v>0</v>
          </cell>
          <cell r="GO282">
            <v>0</v>
          </cell>
          <cell r="GP282">
            <v>0</v>
          </cell>
          <cell r="GQ282">
            <v>0</v>
          </cell>
          <cell r="GR282">
            <v>0</v>
          </cell>
          <cell r="GS282">
            <v>0</v>
          </cell>
          <cell r="GT282">
            <v>0</v>
          </cell>
          <cell r="GU282">
            <v>0</v>
          </cell>
          <cell r="GV282">
            <v>0</v>
          </cell>
          <cell r="GW282">
            <v>0</v>
          </cell>
          <cell r="GX282">
            <v>0</v>
          </cell>
          <cell r="GY282">
            <v>0</v>
          </cell>
          <cell r="GZ282">
            <v>0</v>
          </cell>
          <cell r="HA282">
            <v>0</v>
          </cell>
          <cell r="HB282">
            <v>0</v>
          </cell>
          <cell r="HC282">
            <v>0</v>
          </cell>
          <cell r="HD282">
            <v>0</v>
          </cell>
          <cell r="HE282">
            <v>0</v>
          </cell>
          <cell r="HF282">
            <v>0</v>
          </cell>
        </row>
        <row r="315">
          <cell r="N315">
            <v>15792</v>
          </cell>
          <cell r="O315">
            <v>15792</v>
          </cell>
          <cell r="P315">
            <v>15792</v>
          </cell>
          <cell r="Q315">
            <v>15792</v>
          </cell>
          <cell r="R315">
            <v>15792</v>
          </cell>
          <cell r="S315">
            <v>15792</v>
          </cell>
          <cell r="T315">
            <v>15792</v>
          </cell>
          <cell r="U315">
            <v>15792</v>
          </cell>
          <cell r="V315">
            <v>15792</v>
          </cell>
          <cell r="W315">
            <v>15792</v>
          </cell>
          <cell r="X315">
            <v>15792</v>
          </cell>
          <cell r="Y315">
            <v>15792</v>
          </cell>
          <cell r="Z315">
            <v>15792</v>
          </cell>
          <cell r="AA315">
            <v>15792</v>
          </cell>
          <cell r="AB315">
            <v>15792</v>
          </cell>
          <cell r="AC315">
            <v>15792</v>
          </cell>
          <cell r="AD315">
            <v>15792</v>
          </cell>
          <cell r="AE315">
            <v>15792</v>
          </cell>
          <cell r="AF315">
            <v>15792</v>
          </cell>
          <cell r="AG315">
            <v>15792</v>
          </cell>
          <cell r="AH315">
            <v>15792</v>
          </cell>
          <cell r="AI315">
            <v>15792</v>
          </cell>
          <cell r="AJ315">
            <v>15792</v>
          </cell>
          <cell r="AK315">
            <v>15792</v>
          </cell>
          <cell r="AL315">
            <v>15792</v>
          </cell>
          <cell r="AM315">
            <v>15792</v>
          </cell>
          <cell r="AN315">
            <v>15792</v>
          </cell>
          <cell r="AO315">
            <v>15792</v>
          </cell>
          <cell r="AP315">
            <v>15792</v>
          </cell>
          <cell r="AQ315">
            <v>15792</v>
          </cell>
          <cell r="AR315">
            <v>15792</v>
          </cell>
          <cell r="AS315">
            <v>15792</v>
          </cell>
          <cell r="AT315">
            <v>15792</v>
          </cell>
          <cell r="AU315">
            <v>15792</v>
          </cell>
          <cell r="AV315">
            <v>15792</v>
          </cell>
          <cell r="AW315">
            <v>15792</v>
          </cell>
          <cell r="AX315">
            <v>15792</v>
          </cell>
          <cell r="AY315">
            <v>15792</v>
          </cell>
          <cell r="AZ315">
            <v>15792</v>
          </cell>
          <cell r="BA315">
            <v>15792</v>
          </cell>
          <cell r="BB315">
            <v>15792</v>
          </cell>
          <cell r="BC315">
            <v>15792</v>
          </cell>
          <cell r="BD315">
            <v>15792</v>
          </cell>
          <cell r="BE315">
            <v>15792</v>
          </cell>
          <cell r="BF315">
            <v>15792</v>
          </cell>
          <cell r="BG315">
            <v>15792</v>
          </cell>
          <cell r="BH315">
            <v>15792</v>
          </cell>
          <cell r="BI315">
            <v>15792</v>
          </cell>
          <cell r="BJ315">
            <v>15792</v>
          </cell>
          <cell r="BK315">
            <v>15792</v>
          </cell>
          <cell r="BL315">
            <v>15792</v>
          </cell>
          <cell r="BM315">
            <v>15792</v>
          </cell>
          <cell r="BN315">
            <v>15792</v>
          </cell>
          <cell r="BO315">
            <v>15792</v>
          </cell>
          <cell r="BP315">
            <v>15792</v>
          </cell>
          <cell r="BQ315">
            <v>15792</v>
          </cell>
          <cell r="BR315">
            <v>15792</v>
          </cell>
          <cell r="BS315">
            <v>15792</v>
          </cell>
          <cell r="BT315">
            <v>15792</v>
          </cell>
          <cell r="BU315">
            <v>15792</v>
          </cell>
          <cell r="BV315">
            <v>15792</v>
          </cell>
          <cell r="BW315">
            <v>15792</v>
          </cell>
          <cell r="BX315">
            <v>15792</v>
          </cell>
          <cell r="BY315">
            <v>15792</v>
          </cell>
          <cell r="BZ315">
            <v>15792</v>
          </cell>
          <cell r="CA315">
            <v>15792</v>
          </cell>
          <cell r="CB315">
            <v>15792</v>
          </cell>
          <cell r="CC315">
            <v>15792</v>
          </cell>
          <cell r="CD315">
            <v>15792</v>
          </cell>
          <cell r="CE315">
            <v>15792</v>
          </cell>
          <cell r="CF315">
            <v>0</v>
          </cell>
          <cell r="CG315">
            <v>0</v>
          </cell>
          <cell r="CH315">
            <v>0</v>
          </cell>
          <cell r="CI315">
            <v>0</v>
          </cell>
          <cell r="CJ315">
            <v>0</v>
          </cell>
          <cell r="CK315">
            <v>0</v>
          </cell>
          <cell r="CL315">
            <v>0</v>
          </cell>
          <cell r="CM315">
            <v>0</v>
          </cell>
          <cell r="CN315">
            <v>0</v>
          </cell>
          <cell r="CO315">
            <v>0</v>
          </cell>
          <cell r="CP315">
            <v>0</v>
          </cell>
          <cell r="CQ315">
            <v>0</v>
          </cell>
          <cell r="CR315">
            <v>0</v>
          </cell>
          <cell r="CS315">
            <v>0</v>
          </cell>
          <cell r="CT315">
            <v>0</v>
          </cell>
          <cell r="CU315">
            <v>0</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0</v>
          </cell>
          <cell r="DM315">
            <v>0</v>
          </cell>
          <cell r="DN315">
            <v>0</v>
          </cell>
          <cell r="DO315">
            <v>0</v>
          </cell>
          <cell r="DP315">
            <v>0</v>
          </cell>
          <cell r="DQ315">
            <v>0</v>
          </cell>
          <cell r="DR315">
            <v>0</v>
          </cell>
          <cell r="DS315">
            <v>0</v>
          </cell>
          <cell r="DT315">
            <v>0</v>
          </cell>
          <cell r="DU315">
            <v>0</v>
          </cell>
          <cell r="DV315">
            <v>0</v>
          </cell>
          <cell r="DW315">
            <v>0</v>
          </cell>
          <cell r="DX315">
            <v>0</v>
          </cell>
          <cell r="DY315">
            <v>0</v>
          </cell>
          <cell r="DZ315">
            <v>0</v>
          </cell>
          <cell r="EA315">
            <v>0</v>
          </cell>
          <cell r="EB315">
            <v>0</v>
          </cell>
          <cell r="EC315">
            <v>0</v>
          </cell>
          <cell r="ED315">
            <v>0</v>
          </cell>
          <cell r="EE315">
            <v>0</v>
          </cell>
          <cell r="EF315">
            <v>0</v>
          </cell>
          <cell r="EG315">
            <v>0</v>
          </cell>
          <cell r="EH315">
            <v>0</v>
          </cell>
          <cell r="EI315">
            <v>0</v>
          </cell>
          <cell r="EJ315">
            <v>0</v>
          </cell>
          <cell r="EK315">
            <v>0</v>
          </cell>
          <cell r="EL315">
            <v>0</v>
          </cell>
          <cell r="EM315">
            <v>0</v>
          </cell>
          <cell r="EN315">
            <v>0</v>
          </cell>
          <cell r="EO315">
            <v>0</v>
          </cell>
          <cell r="EP315">
            <v>0</v>
          </cell>
          <cell r="EQ315">
            <v>0</v>
          </cell>
          <cell r="ER315">
            <v>0</v>
          </cell>
          <cell r="ES315">
            <v>0</v>
          </cell>
          <cell r="ET315">
            <v>0</v>
          </cell>
          <cell r="EU315">
            <v>0</v>
          </cell>
          <cell r="EV315">
            <v>0</v>
          </cell>
          <cell r="EW315">
            <v>0</v>
          </cell>
          <cell r="EX315">
            <v>0</v>
          </cell>
          <cell r="EY315">
            <v>0</v>
          </cell>
          <cell r="EZ315">
            <v>0</v>
          </cell>
          <cell r="FA315">
            <v>0</v>
          </cell>
          <cell r="FB315">
            <v>0</v>
          </cell>
          <cell r="FC315">
            <v>0</v>
          </cell>
          <cell r="FD315">
            <v>0</v>
          </cell>
          <cell r="FE315">
            <v>0</v>
          </cell>
          <cell r="FF315">
            <v>0</v>
          </cell>
          <cell r="FG315">
            <v>0</v>
          </cell>
          <cell r="FH315">
            <v>0</v>
          </cell>
          <cell r="FI315">
            <v>0</v>
          </cell>
          <cell r="FJ315">
            <v>0</v>
          </cell>
          <cell r="FK315">
            <v>0</v>
          </cell>
          <cell r="FL315">
            <v>0</v>
          </cell>
          <cell r="FM315">
            <v>0</v>
          </cell>
          <cell r="FN315">
            <v>0</v>
          </cell>
          <cell r="FO315">
            <v>0</v>
          </cell>
          <cell r="FP315">
            <v>0</v>
          </cell>
          <cell r="FQ315">
            <v>0</v>
          </cell>
          <cell r="FR315">
            <v>0</v>
          </cell>
          <cell r="FS315">
            <v>0</v>
          </cell>
          <cell r="FT315">
            <v>0</v>
          </cell>
          <cell r="FU315">
            <v>0</v>
          </cell>
          <cell r="FV315">
            <v>0</v>
          </cell>
          <cell r="FW315">
            <v>0</v>
          </cell>
          <cell r="FX315">
            <v>0</v>
          </cell>
          <cell r="FY315">
            <v>0</v>
          </cell>
          <cell r="FZ315">
            <v>0</v>
          </cell>
          <cell r="GA315">
            <v>0</v>
          </cell>
          <cell r="GB315">
            <v>0</v>
          </cell>
          <cell r="GC315">
            <v>0</v>
          </cell>
          <cell r="GD315">
            <v>0</v>
          </cell>
          <cell r="GE315">
            <v>0</v>
          </cell>
          <cell r="GF315">
            <v>0</v>
          </cell>
          <cell r="GG315">
            <v>0</v>
          </cell>
          <cell r="GH315">
            <v>0</v>
          </cell>
          <cell r="GI315">
            <v>0</v>
          </cell>
          <cell r="GJ315">
            <v>0</v>
          </cell>
          <cell r="GK315">
            <v>0</v>
          </cell>
          <cell r="GL315">
            <v>0</v>
          </cell>
          <cell r="GM315">
            <v>0</v>
          </cell>
          <cell r="GN315">
            <v>0</v>
          </cell>
          <cell r="GO315">
            <v>0</v>
          </cell>
          <cell r="GP315">
            <v>0</v>
          </cell>
          <cell r="GQ315">
            <v>0</v>
          </cell>
          <cell r="GR315">
            <v>0</v>
          </cell>
          <cell r="GS315">
            <v>0</v>
          </cell>
          <cell r="GT315">
            <v>0</v>
          </cell>
          <cell r="GU315">
            <v>0</v>
          </cell>
          <cell r="GV315">
            <v>0</v>
          </cell>
          <cell r="GW315">
            <v>0</v>
          </cell>
          <cell r="GX315">
            <v>0</v>
          </cell>
          <cell r="GY315">
            <v>0</v>
          </cell>
          <cell r="GZ315">
            <v>0</v>
          </cell>
          <cell r="HA315">
            <v>0</v>
          </cell>
          <cell r="HB315">
            <v>0</v>
          </cell>
          <cell r="HC315">
            <v>0</v>
          </cell>
          <cell r="HD315">
            <v>0</v>
          </cell>
          <cell r="HE315">
            <v>0</v>
          </cell>
          <cell r="HF315">
            <v>0</v>
          </cell>
        </row>
        <row r="337">
          <cell r="N337">
            <v>2490</v>
          </cell>
          <cell r="O337">
            <v>2490</v>
          </cell>
          <cell r="P337">
            <v>2490</v>
          </cell>
          <cell r="Q337">
            <v>2490</v>
          </cell>
          <cell r="R337">
            <v>2490</v>
          </cell>
          <cell r="S337">
            <v>2490</v>
          </cell>
          <cell r="T337">
            <v>2490</v>
          </cell>
          <cell r="U337">
            <v>2490</v>
          </cell>
          <cell r="V337">
            <v>2490</v>
          </cell>
          <cell r="W337">
            <v>2490</v>
          </cell>
          <cell r="X337">
            <v>2490</v>
          </cell>
          <cell r="Y337">
            <v>2490</v>
          </cell>
          <cell r="Z337">
            <v>2490</v>
          </cell>
          <cell r="AA337">
            <v>2490</v>
          </cell>
          <cell r="AB337">
            <v>2490</v>
          </cell>
          <cell r="AC337">
            <v>2490</v>
          </cell>
          <cell r="AD337">
            <v>2490</v>
          </cell>
          <cell r="AE337">
            <v>2490</v>
          </cell>
          <cell r="AF337">
            <v>2490</v>
          </cell>
          <cell r="AG337">
            <v>2490</v>
          </cell>
          <cell r="AH337">
            <v>2490</v>
          </cell>
          <cell r="AI337">
            <v>2490</v>
          </cell>
          <cell r="AJ337">
            <v>2490</v>
          </cell>
          <cell r="AK337">
            <v>2490</v>
          </cell>
          <cell r="AL337">
            <v>2490</v>
          </cell>
          <cell r="AM337">
            <v>2490</v>
          </cell>
          <cell r="AN337">
            <v>2490</v>
          </cell>
          <cell r="AO337">
            <v>2490</v>
          </cell>
          <cell r="AP337">
            <v>2490</v>
          </cell>
          <cell r="AQ337">
            <v>2490</v>
          </cell>
          <cell r="AR337">
            <v>2490</v>
          </cell>
          <cell r="AS337">
            <v>2490</v>
          </cell>
          <cell r="AT337">
            <v>2490</v>
          </cell>
          <cell r="AU337">
            <v>2490</v>
          </cell>
          <cell r="AV337">
            <v>2490</v>
          </cell>
          <cell r="AW337">
            <v>2490</v>
          </cell>
          <cell r="AX337">
            <v>2490</v>
          </cell>
          <cell r="AY337">
            <v>2490</v>
          </cell>
          <cell r="AZ337">
            <v>2490</v>
          </cell>
          <cell r="BA337">
            <v>2490</v>
          </cell>
          <cell r="BB337">
            <v>2490</v>
          </cell>
          <cell r="BC337">
            <v>2490</v>
          </cell>
          <cell r="BD337">
            <v>2490</v>
          </cell>
          <cell r="BE337">
            <v>2490</v>
          </cell>
          <cell r="BF337">
            <v>2490</v>
          </cell>
          <cell r="BG337">
            <v>2490</v>
          </cell>
          <cell r="BH337">
            <v>2490</v>
          </cell>
          <cell r="BI337">
            <v>2490</v>
          </cell>
          <cell r="BJ337">
            <v>2490</v>
          </cell>
          <cell r="BK337">
            <v>2490</v>
          </cell>
          <cell r="BL337">
            <v>2490</v>
          </cell>
          <cell r="BM337">
            <v>2490</v>
          </cell>
          <cell r="BN337">
            <v>2490</v>
          </cell>
          <cell r="BO337">
            <v>2490</v>
          </cell>
          <cell r="BP337">
            <v>2490</v>
          </cell>
          <cell r="BQ337">
            <v>2490</v>
          </cell>
          <cell r="BR337">
            <v>2490</v>
          </cell>
          <cell r="BS337">
            <v>2490</v>
          </cell>
          <cell r="BT337">
            <v>2490</v>
          </cell>
          <cell r="BU337">
            <v>2490</v>
          </cell>
          <cell r="BV337">
            <v>2490</v>
          </cell>
          <cell r="BW337">
            <v>2490</v>
          </cell>
          <cell r="BX337">
            <v>2490</v>
          </cell>
          <cell r="BY337">
            <v>2490</v>
          </cell>
          <cell r="BZ337">
            <v>2490</v>
          </cell>
          <cell r="CA337">
            <v>2490</v>
          </cell>
          <cell r="CB337">
            <v>2490</v>
          </cell>
          <cell r="CC337">
            <v>2490</v>
          </cell>
          <cell r="CD337">
            <v>2490</v>
          </cell>
          <cell r="CE337">
            <v>2490</v>
          </cell>
          <cell r="CF337">
            <v>2490</v>
          </cell>
          <cell r="CG337">
            <v>2490</v>
          </cell>
          <cell r="CH337">
            <v>2490</v>
          </cell>
          <cell r="CI337">
            <v>2490</v>
          </cell>
          <cell r="CJ337">
            <v>2490</v>
          </cell>
          <cell r="CK337">
            <v>2490</v>
          </cell>
          <cell r="CL337">
            <v>2490</v>
          </cell>
          <cell r="CM337">
            <v>2490</v>
          </cell>
          <cell r="CN337">
            <v>2490</v>
          </cell>
          <cell r="CO337">
            <v>2490</v>
          </cell>
          <cell r="CP337">
            <v>2490</v>
          </cell>
          <cell r="CQ337">
            <v>2490</v>
          </cell>
          <cell r="CR337">
            <v>2490</v>
          </cell>
          <cell r="CS337">
            <v>2490</v>
          </cell>
          <cell r="CT337">
            <v>2490</v>
          </cell>
          <cell r="CU337">
            <v>2490</v>
          </cell>
          <cell r="CV337">
            <v>2490</v>
          </cell>
          <cell r="CW337">
            <v>2490</v>
          </cell>
          <cell r="CX337">
            <v>2490</v>
          </cell>
          <cell r="CY337">
            <v>2490</v>
          </cell>
          <cell r="CZ337">
            <v>2490</v>
          </cell>
          <cell r="DA337">
            <v>2490</v>
          </cell>
          <cell r="DB337">
            <v>2490</v>
          </cell>
          <cell r="DC337">
            <v>2490</v>
          </cell>
          <cell r="DD337">
            <v>2490</v>
          </cell>
          <cell r="DE337">
            <v>2490</v>
          </cell>
          <cell r="DF337">
            <v>2490</v>
          </cell>
          <cell r="DG337">
            <v>2490</v>
          </cell>
          <cell r="DH337">
            <v>2490</v>
          </cell>
          <cell r="DI337">
            <v>2490</v>
          </cell>
          <cell r="DJ337">
            <v>2490</v>
          </cell>
          <cell r="DK337">
            <v>2490</v>
          </cell>
          <cell r="DL337">
            <v>2490</v>
          </cell>
          <cell r="DM337">
            <v>2490</v>
          </cell>
          <cell r="DN337">
            <v>2490</v>
          </cell>
          <cell r="DO337">
            <v>2490</v>
          </cell>
          <cell r="DP337">
            <v>2490</v>
          </cell>
          <cell r="DQ337">
            <v>2490</v>
          </cell>
          <cell r="DR337">
            <v>2490</v>
          </cell>
          <cell r="DS337">
            <v>2490</v>
          </cell>
          <cell r="DT337">
            <v>2490</v>
          </cell>
          <cell r="DU337">
            <v>2490</v>
          </cell>
          <cell r="DV337">
            <v>2490</v>
          </cell>
          <cell r="DW337">
            <v>2490</v>
          </cell>
          <cell r="DX337">
            <v>2490</v>
          </cell>
          <cell r="DY337">
            <v>2490</v>
          </cell>
          <cell r="DZ337">
            <v>2490</v>
          </cell>
          <cell r="EA337">
            <v>2490</v>
          </cell>
          <cell r="EB337">
            <v>2490</v>
          </cell>
          <cell r="EC337">
            <v>2490</v>
          </cell>
          <cell r="ED337">
            <v>2490</v>
          </cell>
          <cell r="EE337">
            <v>2490</v>
          </cell>
          <cell r="EF337">
            <v>2490</v>
          </cell>
          <cell r="EG337">
            <v>2490</v>
          </cell>
          <cell r="EH337">
            <v>2490</v>
          </cell>
          <cell r="EI337">
            <v>2490</v>
          </cell>
          <cell r="EJ337">
            <v>2490</v>
          </cell>
          <cell r="EK337">
            <v>2490</v>
          </cell>
          <cell r="EL337">
            <v>2490</v>
          </cell>
          <cell r="EM337">
            <v>2490</v>
          </cell>
          <cell r="EN337">
            <v>2490</v>
          </cell>
          <cell r="EO337">
            <v>2490</v>
          </cell>
          <cell r="EP337">
            <v>498</v>
          </cell>
          <cell r="EQ337">
            <v>498</v>
          </cell>
          <cell r="ER337">
            <v>498</v>
          </cell>
          <cell r="ES337">
            <v>498</v>
          </cell>
          <cell r="ET337">
            <v>498</v>
          </cell>
          <cell r="EU337">
            <v>498</v>
          </cell>
          <cell r="EV337">
            <v>498</v>
          </cell>
          <cell r="EW337">
            <v>498</v>
          </cell>
          <cell r="EX337">
            <v>498</v>
          </cell>
          <cell r="EY337">
            <v>498</v>
          </cell>
          <cell r="EZ337">
            <v>498</v>
          </cell>
          <cell r="FA337">
            <v>498</v>
          </cell>
          <cell r="FB337">
            <v>498</v>
          </cell>
          <cell r="FC337">
            <v>498</v>
          </cell>
          <cell r="FD337">
            <v>498</v>
          </cell>
          <cell r="FE337">
            <v>498</v>
          </cell>
          <cell r="FF337">
            <v>498</v>
          </cell>
          <cell r="FG337">
            <v>498</v>
          </cell>
          <cell r="FH337">
            <v>498</v>
          </cell>
          <cell r="FI337">
            <v>498</v>
          </cell>
          <cell r="FJ337">
            <v>498</v>
          </cell>
          <cell r="FK337">
            <v>498</v>
          </cell>
          <cell r="FL337">
            <v>498</v>
          </cell>
          <cell r="FM337">
            <v>498</v>
          </cell>
          <cell r="FN337">
            <v>498</v>
          </cell>
          <cell r="FO337">
            <v>0</v>
          </cell>
          <cell r="FP337">
            <v>0</v>
          </cell>
          <cell r="FQ337">
            <v>0</v>
          </cell>
          <cell r="FR337">
            <v>0</v>
          </cell>
          <cell r="FS337">
            <v>0</v>
          </cell>
          <cell r="FT337">
            <v>0</v>
          </cell>
          <cell r="FU337">
            <v>0</v>
          </cell>
          <cell r="FV337">
            <v>0</v>
          </cell>
          <cell r="FW337">
            <v>0</v>
          </cell>
          <cell r="FX337">
            <v>0</v>
          </cell>
          <cell r="FY337">
            <v>0</v>
          </cell>
          <cell r="FZ337">
            <v>0</v>
          </cell>
          <cell r="GA337">
            <v>0</v>
          </cell>
          <cell r="GB337">
            <v>0</v>
          </cell>
          <cell r="GC337">
            <v>0</v>
          </cell>
          <cell r="GD337">
            <v>0</v>
          </cell>
          <cell r="GE337">
            <v>0</v>
          </cell>
          <cell r="GF337">
            <v>0</v>
          </cell>
          <cell r="GG337">
            <v>0</v>
          </cell>
          <cell r="GH337">
            <v>0</v>
          </cell>
          <cell r="GI337">
            <v>0</v>
          </cell>
          <cell r="GJ337">
            <v>0</v>
          </cell>
          <cell r="GK337">
            <v>0</v>
          </cell>
          <cell r="GL337">
            <v>0</v>
          </cell>
          <cell r="GM337">
            <v>0</v>
          </cell>
          <cell r="GN337">
            <v>0</v>
          </cell>
          <cell r="GO337">
            <v>0</v>
          </cell>
          <cell r="GP337">
            <v>0</v>
          </cell>
          <cell r="GQ337">
            <v>0</v>
          </cell>
          <cell r="GR337">
            <v>0</v>
          </cell>
          <cell r="GS337">
            <v>0</v>
          </cell>
          <cell r="GT337">
            <v>0</v>
          </cell>
          <cell r="GU337">
            <v>0</v>
          </cell>
          <cell r="GV337">
            <v>0</v>
          </cell>
          <cell r="GW337">
            <v>0</v>
          </cell>
          <cell r="GX337">
            <v>0</v>
          </cell>
          <cell r="GY337">
            <v>0</v>
          </cell>
          <cell r="GZ337">
            <v>0</v>
          </cell>
          <cell r="HA337">
            <v>0</v>
          </cell>
          <cell r="HB337">
            <v>0</v>
          </cell>
          <cell r="HC337">
            <v>0</v>
          </cell>
          <cell r="HD337">
            <v>0</v>
          </cell>
          <cell r="HE337">
            <v>0</v>
          </cell>
          <cell r="HF337">
            <v>0</v>
          </cell>
        </row>
        <row r="348">
          <cell r="N348">
            <v>2035</v>
          </cell>
          <cell r="O348">
            <v>2035</v>
          </cell>
          <cell r="P348">
            <v>2035</v>
          </cell>
          <cell r="Q348">
            <v>2035</v>
          </cell>
          <cell r="R348">
            <v>2035</v>
          </cell>
          <cell r="S348">
            <v>2035</v>
          </cell>
          <cell r="T348">
            <v>2035</v>
          </cell>
          <cell r="U348">
            <v>2035</v>
          </cell>
          <cell r="V348">
            <v>2035</v>
          </cell>
          <cell r="W348">
            <v>2035</v>
          </cell>
          <cell r="X348">
            <v>2035</v>
          </cell>
          <cell r="Y348">
            <v>2035</v>
          </cell>
          <cell r="Z348">
            <v>2035</v>
          </cell>
          <cell r="AA348">
            <v>2035</v>
          </cell>
          <cell r="AB348">
            <v>2035</v>
          </cell>
          <cell r="AC348">
            <v>2035</v>
          </cell>
          <cell r="AD348">
            <v>2035</v>
          </cell>
          <cell r="AE348">
            <v>2035</v>
          </cell>
          <cell r="AF348">
            <v>2035</v>
          </cell>
          <cell r="AG348">
            <v>2035</v>
          </cell>
          <cell r="AH348">
            <v>2035</v>
          </cell>
          <cell r="AI348">
            <v>2035</v>
          </cell>
          <cell r="AJ348">
            <v>2035</v>
          </cell>
          <cell r="AK348">
            <v>2035</v>
          </cell>
          <cell r="AL348">
            <v>2035</v>
          </cell>
          <cell r="AM348">
            <v>2035</v>
          </cell>
          <cell r="AN348">
            <v>2035</v>
          </cell>
          <cell r="AO348">
            <v>2035</v>
          </cell>
          <cell r="AP348">
            <v>2035</v>
          </cell>
          <cell r="AQ348">
            <v>2035</v>
          </cell>
          <cell r="AR348">
            <v>2035</v>
          </cell>
          <cell r="AS348">
            <v>2035</v>
          </cell>
          <cell r="AT348">
            <v>2035</v>
          </cell>
          <cell r="AU348">
            <v>2035</v>
          </cell>
          <cell r="AV348">
            <v>2035</v>
          </cell>
          <cell r="AW348">
            <v>2035</v>
          </cell>
          <cell r="AX348">
            <v>2035</v>
          </cell>
          <cell r="AY348">
            <v>2035</v>
          </cell>
          <cell r="AZ348">
            <v>2035</v>
          </cell>
          <cell r="BA348">
            <v>2035</v>
          </cell>
          <cell r="BB348">
            <v>2035</v>
          </cell>
          <cell r="BC348">
            <v>2035</v>
          </cell>
          <cell r="BD348">
            <v>2035</v>
          </cell>
          <cell r="BE348">
            <v>2035</v>
          </cell>
          <cell r="BF348">
            <v>2035</v>
          </cell>
          <cell r="BG348">
            <v>2035</v>
          </cell>
          <cell r="BH348">
            <v>2035</v>
          </cell>
          <cell r="BI348">
            <v>2035</v>
          </cell>
          <cell r="BJ348">
            <v>2035</v>
          </cell>
          <cell r="BK348">
            <v>2035</v>
          </cell>
          <cell r="BL348">
            <v>2035</v>
          </cell>
          <cell r="BM348">
            <v>2035</v>
          </cell>
          <cell r="BN348">
            <v>2035</v>
          </cell>
          <cell r="BO348">
            <v>2035</v>
          </cell>
          <cell r="BP348">
            <v>2035</v>
          </cell>
          <cell r="BQ348">
            <v>2035</v>
          </cell>
          <cell r="BR348">
            <v>2035</v>
          </cell>
          <cell r="BS348">
            <v>2035</v>
          </cell>
          <cell r="BT348">
            <v>2035</v>
          </cell>
          <cell r="BU348">
            <v>2035</v>
          </cell>
          <cell r="BV348">
            <v>2035</v>
          </cell>
          <cell r="BW348">
            <v>2035</v>
          </cell>
          <cell r="BX348">
            <v>2035</v>
          </cell>
          <cell r="BY348">
            <v>2035</v>
          </cell>
          <cell r="BZ348">
            <v>2035</v>
          </cell>
          <cell r="CA348">
            <v>2035</v>
          </cell>
          <cell r="CB348">
            <v>2035</v>
          </cell>
          <cell r="CC348">
            <v>2035</v>
          </cell>
          <cell r="CD348">
            <v>2035</v>
          </cell>
          <cell r="CE348">
            <v>2035</v>
          </cell>
          <cell r="CF348">
            <v>1791</v>
          </cell>
          <cell r="CG348">
            <v>1791</v>
          </cell>
          <cell r="CH348">
            <v>1791</v>
          </cell>
          <cell r="CI348">
            <v>1791</v>
          </cell>
          <cell r="CJ348">
            <v>1791</v>
          </cell>
          <cell r="CK348">
            <v>1791</v>
          </cell>
          <cell r="CL348">
            <v>1791</v>
          </cell>
          <cell r="CM348">
            <v>1791</v>
          </cell>
          <cell r="CN348">
            <v>1791</v>
          </cell>
          <cell r="CO348">
            <v>1791</v>
          </cell>
          <cell r="CP348">
            <v>1791</v>
          </cell>
          <cell r="CQ348">
            <v>1791</v>
          </cell>
          <cell r="CR348">
            <v>1791</v>
          </cell>
          <cell r="CS348">
            <v>1791</v>
          </cell>
          <cell r="CT348">
            <v>1791</v>
          </cell>
          <cell r="CU348">
            <v>1791</v>
          </cell>
          <cell r="CV348">
            <v>1791</v>
          </cell>
          <cell r="CW348">
            <v>1791</v>
          </cell>
          <cell r="CX348">
            <v>1791</v>
          </cell>
          <cell r="CY348">
            <v>1791</v>
          </cell>
          <cell r="CZ348">
            <v>1791</v>
          </cell>
          <cell r="DA348">
            <v>1791</v>
          </cell>
          <cell r="DB348">
            <v>1791</v>
          </cell>
          <cell r="DC348">
            <v>1791</v>
          </cell>
          <cell r="DD348">
            <v>1791</v>
          </cell>
          <cell r="DE348">
            <v>1791</v>
          </cell>
          <cell r="DF348">
            <v>1791</v>
          </cell>
          <cell r="DG348">
            <v>1791</v>
          </cell>
          <cell r="DH348">
            <v>1791</v>
          </cell>
          <cell r="DI348">
            <v>1791</v>
          </cell>
          <cell r="DJ348">
            <v>1791</v>
          </cell>
          <cell r="DK348">
            <v>1791</v>
          </cell>
          <cell r="DL348">
            <v>1791</v>
          </cell>
          <cell r="DM348">
            <v>1791</v>
          </cell>
          <cell r="DN348">
            <v>1791</v>
          </cell>
          <cell r="DO348">
            <v>1791</v>
          </cell>
          <cell r="DP348">
            <v>1791</v>
          </cell>
          <cell r="DQ348">
            <v>1791</v>
          </cell>
          <cell r="DR348">
            <v>1791</v>
          </cell>
          <cell r="DS348">
            <v>1791</v>
          </cell>
          <cell r="DT348">
            <v>1791</v>
          </cell>
          <cell r="DU348">
            <v>1791</v>
          </cell>
          <cell r="DV348">
            <v>1791</v>
          </cell>
          <cell r="DW348">
            <v>1791</v>
          </cell>
          <cell r="DX348">
            <v>1791</v>
          </cell>
          <cell r="DY348">
            <v>1791</v>
          </cell>
          <cell r="DZ348">
            <v>1791</v>
          </cell>
          <cell r="EA348">
            <v>1791</v>
          </cell>
          <cell r="EB348">
            <v>1791</v>
          </cell>
          <cell r="EC348">
            <v>1791</v>
          </cell>
          <cell r="ED348">
            <v>1791</v>
          </cell>
          <cell r="EE348">
            <v>1791</v>
          </cell>
          <cell r="EF348">
            <v>1791</v>
          </cell>
          <cell r="EG348">
            <v>1791</v>
          </cell>
          <cell r="EH348">
            <v>1791</v>
          </cell>
          <cell r="EI348">
            <v>1791</v>
          </cell>
          <cell r="EJ348">
            <v>1791</v>
          </cell>
          <cell r="EK348">
            <v>1791</v>
          </cell>
          <cell r="EL348">
            <v>1791</v>
          </cell>
          <cell r="EM348">
            <v>1791</v>
          </cell>
          <cell r="EN348">
            <v>1791</v>
          </cell>
          <cell r="EO348">
            <v>1791</v>
          </cell>
          <cell r="EP348">
            <v>244</v>
          </cell>
          <cell r="EQ348">
            <v>244</v>
          </cell>
          <cell r="ER348">
            <v>244</v>
          </cell>
          <cell r="ES348">
            <v>244</v>
          </cell>
          <cell r="ET348">
            <v>244</v>
          </cell>
          <cell r="EU348">
            <v>244</v>
          </cell>
          <cell r="EV348">
            <v>244</v>
          </cell>
          <cell r="EW348">
            <v>244</v>
          </cell>
          <cell r="EX348">
            <v>244</v>
          </cell>
          <cell r="EY348">
            <v>244</v>
          </cell>
          <cell r="EZ348">
            <v>244</v>
          </cell>
          <cell r="FA348">
            <v>244</v>
          </cell>
          <cell r="FB348">
            <v>244</v>
          </cell>
          <cell r="FC348">
            <v>244</v>
          </cell>
          <cell r="FD348">
            <v>244</v>
          </cell>
          <cell r="FE348">
            <v>244</v>
          </cell>
          <cell r="FF348">
            <v>244</v>
          </cell>
          <cell r="FG348">
            <v>244</v>
          </cell>
          <cell r="FH348">
            <v>244</v>
          </cell>
          <cell r="FI348">
            <v>244</v>
          </cell>
          <cell r="FJ348">
            <v>244</v>
          </cell>
          <cell r="FK348">
            <v>244</v>
          </cell>
          <cell r="FL348">
            <v>244</v>
          </cell>
          <cell r="FM348">
            <v>244</v>
          </cell>
          <cell r="FN348">
            <v>244</v>
          </cell>
          <cell r="FO348">
            <v>244</v>
          </cell>
          <cell r="FP348">
            <v>244</v>
          </cell>
          <cell r="FQ348">
            <v>244</v>
          </cell>
          <cell r="FR348">
            <v>244</v>
          </cell>
          <cell r="FS348">
            <v>244</v>
          </cell>
          <cell r="FT348">
            <v>244</v>
          </cell>
          <cell r="FU348">
            <v>244</v>
          </cell>
          <cell r="FV348">
            <v>244</v>
          </cell>
          <cell r="FW348">
            <v>244</v>
          </cell>
          <cell r="FX348">
            <v>244</v>
          </cell>
          <cell r="FY348">
            <v>244</v>
          </cell>
          <cell r="FZ348">
            <v>244</v>
          </cell>
          <cell r="GA348">
            <v>244</v>
          </cell>
          <cell r="GB348">
            <v>244</v>
          </cell>
          <cell r="GC348">
            <v>244</v>
          </cell>
          <cell r="GD348">
            <v>244</v>
          </cell>
          <cell r="GE348">
            <v>244</v>
          </cell>
          <cell r="GF348">
            <v>244</v>
          </cell>
          <cell r="GG348">
            <v>244</v>
          </cell>
          <cell r="GH348">
            <v>244</v>
          </cell>
          <cell r="GI348">
            <v>244</v>
          </cell>
          <cell r="GJ348">
            <v>244</v>
          </cell>
          <cell r="GK348">
            <v>244</v>
          </cell>
          <cell r="GL348">
            <v>244</v>
          </cell>
          <cell r="GM348">
            <v>244</v>
          </cell>
          <cell r="GN348">
            <v>244</v>
          </cell>
          <cell r="GO348">
            <v>244</v>
          </cell>
          <cell r="GP348">
            <v>244</v>
          </cell>
          <cell r="GQ348">
            <v>244</v>
          </cell>
          <cell r="GR348">
            <v>244</v>
          </cell>
          <cell r="GS348">
            <v>244</v>
          </cell>
          <cell r="GT348">
            <v>244</v>
          </cell>
          <cell r="GU348">
            <v>244</v>
          </cell>
          <cell r="GV348">
            <v>244</v>
          </cell>
          <cell r="GW348">
            <v>244</v>
          </cell>
          <cell r="GX348">
            <v>244</v>
          </cell>
          <cell r="GY348">
            <v>244</v>
          </cell>
          <cell r="GZ348">
            <v>244</v>
          </cell>
          <cell r="HA348">
            <v>244</v>
          </cell>
          <cell r="HB348">
            <v>244</v>
          </cell>
          <cell r="HC348">
            <v>244</v>
          </cell>
          <cell r="HD348">
            <v>244</v>
          </cell>
          <cell r="HE348">
            <v>244</v>
          </cell>
          <cell r="HF348">
            <v>244</v>
          </cell>
        </row>
        <row r="377">
          <cell r="N377">
            <v>29652</v>
          </cell>
          <cell r="O377">
            <v>29652</v>
          </cell>
          <cell r="P377">
            <v>29652</v>
          </cell>
          <cell r="Q377">
            <v>29652</v>
          </cell>
          <cell r="R377">
            <v>29652</v>
          </cell>
          <cell r="S377">
            <v>29652</v>
          </cell>
          <cell r="T377">
            <v>29652</v>
          </cell>
          <cell r="U377">
            <v>29652</v>
          </cell>
          <cell r="V377">
            <v>29652</v>
          </cell>
          <cell r="W377">
            <v>29652</v>
          </cell>
          <cell r="X377">
            <v>29652</v>
          </cell>
          <cell r="Y377">
            <v>24402</v>
          </cell>
          <cell r="Z377">
            <v>24402</v>
          </cell>
          <cell r="AA377">
            <v>24402</v>
          </cell>
          <cell r="AB377">
            <v>24402</v>
          </cell>
          <cell r="AC377">
            <v>24402</v>
          </cell>
          <cell r="AD377">
            <v>24402</v>
          </cell>
          <cell r="AE377">
            <v>24402</v>
          </cell>
          <cell r="AF377">
            <v>24402</v>
          </cell>
          <cell r="AG377">
            <v>24402</v>
          </cell>
          <cell r="AH377">
            <v>24402</v>
          </cell>
          <cell r="AI377">
            <v>24402</v>
          </cell>
          <cell r="AJ377">
            <v>24402</v>
          </cell>
          <cell r="AK377">
            <v>24402</v>
          </cell>
          <cell r="AL377">
            <v>24402</v>
          </cell>
          <cell r="AM377">
            <v>24402</v>
          </cell>
          <cell r="AN377">
            <v>24402</v>
          </cell>
          <cell r="AO377">
            <v>24402</v>
          </cell>
          <cell r="AP377">
            <v>24402</v>
          </cell>
          <cell r="AQ377">
            <v>24402</v>
          </cell>
          <cell r="AR377">
            <v>24402</v>
          </cell>
          <cell r="AS377">
            <v>24402</v>
          </cell>
          <cell r="AT377">
            <v>24402</v>
          </cell>
          <cell r="AU377">
            <v>24402</v>
          </cell>
          <cell r="AV377">
            <v>24402</v>
          </cell>
          <cell r="AW377">
            <v>24402</v>
          </cell>
          <cell r="AX377">
            <v>24402</v>
          </cell>
          <cell r="AY377">
            <v>24402</v>
          </cell>
          <cell r="AZ377">
            <v>24402</v>
          </cell>
          <cell r="BA377">
            <v>24402</v>
          </cell>
          <cell r="BB377">
            <v>24402</v>
          </cell>
          <cell r="BC377">
            <v>24402</v>
          </cell>
          <cell r="BD377">
            <v>24402</v>
          </cell>
          <cell r="BE377">
            <v>24402</v>
          </cell>
          <cell r="BF377">
            <v>24402</v>
          </cell>
          <cell r="BG377">
            <v>24402</v>
          </cell>
          <cell r="BH377">
            <v>24402</v>
          </cell>
          <cell r="BI377">
            <v>24402</v>
          </cell>
          <cell r="BJ377">
            <v>24402</v>
          </cell>
          <cell r="BK377">
            <v>24402</v>
          </cell>
          <cell r="BL377">
            <v>24402</v>
          </cell>
          <cell r="BM377">
            <v>24402</v>
          </cell>
          <cell r="BN377">
            <v>24402</v>
          </cell>
          <cell r="BO377">
            <v>24402</v>
          </cell>
          <cell r="BP377">
            <v>24402</v>
          </cell>
          <cell r="BQ377">
            <v>24402</v>
          </cell>
          <cell r="BR377">
            <v>24402</v>
          </cell>
          <cell r="BS377">
            <v>24402</v>
          </cell>
          <cell r="BT377">
            <v>24402</v>
          </cell>
          <cell r="BU377">
            <v>24402</v>
          </cell>
          <cell r="BV377">
            <v>24402</v>
          </cell>
          <cell r="BW377">
            <v>24402</v>
          </cell>
          <cell r="BX377">
            <v>24402</v>
          </cell>
          <cell r="BY377">
            <v>24402</v>
          </cell>
          <cell r="BZ377">
            <v>24402</v>
          </cell>
          <cell r="CA377">
            <v>24402</v>
          </cell>
          <cell r="CB377">
            <v>24402</v>
          </cell>
          <cell r="CC377">
            <v>24402</v>
          </cell>
          <cell r="CD377">
            <v>24402</v>
          </cell>
          <cell r="CE377">
            <v>24402</v>
          </cell>
          <cell r="CF377">
            <v>24402</v>
          </cell>
          <cell r="CG377">
            <v>24402</v>
          </cell>
          <cell r="CH377">
            <v>24402</v>
          </cell>
          <cell r="CI377">
            <v>24402</v>
          </cell>
          <cell r="CJ377">
            <v>24402</v>
          </cell>
          <cell r="CK377">
            <v>24402</v>
          </cell>
          <cell r="CL377">
            <v>24402</v>
          </cell>
          <cell r="CM377">
            <v>24402</v>
          </cell>
          <cell r="CN377">
            <v>24402</v>
          </cell>
          <cell r="CO377">
            <v>24402</v>
          </cell>
          <cell r="CP377">
            <v>24402</v>
          </cell>
          <cell r="CQ377">
            <v>24402</v>
          </cell>
          <cell r="CR377">
            <v>24402</v>
          </cell>
          <cell r="CS377">
            <v>24402</v>
          </cell>
          <cell r="CT377">
            <v>24402</v>
          </cell>
          <cell r="CU377">
            <v>24402</v>
          </cell>
          <cell r="CV377">
            <v>24402</v>
          </cell>
          <cell r="CW377">
            <v>24402</v>
          </cell>
          <cell r="CX377">
            <v>24402</v>
          </cell>
          <cell r="CY377">
            <v>24402</v>
          </cell>
          <cell r="CZ377">
            <v>24402</v>
          </cell>
          <cell r="DA377">
            <v>24402</v>
          </cell>
          <cell r="DB377">
            <v>24402</v>
          </cell>
          <cell r="DC377">
            <v>24402</v>
          </cell>
          <cell r="DD377">
            <v>24402</v>
          </cell>
          <cell r="DE377">
            <v>24402</v>
          </cell>
          <cell r="DF377">
            <v>9631</v>
          </cell>
          <cell r="DG377">
            <v>9631</v>
          </cell>
          <cell r="DH377">
            <v>9631</v>
          </cell>
          <cell r="DI377">
            <v>9631</v>
          </cell>
          <cell r="DJ377">
            <v>9631</v>
          </cell>
          <cell r="DK377">
            <v>9631</v>
          </cell>
          <cell r="DL377">
            <v>9631</v>
          </cell>
          <cell r="DM377">
            <v>9631</v>
          </cell>
          <cell r="DN377">
            <v>9631</v>
          </cell>
          <cell r="DO377">
            <v>9631</v>
          </cell>
          <cell r="DP377">
            <v>9631</v>
          </cell>
          <cell r="DQ377">
            <v>9631</v>
          </cell>
          <cell r="DR377">
            <v>9631</v>
          </cell>
          <cell r="DS377">
            <v>9631</v>
          </cell>
          <cell r="DT377">
            <v>2408</v>
          </cell>
          <cell r="DU377">
            <v>2408</v>
          </cell>
          <cell r="DV377">
            <v>2408</v>
          </cell>
          <cell r="DW377">
            <v>2408</v>
          </cell>
          <cell r="DX377">
            <v>2408</v>
          </cell>
          <cell r="DY377">
            <v>2408</v>
          </cell>
          <cell r="DZ377">
            <v>2408</v>
          </cell>
          <cell r="EA377">
            <v>2408</v>
          </cell>
          <cell r="EB377">
            <v>2408</v>
          </cell>
          <cell r="EC377">
            <v>2408</v>
          </cell>
          <cell r="ED377">
            <v>2408</v>
          </cell>
          <cell r="EE377">
            <v>2408</v>
          </cell>
          <cell r="EF377">
            <v>2408</v>
          </cell>
          <cell r="EG377">
            <v>2408</v>
          </cell>
          <cell r="EH377">
            <v>2408</v>
          </cell>
          <cell r="EI377">
            <v>2408</v>
          </cell>
          <cell r="EJ377">
            <v>2408</v>
          </cell>
          <cell r="EK377">
            <v>2408</v>
          </cell>
          <cell r="EL377">
            <v>2408</v>
          </cell>
          <cell r="EM377">
            <v>2408</v>
          </cell>
          <cell r="EN377">
            <v>2408</v>
          </cell>
          <cell r="EO377">
            <v>2408</v>
          </cell>
          <cell r="EP377">
            <v>2408</v>
          </cell>
          <cell r="EQ377">
            <v>2408</v>
          </cell>
          <cell r="ER377">
            <v>2408</v>
          </cell>
          <cell r="ES377">
            <v>2408</v>
          </cell>
          <cell r="ET377">
            <v>2408</v>
          </cell>
          <cell r="EU377">
            <v>2408</v>
          </cell>
          <cell r="EV377">
            <v>2408</v>
          </cell>
          <cell r="EW377">
            <v>2408</v>
          </cell>
          <cell r="EX377">
            <v>2408</v>
          </cell>
          <cell r="EY377">
            <v>2408</v>
          </cell>
          <cell r="EZ377">
            <v>2408</v>
          </cell>
          <cell r="FA377">
            <v>2408</v>
          </cell>
          <cell r="FB377">
            <v>2408</v>
          </cell>
          <cell r="FC377">
            <v>2408</v>
          </cell>
          <cell r="FD377">
            <v>2408</v>
          </cell>
          <cell r="FE377">
            <v>2408</v>
          </cell>
          <cell r="FF377">
            <v>2408</v>
          </cell>
          <cell r="FG377">
            <v>2408</v>
          </cell>
          <cell r="FH377">
            <v>2408</v>
          </cell>
          <cell r="FI377">
            <v>2408</v>
          </cell>
          <cell r="FJ377">
            <v>2408</v>
          </cell>
          <cell r="FK377">
            <v>2408</v>
          </cell>
          <cell r="FL377">
            <v>2408</v>
          </cell>
          <cell r="FM377">
            <v>2408</v>
          </cell>
          <cell r="FN377">
            <v>2408</v>
          </cell>
          <cell r="FO377">
            <v>0</v>
          </cell>
          <cell r="FP377">
            <v>0</v>
          </cell>
          <cell r="FQ377">
            <v>0</v>
          </cell>
          <cell r="FR377">
            <v>0</v>
          </cell>
          <cell r="FS377">
            <v>0</v>
          </cell>
          <cell r="FT377">
            <v>0</v>
          </cell>
          <cell r="FU377">
            <v>0</v>
          </cell>
          <cell r="FV377">
            <v>0</v>
          </cell>
          <cell r="FW377">
            <v>0</v>
          </cell>
          <cell r="FX377">
            <v>0</v>
          </cell>
          <cell r="FY377">
            <v>0</v>
          </cell>
          <cell r="FZ377">
            <v>0</v>
          </cell>
          <cell r="GA377">
            <v>0</v>
          </cell>
          <cell r="GB377">
            <v>0</v>
          </cell>
          <cell r="GC377">
            <v>0</v>
          </cell>
          <cell r="GD377">
            <v>0</v>
          </cell>
          <cell r="GE377">
            <v>0</v>
          </cell>
          <cell r="GF377">
            <v>0</v>
          </cell>
          <cell r="GG377">
            <v>0</v>
          </cell>
          <cell r="GH377">
            <v>0</v>
          </cell>
          <cell r="GI377">
            <v>0</v>
          </cell>
          <cell r="GJ377">
            <v>0</v>
          </cell>
          <cell r="GK377">
            <v>0</v>
          </cell>
          <cell r="GL377">
            <v>0</v>
          </cell>
          <cell r="GM377">
            <v>0</v>
          </cell>
          <cell r="GN377">
            <v>0</v>
          </cell>
          <cell r="GO377">
            <v>0</v>
          </cell>
          <cell r="GP377">
            <v>0</v>
          </cell>
          <cell r="GQ377">
            <v>0</v>
          </cell>
          <cell r="GR377">
            <v>0</v>
          </cell>
          <cell r="GS377">
            <v>0</v>
          </cell>
          <cell r="GT377">
            <v>0</v>
          </cell>
          <cell r="GU377">
            <v>0</v>
          </cell>
          <cell r="GV377">
            <v>0</v>
          </cell>
          <cell r="GW377">
            <v>0</v>
          </cell>
          <cell r="GX377">
            <v>0</v>
          </cell>
          <cell r="GY377">
            <v>0</v>
          </cell>
          <cell r="GZ377">
            <v>0</v>
          </cell>
          <cell r="HA377">
            <v>0</v>
          </cell>
          <cell r="HB377">
            <v>0</v>
          </cell>
          <cell r="HC377">
            <v>0</v>
          </cell>
          <cell r="HD377">
            <v>0</v>
          </cell>
          <cell r="HE377">
            <v>0</v>
          </cell>
          <cell r="HF377">
            <v>0</v>
          </cell>
        </row>
        <row r="421">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cell r="BM421">
            <v>0</v>
          </cell>
          <cell r="BN421">
            <v>0</v>
          </cell>
          <cell r="BO421">
            <v>0</v>
          </cell>
          <cell r="BP421">
            <v>0</v>
          </cell>
          <cell r="BQ421">
            <v>0</v>
          </cell>
          <cell r="BR421">
            <v>0</v>
          </cell>
          <cell r="BS421">
            <v>0</v>
          </cell>
          <cell r="BT421">
            <v>0</v>
          </cell>
          <cell r="BU421">
            <v>0</v>
          </cell>
          <cell r="BV421">
            <v>0</v>
          </cell>
          <cell r="BW421">
            <v>0</v>
          </cell>
          <cell r="BX421">
            <v>0</v>
          </cell>
          <cell r="BY421">
            <v>0</v>
          </cell>
          <cell r="BZ421">
            <v>0</v>
          </cell>
          <cell r="CA421">
            <v>0</v>
          </cell>
          <cell r="CB421">
            <v>0</v>
          </cell>
          <cell r="CC421">
            <v>0</v>
          </cell>
          <cell r="CD421">
            <v>0</v>
          </cell>
          <cell r="CE421">
            <v>0</v>
          </cell>
          <cell r="CF421">
            <v>0</v>
          </cell>
          <cell r="CG421">
            <v>0</v>
          </cell>
          <cell r="CH421">
            <v>0</v>
          </cell>
          <cell r="CI421">
            <v>0</v>
          </cell>
          <cell r="CJ421">
            <v>0</v>
          </cell>
          <cell r="CK421">
            <v>0</v>
          </cell>
          <cell r="CL421">
            <v>0</v>
          </cell>
          <cell r="CM421">
            <v>0</v>
          </cell>
          <cell r="CN421">
            <v>0</v>
          </cell>
          <cell r="CO421">
            <v>0</v>
          </cell>
          <cell r="CP421">
            <v>0</v>
          </cell>
          <cell r="CQ421">
            <v>0</v>
          </cell>
          <cell r="CR421">
            <v>0</v>
          </cell>
          <cell r="CS421">
            <v>0</v>
          </cell>
          <cell r="CT421">
            <v>0</v>
          </cell>
          <cell r="CU421">
            <v>0</v>
          </cell>
          <cell r="CV421">
            <v>0</v>
          </cell>
          <cell r="CW421">
            <v>0</v>
          </cell>
          <cell r="CX421">
            <v>0</v>
          </cell>
          <cell r="CY421">
            <v>0</v>
          </cell>
          <cell r="CZ421">
            <v>0</v>
          </cell>
          <cell r="DA421">
            <v>0</v>
          </cell>
          <cell r="DB421">
            <v>0</v>
          </cell>
          <cell r="DC421">
            <v>0</v>
          </cell>
          <cell r="DD421">
            <v>0</v>
          </cell>
          <cell r="DE421">
            <v>0</v>
          </cell>
          <cell r="DF421">
            <v>14579</v>
          </cell>
          <cell r="DG421">
            <v>14579</v>
          </cell>
          <cell r="DH421">
            <v>14579</v>
          </cell>
          <cell r="DI421">
            <v>14579</v>
          </cell>
          <cell r="DJ421">
            <v>14579</v>
          </cell>
          <cell r="DK421">
            <v>14579</v>
          </cell>
          <cell r="DL421">
            <v>14579</v>
          </cell>
          <cell r="DM421">
            <v>14579</v>
          </cell>
          <cell r="DN421">
            <v>14579</v>
          </cell>
          <cell r="DO421">
            <v>14579</v>
          </cell>
          <cell r="DP421">
            <v>14579</v>
          </cell>
          <cell r="DQ421">
            <v>14579</v>
          </cell>
          <cell r="DR421">
            <v>14579</v>
          </cell>
          <cell r="DS421">
            <v>14579</v>
          </cell>
          <cell r="DT421">
            <v>21802</v>
          </cell>
          <cell r="DU421">
            <v>21802</v>
          </cell>
          <cell r="DV421">
            <v>21802</v>
          </cell>
          <cell r="DW421">
            <v>21802</v>
          </cell>
          <cell r="DX421">
            <v>21802</v>
          </cell>
          <cell r="DY421">
            <v>21802</v>
          </cell>
          <cell r="DZ421">
            <v>21802</v>
          </cell>
          <cell r="EA421">
            <v>21466</v>
          </cell>
          <cell r="EB421">
            <v>21466</v>
          </cell>
          <cell r="EC421">
            <v>21466</v>
          </cell>
          <cell r="ED421">
            <v>21466</v>
          </cell>
          <cell r="EE421">
            <v>21466</v>
          </cell>
          <cell r="EF421">
            <v>21466</v>
          </cell>
          <cell r="EG421">
            <v>21466</v>
          </cell>
          <cell r="EH421">
            <v>21466</v>
          </cell>
          <cell r="EI421">
            <v>21466</v>
          </cell>
          <cell r="EJ421">
            <v>21466</v>
          </cell>
          <cell r="EK421">
            <v>21418</v>
          </cell>
          <cell r="EL421">
            <v>21418</v>
          </cell>
          <cell r="EM421">
            <v>21418</v>
          </cell>
          <cell r="EN421">
            <v>21418</v>
          </cell>
          <cell r="EO421">
            <v>21418</v>
          </cell>
          <cell r="EP421">
            <v>21418</v>
          </cell>
          <cell r="EQ421">
            <v>21418</v>
          </cell>
          <cell r="ER421">
            <v>21418</v>
          </cell>
          <cell r="ES421">
            <v>21418</v>
          </cell>
          <cell r="ET421">
            <v>21418</v>
          </cell>
          <cell r="EU421">
            <v>21418</v>
          </cell>
          <cell r="EV421">
            <v>21418</v>
          </cell>
          <cell r="EW421">
            <v>21418</v>
          </cell>
          <cell r="EX421">
            <v>21418</v>
          </cell>
          <cell r="EY421">
            <v>21418</v>
          </cell>
          <cell r="EZ421">
            <v>21418</v>
          </cell>
          <cell r="FA421">
            <v>21418</v>
          </cell>
          <cell r="FB421">
            <v>21298</v>
          </cell>
          <cell r="FC421">
            <v>21298</v>
          </cell>
          <cell r="FD421">
            <v>21298</v>
          </cell>
          <cell r="FE421">
            <v>21298</v>
          </cell>
          <cell r="FF421">
            <v>21298</v>
          </cell>
          <cell r="FG421">
            <v>21298</v>
          </cell>
          <cell r="FH421">
            <v>21298</v>
          </cell>
          <cell r="FI421">
            <v>21298</v>
          </cell>
          <cell r="FJ421">
            <v>21298</v>
          </cell>
          <cell r="FK421">
            <v>21298</v>
          </cell>
          <cell r="FL421">
            <v>21298</v>
          </cell>
          <cell r="FM421">
            <v>21298</v>
          </cell>
          <cell r="FN421">
            <v>21298</v>
          </cell>
          <cell r="FO421">
            <v>23706</v>
          </cell>
          <cell r="FP421">
            <v>23706</v>
          </cell>
          <cell r="FQ421">
            <v>23706</v>
          </cell>
          <cell r="FR421">
            <v>23706</v>
          </cell>
          <cell r="FS421">
            <v>23634</v>
          </cell>
          <cell r="FT421">
            <v>23634</v>
          </cell>
          <cell r="FU421">
            <v>23634</v>
          </cell>
          <cell r="FV421">
            <v>23634</v>
          </cell>
          <cell r="FW421">
            <v>23634</v>
          </cell>
          <cell r="FX421">
            <v>23634</v>
          </cell>
          <cell r="FY421">
            <v>23634</v>
          </cell>
          <cell r="FZ421">
            <v>23634</v>
          </cell>
          <cell r="GA421">
            <v>23634</v>
          </cell>
          <cell r="GB421">
            <v>23634</v>
          </cell>
          <cell r="GC421">
            <v>23634</v>
          </cell>
          <cell r="GD421">
            <v>23634</v>
          </cell>
          <cell r="GE421">
            <v>23634</v>
          </cell>
          <cell r="GF421">
            <v>23634</v>
          </cell>
          <cell r="GG421">
            <v>23634</v>
          </cell>
          <cell r="GH421">
            <v>23634</v>
          </cell>
          <cell r="GI421">
            <v>23634</v>
          </cell>
          <cell r="GJ421">
            <v>23634</v>
          </cell>
          <cell r="GK421">
            <v>23538</v>
          </cell>
          <cell r="GL421">
            <v>23538</v>
          </cell>
          <cell r="GM421">
            <v>23538</v>
          </cell>
          <cell r="GN421">
            <v>23538</v>
          </cell>
          <cell r="GO421">
            <v>23538</v>
          </cell>
          <cell r="GP421">
            <v>23538</v>
          </cell>
          <cell r="GQ421">
            <v>23538</v>
          </cell>
          <cell r="GR421">
            <v>23538</v>
          </cell>
          <cell r="GS421">
            <v>23538</v>
          </cell>
          <cell r="GT421">
            <v>23538</v>
          </cell>
          <cell r="GU421">
            <v>23538</v>
          </cell>
          <cell r="GV421">
            <v>23538</v>
          </cell>
          <cell r="GW421">
            <v>23538</v>
          </cell>
          <cell r="GX421">
            <v>0</v>
          </cell>
          <cell r="GY421">
            <v>0</v>
          </cell>
          <cell r="GZ421">
            <v>0</v>
          </cell>
          <cell r="HA421">
            <v>0</v>
          </cell>
          <cell r="HB421">
            <v>0</v>
          </cell>
          <cell r="HC421">
            <v>0</v>
          </cell>
          <cell r="HD421">
            <v>0</v>
          </cell>
          <cell r="HE421">
            <v>0</v>
          </cell>
          <cell r="HF421">
            <v>0</v>
          </cell>
        </row>
        <row r="464">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cell r="BM464">
            <v>0</v>
          </cell>
          <cell r="BN464">
            <v>0</v>
          </cell>
          <cell r="BO464">
            <v>0</v>
          </cell>
          <cell r="BP464">
            <v>0</v>
          </cell>
          <cell r="BQ464">
            <v>0</v>
          </cell>
          <cell r="BR464">
            <v>0</v>
          </cell>
          <cell r="BS464">
            <v>0</v>
          </cell>
          <cell r="BT464">
            <v>0</v>
          </cell>
          <cell r="BU464">
            <v>0</v>
          </cell>
          <cell r="BV464">
            <v>0</v>
          </cell>
          <cell r="BW464">
            <v>0</v>
          </cell>
          <cell r="BX464">
            <v>0</v>
          </cell>
          <cell r="BY464">
            <v>0</v>
          </cell>
          <cell r="BZ464">
            <v>0</v>
          </cell>
          <cell r="CA464">
            <v>0</v>
          </cell>
          <cell r="CB464">
            <v>0</v>
          </cell>
          <cell r="CC464">
            <v>0</v>
          </cell>
          <cell r="CD464">
            <v>0</v>
          </cell>
          <cell r="CE464">
            <v>0</v>
          </cell>
          <cell r="CF464">
            <v>0</v>
          </cell>
          <cell r="CG464">
            <v>0</v>
          </cell>
          <cell r="CH464">
            <v>0</v>
          </cell>
          <cell r="CI464">
            <v>0</v>
          </cell>
          <cell r="CJ464">
            <v>0</v>
          </cell>
          <cell r="CK464">
            <v>0</v>
          </cell>
          <cell r="CL464">
            <v>0</v>
          </cell>
          <cell r="CM464">
            <v>0</v>
          </cell>
          <cell r="CN464">
            <v>0</v>
          </cell>
          <cell r="CO464">
            <v>0</v>
          </cell>
          <cell r="CP464">
            <v>0</v>
          </cell>
          <cell r="CQ464">
            <v>0</v>
          </cell>
          <cell r="CR464">
            <v>0</v>
          </cell>
          <cell r="CS464">
            <v>0</v>
          </cell>
          <cell r="CT464">
            <v>0</v>
          </cell>
          <cell r="CU464">
            <v>0</v>
          </cell>
          <cell r="CV464">
            <v>0</v>
          </cell>
          <cell r="CW464">
            <v>0</v>
          </cell>
          <cell r="CX464">
            <v>0</v>
          </cell>
          <cell r="CY464">
            <v>0</v>
          </cell>
          <cell r="CZ464">
            <v>0</v>
          </cell>
          <cell r="DA464">
            <v>0</v>
          </cell>
          <cell r="DB464">
            <v>0</v>
          </cell>
          <cell r="DC464">
            <v>0</v>
          </cell>
          <cell r="DD464">
            <v>0</v>
          </cell>
          <cell r="DE464">
            <v>0</v>
          </cell>
          <cell r="DF464">
            <v>0</v>
          </cell>
          <cell r="DG464">
            <v>0</v>
          </cell>
          <cell r="DH464">
            <v>0</v>
          </cell>
          <cell r="DI464">
            <v>0</v>
          </cell>
          <cell r="DJ464">
            <v>0</v>
          </cell>
          <cell r="DK464">
            <v>3629</v>
          </cell>
          <cell r="DL464">
            <v>3604</v>
          </cell>
          <cell r="DM464">
            <v>3579</v>
          </cell>
          <cell r="DN464">
            <v>3554</v>
          </cell>
          <cell r="DO464">
            <v>3503</v>
          </cell>
          <cell r="DP464">
            <v>3477</v>
          </cell>
          <cell r="DQ464">
            <v>3450</v>
          </cell>
          <cell r="DR464">
            <v>3423</v>
          </cell>
          <cell r="DS464">
            <v>3370</v>
          </cell>
          <cell r="DT464">
            <v>3341</v>
          </cell>
          <cell r="DU464">
            <v>3313</v>
          </cell>
          <cell r="DV464">
            <v>3284</v>
          </cell>
          <cell r="DW464">
            <v>3228</v>
          </cell>
          <cell r="DX464">
            <v>3198</v>
          </cell>
          <cell r="DY464">
            <v>3168</v>
          </cell>
          <cell r="DZ464">
            <v>3137</v>
          </cell>
          <cell r="EA464">
            <v>3106</v>
          </cell>
          <cell r="EB464">
            <v>3047</v>
          </cell>
          <cell r="EC464">
            <v>3015</v>
          </cell>
          <cell r="ED464">
            <v>2982</v>
          </cell>
          <cell r="EE464">
            <v>2949</v>
          </cell>
          <cell r="EF464">
            <v>2887</v>
          </cell>
          <cell r="EG464">
            <v>2853</v>
          </cell>
          <cell r="EH464">
            <v>2819</v>
          </cell>
          <cell r="EI464">
            <v>2784</v>
          </cell>
          <cell r="EJ464">
            <v>2720</v>
          </cell>
          <cell r="EK464">
            <v>2684</v>
          </cell>
          <cell r="EL464">
            <v>2648</v>
          </cell>
          <cell r="EM464">
            <v>2611</v>
          </cell>
          <cell r="EN464">
            <v>2544</v>
          </cell>
          <cell r="EO464">
            <v>2507</v>
          </cell>
          <cell r="EP464">
            <v>2469</v>
          </cell>
          <cell r="EQ464">
            <v>2431</v>
          </cell>
          <cell r="ER464">
            <v>2361</v>
          </cell>
          <cell r="ES464">
            <v>2322</v>
          </cell>
          <cell r="ET464">
            <v>2282</v>
          </cell>
          <cell r="EU464">
            <v>2242</v>
          </cell>
          <cell r="EV464">
            <v>2170</v>
          </cell>
          <cell r="EW464">
            <v>2129</v>
          </cell>
          <cell r="EX464">
            <v>2087</v>
          </cell>
          <cell r="EY464">
            <v>2045</v>
          </cell>
          <cell r="EZ464">
            <v>1970</v>
          </cell>
          <cell r="FA464">
            <v>1927</v>
          </cell>
          <cell r="FB464">
            <v>1884</v>
          </cell>
          <cell r="FC464">
            <v>1840</v>
          </cell>
          <cell r="FD464">
            <v>1763</v>
          </cell>
          <cell r="FE464">
            <v>1718</v>
          </cell>
          <cell r="FF464">
            <v>1673</v>
          </cell>
          <cell r="FG464">
            <v>1627</v>
          </cell>
          <cell r="FH464">
            <v>1547</v>
          </cell>
          <cell r="FI464">
            <v>1501</v>
          </cell>
          <cell r="FJ464">
            <v>1454</v>
          </cell>
          <cell r="FK464">
            <v>1407</v>
          </cell>
          <cell r="FL464">
            <v>1324</v>
          </cell>
          <cell r="FM464">
            <v>1276</v>
          </cell>
          <cell r="FN464">
            <v>1227</v>
          </cell>
          <cell r="FO464">
            <v>1178</v>
          </cell>
          <cell r="FP464">
            <v>1093</v>
          </cell>
          <cell r="FQ464">
            <v>1043</v>
          </cell>
          <cell r="FR464">
            <v>992</v>
          </cell>
          <cell r="FS464">
            <v>941</v>
          </cell>
          <cell r="FT464">
            <v>853</v>
          </cell>
          <cell r="FU464">
            <v>801</v>
          </cell>
          <cell r="FV464">
            <v>749</v>
          </cell>
          <cell r="FW464">
            <v>696</v>
          </cell>
          <cell r="FX464">
            <v>606</v>
          </cell>
          <cell r="FY464">
            <v>552</v>
          </cell>
          <cell r="FZ464">
            <v>498</v>
          </cell>
          <cell r="GA464">
            <v>443</v>
          </cell>
          <cell r="GB464">
            <v>350</v>
          </cell>
          <cell r="GC464">
            <v>295</v>
          </cell>
          <cell r="GD464">
            <v>239</v>
          </cell>
          <cell r="GE464">
            <v>183</v>
          </cell>
          <cell r="GF464">
            <v>87</v>
          </cell>
          <cell r="GG464">
            <v>30</v>
          </cell>
          <cell r="GH464">
            <v>0</v>
          </cell>
          <cell r="GI464">
            <v>0</v>
          </cell>
          <cell r="GJ464">
            <v>0</v>
          </cell>
          <cell r="GK464">
            <v>0</v>
          </cell>
          <cell r="GL464">
            <v>0</v>
          </cell>
          <cell r="GM464">
            <v>0</v>
          </cell>
          <cell r="GN464">
            <v>0</v>
          </cell>
          <cell r="GO464">
            <v>0</v>
          </cell>
          <cell r="GP464">
            <v>0</v>
          </cell>
          <cell r="GQ464">
            <v>0</v>
          </cell>
          <cell r="GR464">
            <v>0</v>
          </cell>
          <cell r="GS464">
            <v>0</v>
          </cell>
          <cell r="GT464">
            <v>0</v>
          </cell>
          <cell r="GU464">
            <v>0</v>
          </cell>
          <cell r="GV464">
            <v>0</v>
          </cell>
          <cell r="GW464">
            <v>0</v>
          </cell>
          <cell r="GX464">
            <v>13599</v>
          </cell>
          <cell r="GY464">
            <v>13534</v>
          </cell>
          <cell r="GZ464">
            <v>13468</v>
          </cell>
          <cell r="HA464">
            <v>13359</v>
          </cell>
          <cell r="HB464">
            <v>13292</v>
          </cell>
          <cell r="HC464">
            <v>13225</v>
          </cell>
          <cell r="HD464">
            <v>13157</v>
          </cell>
          <cell r="HE464">
            <v>13046</v>
          </cell>
          <cell r="HF464">
            <v>12977</v>
          </cell>
        </row>
        <row r="594">
          <cell r="N594">
            <v>0</v>
          </cell>
          <cell r="O594">
            <v>9342</v>
          </cell>
          <cell r="P594">
            <v>9328</v>
          </cell>
          <cell r="Q594">
            <v>9314</v>
          </cell>
          <cell r="R594">
            <v>9300</v>
          </cell>
          <cell r="S594">
            <v>9286</v>
          </cell>
          <cell r="T594">
            <v>29136</v>
          </cell>
          <cell r="U594">
            <v>29122</v>
          </cell>
          <cell r="V594">
            <v>29108</v>
          </cell>
          <cell r="W594">
            <v>29094</v>
          </cell>
          <cell r="X594">
            <v>29080</v>
          </cell>
          <cell r="Y594">
            <v>29066</v>
          </cell>
          <cell r="Z594">
            <v>29052</v>
          </cell>
          <cell r="AA594">
            <v>29038</v>
          </cell>
          <cell r="AB594">
            <v>29025</v>
          </cell>
          <cell r="AC594">
            <v>29011</v>
          </cell>
          <cell r="AD594">
            <v>28997</v>
          </cell>
          <cell r="AE594">
            <v>28983</v>
          </cell>
          <cell r="AF594">
            <v>28969</v>
          </cell>
          <cell r="AG594">
            <v>28955</v>
          </cell>
          <cell r="AH594">
            <v>28941</v>
          </cell>
          <cell r="AI594">
            <v>28927</v>
          </cell>
          <cell r="AJ594">
            <v>28914</v>
          </cell>
          <cell r="AK594">
            <v>28504</v>
          </cell>
          <cell r="AL594">
            <v>28481</v>
          </cell>
          <cell r="AM594">
            <v>28457</v>
          </cell>
          <cell r="AN594">
            <v>28434</v>
          </cell>
          <cell r="AO594">
            <v>28411</v>
          </cell>
          <cell r="AP594">
            <v>28388</v>
          </cell>
          <cell r="AQ594">
            <v>28365</v>
          </cell>
          <cell r="AR594">
            <v>28342</v>
          </cell>
          <cell r="AS594">
            <v>28319</v>
          </cell>
          <cell r="AT594">
            <v>28296</v>
          </cell>
          <cell r="AU594">
            <v>28272</v>
          </cell>
          <cell r="AV594">
            <v>28249</v>
          </cell>
          <cell r="AW594">
            <v>28226</v>
          </cell>
          <cell r="AX594">
            <v>28203</v>
          </cell>
          <cell r="AY594">
            <v>28180</v>
          </cell>
          <cell r="AZ594">
            <v>28157</v>
          </cell>
          <cell r="BA594">
            <v>28134</v>
          </cell>
          <cell r="BB594">
            <v>28111</v>
          </cell>
          <cell r="BC594">
            <v>28087</v>
          </cell>
          <cell r="BD594">
            <v>28064</v>
          </cell>
          <cell r="BE594">
            <v>28041</v>
          </cell>
          <cell r="BF594">
            <v>28018</v>
          </cell>
          <cell r="BG594">
            <v>27995</v>
          </cell>
          <cell r="BH594">
            <v>27972</v>
          </cell>
          <cell r="BI594">
            <v>27949</v>
          </cell>
          <cell r="BJ594">
            <v>27926</v>
          </cell>
          <cell r="BK594">
            <v>27902</v>
          </cell>
          <cell r="BL594">
            <v>27879</v>
          </cell>
          <cell r="BM594">
            <v>27856</v>
          </cell>
          <cell r="BN594">
            <v>27833</v>
          </cell>
          <cell r="BO594">
            <v>27810</v>
          </cell>
          <cell r="BP594">
            <v>27787</v>
          </cell>
          <cell r="BQ594">
            <v>27764</v>
          </cell>
          <cell r="BR594">
            <v>27741</v>
          </cell>
          <cell r="BS594">
            <v>27717</v>
          </cell>
          <cell r="BT594">
            <v>27694</v>
          </cell>
          <cell r="BU594">
            <v>27671</v>
          </cell>
          <cell r="BV594">
            <v>27648</v>
          </cell>
          <cell r="BW594">
            <v>27625</v>
          </cell>
          <cell r="BX594">
            <v>27602</v>
          </cell>
          <cell r="BY594">
            <v>27579</v>
          </cell>
          <cell r="BZ594">
            <v>27556</v>
          </cell>
          <cell r="CA594">
            <v>26748</v>
          </cell>
          <cell r="CB594">
            <v>26716</v>
          </cell>
          <cell r="CC594">
            <v>26683</v>
          </cell>
          <cell r="CD594">
            <v>26651</v>
          </cell>
          <cell r="CE594">
            <v>26619</v>
          </cell>
          <cell r="CF594">
            <v>26586</v>
          </cell>
          <cell r="CG594">
            <v>26554</v>
          </cell>
          <cell r="CH594">
            <v>26521</v>
          </cell>
          <cell r="CI594">
            <v>26489</v>
          </cell>
          <cell r="CJ594">
            <v>26457</v>
          </cell>
          <cell r="CK594">
            <v>26424</v>
          </cell>
          <cell r="CL594">
            <v>26392</v>
          </cell>
          <cell r="CM594">
            <v>26360</v>
          </cell>
          <cell r="CN594">
            <v>26327</v>
          </cell>
          <cell r="CO594">
            <v>26295</v>
          </cell>
          <cell r="CP594">
            <v>26262</v>
          </cell>
          <cell r="CQ594">
            <v>26230</v>
          </cell>
          <cell r="CR594">
            <v>26198</v>
          </cell>
          <cell r="CS594">
            <v>26165</v>
          </cell>
          <cell r="CT594">
            <v>26133</v>
          </cell>
          <cell r="CU594">
            <v>26101</v>
          </cell>
          <cell r="CV594">
            <v>26068</v>
          </cell>
          <cell r="CW594">
            <v>26036</v>
          </cell>
          <cell r="CX594">
            <v>26003</v>
          </cell>
          <cell r="CY594">
            <v>25971</v>
          </cell>
          <cell r="CZ594">
            <v>25939</v>
          </cell>
          <cell r="DA594">
            <v>25906</v>
          </cell>
          <cell r="DB594">
            <v>25874</v>
          </cell>
          <cell r="DC594">
            <v>25842</v>
          </cell>
          <cell r="DD594">
            <v>25809</v>
          </cell>
          <cell r="DE594">
            <v>25777</v>
          </cell>
          <cell r="DF594">
            <v>25744</v>
          </cell>
          <cell r="DG594">
            <v>25712</v>
          </cell>
          <cell r="DH594">
            <v>25680</v>
          </cell>
          <cell r="DI594">
            <v>25647</v>
          </cell>
          <cell r="DJ594">
            <v>25615</v>
          </cell>
          <cell r="DK594">
            <v>25583</v>
          </cell>
          <cell r="DL594">
            <v>25550</v>
          </cell>
          <cell r="DM594">
            <v>25518</v>
          </cell>
          <cell r="DN594">
            <v>25485</v>
          </cell>
          <cell r="DO594">
            <v>25453</v>
          </cell>
          <cell r="DP594">
            <v>25421</v>
          </cell>
          <cell r="DQ594">
            <v>25388</v>
          </cell>
          <cell r="DR594">
            <v>25356</v>
          </cell>
          <cell r="DS594">
            <v>25324</v>
          </cell>
          <cell r="DT594">
            <v>25291</v>
          </cell>
          <cell r="DU594">
            <v>25259</v>
          </cell>
          <cell r="DV594">
            <v>25226</v>
          </cell>
          <cell r="DW594">
            <v>25194</v>
          </cell>
          <cell r="DX594">
            <v>25162</v>
          </cell>
          <cell r="DY594">
            <v>25129</v>
          </cell>
          <cell r="DZ594">
            <v>25097</v>
          </cell>
          <cell r="EA594">
            <v>25065</v>
          </cell>
          <cell r="EB594">
            <v>25032</v>
          </cell>
          <cell r="EC594">
            <v>25000</v>
          </cell>
          <cell r="ED594">
            <v>24967</v>
          </cell>
          <cell r="EE594">
            <v>24935</v>
          </cell>
          <cell r="EF594">
            <v>24903</v>
          </cell>
          <cell r="EG594">
            <v>24870</v>
          </cell>
          <cell r="EH594">
            <v>24838</v>
          </cell>
          <cell r="EI594">
            <v>24806</v>
          </cell>
          <cell r="EJ594">
            <v>24773</v>
          </cell>
          <cell r="EK594">
            <v>24741</v>
          </cell>
          <cell r="EL594">
            <v>24708</v>
          </cell>
          <cell r="EM594">
            <v>24676</v>
          </cell>
          <cell r="EN594">
            <v>24644</v>
          </cell>
          <cell r="EO594">
            <v>24611</v>
          </cell>
          <cell r="EP594">
            <v>24579</v>
          </cell>
          <cell r="EQ594">
            <v>24547</v>
          </cell>
          <cell r="ER594">
            <v>24514</v>
          </cell>
          <cell r="ES594">
            <v>24482</v>
          </cell>
          <cell r="ET594">
            <v>24449</v>
          </cell>
          <cell r="EU594">
            <v>24417</v>
          </cell>
          <cell r="EV594">
            <v>24385</v>
          </cell>
          <cell r="EW594">
            <v>24352</v>
          </cell>
          <cell r="EX594">
            <v>24320</v>
          </cell>
          <cell r="EY594">
            <v>24288</v>
          </cell>
          <cell r="EZ594">
            <v>24255</v>
          </cell>
          <cell r="FA594">
            <v>24223</v>
          </cell>
          <cell r="FB594">
            <v>24190</v>
          </cell>
          <cell r="FC594">
            <v>24158</v>
          </cell>
          <cell r="FD594">
            <v>24126</v>
          </cell>
          <cell r="FE594">
            <v>24093</v>
          </cell>
          <cell r="FF594">
            <v>24061</v>
          </cell>
          <cell r="FG594">
            <v>24029</v>
          </cell>
          <cell r="FH594">
            <v>23996</v>
          </cell>
          <cell r="FI594">
            <v>23964</v>
          </cell>
          <cell r="FJ594">
            <v>23931</v>
          </cell>
          <cell r="FK594">
            <v>23899</v>
          </cell>
          <cell r="FL594">
            <v>23867</v>
          </cell>
          <cell r="FM594">
            <v>23834</v>
          </cell>
          <cell r="FN594">
            <v>23802</v>
          </cell>
          <cell r="FO594">
            <v>23770</v>
          </cell>
          <cell r="FP594">
            <v>23737</v>
          </cell>
          <cell r="FQ594">
            <v>23705</v>
          </cell>
          <cell r="FR594">
            <v>23672</v>
          </cell>
          <cell r="FS594">
            <v>23640</v>
          </cell>
          <cell r="FT594">
            <v>23608</v>
          </cell>
          <cell r="FU594">
            <v>23575</v>
          </cell>
          <cell r="FV594">
            <v>23543</v>
          </cell>
          <cell r="FW594">
            <v>23511</v>
          </cell>
          <cell r="FX594">
            <v>23478</v>
          </cell>
          <cell r="FY594">
            <v>23446</v>
          </cell>
          <cell r="FZ594">
            <v>23413</v>
          </cell>
          <cell r="GA594">
            <v>23381</v>
          </cell>
          <cell r="GB594">
            <v>23349</v>
          </cell>
          <cell r="GC594">
            <v>23316</v>
          </cell>
          <cell r="GD594">
            <v>23284</v>
          </cell>
          <cell r="GE594">
            <v>23252</v>
          </cell>
          <cell r="GF594">
            <v>23219</v>
          </cell>
          <cell r="GG594">
            <v>0</v>
          </cell>
          <cell r="GH594">
            <v>0</v>
          </cell>
          <cell r="GI594">
            <v>0</v>
          </cell>
          <cell r="GJ594">
            <v>0</v>
          </cell>
          <cell r="GK594">
            <v>0</v>
          </cell>
          <cell r="GL594">
            <v>0</v>
          </cell>
          <cell r="GM594">
            <v>0</v>
          </cell>
          <cell r="GN594">
            <v>0</v>
          </cell>
          <cell r="GO594">
            <v>0</v>
          </cell>
          <cell r="GP594">
            <v>0</v>
          </cell>
          <cell r="GQ594">
            <v>0</v>
          </cell>
          <cell r="GR594">
            <v>0</v>
          </cell>
          <cell r="GS594">
            <v>0</v>
          </cell>
          <cell r="GT594">
            <v>0</v>
          </cell>
          <cell r="GU594">
            <v>0</v>
          </cell>
          <cell r="GV594">
            <v>0</v>
          </cell>
          <cell r="GW594">
            <v>0</v>
          </cell>
          <cell r="GX594">
            <v>0</v>
          </cell>
          <cell r="GY594">
            <v>0</v>
          </cell>
          <cell r="GZ594">
            <v>0</v>
          </cell>
          <cell r="HA594">
            <v>0</v>
          </cell>
          <cell r="HB594">
            <v>0</v>
          </cell>
          <cell r="HC594">
            <v>0</v>
          </cell>
          <cell r="HD594">
            <v>0</v>
          </cell>
          <cell r="HE594">
            <v>0</v>
          </cell>
          <cell r="HF594">
            <v>0</v>
          </cell>
        </row>
        <row r="691">
          <cell r="N691">
            <v>16316</v>
          </cell>
          <cell r="O691">
            <v>14675</v>
          </cell>
          <cell r="P691">
            <v>14613</v>
          </cell>
          <cell r="Q691">
            <v>14467</v>
          </cell>
          <cell r="R691">
            <v>14321</v>
          </cell>
          <cell r="S691">
            <v>14176</v>
          </cell>
          <cell r="T691">
            <v>14030</v>
          </cell>
          <cell r="U691">
            <v>13884</v>
          </cell>
          <cell r="V691">
            <v>13738</v>
          </cell>
          <cell r="W691">
            <v>13592</v>
          </cell>
          <cell r="X691">
            <v>13446</v>
          </cell>
          <cell r="Y691">
            <v>13301</v>
          </cell>
          <cell r="Z691">
            <v>13155</v>
          </cell>
          <cell r="AA691">
            <v>13009</v>
          </cell>
          <cell r="AB691">
            <v>12863</v>
          </cell>
          <cell r="AC691">
            <v>12717</v>
          </cell>
          <cell r="AD691">
            <v>12571</v>
          </cell>
          <cell r="AE691">
            <v>12425</v>
          </cell>
          <cell r="AF691">
            <v>12280</v>
          </cell>
          <cell r="AG691">
            <v>12134</v>
          </cell>
          <cell r="AH691">
            <v>11988</v>
          </cell>
          <cell r="AI691">
            <v>11842</v>
          </cell>
          <cell r="AJ691">
            <v>11696</v>
          </cell>
          <cell r="AK691">
            <v>11669</v>
          </cell>
          <cell r="AL691">
            <v>11526</v>
          </cell>
          <cell r="AM691">
            <v>11383</v>
          </cell>
          <cell r="AN691">
            <v>11240</v>
          </cell>
          <cell r="AO691">
            <v>11097</v>
          </cell>
          <cell r="AP691">
            <v>10954</v>
          </cell>
          <cell r="AQ691">
            <v>10811</v>
          </cell>
          <cell r="AR691">
            <v>10668</v>
          </cell>
          <cell r="AS691">
            <v>10525</v>
          </cell>
          <cell r="AT691">
            <v>10382</v>
          </cell>
          <cell r="AU691">
            <v>10239</v>
          </cell>
          <cell r="AV691">
            <v>10096</v>
          </cell>
          <cell r="AW691">
            <v>9953</v>
          </cell>
          <cell r="AX691">
            <v>9809</v>
          </cell>
          <cell r="AY691">
            <v>9666</v>
          </cell>
          <cell r="AZ691">
            <v>9523</v>
          </cell>
          <cell r="BA691">
            <v>9380</v>
          </cell>
          <cell r="BB691">
            <v>9237</v>
          </cell>
          <cell r="BC691">
            <v>9094</v>
          </cell>
          <cell r="BD691">
            <v>8951</v>
          </cell>
          <cell r="BE691">
            <v>8808</v>
          </cell>
          <cell r="BF691">
            <v>8665</v>
          </cell>
          <cell r="BG691">
            <v>8522</v>
          </cell>
          <cell r="BH691">
            <v>8379</v>
          </cell>
          <cell r="BI691">
            <v>8236</v>
          </cell>
          <cell r="BJ691">
            <v>8093</v>
          </cell>
          <cell r="BK691">
            <v>7950</v>
          </cell>
          <cell r="BL691">
            <v>7807</v>
          </cell>
          <cell r="BM691">
            <v>7664</v>
          </cell>
          <cell r="BN691">
            <v>7520</v>
          </cell>
          <cell r="BO691">
            <v>7377</v>
          </cell>
          <cell r="BP691">
            <v>7234</v>
          </cell>
          <cell r="BQ691">
            <v>7091</v>
          </cell>
          <cell r="BR691">
            <v>6948</v>
          </cell>
          <cell r="BS691">
            <v>6805</v>
          </cell>
          <cell r="BT691">
            <v>6662</v>
          </cell>
          <cell r="BU691">
            <v>6519</v>
          </cell>
          <cell r="BV691">
            <v>6376</v>
          </cell>
          <cell r="BW691">
            <v>6233</v>
          </cell>
          <cell r="BX691">
            <v>6090</v>
          </cell>
          <cell r="BY691">
            <v>5947</v>
          </cell>
          <cell r="BZ691">
            <v>5804</v>
          </cell>
          <cell r="CA691">
            <v>0</v>
          </cell>
          <cell r="CB691">
            <v>0</v>
          </cell>
          <cell r="CC691">
            <v>0</v>
          </cell>
          <cell r="CD691">
            <v>0</v>
          </cell>
          <cell r="CE691">
            <v>0</v>
          </cell>
          <cell r="CF691">
            <v>0</v>
          </cell>
          <cell r="CG691">
            <v>0</v>
          </cell>
          <cell r="CH691">
            <v>0</v>
          </cell>
          <cell r="CI691">
            <v>0</v>
          </cell>
          <cell r="CJ691">
            <v>0</v>
          </cell>
          <cell r="CK691">
            <v>0</v>
          </cell>
          <cell r="CL691">
            <v>0</v>
          </cell>
          <cell r="CM691">
            <v>0</v>
          </cell>
          <cell r="CN691">
            <v>0</v>
          </cell>
          <cell r="CO691">
            <v>0</v>
          </cell>
          <cell r="CP691">
            <v>0</v>
          </cell>
          <cell r="CQ691">
            <v>0</v>
          </cell>
          <cell r="CR691">
            <v>0</v>
          </cell>
          <cell r="CS691">
            <v>0</v>
          </cell>
          <cell r="CT691">
            <v>0</v>
          </cell>
          <cell r="CU691">
            <v>0</v>
          </cell>
          <cell r="CV691">
            <v>0</v>
          </cell>
          <cell r="CW691">
            <v>0</v>
          </cell>
          <cell r="CX691">
            <v>0</v>
          </cell>
          <cell r="CY691">
            <v>0</v>
          </cell>
          <cell r="CZ691">
            <v>0</v>
          </cell>
          <cell r="DA691">
            <v>0</v>
          </cell>
          <cell r="DB691">
            <v>0</v>
          </cell>
          <cell r="DC691">
            <v>0</v>
          </cell>
          <cell r="DD691">
            <v>0</v>
          </cell>
          <cell r="DE691">
            <v>0</v>
          </cell>
          <cell r="DF691">
            <v>0</v>
          </cell>
          <cell r="DG691">
            <v>0</v>
          </cell>
          <cell r="DH691">
            <v>0</v>
          </cell>
          <cell r="DI691">
            <v>0</v>
          </cell>
          <cell r="DJ691">
            <v>0</v>
          </cell>
          <cell r="DK691">
            <v>0</v>
          </cell>
          <cell r="DL691">
            <v>0</v>
          </cell>
          <cell r="DM691">
            <v>0</v>
          </cell>
          <cell r="DN691">
            <v>0</v>
          </cell>
          <cell r="DO691">
            <v>0</v>
          </cell>
          <cell r="DP691">
            <v>0</v>
          </cell>
          <cell r="DQ691">
            <v>0</v>
          </cell>
          <cell r="DR691">
            <v>0</v>
          </cell>
          <cell r="DS691">
            <v>0</v>
          </cell>
          <cell r="DT691">
            <v>0</v>
          </cell>
          <cell r="DU691">
            <v>0</v>
          </cell>
          <cell r="DV691">
            <v>0</v>
          </cell>
          <cell r="DW691">
            <v>0</v>
          </cell>
          <cell r="DX691">
            <v>0</v>
          </cell>
          <cell r="DY691">
            <v>0</v>
          </cell>
          <cell r="DZ691">
            <v>0</v>
          </cell>
          <cell r="EA691">
            <v>0</v>
          </cell>
          <cell r="EB691">
            <v>0</v>
          </cell>
          <cell r="EC691">
            <v>0</v>
          </cell>
          <cell r="ED691">
            <v>0</v>
          </cell>
          <cell r="EE691">
            <v>0</v>
          </cell>
          <cell r="EF691">
            <v>0</v>
          </cell>
          <cell r="EG691">
            <v>0</v>
          </cell>
          <cell r="EH691">
            <v>0</v>
          </cell>
          <cell r="EI691">
            <v>0</v>
          </cell>
          <cell r="EJ691">
            <v>0</v>
          </cell>
          <cell r="EK691">
            <v>0</v>
          </cell>
          <cell r="EL691">
            <v>0</v>
          </cell>
          <cell r="EM691">
            <v>0</v>
          </cell>
          <cell r="EN691">
            <v>0</v>
          </cell>
          <cell r="EO691">
            <v>0</v>
          </cell>
          <cell r="EP691">
            <v>0</v>
          </cell>
          <cell r="EQ691">
            <v>0</v>
          </cell>
          <cell r="ER691">
            <v>0</v>
          </cell>
          <cell r="ES691">
            <v>0</v>
          </cell>
          <cell r="ET691">
            <v>0</v>
          </cell>
          <cell r="EU691">
            <v>0</v>
          </cell>
          <cell r="EV691">
            <v>0</v>
          </cell>
          <cell r="EW691">
            <v>0</v>
          </cell>
          <cell r="EX691">
            <v>0</v>
          </cell>
          <cell r="EY691">
            <v>0</v>
          </cell>
          <cell r="EZ691">
            <v>0</v>
          </cell>
          <cell r="FA691">
            <v>0</v>
          </cell>
          <cell r="FB691">
            <v>0</v>
          </cell>
          <cell r="FC691">
            <v>0</v>
          </cell>
          <cell r="FD691">
            <v>0</v>
          </cell>
          <cell r="FE691">
            <v>0</v>
          </cell>
          <cell r="FF691">
            <v>0</v>
          </cell>
          <cell r="FG691">
            <v>0</v>
          </cell>
          <cell r="FH691">
            <v>0</v>
          </cell>
          <cell r="FI691">
            <v>0</v>
          </cell>
          <cell r="FJ691">
            <v>0</v>
          </cell>
          <cell r="FK691">
            <v>0</v>
          </cell>
          <cell r="FL691">
            <v>0</v>
          </cell>
          <cell r="FM691">
            <v>0</v>
          </cell>
          <cell r="FN691">
            <v>0</v>
          </cell>
          <cell r="FO691">
            <v>0</v>
          </cell>
          <cell r="FP691">
            <v>0</v>
          </cell>
          <cell r="FQ691">
            <v>0</v>
          </cell>
          <cell r="FR691">
            <v>0</v>
          </cell>
          <cell r="FS691">
            <v>0</v>
          </cell>
          <cell r="FT691">
            <v>0</v>
          </cell>
          <cell r="FU691">
            <v>0</v>
          </cell>
          <cell r="FV691">
            <v>0</v>
          </cell>
          <cell r="FW691">
            <v>0</v>
          </cell>
          <cell r="FX691">
            <v>0</v>
          </cell>
          <cell r="FY691">
            <v>0</v>
          </cell>
          <cell r="FZ691">
            <v>0</v>
          </cell>
          <cell r="GA691">
            <v>0</v>
          </cell>
          <cell r="GB691">
            <v>0</v>
          </cell>
          <cell r="GC691">
            <v>0</v>
          </cell>
          <cell r="GD691">
            <v>0</v>
          </cell>
          <cell r="GE691">
            <v>0</v>
          </cell>
          <cell r="GF691">
            <v>0</v>
          </cell>
          <cell r="GG691">
            <v>0</v>
          </cell>
          <cell r="GH691">
            <v>0</v>
          </cell>
          <cell r="GI691">
            <v>0</v>
          </cell>
          <cell r="GJ691">
            <v>0</v>
          </cell>
          <cell r="GK691">
            <v>0</v>
          </cell>
          <cell r="GL691">
            <v>0</v>
          </cell>
          <cell r="GM691">
            <v>0</v>
          </cell>
          <cell r="GN691">
            <v>0</v>
          </cell>
          <cell r="GO691">
            <v>0</v>
          </cell>
          <cell r="GP691">
            <v>0</v>
          </cell>
          <cell r="GQ691">
            <v>0</v>
          </cell>
          <cell r="GR691">
            <v>0</v>
          </cell>
          <cell r="GS691">
            <v>0</v>
          </cell>
          <cell r="GT691">
            <v>0</v>
          </cell>
          <cell r="GU691">
            <v>0</v>
          </cell>
          <cell r="GV691">
            <v>0</v>
          </cell>
          <cell r="GW691">
            <v>0</v>
          </cell>
          <cell r="GX691">
            <v>0</v>
          </cell>
          <cell r="GY691">
            <v>0</v>
          </cell>
          <cell r="GZ691">
            <v>0</v>
          </cell>
          <cell r="HA691">
            <v>0</v>
          </cell>
          <cell r="HB691">
            <v>0</v>
          </cell>
          <cell r="HC691">
            <v>0</v>
          </cell>
          <cell r="HD691">
            <v>0</v>
          </cell>
          <cell r="HE691">
            <v>0</v>
          </cell>
          <cell r="HF691">
            <v>0</v>
          </cell>
        </row>
        <row r="694">
          <cell r="N694">
            <v>16316</v>
          </cell>
          <cell r="O694">
            <v>14675</v>
          </cell>
          <cell r="P694">
            <v>14613</v>
          </cell>
          <cell r="Q694">
            <v>14467</v>
          </cell>
          <cell r="R694">
            <v>14321</v>
          </cell>
          <cell r="S694">
            <v>14176</v>
          </cell>
          <cell r="T694">
            <v>14030</v>
          </cell>
          <cell r="U694">
            <v>13884</v>
          </cell>
          <cell r="V694">
            <v>13738</v>
          </cell>
          <cell r="W694">
            <v>13592</v>
          </cell>
          <cell r="X694">
            <v>13446</v>
          </cell>
          <cell r="Y694">
            <v>13301</v>
          </cell>
          <cell r="Z694">
            <v>13155</v>
          </cell>
          <cell r="AA694">
            <v>13009</v>
          </cell>
          <cell r="AB694">
            <v>12863</v>
          </cell>
          <cell r="AC694">
            <v>12717</v>
          </cell>
          <cell r="AD694">
            <v>12571</v>
          </cell>
          <cell r="AE694">
            <v>12425</v>
          </cell>
          <cell r="AF694">
            <v>12280</v>
          </cell>
          <cell r="AG694">
            <v>12134</v>
          </cell>
          <cell r="AH694">
            <v>11988</v>
          </cell>
          <cell r="AI694">
            <v>11842</v>
          </cell>
          <cell r="AJ694">
            <v>11696</v>
          </cell>
          <cell r="AK694">
            <v>11669</v>
          </cell>
          <cell r="AL694">
            <v>11526</v>
          </cell>
          <cell r="AM694">
            <v>11383</v>
          </cell>
          <cell r="AN694">
            <v>11240</v>
          </cell>
          <cell r="AO694">
            <v>11097</v>
          </cell>
          <cell r="AP694">
            <v>10954</v>
          </cell>
          <cell r="AQ694">
            <v>10811</v>
          </cell>
          <cell r="AR694">
            <v>10668</v>
          </cell>
          <cell r="AS694">
            <v>10525</v>
          </cell>
          <cell r="AT694">
            <v>10382</v>
          </cell>
          <cell r="AU694">
            <v>10239</v>
          </cell>
          <cell r="AV694">
            <v>10096</v>
          </cell>
          <cell r="AW694">
            <v>9953</v>
          </cell>
          <cell r="AX694">
            <v>9809</v>
          </cell>
          <cell r="AY694">
            <v>9666</v>
          </cell>
          <cell r="AZ694">
            <v>9523</v>
          </cell>
          <cell r="BA694">
            <v>9380</v>
          </cell>
          <cell r="BB694">
            <v>9237</v>
          </cell>
          <cell r="BC694">
            <v>9094</v>
          </cell>
          <cell r="BD694">
            <v>8951</v>
          </cell>
          <cell r="BE694">
            <v>8808</v>
          </cell>
          <cell r="BF694">
            <v>8665</v>
          </cell>
          <cell r="BG694">
            <v>8522</v>
          </cell>
          <cell r="BH694">
            <v>8379</v>
          </cell>
          <cell r="BI694">
            <v>8236</v>
          </cell>
          <cell r="BJ694">
            <v>8093</v>
          </cell>
          <cell r="BK694">
            <v>7950</v>
          </cell>
          <cell r="BL694">
            <v>7807</v>
          </cell>
          <cell r="BM694">
            <v>7664</v>
          </cell>
          <cell r="BN694">
            <v>7520</v>
          </cell>
          <cell r="BO694">
            <v>7377</v>
          </cell>
          <cell r="BP694">
            <v>7234</v>
          </cell>
          <cell r="BQ694">
            <v>7091</v>
          </cell>
          <cell r="BR694">
            <v>6948</v>
          </cell>
          <cell r="BS694">
            <v>6805</v>
          </cell>
          <cell r="BT694">
            <v>6662</v>
          </cell>
          <cell r="BU694">
            <v>6519</v>
          </cell>
          <cell r="BV694">
            <v>6376</v>
          </cell>
          <cell r="BW694">
            <v>6233</v>
          </cell>
          <cell r="BX694">
            <v>6090</v>
          </cell>
          <cell r="BY694">
            <v>5947</v>
          </cell>
          <cell r="BZ694">
            <v>5804</v>
          </cell>
          <cell r="CA694">
            <v>5896</v>
          </cell>
          <cell r="CB694">
            <v>5756</v>
          </cell>
          <cell r="CC694">
            <v>5615</v>
          </cell>
          <cell r="CD694">
            <v>5475</v>
          </cell>
          <cell r="CE694">
            <v>5335</v>
          </cell>
          <cell r="CF694">
            <v>5195</v>
          </cell>
          <cell r="CG694">
            <v>5054</v>
          </cell>
          <cell r="CH694">
            <v>4914</v>
          </cell>
          <cell r="CI694">
            <v>4774</v>
          </cell>
          <cell r="CJ694">
            <v>4633</v>
          </cell>
          <cell r="CK694">
            <v>4562</v>
          </cell>
          <cell r="CL694">
            <v>4496</v>
          </cell>
          <cell r="CM694">
            <v>4431</v>
          </cell>
          <cell r="CN694">
            <v>4366</v>
          </cell>
          <cell r="CO694">
            <v>4300</v>
          </cell>
          <cell r="CP694">
            <v>4235</v>
          </cell>
          <cell r="CQ694">
            <v>4170</v>
          </cell>
          <cell r="CR694">
            <v>4104</v>
          </cell>
          <cell r="CS694">
            <v>4039</v>
          </cell>
          <cell r="CT694">
            <v>3974</v>
          </cell>
          <cell r="CU694">
            <v>3908</v>
          </cell>
          <cell r="CV694">
            <v>3843</v>
          </cell>
          <cell r="CW694">
            <v>3778</v>
          </cell>
          <cell r="CX694">
            <v>3713</v>
          </cell>
          <cell r="CY694">
            <v>3647</v>
          </cell>
          <cell r="CZ694">
            <v>3582</v>
          </cell>
          <cell r="DA694">
            <v>3517</v>
          </cell>
          <cell r="DB694">
            <v>3452</v>
          </cell>
          <cell r="DC694">
            <v>3386</v>
          </cell>
          <cell r="DD694">
            <v>3321</v>
          </cell>
          <cell r="DE694">
            <v>3256</v>
          </cell>
          <cell r="DF694">
            <v>3191</v>
          </cell>
          <cell r="DG694">
            <v>3125</v>
          </cell>
          <cell r="DH694">
            <v>3060</v>
          </cell>
          <cell r="DI694">
            <v>2995</v>
          </cell>
          <cell r="DJ694">
            <v>2929</v>
          </cell>
          <cell r="DK694">
            <v>2864</v>
          </cell>
          <cell r="DL694">
            <v>2799</v>
          </cell>
          <cell r="DM694">
            <v>2733</v>
          </cell>
          <cell r="DN694">
            <v>2668</v>
          </cell>
          <cell r="DO694">
            <v>2603</v>
          </cell>
          <cell r="DP694">
            <v>2537</v>
          </cell>
          <cell r="DQ694">
            <v>2472</v>
          </cell>
          <cell r="DR694">
            <v>2407</v>
          </cell>
          <cell r="DS694">
            <v>2342</v>
          </cell>
          <cell r="DT694">
            <v>2276</v>
          </cell>
          <cell r="DU694">
            <v>2211</v>
          </cell>
          <cell r="DV694">
            <v>2146</v>
          </cell>
          <cell r="DW694">
            <v>2081</v>
          </cell>
          <cell r="DX694">
            <v>2015</v>
          </cell>
          <cell r="DY694">
            <v>1909</v>
          </cell>
          <cell r="DZ694">
            <v>1769</v>
          </cell>
          <cell r="EA694">
            <v>1628</v>
          </cell>
          <cell r="EB694">
            <v>1488</v>
          </cell>
          <cell r="EC694">
            <v>1348</v>
          </cell>
          <cell r="ED694">
            <v>1208</v>
          </cell>
          <cell r="EE694">
            <v>1067</v>
          </cell>
          <cell r="EF694">
            <v>927</v>
          </cell>
          <cell r="EG694">
            <v>787</v>
          </cell>
          <cell r="EH694">
            <v>647</v>
          </cell>
          <cell r="EI694">
            <v>506</v>
          </cell>
          <cell r="EJ694">
            <v>366</v>
          </cell>
          <cell r="EK694">
            <v>226</v>
          </cell>
          <cell r="EL694">
            <v>86</v>
          </cell>
          <cell r="EM694">
            <v>0</v>
          </cell>
          <cell r="EN694">
            <v>0</v>
          </cell>
          <cell r="EO694">
            <v>0</v>
          </cell>
          <cell r="EP694">
            <v>0</v>
          </cell>
          <cell r="EQ694">
            <v>0</v>
          </cell>
          <cell r="ER694">
            <v>0</v>
          </cell>
          <cell r="ES694">
            <v>0</v>
          </cell>
          <cell r="ET694">
            <v>0</v>
          </cell>
          <cell r="EU694">
            <v>0</v>
          </cell>
          <cell r="EV694">
            <v>0</v>
          </cell>
          <cell r="EW694">
            <v>0</v>
          </cell>
          <cell r="EX694">
            <v>0</v>
          </cell>
          <cell r="EY694">
            <v>0</v>
          </cell>
          <cell r="EZ694">
            <v>0</v>
          </cell>
          <cell r="FA694">
            <v>0</v>
          </cell>
          <cell r="FB694">
            <v>0</v>
          </cell>
          <cell r="FC694">
            <v>0</v>
          </cell>
          <cell r="FD694">
            <v>0</v>
          </cell>
          <cell r="FE694">
            <v>0</v>
          </cell>
          <cell r="FF694">
            <v>0</v>
          </cell>
          <cell r="FG694">
            <v>0</v>
          </cell>
          <cell r="FH694">
            <v>0</v>
          </cell>
          <cell r="FI694">
            <v>0</v>
          </cell>
          <cell r="FJ694">
            <v>0</v>
          </cell>
          <cell r="FK694">
            <v>0</v>
          </cell>
          <cell r="FL694">
            <v>0</v>
          </cell>
          <cell r="FM694">
            <v>0</v>
          </cell>
          <cell r="FN694">
            <v>0</v>
          </cell>
          <cell r="FO694">
            <v>0</v>
          </cell>
          <cell r="FP694">
            <v>0</v>
          </cell>
          <cell r="FQ694">
            <v>0</v>
          </cell>
          <cell r="FR694">
            <v>0</v>
          </cell>
          <cell r="FS694">
            <v>0</v>
          </cell>
          <cell r="FT694">
            <v>0</v>
          </cell>
          <cell r="FU694">
            <v>0</v>
          </cell>
          <cell r="FV694">
            <v>0</v>
          </cell>
          <cell r="FW694">
            <v>0</v>
          </cell>
          <cell r="FX694">
            <v>0</v>
          </cell>
          <cell r="FY694">
            <v>0</v>
          </cell>
          <cell r="FZ694">
            <v>0</v>
          </cell>
          <cell r="GA694">
            <v>0</v>
          </cell>
          <cell r="GB694">
            <v>0</v>
          </cell>
          <cell r="GC694">
            <v>0</v>
          </cell>
          <cell r="GD694">
            <v>0</v>
          </cell>
          <cell r="GE694">
            <v>0</v>
          </cell>
          <cell r="GF694">
            <v>0</v>
          </cell>
          <cell r="GG694">
            <v>448</v>
          </cell>
          <cell r="GH694">
            <v>298</v>
          </cell>
          <cell r="GI694">
            <v>148</v>
          </cell>
          <cell r="GJ694">
            <v>0</v>
          </cell>
          <cell r="GK694">
            <v>0</v>
          </cell>
          <cell r="GL694">
            <v>0</v>
          </cell>
          <cell r="GM694">
            <v>0</v>
          </cell>
          <cell r="GN694">
            <v>0</v>
          </cell>
          <cell r="GO694">
            <v>0</v>
          </cell>
          <cell r="GP694">
            <v>0</v>
          </cell>
          <cell r="GQ694">
            <v>0</v>
          </cell>
          <cell r="GR694">
            <v>0</v>
          </cell>
          <cell r="GS694">
            <v>0</v>
          </cell>
          <cell r="GT694">
            <v>0</v>
          </cell>
          <cell r="GU694">
            <v>0</v>
          </cell>
          <cell r="GV694">
            <v>0</v>
          </cell>
          <cell r="GW694">
            <v>0</v>
          </cell>
          <cell r="GX694">
            <v>0</v>
          </cell>
          <cell r="GY694">
            <v>0</v>
          </cell>
          <cell r="GZ694">
            <v>0</v>
          </cell>
          <cell r="HA694">
            <v>0</v>
          </cell>
          <cell r="HB694">
            <v>0</v>
          </cell>
          <cell r="HC694">
            <v>0</v>
          </cell>
          <cell r="HD694">
            <v>0</v>
          </cell>
          <cell r="HE694">
            <v>0</v>
          </cell>
          <cell r="HF694">
            <v>0</v>
          </cell>
        </row>
        <row r="696">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cell r="BM696">
            <v>0</v>
          </cell>
          <cell r="BN696">
            <v>0</v>
          </cell>
          <cell r="BO696">
            <v>0</v>
          </cell>
          <cell r="BP696">
            <v>0</v>
          </cell>
          <cell r="BQ696">
            <v>0</v>
          </cell>
          <cell r="BR696">
            <v>0</v>
          </cell>
          <cell r="BS696">
            <v>0</v>
          </cell>
          <cell r="BT696">
            <v>0</v>
          </cell>
          <cell r="BU696">
            <v>0</v>
          </cell>
          <cell r="BV696">
            <v>0</v>
          </cell>
          <cell r="BW696">
            <v>0</v>
          </cell>
          <cell r="BX696">
            <v>0</v>
          </cell>
          <cell r="BY696">
            <v>0</v>
          </cell>
          <cell r="BZ696">
            <v>0</v>
          </cell>
          <cell r="CA696">
            <v>5896</v>
          </cell>
          <cell r="CB696">
            <v>5756</v>
          </cell>
          <cell r="CC696">
            <v>5615</v>
          </cell>
          <cell r="CD696">
            <v>5475</v>
          </cell>
          <cell r="CE696">
            <v>5335</v>
          </cell>
          <cell r="CF696">
            <v>5195</v>
          </cell>
          <cell r="CG696">
            <v>5054</v>
          </cell>
          <cell r="CH696">
            <v>4914</v>
          </cell>
          <cell r="CI696">
            <v>4774</v>
          </cell>
          <cell r="CJ696">
            <v>4633</v>
          </cell>
          <cell r="CK696">
            <v>4562</v>
          </cell>
          <cell r="CL696">
            <v>4496</v>
          </cell>
          <cell r="CM696">
            <v>4431</v>
          </cell>
          <cell r="CN696">
            <v>4366</v>
          </cell>
          <cell r="CO696">
            <v>4300</v>
          </cell>
          <cell r="CP696">
            <v>4235</v>
          </cell>
          <cell r="CQ696">
            <v>4170</v>
          </cell>
          <cell r="CR696">
            <v>4104</v>
          </cell>
          <cell r="CS696">
            <v>4039</v>
          </cell>
          <cell r="CT696">
            <v>3974</v>
          </cell>
          <cell r="CU696">
            <v>3908</v>
          </cell>
          <cell r="CV696">
            <v>3843</v>
          </cell>
          <cell r="CW696">
            <v>3778</v>
          </cell>
          <cell r="CX696">
            <v>3713</v>
          </cell>
          <cell r="CY696">
            <v>3647</v>
          </cell>
          <cell r="CZ696">
            <v>3582</v>
          </cell>
          <cell r="DA696">
            <v>3517</v>
          </cell>
          <cell r="DB696">
            <v>3452</v>
          </cell>
          <cell r="DC696">
            <v>3386</v>
          </cell>
          <cell r="DD696">
            <v>3321</v>
          </cell>
          <cell r="DE696">
            <v>3256</v>
          </cell>
          <cell r="DF696">
            <v>3191</v>
          </cell>
          <cell r="DG696">
            <v>3125</v>
          </cell>
          <cell r="DH696">
            <v>3060</v>
          </cell>
          <cell r="DI696">
            <v>2995</v>
          </cell>
          <cell r="DJ696">
            <v>2929</v>
          </cell>
          <cell r="DK696">
            <v>2864</v>
          </cell>
          <cell r="DL696">
            <v>2799</v>
          </cell>
          <cell r="DM696">
            <v>2733</v>
          </cell>
          <cell r="DN696">
            <v>2668</v>
          </cell>
          <cell r="DO696">
            <v>2603</v>
          </cell>
          <cell r="DP696">
            <v>2537</v>
          </cell>
          <cell r="DQ696">
            <v>2472</v>
          </cell>
          <cell r="DR696">
            <v>2407</v>
          </cell>
          <cell r="DS696">
            <v>2342</v>
          </cell>
          <cell r="DT696">
            <v>2276</v>
          </cell>
          <cell r="DU696">
            <v>2211</v>
          </cell>
          <cell r="DV696">
            <v>2146</v>
          </cell>
          <cell r="DW696">
            <v>2081</v>
          </cell>
          <cell r="DX696">
            <v>2015</v>
          </cell>
          <cell r="DY696">
            <v>1909</v>
          </cell>
          <cell r="DZ696">
            <v>1769</v>
          </cell>
          <cell r="EA696">
            <v>1628</v>
          </cell>
          <cell r="EB696">
            <v>1488</v>
          </cell>
          <cell r="EC696">
            <v>1348</v>
          </cell>
          <cell r="ED696">
            <v>1208</v>
          </cell>
          <cell r="EE696">
            <v>1067</v>
          </cell>
          <cell r="EF696">
            <v>927</v>
          </cell>
          <cell r="EG696">
            <v>787</v>
          </cell>
          <cell r="EH696">
            <v>647</v>
          </cell>
          <cell r="EI696">
            <v>506</v>
          </cell>
          <cell r="EJ696">
            <v>366</v>
          </cell>
          <cell r="EK696">
            <v>226</v>
          </cell>
          <cell r="EL696">
            <v>86</v>
          </cell>
          <cell r="EM696">
            <v>0</v>
          </cell>
          <cell r="EN696">
            <v>0</v>
          </cell>
          <cell r="EO696">
            <v>0</v>
          </cell>
          <cell r="EP696">
            <v>0</v>
          </cell>
          <cell r="EQ696">
            <v>0</v>
          </cell>
          <cell r="ER696">
            <v>0</v>
          </cell>
          <cell r="ES696">
            <v>0</v>
          </cell>
          <cell r="ET696">
            <v>0</v>
          </cell>
          <cell r="EU696">
            <v>0</v>
          </cell>
          <cell r="EV696">
            <v>0</v>
          </cell>
          <cell r="EW696">
            <v>0</v>
          </cell>
          <cell r="EX696">
            <v>0</v>
          </cell>
          <cell r="EY696">
            <v>0</v>
          </cell>
          <cell r="EZ696">
            <v>0</v>
          </cell>
          <cell r="FA696">
            <v>0</v>
          </cell>
          <cell r="FB696">
            <v>0</v>
          </cell>
          <cell r="FC696">
            <v>0</v>
          </cell>
          <cell r="FD696">
            <v>0</v>
          </cell>
          <cell r="FE696">
            <v>0</v>
          </cell>
          <cell r="FF696">
            <v>0</v>
          </cell>
          <cell r="FG696">
            <v>0</v>
          </cell>
          <cell r="FH696">
            <v>0</v>
          </cell>
          <cell r="FI696">
            <v>0</v>
          </cell>
          <cell r="FJ696">
            <v>0</v>
          </cell>
          <cell r="FK696">
            <v>0</v>
          </cell>
          <cell r="FL696">
            <v>0</v>
          </cell>
          <cell r="FM696">
            <v>0</v>
          </cell>
          <cell r="FN696">
            <v>0</v>
          </cell>
          <cell r="FO696">
            <v>0</v>
          </cell>
          <cell r="FP696">
            <v>0</v>
          </cell>
          <cell r="FQ696">
            <v>0</v>
          </cell>
          <cell r="FR696">
            <v>0</v>
          </cell>
          <cell r="FS696">
            <v>0</v>
          </cell>
          <cell r="FT696">
            <v>0</v>
          </cell>
          <cell r="FU696">
            <v>0</v>
          </cell>
          <cell r="FV696">
            <v>0</v>
          </cell>
          <cell r="FW696">
            <v>0</v>
          </cell>
          <cell r="FX696">
            <v>0</v>
          </cell>
          <cell r="FY696">
            <v>0</v>
          </cell>
          <cell r="FZ696">
            <v>0</v>
          </cell>
          <cell r="GA696">
            <v>0</v>
          </cell>
          <cell r="GB696">
            <v>0</v>
          </cell>
          <cell r="GC696">
            <v>0</v>
          </cell>
          <cell r="GD696">
            <v>0</v>
          </cell>
          <cell r="GE696">
            <v>0</v>
          </cell>
          <cell r="GF696">
            <v>0</v>
          </cell>
          <cell r="GG696">
            <v>448</v>
          </cell>
          <cell r="GH696">
            <v>298</v>
          </cell>
          <cell r="GI696">
            <v>148</v>
          </cell>
          <cell r="GJ696">
            <v>0</v>
          </cell>
          <cell r="GK696">
            <v>0</v>
          </cell>
          <cell r="GL696">
            <v>0</v>
          </cell>
          <cell r="GM696">
            <v>0</v>
          </cell>
          <cell r="GN696">
            <v>0</v>
          </cell>
          <cell r="GO696">
            <v>0</v>
          </cell>
          <cell r="GP696">
            <v>0</v>
          </cell>
          <cell r="GQ696">
            <v>0</v>
          </cell>
          <cell r="GR696">
            <v>0</v>
          </cell>
          <cell r="GS696">
            <v>0</v>
          </cell>
          <cell r="GT696">
            <v>0</v>
          </cell>
          <cell r="GU696">
            <v>0</v>
          </cell>
          <cell r="GV696">
            <v>0</v>
          </cell>
          <cell r="GW696">
            <v>0</v>
          </cell>
          <cell r="GX696">
            <v>0</v>
          </cell>
          <cell r="GY696">
            <v>0</v>
          </cell>
          <cell r="GZ696">
            <v>0</v>
          </cell>
          <cell r="HA696">
            <v>0</v>
          </cell>
          <cell r="HB696">
            <v>0</v>
          </cell>
          <cell r="HC696">
            <v>0</v>
          </cell>
          <cell r="HD696">
            <v>0</v>
          </cell>
          <cell r="HE696">
            <v>0</v>
          </cell>
          <cell r="HF696">
            <v>0</v>
          </cell>
        </row>
        <row r="720">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cell r="BM720">
            <v>0</v>
          </cell>
          <cell r="BN720">
            <v>0</v>
          </cell>
          <cell r="BO720">
            <v>0</v>
          </cell>
          <cell r="BP720">
            <v>0</v>
          </cell>
          <cell r="BQ720">
            <v>0</v>
          </cell>
          <cell r="BR720">
            <v>0</v>
          </cell>
          <cell r="BS720">
            <v>0</v>
          </cell>
          <cell r="BT720">
            <v>0</v>
          </cell>
          <cell r="BU720">
            <v>0</v>
          </cell>
          <cell r="BV720">
            <v>0</v>
          </cell>
          <cell r="BW720">
            <v>0</v>
          </cell>
          <cell r="BX720">
            <v>0</v>
          </cell>
          <cell r="BY720">
            <v>0</v>
          </cell>
          <cell r="BZ720">
            <v>0</v>
          </cell>
          <cell r="CA720">
            <v>0</v>
          </cell>
          <cell r="CB720">
            <v>0</v>
          </cell>
          <cell r="CC720">
            <v>0</v>
          </cell>
          <cell r="CD720">
            <v>0</v>
          </cell>
          <cell r="CE720">
            <v>0</v>
          </cell>
          <cell r="CF720">
            <v>0</v>
          </cell>
          <cell r="CG720">
            <v>0</v>
          </cell>
          <cell r="CH720">
            <v>0</v>
          </cell>
          <cell r="CI720">
            <v>0</v>
          </cell>
          <cell r="CJ720">
            <v>0</v>
          </cell>
          <cell r="CK720">
            <v>0</v>
          </cell>
          <cell r="CL720">
            <v>0</v>
          </cell>
          <cell r="CM720">
            <v>0</v>
          </cell>
          <cell r="CN720">
            <v>0</v>
          </cell>
          <cell r="CO720">
            <v>0</v>
          </cell>
          <cell r="CP720">
            <v>0</v>
          </cell>
          <cell r="CQ720">
            <v>0</v>
          </cell>
          <cell r="CR720">
            <v>0</v>
          </cell>
          <cell r="CS720">
            <v>0</v>
          </cell>
          <cell r="CT720">
            <v>0</v>
          </cell>
          <cell r="CU720">
            <v>0</v>
          </cell>
          <cell r="CV720">
            <v>0</v>
          </cell>
          <cell r="CW720">
            <v>0</v>
          </cell>
          <cell r="CX720">
            <v>0</v>
          </cell>
          <cell r="CY720">
            <v>0</v>
          </cell>
          <cell r="CZ720">
            <v>0</v>
          </cell>
          <cell r="DA720">
            <v>0</v>
          </cell>
          <cell r="DB720">
            <v>0</v>
          </cell>
          <cell r="DC720">
            <v>0</v>
          </cell>
          <cell r="DD720">
            <v>0</v>
          </cell>
          <cell r="DE720">
            <v>0</v>
          </cell>
          <cell r="DF720">
            <v>0</v>
          </cell>
          <cell r="DG720">
            <v>0</v>
          </cell>
          <cell r="DH720">
            <v>0</v>
          </cell>
          <cell r="DI720">
            <v>0</v>
          </cell>
          <cell r="DJ720">
            <v>0</v>
          </cell>
          <cell r="DK720">
            <v>0</v>
          </cell>
          <cell r="DL720">
            <v>0</v>
          </cell>
          <cell r="DM720">
            <v>0</v>
          </cell>
          <cell r="DN720">
            <v>0</v>
          </cell>
          <cell r="DO720">
            <v>0</v>
          </cell>
          <cell r="DP720">
            <v>0</v>
          </cell>
          <cell r="DQ720">
            <v>0</v>
          </cell>
          <cell r="DR720">
            <v>0</v>
          </cell>
          <cell r="DS720">
            <v>0</v>
          </cell>
          <cell r="DT720">
            <v>0</v>
          </cell>
          <cell r="DU720">
            <v>0</v>
          </cell>
          <cell r="DV720">
            <v>0</v>
          </cell>
          <cell r="DW720">
            <v>0</v>
          </cell>
          <cell r="DX720">
            <v>0</v>
          </cell>
          <cell r="DY720">
            <v>0</v>
          </cell>
          <cell r="DZ720">
            <v>0</v>
          </cell>
          <cell r="EA720">
            <v>0</v>
          </cell>
          <cell r="EB720">
            <v>0</v>
          </cell>
          <cell r="EC720">
            <v>0</v>
          </cell>
          <cell r="ED720">
            <v>0</v>
          </cell>
          <cell r="EE720">
            <v>0</v>
          </cell>
          <cell r="EF720">
            <v>0</v>
          </cell>
          <cell r="EG720">
            <v>0</v>
          </cell>
          <cell r="EH720">
            <v>0</v>
          </cell>
          <cell r="EI720">
            <v>0</v>
          </cell>
          <cell r="EJ720">
            <v>0</v>
          </cell>
          <cell r="EK720">
            <v>0</v>
          </cell>
          <cell r="EL720">
            <v>0</v>
          </cell>
          <cell r="EM720">
            <v>0</v>
          </cell>
          <cell r="EN720">
            <v>0</v>
          </cell>
          <cell r="EO720">
            <v>0</v>
          </cell>
          <cell r="EP720">
            <v>0</v>
          </cell>
          <cell r="EQ720">
            <v>0</v>
          </cell>
          <cell r="ER720">
            <v>0</v>
          </cell>
          <cell r="ES720">
            <v>0</v>
          </cell>
          <cell r="ET720">
            <v>0</v>
          </cell>
          <cell r="EU720">
            <v>0</v>
          </cell>
          <cell r="EV720">
            <v>0</v>
          </cell>
          <cell r="EW720">
            <v>0</v>
          </cell>
          <cell r="EX720">
            <v>0</v>
          </cell>
          <cell r="EY720">
            <v>0</v>
          </cell>
          <cell r="EZ720">
            <v>0</v>
          </cell>
          <cell r="FA720">
            <v>0</v>
          </cell>
          <cell r="FB720">
            <v>0</v>
          </cell>
          <cell r="FC720">
            <v>0</v>
          </cell>
          <cell r="FD720">
            <v>0</v>
          </cell>
          <cell r="FE720">
            <v>0</v>
          </cell>
          <cell r="FF720">
            <v>0</v>
          </cell>
          <cell r="FG720">
            <v>0</v>
          </cell>
          <cell r="FH720">
            <v>0</v>
          </cell>
          <cell r="FI720">
            <v>0</v>
          </cell>
          <cell r="FJ720">
            <v>0</v>
          </cell>
          <cell r="FK720">
            <v>0</v>
          </cell>
          <cell r="FL720">
            <v>0</v>
          </cell>
          <cell r="FM720">
            <v>0</v>
          </cell>
          <cell r="FN720">
            <v>0</v>
          </cell>
          <cell r="FO720">
            <v>0</v>
          </cell>
          <cell r="FP720">
            <v>0</v>
          </cell>
          <cell r="FQ720">
            <v>0</v>
          </cell>
          <cell r="FR720">
            <v>0</v>
          </cell>
          <cell r="FS720">
            <v>0</v>
          </cell>
          <cell r="FT720">
            <v>0</v>
          </cell>
          <cell r="FU720">
            <v>0</v>
          </cell>
          <cell r="FV720">
            <v>0</v>
          </cell>
          <cell r="FW720">
            <v>0</v>
          </cell>
          <cell r="FX720">
            <v>0</v>
          </cell>
          <cell r="FY720">
            <v>0</v>
          </cell>
          <cell r="FZ720">
            <v>0</v>
          </cell>
          <cell r="GA720">
            <v>0</v>
          </cell>
          <cell r="GB720">
            <v>0</v>
          </cell>
          <cell r="GC720">
            <v>0</v>
          </cell>
          <cell r="GD720">
            <v>0</v>
          </cell>
          <cell r="GE720">
            <v>0</v>
          </cell>
          <cell r="GF720">
            <v>0</v>
          </cell>
          <cell r="GG720">
            <v>0</v>
          </cell>
          <cell r="GH720">
            <v>0</v>
          </cell>
          <cell r="GI720">
            <v>0</v>
          </cell>
          <cell r="GJ720">
            <v>0</v>
          </cell>
          <cell r="GK720">
            <v>0</v>
          </cell>
          <cell r="GL720">
            <v>0</v>
          </cell>
          <cell r="GM720">
            <v>0</v>
          </cell>
          <cell r="GN720">
            <v>0</v>
          </cell>
          <cell r="GO720">
            <v>0</v>
          </cell>
          <cell r="GP720">
            <v>0</v>
          </cell>
          <cell r="GQ720">
            <v>0</v>
          </cell>
          <cell r="GR720">
            <v>0</v>
          </cell>
          <cell r="GS720">
            <v>0</v>
          </cell>
          <cell r="GT720">
            <v>0</v>
          </cell>
          <cell r="GU720">
            <v>0</v>
          </cell>
          <cell r="GV720">
            <v>0</v>
          </cell>
          <cell r="GW720">
            <v>0</v>
          </cell>
          <cell r="GX720">
            <v>0</v>
          </cell>
          <cell r="GY720">
            <v>0</v>
          </cell>
          <cell r="GZ720">
            <v>0</v>
          </cell>
          <cell r="HA720">
            <v>0</v>
          </cell>
          <cell r="HB720">
            <v>0</v>
          </cell>
          <cell r="HC720">
            <v>0</v>
          </cell>
          <cell r="HD720">
            <v>0</v>
          </cell>
          <cell r="HE720">
            <v>0</v>
          </cell>
          <cell r="HF720">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0">
          <cell r="D10" t="str">
            <v>Yes</v>
          </cell>
          <cell r="F10">
            <v>16</v>
          </cell>
          <cell r="H10">
            <v>0</v>
          </cell>
        </row>
        <row r="11">
          <cell r="D11" t="str">
            <v>No</v>
          </cell>
          <cell r="F11">
            <v>17</v>
          </cell>
          <cell r="H11">
            <v>1</v>
          </cell>
        </row>
        <row r="12">
          <cell r="B12">
            <v>2019</v>
          </cell>
          <cell r="F12">
            <v>18</v>
          </cell>
          <cell r="H12">
            <v>2</v>
          </cell>
        </row>
        <row r="13">
          <cell r="B13">
            <v>2020</v>
          </cell>
          <cell r="F13">
            <v>19</v>
          </cell>
          <cell r="H13">
            <v>3</v>
          </cell>
        </row>
        <row r="14">
          <cell r="B14">
            <v>2021</v>
          </cell>
          <cell r="F14">
            <v>20</v>
          </cell>
          <cell r="H14">
            <v>4</v>
          </cell>
        </row>
        <row r="15">
          <cell r="B15">
            <v>2022</v>
          </cell>
          <cell r="D15" t="str">
            <v>male</v>
          </cell>
          <cell r="F15">
            <v>21</v>
          </cell>
          <cell r="H15">
            <v>5</v>
          </cell>
        </row>
        <row r="16">
          <cell r="B16">
            <v>2023</v>
          </cell>
          <cell r="D16" t="str">
            <v>female</v>
          </cell>
          <cell r="F16">
            <v>22</v>
          </cell>
          <cell r="H16">
            <v>6</v>
          </cell>
        </row>
        <row r="17">
          <cell r="F17">
            <v>23</v>
          </cell>
          <cell r="H17">
            <v>7</v>
          </cell>
        </row>
        <row r="18">
          <cell r="F18">
            <v>24</v>
          </cell>
          <cell r="H18">
            <v>8</v>
          </cell>
        </row>
        <row r="19">
          <cell r="F19">
            <v>25</v>
          </cell>
          <cell r="H19">
            <v>9</v>
          </cell>
        </row>
        <row r="20">
          <cell r="F20">
            <v>26</v>
          </cell>
          <cell r="H20">
            <v>10</v>
          </cell>
        </row>
        <row r="21">
          <cell r="F21">
            <v>27</v>
          </cell>
          <cell r="H21">
            <v>11</v>
          </cell>
        </row>
        <row r="22">
          <cell r="F22">
            <v>28</v>
          </cell>
          <cell r="H22">
            <v>12</v>
          </cell>
        </row>
        <row r="23">
          <cell r="F23">
            <v>29</v>
          </cell>
          <cell r="H23">
            <v>13</v>
          </cell>
        </row>
        <row r="24">
          <cell r="F24">
            <v>30</v>
          </cell>
          <cell r="H24">
            <v>14</v>
          </cell>
        </row>
        <row r="25">
          <cell r="F25">
            <v>31</v>
          </cell>
          <cell r="H25">
            <v>15</v>
          </cell>
        </row>
        <row r="26">
          <cell r="F26">
            <v>32</v>
          </cell>
          <cell r="H26">
            <v>16</v>
          </cell>
        </row>
        <row r="27">
          <cell r="F27">
            <v>33</v>
          </cell>
          <cell r="H27">
            <v>17</v>
          </cell>
        </row>
        <row r="28">
          <cell r="F28">
            <v>34</v>
          </cell>
          <cell r="H28">
            <v>18</v>
          </cell>
        </row>
        <row r="29">
          <cell r="F29">
            <v>35</v>
          </cell>
          <cell r="H29">
            <v>19</v>
          </cell>
        </row>
        <row r="30">
          <cell r="F30">
            <v>36</v>
          </cell>
        </row>
        <row r="31">
          <cell r="F31">
            <v>37</v>
          </cell>
        </row>
        <row r="32">
          <cell r="F32">
            <v>38</v>
          </cell>
        </row>
        <row r="33">
          <cell r="F33">
            <v>39</v>
          </cell>
        </row>
        <row r="34">
          <cell r="F34">
            <v>40</v>
          </cell>
        </row>
        <row r="35">
          <cell r="F35">
            <v>41</v>
          </cell>
        </row>
        <row r="36">
          <cell r="F36">
            <v>42</v>
          </cell>
        </row>
        <row r="37">
          <cell r="F37">
            <v>43</v>
          </cell>
        </row>
        <row r="38">
          <cell r="F38">
            <v>44</v>
          </cell>
        </row>
        <row r="39">
          <cell r="F39">
            <v>45</v>
          </cell>
        </row>
        <row r="40">
          <cell r="F40">
            <v>46</v>
          </cell>
        </row>
        <row r="41">
          <cell r="F41">
            <v>47</v>
          </cell>
        </row>
        <row r="42">
          <cell r="F42">
            <v>48</v>
          </cell>
        </row>
        <row r="43">
          <cell r="F43">
            <v>49</v>
          </cell>
        </row>
        <row r="44">
          <cell r="F44">
            <v>50</v>
          </cell>
        </row>
        <row r="45">
          <cell r="F45">
            <v>51</v>
          </cell>
        </row>
        <row r="46">
          <cell r="F46">
            <v>52</v>
          </cell>
        </row>
        <row r="47">
          <cell r="F47">
            <v>53</v>
          </cell>
        </row>
        <row r="48">
          <cell r="F48">
            <v>54</v>
          </cell>
        </row>
        <row r="49">
          <cell r="F49">
            <v>55</v>
          </cell>
        </row>
        <row r="50">
          <cell r="F50">
            <v>56</v>
          </cell>
        </row>
        <row r="51">
          <cell r="F51">
            <v>57</v>
          </cell>
        </row>
        <row r="52">
          <cell r="F52">
            <v>58</v>
          </cell>
        </row>
        <row r="53">
          <cell r="F53">
            <v>59</v>
          </cell>
        </row>
        <row r="54">
          <cell r="F54">
            <v>60</v>
          </cell>
        </row>
        <row r="55">
          <cell r="F55">
            <v>61</v>
          </cell>
        </row>
        <row r="56">
          <cell r="F56">
            <v>62</v>
          </cell>
        </row>
        <row r="57">
          <cell r="F57">
            <v>63</v>
          </cell>
        </row>
        <row r="58">
          <cell r="F58">
            <v>64</v>
          </cell>
        </row>
        <row r="59">
          <cell r="F59">
            <v>65</v>
          </cell>
        </row>
      </sheetData>
      <sheetData sheetId="34"/>
      <sheetData sheetId="35"/>
      <sheetData sheetId="36"/>
      <sheetData sheetId="37"/>
      <sheetData sheetId="38"/>
      <sheetData sheetId="3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aphs"/>
      <sheetName val="Export"/>
      <sheetName val="Analysis"/>
      <sheetName val="Income Compare Graphs"/>
      <sheetName val="Output Income Compare"/>
      <sheetName val="Output Marriage Penalty"/>
      <sheetName val="State Compare Graphs"/>
      <sheetName val="Output State Compare"/>
      <sheetName val="Output"/>
      <sheetName val="Inputs"/>
      <sheetName val="Calc1"/>
      <sheetName val="FPIG"/>
      <sheetName val="FICA"/>
      <sheetName val="fTax"/>
      <sheetName val="CTC"/>
      <sheetName val="EITC"/>
      <sheetName val="TANF"/>
      <sheetName val="sTax"/>
      <sheetName val="sTax2"/>
      <sheetName val="sEITC"/>
      <sheetName val="HIX"/>
      <sheetName val="SSI"/>
      <sheetName val="sSSI"/>
      <sheetName val="SNAP"/>
      <sheetName val="WIC"/>
      <sheetName val="NSLP"/>
      <sheetName val="Mcaid"/>
      <sheetName val="CHIP"/>
      <sheetName val="CCare"/>
      <sheetName val="Sec8"/>
      <sheetName val="LIHEAP"/>
      <sheetName val="States"/>
      <sheetName val="Subdivisions"/>
      <sheetName val="Lists"/>
      <sheetName val="Codes"/>
      <sheetName val="Federal Sources"/>
      <sheetName val="State Sources"/>
      <sheetName val="Tables"/>
      <sheetName val="Defined Name Table"/>
      <sheetName val="Cliff Model Working Group-v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5">
          <cell r="C5">
            <v>2022</v>
          </cell>
        </row>
        <row r="6">
          <cell r="C6" t="str">
            <v>Utah</v>
          </cell>
        </row>
        <row r="7">
          <cell r="C7" t="str">
            <v>Statewide Average</v>
          </cell>
        </row>
        <row r="11">
          <cell r="C11" t="str">
            <v>Yes</v>
          </cell>
          <cell r="D11">
            <v>30</v>
          </cell>
          <cell r="H11" t="str">
            <v>No</v>
          </cell>
        </row>
        <row r="12">
          <cell r="D12">
            <v>40</v>
          </cell>
        </row>
        <row r="26">
          <cell r="D26" t="b">
            <v>1</v>
          </cell>
        </row>
        <row r="27">
          <cell r="D27" t="b">
            <v>1</v>
          </cell>
        </row>
        <row r="28">
          <cell r="D28" t="b">
            <v>1</v>
          </cell>
        </row>
        <row r="29">
          <cell r="D29" t="b">
            <v>1</v>
          </cell>
        </row>
        <row r="30">
          <cell r="D30" t="b">
            <v>1</v>
          </cell>
        </row>
        <row r="31">
          <cell r="D31" t="b">
            <v>1</v>
          </cell>
        </row>
        <row r="32">
          <cell r="D32" t="b">
            <v>1</v>
          </cell>
        </row>
        <row r="33">
          <cell r="D33" t="b">
            <v>1</v>
          </cell>
        </row>
        <row r="34">
          <cell r="D34" t="b">
            <v>1</v>
          </cell>
        </row>
        <row r="35">
          <cell r="D35" t="b">
            <v>1</v>
          </cell>
        </row>
        <row r="36">
          <cell r="D36" t="b">
            <v>1</v>
          </cell>
        </row>
        <row r="37">
          <cell r="D37" t="b">
            <v>1</v>
          </cell>
        </row>
        <row r="38">
          <cell r="D38" t="b">
            <v>1</v>
          </cell>
        </row>
        <row r="39">
          <cell r="D39" t="b">
            <v>1</v>
          </cell>
        </row>
        <row r="40">
          <cell r="D40" t="b">
            <v>1</v>
          </cell>
        </row>
        <row r="41">
          <cell r="D41" t="b">
            <v>1</v>
          </cell>
        </row>
        <row r="42">
          <cell r="D42" t="b">
            <v>1</v>
          </cell>
        </row>
        <row r="43">
          <cell r="D43" t="b">
            <v>1</v>
          </cell>
        </row>
        <row r="44">
          <cell r="D44" t="b">
            <v>1</v>
          </cell>
        </row>
      </sheetData>
      <sheetData sheetId="10">
        <row r="2">
          <cell r="N2">
            <v>1</v>
          </cell>
          <cell r="O2">
            <v>2</v>
          </cell>
          <cell r="P2">
            <v>3</v>
          </cell>
          <cell r="Q2">
            <v>4</v>
          </cell>
          <cell r="R2">
            <v>5</v>
          </cell>
          <cell r="S2">
            <v>6</v>
          </cell>
          <cell r="T2">
            <v>7</v>
          </cell>
          <cell r="U2">
            <v>8</v>
          </cell>
          <cell r="V2">
            <v>9</v>
          </cell>
          <cell r="W2">
            <v>10</v>
          </cell>
          <cell r="X2">
            <v>11</v>
          </cell>
          <cell r="Y2">
            <v>12</v>
          </cell>
          <cell r="Z2">
            <v>13</v>
          </cell>
          <cell r="AA2">
            <v>14</v>
          </cell>
          <cell r="AB2">
            <v>15</v>
          </cell>
          <cell r="AC2">
            <v>16</v>
          </cell>
          <cell r="AD2">
            <v>17</v>
          </cell>
          <cell r="AE2">
            <v>18</v>
          </cell>
          <cell r="AF2">
            <v>19</v>
          </cell>
          <cell r="AG2">
            <v>20</v>
          </cell>
          <cell r="AH2">
            <v>21</v>
          </cell>
          <cell r="AI2">
            <v>22</v>
          </cell>
          <cell r="AJ2">
            <v>23</v>
          </cell>
          <cell r="AK2">
            <v>24</v>
          </cell>
          <cell r="AL2">
            <v>25</v>
          </cell>
          <cell r="AM2">
            <v>26</v>
          </cell>
          <cell r="AN2">
            <v>27</v>
          </cell>
          <cell r="AO2">
            <v>28</v>
          </cell>
          <cell r="AP2">
            <v>29</v>
          </cell>
          <cell r="AQ2">
            <v>30</v>
          </cell>
          <cell r="AR2">
            <v>31</v>
          </cell>
          <cell r="AS2">
            <v>32</v>
          </cell>
          <cell r="AT2">
            <v>33</v>
          </cell>
          <cell r="AU2">
            <v>34</v>
          </cell>
          <cell r="AV2">
            <v>35</v>
          </cell>
          <cell r="AW2">
            <v>36</v>
          </cell>
          <cell r="AX2">
            <v>37</v>
          </cell>
          <cell r="AY2">
            <v>38</v>
          </cell>
          <cell r="AZ2">
            <v>39</v>
          </cell>
          <cell r="BA2">
            <v>40</v>
          </cell>
          <cell r="BB2">
            <v>41</v>
          </cell>
          <cell r="BC2">
            <v>42</v>
          </cell>
          <cell r="BD2">
            <v>43</v>
          </cell>
          <cell r="BE2">
            <v>44</v>
          </cell>
          <cell r="BF2">
            <v>45</v>
          </cell>
          <cell r="BG2">
            <v>46</v>
          </cell>
          <cell r="BH2">
            <v>47</v>
          </cell>
          <cell r="BI2">
            <v>48</v>
          </cell>
          <cell r="BJ2">
            <v>49</v>
          </cell>
          <cell r="BK2">
            <v>50</v>
          </cell>
          <cell r="BL2">
            <v>51</v>
          </cell>
          <cell r="BM2">
            <v>52</v>
          </cell>
          <cell r="BN2">
            <v>53</v>
          </cell>
          <cell r="BO2">
            <v>54</v>
          </cell>
          <cell r="BP2">
            <v>55</v>
          </cell>
          <cell r="BQ2">
            <v>56</v>
          </cell>
          <cell r="BR2">
            <v>57</v>
          </cell>
          <cell r="BS2">
            <v>58</v>
          </cell>
          <cell r="BT2">
            <v>59</v>
          </cell>
          <cell r="BU2">
            <v>60</v>
          </cell>
          <cell r="BV2">
            <v>61</v>
          </cell>
          <cell r="BW2">
            <v>62</v>
          </cell>
          <cell r="BX2">
            <v>63</v>
          </cell>
          <cell r="BY2">
            <v>64</v>
          </cell>
          <cell r="BZ2">
            <v>65</v>
          </cell>
          <cell r="CA2">
            <v>66</v>
          </cell>
          <cell r="CB2">
            <v>67</v>
          </cell>
          <cell r="CC2">
            <v>68</v>
          </cell>
          <cell r="CD2">
            <v>69</v>
          </cell>
          <cell r="CE2">
            <v>70</v>
          </cell>
          <cell r="CF2">
            <v>71</v>
          </cell>
          <cell r="CG2">
            <v>72</v>
          </cell>
          <cell r="CH2">
            <v>73</v>
          </cell>
          <cell r="CI2">
            <v>74</v>
          </cell>
          <cell r="CJ2">
            <v>75</v>
          </cell>
          <cell r="CK2">
            <v>76</v>
          </cell>
          <cell r="CL2">
            <v>77</v>
          </cell>
          <cell r="CM2">
            <v>78</v>
          </cell>
          <cell r="CN2">
            <v>79</v>
          </cell>
          <cell r="CO2">
            <v>80</v>
          </cell>
          <cell r="CP2">
            <v>81</v>
          </cell>
          <cell r="CQ2">
            <v>82</v>
          </cell>
          <cell r="CR2">
            <v>83</v>
          </cell>
          <cell r="CS2">
            <v>84</v>
          </cell>
          <cell r="CT2">
            <v>85</v>
          </cell>
          <cell r="CU2">
            <v>86</v>
          </cell>
          <cell r="CV2">
            <v>87</v>
          </cell>
          <cell r="CW2">
            <v>88</v>
          </cell>
          <cell r="CX2">
            <v>89</v>
          </cell>
          <cell r="CY2">
            <v>90</v>
          </cell>
          <cell r="CZ2">
            <v>91</v>
          </cell>
          <cell r="DA2">
            <v>92</v>
          </cell>
          <cell r="DB2">
            <v>93</v>
          </cell>
          <cell r="DC2">
            <v>94</v>
          </cell>
          <cell r="DD2">
            <v>95</v>
          </cell>
          <cell r="DE2">
            <v>96</v>
          </cell>
          <cell r="DF2">
            <v>97</v>
          </cell>
          <cell r="DG2">
            <v>98</v>
          </cell>
          <cell r="DH2">
            <v>99</v>
          </cell>
          <cell r="DI2">
            <v>100</v>
          </cell>
          <cell r="DJ2">
            <v>101</v>
          </cell>
          <cell r="DK2">
            <v>102</v>
          </cell>
          <cell r="DL2">
            <v>103</v>
          </cell>
          <cell r="DM2">
            <v>104</v>
          </cell>
          <cell r="DN2">
            <v>105</v>
          </cell>
          <cell r="DO2">
            <v>106</v>
          </cell>
          <cell r="DP2">
            <v>107</v>
          </cell>
          <cell r="DQ2">
            <v>108</v>
          </cell>
          <cell r="DR2">
            <v>109</v>
          </cell>
          <cell r="DS2">
            <v>110</v>
          </cell>
          <cell r="DT2">
            <v>111</v>
          </cell>
          <cell r="DU2">
            <v>112</v>
          </cell>
          <cell r="DV2">
            <v>113</v>
          </cell>
          <cell r="DW2">
            <v>114</v>
          </cell>
          <cell r="DX2">
            <v>115</v>
          </cell>
          <cell r="DY2">
            <v>116</v>
          </cell>
          <cell r="DZ2">
            <v>117</v>
          </cell>
          <cell r="EA2">
            <v>118</v>
          </cell>
          <cell r="EB2">
            <v>119</v>
          </cell>
          <cell r="EC2">
            <v>120</v>
          </cell>
          <cell r="ED2">
            <v>121</v>
          </cell>
          <cell r="EE2">
            <v>122</v>
          </cell>
          <cell r="EF2">
            <v>123</v>
          </cell>
          <cell r="EG2">
            <v>124</v>
          </cell>
          <cell r="EH2">
            <v>125</v>
          </cell>
          <cell r="EI2">
            <v>126</v>
          </cell>
          <cell r="EJ2">
            <v>127</v>
          </cell>
          <cell r="EK2">
            <v>128</v>
          </cell>
          <cell r="EL2">
            <v>129</v>
          </cell>
          <cell r="EM2">
            <v>130</v>
          </cell>
          <cell r="EN2">
            <v>131</v>
          </cell>
          <cell r="EO2">
            <v>132</v>
          </cell>
          <cell r="EP2">
            <v>133</v>
          </cell>
          <cell r="EQ2">
            <v>134</v>
          </cell>
          <cell r="ER2">
            <v>135</v>
          </cell>
          <cell r="ES2">
            <v>136</v>
          </cell>
          <cell r="ET2">
            <v>137</v>
          </cell>
          <cell r="EU2">
            <v>138</v>
          </cell>
          <cell r="EV2">
            <v>139</v>
          </cell>
          <cell r="EW2">
            <v>140</v>
          </cell>
          <cell r="EX2">
            <v>141</v>
          </cell>
          <cell r="EY2">
            <v>142</v>
          </cell>
          <cell r="EZ2">
            <v>143</v>
          </cell>
          <cell r="FA2">
            <v>144</v>
          </cell>
          <cell r="FB2">
            <v>145</v>
          </cell>
          <cell r="FC2">
            <v>146</v>
          </cell>
          <cell r="FD2">
            <v>147</v>
          </cell>
          <cell r="FE2">
            <v>148</v>
          </cell>
          <cell r="FF2">
            <v>149</v>
          </cell>
          <cell r="FG2">
            <v>150</v>
          </cell>
          <cell r="FH2">
            <v>151</v>
          </cell>
          <cell r="FI2">
            <v>152</v>
          </cell>
          <cell r="FJ2">
            <v>153</v>
          </cell>
          <cell r="FK2">
            <v>154</v>
          </cell>
          <cell r="FL2">
            <v>155</v>
          </cell>
          <cell r="FM2">
            <v>156</v>
          </cell>
          <cell r="FN2">
            <v>157</v>
          </cell>
          <cell r="FO2">
            <v>158</v>
          </cell>
          <cell r="FP2">
            <v>159</v>
          </cell>
          <cell r="FQ2">
            <v>160</v>
          </cell>
          <cell r="FR2">
            <v>161</v>
          </cell>
          <cell r="FS2">
            <v>162</v>
          </cell>
          <cell r="FT2">
            <v>163</v>
          </cell>
          <cell r="FU2">
            <v>164</v>
          </cell>
          <cell r="FV2">
            <v>165</v>
          </cell>
          <cell r="FW2">
            <v>166</v>
          </cell>
          <cell r="FX2">
            <v>167</v>
          </cell>
          <cell r="FY2">
            <v>168</v>
          </cell>
          <cell r="FZ2">
            <v>169</v>
          </cell>
          <cell r="GA2">
            <v>170</v>
          </cell>
          <cell r="GB2">
            <v>171</v>
          </cell>
          <cell r="GC2">
            <v>172</v>
          </cell>
          <cell r="GD2">
            <v>173</v>
          </cell>
          <cell r="GE2">
            <v>174</v>
          </cell>
          <cell r="GF2">
            <v>175</v>
          </cell>
          <cell r="GG2">
            <v>176</v>
          </cell>
          <cell r="GH2">
            <v>177</v>
          </cell>
          <cell r="GI2">
            <v>178</v>
          </cell>
          <cell r="GJ2">
            <v>179</v>
          </cell>
          <cell r="GK2">
            <v>180</v>
          </cell>
          <cell r="GL2">
            <v>181</v>
          </cell>
          <cell r="GM2">
            <v>182</v>
          </cell>
          <cell r="GN2">
            <v>183</v>
          </cell>
          <cell r="GO2">
            <v>184</v>
          </cell>
          <cell r="GP2">
            <v>185</v>
          </cell>
          <cell r="GQ2">
            <v>186</v>
          </cell>
          <cell r="GR2">
            <v>187</v>
          </cell>
          <cell r="GS2">
            <v>188</v>
          </cell>
          <cell r="GT2">
            <v>189</v>
          </cell>
          <cell r="GU2">
            <v>190</v>
          </cell>
          <cell r="GV2">
            <v>191</v>
          </cell>
          <cell r="GW2">
            <v>192</v>
          </cell>
          <cell r="GX2">
            <v>193</v>
          </cell>
          <cell r="GY2">
            <v>194</v>
          </cell>
          <cell r="GZ2">
            <v>195</v>
          </cell>
          <cell r="HA2">
            <v>196</v>
          </cell>
          <cell r="HB2">
            <v>197</v>
          </cell>
          <cell r="HC2">
            <v>198</v>
          </cell>
          <cell r="HD2">
            <v>199</v>
          </cell>
          <cell r="HE2">
            <v>200</v>
          </cell>
          <cell r="HF2">
            <v>201</v>
          </cell>
        </row>
        <row r="5">
          <cell r="N5">
            <v>0</v>
          </cell>
          <cell r="O5">
            <v>1.3217210696499799</v>
          </cell>
          <cell r="P5">
            <v>2.6434421392999599</v>
          </cell>
          <cell r="Q5">
            <v>3.9651632089499396</v>
          </cell>
          <cell r="R5">
            <v>5.2868842785999197</v>
          </cell>
          <cell r="S5">
            <v>6.6086053482498999</v>
          </cell>
          <cell r="T5">
            <v>7.9303264178998791</v>
          </cell>
          <cell r="U5">
            <v>9.2520474875498593</v>
          </cell>
          <cell r="V5">
            <v>10.573768557199839</v>
          </cell>
          <cell r="W5">
            <v>11.89548962684982</v>
          </cell>
          <cell r="X5">
            <v>13.2172106964998</v>
          </cell>
          <cell r="Y5">
            <v>14.53893176614978</v>
          </cell>
          <cell r="Z5">
            <v>15.860652835799758</v>
          </cell>
          <cell r="AA5">
            <v>17.18237390544974</v>
          </cell>
          <cell r="AB5">
            <v>18.504094975099719</v>
          </cell>
          <cell r="AC5">
            <v>19.8258160447497</v>
          </cell>
          <cell r="AD5">
            <v>21.147537114399679</v>
          </cell>
          <cell r="AE5">
            <v>22.469258184049661</v>
          </cell>
          <cell r="AF5">
            <v>23.790979253699639</v>
          </cell>
          <cell r="AG5">
            <v>25.112700323349621</v>
          </cell>
          <cell r="AH5">
            <v>26.434421392999599</v>
          </cell>
          <cell r="AI5">
            <v>27.756142462649578</v>
          </cell>
          <cell r="AJ5">
            <v>29.07786353229956</v>
          </cell>
          <cell r="AK5">
            <v>30.399584601949538</v>
          </cell>
          <cell r="AL5">
            <v>31.721305671599517</v>
          </cell>
          <cell r="AM5">
            <v>33.043026741249498</v>
          </cell>
          <cell r="AN5">
            <v>34.36474781089948</v>
          </cell>
          <cell r="AO5">
            <v>35.686468880549455</v>
          </cell>
          <cell r="AP5">
            <v>37.008189950199437</v>
          </cell>
          <cell r="AQ5">
            <v>38.329911019849419</v>
          </cell>
          <cell r="AR5">
            <v>39.651632089499401</v>
          </cell>
          <cell r="AS5">
            <v>40</v>
          </cell>
          <cell r="AT5">
            <v>40</v>
          </cell>
          <cell r="AU5">
            <v>40</v>
          </cell>
          <cell r="AV5">
            <v>40</v>
          </cell>
          <cell r="AW5">
            <v>40</v>
          </cell>
          <cell r="AX5">
            <v>40</v>
          </cell>
          <cell r="AY5">
            <v>40</v>
          </cell>
          <cell r="AZ5">
            <v>40</v>
          </cell>
          <cell r="BA5">
            <v>40</v>
          </cell>
          <cell r="BB5">
            <v>40</v>
          </cell>
          <cell r="BC5">
            <v>40</v>
          </cell>
          <cell r="BD5">
            <v>40</v>
          </cell>
          <cell r="BE5">
            <v>40</v>
          </cell>
          <cell r="BF5">
            <v>40</v>
          </cell>
          <cell r="BG5">
            <v>40</v>
          </cell>
          <cell r="BH5">
            <v>40</v>
          </cell>
          <cell r="BI5">
            <v>40</v>
          </cell>
          <cell r="BJ5">
            <v>40</v>
          </cell>
          <cell r="BK5">
            <v>40</v>
          </cell>
          <cell r="BL5">
            <v>40</v>
          </cell>
          <cell r="BM5">
            <v>40</v>
          </cell>
          <cell r="BN5">
            <v>40</v>
          </cell>
          <cell r="BO5">
            <v>40</v>
          </cell>
          <cell r="BP5">
            <v>40</v>
          </cell>
          <cell r="BQ5">
            <v>40</v>
          </cell>
          <cell r="BR5">
            <v>40</v>
          </cell>
          <cell r="BS5">
            <v>40</v>
          </cell>
          <cell r="BT5">
            <v>40</v>
          </cell>
          <cell r="BU5">
            <v>40</v>
          </cell>
          <cell r="BV5">
            <v>40</v>
          </cell>
          <cell r="BW5">
            <v>40</v>
          </cell>
          <cell r="BX5">
            <v>40</v>
          </cell>
          <cell r="BY5">
            <v>40</v>
          </cell>
          <cell r="BZ5">
            <v>40</v>
          </cell>
          <cell r="CA5">
            <v>40</v>
          </cell>
          <cell r="CB5">
            <v>40</v>
          </cell>
          <cell r="CC5">
            <v>40</v>
          </cell>
          <cell r="CD5">
            <v>40</v>
          </cell>
          <cell r="CE5">
            <v>40</v>
          </cell>
          <cell r="CF5">
            <v>40</v>
          </cell>
          <cell r="CG5">
            <v>40</v>
          </cell>
          <cell r="CH5">
            <v>40</v>
          </cell>
          <cell r="CI5">
            <v>40</v>
          </cell>
          <cell r="CJ5">
            <v>40</v>
          </cell>
          <cell r="CK5">
            <v>40</v>
          </cell>
          <cell r="CL5">
            <v>40</v>
          </cell>
          <cell r="CM5">
            <v>40</v>
          </cell>
          <cell r="CN5">
            <v>40</v>
          </cell>
          <cell r="CO5">
            <v>40</v>
          </cell>
          <cell r="CP5">
            <v>40</v>
          </cell>
          <cell r="CQ5">
            <v>40</v>
          </cell>
          <cell r="CR5">
            <v>40</v>
          </cell>
          <cell r="CS5">
            <v>40</v>
          </cell>
          <cell r="CT5">
            <v>40</v>
          </cell>
          <cell r="CU5">
            <v>40</v>
          </cell>
          <cell r="CV5">
            <v>40</v>
          </cell>
          <cell r="CW5">
            <v>40</v>
          </cell>
          <cell r="CX5">
            <v>40</v>
          </cell>
          <cell r="CY5">
            <v>40</v>
          </cell>
          <cell r="CZ5">
            <v>40</v>
          </cell>
          <cell r="DA5">
            <v>40</v>
          </cell>
          <cell r="DB5">
            <v>40</v>
          </cell>
          <cell r="DC5">
            <v>40</v>
          </cell>
          <cell r="DD5">
            <v>40</v>
          </cell>
          <cell r="DE5">
            <v>40</v>
          </cell>
          <cell r="DF5">
            <v>40</v>
          </cell>
          <cell r="DG5">
            <v>40</v>
          </cell>
          <cell r="DH5">
            <v>40</v>
          </cell>
          <cell r="DI5">
            <v>40</v>
          </cell>
          <cell r="DJ5">
            <v>40</v>
          </cell>
          <cell r="DK5">
            <v>40</v>
          </cell>
          <cell r="DL5">
            <v>40</v>
          </cell>
          <cell r="DM5">
            <v>40</v>
          </cell>
          <cell r="DN5">
            <v>40</v>
          </cell>
          <cell r="DO5">
            <v>40</v>
          </cell>
          <cell r="DP5">
            <v>40</v>
          </cell>
          <cell r="DQ5">
            <v>40</v>
          </cell>
          <cell r="DR5">
            <v>40</v>
          </cell>
          <cell r="DS5">
            <v>40</v>
          </cell>
          <cell r="DT5">
            <v>40</v>
          </cell>
          <cell r="DU5">
            <v>40</v>
          </cell>
          <cell r="DV5">
            <v>40</v>
          </cell>
          <cell r="DW5">
            <v>40</v>
          </cell>
          <cell r="DX5">
            <v>40</v>
          </cell>
          <cell r="DY5">
            <v>40</v>
          </cell>
          <cell r="DZ5">
            <v>40</v>
          </cell>
          <cell r="EA5">
            <v>40</v>
          </cell>
          <cell r="EB5">
            <v>40</v>
          </cell>
          <cell r="EC5">
            <v>40</v>
          </cell>
          <cell r="ED5">
            <v>40</v>
          </cell>
          <cell r="EE5">
            <v>40</v>
          </cell>
          <cell r="EF5">
            <v>40</v>
          </cell>
          <cell r="EG5">
            <v>40</v>
          </cell>
          <cell r="EH5">
            <v>40</v>
          </cell>
          <cell r="EI5">
            <v>40</v>
          </cell>
          <cell r="EJ5">
            <v>40</v>
          </cell>
          <cell r="EK5">
            <v>40</v>
          </cell>
          <cell r="EL5">
            <v>40</v>
          </cell>
          <cell r="EM5">
            <v>40</v>
          </cell>
          <cell r="EN5">
            <v>40</v>
          </cell>
          <cell r="EO5">
            <v>40</v>
          </cell>
          <cell r="EP5">
            <v>40</v>
          </cell>
          <cell r="EQ5">
            <v>40</v>
          </cell>
          <cell r="ER5">
            <v>40</v>
          </cell>
          <cell r="ES5">
            <v>40</v>
          </cell>
          <cell r="ET5">
            <v>40</v>
          </cell>
          <cell r="EU5">
            <v>40</v>
          </cell>
          <cell r="EV5">
            <v>40</v>
          </cell>
          <cell r="EW5">
            <v>40</v>
          </cell>
          <cell r="EX5">
            <v>40</v>
          </cell>
          <cell r="EY5">
            <v>40</v>
          </cell>
          <cell r="EZ5">
            <v>40</v>
          </cell>
          <cell r="FA5">
            <v>40</v>
          </cell>
          <cell r="FB5">
            <v>40</v>
          </cell>
          <cell r="FC5">
            <v>40</v>
          </cell>
          <cell r="FD5">
            <v>40</v>
          </cell>
          <cell r="FE5">
            <v>40</v>
          </cell>
          <cell r="FF5">
            <v>40</v>
          </cell>
          <cell r="FG5">
            <v>40</v>
          </cell>
          <cell r="FH5">
            <v>40</v>
          </cell>
          <cell r="FI5">
            <v>40</v>
          </cell>
          <cell r="FJ5">
            <v>40</v>
          </cell>
          <cell r="FK5">
            <v>40</v>
          </cell>
          <cell r="FL5">
            <v>40</v>
          </cell>
          <cell r="FM5">
            <v>40</v>
          </cell>
          <cell r="FN5">
            <v>40</v>
          </cell>
          <cell r="FO5">
            <v>40</v>
          </cell>
          <cell r="FP5">
            <v>40</v>
          </cell>
          <cell r="FQ5">
            <v>40</v>
          </cell>
          <cell r="FR5">
            <v>40</v>
          </cell>
          <cell r="FS5">
            <v>40</v>
          </cell>
          <cell r="FT5">
            <v>40</v>
          </cell>
          <cell r="FU5">
            <v>40</v>
          </cell>
          <cell r="FV5">
            <v>40</v>
          </cell>
          <cell r="FW5">
            <v>40</v>
          </cell>
          <cell r="FX5">
            <v>40</v>
          </cell>
          <cell r="FY5">
            <v>40</v>
          </cell>
          <cell r="FZ5">
            <v>40</v>
          </cell>
          <cell r="GA5">
            <v>40</v>
          </cell>
          <cell r="GB5">
            <v>40</v>
          </cell>
          <cell r="GC5">
            <v>40</v>
          </cell>
          <cell r="GD5">
            <v>40</v>
          </cell>
          <cell r="GE5">
            <v>40</v>
          </cell>
          <cell r="GF5">
            <v>40</v>
          </cell>
          <cell r="GG5">
            <v>40</v>
          </cell>
          <cell r="GH5">
            <v>40</v>
          </cell>
          <cell r="GI5">
            <v>40</v>
          </cell>
          <cell r="GJ5">
            <v>40</v>
          </cell>
          <cell r="GK5">
            <v>40</v>
          </cell>
          <cell r="GL5">
            <v>40</v>
          </cell>
          <cell r="GM5">
            <v>40</v>
          </cell>
          <cell r="GN5">
            <v>40</v>
          </cell>
          <cell r="GO5">
            <v>40</v>
          </cell>
          <cell r="GP5">
            <v>40</v>
          </cell>
          <cell r="GQ5">
            <v>40</v>
          </cell>
          <cell r="GR5">
            <v>40</v>
          </cell>
          <cell r="GS5">
            <v>40</v>
          </cell>
          <cell r="GT5">
            <v>40</v>
          </cell>
          <cell r="GU5">
            <v>40</v>
          </cell>
          <cell r="GV5">
            <v>40</v>
          </cell>
          <cell r="GW5">
            <v>40</v>
          </cell>
          <cell r="GX5">
            <v>40</v>
          </cell>
          <cell r="GY5">
            <v>40</v>
          </cell>
          <cell r="GZ5">
            <v>40</v>
          </cell>
          <cell r="HA5">
            <v>40</v>
          </cell>
          <cell r="HB5">
            <v>40</v>
          </cell>
          <cell r="HC5">
            <v>40</v>
          </cell>
          <cell r="HD5">
            <v>40</v>
          </cell>
          <cell r="HE5">
            <v>40</v>
          </cell>
          <cell r="HF5">
            <v>40</v>
          </cell>
        </row>
        <row r="6">
          <cell r="N6">
            <v>0</v>
          </cell>
          <cell r="O6">
            <v>20.833333333333332</v>
          </cell>
          <cell r="P6">
            <v>41.666666666666664</v>
          </cell>
          <cell r="Q6">
            <v>62.5</v>
          </cell>
          <cell r="R6">
            <v>83.333333333333329</v>
          </cell>
          <cell r="S6">
            <v>104.16666666666666</v>
          </cell>
          <cell r="T6">
            <v>124.99999999999999</v>
          </cell>
          <cell r="U6">
            <v>145.83333333333331</v>
          </cell>
          <cell r="V6">
            <v>166.66666666666666</v>
          </cell>
          <cell r="W6">
            <v>187.5</v>
          </cell>
          <cell r="X6">
            <v>208.33333333333334</v>
          </cell>
          <cell r="Y6">
            <v>229.16666666666669</v>
          </cell>
          <cell r="Z6">
            <v>250.00000000000003</v>
          </cell>
          <cell r="AA6">
            <v>270.83333333333337</v>
          </cell>
          <cell r="AB6">
            <v>291.66666666666669</v>
          </cell>
          <cell r="AC6">
            <v>312.5</v>
          </cell>
          <cell r="AD6">
            <v>333.33333333333331</v>
          </cell>
          <cell r="AE6">
            <v>354.16666666666663</v>
          </cell>
          <cell r="AF6">
            <v>374.99999999999994</v>
          </cell>
          <cell r="AG6">
            <v>395.83333333333326</v>
          </cell>
          <cell r="AH6">
            <v>416.66666666666657</v>
          </cell>
          <cell r="AI6">
            <v>437.49999999999989</v>
          </cell>
          <cell r="AJ6">
            <v>458.3333333333332</v>
          </cell>
          <cell r="AK6">
            <v>479.16666666666652</v>
          </cell>
          <cell r="AL6">
            <v>499.99999999999983</v>
          </cell>
          <cell r="AM6">
            <v>520.83333333333314</v>
          </cell>
          <cell r="AN6">
            <v>541.66666666666652</v>
          </cell>
          <cell r="AO6">
            <v>562.49999999999989</v>
          </cell>
          <cell r="AP6">
            <v>583.33333333333326</v>
          </cell>
          <cell r="AQ6">
            <v>604.16666666666663</v>
          </cell>
          <cell r="AR6">
            <v>625</v>
          </cell>
          <cell r="AS6">
            <v>645.83333333333337</v>
          </cell>
          <cell r="AT6">
            <v>666.66666666666674</v>
          </cell>
          <cell r="AU6">
            <v>687.50000000000011</v>
          </cell>
          <cell r="AV6">
            <v>708.33333333333348</v>
          </cell>
          <cell r="AW6">
            <v>729.16666666666686</v>
          </cell>
          <cell r="AX6">
            <v>750.00000000000023</v>
          </cell>
          <cell r="AY6">
            <v>770.8333333333336</v>
          </cell>
          <cell r="AZ6">
            <v>791.66666666666697</v>
          </cell>
          <cell r="BA6">
            <v>812.50000000000034</v>
          </cell>
          <cell r="BB6">
            <v>833.33333333333371</v>
          </cell>
          <cell r="BC6">
            <v>854.16666666666708</v>
          </cell>
          <cell r="BD6">
            <v>875.00000000000045</v>
          </cell>
          <cell r="BE6">
            <v>895.83333333333383</v>
          </cell>
          <cell r="BF6">
            <v>916.6666666666672</v>
          </cell>
          <cell r="BG6">
            <v>937.50000000000057</v>
          </cell>
          <cell r="BH6">
            <v>958.33333333333394</v>
          </cell>
          <cell r="BI6">
            <v>979.16666666666731</v>
          </cell>
          <cell r="BJ6">
            <v>1000.0000000000007</v>
          </cell>
          <cell r="BK6">
            <v>1020.8333333333341</v>
          </cell>
          <cell r="BL6">
            <v>1041.6666666666674</v>
          </cell>
          <cell r="BM6">
            <v>1062.5000000000007</v>
          </cell>
          <cell r="BN6">
            <v>1083.3333333333339</v>
          </cell>
          <cell r="BO6">
            <v>1104.1666666666672</v>
          </cell>
          <cell r="BP6">
            <v>1125.0000000000005</v>
          </cell>
          <cell r="BQ6">
            <v>1145.8333333333337</v>
          </cell>
          <cell r="BR6">
            <v>1166.666666666667</v>
          </cell>
          <cell r="BS6">
            <v>1187.5000000000002</v>
          </cell>
          <cell r="BT6">
            <v>1208.3333333333335</v>
          </cell>
          <cell r="BU6">
            <v>1229.1666666666667</v>
          </cell>
          <cell r="BV6">
            <v>1250</v>
          </cell>
          <cell r="BW6">
            <v>1270.8333333333333</v>
          </cell>
          <cell r="BX6">
            <v>1291.6666666666665</v>
          </cell>
          <cell r="BY6">
            <v>1312.4999999999998</v>
          </cell>
          <cell r="BZ6">
            <v>1333.333333333333</v>
          </cell>
          <cell r="CA6">
            <v>1354.1666666666663</v>
          </cell>
          <cell r="CB6">
            <v>1374.9999999999995</v>
          </cell>
          <cell r="CC6">
            <v>1395.8333333333328</v>
          </cell>
          <cell r="CD6">
            <v>1416.6666666666661</v>
          </cell>
          <cell r="CE6">
            <v>1437.4999999999993</v>
          </cell>
          <cell r="CF6">
            <v>1458.3333333333326</v>
          </cell>
          <cell r="CG6">
            <v>1479.1666666666658</v>
          </cell>
          <cell r="CH6">
            <v>1499.9999999999991</v>
          </cell>
          <cell r="CI6">
            <v>1520.8333333333323</v>
          </cell>
          <cell r="CJ6">
            <v>1541.6666666666656</v>
          </cell>
          <cell r="CK6">
            <v>1562.4999999999989</v>
          </cell>
          <cell r="CL6">
            <v>1583.3333333333321</v>
          </cell>
          <cell r="CM6">
            <v>1604.1666666666654</v>
          </cell>
          <cell r="CN6">
            <v>1624.9999999999986</v>
          </cell>
          <cell r="CO6">
            <v>1645.8333333333319</v>
          </cell>
          <cell r="CP6">
            <v>1666.6666666666652</v>
          </cell>
          <cell r="CQ6">
            <v>1687.4999999999984</v>
          </cell>
          <cell r="CR6">
            <v>1708.3333333333317</v>
          </cell>
          <cell r="CS6">
            <v>1729.1666666666649</v>
          </cell>
          <cell r="CT6">
            <v>1749.9999999999982</v>
          </cell>
          <cell r="CU6">
            <v>1770.8333333333314</v>
          </cell>
          <cell r="CV6">
            <v>1791.6666666666647</v>
          </cell>
          <cell r="CW6">
            <v>1812.499999999998</v>
          </cell>
          <cell r="CX6">
            <v>1833.3333333333312</v>
          </cell>
          <cell r="CY6">
            <v>1854.1666666666645</v>
          </cell>
          <cell r="CZ6">
            <v>1874.9999999999977</v>
          </cell>
          <cell r="DA6">
            <v>1895.833333333331</v>
          </cell>
          <cell r="DB6">
            <v>1916.6666666666642</v>
          </cell>
          <cell r="DC6">
            <v>1937.4999999999975</v>
          </cell>
          <cell r="DD6">
            <v>1958.3333333333308</v>
          </cell>
          <cell r="DE6">
            <v>1979.166666666664</v>
          </cell>
          <cell r="DF6">
            <v>1999.9999999999973</v>
          </cell>
          <cell r="DG6">
            <v>2020.8333333333305</v>
          </cell>
          <cell r="DH6">
            <v>2041.6666666666638</v>
          </cell>
          <cell r="DI6">
            <v>2062.4999999999973</v>
          </cell>
          <cell r="DJ6">
            <v>2083.3333333333308</v>
          </cell>
          <cell r="DK6">
            <v>2104.1666666666642</v>
          </cell>
          <cell r="DL6">
            <v>2124.9999999999977</v>
          </cell>
          <cell r="DM6">
            <v>2145.8333333333312</v>
          </cell>
          <cell r="DN6">
            <v>2166.6666666666647</v>
          </cell>
          <cell r="DO6">
            <v>2187.4999999999982</v>
          </cell>
          <cell r="DP6">
            <v>2208.3333333333317</v>
          </cell>
          <cell r="DQ6">
            <v>2229.1666666666652</v>
          </cell>
          <cell r="DR6">
            <v>2249.9999999999986</v>
          </cell>
          <cell r="DS6">
            <v>2270.8333333333321</v>
          </cell>
          <cell r="DT6">
            <v>2291.6666666666656</v>
          </cell>
          <cell r="DU6">
            <v>2312.4999999999991</v>
          </cell>
          <cell r="DV6">
            <v>2333.3333333333326</v>
          </cell>
          <cell r="DW6">
            <v>2354.1666666666661</v>
          </cell>
          <cell r="DX6">
            <v>2374.9999999999995</v>
          </cell>
          <cell r="DY6">
            <v>2395.833333333333</v>
          </cell>
          <cell r="DZ6">
            <v>2416.6666666666665</v>
          </cell>
          <cell r="EA6">
            <v>2437.5</v>
          </cell>
          <cell r="EB6">
            <v>2458.3333333333335</v>
          </cell>
          <cell r="EC6">
            <v>2479.166666666667</v>
          </cell>
          <cell r="ED6">
            <v>2500.0000000000005</v>
          </cell>
          <cell r="EE6">
            <v>2520.8333333333339</v>
          </cell>
          <cell r="EF6">
            <v>2541.6666666666674</v>
          </cell>
          <cell r="EG6">
            <v>2562.5000000000009</v>
          </cell>
          <cell r="EH6">
            <v>2583.3333333333344</v>
          </cell>
          <cell r="EI6">
            <v>2604.1666666666679</v>
          </cell>
          <cell r="EJ6">
            <v>2625.0000000000014</v>
          </cell>
          <cell r="EK6">
            <v>2645.8333333333348</v>
          </cell>
          <cell r="EL6">
            <v>2666.6666666666683</v>
          </cell>
          <cell r="EM6">
            <v>2687.5000000000018</v>
          </cell>
          <cell r="EN6">
            <v>2708.3333333333353</v>
          </cell>
          <cell r="EO6">
            <v>2729.1666666666688</v>
          </cell>
          <cell r="EP6">
            <v>2750.0000000000023</v>
          </cell>
          <cell r="EQ6">
            <v>2770.8333333333358</v>
          </cell>
          <cell r="ER6">
            <v>2791.6666666666692</v>
          </cell>
          <cell r="ES6">
            <v>2812.5000000000027</v>
          </cell>
          <cell r="ET6">
            <v>2833.3333333333362</v>
          </cell>
          <cell r="EU6">
            <v>2854.1666666666697</v>
          </cell>
          <cell r="EV6">
            <v>2875.0000000000032</v>
          </cell>
          <cell r="EW6">
            <v>2895.8333333333367</v>
          </cell>
          <cell r="EX6">
            <v>2916.6666666666702</v>
          </cell>
          <cell r="EY6">
            <v>2937.5000000000036</v>
          </cell>
          <cell r="EZ6">
            <v>2958.3333333333371</v>
          </cell>
          <cell r="FA6">
            <v>2979.1666666666706</v>
          </cell>
          <cell r="FB6">
            <v>3000.0000000000041</v>
          </cell>
          <cell r="FC6">
            <v>3020.8333333333376</v>
          </cell>
          <cell r="FD6">
            <v>3041.6666666666711</v>
          </cell>
          <cell r="FE6">
            <v>3062.5000000000045</v>
          </cell>
          <cell r="FF6">
            <v>3083.333333333338</v>
          </cell>
          <cell r="FG6">
            <v>3104.1666666666715</v>
          </cell>
          <cell r="FH6">
            <v>3125.000000000005</v>
          </cell>
          <cell r="FI6">
            <v>3145.8333333333385</v>
          </cell>
          <cell r="FJ6">
            <v>3166.666666666672</v>
          </cell>
          <cell r="FK6">
            <v>3187.5000000000055</v>
          </cell>
          <cell r="FL6">
            <v>3208.3333333333389</v>
          </cell>
          <cell r="FM6">
            <v>3229.1666666666724</v>
          </cell>
          <cell r="FN6">
            <v>3250.0000000000059</v>
          </cell>
          <cell r="FO6">
            <v>3270.8333333333394</v>
          </cell>
          <cell r="FP6">
            <v>3291.6666666666729</v>
          </cell>
          <cell r="FQ6">
            <v>3312.5000000000064</v>
          </cell>
          <cell r="FR6">
            <v>3333.3333333333399</v>
          </cell>
          <cell r="FS6">
            <v>3354.1666666666733</v>
          </cell>
          <cell r="FT6">
            <v>3375.0000000000068</v>
          </cell>
          <cell r="FU6">
            <v>3395.8333333333403</v>
          </cell>
          <cell r="FV6">
            <v>3416.6666666666738</v>
          </cell>
          <cell r="FW6">
            <v>3437.5000000000073</v>
          </cell>
          <cell r="FX6">
            <v>3458.3333333333408</v>
          </cell>
          <cell r="FY6">
            <v>3479.1666666666742</v>
          </cell>
          <cell r="FZ6">
            <v>3500.0000000000077</v>
          </cell>
          <cell r="GA6">
            <v>3520.8333333333412</v>
          </cell>
          <cell r="GB6">
            <v>3541.6666666666747</v>
          </cell>
          <cell r="GC6">
            <v>3562.5000000000082</v>
          </cell>
          <cell r="GD6">
            <v>3583.3333333333417</v>
          </cell>
          <cell r="GE6">
            <v>3604.1666666666752</v>
          </cell>
          <cell r="GF6">
            <v>3625.0000000000086</v>
          </cell>
          <cell r="GG6">
            <v>3645.8333333333421</v>
          </cell>
          <cell r="GH6">
            <v>3666.6666666666756</v>
          </cell>
          <cell r="GI6">
            <v>3687.5000000000091</v>
          </cell>
          <cell r="GJ6">
            <v>3708.3333333333426</v>
          </cell>
          <cell r="GK6">
            <v>3729.1666666666761</v>
          </cell>
          <cell r="GL6">
            <v>3750.0000000000095</v>
          </cell>
          <cell r="GM6">
            <v>3770.833333333343</v>
          </cell>
          <cell r="GN6">
            <v>3791.6666666666765</v>
          </cell>
          <cell r="GO6">
            <v>3812.50000000001</v>
          </cell>
          <cell r="GP6">
            <v>3833.3333333333435</v>
          </cell>
          <cell r="GQ6">
            <v>3854.166666666677</v>
          </cell>
          <cell r="GR6">
            <v>3875.0000000000105</v>
          </cell>
          <cell r="GS6">
            <v>3895.8333333333439</v>
          </cell>
          <cell r="GT6">
            <v>3916.6666666666774</v>
          </cell>
          <cell r="GU6">
            <v>3937.5000000000109</v>
          </cell>
          <cell r="GV6">
            <v>3958.3333333333444</v>
          </cell>
          <cell r="GW6">
            <v>3979.1666666666779</v>
          </cell>
          <cell r="GX6">
            <v>4000.0000000000114</v>
          </cell>
          <cell r="GY6">
            <v>4020.8333333333449</v>
          </cell>
          <cell r="GZ6">
            <v>4041.6666666666783</v>
          </cell>
          <cell r="HA6">
            <v>4062.5000000000118</v>
          </cell>
          <cell r="HB6">
            <v>4083.3333333333453</v>
          </cell>
          <cell r="HC6">
            <v>4104.1666666666788</v>
          </cell>
          <cell r="HD6">
            <v>4125.0000000000118</v>
          </cell>
          <cell r="HE6">
            <v>4145.8333333333449</v>
          </cell>
          <cell r="HF6">
            <v>4166.6666666666779</v>
          </cell>
        </row>
        <row r="7">
          <cell r="N7">
            <v>0</v>
          </cell>
          <cell r="O7">
            <v>20.833333333333332</v>
          </cell>
          <cell r="P7">
            <v>41.666666666666664</v>
          </cell>
          <cell r="Q7">
            <v>62.5</v>
          </cell>
          <cell r="R7">
            <v>83.333333333333329</v>
          </cell>
          <cell r="S7">
            <v>104.16666666666666</v>
          </cell>
          <cell r="T7">
            <v>124.99999999999999</v>
          </cell>
          <cell r="U7">
            <v>145.83333333333331</v>
          </cell>
          <cell r="V7">
            <v>166.66666666666666</v>
          </cell>
          <cell r="W7">
            <v>187.5</v>
          </cell>
          <cell r="X7">
            <v>208.33333333333334</v>
          </cell>
          <cell r="Y7">
            <v>229.16666666666669</v>
          </cell>
          <cell r="Z7">
            <v>250.00000000000003</v>
          </cell>
          <cell r="AA7">
            <v>270.83333333333337</v>
          </cell>
          <cell r="AB7">
            <v>291.66666666666669</v>
          </cell>
          <cell r="AC7">
            <v>312.5</v>
          </cell>
          <cell r="AD7">
            <v>333.33333333333331</v>
          </cell>
          <cell r="AE7">
            <v>354.16666666666663</v>
          </cell>
          <cell r="AF7">
            <v>374.99999999999994</v>
          </cell>
          <cell r="AG7">
            <v>395.83333333333326</v>
          </cell>
          <cell r="AH7">
            <v>416.66666666666657</v>
          </cell>
          <cell r="AI7">
            <v>437.49999999999989</v>
          </cell>
          <cell r="AJ7">
            <v>458.3333333333332</v>
          </cell>
          <cell r="AK7">
            <v>479.16666666666652</v>
          </cell>
          <cell r="AL7">
            <v>499.99999999999983</v>
          </cell>
          <cell r="AM7">
            <v>520.83333333333314</v>
          </cell>
          <cell r="AN7">
            <v>541.66666666666652</v>
          </cell>
          <cell r="AO7">
            <v>562.49999999999989</v>
          </cell>
          <cell r="AP7">
            <v>583.33333333333326</v>
          </cell>
          <cell r="AQ7">
            <v>604.16666666666663</v>
          </cell>
          <cell r="AR7">
            <v>625</v>
          </cell>
          <cell r="AS7">
            <v>645.83333333333337</v>
          </cell>
          <cell r="AT7">
            <v>666.66666666666674</v>
          </cell>
          <cell r="AU7">
            <v>687.50000000000011</v>
          </cell>
          <cell r="AV7">
            <v>708.33333333333348</v>
          </cell>
          <cell r="AW7">
            <v>729.16666666666686</v>
          </cell>
          <cell r="AX7">
            <v>750.00000000000023</v>
          </cell>
          <cell r="AY7">
            <v>770.8333333333336</v>
          </cell>
          <cell r="AZ7">
            <v>791.66666666666697</v>
          </cell>
          <cell r="BA7">
            <v>812.50000000000034</v>
          </cell>
          <cell r="BB7">
            <v>833.33333333333371</v>
          </cell>
          <cell r="BC7">
            <v>854.16666666666708</v>
          </cell>
          <cell r="BD7">
            <v>875.00000000000045</v>
          </cell>
          <cell r="BE7">
            <v>895.83333333333383</v>
          </cell>
          <cell r="BF7">
            <v>916.6666666666672</v>
          </cell>
          <cell r="BG7">
            <v>937.50000000000057</v>
          </cell>
          <cell r="BH7">
            <v>958.33333333333394</v>
          </cell>
          <cell r="BI7">
            <v>979.16666666666731</v>
          </cell>
          <cell r="BJ7">
            <v>1000.0000000000007</v>
          </cell>
          <cell r="BK7">
            <v>1020.8333333333341</v>
          </cell>
          <cell r="BL7">
            <v>1041.6666666666674</v>
          </cell>
          <cell r="BM7">
            <v>1062.5000000000007</v>
          </cell>
          <cell r="BN7">
            <v>1083.3333333333339</v>
          </cell>
          <cell r="BO7">
            <v>1104.1666666666672</v>
          </cell>
          <cell r="BP7">
            <v>1125.0000000000005</v>
          </cell>
          <cell r="BQ7">
            <v>1145.8333333333337</v>
          </cell>
          <cell r="BR7">
            <v>1166.666666666667</v>
          </cell>
          <cell r="BS7">
            <v>1187.5000000000002</v>
          </cell>
          <cell r="BT7">
            <v>1208.3333333333335</v>
          </cell>
          <cell r="BU7">
            <v>1229.1666666666667</v>
          </cell>
          <cell r="BV7">
            <v>1250</v>
          </cell>
          <cell r="BW7">
            <v>1270.8333333333333</v>
          </cell>
          <cell r="BX7">
            <v>1291.6666666666665</v>
          </cell>
          <cell r="BY7">
            <v>1312.4999999999998</v>
          </cell>
          <cell r="BZ7">
            <v>1333.333333333333</v>
          </cell>
          <cell r="CA7">
            <v>1354.1666666666663</v>
          </cell>
          <cell r="CB7">
            <v>1374.9999999999995</v>
          </cell>
          <cell r="CC7">
            <v>1395.8333333333328</v>
          </cell>
          <cell r="CD7">
            <v>1416.6666666666661</v>
          </cell>
          <cell r="CE7">
            <v>1437.4999999999993</v>
          </cell>
          <cell r="CF7">
            <v>1458.3333333333326</v>
          </cell>
          <cell r="CG7">
            <v>1479.1666666666658</v>
          </cell>
          <cell r="CH7">
            <v>1499.9999999999991</v>
          </cell>
          <cell r="CI7">
            <v>1520.8333333333323</v>
          </cell>
          <cell r="CJ7">
            <v>1541.6666666666656</v>
          </cell>
          <cell r="CK7">
            <v>1562.4999999999989</v>
          </cell>
          <cell r="CL7">
            <v>1583.3333333333321</v>
          </cell>
          <cell r="CM7">
            <v>1604.1666666666654</v>
          </cell>
          <cell r="CN7">
            <v>1624.9999999999986</v>
          </cell>
          <cell r="CO7">
            <v>1645.8333333333319</v>
          </cell>
          <cell r="CP7">
            <v>1666.6666666666652</v>
          </cell>
          <cell r="CQ7">
            <v>1687.4999999999984</v>
          </cell>
          <cell r="CR7">
            <v>1708.3333333333317</v>
          </cell>
          <cell r="CS7">
            <v>1729.1666666666649</v>
          </cell>
          <cell r="CT7">
            <v>1749.9999999999982</v>
          </cell>
          <cell r="CU7">
            <v>1770.8333333333314</v>
          </cell>
          <cell r="CV7">
            <v>1791.6666666666647</v>
          </cell>
          <cell r="CW7">
            <v>1812.499999999998</v>
          </cell>
          <cell r="CX7">
            <v>1833.3333333333312</v>
          </cell>
          <cell r="CY7">
            <v>1854.1666666666645</v>
          </cell>
          <cell r="CZ7">
            <v>1874.9999999999977</v>
          </cell>
          <cell r="DA7">
            <v>1895.833333333331</v>
          </cell>
          <cell r="DB7">
            <v>1916.6666666666642</v>
          </cell>
          <cell r="DC7">
            <v>1937.4999999999975</v>
          </cell>
          <cell r="DD7">
            <v>1958.3333333333308</v>
          </cell>
          <cell r="DE7">
            <v>1979.166666666664</v>
          </cell>
          <cell r="DF7">
            <v>1999.9999999999973</v>
          </cell>
          <cell r="DG7">
            <v>2020.8333333333305</v>
          </cell>
          <cell r="DH7">
            <v>2041.6666666666638</v>
          </cell>
          <cell r="DI7">
            <v>2062.4999999999973</v>
          </cell>
          <cell r="DJ7">
            <v>2083.3333333333308</v>
          </cell>
          <cell r="DK7">
            <v>2104.1666666666642</v>
          </cell>
          <cell r="DL7">
            <v>2124.9999999999977</v>
          </cell>
          <cell r="DM7">
            <v>2145.8333333333312</v>
          </cell>
          <cell r="DN7">
            <v>2166.6666666666647</v>
          </cell>
          <cell r="DO7">
            <v>2187.4999999999982</v>
          </cell>
          <cell r="DP7">
            <v>2208.3333333333317</v>
          </cell>
          <cell r="DQ7">
            <v>2229.1666666666652</v>
          </cell>
          <cell r="DR7">
            <v>2249.9999999999986</v>
          </cell>
          <cell r="DS7">
            <v>2270.8333333333321</v>
          </cell>
          <cell r="DT7">
            <v>2291.6666666666656</v>
          </cell>
          <cell r="DU7">
            <v>2312.4999999999991</v>
          </cell>
          <cell r="DV7">
            <v>2333.3333333333326</v>
          </cell>
          <cell r="DW7">
            <v>2354.1666666666661</v>
          </cell>
          <cell r="DX7">
            <v>2374.9999999999995</v>
          </cell>
          <cell r="DY7">
            <v>2395.833333333333</v>
          </cell>
          <cell r="DZ7">
            <v>2416.6666666666665</v>
          </cell>
          <cell r="EA7">
            <v>2437.5</v>
          </cell>
          <cell r="EB7">
            <v>2458.3333333333335</v>
          </cell>
          <cell r="EC7">
            <v>2479.166666666667</v>
          </cell>
          <cell r="ED7">
            <v>2500.0000000000005</v>
          </cell>
          <cell r="EE7">
            <v>2520.8333333333339</v>
          </cell>
          <cell r="EF7">
            <v>2541.6666666666674</v>
          </cell>
          <cell r="EG7">
            <v>2562.5000000000009</v>
          </cell>
          <cell r="EH7">
            <v>2583.3333333333344</v>
          </cell>
          <cell r="EI7">
            <v>2604.1666666666679</v>
          </cell>
          <cell r="EJ7">
            <v>2625.0000000000014</v>
          </cell>
          <cell r="EK7">
            <v>2645.8333333333348</v>
          </cell>
          <cell r="EL7">
            <v>2666.6666666666683</v>
          </cell>
          <cell r="EM7">
            <v>2687.5000000000018</v>
          </cell>
          <cell r="EN7">
            <v>2708.3333333333353</v>
          </cell>
          <cell r="EO7">
            <v>2729.1666666666688</v>
          </cell>
          <cell r="EP7">
            <v>2750.0000000000023</v>
          </cell>
          <cell r="EQ7">
            <v>2770.8333333333358</v>
          </cell>
          <cell r="ER7">
            <v>2791.6666666666692</v>
          </cell>
          <cell r="ES7">
            <v>2812.5000000000027</v>
          </cell>
          <cell r="ET7">
            <v>2833.3333333333362</v>
          </cell>
          <cell r="EU7">
            <v>2854.1666666666697</v>
          </cell>
          <cell r="EV7">
            <v>2875.0000000000032</v>
          </cell>
          <cell r="EW7">
            <v>2895.8333333333367</v>
          </cell>
          <cell r="EX7">
            <v>2916.6666666666702</v>
          </cell>
          <cell r="EY7">
            <v>2937.5000000000036</v>
          </cell>
          <cell r="EZ7">
            <v>2958.3333333333371</v>
          </cell>
          <cell r="FA7">
            <v>2979.1666666666706</v>
          </cell>
          <cell r="FB7">
            <v>3000.0000000000041</v>
          </cell>
          <cell r="FC7">
            <v>3020.8333333333376</v>
          </cell>
          <cell r="FD7">
            <v>3041.6666666666711</v>
          </cell>
          <cell r="FE7">
            <v>3062.5000000000045</v>
          </cell>
          <cell r="FF7">
            <v>3083.333333333338</v>
          </cell>
          <cell r="FG7">
            <v>3104.1666666666715</v>
          </cell>
          <cell r="FH7">
            <v>3125.000000000005</v>
          </cell>
          <cell r="FI7">
            <v>3145.8333333333385</v>
          </cell>
          <cell r="FJ7">
            <v>3166.666666666672</v>
          </cell>
          <cell r="FK7">
            <v>3187.5000000000055</v>
          </cell>
          <cell r="FL7">
            <v>3208.3333333333389</v>
          </cell>
          <cell r="FM7">
            <v>3229.1666666666724</v>
          </cell>
          <cell r="FN7">
            <v>3250.0000000000059</v>
          </cell>
          <cell r="FO7">
            <v>3270.8333333333394</v>
          </cell>
          <cell r="FP7">
            <v>3291.6666666666729</v>
          </cell>
          <cell r="FQ7">
            <v>3312.5000000000064</v>
          </cell>
          <cell r="FR7">
            <v>3333.3333333333399</v>
          </cell>
          <cell r="FS7">
            <v>3354.1666666666733</v>
          </cell>
          <cell r="FT7">
            <v>3375.0000000000068</v>
          </cell>
          <cell r="FU7">
            <v>3395.8333333333403</v>
          </cell>
          <cell r="FV7">
            <v>3416.6666666666738</v>
          </cell>
          <cell r="FW7">
            <v>3437.5000000000073</v>
          </cell>
          <cell r="FX7">
            <v>3458.3333333333408</v>
          </cell>
          <cell r="FY7">
            <v>3479.1666666666742</v>
          </cell>
          <cell r="FZ7">
            <v>3500.0000000000077</v>
          </cell>
          <cell r="GA7">
            <v>3520.8333333333412</v>
          </cell>
          <cell r="GB7">
            <v>3541.6666666666747</v>
          </cell>
          <cell r="GC7">
            <v>3562.5000000000082</v>
          </cell>
          <cell r="GD7">
            <v>3583.3333333333417</v>
          </cell>
          <cell r="GE7">
            <v>3604.1666666666752</v>
          </cell>
          <cell r="GF7">
            <v>3625.0000000000086</v>
          </cell>
          <cell r="GG7">
            <v>3645.8333333333421</v>
          </cell>
          <cell r="GH7">
            <v>3666.6666666666756</v>
          </cell>
          <cell r="GI7">
            <v>3687.5000000000091</v>
          </cell>
          <cell r="GJ7">
            <v>3708.3333333333426</v>
          </cell>
          <cell r="GK7">
            <v>3729.1666666666761</v>
          </cell>
          <cell r="GL7">
            <v>3750.0000000000095</v>
          </cell>
          <cell r="GM7">
            <v>3770.833333333343</v>
          </cell>
          <cell r="GN7">
            <v>3791.6666666666765</v>
          </cell>
          <cell r="GO7">
            <v>3812.50000000001</v>
          </cell>
          <cell r="GP7">
            <v>3833.3333333333435</v>
          </cell>
          <cell r="GQ7">
            <v>3854.166666666677</v>
          </cell>
          <cell r="GR7">
            <v>3875.0000000000105</v>
          </cell>
          <cell r="GS7">
            <v>3895.8333333333439</v>
          </cell>
          <cell r="GT7">
            <v>3916.6666666666774</v>
          </cell>
          <cell r="GU7">
            <v>3937.5000000000109</v>
          </cell>
          <cell r="GV7">
            <v>3958.3333333333444</v>
          </cell>
          <cell r="GW7">
            <v>3979.1666666666779</v>
          </cell>
          <cell r="GX7">
            <v>4000.0000000000114</v>
          </cell>
          <cell r="GY7">
            <v>4020.8333333333449</v>
          </cell>
          <cell r="GZ7">
            <v>4041.6666666666783</v>
          </cell>
          <cell r="HA7">
            <v>4062.5000000000118</v>
          </cell>
          <cell r="HB7">
            <v>4083.3333333333453</v>
          </cell>
          <cell r="HC7">
            <v>4104.1666666666788</v>
          </cell>
          <cell r="HD7">
            <v>4125.0000000000118</v>
          </cell>
          <cell r="HE7">
            <v>4145.8333333333449</v>
          </cell>
          <cell r="HF7">
            <v>4166.6666666666779</v>
          </cell>
        </row>
        <row r="10">
          <cell r="N10">
            <v>0</v>
          </cell>
          <cell r="O10">
            <v>7.25</v>
          </cell>
          <cell r="P10">
            <v>7.25</v>
          </cell>
          <cell r="Q10">
            <v>7.25</v>
          </cell>
          <cell r="R10">
            <v>7.25</v>
          </cell>
          <cell r="S10">
            <v>7.25</v>
          </cell>
          <cell r="T10">
            <v>7.25</v>
          </cell>
          <cell r="U10">
            <v>7.25</v>
          </cell>
          <cell r="V10">
            <v>7.25</v>
          </cell>
          <cell r="W10">
            <v>7.25</v>
          </cell>
          <cell r="X10">
            <v>7.25</v>
          </cell>
          <cell r="Y10">
            <v>7.25</v>
          </cell>
          <cell r="Z10">
            <v>7.25</v>
          </cell>
          <cell r="AA10">
            <v>7.25</v>
          </cell>
          <cell r="AB10">
            <v>7.25</v>
          </cell>
          <cell r="AC10">
            <v>7.25</v>
          </cell>
          <cell r="AD10">
            <v>7.25</v>
          </cell>
          <cell r="AE10">
            <v>7.25</v>
          </cell>
          <cell r="AF10">
            <v>7.25</v>
          </cell>
          <cell r="AG10">
            <v>7.25</v>
          </cell>
          <cell r="AH10">
            <v>7.25</v>
          </cell>
          <cell r="AI10">
            <v>7.25</v>
          </cell>
          <cell r="AJ10">
            <v>7.25</v>
          </cell>
          <cell r="AK10">
            <v>7.25</v>
          </cell>
          <cell r="AL10">
            <v>7.25</v>
          </cell>
          <cell r="AM10">
            <v>7.25</v>
          </cell>
          <cell r="AN10">
            <v>7.25</v>
          </cell>
          <cell r="AO10">
            <v>7.25</v>
          </cell>
          <cell r="AP10">
            <v>7.25</v>
          </cell>
          <cell r="AQ10">
            <v>7.25</v>
          </cell>
          <cell r="AR10">
            <v>7.25</v>
          </cell>
          <cell r="AS10">
            <v>7.25</v>
          </cell>
          <cell r="AT10">
            <v>7.6659822039698833</v>
          </cell>
          <cell r="AU10">
            <v>7.9055441478439423</v>
          </cell>
          <cell r="AV10">
            <v>8.1451060917180005</v>
          </cell>
          <cell r="AW10">
            <v>8.3846680355920604</v>
          </cell>
          <cell r="AX10">
            <v>8.6242299794661186</v>
          </cell>
          <cell r="AY10">
            <v>8.8637919233401767</v>
          </cell>
          <cell r="AZ10">
            <v>9.1033538672142367</v>
          </cell>
          <cell r="BA10">
            <v>9.3429158110882948</v>
          </cell>
          <cell r="BB10">
            <v>9.5824777549623548</v>
          </cell>
          <cell r="BC10">
            <v>9.8220396988364129</v>
          </cell>
          <cell r="BD10">
            <v>10.061601642710471</v>
          </cell>
          <cell r="BE10">
            <v>10.301163586584531</v>
          </cell>
          <cell r="BF10">
            <v>10.540725530458589</v>
          </cell>
          <cell r="BG10">
            <v>10.780287474332649</v>
          </cell>
          <cell r="BH10">
            <v>11.019849418206707</v>
          </cell>
          <cell r="BI10">
            <v>11.259411362080765</v>
          </cell>
          <cell r="BJ10">
            <v>11.498973305954825</v>
          </cell>
          <cell r="BK10">
            <v>11.738535249828884</v>
          </cell>
          <cell r="BL10">
            <v>11.978097193702943</v>
          </cell>
          <cell r="BM10">
            <v>12.217659137577002</v>
          </cell>
          <cell r="BN10">
            <v>12.45722108145106</v>
          </cell>
          <cell r="BO10">
            <v>12.69678302532512</v>
          </cell>
          <cell r="BP10">
            <v>12.936344969199178</v>
          </cell>
          <cell r="BQ10">
            <v>13.175906913073238</v>
          </cell>
          <cell r="BR10">
            <v>13.415468856947296</v>
          </cell>
          <cell r="BS10">
            <v>13.655030800821354</v>
          </cell>
          <cell r="BT10">
            <v>13.894592744695414</v>
          </cell>
          <cell r="BU10">
            <v>14.134154688569472</v>
          </cell>
          <cell r="BV10">
            <v>14.373716632443532</v>
          </cell>
          <cell r="BW10">
            <v>14.61327857631759</v>
          </cell>
          <cell r="BX10">
            <v>14.852840520191648</v>
          </cell>
          <cell r="BY10">
            <v>15.092402464065708</v>
          </cell>
          <cell r="BZ10">
            <v>15.331964407939767</v>
          </cell>
          <cell r="CA10">
            <v>15.571526351813825</v>
          </cell>
          <cell r="CB10">
            <v>15.811088295687885</v>
          </cell>
          <cell r="CC10">
            <v>16.050650239561943</v>
          </cell>
          <cell r="CD10">
            <v>16.290212183436001</v>
          </cell>
          <cell r="CE10">
            <v>16.529774127310063</v>
          </cell>
          <cell r="CF10">
            <v>16.769336071184121</v>
          </cell>
          <cell r="CG10">
            <v>17.008898015058179</v>
          </cell>
          <cell r="CH10">
            <v>17.248459958932237</v>
          </cell>
          <cell r="CI10">
            <v>17.488021902806295</v>
          </cell>
          <cell r="CJ10">
            <v>17.727583846680353</v>
          </cell>
          <cell r="CK10">
            <v>17.967145790554415</v>
          </cell>
          <cell r="CL10">
            <v>18.206707734428473</v>
          </cell>
          <cell r="CM10">
            <v>18.446269678302532</v>
          </cell>
          <cell r="CN10">
            <v>18.68583162217659</v>
          </cell>
          <cell r="CO10">
            <v>18.925393566050648</v>
          </cell>
          <cell r="CP10">
            <v>19.16495550992471</v>
          </cell>
          <cell r="CQ10">
            <v>19.404517453798768</v>
          </cell>
          <cell r="CR10">
            <v>19.644079397672826</v>
          </cell>
          <cell r="CS10">
            <v>19.883641341546884</v>
          </cell>
          <cell r="CT10">
            <v>20.123203285420942</v>
          </cell>
          <cell r="CU10">
            <v>20.362765229295004</v>
          </cell>
          <cell r="CV10">
            <v>20.602327173169062</v>
          </cell>
          <cell r="CW10">
            <v>20.84188911704312</v>
          </cell>
          <cell r="CX10">
            <v>21.081451060917178</v>
          </cell>
          <cell r="CY10">
            <v>21.321013004791237</v>
          </cell>
          <cell r="CZ10">
            <v>21.560574948665298</v>
          </cell>
          <cell r="DA10">
            <v>21.800136892539356</v>
          </cell>
          <cell r="DB10">
            <v>22.039698836413415</v>
          </cell>
          <cell r="DC10">
            <v>22.279260780287473</v>
          </cell>
          <cell r="DD10">
            <v>22.518822724161531</v>
          </cell>
          <cell r="DE10">
            <v>22.758384668035593</v>
          </cell>
          <cell r="DF10">
            <v>22.997946611909651</v>
          </cell>
          <cell r="DG10">
            <v>23.237508555783709</v>
          </cell>
          <cell r="DH10">
            <v>23.477070499657767</v>
          </cell>
          <cell r="DI10">
            <v>23.716632443531825</v>
          </cell>
          <cell r="DJ10">
            <v>23.956194387405887</v>
          </cell>
          <cell r="DK10">
            <v>24.195756331279945</v>
          </cell>
          <cell r="DL10">
            <v>24.435318275154003</v>
          </cell>
          <cell r="DM10">
            <v>24.674880219028061</v>
          </cell>
          <cell r="DN10">
            <v>24.91444216290212</v>
          </cell>
          <cell r="DO10">
            <v>25.154004106776181</v>
          </cell>
          <cell r="DP10">
            <v>25.393566050650239</v>
          </cell>
          <cell r="DQ10">
            <v>25.633127994524298</v>
          </cell>
          <cell r="DR10">
            <v>25.872689938398356</v>
          </cell>
          <cell r="DS10">
            <v>26.112251882272414</v>
          </cell>
          <cell r="DT10">
            <v>26.351813826146476</v>
          </cell>
          <cell r="DU10">
            <v>26.591375770020534</v>
          </cell>
          <cell r="DV10">
            <v>26.830937713894592</v>
          </cell>
          <cell r="DW10">
            <v>27.07049965776865</v>
          </cell>
          <cell r="DX10">
            <v>27.310061601642708</v>
          </cell>
          <cell r="DY10">
            <v>27.54962354551677</v>
          </cell>
          <cell r="DZ10">
            <v>27.789185489390828</v>
          </cell>
          <cell r="EA10">
            <v>28.028747433264886</v>
          </cell>
          <cell r="EB10">
            <v>28.268309377138944</v>
          </cell>
          <cell r="EC10">
            <v>28.507871321013003</v>
          </cell>
          <cell r="ED10">
            <v>28.747433264887064</v>
          </cell>
          <cell r="EE10">
            <v>28.986995208761122</v>
          </cell>
          <cell r="EF10">
            <v>29.226557152635181</v>
          </cell>
          <cell r="EG10">
            <v>29.466119096509239</v>
          </cell>
          <cell r="EH10">
            <v>29.705681040383297</v>
          </cell>
          <cell r="EI10">
            <v>29.945242984257355</v>
          </cell>
          <cell r="EJ10">
            <v>30.184804928131417</v>
          </cell>
          <cell r="EK10">
            <v>30.424366872005475</v>
          </cell>
          <cell r="EL10">
            <v>30.663928815879533</v>
          </cell>
          <cell r="EM10">
            <v>30.903490759753591</v>
          </cell>
          <cell r="EN10">
            <v>31.143052703627649</v>
          </cell>
          <cell r="EO10">
            <v>31.382614647501711</v>
          </cell>
          <cell r="EP10">
            <v>31.622176591375769</v>
          </cell>
          <cell r="EQ10">
            <v>31.861738535249827</v>
          </cell>
          <cell r="ER10">
            <v>32.101300479123886</v>
          </cell>
          <cell r="ES10">
            <v>32.340862422997944</v>
          </cell>
          <cell r="ET10">
            <v>32.580424366872002</v>
          </cell>
          <cell r="EU10">
            <v>32.81998631074606</v>
          </cell>
          <cell r="EV10">
            <v>33.059548254620125</v>
          </cell>
          <cell r="EW10">
            <v>33.299110198494184</v>
          </cell>
          <cell r="EX10">
            <v>33.538672142368242</v>
          </cell>
          <cell r="EY10">
            <v>33.7782340862423</v>
          </cell>
          <cell r="EZ10">
            <v>34.017796030116358</v>
          </cell>
          <cell r="FA10">
            <v>34.257357973990416</v>
          </cell>
          <cell r="FB10">
            <v>34.496919917864474</v>
          </cell>
          <cell r="FC10">
            <v>34.736481861738532</v>
          </cell>
          <cell r="FD10">
            <v>34.976043805612591</v>
          </cell>
          <cell r="FE10">
            <v>35.215605749486649</v>
          </cell>
          <cell r="FF10">
            <v>35.455167693360707</v>
          </cell>
          <cell r="FG10">
            <v>35.694729637234772</v>
          </cell>
          <cell r="FH10">
            <v>35.93429158110883</v>
          </cell>
          <cell r="FI10">
            <v>36.173853524982889</v>
          </cell>
          <cell r="FJ10">
            <v>36.413415468856947</v>
          </cell>
          <cell r="FK10">
            <v>36.652977412731005</v>
          </cell>
          <cell r="FL10">
            <v>36.892539356605063</v>
          </cell>
          <cell r="FM10">
            <v>37.132101300479121</v>
          </cell>
          <cell r="FN10">
            <v>37.371663244353179</v>
          </cell>
          <cell r="FO10">
            <v>37.611225188227237</v>
          </cell>
          <cell r="FP10">
            <v>37.850787132101296</v>
          </cell>
          <cell r="FQ10">
            <v>38.090349075975361</v>
          </cell>
          <cell r="FR10">
            <v>38.329911019849419</v>
          </cell>
          <cell r="FS10">
            <v>38.569472963723477</v>
          </cell>
          <cell r="FT10">
            <v>38.809034907597535</v>
          </cell>
          <cell r="FU10">
            <v>39.048596851471594</v>
          </cell>
          <cell r="FV10">
            <v>39.288158795345652</v>
          </cell>
          <cell r="FW10">
            <v>39.52772073921971</v>
          </cell>
          <cell r="FX10">
            <v>39.767282683093768</v>
          </cell>
          <cell r="FY10">
            <v>40.006844626967826</v>
          </cell>
          <cell r="FZ10">
            <v>40.246406570841884</v>
          </cell>
          <cell r="GA10">
            <v>40.48596851471595</v>
          </cell>
          <cell r="GB10">
            <v>40.725530458590008</v>
          </cell>
          <cell r="GC10">
            <v>40.965092402464066</v>
          </cell>
          <cell r="GD10">
            <v>41.204654346338124</v>
          </cell>
          <cell r="GE10">
            <v>41.444216290212182</v>
          </cell>
          <cell r="GF10">
            <v>41.68377823408624</v>
          </cell>
          <cell r="GG10">
            <v>41.923340177960299</v>
          </cell>
          <cell r="GH10">
            <v>42.162902121834357</v>
          </cell>
          <cell r="GI10">
            <v>42.402464065708415</v>
          </cell>
          <cell r="GJ10">
            <v>42.642026009582473</v>
          </cell>
          <cell r="GK10">
            <v>42.881587953456538</v>
          </cell>
          <cell r="GL10">
            <v>43.121149897330596</v>
          </cell>
          <cell r="GM10">
            <v>43.360711841204655</v>
          </cell>
          <cell r="GN10">
            <v>43.600273785078713</v>
          </cell>
          <cell r="GO10">
            <v>43.839835728952771</v>
          </cell>
          <cell r="GP10">
            <v>44.079397672826829</v>
          </cell>
          <cell r="GQ10">
            <v>44.318959616700887</v>
          </cell>
          <cell r="GR10">
            <v>44.558521560574945</v>
          </cell>
          <cell r="GS10">
            <v>44.798083504449004</v>
          </cell>
          <cell r="GT10">
            <v>45.037645448323062</v>
          </cell>
          <cell r="GU10">
            <v>45.277207392197127</v>
          </cell>
          <cell r="GV10">
            <v>45.516769336071185</v>
          </cell>
          <cell r="GW10">
            <v>45.756331279945243</v>
          </cell>
          <cell r="GX10">
            <v>45.995893223819301</v>
          </cell>
          <cell r="GY10">
            <v>46.23545516769336</v>
          </cell>
          <cell r="GZ10">
            <v>46.475017111567418</v>
          </cell>
          <cell r="HA10">
            <v>46.714579055441476</v>
          </cell>
          <cell r="HB10">
            <v>46.954140999315534</v>
          </cell>
          <cell r="HC10">
            <v>47.193702943189592</v>
          </cell>
          <cell r="HD10">
            <v>47.43326488706365</v>
          </cell>
          <cell r="HE10">
            <v>47.672826830937709</v>
          </cell>
          <cell r="HF10">
            <v>47.912388774811774</v>
          </cell>
        </row>
        <row r="45">
          <cell r="N45">
            <v>0</v>
          </cell>
          <cell r="O45">
            <v>41.666666666666664</v>
          </cell>
          <cell r="P45">
            <v>83.333333333333329</v>
          </cell>
          <cell r="Q45">
            <v>125</v>
          </cell>
          <cell r="R45">
            <v>166.66666666666666</v>
          </cell>
          <cell r="S45">
            <v>208.33333333333331</v>
          </cell>
          <cell r="T45">
            <v>249.99999999999997</v>
          </cell>
          <cell r="U45">
            <v>291.66666666666663</v>
          </cell>
          <cell r="V45">
            <v>333.33333333333331</v>
          </cell>
          <cell r="W45">
            <v>375</v>
          </cell>
          <cell r="X45">
            <v>416.66666666666669</v>
          </cell>
          <cell r="Y45">
            <v>458.33333333333337</v>
          </cell>
          <cell r="Z45">
            <v>500.00000000000006</v>
          </cell>
          <cell r="AA45">
            <v>541.66666666666674</v>
          </cell>
          <cell r="AB45">
            <v>583.33333333333337</v>
          </cell>
          <cell r="AC45">
            <v>625</v>
          </cell>
          <cell r="AD45">
            <v>666.66666666666663</v>
          </cell>
          <cell r="AE45">
            <v>708.33333333333326</v>
          </cell>
          <cell r="AF45">
            <v>749.99999999999989</v>
          </cell>
          <cell r="AG45">
            <v>791.66666666666652</v>
          </cell>
          <cell r="AH45">
            <v>833.33333333333314</v>
          </cell>
          <cell r="AI45">
            <v>874.99999999999977</v>
          </cell>
          <cell r="AJ45">
            <v>916.6666666666664</v>
          </cell>
          <cell r="AK45">
            <v>958.33333333333303</v>
          </cell>
          <cell r="AL45">
            <v>999.99999999999966</v>
          </cell>
          <cell r="AM45">
            <v>1041.6666666666663</v>
          </cell>
          <cell r="AN45">
            <v>1083.333333333333</v>
          </cell>
          <cell r="AO45">
            <v>1124.9999999999998</v>
          </cell>
          <cell r="AP45">
            <v>1166.6666666666665</v>
          </cell>
          <cell r="AQ45">
            <v>1208.3333333333333</v>
          </cell>
          <cell r="AR45">
            <v>1250</v>
          </cell>
          <cell r="AS45">
            <v>1291.6666666666667</v>
          </cell>
          <cell r="AT45">
            <v>1333.3333333333335</v>
          </cell>
          <cell r="AU45">
            <v>1375.0000000000002</v>
          </cell>
          <cell r="AV45">
            <v>1416.666666666667</v>
          </cell>
          <cell r="AW45">
            <v>1458.3333333333337</v>
          </cell>
          <cell r="AX45">
            <v>1500.0000000000005</v>
          </cell>
          <cell r="AY45">
            <v>1541.6666666666672</v>
          </cell>
          <cell r="AZ45">
            <v>1583.3333333333339</v>
          </cell>
          <cell r="BA45">
            <v>1625.0000000000007</v>
          </cell>
          <cell r="BB45">
            <v>1666.6666666666674</v>
          </cell>
          <cell r="BC45">
            <v>1708.3333333333342</v>
          </cell>
          <cell r="BD45">
            <v>1750.0000000000009</v>
          </cell>
          <cell r="BE45">
            <v>1791.6666666666677</v>
          </cell>
          <cell r="BF45">
            <v>1833.3333333333344</v>
          </cell>
          <cell r="BG45">
            <v>1875.0000000000011</v>
          </cell>
          <cell r="BH45">
            <v>1916.6666666666679</v>
          </cell>
          <cell r="BI45">
            <v>1958.3333333333346</v>
          </cell>
          <cell r="BJ45">
            <v>2000.0000000000014</v>
          </cell>
          <cell r="BK45">
            <v>2041.6666666666681</v>
          </cell>
          <cell r="BL45">
            <v>2083.3333333333348</v>
          </cell>
          <cell r="BM45">
            <v>2125.0000000000014</v>
          </cell>
          <cell r="BN45">
            <v>2166.6666666666679</v>
          </cell>
          <cell r="BO45">
            <v>2208.3333333333344</v>
          </cell>
          <cell r="BP45">
            <v>2250.0000000000009</v>
          </cell>
          <cell r="BQ45">
            <v>2291.6666666666674</v>
          </cell>
          <cell r="BR45">
            <v>2333.3333333333339</v>
          </cell>
          <cell r="BS45">
            <v>2375.0000000000005</v>
          </cell>
          <cell r="BT45">
            <v>2416.666666666667</v>
          </cell>
          <cell r="BU45">
            <v>2458.3333333333335</v>
          </cell>
          <cell r="BV45">
            <v>2500</v>
          </cell>
          <cell r="BW45">
            <v>2541.6666666666665</v>
          </cell>
          <cell r="BX45">
            <v>2583.333333333333</v>
          </cell>
          <cell r="BY45">
            <v>2624.9999999999995</v>
          </cell>
          <cell r="BZ45">
            <v>2666.6666666666661</v>
          </cell>
          <cell r="CA45">
            <v>2708.3333333333326</v>
          </cell>
          <cell r="CB45">
            <v>2749.9999999999991</v>
          </cell>
          <cell r="CC45">
            <v>2791.6666666666656</v>
          </cell>
          <cell r="CD45">
            <v>2833.3333333333321</v>
          </cell>
          <cell r="CE45">
            <v>2874.9999999999986</v>
          </cell>
          <cell r="CF45">
            <v>2916.6666666666652</v>
          </cell>
          <cell r="CG45">
            <v>2958.3333333333317</v>
          </cell>
          <cell r="CH45">
            <v>2999.9999999999982</v>
          </cell>
          <cell r="CI45">
            <v>3041.6666666666647</v>
          </cell>
          <cell r="CJ45">
            <v>3083.3333333333312</v>
          </cell>
          <cell r="CK45">
            <v>3124.9999999999977</v>
          </cell>
          <cell r="CL45">
            <v>3166.6666666666642</v>
          </cell>
          <cell r="CM45">
            <v>3208.3333333333308</v>
          </cell>
          <cell r="CN45">
            <v>3249.9999999999973</v>
          </cell>
          <cell r="CO45">
            <v>3291.6666666666638</v>
          </cell>
          <cell r="CP45">
            <v>3333.3333333333303</v>
          </cell>
          <cell r="CQ45">
            <v>3374.9999999999968</v>
          </cell>
          <cell r="CR45">
            <v>3416.6666666666633</v>
          </cell>
          <cell r="CS45">
            <v>3458.3333333333298</v>
          </cell>
          <cell r="CT45">
            <v>3499.9999999999964</v>
          </cell>
          <cell r="CU45">
            <v>3541.6666666666629</v>
          </cell>
          <cell r="CV45">
            <v>3583.3333333333294</v>
          </cell>
          <cell r="CW45">
            <v>3624.9999999999959</v>
          </cell>
          <cell r="CX45">
            <v>3666.6666666666624</v>
          </cell>
          <cell r="CY45">
            <v>3708.3333333333289</v>
          </cell>
          <cell r="CZ45">
            <v>3749.9999999999955</v>
          </cell>
          <cell r="DA45">
            <v>3791.666666666662</v>
          </cell>
          <cell r="DB45">
            <v>3833.3333333333285</v>
          </cell>
          <cell r="DC45">
            <v>3874.999999999995</v>
          </cell>
          <cell r="DD45">
            <v>3916.6666666666615</v>
          </cell>
          <cell r="DE45">
            <v>3958.333333333328</v>
          </cell>
          <cell r="DF45">
            <v>3999.9999999999945</v>
          </cell>
          <cell r="DG45">
            <v>4041.6666666666611</v>
          </cell>
          <cell r="DH45">
            <v>4083.3333333333276</v>
          </cell>
          <cell r="DI45">
            <v>4124.9999999999945</v>
          </cell>
          <cell r="DJ45">
            <v>4166.6666666666615</v>
          </cell>
          <cell r="DK45">
            <v>4208.3333333333285</v>
          </cell>
          <cell r="DL45">
            <v>4249.9999999999955</v>
          </cell>
          <cell r="DM45">
            <v>4291.6666666666624</v>
          </cell>
          <cell r="DN45">
            <v>4333.3333333333294</v>
          </cell>
          <cell r="DO45">
            <v>4374.9999999999964</v>
          </cell>
          <cell r="DP45">
            <v>4416.6666666666633</v>
          </cell>
          <cell r="DQ45">
            <v>4458.3333333333303</v>
          </cell>
          <cell r="DR45">
            <v>4499.9999999999973</v>
          </cell>
          <cell r="DS45">
            <v>4541.6666666666642</v>
          </cell>
          <cell r="DT45">
            <v>4583.3333333333312</v>
          </cell>
          <cell r="DU45">
            <v>4624.9999999999982</v>
          </cell>
          <cell r="DV45">
            <v>4666.6666666666652</v>
          </cell>
          <cell r="DW45">
            <v>4708.3333333333321</v>
          </cell>
          <cell r="DX45">
            <v>4749.9999999999991</v>
          </cell>
          <cell r="DY45">
            <v>4791.6666666666661</v>
          </cell>
          <cell r="DZ45">
            <v>4833.333333333333</v>
          </cell>
          <cell r="EA45">
            <v>4875</v>
          </cell>
          <cell r="EB45">
            <v>4916.666666666667</v>
          </cell>
          <cell r="EC45">
            <v>4958.3333333333339</v>
          </cell>
          <cell r="ED45">
            <v>5000.0000000000009</v>
          </cell>
          <cell r="EE45">
            <v>5041.6666666666679</v>
          </cell>
          <cell r="EF45">
            <v>5083.3333333333348</v>
          </cell>
          <cell r="EG45">
            <v>5125.0000000000018</v>
          </cell>
          <cell r="EH45">
            <v>5166.6666666666688</v>
          </cell>
          <cell r="EI45">
            <v>5208.3333333333358</v>
          </cell>
          <cell r="EJ45">
            <v>5250.0000000000027</v>
          </cell>
          <cell r="EK45">
            <v>5291.6666666666697</v>
          </cell>
          <cell r="EL45">
            <v>5333.3333333333367</v>
          </cell>
          <cell r="EM45">
            <v>5375.0000000000036</v>
          </cell>
          <cell r="EN45">
            <v>5416.6666666666706</v>
          </cell>
          <cell r="EO45">
            <v>5458.3333333333376</v>
          </cell>
          <cell r="EP45">
            <v>5500.0000000000045</v>
          </cell>
          <cell r="EQ45">
            <v>5541.6666666666715</v>
          </cell>
          <cell r="ER45">
            <v>5583.3333333333385</v>
          </cell>
          <cell r="ES45">
            <v>5625.0000000000055</v>
          </cell>
          <cell r="ET45">
            <v>5666.6666666666724</v>
          </cell>
          <cell r="EU45">
            <v>5708.3333333333394</v>
          </cell>
          <cell r="EV45">
            <v>5750.0000000000064</v>
          </cell>
          <cell r="EW45">
            <v>5791.6666666666733</v>
          </cell>
          <cell r="EX45">
            <v>5833.3333333333403</v>
          </cell>
          <cell r="EY45">
            <v>5875.0000000000073</v>
          </cell>
          <cell r="EZ45">
            <v>5916.6666666666742</v>
          </cell>
          <cell r="FA45">
            <v>5958.3333333333412</v>
          </cell>
          <cell r="FB45">
            <v>6000.0000000000082</v>
          </cell>
          <cell r="FC45">
            <v>6041.6666666666752</v>
          </cell>
          <cell r="FD45">
            <v>6083.3333333333421</v>
          </cell>
          <cell r="FE45">
            <v>6125.0000000000091</v>
          </cell>
          <cell r="FF45">
            <v>6166.6666666666761</v>
          </cell>
          <cell r="FG45">
            <v>6208.333333333343</v>
          </cell>
          <cell r="FH45">
            <v>6250.00000000001</v>
          </cell>
          <cell r="FI45">
            <v>6291.666666666677</v>
          </cell>
          <cell r="FJ45">
            <v>6333.3333333333439</v>
          </cell>
          <cell r="FK45">
            <v>6375.0000000000109</v>
          </cell>
          <cell r="FL45">
            <v>6416.6666666666779</v>
          </cell>
          <cell r="FM45">
            <v>6458.3333333333449</v>
          </cell>
          <cell r="FN45">
            <v>6500.0000000000118</v>
          </cell>
          <cell r="FO45">
            <v>6541.6666666666788</v>
          </cell>
          <cell r="FP45">
            <v>6583.3333333333458</v>
          </cell>
          <cell r="FQ45">
            <v>6625.0000000000127</v>
          </cell>
          <cell r="FR45">
            <v>6666.6666666666797</v>
          </cell>
          <cell r="FS45">
            <v>6708.3333333333467</v>
          </cell>
          <cell r="FT45">
            <v>6750.0000000000136</v>
          </cell>
          <cell r="FU45">
            <v>6791.6666666666806</v>
          </cell>
          <cell r="FV45">
            <v>6833.3333333333476</v>
          </cell>
          <cell r="FW45">
            <v>6875.0000000000146</v>
          </cell>
          <cell r="FX45">
            <v>6916.6666666666815</v>
          </cell>
          <cell r="FY45">
            <v>6958.3333333333485</v>
          </cell>
          <cell r="FZ45">
            <v>7000.0000000000155</v>
          </cell>
          <cell r="GA45">
            <v>7041.6666666666824</v>
          </cell>
          <cell r="GB45">
            <v>7083.3333333333494</v>
          </cell>
          <cell r="GC45">
            <v>7125.0000000000164</v>
          </cell>
          <cell r="GD45">
            <v>7166.6666666666833</v>
          </cell>
          <cell r="GE45">
            <v>7208.3333333333503</v>
          </cell>
          <cell r="GF45">
            <v>7250.0000000000173</v>
          </cell>
          <cell r="GG45">
            <v>7291.6666666666843</v>
          </cell>
          <cell r="GH45">
            <v>7333.3333333333512</v>
          </cell>
          <cell r="GI45">
            <v>7375.0000000000182</v>
          </cell>
          <cell r="GJ45">
            <v>7416.6666666666852</v>
          </cell>
          <cell r="GK45">
            <v>7458.3333333333521</v>
          </cell>
          <cell r="GL45">
            <v>7500.0000000000191</v>
          </cell>
          <cell r="GM45">
            <v>7541.6666666666861</v>
          </cell>
          <cell r="GN45">
            <v>7583.333333333353</v>
          </cell>
          <cell r="GO45">
            <v>7625.00000000002</v>
          </cell>
          <cell r="GP45">
            <v>7666.666666666687</v>
          </cell>
          <cell r="GQ45">
            <v>7708.3333333333539</v>
          </cell>
          <cell r="GR45">
            <v>7750.0000000000209</v>
          </cell>
          <cell r="GS45">
            <v>7791.6666666666879</v>
          </cell>
          <cell r="GT45">
            <v>7833.3333333333549</v>
          </cell>
          <cell r="GU45">
            <v>7875.0000000000218</v>
          </cell>
          <cell r="GV45">
            <v>7916.6666666666888</v>
          </cell>
          <cell r="GW45">
            <v>7958.3333333333558</v>
          </cell>
          <cell r="GX45">
            <v>8000.0000000000227</v>
          </cell>
          <cell r="GY45">
            <v>8041.6666666666897</v>
          </cell>
          <cell r="GZ45">
            <v>8083.3333333333567</v>
          </cell>
          <cell r="HA45">
            <v>8125.0000000000236</v>
          </cell>
          <cell r="HB45">
            <v>8166.6666666666906</v>
          </cell>
          <cell r="HC45">
            <v>8208.3333333333576</v>
          </cell>
          <cell r="HD45">
            <v>8250.0000000000236</v>
          </cell>
          <cell r="HE45">
            <v>8291.6666666666897</v>
          </cell>
          <cell r="HF45">
            <v>8333.3333333333558</v>
          </cell>
        </row>
        <row r="46">
          <cell r="N46">
            <v>0</v>
          </cell>
          <cell r="O46">
            <v>500</v>
          </cell>
          <cell r="P46">
            <v>1000</v>
          </cell>
          <cell r="Q46">
            <v>1500</v>
          </cell>
          <cell r="R46">
            <v>2000</v>
          </cell>
          <cell r="S46">
            <v>2500</v>
          </cell>
          <cell r="T46">
            <v>3000</v>
          </cell>
          <cell r="U46">
            <v>3500</v>
          </cell>
          <cell r="V46">
            <v>4000</v>
          </cell>
          <cell r="W46">
            <v>4500</v>
          </cell>
          <cell r="X46">
            <v>5000</v>
          </cell>
          <cell r="Y46">
            <v>5500</v>
          </cell>
          <cell r="Z46">
            <v>6000</v>
          </cell>
          <cell r="AA46">
            <v>6500</v>
          </cell>
          <cell r="AB46">
            <v>7000</v>
          </cell>
          <cell r="AC46">
            <v>7500</v>
          </cell>
          <cell r="AD46">
            <v>8000</v>
          </cell>
          <cell r="AE46">
            <v>8500</v>
          </cell>
          <cell r="AF46">
            <v>9000</v>
          </cell>
          <cell r="AG46">
            <v>9500</v>
          </cell>
          <cell r="AH46">
            <v>10000</v>
          </cell>
          <cell r="AI46">
            <v>10500</v>
          </cell>
          <cell r="AJ46">
            <v>11000</v>
          </cell>
          <cell r="AK46">
            <v>11500</v>
          </cell>
          <cell r="AL46">
            <v>12000</v>
          </cell>
          <cell r="AM46">
            <v>12500</v>
          </cell>
          <cell r="AN46">
            <v>13000</v>
          </cell>
          <cell r="AO46">
            <v>13500</v>
          </cell>
          <cell r="AP46">
            <v>14000</v>
          </cell>
          <cell r="AQ46">
            <v>14500</v>
          </cell>
          <cell r="AR46">
            <v>15000</v>
          </cell>
          <cell r="AS46">
            <v>15500</v>
          </cell>
          <cell r="AT46">
            <v>16000</v>
          </cell>
          <cell r="AU46">
            <v>16500</v>
          </cell>
          <cell r="AV46">
            <v>17000</v>
          </cell>
          <cell r="AW46">
            <v>17500</v>
          </cell>
          <cell r="AX46">
            <v>18000</v>
          </cell>
          <cell r="AY46">
            <v>18500</v>
          </cell>
          <cell r="AZ46">
            <v>19000</v>
          </cell>
          <cell r="BA46">
            <v>19500</v>
          </cell>
          <cell r="BB46">
            <v>20000</v>
          </cell>
          <cell r="BC46">
            <v>20500</v>
          </cell>
          <cell r="BD46">
            <v>21000</v>
          </cell>
          <cell r="BE46">
            <v>21500</v>
          </cell>
          <cell r="BF46">
            <v>22000</v>
          </cell>
          <cell r="BG46">
            <v>22500</v>
          </cell>
          <cell r="BH46">
            <v>23000</v>
          </cell>
          <cell r="BI46">
            <v>23500</v>
          </cell>
          <cell r="BJ46">
            <v>24000</v>
          </cell>
          <cell r="BK46">
            <v>24500</v>
          </cell>
          <cell r="BL46">
            <v>25000</v>
          </cell>
          <cell r="BM46">
            <v>25500</v>
          </cell>
          <cell r="BN46">
            <v>26000</v>
          </cell>
          <cell r="BO46">
            <v>26500</v>
          </cell>
          <cell r="BP46">
            <v>27000</v>
          </cell>
          <cell r="BQ46">
            <v>27500</v>
          </cell>
          <cell r="BR46">
            <v>28000</v>
          </cell>
          <cell r="BS46">
            <v>28500</v>
          </cell>
          <cell r="BT46">
            <v>29000</v>
          </cell>
          <cell r="BU46">
            <v>29500</v>
          </cell>
          <cell r="BV46">
            <v>30000</v>
          </cell>
          <cell r="BW46">
            <v>30500</v>
          </cell>
          <cell r="BX46">
            <v>31000</v>
          </cell>
          <cell r="BY46">
            <v>31500</v>
          </cell>
          <cell r="BZ46">
            <v>32000</v>
          </cell>
          <cell r="CA46">
            <v>32500</v>
          </cell>
          <cell r="CB46">
            <v>33000</v>
          </cell>
          <cell r="CC46">
            <v>33500</v>
          </cell>
          <cell r="CD46">
            <v>34000</v>
          </cell>
          <cell r="CE46">
            <v>34500</v>
          </cell>
          <cell r="CF46">
            <v>35000</v>
          </cell>
          <cell r="CG46">
            <v>35500</v>
          </cell>
          <cell r="CH46">
            <v>36000</v>
          </cell>
          <cell r="CI46">
            <v>36500</v>
          </cell>
          <cell r="CJ46">
            <v>37000</v>
          </cell>
          <cell r="CK46">
            <v>37500</v>
          </cell>
          <cell r="CL46">
            <v>38000</v>
          </cell>
          <cell r="CM46">
            <v>38500</v>
          </cell>
          <cell r="CN46">
            <v>39000</v>
          </cell>
          <cell r="CO46">
            <v>39500</v>
          </cell>
          <cell r="CP46">
            <v>40000</v>
          </cell>
          <cell r="CQ46">
            <v>40500</v>
          </cell>
          <cell r="CR46">
            <v>41000</v>
          </cell>
          <cell r="CS46">
            <v>41500</v>
          </cell>
          <cell r="CT46">
            <v>42000</v>
          </cell>
          <cell r="CU46">
            <v>42500</v>
          </cell>
          <cell r="CV46">
            <v>43000</v>
          </cell>
          <cell r="CW46">
            <v>43500</v>
          </cell>
          <cell r="CX46">
            <v>44000</v>
          </cell>
          <cell r="CY46">
            <v>44500</v>
          </cell>
          <cell r="CZ46">
            <v>45000</v>
          </cell>
          <cell r="DA46">
            <v>45500</v>
          </cell>
          <cell r="DB46">
            <v>46000</v>
          </cell>
          <cell r="DC46">
            <v>46500</v>
          </cell>
          <cell r="DD46">
            <v>47000</v>
          </cell>
          <cell r="DE46">
            <v>47500</v>
          </cell>
          <cell r="DF46">
            <v>48000</v>
          </cell>
          <cell r="DG46">
            <v>48500</v>
          </cell>
          <cell r="DH46">
            <v>49000</v>
          </cell>
          <cell r="DI46">
            <v>49500</v>
          </cell>
          <cell r="DJ46">
            <v>50000</v>
          </cell>
          <cell r="DK46">
            <v>50500</v>
          </cell>
          <cell r="DL46">
            <v>51000</v>
          </cell>
          <cell r="DM46">
            <v>51500</v>
          </cell>
          <cell r="DN46">
            <v>52000</v>
          </cell>
          <cell r="DO46">
            <v>52500</v>
          </cell>
          <cell r="DP46">
            <v>53000</v>
          </cell>
          <cell r="DQ46">
            <v>53500</v>
          </cell>
          <cell r="DR46">
            <v>54000</v>
          </cell>
          <cell r="DS46">
            <v>54500</v>
          </cell>
          <cell r="DT46">
            <v>55000</v>
          </cell>
          <cell r="DU46">
            <v>55500</v>
          </cell>
          <cell r="DV46">
            <v>56000</v>
          </cell>
          <cell r="DW46">
            <v>56500</v>
          </cell>
          <cell r="DX46">
            <v>57000</v>
          </cell>
          <cell r="DY46">
            <v>57500</v>
          </cell>
          <cell r="DZ46">
            <v>58000</v>
          </cell>
          <cell r="EA46">
            <v>58500</v>
          </cell>
          <cell r="EB46">
            <v>59000</v>
          </cell>
          <cell r="EC46">
            <v>59500</v>
          </cell>
          <cell r="ED46">
            <v>60000</v>
          </cell>
          <cell r="EE46">
            <v>60500</v>
          </cell>
          <cell r="EF46">
            <v>61000</v>
          </cell>
          <cell r="EG46">
            <v>61500</v>
          </cell>
          <cell r="EH46">
            <v>62000</v>
          </cell>
          <cell r="EI46">
            <v>62500</v>
          </cell>
          <cell r="EJ46">
            <v>63000</v>
          </cell>
          <cell r="EK46">
            <v>63500</v>
          </cell>
          <cell r="EL46">
            <v>64000</v>
          </cell>
          <cell r="EM46">
            <v>64500</v>
          </cell>
          <cell r="EN46">
            <v>65000</v>
          </cell>
          <cell r="EO46">
            <v>65500</v>
          </cell>
          <cell r="EP46">
            <v>66000</v>
          </cell>
          <cell r="EQ46">
            <v>66500</v>
          </cell>
          <cell r="ER46">
            <v>67000</v>
          </cell>
          <cell r="ES46">
            <v>67500</v>
          </cell>
          <cell r="ET46">
            <v>68000</v>
          </cell>
          <cell r="EU46">
            <v>68500</v>
          </cell>
          <cell r="EV46">
            <v>69000</v>
          </cell>
          <cell r="EW46">
            <v>69500</v>
          </cell>
          <cell r="EX46">
            <v>70000</v>
          </cell>
          <cell r="EY46">
            <v>70500</v>
          </cell>
          <cell r="EZ46">
            <v>71000</v>
          </cell>
          <cell r="FA46">
            <v>71500</v>
          </cell>
          <cell r="FB46">
            <v>72000</v>
          </cell>
          <cell r="FC46">
            <v>72500</v>
          </cell>
          <cell r="FD46">
            <v>73000</v>
          </cell>
          <cell r="FE46">
            <v>73500</v>
          </cell>
          <cell r="FF46">
            <v>74000</v>
          </cell>
          <cell r="FG46">
            <v>74500</v>
          </cell>
          <cell r="FH46">
            <v>75000</v>
          </cell>
          <cell r="FI46">
            <v>75500</v>
          </cell>
          <cell r="FJ46">
            <v>76000</v>
          </cell>
          <cell r="FK46">
            <v>76500</v>
          </cell>
          <cell r="FL46">
            <v>77000</v>
          </cell>
          <cell r="FM46">
            <v>77500</v>
          </cell>
          <cell r="FN46">
            <v>78000</v>
          </cell>
          <cell r="FO46">
            <v>78500</v>
          </cell>
          <cell r="FP46">
            <v>79000</v>
          </cell>
          <cell r="FQ46">
            <v>79500</v>
          </cell>
          <cell r="FR46">
            <v>80000</v>
          </cell>
          <cell r="FS46">
            <v>80500</v>
          </cell>
          <cell r="FT46">
            <v>81000</v>
          </cell>
          <cell r="FU46">
            <v>81500</v>
          </cell>
          <cell r="FV46">
            <v>82000</v>
          </cell>
          <cell r="FW46">
            <v>82500</v>
          </cell>
          <cell r="FX46">
            <v>83000</v>
          </cell>
          <cell r="FY46">
            <v>83500</v>
          </cell>
          <cell r="FZ46">
            <v>84000</v>
          </cell>
          <cell r="GA46">
            <v>84500</v>
          </cell>
          <cell r="GB46">
            <v>85000</v>
          </cell>
          <cell r="GC46">
            <v>85500</v>
          </cell>
          <cell r="GD46">
            <v>86000</v>
          </cell>
          <cell r="GE46">
            <v>86500</v>
          </cell>
          <cell r="GF46">
            <v>87000</v>
          </cell>
          <cell r="GG46">
            <v>87500</v>
          </cell>
          <cell r="GH46">
            <v>88000</v>
          </cell>
          <cell r="GI46">
            <v>88500</v>
          </cell>
          <cell r="GJ46">
            <v>89000</v>
          </cell>
          <cell r="GK46">
            <v>89500</v>
          </cell>
          <cell r="GL46">
            <v>90000</v>
          </cell>
          <cell r="GM46">
            <v>90500</v>
          </cell>
          <cell r="GN46">
            <v>91000</v>
          </cell>
          <cell r="GO46">
            <v>91500</v>
          </cell>
          <cell r="GP46">
            <v>92000</v>
          </cell>
          <cell r="GQ46">
            <v>92500</v>
          </cell>
          <cell r="GR46">
            <v>93000</v>
          </cell>
          <cell r="GS46">
            <v>93500</v>
          </cell>
          <cell r="GT46">
            <v>94000</v>
          </cell>
          <cell r="GU46">
            <v>94500</v>
          </cell>
          <cell r="GV46">
            <v>95000</v>
          </cell>
          <cell r="GW46">
            <v>95500</v>
          </cell>
          <cell r="GX46">
            <v>96000</v>
          </cell>
          <cell r="GY46">
            <v>96500</v>
          </cell>
          <cell r="GZ46">
            <v>97000</v>
          </cell>
          <cell r="HA46">
            <v>97500</v>
          </cell>
          <cell r="HB46">
            <v>98000</v>
          </cell>
          <cell r="HC46">
            <v>98500</v>
          </cell>
          <cell r="HD46">
            <v>99000</v>
          </cell>
          <cell r="HE46">
            <v>99500</v>
          </cell>
          <cell r="HF46">
            <v>100000</v>
          </cell>
        </row>
        <row r="47">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v>0</v>
          </cell>
          <cell r="DU47">
            <v>0</v>
          </cell>
          <cell r="DV47">
            <v>0</v>
          </cell>
          <cell r="DW47">
            <v>0</v>
          </cell>
          <cell r="DX47">
            <v>0</v>
          </cell>
          <cell r="DY47">
            <v>0</v>
          </cell>
          <cell r="DZ47">
            <v>0</v>
          </cell>
          <cell r="EA47">
            <v>0</v>
          </cell>
          <cell r="EB47">
            <v>0</v>
          </cell>
          <cell r="EC47">
            <v>0</v>
          </cell>
          <cell r="ED47">
            <v>0</v>
          </cell>
          <cell r="EE47">
            <v>0</v>
          </cell>
          <cell r="EF47">
            <v>0</v>
          </cell>
          <cell r="EG47">
            <v>0</v>
          </cell>
          <cell r="EH47">
            <v>0</v>
          </cell>
          <cell r="EI47">
            <v>0</v>
          </cell>
          <cell r="EJ47">
            <v>0</v>
          </cell>
          <cell r="EK47">
            <v>0</v>
          </cell>
          <cell r="EL47">
            <v>0</v>
          </cell>
          <cell r="EM47">
            <v>0</v>
          </cell>
          <cell r="EN47">
            <v>0</v>
          </cell>
          <cell r="EO47">
            <v>0</v>
          </cell>
          <cell r="EP47">
            <v>0</v>
          </cell>
          <cell r="EQ47">
            <v>0</v>
          </cell>
          <cell r="ER47">
            <v>0</v>
          </cell>
          <cell r="ES47">
            <v>0</v>
          </cell>
          <cell r="ET47">
            <v>0</v>
          </cell>
          <cell r="EU47">
            <v>0</v>
          </cell>
          <cell r="EV47">
            <v>0</v>
          </cell>
          <cell r="EW47">
            <v>0</v>
          </cell>
          <cell r="EX47">
            <v>0</v>
          </cell>
          <cell r="EY47">
            <v>0</v>
          </cell>
          <cell r="EZ47">
            <v>0</v>
          </cell>
          <cell r="FA47">
            <v>0</v>
          </cell>
          <cell r="FB47">
            <v>0</v>
          </cell>
          <cell r="FC47">
            <v>0</v>
          </cell>
          <cell r="FD47">
            <v>0</v>
          </cell>
          <cell r="FE47">
            <v>0</v>
          </cell>
          <cell r="FF47">
            <v>0</v>
          </cell>
          <cell r="FG47">
            <v>0</v>
          </cell>
          <cell r="FH47">
            <v>0</v>
          </cell>
          <cell r="FI47">
            <v>0</v>
          </cell>
          <cell r="FJ47">
            <v>0</v>
          </cell>
          <cell r="FK47">
            <v>0</v>
          </cell>
          <cell r="FL47">
            <v>0</v>
          </cell>
          <cell r="FM47">
            <v>0</v>
          </cell>
          <cell r="FN47">
            <v>0</v>
          </cell>
          <cell r="FO47">
            <v>0</v>
          </cell>
          <cell r="FP47">
            <v>0</v>
          </cell>
          <cell r="FQ47">
            <v>0</v>
          </cell>
          <cell r="FR47">
            <v>0</v>
          </cell>
          <cell r="FS47">
            <v>0</v>
          </cell>
          <cell r="FT47">
            <v>0</v>
          </cell>
          <cell r="FU47">
            <v>0</v>
          </cell>
          <cell r="FV47">
            <v>0</v>
          </cell>
          <cell r="FW47">
            <v>0</v>
          </cell>
          <cell r="FX47">
            <v>0</v>
          </cell>
          <cell r="FY47">
            <v>0</v>
          </cell>
          <cell r="FZ47">
            <v>0</v>
          </cell>
          <cell r="GA47">
            <v>0</v>
          </cell>
          <cell r="GB47">
            <v>0</v>
          </cell>
          <cell r="GC47">
            <v>0</v>
          </cell>
          <cell r="GD47">
            <v>0</v>
          </cell>
          <cell r="GE47">
            <v>0</v>
          </cell>
          <cell r="GF47">
            <v>0</v>
          </cell>
          <cell r="GG47">
            <v>0</v>
          </cell>
          <cell r="GH47">
            <v>0</v>
          </cell>
          <cell r="GI47">
            <v>0</v>
          </cell>
          <cell r="GJ47">
            <v>0</v>
          </cell>
          <cell r="GK47">
            <v>0</v>
          </cell>
          <cell r="GL47">
            <v>0</v>
          </cell>
          <cell r="GM47">
            <v>0</v>
          </cell>
          <cell r="GN47">
            <v>0</v>
          </cell>
          <cell r="GO47">
            <v>0</v>
          </cell>
          <cell r="GP47">
            <v>0</v>
          </cell>
          <cell r="GQ47">
            <v>0</v>
          </cell>
          <cell r="GR47">
            <v>0</v>
          </cell>
          <cell r="GS47">
            <v>0</v>
          </cell>
          <cell r="GT47">
            <v>0</v>
          </cell>
          <cell r="GU47">
            <v>0</v>
          </cell>
          <cell r="GV47">
            <v>0</v>
          </cell>
          <cell r="GW47">
            <v>0</v>
          </cell>
          <cell r="GX47">
            <v>0</v>
          </cell>
          <cell r="GY47">
            <v>0</v>
          </cell>
          <cell r="GZ47">
            <v>0</v>
          </cell>
          <cell r="HA47">
            <v>0</v>
          </cell>
          <cell r="HB47">
            <v>0</v>
          </cell>
          <cell r="HC47">
            <v>0</v>
          </cell>
          <cell r="HD47">
            <v>0</v>
          </cell>
          <cell r="HE47">
            <v>0</v>
          </cell>
          <cell r="HF47">
            <v>0</v>
          </cell>
        </row>
        <row r="48">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0</v>
          </cell>
          <cell r="BW48">
            <v>0</v>
          </cell>
          <cell r="BX48">
            <v>0</v>
          </cell>
          <cell r="BY48">
            <v>0</v>
          </cell>
          <cell r="BZ48">
            <v>0</v>
          </cell>
          <cell r="CA48">
            <v>0</v>
          </cell>
          <cell r="CB48">
            <v>0</v>
          </cell>
          <cell r="CC48">
            <v>0</v>
          </cell>
          <cell r="CD48">
            <v>0</v>
          </cell>
          <cell r="CE48">
            <v>0</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0</v>
          </cell>
          <cell r="DM48">
            <v>0</v>
          </cell>
          <cell r="DN48">
            <v>0</v>
          </cell>
          <cell r="DO48">
            <v>0</v>
          </cell>
          <cell r="DP48">
            <v>0</v>
          </cell>
          <cell r="DQ48">
            <v>0</v>
          </cell>
          <cell r="DR48">
            <v>0</v>
          </cell>
          <cell r="DS48">
            <v>0</v>
          </cell>
          <cell r="DT48">
            <v>0</v>
          </cell>
          <cell r="DU48">
            <v>0</v>
          </cell>
          <cell r="DV48">
            <v>0</v>
          </cell>
          <cell r="DW48">
            <v>0</v>
          </cell>
          <cell r="DX48">
            <v>0</v>
          </cell>
          <cell r="DY48">
            <v>0</v>
          </cell>
          <cell r="DZ48">
            <v>0</v>
          </cell>
          <cell r="EA48">
            <v>0</v>
          </cell>
          <cell r="EB48">
            <v>0</v>
          </cell>
          <cell r="EC48">
            <v>0</v>
          </cell>
          <cell r="ED48">
            <v>0</v>
          </cell>
          <cell r="EE48">
            <v>0</v>
          </cell>
          <cell r="EF48">
            <v>0</v>
          </cell>
          <cell r="EG48">
            <v>0</v>
          </cell>
          <cell r="EH48">
            <v>0</v>
          </cell>
          <cell r="EI48">
            <v>0</v>
          </cell>
          <cell r="EJ48">
            <v>0</v>
          </cell>
          <cell r="EK48">
            <v>0</v>
          </cell>
          <cell r="EL48">
            <v>0</v>
          </cell>
          <cell r="EM48">
            <v>0</v>
          </cell>
          <cell r="EN48">
            <v>0</v>
          </cell>
          <cell r="EO48">
            <v>0</v>
          </cell>
          <cell r="EP48">
            <v>0</v>
          </cell>
          <cell r="EQ48">
            <v>0</v>
          </cell>
          <cell r="ER48">
            <v>0</v>
          </cell>
          <cell r="ES48">
            <v>0</v>
          </cell>
          <cell r="ET48">
            <v>0</v>
          </cell>
          <cell r="EU48">
            <v>0</v>
          </cell>
          <cell r="EV48">
            <v>0</v>
          </cell>
          <cell r="EW48">
            <v>0</v>
          </cell>
          <cell r="EX48">
            <v>0</v>
          </cell>
          <cell r="EY48">
            <v>0</v>
          </cell>
          <cell r="EZ48">
            <v>0</v>
          </cell>
          <cell r="FA48">
            <v>0</v>
          </cell>
          <cell r="FB48">
            <v>0</v>
          </cell>
          <cell r="FC48">
            <v>0</v>
          </cell>
          <cell r="FD48">
            <v>0</v>
          </cell>
          <cell r="FE48">
            <v>0</v>
          </cell>
          <cell r="FF48">
            <v>0</v>
          </cell>
          <cell r="FG48">
            <v>0</v>
          </cell>
          <cell r="FH48">
            <v>0</v>
          </cell>
          <cell r="FI48">
            <v>0</v>
          </cell>
          <cell r="FJ48">
            <v>0</v>
          </cell>
          <cell r="FK48">
            <v>0</v>
          </cell>
          <cell r="FL48">
            <v>0</v>
          </cell>
          <cell r="FM48">
            <v>0</v>
          </cell>
          <cell r="FN48">
            <v>0</v>
          </cell>
          <cell r="FO48">
            <v>0</v>
          </cell>
          <cell r="FP48">
            <v>0</v>
          </cell>
          <cell r="FQ48">
            <v>0</v>
          </cell>
          <cell r="FR48">
            <v>0</v>
          </cell>
          <cell r="FS48">
            <v>0</v>
          </cell>
          <cell r="FT48">
            <v>0</v>
          </cell>
          <cell r="FU48">
            <v>0</v>
          </cell>
          <cell r="FV48">
            <v>0</v>
          </cell>
          <cell r="FW48">
            <v>0</v>
          </cell>
          <cell r="FX48">
            <v>0</v>
          </cell>
          <cell r="FY48">
            <v>0</v>
          </cell>
          <cell r="FZ48">
            <v>0</v>
          </cell>
          <cell r="GA48">
            <v>0</v>
          </cell>
          <cell r="GB48">
            <v>0</v>
          </cell>
          <cell r="GC48">
            <v>0</v>
          </cell>
          <cell r="GD48">
            <v>0</v>
          </cell>
          <cell r="GE48">
            <v>0</v>
          </cell>
          <cell r="GF48">
            <v>0</v>
          </cell>
          <cell r="GG48">
            <v>0</v>
          </cell>
          <cell r="GH48">
            <v>0</v>
          </cell>
          <cell r="GI48">
            <v>0</v>
          </cell>
          <cell r="GJ48">
            <v>0</v>
          </cell>
          <cell r="GK48">
            <v>0</v>
          </cell>
          <cell r="GL48">
            <v>0</v>
          </cell>
          <cell r="GM48">
            <v>0</v>
          </cell>
          <cell r="GN48">
            <v>0</v>
          </cell>
          <cell r="GO48">
            <v>0</v>
          </cell>
          <cell r="GP48">
            <v>0</v>
          </cell>
          <cell r="GQ48">
            <v>0</v>
          </cell>
          <cell r="GR48">
            <v>0</v>
          </cell>
          <cell r="GS48">
            <v>0</v>
          </cell>
          <cell r="GT48">
            <v>0</v>
          </cell>
          <cell r="GU48">
            <v>0</v>
          </cell>
          <cell r="GV48">
            <v>0</v>
          </cell>
          <cell r="GW48">
            <v>0</v>
          </cell>
          <cell r="GX48">
            <v>0</v>
          </cell>
          <cell r="GY48">
            <v>0</v>
          </cell>
          <cell r="GZ48">
            <v>0</v>
          </cell>
          <cell r="HA48">
            <v>0</v>
          </cell>
          <cell r="HB48">
            <v>0</v>
          </cell>
          <cell r="HC48">
            <v>0</v>
          </cell>
          <cell r="HD48">
            <v>0</v>
          </cell>
          <cell r="HE48">
            <v>0</v>
          </cell>
          <cell r="HF48">
            <v>0</v>
          </cell>
        </row>
        <row r="49">
          <cell r="N49">
            <v>0</v>
          </cell>
          <cell r="O49">
            <v>41.666666666666664</v>
          </cell>
          <cell r="P49">
            <v>83.333333333333329</v>
          </cell>
          <cell r="Q49">
            <v>125</v>
          </cell>
          <cell r="R49">
            <v>166.66666666666666</v>
          </cell>
          <cell r="S49">
            <v>208.33333333333331</v>
          </cell>
          <cell r="T49">
            <v>249.99999999999997</v>
          </cell>
          <cell r="U49">
            <v>291.66666666666663</v>
          </cell>
          <cell r="V49">
            <v>333.33333333333331</v>
          </cell>
          <cell r="W49">
            <v>375</v>
          </cell>
          <cell r="X49">
            <v>416.66666666666669</v>
          </cell>
          <cell r="Y49">
            <v>458.33333333333337</v>
          </cell>
          <cell r="Z49">
            <v>500.00000000000006</v>
          </cell>
          <cell r="AA49">
            <v>541.66666666666674</v>
          </cell>
          <cell r="AB49">
            <v>583.33333333333337</v>
          </cell>
          <cell r="AC49">
            <v>625</v>
          </cell>
          <cell r="AD49">
            <v>666.66666666666663</v>
          </cell>
          <cell r="AE49">
            <v>708.33333333333326</v>
          </cell>
          <cell r="AF49">
            <v>749.99999999999989</v>
          </cell>
          <cell r="AG49">
            <v>791.66666666666652</v>
          </cell>
          <cell r="AH49">
            <v>833.33333333333314</v>
          </cell>
          <cell r="AI49">
            <v>874.99999999999977</v>
          </cell>
          <cell r="AJ49">
            <v>916.6666666666664</v>
          </cell>
          <cell r="AK49">
            <v>958.33333333333303</v>
          </cell>
          <cell r="AL49">
            <v>999.99999999999966</v>
          </cell>
          <cell r="AM49">
            <v>1041.6666666666663</v>
          </cell>
          <cell r="AN49">
            <v>1083.333333333333</v>
          </cell>
          <cell r="AO49">
            <v>1124.9999999999998</v>
          </cell>
          <cell r="AP49">
            <v>1166.6666666666665</v>
          </cell>
          <cell r="AQ49">
            <v>1208.3333333333333</v>
          </cell>
          <cell r="AR49">
            <v>1250</v>
          </cell>
          <cell r="AS49">
            <v>1291.6666666666667</v>
          </cell>
          <cell r="AT49">
            <v>1333.3333333333335</v>
          </cell>
          <cell r="AU49">
            <v>1375.0000000000002</v>
          </cell>
          <cell r="AV49">
            <v>1416.666666666667</v>
          </cell>
          <cell r="AW49">
            <v>1458.3333333333337</v>
          </cell>
          <cell r="AX49">
            <v>1500.0000000000005</v>
          </cell>
          <cell r="AY49">
            <v>1541.6666666666672</v>
          </cell>
          <cell r="AZ49">
            <v>1583.3333333333339</v>
          </cell>
          <cell r="BA49">
            <v>1625.0000000000007</v>
          </cell>
          <cell r="BB49">
            <v>1666.6666666666674</v>
          </cell>
          <cell r="BC49">
            <v>1708.3333333333342</v>
          </cell>
          <cell r="BD49">
            <v>1750.0000000000009</v>
          </cell>
          <cell r="BE49">
            <v>1791.6666666666677</v>
          </cell>
          <cell r="BF49">
            <v>1833.3333333333344</v>
          </cell>
          <cell r="BG49">
            <v>1875.0000000000011</v>
          </cell>
          <cell r="BH49">
            <v>1916.6666666666679</v>
          </cell>
          <cell r="BI49">
            <v>1958.3333333333346</v>
          </cell>
          <cell r="BJ49">
            <v>2000.0000000000014</v>
          </cell>
          <cell r="BK49">
            <v>2041.6666666666681</v>
          </cell>
          <cell r="BL49">
            <v>2083.3333333333348</v>
          </cell>
          <cell r="BM49">
            <v>2125.0000000000014</v>
          </cell>
          <cell r="BN49">
            <v>2166.6666666666679</v>
          </cell>
          <cell r="BO49">
            <v>2208.3333333333344</v>
          </cell>
          <cell r="BP49">
            <v>2250.0000000000009</v>
          </cell>
          <cell r="BQ49">
            <v>2291.6666666666674</v>
          </cell>
          <cell r="BR49">
            <v>2333.3333333333339</v>
          </cell>
          <cell r="BS49">
            <v>2375.0000000000005</v>
          </cell>
          <cell r="BT49">
            <v>2416.666666666667</v>
          </cell>
          <cell r="BU49">
            <v>2458.3333333333335</v>
          </cell>
          <cell r="BV49">
            <v>2500</v>
          </cell>
          <cell r="BW49">
            <v>2541.6666666666665</v>
          </cell>
          <cell r="BX49">
            <v>2583.333333333333</v>
          </cell>
          <cell r="BY49">
            <v>2624.9999999999995</v>
          </cell>
          <cell r="BZ49">
            <v>2666.6666666666661</v>
          </cell>
          <cell r="CA49">
            <v>2708.3333333333326</v>
          </cell>
          <cell r="CB49">
            <v>2749.9999999999991</v>
          </cell>
          <cell r="CC49">
            <v>2791.6666666666656</v>
          </cell>
          <cell r="CD49">
            <v>2833.3333333333321</v>
          </cell>
          <cell r="CE49">
            <v>2874.9999999999986</v>
          </cell>
          <cell r="CF49">
            <v>2916.6666666666652</v>
          </cell>
          <cell r="CG49">
            <v>2958.3333333333317</v>
          </cell>
          <cell r="CH49">
            <v>2999.9999999999982</v>
          </cell>
          <cell r="CI49">
            <v>3041.6666666666647</v>
          </cell>
          <cell r="CJ49">
            <v>3083.3333333333312</v>
          </cell>
          <cell r="CK49">
            <v>3124.9999999999977</v>
          </cell>
          <cell r="CL49">
            <v>3166.6666666666642</v>
          </cell>
          <cell r="CM49">
            <v>3208.3333333333308</v>
          </cell>
          <cell r="CN49">
            <v>3249.9999999999973</v>
          </cell>
          <cell r="CO49">
            <v>3291.6666666666638</v>
          </cell>
          <cell r="CP49">
            <v>3333.3333333333303</v>
          </cell>
          <cell r="CQ49">
            <v>3374.9999999999968</v>
          </cell>
          <cell r="CR49">
            <v>3416.6666666666633</v>
          </cell>
          <cell r="CS49">
            <v>3458.3333333333298</v>
          </cell>
          <cell r="CT49">
            <v>3499.9999999999964</v>
          </cell>
          <cell r="CU49">
            <v>3541.6666666666629</v>
          </cell>
          <cell r="CV49">
            <v>3583.3333333333294</v>
          </cell>
          <cell r="CW49">
            <v>3624.9999999999959</v>
          </cell>
          <cell r="CX49">
            <v>3666.6666666666624</v>
          </cell>
          <cell r="CY49">
            <v>3708.3333333333289</v>
          </cell>
          <cell r="CZ49">
            <v>3749.9999999999955</v>
          </cell>
          <cell r="DA49">
            <v>3791.666666666662</v>
          </cell>
          <cell r="DB49">
            <v>3833.3333333333285</v>
          </cell>
          <cell r="DC49">
            <v>3874.999999999995</v>
          </cell>
          <cell r="DD49">
            <v>3916.6666666666615</v>
          </cell>
          <cell r="DE49">
            <v>3958.333333333328</v>
          </cell>
          <cell r="DF49">
            <v>3999.9999999999945</v>
          </cell>
          <cell r="DG49">
            <v>4041.6666666666611</v>
          </cell>
          <cell r="DH49">
            <v>4083.3333333333276</v>
          </cell>
          <cell r="DI49">
            <v>4124.9999999999945</v>
          </cell>
          <cell r="DJ49">
            <v>4166.6666666666615</v>
          </cell>
          <cell r="DK49">
            <v>4208.3333333333285</v>
          </cell>
          <cell r="DL49">
            <v>4249.9999999999955</v>
          </cell>
          <cell r="DM49">
            <v>4291.6666666666624</v>
          </cell>
          <cell r="DN49">
            <v>4333.3333333333294</v>
          </cell>
          <cell r="DO49">
            <v>4374.9999999999964</v>
          </cell>
          <cell r="DP49">
            <v>4416.6666666666633</v>
          </cell>
          <cell r="DQ49">
            <v>4458.3333333333303</v>
          </cell>
          <cell r="DR49">
            <v>4499.9999999999973</v>
          </cell>
          <cell r="DS49">
            <v>4541.6666666666642</v>
          </cell>
          <cell r="DT49">
            <v>4583.3333333333312</v>
          </cell>
          <cell r="DU49">
            <v>4624.9999999999982</v>
          </cell>
          <cell r="DV49">
            <v>4666.6666666666652</v>
          </cell>
          <cell r="DW49">
            <v>4708.3333333333321</v>
          </cell>
          <cell r="DX49">
            <v>4749.9999999999991</v>
          </cell>
          <cell r="DY49">
            <v>4791.6666666666661</v>
          </cell>
          <cell r="DZ49">
            <v>4833.333333333333</v>
          </cell>
          <cell r="EA49">
            <v>4875</v>
          </cell>
          <cell r="EB49">
            <v>4916.666666666667</v>
          </cell>
          <cell r="EC49">
            <v>4958.3333333333339</v>
          </cell>
          <cell r="ED49">
            <v>5000.0000000000009</v>
          </cell>
          <cell r="EE49">
            <v>5041.6666666666679</v>
          </cell>
          <cell r="EF49">
            <v>5083.3333333333348</v>
          </cell>
          <cell r="EG49">
            <v>5125.0000000000018</v>
          </cell>
          <cell r="EH49">
            <v>5166.6666666666688</v>
          </cell>
          <cell r="EI49">
            <v>5208.3333333333358</v>
          </cell>
          <cell r="EJ49">
            <v>5250.0000000000027</v>
          </cell>
          <cell r="EK49">
            <v>5291.6666666666697</v>
          </cell>
          <cell r="EL49">
            <v>5333.3333333333367</v>
          </cell>
          <cell r="EM49">
            <v>5375.0000000000036</v>
          </cell>
          <cell r="EN49">
            <v>5416.6666666666706</v>
          </cell>
          <cell r="EO49">
            <v>5458.3333333333376</v>
          </cell>
          <cell r="EP49">
            <v>5500.0000000000045</v>
          </cell>
          <cell r="EQ49">
            <v>5541.6666666666715</v>
          </cell>
          <cell r="ER49">
            <v>5583.3333333333385</v>
          </cell>
          <cell r="ES49">
            <v>5625.0000000000055</v>
          </cell>
          <cell r="ET49">
            <v>5666.6666666666724</v>
          </cell>
          <cell r="EU49">
            <v>5708.3333333333394</v>
          </cell>
          <cell r="EV49">
            <v>5750.0000000000064</v>
          </cell>
          <cell r="EW49">
            <v>5791.6666666666733</v>
          </cell>
          <cell r="EX49">
            <v>5833.3333333333403</v>
          </cell>
          <cell r="EY49">
            <v>5875.0000000000073</v>
          </cell>
          <cell r="EZ49">
            <v>5916.6666666666742</v>
          </cell>
          <cell r="FA49">
            <v>5958.3333333333412</v>
          </cell>
          <cell r="FB49">
            <v>6000.0000000000082</v>
          </cell>
          <cell r="FC49">
            <v>6041.6666666666752</v>
          </cell>
          <cell r="FD49">
            <v>6083.3333333333421</v>
          </cell>
          <cell r="FE49">
            <v>6125.0000000000091</v>
          </cell>
          <cell r="FF49">
            <v>6166.6666666666761</v>
          </cell>
          <cell r="FG49">
            <v>6208.333333333343</v>
          </cell>
          <cell r="FH49">
            <v>6250.00000000001</v>
          </cell>
          <cell r="FI49">
            <v>6291.666666666677</v>
          </cell>
          <cell r="FJ49">
            <v>6333.3333333333439</v>
          </cell>
          <cell r="FK49">
            <v>6375.0000000000109</v>
          </cell>
          <cell r="FL49">
            <v>6416.6666666666779</v>
          </cell>
          <cell r="FM49">
            <v>6458.3333333333449</v>
          </cell>
          <cell r="FN49">
            <v>6500.0000000000118</v>
          </cell>
          <cell r="FO49">
            <v>6541.6666666666788</v>
          </cell>
          <cell r="FP49">
            <v>6583.3333333333458</v>
          </cell>
          <cell r="FQ49">
            <v>6625.0000000000127</v>
          </cell>
          <cell r="FR49">
            <v>6666.6666666666797</v>
          </cell>
          <cell r="FS49">
            <v>6708.3333333333467</v>
          </cell>
          <cell r="FT49">
            <v>6750.0000000000136</v>
          </cell>
          <cell r="FU49">
            <v>6791.6666666666806</v>
          </cell>
          <cell r="FV49">
            <v>6833.3333333333476</v>
          </cell>
          <cell r="FW49">
            <v>6875.0000000000146</v>
          </cell>
          <cell r="FX49">
            <v>6916.6666666666815</v>
          </cell>
          <cell r="FY49">
            <v>6958.3333333333485</v>
          </cell>
          <cell r="FZ49">
            <v>7000.0000000000155</v>
          </cell>
          <cell r="GA49">
            <v>7041.6666666666824</v>
          </cell>
          <cell r="GB49">
            <v>7083.3333333333494</v>
          </cell>
          <cell r="GC49">
            <v>7125.0000000000164</v>
          </cell>
          <cell r="GD49">
            <v>7166.6666666666833</v>
          </cell>
          <cell r="GE49">
            <v>7208.3333333333503</v>
          </cell>
          <cell r="GF49">
            <v>7250.0000000000173</v>
          </cell>
          <cell r="GG49">
            <v>7291.6666666666843</v>
          </cell>
          <cell r="GH49">
            <v>7333.3333333333512</v>
          </cell>
          <cell r="GI49">
            <v>7375.0000000000182</v>
          </cell>
          <cell r="GJ49">
            <v>7416.6666666666852</v>
          </cell>
          <cell r="GK49">
            <v>7458.3333333333521</v>
          </cell>
          <cell r="GL49">
            <v>7500.0000000000191</v>
          </cell>
          <cell r="GM49">
            <v>7541.6666666666861</v>
          </cell>
          <cell r="GN49">
            <v>7583.333333333353</v>
          </cell>
          <cell r="GO49">
            <v>7625.00000000002</v>
          </cell>
          <cell r="GP49">
            <v>7666.666666666687</v>
          </cell>
          <cell r="GQ49">
            <v>7708.3333333333539</v>
          </cell>
          <cell r="GR49">
            <v>7750.0000000000209</v>
          </cell>
          <cell r="GS49">
            <v>7791.6666666666879</v>
          </cell>
          <cell r="GT49">
            <v>7833.3333333333549</v>
          </cell>
          <cell r="GU49">
            <v>7875.0000000000218</v>
          </cell>
          <cell r="GV49">
            <v>7916.6666666666888</v>
          </cell>
          <cell r="GW49">
            <v>7958.3333333333558</v>
          </cell>
          <cell r="GX49">
            <v>8000.0000000000227</v>
          </cell>
          <cell r="GY49">
            <v>8041.6666666666897</v>
          </cell>
          <cell r="GZ49">
            <v>8083.3333333333567</v>
          </cell>
          <cell r="HA49">
            <v>8125.0000000000236</v>
          </cell>
          <cell r="HB49">
            <v>8166.6666666666906</v>
          </cell>
          <cell r="HC49">
            <v>8208.3333333333576</v>
          </cell>
          <cell r="HD49">
            <v>8250.0000000000236</v>
          </cell>
          <cell r="HE49">
            <v>8291.6666666666897</v>
          </cell>
          <cell r="HF49">
            <v>8333.3333333333558</v>
          </cell>
        </row>
        <row r="50">
          <cell r="N50">
            <v>0</v>
          </cell>
          <cell r="O50">
            <v>500</v>
          </cell>
          <cell r="P50">
            <v>1000</v>
          </cell>
          <cell r="Q50">
            <v>1500</v>
          </cell>
          <cell r="R50">
            <v>2000</v>
          </cell>
          <cell r="S50">
            <v>2500</v>
          </cell>
          <cell r="T50">
            <v>3000</v>
          </cell>
          <cell r="U50">
            <v>3500</v>
          </cell>
          <cell r="V50">
            <v>4000</v>
          </cell>
          <cell r="W50">
            <v>4500</v>
          </cell>
          <cell r="X50">
            <v>5000</v>
          </cell>
          <cell r="Y50">
            <v>5500</v>
          </cell>
          <cell r="Z50">
            <v>6000</v>
          </cell>
          <cell r="AA50">
            <v>6500</v>
          </cell>
          <cell r="AB50">
            <v>7000</v>
          </cell>
          <cell r="AC50">
            <v>7500</v>
          </cell>
          <cell r="AD50">
            <v>8000</v>
          </cell>
          <cell r="AE50">
            <v>8500</v>
          </cell>
          <cell r="AF50">
            <v>9000</v>
          </cell>
          <cell r="AG50">
            <v>9500</v>
          </cell>
          <cell r="AH50">
            <v>10000</v>
          </cell>
          <cell r="AI50">
            <v>10500</v>
          </cell>
          <cell r="AJ50">
            <v>11000</v>
          </cell>
          <cell r="AK50">
            <v>11500</v>
          </cell>
          <cell r="AL50">
            <v>12000</v>
          </cell>
          <cell r="AM50">
            <v>12500</v>
          </cell>
          <cell r="AN50">
            <v>13000</v>
          </cell>
          <cell r="AO50">
            <v>13500</v>
          </cell>
          <cell r="AP50">
            <v>14000</v>
          </cell>
          <cell r="AQ50">
            <v>14500</v>
          </cell>
          <cell r="AR50">
            <v>15000</v>
          </cell>
          <cell r="AS50">
            <v>15500</v>
          </cell>
          <cell r="AT50">
            <v>16000</v>
          </cell>
          <cell r="AU50">
            <v>16500</v>
          </cell>
          <cell r="AV50">
            <v>17000</v>
          </cell>
          <cell r="AW50">
            <v>17500</v>
          </cell>
          <cell r="AX50">
            <v>18000</v>
          </cell>
          <cell r="AY50">
            <v>18500</v>
          </cell>
          <cell r="AZ50">
            <v>19000</v>
          </cell>
          <cell r="BA50">
            <v>19500</v>
          </cell>
          <cell r="BB50">
            <v>20000</v>
          </cell>
          <cell r="BC50">
            <v>20500</v>
          </cell>
          <cell r="BD50">
            <v>21000</v>
          </cell>
          <cell r="BE50">
            <v>21500</v>
          </cell>
          <cell r="BF50">
            <v>22000</v>
          </cell>
          <cell r="BG50">
            <v>22500</v>
          </cell>
          <cell r="BH50">
            <v>23000</v>
          </cell>
          <cell r="BI50">
            <v>23500</v>
          </cell>
          <cell r="BJ50">
            <v>24000</v>
          </cell>
          <cell r="BK50">
            <v>24500</v>
          </cell>
          <cell r="BL50">
            <v>25000</v>
          </cell>
          <cell r="BM50">
            <v>25500</v>
          </cell>
          <cell r="BN50">
            <v>26000</v>
          </cell>
          <cell r="BO50">
            <v>26500</v>
          </cell>
          <cell r="BP50">
            <v>27000</v>
          </cell>
          <cell r="BQ50">
            <v>27500</v>
          </cell>
          <cell r="BR50">
            <v>28000</v>
          </cell>
          <cell r="BS50">
            <v>28500</v>
          </cell>
          <cell r="BT50">
            <v>29000</v>
          </cell>
          <cell r="BU50">
            <v>29500</v>
          </cell>
          <cell r="BV50">
            <v>30000</v>
          </cell>
          <cell r="BW50">
            <v>30500</v>
          </cell>
          <cell r="BX50">
            <v>31000</v>
          </cell>
          <cell r="BY50">
            <v>31500</v>
          </cell>
          <cell r="BZ50">
            <v>32000</v>
          </cell>
          <cell r="CA50">
            <v>32500</v>
          </cell>
          <cell r="CB50">
            <v>33000</v>
          </cell>
          <cell r="CC50">
            <v>33500</v>
          </cell>
          <cell r="CD50">
            <v>34000</v>
          </cell>
          <cell r="CE50">
            <v>34500</v>
          </cell>
          <cell r="CF50">
            <v>35000</v>
          </cell>
          <cell r="CG50">
            <v>35500</v>
          </cell>
          <cell r="CH50">
            <v>36000</v>
          </cell>
          <cell r="CI50">
            <v>36500</v>
          </cell>
          <cell r="CJ50">
            <v>37000</v>
          </cell>
          <cell r="CK50">
            <v>37500</v>
          </cell>
          <cell r="CL50">
            <v>38000</v>
          </cell>
          <cell r="CM50">
            <v>38500</v>
          </cell>
          <cell r="CN50">
            <v>39000</v>
          </cell>
          <cell r="CO50">
            <v>39500</v>
          </cell>
          <cell r="CP50">
            <v>40000</v>
          </cell>
          <cell r="CQ50">
            <v>40500</v>
          </cell>
          <cell r="CR50">
            <v>41000</v>
          </cell>
          <cell r="CS50">
            <v>41500</v>
          </cell>
          <cell r="CT50">
            <v>42000</v>
          </cell>
          <cell r="CU50">
            <v>42500</v>
          </cell>
          <cell r="CV50">
            <v>43000</v>
          </cell>
          <cell r="CW50">
            <v>43500</v>
          </cell>
          <cell r="CX50">
            <v>44000</v>
          </cell>
          <cell r="CY50">
            <v>44500</v>
          </cell>
          <cell r="CZ50">
            <v>45000</v>
          </cell>
          <cell r="DA50">
            <v>45500</v>
          </cell>
          <cell r="DB50">
            <v>46000</v>
          </cell>
          <cell r="DC50">
            <v>46500</v>
          </cell>
          <cell r="DD50">
            <v>47000</v>
          </cell>
          <cell r="DE50">
            <v>47500</v>
          </cell>
          <cell r="DF50">
            <v>48000</v>
          </cell>
          <cell r="DG50">
            <v>48500</v>
          </cell>
          <cell r="DH50">
            <v>49000</v>
          </cell>
          <cell r="DI50">
            <v>49500</v>
          </cell>
          <cell r="DJ50">
            <v>50000</v>
          </cell>
          <cell r="DK50">
            <v>50500</v>
          </cell>
          <cell r="DL50">
            <v>51000</v>
          </cell>
          <cell r="DM50">
            <v>51500</v>
          </cell>
          <cell r="DN50">
            <v>52000</v>
          </cell>
          <cell r="DO50">
            <v>52500</v>
          </cell>
          <cell r="DP50">
            <v>53000</v>
          </cell>
          <cell r="DQ50">
            <v>53500</v>
          </cell>
          <cell r="DR50">
            <v>54000</v>
          </cell>
          <cell r="DS50">
            <v>54500</v>
          </cell>
          <cell r="DT50">
            <v>55000</v>
          </cell>
          <cell r="DU50">
            <v>55500</v>
          </cell>
          <cell r="DV50">
            <v>56000</v>
          </cell>
          <cell r="DW50">
            <v>56500</v>
          </cell>
          <cell r="DX50">
            <v>57000</v>
          </cell>
          <cell r="DY50">
            <v>57500</v>
          </cell>
          <cell r="DZ50">
            <v>58000</v>
          </cell>
          <cell r="EA50">
            <v>58500</v>
          </cell>
          <cell r="EB50">
            <v>59000</v>
          </cell>
          <cell r="EC50">
            <v>59500</v>
          </cell>
          <cell r="ED50">
            <v>60000</v>
          </cell>
          <cell r="EE50">
            <v>60500</v>
          </cell>
          <cell r="EF50">
            <v>61000</v>
          </cell>
          <cell r="EG50">
            <v>61500</v>
          </cell>
          <cell r="EH50">
            <v>62000</v>
          </cell>
          <cell r="EI50">
            <v>62500</v>
          </cell>
          <cell r="EJ50">
            <v>63000</v>
          </cell>
          <cell r="EK50">
            <v>63500</v>
          </cell>
          <cell r="EL50">
            <v>64000</v>
          </cell>
          <cell r="EM50">
            <v>64500</v>
          </cell>
          <cell r="EN50">
            <v>65000</v>
          </cell>
          <cell r="EO50">
            <v>65500</v>
          </cell>
          <cell r="EP50">
            <v>66000</v>
          </cell>
          <cell r="EQ50">
            <v>66500</v>
          </cell>
          <cell r="ER50">
            <v>67000</v>
          </cell>
          <cell r="ES50">
            <v>67500</v>
          </cell>
          <cell r="ET50">
            <v>68000</v>
          </cell>
          <cell r="EU50">
            <v>68500</v>
          </cell>
          <cell r="EV50">
            <v>69000</v>
          </cell>
          <cell r="EW50">
            <v>69500</v>
          </cell>
          <cell r="EX50">
            <v>70000</v>
          </cell>
          <cell r="EY50">
            <v>70500</v>
          </cell>
          <cell r="EZ50">
            <v>71000</v>
          </cell>
          <cell r="FA50">
            <v>71500</v>
          </cell>
          <cell r="FB50">
            <v>72000</v>
          </cell>
          <cell r="FC50">
            <v>72500</v>
          </cell>
          <cell r="FD50">
            <v>73000</v>
          </cell>
          <cell r="FE50">
            <v>73500</v>
          </cell>
          <cell r="FF50">
            <v>74000</v>
          </cell>
          <cell r="FG50">
            <v>74500</v>
          </cell>
          <cell r="FH50">
            <v>75000</v>
          </cell>
          <cell r="FI50">
            <v>75500</v>
          </cell>
          <cell r="FJ50">
            <v>76000</v>
          </cell>
          <cell r="FK50">
            <v>76500</v>
          </cell>
          <cell r="FL50">
            <v>77000</v>
          </cell>
          <cell r="FM50">
            <v>77500</v>
          </cell>
          <cell r="FN50">
            <v>78000</v>
          </cell>
          <cell r="FO50">
            <v>78500</v>
          </cell>
          <cell r="FP50">
            <v>79000</v>
          </cell>
          <cell r="FQ50">
            <v>79500</v>
          </cell>
          <cell r="FR50">
            <v>80000</v>
          </cell>
          <cell r="FS50">
            <v>80500</v>
          </cell>
          <cell r="FT50">
            <v>81000</v>
          </cell>
          <cell r="FU50">
            <v>81500</v>
          </cell>
          <cell r="FV50">
            <v>82000</v>
          </cell>
          <cell r="FW50">
            <v>82500</v>
          </cell>
          <cell r="FX50">
            <v>83000</v>
          </cell>
          <cell r="FY50">
            <v>83500</v>
          </cell>
          <cell r="FZ50">
            <v>84000</v>
          </cell>
          <cell r="GA50">
            <v>84500</v>
          </cell>
          <cell r="GB50">
            <v>85000</v>
          </cell>
          <cell r="GC50">
            <v>85500</v>
          </cell>
          <cell r="GD50">
            <v>86000</v>
          </cell>
          <cell r="GE50">
            <v>86500</v>
          </cell>
          <cell r="GF50">
            <v>87000</v>
          </cell>
          <cell r="GG50">
            <v>87500</v>
          </cell>
          <cell r="GH50">
            <v>88000</v>
          </cell>
          <cell r="GI50">
            <v>88500</v>
          </cell>
          <cell r="GJ50">
            <v>89000</v>
          </cell>
          <cell r="GK50">
            <v>89500</v>
          </cell>
          <cell r="GL50">
            <v>90000</v>
          </cell>
          <cell r="GM50">
            <v>90500</v>
          </cell>
          <cell r="GN50">
            <v>91000</v>
          </cell>
          <cell r="GO50">
            <v>91500</v>
          </cell>
          <cell r="GP50">
            <v>92000</v>
          </cell>
          <cell r="GQ50">
            <v>92500</v>
          </cell>
          <cell r="GR50">
            <v>93000</v>
          </cell>
          <cell r="GS50">
            <v>93500</v>
          </cell>
          <cell r="GT50">
            <v>94000</v>
          </cell>
          <cell r="GU50">
            <v>94500</v>
          </cell>
          <cell r="GV50">
            <v>95000</v>
          </cell>
          <cell r="GW50">
            <v>95500</v>
          </cell>
          <cell r="GX50">
            <v>96000</v>
          </cell>
          <cell r="GY50">
            <v>96500</v>
          </cell>
          <cell r="GZ50">
            <v>97000</v>
          </cell>
          <cell r="HA50">
            <v>97500</v>
          </cell>
          <cell r="HB50">
            <v>98000</v>
          </cell>
          <cell r="HC50">
            <v>98500</v>
          </cell>
          <cell r="HD50">
            <v>99000</v>
          </cell>
          <cell r="HE50">
            <v>99500</v>
          </cell>
          <cell r="HF50">
            <v>100000</v>
          </cell>
        </row>
        <row r="54">
          <cell r="N54">
            <v>0</v>
          </cell>
          <cell r="O54">
            <v>38</v>
          </cell>
          <cell r="P54">
            <v>77</v>
          </cell>
          <cell r="Q54">
            <v>115</v>
          </cell>
          <cell r="R54">
            <v>153</v>
          </cell>
          <cell r="S54">
            <v>191</v>
          </cell>
          <cell r="T54">
            <v>230</v>
          </cell>
          <cell r="U54">
            <v>268</v>
          </cell>
          <cell r="V54">
            <v>306</v>
          </cell>
          <cell r="W54">
            <v>344</v>
          </cell>
          <cell r="X54">
            <v>383</v>
          </cell>
          <cell r="Y54">
            <v>421</v>
          </cell>
          <cell r="Z54">
            <v>459</v>
          </cell>
          <cell r="AA54">
            <v>497</v>
          </cell>
          <cell r="AB54">
            <v>536</v>
          </cell>
          <cell r="AC54">
            <v>574</v>
          </cell>
          <cell r="AD54">
            <v>612</v>
          </cell>
          <cell r="AE54">
            <v>650</v>
          </cell>
          <cell r="AF54">
            <v>689</v>
          </cell>
          <cell r="AG54">
            <v>727</v>
          </cell>
          <cell r="AH54">
            <v>765</v>
          </cell>
          <cell r="AI54">
            <v>803</v>
          </cell>
          <cell r="AJ54">
            <v>842</v>
          </cell>
          <cell r="AK54">
            <v>880</v>
          </cell>
          <cell r="AL54">
            <v>918</v>
          </cell>
          <cell r="AM54">
            <v>956</v>
          </cell>
          <cell r="AN54">
            <v>995</v>
          </cell>
          <cell r="AO54">
            <v>1033</v>
          </cell>
          <cell r="AP54">
            <v>1071</v>
          </cell>
          <cell r="AQ54">
            <v>1109</v>
          </cell>
          <cell r="AR54">
            <v>1148</v>
          </cell>
          <cell r="AS54">
            <v>1186</v>
          </cell>
          <cell r="AT54">
            <v>1224</v>
          </cell>
          <cell r="AU54">
            <v>1262</v>
          </cell>
          <cell r="AV54">
            <v>1301</v>
          </cell>
          <cell r="AW54">
            <v>1339</v>
          </cell>
          <cell r="AX54">
            <v>1377</v>
          </cell>
          <cell r="AY54">
            <v>1415</v>
          </cell>
          <cell r="AZ54">
            <v>1454</v>
          </cell>
          <cell r="BA54">
            <v>1492</v>
          </cell>
          <cell r="BB54">
            <v>1530</v>
          </cell>
          <cell r="BC54">
            <v>1568</v>
          </cell>
          <cell r="BD54">
            <v>1607</v>
          </cell>
          <cell r="BE54">
            <v>1645</v>
          </cell>
          <cell r="BF54">
            <v>1683</v>
          </cell>
          <cell r="BG54">
            <v>1721</v>
          </cell>
          <cell r="BH54">
            <v>1760</v>
          </cell>
          <cell r="BI54">
            <v>1798</v>
          </cell>
          <cell r="BJ54">
            <v>1836</v>
          </cell>
          <cell r="BK54">
            <v>1874</v>
          </cell>
          <cell r="BL54">
            <v>1913</v>
          </cell>
          <cell r="BM54">
            <v>1951</v>
          </cell>
          <cell r="BN54">
            <v>1989</v>
          </cell>
          <cell r="BO54">
            <v>2027</v>
          </cell>
          <cell r="BP54">
            <v>2066</v>
          </cell>
          <cell r="BQ54">
            <v>2104</v>
          </cell>
          <cell r="BR54">
            <v>2142</v>
          </cell>
          <cell r="BS54">
            <v>2180</v>
          </cell>
          <cell r="BT54">
            <v>2219</v>
          </cell>
          <cell r="BU54">
            <v>2257</v>
          </cell>
          <cell r="BV54">
            <v>2295</v>
          </cell>
          <cell r="BW54">
            <v>2333</v>
          </cell>
          <cell r="BX54">
            <v>2372</v>
          </cell>
          <cell r="BY54">
            <v>2410</v>
          </cell>
          <cell r="BZ54">
            <v>2448</v>
          </cell>
          <cell r="CA54">
            <v>2486</v>
          </cell>
          <cell r="CB54">
            <v>2525</v>
          </cell>
          <cell r="CC54">
            <v>2563</v>
          </cell>
          <cell r="CD54">
            <v>2601</v>
          </cell>
          <cell r="CE54">
            <v>2639</v>
          </cell>
          <cell r="CF54">
            <v>2678</v>
          </cell>
          <cell r="CG54">
            <v>2716</v>
          </cell>
          <cell r="CH54">
            <v>2754</v>
          </cell>
          <cell r="CI54">
            <v>2792</v>
          </cell>
          <cell r="CJ54">
            <v>2831</v>
          </cell>
          <cell r="CK54">
            <v>2869</v>
          </cell>
          <cell r="CL54">
            <v>2907</v>
          </cell>
          <cell r="CM54">
            <v>2945</v>
          </cell>
          <cell r="CN54">
            <v>2984</v>
          </cell>
          <cell r="CO54">
            <v>3022</v>
          </cell>
          <cell r="CP54">
            <v>3060</v>
          </cell>
          <cell r="CQ54">
            <v>3098</v>
          </cell>
          <cell r="CR54">
            <v>3137</v>
          </cell>
          <cell r="CS54">
            <v>3175</v>
          </cell>
          <cell r="CT54">
            <v>3213</v>
          </cell>
          <cell r="CU54">
            <v>3251</v>
          </cell>
          <cell r="CV54">
            <v>3290</v>
          </cell>
          <cell r="CW54">
            <v>3328</v>
          </cell>
          <cell r="CX54">
            <v>3366</v>
          </cell>
          <cell r="CY54">
            <v>3404</v>
          </cell>
          <cell r="CZ54">
            <v>3443</v>
          </cell>
          <cell r="DA54">
            <v>3481</v>
          </cell>
          <cell r="DB54">
            <v>3519</v>
          </cell>
          <cell r="DC54">
            <v>3557</v>
          </cell>
          <cell r="DD54">
            <v>3596</v>
          </cell>
          <cell r="DE54">
            <v>3634</v>
          </cell>
          <cell r="DF54">
            <v>3672</v>
          </cell>
          <cell r="DG54">
            <v>3710</v>
          </cell>
          <cell r="DH54">
            <v>3749</v>
          </cell>
          <cell r="DI54">
            <v>3787</v>
          </cell>
          <cell r="DJ54">
            <v>3825</v>
          </cell>
          <cell r="DK54">
            <v>3863</v>
          </cell>
          <cell r="DL54">
            <v>3902</v>
          </cell>
          <cell r="DM54">
            <v>3940</v>
          </cell>
          <cell r="DN54">
            <v>3978</v>
          </cell>
          <cell r="DO54">
            <v>4016</v>
          </cell>
          <cell r="DP54">
            <v>4055</v>
          </cell>
          <cell r="DQ54">
            <v>4093</v>
          </cell>
          <cell r="DR54">
            <v>4131</v>
          </cell>
          <cell r="DS54">
            <v>4169</v>
          </cell>
          <cell r="DT54">
            <v>4208</v>
          </cell>
          <cell r="DU54">
            <v>4246</v>
          </cell>
          <cell r="DV54">
            <v>4284</v>
          </cell>
          <cell r="DW54">
            <v>4322</v>
          </cell>
          <cell r="DX54">
            <v>4361</v>
          </cell>
          <cell r="DY54">
            <v>4399</v>
          </cell>
          <cell r="DZ54">
            <v>4437</v>
          </cell>
          <cell r="EA54">
            <v>4475</v>
          </cell>
          <cell r="EB54">
            <v>4514</v>
          </cell>
          <cell r="EC54">
            <v>4552</v>
          </cell>
          <cell r="ED54">
            <v>4590</v>
          </cell>
          <cell r="EE54">
            <v>4628</v>
          </cell>
          <cell r="EF54">
            <v>4667</v>
          </cell>
          <cell r="EG54">
            <v>4705</v>
          </cell>
          <cell r="EH54">
            <v>4743</v>
          </cell>
          <cell r="EI54">
            <v>4781</v>
          </cell>
          <cell r="EJ54">
            <v>4820</v>
          </cell>
          <cell r="EK54">
            <v>4858</v>
          </cell>
          <cell r="EL54">
            <v>4896</v>
          </cell>
          <cell r="EM54">
            <v>4934</v>
          </cell>
          <cell r="EN54">
            <v>4973</v>
          </cell>
          <cell r="EO54">
            <v>5011</v>
          </cell>
          <cell r="EP54">
            <v>5049</v>
          </cell>
          <cell r="EQ54">
            <v>5087</v>
          </cell>
          <cell r="ER54">
            <v>5126</v>
          </cell>
          <cell r="ES54">
            <v>5164</v>
          </cell>
          <cell r="ET54">
            <v>5202</v>
          </cell>
          <cell r="EU54">
            <v>5240</v>
          </cell>
          <cell r="EV54">
            <v>5279</v>
          </cell>
          <cell r="EW54">
            <v>5317</v>
          </cell>
          <cell r="EX54">
            <v>5355</v>
          </cell>
          <cell r="EY54">
            <v>5393</v>
          </cell>
          <cell r="EZ54">
            <v>5432</v>
          </cell>
          <cell r="FA54">
            <v>5470</v>
          </cell>
          <cell r="FB54">
            <v>5508</v>
          </cell>
          <cell r="FC54">
            <v>5546</v>
          </cell>
          <cell r="FD54">
            <v>5585</v>
          </cell>
          <cell r="FE54">
            <v>5623</v>
          </cell>
          <cell r="FF54">
            <v>5661</v>
          </cell>
          <cell r="FG54">
            <v>5699</v>
          </cell>
          <cell r="FH54">
            <v>5738</v>
          </cell>
          <cell r="FI54">
            <v>5776</v>
          </cell>
          <cell r="FJ54">
            <v>5814</v>
          </cell>
          <cell r="FK54">
            <v>5852</v>
          </cell>
          <cell r="FL54">
            <v>5891</v>
          </cell>
          <cell r="FM54">
            <v>5929</v>
          </cell>
          <cell r="FN54">
            <v>5967</v>
          </cell>
          <cell r="FO54">
            <v>6005</v>
          </cell>
          <cell r="FP54">
            <v>6044</v>
          </cell>
          <cell r="FQ54">
            <v>6082</v>
          </cell>
          <cell r="FR54">
            <v>6120</v>
          </cell>
          <cell r="FS54">
            <v>6158</v>
          </cell>
          <cell r="FT54">
            <v>6197</v>
          </cell>
          <cell r="FU54">
            <v>6235</v>
          </cell>
          <cell r="FV54">
            <v>6273</v>
          </cell>
          <cell r="FW54">
            <v>6311</v>
          </cell>
          <cell r="FX54">
            <v>6350</v>
          </cell>
          <cell r="FY54">
            <v>6388</v>
          </cell>
          <cell r="FZ54">
            <v>6426</v>
          </cell>
          <cell r="GA54">
            <v>6464</v>
          </cell>
          <cell r="GB54">
            <v>6503</v>
          </cell>
          <cell r="GC54">
            <v>6541</v>
          </cell>
          <cell r="GD54">
            <v>6579</v>
          </cell>
          <cell r="GE54">
            <v>6617</v>
          </cell>
          <cell r="GF54">
            <v>6656</v>
          </cell>
          <cell r="GG54">
            <v>6694</v>
          </cell>
          <cell r="GH54">
            <v>6732</v>
          </cell>
          <cell r="GI54">
            <v>6770</v>
          </cell>
          <cell r="GJ54">
            <v>6809</v>
          </cell>
          <cell r="GK54">
            <v>6847</v>
          </cell>
          <cell r="GL54">
            <v>6885</v>
          </cell>
          <cell r="GM54">
            <v>6923</v>
          </cell>
          <cell r="GN54">
            <v>6962</v>
          </cell>
          <cell r="GO54">
            <v>7000</v>
          </cell>
          <cell r="GP54">
            <v>7038</v>
          </cell>
          <cell r="GQ54">
            <v>7076</v>
          </cell>
          <cell r="GR54">
            <v>7115</v>
          </cell>
          <cell r="GS54">
            <v>7153</v>
          </cell>
          <cell r="GT54">
            <v>7191</v>
          </cell>
          <cell r="GU54">
            <v>7229</v>
          </cell>
          <cell r="GV54">
            <v>7268</v>
          </cell>
          <cell r="GW54">
            <v>7306</v>
          </cell>
          <cell r="GX54">
            <v>7344</v>
          </cell>
          <cell r="GY54">
            <v>7382</v>
          </cell>
          <cell r="GZ54">
            <v>7421</v>
          </cell>
          <cell r="HA54">
            <v>7459</v>
          </cell>
          <cell r="HB54">
            <v>7497</v>
          </cell>
          <cell r="HC54">
            <v>7535</v>
          </cell>
          <cell r="HD54">
            <v>7574</v>
          </cell>
          <cell r="HE54">
            <v>7612</v>
          </cell>
          <cell r="HF54">
            <v>7650</v>
          </cell>
        </row>
        <row r="66">
          <cell r="N66">
            <v>0</v>
          </cell>
          <cell r="O66">
            <v>500</v>
          </cell>
          <cell r="P66">
            <v>1000</v>
          </cell>
          <cell r="Q66">
            <v>1500</v>
          </cell>
          <cell r="R66">
            <v>2000</v>
          </cell>
          <cell r="S66">
            <v>2500</v>
          </cell>
          <cell r="T66">
            <v>3000</v>
          </cell>
          <cell r="U66">
            <v>3500</v>
          </cell>
          <cell r="V66">
            <v>4000</v>
          </cell>
          <cell r="W66">
            <v>4500</v>
          </cell>
          <cell r="X66">
            <v>5000</v>
          </cell>
          <cell r="Y66">
            <v>5500</v>
          </cell>
          <cell r="Z66">
            <v>6000</v>
          </cell>
          <cell r="AA66">
            <v>6500</v>
          </cell>
          <cell r="AB66">
            <v>7000</v>
          </cell>
          <cell r="AC66">
            <v>7500</v>
          </cell>
          <cell r="AD66">
            <v>8000</v>
          </cell>
          <cell r="AE66">
            <v>8500</v>
          </cell>
          <cell r="AF66">
            <v>9000</v>
          </cell>
          <cell r="AG66">
            <v>9500</v>
          </cell>
          <cell r="AH66">
            <v>10000</v>
          </cell>
          <cell r="AI66">
            <v>10500</v>
          </cell>
          <cell r="AJ66">
            <v>11000</v>
          </cell>
          <cell r="AK66">
            <v>11500</v>
          </cell>
          <cell r="AL66">
            <v>12000</v>
          </cell>
          <cell r="AM66">
            <v>12500</v>
          </cell>
          <cell r="AN66">
            <v>13000</v>
          </cell>
          <cell r="AO66">
            <v>13500</v>
          </cell>
          <cell r="AP66">
            <v>14000</v>
          </cell>
          <cell r="AQ66">
            <v>14500</v>
          </cell>
          <cell r="AR66">
            <v>15000</v>
          </cell>
          <cell r="AS66">
            <v>15500</v>
          </cell>
          <cell r="AT66">
            <v>16000</v>
          </cell>
          <cell r="AU66">
            <v>16500</v>
          </cell>
          <cell r="AV66">
            <v>17000</v>
          </cell>
          <cell r="AW66">
            <v>17500</v>
          </cell>
          <cell r="AX66">
            <v>18000</v>
          </cell>
          <cell r="AY66">
            <v>18500</v>
          </cell>
          <cell r="AZ66">
            <v>19000</v>
          </cell>
          <cell r="BA66">
            <v>19500</v>
          </cell>
          <cell r="BB66">
            <v>20000</v>
          </cell>
          <cell r="BC66">
            <v>20500</v>
          </cell>
          <cell r="BD66">
            <v>21000</v>
          </cell>
          <cell r="BE66">
            <v>21500</v>
          </cell>
          <cell r="BF66">
            <v>22000</v>
          </cell>
          <cell r="BG66">
            <v>22500</v>
          </cell>
          <cell r="BH66">
            <v>23000</v>
          </cell>
          <cell r="BI66">
            <v>23500</v>
          </cell>
          <cell r="BJ66">
            <v>24000</v>
          </cell>
          <cell r="BK66">
            <v>24500</v>
          </cell>
          <cell r="BL66">
            <v>25000</v>
          </cell>
          <cell r="BM66">
            <v>25500</v>
          </cell>
          <cell r="BN66">
            <v>26000</v>
          </cell>
          <cell r="BO66">
            <v>26500</v>
          </cell>
          <cell r="BP66">
            <v>27000</v>
          </cell>
          <cell r="BQ66">
            <v>27500</v>
          </cell>
          <cell r="BR66">
            <v>28000</v>
          </cell>
          <cell r="BS66">
            <v>28500</v>
          </cell>
          <cell r="BT66">
            <v>29000</v>
          </cell>
          <cell r="BU66">
            <v>29500</v>
          </cell>
          <cell r="BV66">
            <v>30000</v>
          </cell>
          <cell r="BW66">
            <v>30500</v>
          </cell>
          <cell r="BX66">
            <v>31000</v>
          </cell>
          <cell r="BY66">
            <v>31500</v>
          </cell>
          <cell r="BZ66">
            <v>32000</v>
          </cell>
          <cell r="CA66">
            <v>32500</v>
          </cell>
          <cell r="CB66">
            <v>33000</v>
          </cell>
          <cell r="CC66">
            <v>33500</v>
          </cell>
          <cell r="CD66">
            <v>34000</v>
          </cell>
          <cell r="CE66">
            <v>34500</v>
          </cell>
          <cell r="CF66">
            <v>35000</v>
          </cell>
          <cell r="CG66">
            <v>35500</v>
          </cell>
          <cell r="CH66">
            <v>36000</v>
          </cell>
          <cell r="CI66">
            <v>36500</v>
          </cell>
          <cell r="CJ66">
            <v>37000</v>
          </cell>
          <cell r="CK66">
            <v>37500</v>
          </cell>
          <cell r="CL66">
            <v>38000</v>
          </cell>
          <cell r="CM66">
            <v>38500</v>
          </cell>
          <cell r="CN66">
            <v>39000</v>
          </cell>
          <cell r="CO66">
            <v>39500</v>
          </cell>
          <cell r="CP66">
            <v>40000</v>
          </cell>
          <cell r="CQ66">
            <v>40500</v>
          </cell>
          <cell r="CR66">
            <v>41000</v>
          </cell>
          <cell r="CS66">
            <v>41500</v>
          </cell>
          <cell r="CT66">
            <v>42000</v>
          </cell>
          <cell r="CU66">
            <v>42500</v>
          </cell>
          <cell r="CV66">
            <v>43000</v>
          </cell>
          <cell r="CW66">
            <v>43500</v>
          </cell>
          <cell r="CX66">
            <v>44000</v>
          </cell>
          <cell r="CY66">
            <v>44500</v>
          </cell>
          <cell r="CZ66">
            <v>45000</v>
          </cell>
          <cell r="DA66">
            <v>45500</v>
          </cell>
          <cell r="DB66">
            <v>46000</v>
          </cell>
          <cell r="DC66">
            <v>46500</v>
          </cell>
          <cell r="DD66">
            <v>47000</v>
          </cell>
          <cell r="DE66">
            <v>47500</v>
          </cell>
          <cell r="DF66">
            <v>48000</v>
          </cell>
          <cell r="DG66">
            <v>48500</v>
          </cell>
          <cell r="DH66">
            <v>49000</v>
          </cell>
          <cell r="DI66">
            <v>49500</v>
          </cell>
          <cell r="DJ66">
            <v>50000</v>
          </cell>
          <cell r="DK66">
            <v>50500</v>
          </cell>
          <cell r="DL66">
            <v>51000</v>
          </cell>
          <cell r="DM66">
            <v>51500</v>
          </cell>
          <cell r="DN66">
            <v>52000</v>
          </cell>
          <cell r="DO66">
            <v>52500</v>
          </cell>
          <cell r="DP66">
            <v>53000</v>
          </cell>
          <cell r="DQ66">
            <v>53500</v>
          </cell>
          <cell r="DR66">
            <v>54000</v>
          </cell>
          <cell r="DS66">
            <v>54500</v>
          </cell>
          <cell r="DT66">
            <v>55000</v>
          </cell>
          <cell r="DU66">
            <v>55500</v>
          </cell>
          <cell r="DV66">
            <v>56000</v>
          </cell>
          <cell r="DW66">
            <v>56500</v>
          </cell>
          <cell r="DX66">
            <v>57000</v>
          </cell>
          <cell r="DY66">
            <v>57500</v>
          </cell>
          <cell r="DZ66">
            <v>58000</v>
          </cell>
          <cell r="EA66">
            <v>58500</v>
          </cell>
          <cell r="EB66">
            <v>59000</v>
          </cell>
          <cell r="EC66">
            <v>59500</v>
          </cell>
          <cell r="ED66">
            <v>60000</v>
          </cell>
          <cell r="EE66">
            <v>60500</v>
          </cell>
          <cell r="EF66">
            <v>61000</v>
          </cell>
          <cell r="EG66">
            <v>61500</v>
          </cell>
          <cell r="EH66">
            <v>62000</v>
          </cell>
          <cell r="EI66">
            <v>62500</v>
          </cell>
          <cell r="EJ66">
            <v>63000</v>
          </cell>
          <cell r="EK66">
            <v>63500</v>
          </cell>
          <cell r="EL66">
            <v>64000</v>
          </cell>
          <cell r="EM66">
            <v>64500</v>
          </cell>
          <cell r="EN66">
            <v>65000</v>
          </cell>
          <cell r="EO66">
            <v>65500</v>
          </cell>
          <cell r="EP66">
            <v>66000</v>
          </cell>
          <cell r="EQ66">
            <v>66500</v>
          </cell>
          <cell r="ER66">
            <v>67000</v>
          </cell>
          <cell r="ES66">
            <v>67500</v>
          </cell>
          <cell r="ET66">
            <v>68000</v>
          </cell>
          <cell r="EU66">
            <v>68500</v>
          </cell>
          <cell r="EV66">
            <v>69000</v>
          </cell>
          <cell r="EW66">
            <v>69500</v>
          </cell>
          <cell r="EX66">
            <v>70000</v>
          </cell>
          <cell r="EY66">
            <v>70500</v>
          </cell>
          <cell r="EZ66">
            <v>71000</v>
          </cell>
          <cell r="FA66">
            <v>71500</v>
          </cell>
          <cell r="FB66">
            <v>72000</v>
          </cell>
          <cell r="FC66">
            <v>72500</v>
          </cell>
          <cell r="FD66">
            <v>73000</v>
          </cell>
          <cell r="FE66">
            <v>73500</v>
          </cell>
          <cell r="FF66">
            <v>74000</v>
          </cell>
          <cell r="FG66">
            <v>74500</v>
          </cell>
          <cell r="FH66">
            <v>75000</v>
          </cell>
          <cell r="FI66">
            <v>75500</v>
          </cell>
          <cell r="FJ66">
            <v>76000</v>
          </cell>
          <cell r="FK66">
            <v>76500</v>
          </cell>
          <cell r="FL66">
            <v>77000</v>
          </cell>
          <cell r="FM66">
            <v>77500</v>
          </cell>
          <cell r="FN66">
            <v>78000</v>
          </cell>
          <cell r="FO66">
            <v>78500</v>
          </cell>
          <cell r="FP66">
            <v>79000</v>
          </cell>
          <cell r="FQ66">
            <v>79500</v>
          </cell>
          <cell r="FR66">
            <v>80000</v>
          </cell>
          <cell r="FS66">
            <v>80500</v>
          </cell>
          <cell r="FT66">
            <v>81000</v>
          </cell>
          <cell r="FU66">
            <v>81500</v>
          </cell>
          <cell r="FV66">
            <v>82000</v>
          </cell>
          <cell r="FW66">
            <v>82500</v>
          </cell>
          <cell r="FX66">
            <v>83000</v>
          </cell>
          <cell r="FY66">
            <v>83500</v>
          </cell>
          <cell r="FZ66">
            <v>84000</v>
          </cell>
          <cell r="GA66">
            <v>84500</v>
          </cell>
          <cell r="GB66">
            <v>85000</v>
          </cell>
          <cell r="GC66">
            <v>85500</v>
          </cell>
          <cell r="GD66">
            <v>86000</v>
          </cell>
          <cell r="GE66">
            <v>86500</v>
          </cell>
          <cell r="GF66">
            <v>87000</v>
          </cell>
          <cell r="GG66">
            <v>87500</v>
          </cell>
          <cell r="GH66">
            <v>88000</v>
          </cell>
          <cell r="GI66">
            <v>88500</v>
          </cell>
          <cell r="GJ66">
            <v>89000</v>
          </cell>
          <cell r="GK66">
            <v>89500</v>
          </cell>
          <cell r="GL66">
            <v>90000</v>
          </cell>
          <cell r="GM66">
            <v>90500</v>
          </cell>
          <cell r="GN66">
            <v>91000</v>
          </cell>
          <cell r="GO66">
            <v>91500</v>
          </cell>
          <cell r="GP66">
            <v>92000</v>
          </cell>
          <cell r="GQ66">
            <v>92500</v>
          </cell>
          <cell r="GR66">
            <v>93000</v>
          </cell>
          <cell r="GS66">
            <v>93500</v>
          </cell>
          <cell r="GT66">
            <v>94000</v>
          </cell>
          <cell r="GU66">
            <v>94500</v>
          </cell>
          <cell r="GV66">
            <v>95000</v>
          </cell>
          <cell r="GW66">
            <v>95500</v>
          </cell>
          <cell r="GX66">
            <v>96000</v>
          </cell>
          <cell r="GY66">
            <v>96500</v>
          </cell>
          <cell r="GZ66">
            <v>97000</v>
          </cell>
          <cell r="HA66">
            <v>97500</v>
          </cell>
          <cell r="HB66">
            <v>98000</v>
          </cell>
          <cell r="HC66">
            <v>98500</v>
          </cell>
          <cell r="HD66">
            <v>99000</v>
          </cell>
          <cell r="HE66">
            <v>99500</v>
          </cell>
          <cell r="HF66">
            <v>100000</v>
          </cell>
        </row>
        <row r="102">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cell r="BM102">
            <v>0</v>
          </cell>
          <cell r="BN102">
            <v>10</v>
          </cell>
          <cell r="BO102">
            <v>60</v>
          </cell>
          <cell r="BP102">
            <v>110</v>
          </cell>
          <cell r="BQ102">
            <v>160</v>
          </cell>
          <cell r="BR102">
            <v>210</v>
          </cell>
          <cell r="BS102">
            <v>260</v>
          </cell>
          <cell r="BT102">
            <v>310</v>
          </cell>
          <cell r="BU102">
            <v>360</v>
          </cell>
          <cell r="BV102">
            <v>410</v>
          </cell>
          <cell r="BW102">
            <v>460</v>
          </cell>
          <cell r="BX102">
            <v>510</v>
          </cell>
          <cell r="BY102">
            <v>560</v>
          </cell>
          <cell r="BZ102">
            <v>610</v>
          </cell>
          <cell r="CA102">
            <v>660</v>
          </cell>
          <cell r="CB102">
            <v>710</v>
          </cell>
          <cell r="CC102">
            <v>760</v>
          </cell>
          <cell r="CD102">
            <v>810</v>
          </cell>
          <cell r="CE102">
            <v>860</v>
          </cell>
          <cell r="CF102">
            <v>910</v>
          </cell>
          <cell r="CG102">
            <v>960</v>
          </cell>
          <cell r="CH102">
            <v>1010</v>
          </cell>
          <cell r="CI102">
            <v>1060</v>
          </cell>
          <cell r="CJ102">
            <v>1110</v>
          </cell>
          <cell r="CK102">
            <v>1160</v>
          </cell>
          <cell r="CL102">
            <v>1210</v>
          </cell>
          <cell r="CM102">
            <v>1260</v>
          </cell>
          <cell r="CN102">
            <v>1310</v>
          </cell>
          <cell r="CO102">
            <v>1360</v>
          </cell>
          <cell r="CP102">
            <v>1410</v>
          </cell>
          <cell r="CQ102">
            <v>1460</v>
          </cell>
          <cell r="CR102">
            <v>1510</v>
          </cell>
          <cell r="CS102">
            <v>1560</v>
          </cell>
          <cell r="CT102">
            <v>1610</v>
          </cell>
          <cell r="CU102">
            <v>1660</v>
          </cell>
          <cell r="CV102">
            <v>1710</v>
          </cell>
          <cell r="CW102">
            <v>1760</v>
          </cell>
          <cell r="CX102">
            <v>1810</v>
          </cell>
          <cell r="CY102">
            <v>1860</v>
          </cell>
          <cell r="CZ102">
            <v>1910</v>
          </cell>
          <cell r="DA102">
            <v>1960</v>
          </cell>
          <cell r="DB102">
            <v>2010</v>
          </cell>
          <cell r="DC102">
            <v>2061</v>
          </cell>
          <cell r="DD102">
            <v>2121</v>
          </cell>
          <cell r="DE102">
            <v>2181</v>
          </cell>
          <cell r="DF102">
            <v>2241</v>
          </cell>
          <cell r="DG102">
            <v>2301</v>
          </cell>
          <cell r="DH102">
            <v>2361</v>
          </cell>
          <cell r="DI102">
            <v>2421</v>
          </cell>
          <cell r="DJ102">
            <v>2481</v>
          </cell>
          <cell r="DK102">
            <v>2541</v>
          </cell>
          <cell r="DL102">
            <v>2601</v>
          </cell>
          <cell r="DM102">
            <v>2661</v>
          </cell>
          <cell r="DN102">
            <v>2721</v>
          </cell>
          <cell r="DO102">
            <v>2781</v>
          </cell>
          <cell r="DP102">
            <v>2841</v>
          </cell>
          <cell r="DQ102">
            <v>2901</v>
          </cell>
          <cell r="DR102">
            <v>2961</v>
          </cell>
          <cell r="DS102">
            <v>3021</v>
          </cell>
          <cell r="DT102">
            <v>3081</v>
          </cell>
          <cell r="DU102">
            <v>3141</v>
          </cell>
          <cell r="DV102">
            <v>3201</v>
          </cell>
          <cell r="DW102">
            <v>3261</v>
          </cell>
          <cell r="DX102">
            <v>3321</v>
          </cell>
          <cell r="DY102">
            <v>3381</v>
          </cell>
          <cell r="DZ102">
            <v>3441</v>
          </cell>
          <cell r="EA102">
            <v>3501</v>
          </cell>
          <cell r="EB102">
            <v>3561</v>
          </cell>
          <cell r="EC102">
            <v>3621</v>
          </cell>
          <cell r="ED102">
            <v>3681</v>
          </cell>
          <cell r="EE102">
            <v>3741</v>
          </cell>
          <cell r="EF102">
            <v>3801</v>
          </cell>
          <cell r="EG102">
            <v>3861</v>
          </cell>
          <cell r="EH102">
            <v>3921</v>
          </cell>
          <cell r="EI102">
            <v>3981</v>
          </cell>
          <cell r="EJ102">
            <v>4041</v>
          </cell>
          <cell r="EK102">
            <v>4101</v>
          </cell>
          <cell r="EL102">
            <v>4161</v>
          </cell>
          <cell r="EM102">
            <v>4221</v>
          </cell>
          <cell r="EN102">
            <v>4281</v>
          </cell>
          <cell r="EO102">
            <v>4341</v>
          </cell>
          <cell r="EP102">
            <v>4401</v>
          </cell>
          <cell r="EQ102">
            <v>4461</v>
          </cell>
          <cell r="ER102">
            <v>4521</v>
          </cell>
          <cell r="ES102">
            <v>4581</v>
          </cell>
          <cell r="ET102">
            <v>4641</v>
          </cell>
          <cell r="EU102">
            <v>4701</v>
          </cell>
          <cell r="EV102">
            <v>4761</v>
          </cell>
          <cell r="EW102">
            <v>4821</v>
          </cell>
          <cell r="EX102">
            <v>4881</v>
          </cell>
          <cell r="EY102">
            <v>4941</v>
          </cell>
          <cell r="EZ102">
            <v>5001</v>
          </cell>
          <cell r="FA102">
            <v>5061</v>
          </cell>
          <cell r="FB102">
            <v>5121</v>
          </cell>
          <cell r="FC102">
            <v>5181</v>
          </cell>
          <cell r="FD102">
            <v>5241</v>
          </cell>
          <cell r="FE102">
            <v>5301</v>
          </cell>
          <cell r="FF102">
            <v>5361</v>
          </cell>
          <cell r="FG102">
            <v>5421</v>
          </cell>
          <cell r="FH102">
            <v>5481</v>
          </cell>
          <cell r="FI102">
            <v>5541</v>
          </cell>
          <cell r="FJ102">
            <v>5601</v>
          </cell>
          <cell r="FK102">
            <v>5661</v>
          </cell>
          <cell r="FL102">
            <v>5721</v>
          </cell>
          <cell r="FM102">
            <v>5781</v>
          </cell>
          <cell r="FN102">
            <v>5841</v>
          </cell>
          <cell r="FO102">
            <v>5901</v>
          </cell>
          <cell r="FP102">
            <v>5961</v>
          </cell>
          <cell r="FQ102">
            <v>6021</v>
          </cell>
          <cell r="FR102">
            <v>6081</v>
          </cell>
          <cell r="FS102">
            <v>6141</v>
          </cell>
          <cell r="FT102">
            <v>6201</v>
          </cell>
          <cell r="FU102">
            <v>6261</v>
          </cell>
          <cell r="FV102">
            <v>6321</v>
          </cell>
          <cell r="FW102">
            <v>6381</v>
          </cell>
          <cell r="FX102">
            <v>6441</v>
          </cell>
          <cell r="FY102">
            <v>6501</v>
          </cell>
          <cell r="FZ102">
            <v>6561</v>
          </cell>
          <cell r="GA102">
            <v>6621</v>
          </cell>
          <cell r="GB102">
            <v>6681</v>
          </cell>
          <cell r="GC102">
            <v>6741</v>
          </cell>
          <cell r="GD102">
            <v>6801</v>
          </cell>
          <cell r="GE102">
            <v>6861</v>
          </cell>
          <cell r="GF102">
            <v>6921</v>
          </cell>
          <cell r="GG102">
            <v>6981</v>
          </cell>
          <cell r="GH102">
            <v>7041</v>
          </cell>
          <cell r="GI102">
            <v>7101</v>
          </cell>
          <cell r="GJ102">
            <v>7161</v>
          </cell>
          <cell r="GK102">
            <v>7221</v>
          </cell>
          <cell r="GL102">
            <v>7281</v>
          </cell>
          <cell r="GM102">
            <v>7341</v>
          </cell>
          <cell r="GN102">
            <v>7401</v>
          </cell>
          <cell r="GO102">
            <v>7461</v>
          </cell>
          <cell r="GP102">
            <v>7521</v>
          </cell>
          <cell r="GQ102">
            <v>7581</v>
          </cell>
          <cell r="GR102">
            <v>7641</v>
          </cell>
          <cell r="GS102">
            <v>7701</v>
          </cell>
          <cell r="GT102">
            <v>7761</v>
          </cell>
          <cell r="GU102">
            <v>7821</v>
          </cell>
          <cell r="GV102">
            <v>7881</v>
          </cell>
          <cell r="GW102">
            <v>7941</v>
          </cell>
          <cell r="GX102">
            <v>8001</v>
          </cell>
          <cell r="GY102">
            <v>8061</v>
          </cell>
          <cell r="GZ102">
            <v>8121</v>
          </cell>
          <cell r="HA102">
            <v>8181</v>
          </cell>
          <cell r="HB102">
            <v>8241</v>
          </cell>
          <cell r="HC102">
            <v>8301</v>
          </cell>
          <cell r="HD102">
            <v>8361</v>
          </cell>
          <cell r="HE102">
            <v>8421</v>
          </cell>
          <cell r="HF102">
            <v>8481</v>
          </cell>
        </row>
        <row r="108">
          <cell r="N108">
            <v>6000</v>
          </cell>
          <cell r="O108">
            <v>6000</v>
          </cell>
          <cell r="P108">
            <v>6000</v>
          </cell>
          <cell r="Q108">
            <v>6000</v>
          </cell>
          <cell r="R108">
            <v>6000</v>
          </cell>
          <cell r="S108">
            <v>6000</v>
          </cell>
          <cell r="T108">
            <v>6000</v>
          </cell>
          <cell r="U108">
            <v>6000</v>
          </cell>
          <cell r="V108">
            <v>6000</v>
          </cell>
          <cell r="W108">
            <v>6000</v>
          </cell>
          <cell r="X108">
            <v>6000</v>
          </cell>
          <cell r="Y108">
            <v>6000</v>
          </cell>
          <cell r="Z108">
            <v>6000</v>
          </cell>
          <cell r="AA108">
            <v>6000</v>
          </cell>
          <cell r="AB108">
            <v>6000</v>
          </cell>
          <cell r="AC108">
            <v>6000</v>
          </cell>
          <cell r="AD108">
            <v>6000</v>
          </cell>
          <cell r="AE108">
            <v>6000</v>
          </cell>
          <cell r="AF108">
            <v>6000</v>
          </cell>
          <cell r="AG108">
            <v>6000</v>
          </cell>
          <cell r="AH108">
            <v>6000</v>
          </cell>
          <cell r="AI108">
            <v>6000</v>
          </cell>
          <cell r="AJ108">
            <v>6000</v>
          </cell>
          <cell r="AK108">
            <v>6000</v>
          </cell>
          <cell r="AL108">
            <v>6000</v>
          </cell>
          <cell r="AM108">
            <v>6000</v>
          </cell>
          <cell r="AN108">
            <v>6000</v>
          </cell>
          <cell r="AO108">
            <v>6000</v>
          </cell>
          <cell r="AP108">
            <v>6000</v>
          </cell>
          <cell r="AQ108">
            <v>6000</v>
          </cell>
          <cell r="AR108">
            <v>6000</v>
          </cell>
          <cell r="AS108">
            <v>6000</v>
          </cell>
          <cell r="AT108">
            <v>6000</v>
          </cell>
          <cell r="AU108">
            <v>6000</v>
          </cell>
          <cell r="AV108">
            <v>6000</v>
          </cell>
          <cell r="AW108">
            <v>6000</v>
          </cell>
          <cell r="AX108">
            <v>6000</v>
          </cell>
          <cell r="AY108">
            <v>6000</v>
          </cell>
          <cell r="AZ108">
            <v>6000</v>
          </cell>
          <cell r="BA108">
            <v>6000</v>
          </cell>
          <cell r="BB108">
            <v>6000</v>
          </cell>
          <cell r="BC108">
            <v>6000</v>
          </cell>
          <cell r="BD108">
            <v>6000</v>
          </cell>
          <cell r="BE108">
            <v>6000</v>
          </cell>
          <cell r="BF108">
            <v>6000</v>
          </cell>
          <cell r="BG108">
            <v>6000</v>
          </cell>
          <cell r="BH108">
            <v>6000</v>
          </cell>
          <cell r="BI108">
            <v>6000</v>
          </cell>
          <cell r="BJ108">
            <v>6000</v>
          </cell>
          <cell r="BK108">
            <v>6000</v>
          </cell>
          <cell r="BL108">
            <v>6000</v>
          </cell>
          <cell r="BM108">
            <v>6000</v>
          </cell>
          <cell r="BN108">
            <v>6000</v>
          </cell>
          <cell r="BO108">
            <v>6000</v>
          </cell>
          <cell r="BP108">
            <v>6000</v>
          </cell>
          <cell r="BQ108">
            <v>6000</v>
          </cell>
          <cell r="BR108">
            <v>6000</v>
          </cell>
          <cell r="BS108">
            <v>6000</v>
          </cell>
          <cell r="BT108">
            <v>6000</v>
          </cell>
          <cell r="BU108">
            <v>6000</v>
          </cell>
          <cell r="BV108">
            <v>6000</v>
          </cell>
          <cell r="BW108">
            <v>6000</v>
          </cell>
          <cell r="BX108">
            <v>6000</v>
          </cell>
          <cell r="BY108">
            <v>6000</v>
          </cell>
          <cell r="BZ108">
            <v>6000</v>
          </cell>
          <cell r="CA108">
            <v>6000</v>
          </cell>
          <cell r="CB108">
            <v>6000</v>
          </cell>
          <cell r="CC108">
            <v>6000</v>
          </cell>
          <cell r="CD108">
            <v>6000</v>
          </cell>
          <cell r="CE108">
            <v>6000</v>
          </cell>
          <cell r="CF108">
            <v>6000</v>
          </cell>
          <cell r="CG108">
            <v>6000</v>
          </cell>
          <cell r="CH108">
            <v>6000</v>
          </cell>
          <cell r="CI108">
            <v>6000</v>
          </cell>
          <cell r="CJ108">
            <v>6000</v>
          </cell>
          <cell r="CK108">
            <v>6000</v>
          </cell>
          <cell r="CL108">
            <v>6000</v>
          </cell>
          <cell r="CM108">
            <v>6000</v>
          </cell>
          <cell r="CN108">
            <v>6000</v>
          </cell>
          <cell r="CO108">
            <v>6000</v>
          </cell>
          <cell r="CP108">
            <v>6000</v>
          </cell>
          <cell r="CQ108">
            <v>6000</v>
          </cell>
          <cell r="CR108">
            <v>6000</v>
          </cell>
          <cell r="CS108">
            <v>6000</v>
          </cell>
          <cell r="CT108">
            <v>6000</v>
          </cell>
          <cell r="CU108">
            <v>6000</v>
          </cell>
          <cell r="CV108">
            <v>6000</v>
          </cell>
          <cell r="CW108">
            <v>6000</v>
          </cell>
          <cell r="CX108">
            <v>6000</v>
          </cell>
          <cell r="CY108">
            <v>6000</v>
          </cell>
          <cell r="CZ108">
            <v>6000</v>
          </cell>
          <cell r="DA108">
            <v>6000</v>
          </cell>
          <cell r="DB108">
            <v>6000</v>
          </cell>
          <cell r="DC108">
            <v>6000</v>
          </cell>
          <cell r="DD108">
            <v>6000</v>
          </cell>
          <cell r="DE108">
            <v>6000</v>
          </cell>
          <cell r="DF108">
            <v>6000</v>
          </cell>
          <cell r="DG108">
            <v>6000</v>
          </cell>
          <cell r="DH108">
            <v>6000</v>
          </cell>
          <cell r="DI108">
            <v>6000</v>
          </cell>
          <cell r="DJ108">
            <v>6000</v>
          </cell>
          <cell r="DK108">
            <v>6000</v>
          </cell>
          <cell r="DL108">
            <v>6000</v>
          </cell>
          <cell r="DM108">
            <v>6000</v>
          </cell>
          <cell r="DN108">
            <v>6000</v>
          </cell>
          <cell r="DO108">
            <v>6000</v>
          </cell>
          <cell r="DP108">
            <v>6000</v>
          </cell>
          <cell r="DQ108">
            <v>6000</v>
          </cell>
          <cell r="DR108">
            <v>6000</v>
          </cell>
          <cell r="DS108">
            <v>6000</v>
          </cell>
          <cell r="DT108">
            <v>6000</v>
          </cell>
          <cell r="DU108">
            <v>6000</v>
          </cell>
          <cell r="DV108">
            <v>6000</v>
          </cell>
          <cell r="DW108">
            <v>6000</v>
          </cell>
          <cell r="DX108">
            <v>6000</v>
          </cell>
          <cell r="DY108">
            <v>6000</v>
          </cell>
          <cell r="DZ108">
            <v>6000</v>
          </cell>
          <cell r="EA108">
            <v>6000</v>
          </cell>
          <cell r="EB108">
            <v>6000</v>
          </cell>
          <cell r="EC108">
            <v>6000</v>
          </cell>
          <cell r="ED108">
            <v>6000</v>
          </cell>
          <cell r="EE108">
            <v>6000</v>
          </cell>
          <cell r="EF108">
            <v>6000</v>
          </cell>
          <cell r="EG108">
            <v>6000</v>
          </cell>
          <cell r="EH108">
            <v>6000</v>
          </cell>
          <cell r="EI108">
            <v>6000</v>
          </cell>
          <cell r="EJ108">
            <v>6000</v>
          </cell>
          <cell r="EK108">
            <v>6000</v>
          </cell>
          <cell r="EL108">
            <v>6000</v>
          </cell>
          <cell r="EM108">
            <v>6000</v>
          </cell>
          <cell r="EN108">
            <v>6000</v>
          </cell>
          <cell r="EO108">
            <v>6000</v>
          </cell>
          <cell r="EP108">
            <v>6000</v>
          </cell>
          <cell r="EQ108">
            <v>6000</v>
          </cell>
          <cell r="ER108">
            <v>6000</v>
          </cell>
          <cell r="ES108">
            <v>6000</v>
          </cell>
          <cell r="ET108">
            <v>6000</v>
          </cell>
          <cell r="EU108">
            <v>6000</v>
          </cell>
          <cell r="EV108">
            <v>6000</v>
          </cell>
          <cell r="EW108">
            <v>6000</v>
          </cell>
          <cell r="EX108">
            <v>6000</v>
          </cell>
          <cell r="EY108">
            <v>6000</v>
          </cell>
          <cell r="EZ108">
            <v>6000</v>
          </cell>
          <cell r="FA108">
            <v>6000</v>
          </cell>
          <cell r="FB108">
            <v>6000</v>
          </cell>
          <cell r="FC108">
            <v>6000</v>
          </cell>
          <cell r="FD108">
            <v>6000</v>
          </cell>
          <cell r="FE108">
            <v>6000</v>
          </cell>
          <cell r="FF108">
            <v>6000</v>
          </cell>
          <cell r="FG108">
            <v>6000</v>
          </cell>
          <cell r="FH108">
            <v>6000</v>
          </cell>
          <cell r="FI108">
            <v>6000</v>
          </cell>
          <cell r="FJ108">
            <v>6000</v>
          </cell>
          <cell r="FK108">
            <v>6000</v>
          </cell>
          <cell r="FL108">
            <v>6000</v>
          </cell>
          <cell r="FM108">
            <v>6000</v>
          </cell>
          <cell r="FN108">
            <v>6000</v>
          </cell>
          <cell r="FO108">
            <v>6000</v>
          </cell>
          <cell r="FP108">
            <v>6000</v>
          </cell>
          <cell r="FQ108">
            <v>6000</v>
          </cell>
          <cell r="FR108">
            <v>6000</v>
          </cell>
          <cell r="FS108">
            <v>6000</v>
          </cell>
          <cell r="FT108">
            <v>6000</v>
          </cell>
          <cell r="FU108">
            <v>6000</v>
          </cell>
          <cell r="FV108">
            <v>6000</v>
          </cell>
          <cell r="FW108">
            <v>6000</v>
          </cell>
          <cell r="FX108">
            <v>6000</v>
          </cell>
          <cell r="FY108">
            <v>6000</v>
          </cell>
          <cell r="FZ108">
            <v>6000</v>
          </cell>
          <cell r="GA108">
            <v>6000</v>
          </cell>
          <cell r="GB108">
            <v>6000</v>
          </cell>
          <cell r="GC108">
            <v>6000</v>
          </cell>
          <cell r="GD108">
            <v>6000</v>
          </cell>
          <cell r="GE108">
            <v>6000</v>
          </cell>
          <cell r="GF108">
            <v>6000</v>
          </cell>
          <cell r="GG108">
            <v>6000</v>
          </cell>
          <cell r="GH108">
            <v>6000</v>
          </cell>
          <cell r="GI108">
            <v>6000</v>
          </cell>
          <cell r="GJ108">
            <v>6000</v>
          </cell>
          <cell r="GK108">
            <v>6000</v>
          </cell>
          <cell r="GL108">
            <v>6000</v>
          </cell>
          <cell r="GM108">
            <v>6000</v>
          </cell>
          <cell r="GN108">
            <v>6000</v>
          </cell>
          <cell r="GO108">
            <v>6000</v>
          </cell>
          <cell r="GP108">
            <v>6000</v>
          </cell>
          <cell r="GQ108">
            <v>6000</v>
          </cell>
          <cell r="GR108">
            <v>6000</v>
          </cell>
          <cell r="GS108">
            <v>6000</v>
          </cell>
          <cell r="GT108">
            <v>6000</v>
          </cell>
          <cell r="GU108">
            <v>6000</v>
          </cell>
          <cell r="GV108">
            <v>6000</v>
          </cell>
          <cell r="GW108">
            <v>6000</v>
          </cell>
          <cell r="GX108">
            <v>6000</v>
          </cell>
          <cell r="GY108">
            <v>6000</v>
          </cell>
          <cell r="GZ108">
            <v>6000</v>
          </cell>
          <cell r="HA108">
            <v>6000</v>
          </cell>
          <cell r="HB108">
            <v>6000</v>
          </cell>
          <cell r="HC108">
            <v>6000</v>
          </cell>
          <cell r="HD108">
            <v>6000</v>
          </cell>
          <cell r="HE108">
            <v>6000</v>
          </cell>
          <cell r="HF108">
            <v>6000</v>
          </cell>
        </row>
        <row r="122">
          <cell r="N122">
            <v>0</v>
          </cell>
          <cell r="O122">
            <v>236</v>
          </cell>
          <cell r="P122">
            <v>461</v>
          </cell>
          <cell r="Q122">
            <v>686</v>
          </cell>
          <cell r="R122">
            <v>911</v>
          </cell>
          <cell r="S122">
            <v>1136</v>
          </cell>
          <cell r="T122">
            <v>1361</v>
          </cell>
          <cell r="U122">
            <v>1586</v>
          </cell>
          <cell r="V122">
            <v>1811</v>
          </cell>
          <cell r="W122">
            <v>2036</v>
          </cell>
          <cell r="X122">
            <v>2261</v>
          </cell>
          <cell r="Y122">
            <v>2486</v>
          </cell>
          <cell r="Z122">
            <v>2711</v>
          </cell>
          <cell r="AA122">
            <v>2936</v>
          </cell>
          <cell r="AB122">
            <v>3161</v>
          </cell>
          <cell r="AC122">
            <v>3386</v>
          </cell>
          <cell r="AD122">
            <v>3611</v>
          </cell>
          <cell r="AE122">
            <v>3836</v>
          </cell>
          <cell r="AF122">
            <v>4061</v>
          </cell>
          <cell r="AG122">
            <v>4286</v>
          </cell>
          <cell r="AH122">
            <v>4511</v>
          </cell>
          <cell r="AI122">
            <v>4736</v>
          </cell>
          <cell r="AJ122">
            <v>4961</v>
          </cell>
          <cell r="AK122">
            <v>5186</v>
          </cell>
          <cell r="AL122">
            <v>5411</v>
          </cell>
          <cell r="AM122">
            <v>5636</v>
          </cell>
          <cell r="AN122">
            <v>5861</v>
          </cell>
          <cell r="AO122">
            <v>6086</v>
          </cell>
          <cell r="AP122">
            <v>6311</v>
          </cell>
          <cell r="AQ122">
            <v>6536</v>
          </cell>
          <cell r="AR122">
            <v>6761</v>
          </cell>
          <cell r="AS122">
            <v>6935</v>
          </cell>
          <cell r="AT122">
            <v>6935</v>
          </cell>
          <cell r="AU122">
            <v>6935</v>
          </cell>
          <cell r="AV122">
            <v>6935</v>
          </cell>
          <cell r="AW122">
            <v>6935</v>
          </cell>
          <cell r="AX122">
            <v>6935</v>
          </cell>
          <cell r="AY122">
            <v>6935</v>
          </cell>
          <cell r="AZ122">
            <v>6935</v>
          </cell>
          <cell r="BA122">
            <v>6935</v>
          </cell>
          <cell r="BB122">
            <v>6935</v>
          </cell>
          <cell r="BC122">
            <v>6935</v>
          </cell>
          <cell r="BD122">
            <v>6935</v>
          </cell>
          <cell r="BE122">
            <v>6935</v>
          </cell>
          <cell r="BF122">
            <v>6935</v>
          </cell>
          <cell r="BG122">
            <v>6935</v>
          </cell>
          <cell r="BH122">
            <v>6935</v>
          </cell>
          <cell r="BI122">
            <v>6935</v>
          </cell>
          <cell r="BJ122">
            <v>6935</v>
          </cell>
          <cell r="BK122">
            <v>6935</v>
          </cell>
          <cell r="BL122">
            <v>6935</v>
          </cell>
          <cell r="BM122">
            <v>6935</v>
          </cell>
          <cell r="BN122">
            <v>6935</v>
          </cell>
          <cell r="BO122">
            <v>6879</v>
          </cell>
          <cell r="BP122">
            <v>6774</v>
          </cell>
          <cell r="BQ122">
            <v>6669</v>
          </cell>
          <cell r="BR122">
            <v>6563</v>
          </cell>
          <cell r="BS122">
            <v>6458</v>
          </cell>
          <cell r="BT122">
            <v>6353</v>
          </cell>
          <cell r="BU122">
            <v>6247</v>
          </cell>
          <cell r="BV122">
            <v>6142</v>
          </cell>
          <cell r="BW122">
            <v>6037</v>
          </cell>
          <cell r="BX122">
            <v>5931</v>
          </cell>
          <cell r="BY122">
            <v>5826</v>
          </cell>
          <cell r="BZ122">
            <v>5721</v>
          </cell>
          <cell r="CA122">
            <v>5616</v>
          </cell>
          <cell r="CB122">
            <v>5510</v>
          </cell>
          <cell r="CC122">
            <v>5405</v>
          </cell>
          <cell r="CD122">
            <v>5300</v>
          </cell>
          <cell r="CE122">
            <v>5194</v>
          </cell>
          <cell r="CF122">
            <v>5089</v>
          </cell>
          <cell r="CG122">
            <v>4984</v>
          </cell>
          <cell r="CH122">
            <v>4878</v>
          </cell>
          <cell r="CI122">
            <v>4773</v>
          </cell>
          <cell r="CJ122">
            <v>4668</v>
          </cell>
          <cell r="CK122">
            <v>4563</v>
          </cell>
          <cell r="CL122">
            <v>4457</v>
          </cell>
          <cell r="CM122">
            <v>4352</v>
          </cell>
          <cell r="CN122">
            <v>4247</v>
          </cell>
          <cell r="CO122">
            <v>4141</v>
          </cell>
          <cell r="CP122">
            <v>4036</v>
          </cell>
          <cell r="CQ122">
            <v>3931</v>
          </cell>
          <cell r="CR122">
            <v>3825</v>
          </cell>
          <cell r="CS122">
            <v>3720</v>
          </cell>
          <cell r="CT122">
            <v>3615</v>
          </cell>
          <cell r="CU122">
            <v>3510</v>
          </cell>
          <cell r="CV122">
            <v>3404</v>
          </cell>
          <cell r="CW122">
            <v>3299</v>
          </cell>
          <cell r="CX122">
            <v>3194</v>
          </cell>
          <cell r="CY122">
            <v>3088</v>
          </cell>
          <cell r="CZ122">
            <v>2983</v>
          </cell>
          <cell r="DA122">
            <v>2878</v>
          </cell>
          <cell r="DB122">
            <v>2772</v>
          </cell>
          <cell r="DC122">
            <v>2667</v>
          </cell>
          <cell r="DD122">
            <v>2562</v>
          </cell>
          <cell r="DE122">
            <v>2457</v>
          </cell>
          <cell r="DF122">
            <v>2351</v>
          </cell>
          <cell r="DG122">
            <v>2246</v>
          </cell>
          <cell r="DH122">
            <v>2141</v>
          </cell>
          <cell r="DI122">
            <v>2035</v>
          </cell>
          <cell r="DJ122">
            <v>1930</v>
          </cell>
          <cell r="DK122">
            <v>1825</v>
          </cell>
          <cell r="DL122">
            <v>1719</v>
          </cell>
          <cell r="DM122">
            <v>1614</v>
          </cell>
          <cell r="DN122">
            <v>1509</v>
          </cell>
          <cell r="DO122">
            <v>1404</v>
          </cell>
          <cell r="DP122">
            <v>1298</v>
          </cell>
          <cell r="DQ122">
            <v>1193</v>
          </cell>
          <cell r="DR122">
            <v>1088</v>
          </cell>
          <cell r="DS122">
            <v>982</v>
          </cell>
          <cell r="DT122">
            <v>877</v>
          </cell>
          <cell r="DU122">
            <v>772</v>
          </cell>
          <cell r="DV122">
            <v>666</v>
          </cell>
          <cell r="DW122">
            <v>561</v>
          </cell>
          <cell r="DX122">
            <v>456</v>
          </cell>
          <cell r="DY122">
            <v>351</v>
          </cell>
          <cell r="DZ122">
            <v>245</v>
          </cell>
          <cell r="EA122">
            <v>140</v>
          </cell>
          <cell r="EB122">
            <v>35</v>
          </cell>
          <cell r="EC122">
            <v>0</v>
          </cell>
          <cell r="ED122">
            <v>0</v>
          </cell>
          <cell r="EE122">
            <v>0</v>
          </cell>
          <cell r="EF122">
            <v>0</v>
          </cell>
          <cell r="EG122">
            <v>0</v>
          </cell>
          <cell r="EH122">
            <v>0</v>
          </cell>
          <cell r="EI122">
            <v>0</v>
          </cell>
          <cell r="EJ122">
            <v>0</v>
          </cell>
          <cell r="EK122">
            <v>0</v>
          </cell>
          <cell r="EL122">
            <v>0</v>
          </cell>
          <cell r="EM122">
            <v>0</v>
          </cell>
          <cell r="EN122">
            <v>0</v>
          </cell>
          <cell r="EO122">
            <v>0</v>
          </cell>
          <cell r="EP122">
            <v>0</v>
          </cell>
          <cell r="EQ122">
            <v>0</v>
          </cell>
          <cell r="ER122">
            <v>0</v>
          </cell>
          <cell r="ES122">
            <v>0</v>
          </cell>
          <cell r="ET122">
            <v>0</v>
          </cell>
          <cell r="EU122">
            <v>0</v>
          </cell>
          <cell r="EV122">
            <v>0</v>
          </cell>
          <cell r="EW122">
            <v>0</v>
          </cell>
          <cell r="EX122">
            <v>0</v>
          </cell>
          <cell r="EY122">
            <v>0</v>
          </cell>
          <cell r="EZ122">
            <v>0</v>
          </cell>
          <cell r="FA122">
            <v>0</v>
          </cell>
          <cell r="FB122">
            <v>0</v>
          </cell>
          <cell r="FC122">
            <v>0</v>
          </cell>
          <cell r="FD122">
            <v>0</v>
          </cell>
          <cell r="FE122">
            <v>0</v>
          </cell>
          <cell r="FF122">
            <v>0</v>
          </cell>
          <cell r="FG122">
            <v>0</v>
          </cell>
          <cell r="FH122">
            <v>0</v>
          </cell>
          <cell r="FI122">
            <v>0</v>
          </cell>
          <cell r="FJ122">
            <v>0</v>
          </cell>
          <cell r="FK122">
            <v>0</v>
          </cell>
          <cell r="FL122">
            <v>0</v>
          </cell>
          <cell r="FM122">
            <v>0</v>
          </cell>
          <cell r="FN122">
            <v>0</v>
          </cell>
          <cell r="FO122">
            <v>0</v>
          </cell>
          <cell r="FP122">
            <v>0</v>
          </cell>
          <cell r="FQ122">
            <v>0</v>
          </cell>
          <cell r="FR122">
            <v>0</v>
          </cell>
          <cell r="FS122">
            <v>0</v>
          </cell>
          <cell r="FT122">
            <v>0</v>
          </cell>
          <cell r="FU122">
            <v>0</v>
          </cell>
          <cell r="FV122">
            <v>0</v>
          </cell>
          <cell r="FW122">
            <v>0</v>
          </cell>
          <cell r="FX122">
            <v>0</v>
          </cell>
          <cell r="FY122">
            <v>0</v>
          </cell>
          <cell r="FZ122">
            <v>0</v>
          </cell>
          <cell r="GA122">
            <v>0</v>
          </cell>
          <cell r="GB122">
            <v>0</v>
          </cell>
          <cell r="GC122">
            <v>0</v>
          </cell>
          <cell r="GD122">
            <v>0</v>
          </cell>
          <cell r="GE122">
            <v>0</v>
          </cell>
          <cell r="GF122">
            <v>0</v>
          </cell>
          <cell r="GG122">
            <v>0</v>
          </cell>
          <cell r="GH122">
            <v>0</v>
          </cell>
          <cell r="GI122">
            <v>0</v>
          </cell>
          <cell r="GJ122">
            <v>0</v>
          </cell>
          <cell r="GK122">
            <v>0</v>
          </cell>
          <cell r="GL122">
            <v>0</v>
          </cell>
          <cell r="GM122">
            <v>0</v>
          </cell>
          <cell r="GN122">
            <v>0</v>
          </cell>
          <cell r="GO122">
            <v>0</v>
          </cell>
          <cell r="GP122">
            <v>0</v>
          </cell>
          <cell r="GQ122">
            <v>0</v>
          </cell>
          <cell r="GR122">
            <v>0</v>
          </cell>
          <cell r="GS122">
            <v>0</v>
          </cell>
          <cell r="GT122">
            <v>0</v>
          </cell>
          <cell r="GU122">
            <v>0</v>
          </cell>
          <cell r="GV122">
            <v>0</v>
          </cell>
          <cell r="GW122">
            <v>0</v>
          </cell>
          <cell r="GX122">
            <v>0</v>
          </cell>
          <cell r="GY122">
            <v>0</v>
          </cell>
          <cell r="GZ122">
            <v>0</v>
          </cell>
          <cell r="HA122">
            <v>0</v>
          </cell>
          <cell r="HB122">
            <v>0</v>
          </cell>
          <cell r="HC122">
            <v>0</v>
          </cell>
          <cell r="HD122">
            <v>0</v>
          </cell>
          <cell r="HE122">
            <v>0</v>
          </cell>
          <cell r="HF122">
            <v>0</v>
          </cell>
        </row>
        <row r="140">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cell r="DX140">
            <v>0</v>
          </cell>
          <cell r="DY140">
            <v>0</v>
          </cell>
          <cell r="DZ140">
            <v>0</v>
          </cell>
          <cell r="EA140">
            <v>0</v>
          </cell>
          <cell r="EB140">
            <v>0</v>
          </cell>
          <cell r="EC140">
            <v>0</v>
          </cell>
          <cell r="ED140">
            <v>0</v>
          </cell>
          <cell r="EE140">
            <v>0</v>
          </cell>
          <cell r="EF140">
            <v>0</v>
          </cell>
          <cell r="EG140">
            <v>0</v>
          </cell>
          <cell r="EH140">
            <v>0</v>
          </cell>
          <cell r="EI140">
            <v>0</v>
          </cell>
          <cell r="EJ140">
            <v>0</v>
          </cell>
          <cell r="EK140">
            <v>0</v>
          </cell>
          <cell r="EL140">
            <v>0</v>
          </cell>
          <cell r="EM140">
            <v>0</v>
          </cell>
          <cell r="EN140">
            <v>0</v>
          </cell>
          <cell r="EO140">
            <v>0</v>
          </cell>
          <cell r="EP140">
            <v>0</v>
          </cell>
          <cell r="EQ140">
            <v>0</v>
          </cell>
          <cell r="ER140">
            <v>0</v>
          </cell>
          <cell r="ES140">
            <v>0</v>
          </cell>
          <cell r="ET140">
            <v>0</v>
          </cell>
          <cell r="EU140">
            <v>0</v>
          </cell>
          <cell r="EV140">
            <v>0</v>
          </cell>
          <cell r="EW140">
            <v>0</v>
          </cell>
          <cell r="EX140">
            <v>0</v>
          </cell>
          <cell r="EY140">
            <v>0</v>
          </cell>
          <cell r="EZ140">
            <v>0</v>
          </cell>
          <cell r="FA140">
            <v>0</v>
          </cell>
          <cell r="FB140">
            <v>0</v>
          </cell>
          <cell r="FC140">
            <v>0</v>
          </cell>
          <cell r="FD140">
            <v>0</v>
          </cell>
          <cell r="FE140">
            <v>0</v>
          </cell>
          <cell r="FF140">
            <v>0</v>
          </cell>
          <cell r="FG140">
            <v>0</v>
          </cell>
          <cell r="FH140">
            <v>0</v>
          </cell>
          <cell r="FI140">
            <v>0</v>
          </cell>
          <cell r="FJ140">
            <v>0</v>
          </cell>
          <cell r="FK140">
            <v>0</v>
          </cell>
          <cell r="FL140">
            <v>0</v>
          </cell>
          <cell r="FM140">
            <v>0</v>
          </cell>
          <cell r="FN140">
            <v>0</v>
          </cell>
          <cell r="FO140">
            <v>0</v>
          </cell>
          <cell r="FP140">
            <v>0</v>
          </cell>
          <cell r="FQ140">
            <v>0</v>
          </cell>
          <cell r="FR140">
            <v>0</v>
          </cell>
          <cell r="FS140">
            <v>0</v>
          </cell>
          <cell r="FT140">
            <v>0</v>
          </cell>
          <cell r="FU140">
            <v>0</v>
          </cell>
          <cell r="FV140">
            <v>0</v>
          </cell>
          <cell r="FW140">
            <v>0</v>
          </cell>
          <cell r="FX140">
            <v>0</v>
          </cell>
          <cell r="FY140">
            <v>0</v>
          </cell>
          <cell r="FZ140">
            <v>0</v>
          </cell>
          <cell r="GA140">
            <v>0</v>
          </cell>
          <cell r="GB140">
            <v>0</v>
          </cell>
          <cell r="GC140">
            <v>0</v>
          </cell>
          <cell r="GD140">
            <v>0</v>
          </cell>
          <cell r="GE140">
            <v>0</v>
          </cell>
          <cell r="GF140">
            <v>0</v>
          </cell>
          <cell r="GG140">
            <v>0</v>
          </cell>
          <cell r="GH140">
            <v>0</v>
          </cell>
          <cell r="GI140">
            <v>0</v>
          </cell>
          <cell r="GJ140">
            <v>0</v>
          </cell>
          <cell r="GK140">
            <v>0</v>
          </cell>
          <cell r="GL140">
            <v>0</v>
          </cell>
          <cell r="GM140">
            <v>0</v>
          </cell>
          <cell r="GN140">
            <v>0</v>
          </cell>
          <cell r="GO140">
            <v>0</v>
          </cell>
          <cell r="GP140">
            <v>0</v>
          </cell>
          <cell r="GQ140">
            <v>0</v>
          </cell>
          <cell r="GR140">
            <v>0</v>
          </cell>
          <cell r="GS140">
            <v>0</v>
          </cell>
          <cell r="GT140">
            <v>0</v>
          </cell>
          <cell r="GU140">
            <v>0</v>
          </cell>
          <cell r="GV140">
            <v>0</v>
          </cell>
          <cell r="GW140">
            <v>0</v>
          </cell>
          <cell r="GX140">
            <v>0</v>
          </cell>
          <cell r="GY140">
            <v>0</v>
          </cell>
          <cell r="GZ140">
            <v>0</v>
          </cell>
          <cell r="HA140">
            <v>0</v>
          </cell>
          <cell r="HB140">
            <v>0</v>
          </cell>
          <cell r="HC140">
            <v>0</v>
          </cell>
          <cell r="HD140">
            <v>0</v>
          </cell>
          <cell r="HE140">
            <v>0</v>
          </cell>
          <cell r="HF140">
            <v>0</v>
          </cell>
        </row>
        <row r="206">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cell r="BM206">
            <v>0</v>
          </cell>
          <cell r="BN206">
            <v>0</v>
          </cell>
          <cell r="BO206">
            <v>0</v>
          </cell>
          <cell r="BP206">
            <v>0</v>
          </cell>
          <cell r="BQ206">
            <v>0</v>
          </cell>
          <cell r="BR206">
            <v>0</v>
          </cell>
          <cell r="BS206">
            <v>0</v>
          </cell>
          <cell r="BT206">
            <v>0</v>
          </cell>
          <cell r="BU206">
            <v>0</v>
          </cell>
          <cell r="BV206">
            <v>0</v>
          </cell>
          <cell r="BW206">
            <v>0</v>
          </cell>
          <cell r="BX206">
            <v>0</v>
          </cell>
          <cell r="BY206">
            <v>0</v>
          </cell>
          <cell r="BZ206">
            <v>0</v>
          </cell>
          <cell r="CA206">
            <v>0</v>
          </cell>
          <cell r="CB206">
            <v>0</v>
          </cell>
          <cell r="CC206">
            <v>0</v>
          </cell>
          <cell r="CD206">
            <v>0</v>
          </cell>
          <cell r="CE206">
            <v>0</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0</v>
          </cell>
          <cell r="DM206">
            <v>0</v>
          </cell>
          <cell r="DN206">
            <v>0</v>
          </cell>
          <cell r="DO206">
            <v>0</v>
          </cell>
          <cell r="DP206">
            <v>0</v>
          </cell>
          <cell r="DQ206">
            <v>0</v>
          </cell>
          <cell r="DR206">
            <v>0</v>
          </cell>
          <cell r="DS206">
            <v>0</v>
          </cell>
          <cell r="DT206">
            <v>0</v>
          </cell>
          <cell r="DU206">
            <v>0</v>
          </cell>
          <cell r="DV206">
            <v>0</v>
          </cell>
          <cell r="DW206">
            <v>0</v>
          </cell>
          <cell r="DX206">
            <v>0</v>
          </cell>
          <cell r="DY206">
            <v>0</v>
          </cell>
          <cell r="DZ206">
            <v>0</v>
          </cell>
          <cell r="EA206">
            <v>0</v>
          </cell>
          <cell r="EB206">
            <v>0</v>
          </cell>
          <cell r="EC206">
            <v>0</v>
          </cell>
          <cell r="ED206">
            <v>0</v>
          </cell>
          <cell r="EE206">
            <v>0</v>
          </cell>
          <cell r="EF206">
            <v>0</v>
          </cell>
          <cell r="EG206">
            <v>0</v>
          </cell>
          <cell r="EH206">
            <v>0</v>
          </cell>
          <cell r="EI206">
            <v>0</v>
          </cell>
          <cell r="EJ206">
            <v>0</v>
          </cell>
          <cell r="EK206">
            <v>0</v>
          </cell>
          <cell r="EL206">
            <v>0</v>
          </cell>
          <cell r="EM206">
            <v>0</v>
          </cell>
          <cell r="EN206">
            <v>0</v>
          </cell>
          <cell r="EO206">
            <v>0</v>
          </cell>
          <cell r="EP206">
            <v>0</v>
          </cell>
          <cell r="EQ206">
            <v>0</v>
          </cell>
          <cell r="ER206">
            <v>0</v>
          </cell>
          <cell r="ES206">
            <v>0</v>
          </cell>
          <cell r="ET206">
            <v>0</v>
          </cell>
          <cell r="EU206">
            <v>0</v>
          </cell>
          <cell r="EV206">
            <v>0</v>
          </cell>
          <cell r="EW206">
            <v>0</v>
          </cell>
          <cell r="EX206">
            <v>0</v>
          </cell>
          <cell r="EY206">
            <v>0</v>
          </cell>
          <cell r="EZ206">
            <v>0</v>
          </cell>
          <cell r="FA206">
            <v>7</v>
          </cell>
          <cell r="FB206">
            <v>38</v>
          </cell>
          <cell r="FC206">
            <v>69</v>
          </cell>
          <cell r="FD206">
            <v>100</v>
          </cell>
          <cell r="FE206">
            <v>130</v>
          </cell>
          <cell r="FF206">
            <v>161</v>
          </cell>
          <cell r="FG206">
            <v>192</v>
          </cell>
          <cell r="FH206">
            <v>223</v>
          </cell>
          <cell r="FI206">
            <v>253</v>
          </cell>
          <cell r="FJ206">
            <v>284</v>
          </cell>
          <cell r="FK206">
            <v>315</v>
          </cell>
          <cell r="FL206">
            <v>346</v>
          </cell>
          <cell r="FM206">
            <v>376</v>
          </cell>
          <cell r="FN206">
            <v>407</v>
          </cell>
          <cell r="FO206">
            <v>438</v>
          </cell>
          <cell r="FP206">
            <v>469</v>
          </cell>
          <cell r="FQ206">
            <v>499</v>
          </cell>
          <cell r="FR206">
            <v>530</v>
          </cell>
          <cell r="FS206">
            <v>561</v>
          </cell>
          <cell r="FT206">
            <v>592</v>
          </cell>
          <cell r="FU206">
            <v>622</v>
          </cell>
          <cell r="FV206">
            <v>653</v>
          </cell>
          <cell r="FW206">
            <v>684</v>
          </cell>
          <cell r="FX206">
            <v>715</v>
          </cell>
          <cell r="FY206">
            <v>745</v>
          </cell>
          <cell r="FZ206">
            <v>776</v>
          </cell>
          <cell r="GA206">
            <v>807</v>
          </cell>
          <cell r="GB206">
            <v>838</v>
          </cell>
          <cell r="GC206">
            <v>868</v>
          </cell>
          <cell r="GD206">
            <v>899</v>
          </cell>
          <cell r="GE206">
            <v>930</v>
          </cell>
          <cell r="GF206">
            <v>961</v>
          </cell>
          <cell r="GG206">
            <v>991</v>
          </cell>
          <cell r="GH206">
            <v>1022</v>
          </cell>
          <cell r="GI206">
            <v>1053</v>
          </cell>
          <cell r="GJ206">
            <v>1084</v>
          </cell>
          <cell r="GK206">
            <v>1114</v>
          </cell>
          <cell r="GL206">
            <v>1145</v>
          </cell>
          <cell r="GM206">
            <v>1176</v>
          </cell>
          <cell r="GN206">
            <v>1207</v>
          </cell>
          <cell r="GO206">
            <v>1237</v>
          </cell>
          <cell r="GP206">
            <v>1268</v>
          </cell>
          <cell r="GQ206">
            <v>1299</v>
          </cell>
          <cell r="GR206">
            <v>1330</v>
          </cell>
          <cell r="GS206">
            <v>1360</v>
          </cell>
          <cell r="GT206">
            <v>1391</v>
          </cell>
          <cell r="GU206">
            <v>1422</v>
          </cell>
          <cell r="GV206">
            <v>1453</v>
          </cell>
          <cell r="GW206">
            <v>1483</v>
          </cell>
          <cell r="GX206">
            <v>1514</v>
          </cell>
          <cell r="GY206">
            <v>1545</v>
          </cell>
          <cell r="GZ206">
            <v>1576</v>
          </cell>
          <cell r="HA206">
            <v>1606</v>
          </cell>
          <cell r="HB206">
            <v>1637</v>
          </cell>
          <cell r="HC206">
            <v>1668</v>
          </cell>
          <cell r="HD206">
            <v>1699</v>
          </cell>
          <cell r="HE206">
            <v>1729</v>
          </cell>
          <cell r="HF206">
            <v>1760</v>
          </cell>
        </row>
        <row r="221">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v>0</v>
          </cell>
          <cell r="DK221">
            <v>0</v>
          </cell>
          <cell r="DL221">
            <v>0</v>
          </cell>
          <cell r="DM221">
            <v>0</v>
          </cell>
          <cell r="DN221">
            <v>0</v>
          </cell>
          <cell r="DO221">
            <v>0</v>
          </cell>
          <cell r="DP221">
            <v>0</v>
          </cell>
          <cell r="DQ221">
            <v>0</v>
          </cell>
          <cell r="DR221">
            <v>0</v>
          </cell>
          <cell r="DS221">
            <v>0</v>
          </cell>
          <cell r="DT221">
            <v>0</v>
          </cell>
          <cell r="DU221">
            <v>0</v>
          </cell>
          <cell r="DV221">
            <v>0</v>
          </cell>
          <cell r="DW221">
            <v>0</v>
          </cell>
          <cell r="DX221">
            <v>0</v>
          </cell>
          <cell r="DY221">
            <v>0</v>
          </cell>
          <cell r="DZ221">
            <v>0</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cell r="FD221">
            <v>0</v>
          </cell>
          <cell r="FE221">
            <v>0</v>
          </cell>
          <cell r="FF221">
            <v>0</v>
          </cell>
          <cell r="FG221">
            <v>0</v>
          </cell>
          <cell r="FH221">
            <v>0</v>
          </cell>
          <cell r="FI221">
            <v>0</v>
          </cell>
          <cell r="FJ221">
            <v>0</v>
          </cell>
          <cell r="FK221">
            <v>0</v>
          </cell>
          <cell r="FL221">
            <v>0</v>
          </cell>
          <cell r="FM221">
            <v>0</v>
          </cell>
          <cell r="FN221">
            <v>0</v>
          </cell>
          <cell r="FO221">
            <v>0</v>
          </cell>
          <cell r="FP221">
            <v>0</v>
          </cell>
          <cell r="FQ221">
            <v>0</v>
          </cell>
          <cell r="FR221">
            <v>0</v>
          </cell>
          <cell r="FS221">
            <v>0</v>
          </cell>
          <cell r="FT221">
            <v>0</v>
          </cell>
          <cell r="FU221">
            <v>0</v>
          </cell>
          <cell r="FV221">
            <v>0</v>
          </cell>
          <cell r="FW221">
            <v>0</v>
          </cell>
          <cell r="FX221">
            <v>0</v>
          </cell>
          <cell r="FY221">
            <v>0</v>
          </cell>
          <cell r="FZ221">
            <v>0</v>
          </cell>
          <cell r="GA221">
            <v>0</v>
          </cell>
          <cell r="GB221">
            <v>0</v>
          </cell>
          <cell r="GC221">
            <v>0</v>
          </cell>
          <cell r="GD221">
            <v>0</v>
          </cell>
          <cell r="GE221">
            <v>0</v>
          </cell>
          <cell r="GF221">
            <v>0</v>
          </cell>
          <cell r="GG221">
            <v>0</v>
          </cell>
          <cell r="GH221">
            <v>0</v>
          </cell>
          <cell r="GI221">
            <v>0</v>
          </cell>
          <cell r="GJ221">
            <v>0</v>
          </cell>
          <cell r="GK221">
            <v>0</v>
          </cell>
          <cell r="GL221">
            <v>0</v>
          </cell>
          <cell r="GM221">
            <v>0</v>
          </cell>
          <cell r="GN221">
            <v>0</v>
          </cell>
          <cell r="GO221">
            <v>0</v>
          </cell>
          <cell r="GP221">
            <v>0</v>
          </cell>
          <cell r="GQ221">
            <v>0</v>
          </cell>
          <cell r="GR221">
            <v>0</v>
          </cell>
          <cell r="GS221">
            <v>0</v>
          </cell>
          <cell r="GT221">
            <v>0</v>
          </cell>
          <cell r="GU221">
            <v>0</v>
          </cell>
          <cell r="GV221">
            <v>0</v>
          </cell>
          <cell r="GW221">
            <v>0</v>
          </cell>
          <cell r="GX221">
            <v>0</v>
          </cell>
          <cell r="GY221">
            <v>0</v>
          </cell>
          <cell r="GZ221">
            <v>0</v>
          </cell>
          <cell r="HA221">
            <v>0</v>
          </cell>
          <cell r="HB221">
            <v>0</v>
          </cell>
          <cell r="HC221">
            <v>0</v>
          </cell>
          <cell r="HD221">
            <v>0</v>
          </cell>
          <cell r="HE221">
            <v>0</v>
          </cell>
          <cell r="HF221">
            <v>0</v>
          </cell>
        </row>
        <row r="267">
          <cell r="N267">
            <v>8772</v>
          </cell>
          <cell r="O267">
            <v>8772</v>
          </cell>
          <cell r="P267">
            <v>8772</v>
          </cell>
          <cell r="Q267">
            <v>8622</v>
          </cell>
          <cell r="R267">
            <v>8372</v>
          </cell>
          <cell r="S267">
            <v>8122</v>
          </cell>
          <cell r="T267">
            <v>7872</v>
          </cell>
          <cell r="U267">
            <v>7622</v>
          </cell>
          <cell r="V267">
            <v>7372</v>
          </cell>
          <cell r="W267">
            <v>7122</v>
          </cell>
          <cell r="X267">
            <v>6872</v>
          </cell>
          <cell r="Y267">
            <v>6622</v>
          </cell>
          <cell r="Z267">
            <v>6372</v>
          </cell>
          <cell r="AA267">
            <v>6122</v>
          </cell>
          <cell r="AB267">
            <v>5872</v>
          </cell>
          <cell r="AC267">
            <v>5622</v>
          </cell>
          <cell r="AD267">
            <v>5372</v>
          </cell>
          <cell r="AE267">
            <v>5122</v>
          </cell>
          <cell r="AF267">
            <v>4872</v>
          </cell>
          <cell r="AG267">
            <v>4622</v>
          </cell>
          <cell r="AH267">
            <v>4372</v>
          </cell>
          <cell r="AI267">
            <v>4122</v>
          </cell>
          <cell r="AJ267">
            <v>3872</v>
          </cell>
          <cell r="AK267">
            <v>3622</v>
          </cell>
          <cell r="AL267">
            <v>3372</v>
          </cell>
          <cell r="AM267">
            <v>3122</v>
          </cell>
          <cell r="AN267">
            <v>2872</v>
          </cell>
          <cell r="AO267">
            <v>2622</v>
          </cell>
          <cell r="AP267">
            <v>2372</v>
          </cell>
          <cell r="AQ267">
            <v>2122</v>
          </cell>
          <cell r="AR267">
            <v>1872</v>
          </cell>
          <cell r="AS267">
            <v>1622</v>
          </cell>
          <cell r="AT267">
            <v>1372</v>
          </cell>
          <cell r="AU267">
            <v>1122</v>
          </cell>
          <cell r="AV267">
            <v>872</v>
          </cell>
          <cell r="AW267">
            <v>622</v>
          </cell>
          <cell r="AX267">
            <v>372</v>
          </cell>
          <cell r="AY267">
            <v>122</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BX267">
            <v>0</v>
          </cell>
          <cell r="BY267">
            <v>0</v>
          </cell>
          <cell r="BZ267">
            <v>0</v>
          </cell>
          <cell r="CA267">
            <v>0</v>
          </cell>
          <cell r="CB267">
            <v>0</v>
          </cell>
          <cell r="CC267">
            <v>0</v>
          </cell>
          <cell r="CD267">
            <v>0</v>
          </cell>
          <cell r="CE267">
            <v>0</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0</v>
          </cell>
          <cell r="DM267">
            <v>0</v>
          </cell>
          <cell r="DN267">
            <v>0</v>
          </cell>
          <cell r="DO267">
            <v>0</v>
          </cell>
          <cell r="DP267">
            <v>0</v>
          </cell>
          <cell r="DQ267">
            <v>0</v>
          </cell>
          <cell r="DR267">
            <v>0</v>
          </cell>
          <cell r="DS267">
            <v>0</v>
          </cell>
          <cell r="DT267">
            <v>0</v>
          </cell>
          <cell r="DU267">
            <v>0</v>
          </cell>
          <cell r="DV267">
            <v>0</v>
          </cell>
          <cell r="DW267">
            <v>0</v>
          </cell>
          <cell r="DX267">
            <v>0</v>
          </cell>
          <cell r="DY267">
            <v>0</v>
          </cell>
          <cell r="DZ267">
            <v>0</v>
          </cell>
          <cell r="EA267">
            <v>0</v>
          </cell>
          <cell r="EB267">
            <v>0</v>
          </cell>
          <cell r="EC267">
            <v>0</v>
          </cell>
          <cell r="ED267">
            <v>0</v>
          </cell>
          <cell r="EE267">
            <v>0</v>
          </cell>
          <cell r="EF267">
            <v>0</v>
          </cell>
          <cell r="EG267">
            <v>0</v>
          </cell>
          <cell r="EH267">
            <v>0</v>
          </cell>
          <cell r="EI267">
            <v>0</v>
          </cell>
          <cell r="EJ267">
            <v>0</v>
          </cell>
          <cell r="EK267">
            <v>0</v>
          </cell>
          <cell r="EL267">
            <v>0</v>
          </cell>
          <cell r="EM267">
            <v>0</v>
          </cell>
          <cell r="EN267">
            <v>0</v>
          </cell>
          <cell r="EO267">
            <v>0</v>
          </cell>
          <cell r="EP267">
            <v>0</v>
          </cell>
          <cell r="EQ267">
            <v>0</v>
          </cell>
          <cell r="ER267">
            <v>0</v>
          </cell>
          <cell r="ES267">
            <v>0</v>
          </cell>
          <cell r="ET267">
            <v>0</v>
          </cell>
          <cell r="EU267">
            <v>0</v>
          </cell>
          <cell r="EV267">
            <v>0</v>
          </cell>
          <cell r="EW267">
            <v>0</v>
          </cell>
          <cell r="EX267">
            <v>0</v>
          </cell>
          <cell r="EY267">
            <v>0</v>
          </cell>
          <cell r="EZ267">
            <v>0</v>
          </cell>
          <cell r="FA267">
            <v>0</v>
          </cell>
          <cell r="FB267">
            <v>0</v>
          </cell>
          <cell r="FC267">
            <v>0</v>
          </cell>
          <cell r="FD267">
            <v>0</v>
          </cell>
          <cell r="FE267">
            <v>0</v>
          </cell>
          <cell r="FF267">
            <v>0</v>
          </cell>
          <cell r="FG267">
            <v>0</v>
          </cell>
          <cell r="FH267">
            <v>0</v>
          </cell>
          <cell r="FI267">
            <v>0</v>
          </cell>
          <cell r="FJ267">
            <v>0</v>
          </cell>
          <cell r="FK267">
            <v>0</v>
          </cell>
          <cell r="FL267">
            <v>0</v>
          </cell>
          <cell r="FM267">
            <v>0</v>
          </cell>
          <cell r="FN267">
            <v>0</v>
          </cell>
          <cell r="FO267">
            <v>0</v>
          </cell>
          <cell r="FP267">
            <v>0</v>
          </cell>
          <cell r="FQ267">
            <v>0</v>
          </cell>
          <cell r="FR267">
            <v>0</v>
          </cell>
          <cell r="FS267">
            <v>0</v>
          </cell>
          <cell r="FT267">
            <v>0</v>
          </cell>
          <cell r="FU267">
            <v>0</v>
          </cell>
          <cell r="FV267">
            <v>0</v>
          </cell>
          <cell r="FW267">
            <v>0</v>
          </cell>
          <cell r="FX267">
            <v>0</v>
          </cell>
          <cell r="FY267">
            <v>0</v>
          </cell>
          <cell r="FZ267">
            <v>0</v>
          </cell>
          <cell r="GA267">
            <v>0</v>
          </cell>
          <cell r="GB267">
            <v>0</v>
          </cell>
          <cell r="GC267">
            <v>0</v>
          </cell>
          <cell r="GD267">
            <v>0</v>
          </cell>
          <cell r="GE267">
            <v>0</v>
          </cell>
          <cell r="GF267">
            <v>0</v>
          </cell>
          <cell r="GG267">
            <v>0</v>
          </cell>
          <cell r="GH267">
            <v>0</v>
          </cell>
          <cell r="GI267">
            <v>0</v>
          </cell>
          <cell r="GJ267">
            <v>0</v>
          </cell>
          <cell r="GK267">
            <v>0</v>
          </cell>
          <cell r="GL267">
            <v>0</v>
          </cell>
          <cell r="GM267">
            <v>0</v>
          </cell>
          <cell r="GN267">
            <v>0</v>
          </cell>
          <cell r="GO267">
            <v>0</v>
          </cell>
          <cell r="GP267">
            <v>0</v>
          </cell>
          <cell r="GQ267">
            <v>0</v>
          </cell>
          <cell r="GR267">
            <v>0</v>
          </cell>
          <cell r="GS267">
            <v>0</v>
          </cell>
          <cell r="GT267">
            <v>0</v>
          </cell>
          <cell r="GU267">
            <v>0</v>
          </cell>
          <cell r="GV267">
            <v>0</v>
          </cell>
          <cell r="GW267">
            <v>0</v>
          </cell>
          <cell r="GX267">
            <v>0</v>
          </cell>
          <cell r="GY267">
            <v>0</v>
          </cell>
          <cell r="GZ267">
            <v>0</v>
          </cell>
          <cell r="HA267">
            <v>0</v>
          </cell>
          <cell r="HB267">
            <v>0</v>
          </cell>
          <cell r="HC267">
            <v>0</v>
          </cell>
          <cell r="HD267">
            <v>0</v>
          </cell>
          <cell r="HE267">
            <v>0</v>
          </cell>
          <cell r="HF267">
            <v>0</v>
          </cell>
        </row>
        <row r="280">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0</v>
          </cell>
          <cell r="BV280">
            <v>0</v>
          </cell>
          <cell r="BW280">
            <v>0</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0</v>
          </cell>
          <cell r="DR280">
            <v>0</v>
          </cell>
          <cell r="DS280">
            <v>0</v>
          </cell>
          <cell r="DT280">
            <v>0</v>
          </cell>
          <cell r="DU280">
            <v>0</v>
          </cell>
          <cell r="DV280">
            <v>0</v>
          </cell>
          <cell r="DW280">
            <v>0</v>
          </cell>
          <cell r="DX280">
            <v>0</v>
          </cell>
          <cell r="DY280">
            <v>0</v>
          </cell>
          <cell r="DZ280">
            <v>0</v>
          </cell>
          <cell r="EA280">
            <v>0</v>
          </cell>
          <cell r="EB280">
            <v>0</v>
          </cell>
          <cell r="EC280">
            <v>0</v>
          </cell>
          <cell r="ED280">
            <v>0</v>
          </cell>
          <cell r="EE280">
            <v>0</v>
          </cell>
          <cell r="EF280">
            <v>0</v>
          </cell>
          <cell r="EG280">
            <v>0</v>
          </cell>
          <cell r="EH280">
            <v>0</v>
          </cell>
          <cell r="EI280">
            <v>0</v>
          </cell>
          <cell r="EJ280">
            <v>0</v>
          </cell>
          <cell r="EK280">
            <v>0</v>
          </cell>
          <cell r="EL280">
            <v>0</v>
          </cell>
          <cell r="EM280">
            <v>0</v>
          </cell>
          <cell r="EN280">
            <v>0</v>
          </cell>
          <cell r="EO280">
            <v>0</v>
          </cell>
          <cell r="EP280">
            <v>0</v>
          </cell>
          <cell r="EQ280">
            <v>0</v>
          </cell>
          <cell r="ER280">
            <v>0</v>
          </cell>
          <cell r="ES280">
            <v>0</v>
          </cell>
          <cell r="ET280">
            <v>0</v>
          </cell>
          <cell r="EU280">
            <v>0</v>
          </cell>
          <cell r="EV280">
            <v>0</v>
          </cell>
          <cell r="EW280">
            <v>0</v>
          </cell>
          <cell r="EX280">
            <v>0</v>
          </cell>
          <cell r="EY280">
            <v>0</v>
          </cell>
          <cell r="EZ280">
            <v>0</v>
          </cell>
          <cell r="FA280">
            <v>0</v>
          </cell>
          <cell r="FB280">
            <v>0</v>
          </cell>
          <cell r="FC280">
            <v>0</v>
          </cell>
          <cell r="FD280">
            <v>0</v>
          </cell>
          <cell r="FE280">
            <v>0</v>
          </cell>
          <cell r="FF280">
            <v>0</v>
          </cell>
          <cell r="FG280">
            <v>0</v>
          </cell>
          <cell r="FH280">
            <v>0</v>
          </cell>
          <cell r="FI280">
            <v>0</v>
          </cell>
          <cell r="FJ280">
            <v>0</v>
          </cell>
          <cell r="FK280">
            <v>0</v>
          </cell>
          <cell r="FL280">
            <v>0</v>
          </cell>
          <cell r="FM280">
            <v>0</v>
          </cell>
          <cell r="FN280">
            <v>0</v>
          </cell>
          <cell r="FO280">
            <v>0</v>
          </cell>
          <cell r="FP280">
            <v>0</v>
          </cell>
          <cell r="FQ280">
            <v>0</v>
          </cell>
          <cell r="FR280">
            <v>0</v>
          </cell>
          <cell r="FS280">
            <v>0</v>
          </cell>
          <cell r="FT280">
            <v>0</v>
          </cell>
          <cell r="FU280">
            <v>0</v>
          </cell>
          <cell r="FV280">
            <v>0</v>
          </cell>
          <cell r="FW280">
            <v>0</v>
          </cell>
          <cell r="FX280">
            <v>0</v>
          </cell>
          <cell r="FY280">
            <v>0</v>
          </cell>
          <cell r="FZ280">
            <v>0</v>
          </cell>
          <cell r="GA280">
            <v>0</v>
          </cell>
          <cell r="GB280">
            <v>0</v>
          </cell>
          <cell r="GC280">
            <v>0</v>
          </cell>
          <cell r="GD280">
            <v>0</v>
          </cell>
          <cell r="GE280">
            <v>0</v>
          </cell>
          <cell r="GF280">
            <v>0</v>
          </cell>
          <cell r="GG280">
            <v>0</v>
          </cell>
          <cell r="GH280">
            <v>0</v>
          </cell>
          <cell r="GI280">
            <v>0</v>
          </cell>
          <cell r="GJ280">
            <v>0</v>
          </cell>
          <cell r="GK280">
            <v>0</v>
          </cell>
          <cell r="GL280">
            <v>0</v>
          </cell>
          <cell r="GM280">
            <v>0</v>
          </cell>
          <cell r="GN280">
            <v>0</v>
          </cell>
          <cell r="GO280">
            <v>0</v>
          </cell>
          <cell r="GP280">
            <v>0</v>
          </cell>
          <cell r="GQ280">
            <v>0</v>
          </cell>
          <cell r="GR280">
            <v>0</v>
          </cell>
          <cell r="GS280">
            <v>0</v>
          </cell>
          <cell r="GT280">
            <v>0</v>
          </cell>
          <cell r="GU280">
            <v>0</v>
          </cell>
          <cell r="GV280">
            <v>0</v>
          </cell>
          <cell r="GW280">
            <v>0</v>
          </cell>
          <cell r="GX280">
            <v>0</v>
          </cell>
          <cell r="GY280">
            <v>0</v>
          </cell>
          <cell r="GZ280">
            <v>0</v>
          </cell>
          <cell r="HA280">
            <v>0</v>
          </cell>
          <cell r="HB280">
            <v>0</v>
          </cell>
          <cell r="HC280">
            <v>0</v>
          </cell>
          <cell r="HD280">
            <v>0</v>
          </cell>
          <cell r="HE280">
            <v>0</v>
          </cell>
          <cell r="HF280">
            <v>0</v>
          </cell>
        </row>
        <row r="313">
          <cell r="N313">
            <v>14280</v>
          </cell>
          <cell r="O313">
            <v>14280</v>
          </cell>
          <cell r="P313">
            <v>14280</v>
          </cell>
          <cell r="Q313">
            <v>14280</v>
          </cell>
          <cell r="R313">
            <v>14280</v>
          </cell>
          <cell r="S313">
            <v>14280</v>
          </cell>
          <cell r="T313">
            <v>14280</v>
          </cell>
          <cell r="U313">
            <v>14280</v>
          </cell>
          <cell r="V313">
            <v>14280</v>
          </cell>
          <cell r="W313">
            <v>14280</v>
          </cell>
          <cell r="X313">
            <v>14280</v>
          </cell>
          <cell r="Y313">
            <v>14280</v>
          </cell>
          <cell r="Z313">
            <v>14280</v>
          </cell>
          <cell r="AA313">
            <v>14280</v>
          </cell>
          <cell r="AB313">
            <v>14280</v>
          </cell>
          <cell r="AC313">
            <v>14280</v>
          </cell>
          <cell r="AD313">
            <v>14280</v>
          </cell>
          <cell r="AE313">
            <v>14280</v>
          </cell>
          <cell r="AF313">
            <v>14280</v>
          </cell>
          <cell r="AG313">
            <v>14280</v>
          </cell>
          <cell r="AH313">
            <v>14280</v>
          </cell>
          <cell r="AI313">
            <v>14280</v>
          </cell>
          <cell r="AJ313">
            <v>14280</v>
          </cell>
          <cell r="AK313">
            <v>14280</v>
          </cell>
          <cell r="AL313">
            <v>14280</v>
          </cell>
          <cell r="AM313">
            <v>14280</v>
          </cell>
          <cell r="AN313">
            <v>14280</v>
          </cell>
          <cell r="AO313">
            <v>14280</v>
          </cell>
          <cell r="AP313">
            <v>14280</v>
          </cell>
          <cell r="AQ313">
            <v>14280</v>
          </cell>
          <cell r="AR313">
            <v>14280</v>
          </cell>
          <cell r="AS313">
            <v>14280</v>
          </cell>
          <cell r="AT313">
            <v>14280</v>
          </cell>
          <cell r="AU313">
            <v>14280</v>
          </cell>
          <cell r="AV313">
            <v>14280</v>
          </cell>
          <cell r="AW313">
            <v>14280</v>
          </cell>
          <cell r="AX313">
            <v>14280</v>
          </cell>
          <cell r="AY313">
            <v>14280</v>
          </cell>
          <cell r="AZ313">
            <v>14280</v>
          </cell>
          <cell r="BA313">
            <v>14280</v>
          </cell>
          <cell r="BB313">
            <v>14280</v>
          </cell>
          <cell r="BC313">
            <v>14280</v>
          </cell>
          <cell r="BD313">
            <v>14280</v>
          </cell>
          <cell r="BE313">
            <v>14280</v>
          </cell>
          <cell r="BF313">
            <v>14280</v>
          </cell>
          <cell r="BG313">
            <v>14280</v>
          </cell>
          <cell r="BH313">
            <v>14280</v>
          </cell>
          <cell r="BI313">
            <v>14280</v>
          </cell>
          <cell r="BJ313">
            <v>14280</v>
          </cell>
          <cell r="BK313">
            <v>14280</v>
          </cell>
          <cell r="BL313">
            <v>14280</v>
          </cell>
          <cell r="BM313">
            <v>14280</v>
          </cell>
          <cell r="BN313">
            <v>14280</v>
          </cell>
          <cell r="BO313">
            <v>14280</v>
          </cell>
          <cell r="BP313">
            <v>14280</v>
          </cell>
          <cell r="BQ313">
            <v>14280</v>
          </cell>
          <cell r="BR313">
            <v>14280</v>
          </cell>
          <cell r="BS313">
            <v>14280</v>
          </cell>
          <cell r="BT313">
            <v>14280</v>
          </cell>
          <cell r="BU313">
            <v>14280</v>
          </cell>
          <cell r="BV313">
            <v>14280</v>
          </cell>
          <cell r="BW313">
            <v>14280</v>
          </cell>
          <cell r="BX313">
            <v>14280</v>
          </cell>
          <cell r="BY313">
            <v>14280</v>
          </cell>
          <cell r="BZ313">
            <v>14280</v>
          </cell>
          <cell r="CA313">
            <v>14280</v>
          </cell>
          <cell r="CB313">
            <v>14280</v>
          </cell>
          <cell r="CC313">
            <v>14280</v>
          </cell>
          <cell r="CD313">
            <v>14280</v>
          </cell>
          <cell r="CE313">
            <v>14280</v>
          </cell>
          <cell r="CF313">
            <v>14280</v>
          </cell>
          <cell r="CG313">
            <v>14280</v>
          </cell>
          <cell r="CH313">
            <v>14280</v>
          </cell>
          <cell r="CI313">
            <v>14280</v>
          </cell>
          <cell r="CJ313">
            <v>14280</v>
          </cell>
          <cell r="CK313">
            <v>14280</v>
          </cell>
          <cell r="CL313">
            <v>14280</v>
          </cell>
          <cell r="CM313">
            <v>14280</v>
          </cell>
          <cell r="CN313">
            <v>14280</v>
          </cell>
          <cell r="CO313">
            <v>14280</v>
          </cell>
          <cell r="CP313">
            <v>14280</v>
          </cell>
          <cell r="CQ313">
            <v>14280</v>
          </cell>
          <cell r="CR313">
            <v>14280</v>
          </cell>
          <cell r="CS313">
            <v>14280</v>
          </cell>
          <cell r="CT313">
            <v>14280</v>
          </cell>
          <cell r="CU313">
            <v>14280</v>
          </cell>
          <cell r="CV313">
            <v>14280</v>
          </cell>
          <cell r="CW313">
            <v>14280</v>
          </cell>
          <cell r="CX313">
            <v>14280</v>
          </cell>
          <cell r="CY313">
            <v>14280</v>
          </cell>
          <cell r="CZ313">
            <v>14280</v>
          </cell>
          <cell r="DA313">
            <v>14280</v>
          </cell>
          <cell r="DB313">
            <v>14280</v>
          </cell>
          <cell r="DC313">
            <v>0</v>
          </cell>
          <cell r="DD313">
            <v>0</v>
          </cell>
          <cell r="DE313">
            <v>0</v>
          </cell>
          <cell r="DF313">
            <v>0</v>
          </cell>
          <cell r="DG313">
            <v>0</v>
          </cell>
          <cell r="DH313">
            <v>0</v>
          </cell>
          <cell r="DI313">
            <v>0</v>
          </cell>
          <cell r="DJ313">
            <v>0</v>
          </cell>
          <cell r="DK313">
            <v>0</v>
          </cell>
          <cell r="DL313">
            <v>0</v>
          </cell>
          <cell r="DM313">
            <v>0</v>
          </cell>
          <cell r="DN313">
            <v>0</v>
          </cell>
          <cell r="DO313">
            <v>0</v>
          </cell>
          <cell r="DP313">
            <v>0</v>
          </cell>
          <cell r="DQ313">
            <v>0</v>
          </cell>
          <cell r="DR313">
            <v>0</v>
          </cell>
          <cell r="DS313">
            <v>0</v>
          </cell>
          <cell r="DT313">
            <v>0</v>
          </cell>
          <cell r="DU313">
            <v>0</v>
          </cell>
          <cell r="DV313">
            <v>0</v>
          </cell>
          <cell r="DW313">
            <v>0</v>
          </cell>
          <cell r="DX313">
            <v>0</v>
          </cell>
          <cell r="DY313">
            <v>0</v>
          </cell>
          <cell r="DZ313">
            <v>0</v>
          </cell>
          <cell r="EA313">
            <v>0</v>
          </cell>
          <cell r="EB313">
            <v>0</v>
          </cell>
          <cell r="EC313">
            <v>0</v>
          </cell>
          <cell r="ED313">
            <v>0</v>
          </cell>
          <cell r="EE313">
            <v>0</v>
          </cell>
          <cell r="EF313">
            <v>0</v>
          </cell>
          <cell r="EG313">
            <v>0</v>
          </cell>
          <cell r="EH313">
            <v>0</v>
          </cell>
          <cell r="EI313">
            <v>0</v>
          </cell>
          <cell r="EJ313">
            <v>0</v>
          </cell>
          <cell r="EK313">
            <v>0</v>
          </cell>
          <cell r="EL313">
            <v>0</v>
          </cell>
          <cell r="EM313">
            <v>0</v>
          </cell>
          <cell r="EN313">
            <v>0</v>
          </cell>
          <cell r="EO313">
            <v>0</v>
          </cell>
          <cell r="EP313">
            <v>0</v>
          </cell>
          <cell r="EQ313">
            <v>0</v>
          </cell>
          <cell r="ER313">
            <v>0</v>
          </cell>
          <cell r="ES313">
            <v>0</v>
          </cell>
          <cell r="ET313">
            <v>0</v>
          </cell>
          <cell r="EU313">
            <v>0</v>
          </cell>
          <cell r="EV313">
            <v>0</v>
          </cell>
          <cell r="EW313">
            <v>0</v>
          </cell>
          <cell r="EX313">
            <v>0</v>
          </cell>
          <cell r="EY313">
            <v>0</v>
          </cell>
          <cell r="EZ313">
            <v>0</v>
          </cell>
          <cell r="FA313">
            <v>0</v>
          </cell>
          <cell r="FB313">
            <v>0</v>
          </cell>
          <cell r="FC313">
            <v>0</v>
          </cell>
          <cell r="FD313">
            <v>0</v>
          </cell>
          <cell r="FE313">
            <v>0</v>
          </cell>
          <cell r="FF313">
            <v>0</v>
          </cell>
          <cell r="FG313">
            <v>0</v>
          </cell>
          <cell r="FH313">
            <v>0</v>
          </cell>
          <cell r="FI313">
            <v>0</v>
          </cell>
          <cell r="FJ313">
            <v>0</v>
          </cell>
          <cell r="FK313">
            <v>0</v>
          </cell>
          <cell r="FL313">
            <v>0</v>
          </cell>
          <cell r="FM313">
            <v>0</v>
          </cell>
          <cell r="FN313">
            <v>0</v>
          </cell>
          <cell r="FO313">
            <v>0</v>
          </cell>
          <cell r="FP313">
            <v>0</v>
          </cell>
          <cell r="FQ313">
            <v>0</v>
          </cell>
          <cell r="FR313">
            <v>0</v>
          </cell>
          <cell r="FS313">
            <v>0</v>
          </cell>
          <cell r="FT313">
            <v>0</v>
          </cell>
          <cell r="FU313">
            <v>0</v>
          </cell>
          <cell r="FV313">
            <v>0</v>
          </cell>
          <cell r="FW313">
            <v>0</v>
          </cell>
          <cell r="FX313">
            <v>0</v>
          </cell>
          <cell r="FY313">
            <v>0</v>
          </cell>
          <cell r="FZ313">
            <v>0</v>
          </cell>
          <cell r="GA313">
            <v>0</v>
          </cell>
          <cell r="GB313">
            <v>0</v>
          </cell>
          <cell r="GC313">
            <v>0</v>
          </cell>
          <cell r="GD313">
            <v>0</v>
          </cell>
          <cell r="GE313">
            <v>0</v>
          </cell>
          <cell r="GF313">
            <v>0</v>
          </cell>
          <cell r="GG313">
            <v>0</v>
          </cell>
          <cell r="GH313">
            <v>0</v>
          </cell>
          <cell r="GI313">
            <v>0</v>
          </cell>
          <cell r="GJ313">
            <v>0</v>
          </cell>
          <cell r="GK313">
            <v>0</v>
          </cell>
          <cell r="GL313">
            <v>0</v>
          </cell>
          <cell r="GM313">
            <v>0</v>
          </cell>
          <cell r="GN313">
            <v>0</v>
          </cell>
          <cell r="GO313">
            <v>0</v>
          </cell>
          <cell r="GP313">
            <v>0</v>
          </cell>
          <cell r="GQ313">
            <v>0</v>
          </cell>
          <cell r="GR313">
            <v>0</v>
          </cell>
          <cell r="GS313">
            <v>0</v>
          </cell>
          <cell r="GT313">
            <v>0</v>
          </cell>
          <cell r="GU313">
            <v>0</v>
          </cell>
          <cell r="GV313">
            <v>0</v>
          </cell>
          <cell r="GW313">
            <v>0</v>
          </cell>
          <cell r="GX313">
            <v>0</v>
          </cell>
          <cell r="GY313">
            <v>0</v>
          </cell>
          <cell r="GZ313">
            <v>0</v>
          </cell>
          <cell r="HA313">
            <v>0</v>
          </cell>
          <cell r="HB313">
            <v>0</v>
          </cell>
          <cell r="HC313">
            <v>0</v>
          </cell>
          <cell r="HD313">
            <v>0</v>
          </cell>
          <cell r="HE313">
            <v>0</v>
          </cell>
          <cell r="HF313">
            <v>0</v>
          </cell>
        </row>
        <row r="335">
          <cell r="N335">
            <v>718</v>
          </cell>
          <cell r="O335">
            <v>718</v>
          </cell>
          <cell r="P335">
            <v>718</v>
          </cell>
          <cell r="Q335">
            <v>718</v>
          </cell>
          <cell r="R335">
            <v>718</v>
          </cell>
          <cell r="S335">
            <v>718</v>
          </cell>
          <cell r="T335">
            <v>718</v>
          </cell>
          <cell r="U335">
            <v>718</v>
          </cell>
          <cell r="V335">
            <v>718</v>
          </cell>
          <cell r="W335">
            <v>718</v>
          </cell>
          <cell r="X335">
            <v>718</v>
          </cell>
          <cell r="Y335">
            <v>718</v>
          </cell>
          <cell r="Z335">
            <v>718</v>
          </cell>
          <cell r="AA335">
            <v>718</v>
          </cell>
          <cell r="AB335">
            <v>718</v>
          </cell>
          <cell r="AC335">
            <v>718</v>
          </cell>
          <cell r="AD335">
            <v>718</v>
          </cell>
          <cell r="AE335">
            <v>718</v>
          </cell>
          <cell r="AF335">
            <v>718</v>
          </cell>
          <cell r="AG335">
            <v>718</v>
          </cell>
          <cell r="AH335">
            <v>718</v>
          </cell>
          <cell r="AI335">
            <v>718</v>
          </cell>
          <cell r="AJ335">
            <v>718</v>
          </cell>
          <cell r="AK335">
            <v>718</v>
          </cell>
          <cell r="AL335">
            <v>718</v>
          </cell>
          <cell r="AM335">
            <v>718</v>
          </cell>
          <cell r="AN335">
            <v>718</v>
          </cell>
          <cell r="AO335">
            <v>718</v>
          </cell>
          <cell r="AP335">
            <v>718</v>
          </cell>
          <cell r="AQ335">
            <v>718</v>
          </cell>
          <cell r="AR335">
            <v>718</v>
          </cell>
          <cell r="AS335">
            <v>718</v>
          </cell>
          <cell r="AT335">
            <v>718</v>
          </cell>
          <cell r="AU335">
            <v>718</v>
          </cell>
          <cell r="AV335">
            <v>718</v>
          </cell>
          <cell r="AW335">
            <v>718</v>
          </cell>
          <cell r="AX335">
            <v>718</v>
          </cell>
          <cell r="AY335">
            <v>718</v>
          </cell>
          <cell r="AZ335">
            <v>718</v>
          </cell>
          <cell r="BA335">
            <v>718</v>
          </cell>
          <cell r="BB335">
            <v>718</v>
          </cell>
          <cell r="BC335">
            <v>718</v>
          </cell>
          <cell r="BD335">
            <v>718</v>
          </cell>
          <cell r="BE335">
            <v>718</v>
          </cell>
          <cell r="BF335">
            <v>718</v>
          </cell>
          <cell r="BG335">
            <v>718</v>
          </cell>
          <cell r="BH335">
            <v>718</v>
          </cell>
          <cell r="BI335">
            <v>718</v>
          </cell>
          <cell r="BJ335">
            <v>718</v>
          </cell>
          <cell r="BK335">
            <v>718</v>
          </cell>
          <cell r="BL335">
            <v>718</v>
          </cell>
          <cell r="BM335">
            <v>718</v>
          </cell>
          <cell r="BN335">
            <v>718</v>
          </cell>
          <cell r="BO335">
            <v>718</v>
          </cell>
          <cell r="BP335">
            <v>718</v>
          </cell>
          <cell r="BQ335">
            <v>718</v>
          </cell>
          <cell r="BR335">
            <v>718</v>
          </cell>
          <cell r="BS335">
            <v>718</v>
          </cell>
          <cell r="BT335">
            <v>718</v>
          </cell>
          <cell r="BU335">
            <v>718</v>
          </cell>
          <cell r="BV335">
            <v>718</v>
          </cell>
          <cell r="BW335">
            <v>718</v>
          </cell>
          <cell r="BX335">
            <v>718</v>
          </cell>
          <cell r="BY335">
            <v>718</v>
          </cell>
          <cell r="BZ335">
            <v>718</v>
          </cell>
          <cell r="CA335">
            <v>718</v>
          </cell>
          <cell r="CB335">
            <v>718</v>
          </cell>
          <cell r="CC335">
            <v>718</v>
          </cell>
          <cell r="CD335">
            <v>718</v>
          </cell>
          <cell r="CE335">
            <v>718</v>
          </cell>
          <cell r="CF335">
            <v>718</v>
          </cell>
          <cell r="CG335">
            <v>718</v>
          </cell>
          <cell r="CH335">
            <v>718</v>
          </cell>
          <cell r="CI335">
            <v>718</v>
          </cell>
          <cell r="CJ335">
            <v>718</v>
          </cell>
          <cell r="CK335">
            <v>718</v>
          </cell>
          <cell r="CL335">
            <v>718</v>
          </cell>
          <cell r="CM335">
            <v>718</v>
          </cell>
          <cell r="CN335">
            <v>718</v>
          </cell>
          <cell r="CO335">
            <v>718</v>
          </cell>
          <cell r="CP335">
            <v>718</v>
          </cell>
          <cell r="CQ335">
            <v>718</v>
          </cell>
          <cell r="CR335">
            <v>718</v>
          </cell>
          <cell r="CS335">
            <v>718</v>
          </cell>
          <cell r="CT335">
            <v>718</v>
          </cell>
          <cell r="CU335">
            <v>718</v>
          </cell>
          <cell r="CV335">
            <v>718</v>
          </cell>
          <cell r="CW335">
            <v>718</v>
          </cell>
          <cell r="CX335">
            <v>718</v>
          </cell>
          <cell r="CY335">
            <v>718</v>
          </cell>
          <cell r="CZ335">
            <v>718</v>
          </cell>
          <cell r="DA335">
            <v>718</v>
          </cell>
          <cell r="DB335">
            <v>718</v>
          </cell>
          <cell r="DC335">
            <v>718</v>
          </cell>
          <cell r="DD335">
            <v>718</v>
          </cell>
          <cell r="DE335">
            <v>718</v>
          </cell>
          <cell r="DF335">
            <v>718</v>
          </cell>
          <cell r="DG335">
            <v>718</v>
          </cell>
          <cell r="DH335">
            <v>718</v>
          </cell>
          <cell r="DI335">
            <v>718</v>
          </cell>
          <cell r="DJ335">
            <v>718</v>
          </cell>
          <cell r="DK335">
            <v>718</v>
          </cell>
          <cell r="DL335">
            <v>718</v>
          </cell>
          <cell r="DM335">
            <v>718</v>
          </cell>
          <cell r="DN335">
            <v>718</v>
          </cell>
          <cell r="DO335">
            <v>718</v>
          </cell>
          <cell r="DP335">
            <v>718</v>
          </cell>
          <cell r="DQ335">
            <v>718</v>
          </cell>
          <cell r="DR335">
            <v>718</v>
          </cell>
          <cell r="DS335">
            <v>718</v>
          </cell>
          <cell r="DT335">
            <v>718</v>
          </cell>
          <cell r="DU335">
            <v>718</v>
          </cell>
          <cell r="DV335">
            <v>718</v>
          </cell>
          <cell r="DW335">
            <v>718</v>
          </cell>
          <cell r="DX335">
            <v>718</v>
          </cell>
          <cell r="DY335">
            <v>718</v>
          </cell>
          <cell r="DZ335">
            <v>718</v>
          </cell>
          <cell r="EA335">
            <v>718</v>
          </cell>
          <cell r="EB335">
            <v>718</v>
          </cell>
          <cell r="EC335">
            <v>718</v>
          </cell>
          <cell r="ED335">
            <v>718</v>
          </cell>
          <cell r="EE335">
            <v>718</v>
          </cell>
          <cell r="EF335">
            <v>718</v>
          </cell>
          <cell r="EG335">
            <v>718</v>
          </cell>
          <cell r="EH335">
            <v>718</v>
          </cell>
          <cell r="EI335">
            <v>718</v>
          </cell>
          <cell r="EJ335">
            <v>718</v>
          </cell>
          <cell r="EK335">
            <v>718</v>
          </cell>
          <cell r="EL335">
            <v>718</v>
          </cell>
          <cell r="EM335">
            <v>718</v>
          </cell>
          <cell r="EN335">
            <v>718</v>
          </cell>
          <cell r="EO335">
            <v>718</v>
          </cell>
          <cell r="EP335">
            <v>718</v>
          </cell>
          <cell r="EQ335">
            <v>718</v>
          </cell>
          <cell r="ER335">
            <v>718</v>
          </cell>
          <cell r="ES335">
            <v>0</v>
          </cell>
          <cell r="ET335">
            <v>0</v>
          </cell>
          <cell r="EU335">
            <v>0</v>
          </cell>
          <cell r="EV335">
            <v>0</v>
          </cell>
          <cell r="EW335">
            <v>0</v>
          </cell>
          <cell r="EX335">
            <v>0</v>
          </cell>
          <cell r="EY335">
            <v>0</v>
          </cell>
          <cell r="EZ335">
            <v>0</v>
          </cell>
          <cell r="FA335">
            <v>0</v>
          </cell>
          <cell r="FB335">
            <v>0</v>
          </cell>
          <cell r="FC335">
            <v>0</v>
          </cell>
          <cell r="FD335">
            <v>0</v>
          </cell>
          <cell r="FE335">
            <v>0</v>
          </cell>
          <cell r="FF335">
            <v>0</v>
          </cell>
          <cell r="FG335">
            <v>0</v>
          </cell>
          <cell r="FH335">
            <v>0</v>
          </cell>
          <cell r="FI335">
            <v>0</v>
          </cell>
          <cell r="FJ335">
            <v>0</v>
          </cell>
          <cell r="FK335">
            <v>0</v>
          </cell>
          <cell r="FL335">
            <v>0</v>
          </cell>
          <cell r="FM335">
            <v>0</v>
          </cell>
          <cell r="FN335">
            <v>0</v>
          </cell>
          <cell r="FO335">
            <v>0</v>
          </cell>
          <cell r="FP335">
            <v>0</v>
          </cell>
          <cell r="FQ335">
            <v>0</v>
          </cell>
          <cell r="FR335">
            <v>0</v>
          </cell>
          <cell r="FS335">
            <v>0</v>
          </cell>
          <cell r="FT335">
            <v>0</v>
          </cell>
          <cell r="FU335">
            <v>0</v>
          </cell>
          <cell r="FV335">
            <v>0</v>
          </cell>
          <cell r="FW335">
            <v>0</v>
          </cell>
          <cell r="FX335">
            <v>0</v>
          </cell>
          <cell r="FY335">
            <v>0</v>
          </cell>
          <cell r="FZ335">
            <v>0</v>
          </cell>
          <cell r="GA335">
            <v>0</v>
          </cell>
          <cell r="GB335">
            <v>0</v>
          </cell>
          <cell r="GC335">
            <v>0</v>
          </cell>
          <cell r="GD335">
            <v>0</v>
          </cell>
          <cell r="GE335">
            <v>0</v>
          </cell>
          <cell r="GF335">
            <v>0</v>
          </cell>
          <cell r="GG335">
            <v>0</v>
          </cell>
          <cell r="GH335">
            <v>0</v>
          </cell>
          <cell r="GI335">
            <v>0</v>
          </cell>
          <cell r="GJ335">
            <v>0</v>
          </cell>
          <cell r="GK335">
            <v>0</v>
          </cell>
          <cell r="GL335">
            <v>0</v>
          </cell>
          <cell r="GM335">
            <v>0</v>
          </cell>
          <cell r="GN335">
            <v>0</v>
          </cell>
          <cell r="GO335">
            <v>0</v>
          </cell>
          <cell r="GP335">
            <v>0</v>
          </cell>
          <cell r="GQ335">
            <v>0</v>
          </cell>
          <cell r="GR335">
            <v>0</v>
          </cell>
          <cell r="GS335">
            <v>0</v>
          </cell>
          <cell r="GT335">
            <v>0</v>
          </cell>
          <cell r="GU335">
            <v>0</v>
          </cell>
          <cell r="GV335">
            <v>0</v>
          </cell>
          <cell r="GW335">
            <v>0</v>
          </cell>
          <cell r="GX335">
            <v>0</v>
          </cell>
          <cell r="GY335">
            <v>0</v>
          </cell>
          <cell r="GZ335">
            <v>0</v>
          </cell>
          <cell r="HA335">
            <v>0</v>
          </cell>
          <cell r="HB335">
            <v>0</v>
          </cell>
          <cell r="HC335">
            <v>0</v>
          </cell>
          <cell r="HD335">
            <v>0</v>
          </cell>
          <cell r="HE335">
            <v>0</v>
          </cell>
          <cell r="HF335">
            <v>0</v>
          </cell>
        </row>
        <row r="346">
          <cell r="N346">
            <v>2753</v>
          </cell>
          <cell r="O346">
            <v>2753</v>
          </cell>
          <cell r="P346">
            <v>2753</v>
          </cell>
          <cell r="Q346">
            <v>2753</v>
          </cell>
          <cell r="R346">
            <v>2753</v>
          </cell>
          <cell r="S346">
            <v>2753</v>
          </cell>
          <cell r="T346">
            <v>2753</v>
          </cell>
          <cell r="U346">
            <v>2753</v>
          </cell>
          <cell r="V346">
            <v>2753</v>
          </cell>
          <cell r="W346">
            <v>2753</v>
          </cell>
          <cell r="X346">
            <v>2753</v>
          </cell>
          <cell r="Y346">
            <v>2753</v>
          </cell>
          <cell r="Z346">
            <v>2753</v>
          </cell>
          <cell r="AA346">
            <v>2753</v>
          </cell>
          <cell r="AB346">
            <v>2753</v>
          </cell>
          <cell r="AC346">
            <v>2753</v>
          </cell>
          <cell r="AD346">
            <v>2753</v>
          </cell>
          <cell r="AE346">
            <v>2753</v>
          </cell>
          <cell r="AF346">
            <v>2753</v>
          </cell>
          <cell r="AG346">
            <v>2753</v>
          </cell>
          <cell r="AH346">
            <v>2753</v>
          </cell>
          <cell r="AI346">
            <v>2753</v>
          </cell>
          <cell r="AJ346">
            <v>2753</v>
          </cell>
          <cell r="AK346">
            <v>2753</v>
          </cell>
          <cell r="AL346">
            <v>2753</v>
          </cell>
          <cell r="AM346">
            <v>2753</v>
          </cell>
          <cell r="AN346">
            <v>2753</v>
          </cell>
          <cell r="AO346">
            <v>2753</v>
          </cell>
          <cell r="AP346">
            <v>2753</v>
          </cell>
          <cell r="AQ346">
            <v>2753</v>
          </cell>
          <cell r="AR346">
            <v>2753</v>
          </cell>
          <cell r="AS346">
            <v>2753</v>
          </cell>
          <cell r="AT346">
            <v>2753</v>
          </cell>
          <cell r="AU346">
            <v>2753</v>
          </cell>
          <cell r="AV346">
            <v>2753</v>
          </cell>
          <cell r="AW346">
            <v>2753</v>
          </cell>
          <cell r="AX346">
            <v>2753</v>
          </cell>
          <cell r="AY346">
            <v>2753</v>
          </cell>
          <cell r="AZ346">
            <v>2753</v>
          </cell>
          <cell r="BA346">
            <v>2753</v>
          </cell>
          <cell r="BB346">
            <v>2753</v>
          </cell>
          <cell r="BC346">
            <v>2753</v>
          </cell>
          <cell r="BD346">
            <v>2753</v>
          </cell>
          <cell r="BE346">
            <v>2753</v>
          </cell>
          <cell r="BF346">
            <v>2753</v>
          </cell>
          <cell r="BG346">
            <v>2753</v>
          </cell>
          <cell r="BH346">
            <v>2753</v>
          </cell>
          <cell r="BI346">
            <v>2753</v>
          </cell>
          <cell r="BJ346">
            <v>2753</v>
          </cell>
          <cell r="BK346">
            <v>2753</v>
          </cell>
          <cell r="BL346">
            <v>2753</v>
          </cell>
          <cell r="BM346">
            <v>2753</v>
          </cell>
          <cell r="BN346">
            <v>2753</v>
          </cell>
          <cell r="BO346">
            <v>2753</v>
          </cell>
          <cell r="BP346">
            <v>2753</v>
          </cell>
          <cell r="BQ346">
            <v>2753</v>
          </cell>
          <cell r="BR346">
            <v>2753</v>
          </cell>
          <cell r="BS346">
            <v>2753</v>
          </cell>
          <cell r="BT346">
            <v>2753</v>
          </cell>
          <cell r="BU346">
            <v>2753</v>
          </cell>
          <cell r="BV346">
            <v>2753</v>
          </cell>
          <cell r="BW346">
            <v>2753</v>
          </cell>
          <cell r="BX346">
            <v>2753</v>
          </cell>
          <cell r="BY346">
            <v>2753</v>
          </cell>
          <cell r="BZ346">
            <v>2753</v>
          </cell>
          <cell r="CA346">
            <v>2753</v>
          </cell>
          <cell r="CB346">
            <v>2753</v>
          </cell>
          <cell r="CC346">
            <v>2753</v>
          </cell>
          <cell r="CD346">
            <v>2753</v>
          </cell>
          <cell r="CE346">
            <v>2753</v>
          </cell>
          <cell r="CF346">
            <v>2753</v>
          </cell>
          <cell r="CG346">
            <v>2753</v>
          </cell>
          <cell r="CH346">
            <v>2753</v>
          </cell>
          <cell r="CI346">
            <v>2753</v>
          </cell>
          <cell r="CJ346">
            <v>2753</v>
          </cell>
          <cell r="CK346">
            <v>2753</v>
          </cell>
          <cell r="CL346">
            <v>2753</v>
          </cell>
          <cell r="CM346">
            <v>2753</v>
          </cell>
          <cell r="CN346">
            <v>2753</v>
          </cell>
          <cell r="CO346">
            <v>2753</v>
          </cell>
          <cell r="CP346">
            <v>2753</v>
          </cell>
          <cell r="CQ346">
            <v>2753</v>
          </cell>
          <cell r="CR346">
            <v>2753</v>
          </cell>
          <cell r="CS346">
            <v>2753</v>
          </cell>
          <cell r="CT346">
            <v>2753</v>
          </cell>
          <cell r="CU346">
            <v>2753</v>
          </cell>
          <cell r="CV346">
            <v>2753</v>
          </cell>
          <cell r="CW346">
            <v>2753</v>
          </cell>
          <cell r="CX346">
            <v>2753</v>
          </cell>
          <cell r="CY346">
            <v>2753</v>
          </cell>
          <cell r="CZ346">
            <v>2753</v>
          </cell>
          <cell r="DA346">
            <v>2753</v>
          </cell>
          <cell r="DB346">
            <v>2753</v>
          </cell>
          <cell r="DC346">
            <v>2753</v>
          </cell>
          <cell r="DD346">
            <v>2753</v>
          </cell>
          <cell r="DE346">
            <v>2407</v>
          </cell>
          <cell r="DF346">
            <v>2407</v>
          </cell>
          <cell r="DG346">
            <v>2407</v>
          </cell>
          <cell r="DH346">
            <v>2407</v>
          </cell>
          <cell r="DI346">
            <v>2407</v>
          </cell>
          <cell r="DJ346">
            <v>2407</v>
          </cell>
          <cell r="DK346">
            <v>2407</v>
          </cell>
          <cell r="DL346">
            <v>2407</v>
          </cell>
          <cell r="DM346">
            <v>2407</v>
          </cell>
          <cell r="DN346">
            <v>2407</v>
          </cell>
          <cell r="DO346">
            <v>2407</v>
          </cell>
          <cell r="DP346">
            <v>2407</v>
          </cell>
          <cell r="DQ346">
            <v>2407</v>
          </cell>
          <cell r="DR346">
            <v>2407</v>
          </cell>
          <cell r="DS346">
            <v>2407</v>
          </cell>
          <cell r="DT346">
            <v>2407</v>
          </cell>
          <cell r="DU346">
            <v>2407</v>
          </cell>
          <cell r="DV346">
            <v>2407</v>
          </cell>
          <cell r="DW346">
            <v>2407</v>
          </cell>
          <cell r="DX346">
            <v>2407</v>
          </cell>
          <cell r="DY346">
            <v>2407</v>
          </cell>
          <cell r="DZ346">
            <v>2407</v>
          </cell>
          <cell r="EA346">
            <v>2407</v>
          </cell>
          <cell r="EB346">
            <v>2407</v>
          </cell>
          <cell r="EC346">
            <v>2407</v>
          </cell>
          <cell r="ED346">
            <v>2407</v>
          </cell>
          <cell r="EE346">
            <v>2407</v>
          </cell>
          <cell r="EF346">
            <v>2407</v>
          </cell>
          <cell r="EG346">
            <v>2407</v>
          </cell>
          <cell r="EH346">
            <v>2407</v>
          </cell>
          <cell r="EI346">
            <v>2407</v>
          </cell>
          <cell r="EJ346">
            <v>2407</v>
          </cell>
          <cell r="EK346">
            <v>2407</v>
          </cell>
          <cell r="EL346">
            <v>2407</v>
          </cell>
          <cell r="EM346">
            <v>2407</v>
          </cell>
          <cell r="EN346">
            <v>2407</v>
          </cell>
          <cell r="EO346">
            <v>2407</v>
          </cell>
          <cell r="EP346">
            <v>2407</v>
          </cell>
          <cell r="EQ346">
            <v>2407</v>
          </cell>
          <cell r="ER346">
            <v>2407</v>
          </cell>
          <cell r="ES346">
            <v>333</v>
          </cell>
          <cell r="ET346">
            <v>333</v>
          </cell>
          <cell r="EU346">
            <v>333</v>
          </cell>
          <cell r="EV346">
            <v>333</v>
          </cell>
          <cell r="EW346">
            <v>333</v>
          </cell>
          <cell r="EX346">
            <v>333</v>
          </cell>
          <cell r="EY346">
            <v>333</v>
          </cell>
          <cell r="EZ346">
            <v>333</v>
          </cell>
          <cell r="FA346">
            <v>333</v>
          </cell>
          <cell r="FB346">
            <v>333</v>
          </cell>
          <cell r="FC346">
            <v>333</v>
          </cell>
          <cell r="FD346">
            <v>333</v>
          </cell>
          <cell r="FE346">
            <v>333</v>
          </cell>
          <cell r="FF346">
            <v>333</v>
          </cell>
          <cell r="FG346">
            <v>333</v>
          </cell>
          <cell r="FH346">
            <v>333</v>
          </cell>
          <cell r="FI346">
            <v>333</v>
          </cell>
          <cell r="FJ346">
            <v>333</v>
          </cell>
          <cell r="FK346">
            <v>333</v>
          </cell>
          <cell r="FL346">
            <v>333</v>
          </cell>
          <cell r="FM346">
            <v>333</v>
          </cell>
          <cell r="FN346">
            <v>333</v>
          </cell>
          <cell r="FO346">
            <v>333</v>
          </cell>
          <cell r="FP346">
            <v>333</v>
          </cell>
          <cell r="FQ346">
            <v>333</v>
          </cell>
          <cell r="FR346">
            <v>333</v>
          </cell>
          <cell r="FS346">
            <v>333</v>
          </cell>
          <cell r="FT346">
            <v>333</v>
          </cell>
          <cell r="FU346">
            <v>333</v>
          </cell>
          <cell r="FV346">
            <v>333</v>
          </cell>
          <cell r="FW346">
            <v>333</v>
          </cell>
          <cell r="FX346">
            <v>333</v>
          </cell>
          <cell r="FY346">
            <v>333</v>
          </cell>
          <cell r="FZ346">
            <v>333</v>
          </cell>
          <cell r="GA346">
            <v>333</v>
          </cell>
          <cell r="GB346">
            <v>333</v>
          </cell>
          <cell r="GC346">
            <v>333</v>
          </cell>
          <cell r="GD346">
            <v>333</v>
          </cell>
          <cell r="GE346">
            <v>333</v>
          </cell>
          <cell r="GF346">
            <v>333</v>
          </cell>
          <cell r="GG346">
            <v>333</v>
          </cell>
          <cell r="GH346">
            <v>333</v>
          </cell>
          <cell r="GI346">
            <v>333</v>
          </cell>
          <cell r="GJ346">
            <v>333</v>
          </cell>
          <cell r="GK346">
            <v>333</v>
          </cell>
          <cell r="GL346">
            <v>333</v>
          </cell>
          <cell r="GM346">
            <v>333</v>
          </cell>
          <cell r="GN346">
            <v>333</v>
          </cell>
          <cell r="GO346">
            <v>333</v>
          </cell>
          <cell r="GP346">
            <v>333</v>
          </cell>
          <cell r="GQ346">
            <v>333</v>
          </cell>
          <cell r="GR346">
            <v>333</v>
          </cell>
          <cell r="GS346">
            <v>333</v>
          </cell>
          <cell r="GT346">
            <v>333</v>
          </cell>
          <cell r="GU346">
            <v>333</v>
          </cell>
          <cell r="GV346">
            <v>333</v>
          </cell>
          <cell r="GW346">
            <v>333</v>
          </cell>
          <cell r="GX346">
            <v>333</v>
          </cell>
          <cell r="GY346">
            <v>333</v>
          </cell>
          <cell r="GZ346">
            <v>333</v>
          </cell>
          <cell r="HA346">
            <v>333</v>
          </cell>
          <cell r="HB346">
            <v>333</v>
          </cell>
          <cell r="HC346">
            <v>333</v>
          </cell>
          <cell r="HD346">
            <v>333</v>
          </cell>
          <cell r="HE346">
            <v>333</v>
          </cell>
          <cell r="HF346">
            <v>333</v>
          </cell>
        </row>
        <row r="375">
          <cell r="N375">
            <v>41717</v>
          </cell>
          <cell r="O375">
            <v>41717</v>
          </cell>
          <cell r="P375">
            <v>41717</v>
          </cell>
          <cell r="Q375">
            <v>41717</v>
          </cell>
          <cell r="R375">
            <v>41717</v>
          </cell>
          <cell r="S375">
            <v>41717</v>
          </cell>
          <cell r="T375">
            <v>41717</v>
          </cell>
          <cell r="U375">
            <v>41717</v>
          </cell>
          <cell r="V375">
            <v>41717</v>
          </cell>
          <cell r="W375">
            <v>41717</v>
          </cell>
          <cell r="X375">
            <v>41717</v>
          </cell>
          <cell r="Y375">
            <v>41717</v>
          </cell>
          <cell r="Z375">
            <v>41717</v>
          </cell>
          <cell r="AA375">
            <v>41717</v>
          </cell>
          <cell r="AB375">
            <v>41717</v>
          </cell>
          <cell r="AC375">
            <v>41717</v>
          </cell>
          <cell r="AD375">
            <v>41717</v>
          </cell>
          <cell r="AE375">
            <v>41717</v>
          </cell>
          <cell r="AF375">
            <v>41717</v>
          </cell>
          <cell r="AG375">
            <v>41717</v>
          </cell>
          <cell r="AH375">
            <v>41717</v>
          </cell>
          <cell r="AI375">
            <v>41717</v>
          </cell>
          <cell r="AJ375">
            <v>41717</v>
          </cell>
          <cell r="AK375">
            <v>41717</v>
          </cell>
          <cell r="AL375">
            <v>41717</v>
          </cell>
          <cell r="AM375">
            <v>41717</v>
          </cell>
          <cell r="AN375">
            <v>41717</v>
          </cell>
          <cell r="AO375">
            <v>41717</v>
          </cell>
          <cell r="AP375">
            <v>41717</v>
          </cell>
          <cell r="AQ375">
            <v>41717</v>
          </cell>
          <cell r="AR375">
            <v>41717</v>
          </cell>
          <cell r="AS375">
            <v>41717</v>
          </cell>
          <cell r="AT375">
            <v>41717</v>
          </cell>
          <cell r="AU375">
            <v>41717</v>
          </cell>
          <cell r="AV375">
            <v>41717</v>
          </cell>
          <cell r="AW375">
            <v>41717</v>
          </cell>
          <cell r="AX375">
            <v>41717</v>
          </cell>
          <cell r="AY375">
            <v>41717</v>
          </cell>
          <cell r="AZ375">
            <v>41717</v>
          </cell>
          <cell r="BA375">
            <v>41717</v>
          </cell>
          <cell r="BB375">
            <v>41717</v>
          </cell>
          <cell r="BC375">
            <v>41717</v>
          </cell>
          <cell r="BD375">
            <v>41717</v>
          </cell>
          <cell r="BE375">
            <v>41717</v>
          </cell>
          <cell r="BF375">
            <v>41717</v>
          </cell>
          <cell r="BG375">
            <v>41717</v>
          </cell>
          <cell r="BH375">
            <v>41717</v>
          </cell>
          <cell r="BI375">
            <v>41717</v>
          </cell>
          <cell r="BJ375">
            <v>41717</v>
          </cell>
          <cell r="BK375">
            <v>41717</v>
          </cell>
          <cell r="BL375">
            <v>41717</v>
          </cell>
          <cell r="BM375">
            <v>41717</v>
          </cell>
          <cell r="BN375">
            <v>41717</v>
          </cell>
          <cell r="BO375">
            <v>41717</v>
          </cell>
          <cell r="BP375">
            <v>41717</v>
          </cell>
          <cell r="BQ375">
            <v>41717</v>
          </cell>
          <cell r="BR375">
            <v>41717</v>
          </cell>
          <cell r="BS375">
            <v>41717</v>
          </cell>
          <cell r="BT375">
            <v>41717</v>
          </cell>
          <cell r="BU375">
            <v>41717</v>
          </cell>
          <cell r="BV375">
            <v>41717</v>
          </cell>
          <cell r="BW375">
            <v>41717</v>
          </cell>
          <cell r="BX375">
            <v>41717</v>
          </cell>
          <cell r="BY375">
            <v>41717</v>
          </cell>
          <cell r="BZ375">
            <v>41717</v>
          </cell>
          <cell r="CA375">
            <v>41717</v>
          </cell>
          <cell r="CB375">
            <v>41717</v>
          </cell>
          <cell r="CC375">
            <v>41717</v>
          </cell>
          <cell r="CD375">
            <v>41717</v>
          </cell>
          <cell r="CE375">
            <v>41717</v>
          </cell>
          <cell r="CF375">
            <v>41717</v>
          </cell>
          <cell r="CG375">
            <v>41717</v>
          </cell>
          <cell r="CH375">
            <v>41717</v>
          </cell>
          <cell r="CI375">
            <v>41717</v>
          </cell>
          <cell r="CJ375">
            <v>41717</v>
          </cell>
          <cell r="CK375">
            <v>41717</v>
          </cell>
          <cell r="CL375">
            <v>41717</v>
          </cell>
          <cell r="CM375">
            <v>41717</v>
          </cell>
          <cell r="CN375">
            <v>41717</v>
          </cell>
          <cell r="CO375">
            <v>41717</v>
          </cell>
          <cell r="CP375">
            <v>41717</v>
          </cell>
          <cell r="CQ375">
            <v>41717</v>
          </cell>
          <cell r="CR375">
            <v>41717</v>
          </cell>
          <cell r="CS375">
            <v>41717</v>
          </cell>
          <cell r="CT375">
            <v>41717</v>
          </cell>
          <cell r="CU375">
            <v>41717</v>
          </cell>
          <cell r="CV375">
            <v>41717</v>
          </cell>
          <cell r="CW375">
            <v>41717</v>
          </cell>
          <cell r="CX375">
            <v>41717</v>
          </cell>
          <cell r="CY375">
            <v>41717</v>
          </cell>
          <cell r="CZ375">
            <v>41717</v>
          </cell>
          <cell r="DA375">
            <v>41717</v>
          </cell>
          <cell r="DB375">
            <v>41717</v>
          </cell>
          <cell r="DC375">
            <v>41717</v>
          </cell>
          <cell r="DD375">
            <v>41717</v>
          </cell>
          <cell r="DE375">
            <v>41717</v>
          </cell>
          <cell r="DF375">
            <v>41717</v>
          </cell>
          <cell r="DG375">
            <v>41717</v>
          </cell>
          <cell r="DH375">
            <v>41717</v>
          </cell>
          <cell r="DI375">
            <v>41717</v>
          </cell>
          <cell r="DJ375">
            <v>41717</v>
          </cell>
          <cell r="DK375">
            <v>41717</v>
          </cell>
          <cell r="DL375">
            <v>41717</v>
          </cell>
          <cell r="DM375">
            <v>4976</v>
          </cell>
          <cell r="DN375">
            <v>4976</v>
          </cell>
          <cell r="DO375">
            <v>4976</v>
          </cell>
          <cell r="DP375">
            <v>4976</v>
          </cell>
          <cell r="DQ375">
            <v>4976</v>
          </cell>
          <cell r="DR375">
            <v>0</v>
          </cell>
          <cell r="DS375">
            <v>0</v>
          </cell>
          <cell r="DT375">
            <v>0</v>
          </cell>
          <cell r="DU375">
            <v>0</v>
          </cell>
          <cell r="DV375">
            <v>0</v>
          </cell>
          <cell r="DW375">
            <v>0</v>
          </cell>
          <cell r="DX375">
            <v>0</v>
          </cell>
          <cell r="DY375">
            <v>0</v>
          </cell>
          <cell r="DZ375">
            <v>0</v>
          </cell>
          <cell r="EA375">
            <v>0</v>
          </cell>
          <cell r="EB375">
            <v>0</v>
          </cell>
          <cell r="EC375">
            <v>0</v>
          </cell>
          <cell r="ED375">
            <v>0</v>
          </cell>
          <cell r="EE375">
            <v>0</v>
          </cell>
          <cell r="EF375">
            <v>0</v>
          </cell>
          <cell r="EG375">
            <v>0</v>
          </cell>
          <cell r="EH375">
            <v>0</v>
          </cell>
          <cell r="EI375">
            <v>0</v>
          </cell>
          <cell r="EJ375">
            <v>0</v>
          </cell>
          <cell r="EK375">
            <v>0</v>
          </cell>
          <cell r="EL375">
            <v>0</v>
          </cell>
          <cell r="EM375">
            <v>0</v>
          </cell>
          <cell r="EN375">
            <v>0</v>
          </cell>
          <cell r="EO375">
            <v>0</v>
          </cell>
          <cell r="EP375">
            <v>0</v>
          </cell>
          <cell r="EQ375">
            <v>0</v>
          </cell>
          <cell r="ER375">
            <v>0</v>
          </cell>
          <cell r="ES375">
            <v>0</v>
          </cell>
          <cell r="ET375">
            <v>0</v>
          </cell>
          <cell r="EU375">
            <v>0</v>
          </cell>
          <cell r="EV375">
            <v>0</v>
          </cell>
          <cell r="EW375">
            <v>0</v>
          </cell>
          <cell r="EX375">
            <v>0</v>
          </cell>
          <cell r="EY375">
            <v>0</v>
          </cell>
          <cell r="EZ375">
            <v>0</v>
          </cell>
          <cell r="FA375">
            <v>0</v>
          </cell>
          <cell r="FB375">
            <v>0</v>
          </cell>
          <cell r="FC375">
            <v>0</v>
          </cell>
          <cell r="FD375">
            <v>0</v>
          </cell>
          <cell r="FE375">
            <v>0</v>
          </cell>
          <cell r="FF375">
            <v>0</v>
          </cell>
          <cell r="FG375">
            <v>0</v>
          </cell>
          <cell r="FH375">
            <v>0</v>
          </cell>
          <cell r="FI375">
            <v>0</v>
          </cell>
          <cell r="FJ375">
            <v>0</v>
          </cell>
          <cell r="FK375">
            <v>0</v>
          </cell>
          <cell r="FL375">
            <v>0</v>
          </cell>
          <cell r="FM375">
            <v>0</v>
          </cell>
          <cell r="FN375">
            <v>0</v>
          </cell>
          <cell r="FO375">
            <v>0</v>
          </cell>
          <cell r="FP375">
            <v>0</v>
          </cell>
          <cell r="FQ375">
            <v>0</v>
          </cell>
          <cell r="FR375">
            <v>0</v>
          </cell>
          <cell r="FS375">
            <v>0</v>
          </cell>
          <cell r="FT375">
            <v>0</v>
          </cell>
          <cell r="FU375">
            <v>0</v>
          </cell>
          <cell r="FV375">
            <v>0</v>
          </cell>
          <cell r="FW375">
            <v>0</v>
          </cell>
          <cell r="FX375">
            <v>0</v>
          </cell>
          <cell r="FY375">
            <v>0</v>
          </cell>
          <cell r="FZ375">
            <v>0</v>
          </cell>
          <cell r="GA375">
            <v>0</v>
          </cell>
          <cell r="GB375">
            <v>0</v>
          </cell>
          <cell r="GC375">
            <v>0</v>
          </cell>
          <cell r="GD375">
            <v>0</v>
          </cell>
          <cell r="GE375">
            <v>0</v>
          </cell>
          <cell r="GF375">
            <v>0</v>
          </cell>
          <cell r="GG375">
            <v>0</v>
          </cell>
          <cell r="GH375">
            <v>0</v>
          </cell>
          <cell r="GI375">
            <v>0</v>
          </cell>
          <cell r="GJ375">
            <v>0</v>
          </cell>
          <cell r="GK375">
            <v>0</v>
          </cell>
          <cell r="GL375">
            <v>0</v>
          </cell>
          <cell r="GM375">
            <v>0</v>
          </cell>
          <cell r="GN375">
            <v>0</v>
          </cell>
          <cell r="GO375">
            <v>0</v>
          </cell>
          <cell r="GP375">
            <v>0</v>
          </cell>
          <cell r="GQ375">
            <v>0</v>
          </cell>
          <cell r="GR375">
            <v>0</v>
          </cell>
          <cell r="GS375">
            <v>0</v>
          </cell>
          <cell r="GT375">
            <v>0</v>
          </cell>
          <cell r="GU375">
            <v>0</v>
          </cell>
          <cell r="GV375">
            <v>0</v>
          </cell>
          <cell r="GW375">
            <v>0</v>
          </cell>
          <cell r="GX375">
            <v>0</v>
          </cell>
          <cell r="GY375">
            <v>0</v>
          </cell>
          <cell r="GZ375">
            <v>0</v>
          </cell>
          <cell r="HA375">
            <v>0</v>
          </cell>
          <cell r="HB375">
            <v>0</v>
          </cell>
          <cell r="HC375">
            <v>0</v>
          </cell>
          <cell r="HD375">
            <v>0</v>
          </cell>
          <cell r="HE375">
            <v>0</v>
          </cell>
          <cell r="HF375">
            <v>0</v>
          </cell>
        </row>
        <row r="384">
          <cell r="D384" t="str">
            <v>Group 1</v>
          </cell>
          <cell r="G384">
            <v>-1</v>
          </cell>
        </row>
        <row r="385">
          <cell r="C385" t="str">
            <v>Group 1</v>
          </cell>
          <cell r="D385" t="str">
            <v>Group 2</v>
          </cell>
          <cell r="E385">
            <v>1.5</v>
          </cell>
          <cell r="F385">
            <v>1.55</v>
          </cell>
          <cell r="G385">
            <v>57644.5</v>
          </cell>
        </row>
        <row r="386">
          <cell r="C386" t="str">
            <v>Group 2</v>
          </cell>
          <cell r="D386" t="str">
            <v>ineligible</v>
          </cell>
          <cell r="E386">
            <v>2</v>
          </cell>
          <cell r="F386">
            <v>2.0499999999999998</v>
          </cell>
          <cell r="G386">
            <v>76239.5</v>
          </cell>
        </row>
        <row r="387">
          <cell r="C387" t="str">
            <v>Group 3</v>
          </cell>
          <cell r="D387" t="str">
            <v>ineligible</v>
          </cell>
          <cell r="E387" t="e">
            <v>#N/A</v>
          </cell>
          <cell r="F387" t="e">
            <v>#N/A</v>
          </cell>
          <cell r="G387" t="e">
            <v>#N/A</v>
          </cell>
        </row>
        <row r="388">
          <cell r="C388" t="str">
            <v>Group 4</v>
          </cell>
          <cell r="D388" t="str">
            <v>ineligible</v>
          </cell>
          <cell r="E388" t="e">
            <v>#N/A</v>
          </cell>
          <cell r="F388" t="e">
            <v>#N/A</v>
          </cell>
          <cell r="G388" t="e">
            <v>#N/A</v>
          </cell>
        </row>
        <row r="389">
          <cell r="C389" t="str">
            <v>Group 5</v>
          </cell>
          <cell r="D389" t="str">
            <v>ineligible</v>
          </cell>
          <cell r="E389" t="e">
            <v>#N/A</v>
          </cell>
          <cell r="F389" t="e">
            <v>#N/A</v>
          </cell>
          <cell r="G389" t="e">
            <v>#N/A</v>
          </cell>
        </row>
        <row r="390">
          <cell r="C390" t="str">
            <v>Group 6</v>
          </cell>
          <cell r="D390" t="str">
            <v>ineligible</v>
          </cell>
          <cell r="E390" t="e">
            <v>#N/A</v>
          </cell>
          <cell r="F390" t="e">
            <v>#N/A</v>
          </cell>
          <cell r="G390" t="e">
            <v>#N/A</v>
          </cell>
        </row>
        <row r="391">
          <cell r="E391" t="e">
            <v>#N/A</v>
          </cell>
          <cell r="F391" t="e">
            <v>#N/A</v>
          </cell>
          <cell r="G391" t="e">
            <v>#N/A</v>
          </cell>
        </row>
        <row r="419">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cell r="BM419">
            <v>0</v>
          </cell>
          <cell r="BN419">
            <v>0</v>
          </cell>
          <cell r="BO419">
            <v>0</v>
          </cell>
          <cell r="BP419">
            <v>0</v>
          </cell>
          <cell r="BQ419">
            <v>0</v>
          </cell>
          <cell r="BR419">
            <v>0</v>
          </cell>
          <cell r="BS419">
            <v>0</v>
          </cell>
          <cell r="BT419">
            <v>0</v>
          </cell>
          <cell r="BU419">
            <v>0</v>
          </cell>
          <cell r="BV419">
            <v>0</v>
          </cell>
          <cell r="BW419">
            <v>0</v>
          </cell>
          <cell r="BX419">
            <v>0</v>
          </cell>
          <cell r="BY419">
            <v>0</v>
          </cell>
          <cell r="BZ419">
            <v>0</v>
          </cell>
          <cell r="CA419">
            <v>0</v>
          </cell>
          <cell r="CB419">
            <v>0</v>
          </cell>
          <cell r="CC419">
            <v>0</v>
          </cell>
          <cell r="CD419">
            <v>0</v>
          </cell>
          <cell r="CE419">
            <v>0</v>
          </cell>
          <cell r="CF419">
            <v>0</v>
          </cell>
          <cell r="CG419">
            <v>0</v>
          </cell>
          <cell r="CH419">
            <v>0</v>
          </cell>
          <cell r="CI419">
            <v>0</v>
          </cell>
          <cell r="CJ419">
            <v>0</v>
          </cell>
          <cell r="CK419">
            <v>0</v>
          </cell>
          <cell r="CL419">
            <v>0</v>
          </cell>
          <cell r="CM419">
            <v>0</v>
          </cell>
          <cell r="CN419">
            <v>0</v>
          </cell>
          <cell r="CO419">
            <v>0</v>
          </cell>
          <cell r="CP419">
            <v>0</v>
          </cell>
          <cell r="CQ419">
            <v>0</v>
          </cell>
          <cell r="CR419">
            <v>0</v>
          </cell>
          <cell r="CS419">
            <v>0</v>
          </cell>
          <cell r="CT419">
            <v>0</v>
          </cell>
          <cell r="CU419">
            <v>0</v>
          </cell>
          <cell r="CV419">
            <v>0</v>
          </cell>
          <cell r="CW419">
            <v>0</v>
          </cell>
          <cell r="CX419">
            <v>0</v>
          </cell>
          <cell r="CY419">
            <v>0</v>
          </cell>
          <cell r="CZ419">
            <v>0</v>
          </cell>
          <cell r="DA419">
            <v>0</v>
          </cell>
          <cell r="DB419">
            <v>0</v>
          </cell>
          <cell r="DC419">
            <v>0</v>
          </cell>
          <cell r="DD419">
            <v>0</v>
          </cell>
          <cell r="DE419">
            <v>0</v>
          </cell>
          <cell r="DF419">
            <v>0</v>
          </cell>
          <cell r="DG419">
            <v>0</v>
          </cell>
          <cell r="DH419">
            <v>0</v>
          </cell>
          <cell r="DI419">
            <v>0</v>
          </cell>
          <cell r="DJ419">
            <v>0</v>
          </cell>
          <cell r="DK419">
            <v>0</v>
          </cell>
          <cell r="DL419">
            <v>0</v>
          </cell>
          <cell r="DM419">
            <v>14927</v>
          </cell>
          <cell r="DN419">
            <v>14927</v>
          </cell>
          <cell r="DO419">
            <v>14927</v>
          </cell>
          <cell r="DP419">
            <v>14927</v>
          </cell>
          <cell r="DQ419">
            <v>14927</v>
          </cell>
          <cell r="DR419">
            <v>19903</v>
          </cell>
          <cell r="DS419">
            <v>19903</v>
          </cell>
          <cell r="DT419">
            <v>19903</v>
          </cell>
          <cell r="DU419">
            <v>19903</v>
          </cell>
          <cell r="DV419">
            <v>19903</v>
          </cell>
          <cell r="DW419">
            <v>19903</v>
          </cell>
          <cell r="DX419">
            <v>19903</v>
          </cell>
          <cell r="DY419">
            <v>19903</v>
          </cell>
          <cell r="DZ419">
            <v>19903</v>
          </cell>
          <cell r="EA419">
            <v>19903</v>
          </cell>
          <cell r="EB419">
            <v>19903</v>
          </cell>
          <cell r="EC419">
            <v>19903</v>
          </cell>
          <cell r="ED419">
            <v>19903</v>
          </cell>
          <cell r="EE419">
            <v>19903</v>
          </cell>
          <cell r="EF419">
            <v>19903</v>
          </cell>
          <cell r="EG419">
            <v>19903</v>
          </cell>
          <cell r="EH419">
            <v>19903</v>
          </cell>
          <cell r="EI419">
            <v>19903</v>
          </cell>
          <cell r="EJ419">
            <v>19903</v>
          </cell>
          <cell r="EK419">
            <v>19903</v>
          </cell>
          <cell r="EL419">
            <v>19903</v>
          </cell>
          <cell r="EM419">
            <v>19903</v>
          </cell>
          <cell r="EN419">
            <v>19903</v>
          </cell>
          <cell r="EO419">
            <v>19903</v>
          </cell>
          <cell r="EP419">
            <v>19903</v>
          </cell>
          <cell r="EQ419">
            <v>19903</v>
          </cell>
          <cell r="ER419">
            <v>19903</v>
          </cell>
          <cell r="ES419">
            <v>19903</v>
          </cell>
          <cell r="ET419">
            <v>19903</v>
          </cell>
          <cell r="EU419">
            <v>19903</v>
          </cell>
          <cell r="EV419">
            <v>19903</v>
          </cell>
          <cell r="EW419">
            <v>19903</v>
          </cell>
          <cell r="EX419">
            <v>19903</v>
          </cell>
          <cell r="EY419">
            <v>19903</v>
          </cell>
          <cell r="EZ419">
            <v>19903</v>
          </cell>
          <cell r="FA419">
            <v>19903</v>
          </cell>
          <cell r="FB419">
            <v>19903</v>
          </cell>
          <cell r="FC419">
            <v>19903</v>
          </cell>
          <cell r="FD419">
            <v>19903</v>
          </cell>
          <cell r="FE419">
            <v>19903</v>
          </cell>
          <cell r="FF419">
            <v>19903</v>
          </cell>
          <cell r="FG419">
            <v>19903</v>
          </cell>
          <cell r="FH419">
            <v>19903</v>
          </cell>
          <cell r="FI419">
            <v>19903</v>
          </cell>
          <cell r="FJ419">
            <v>19903</v>
          </cell>
          <cell r="FK419">
            <v>0</v>
          </cell>
          <cell r="FL419">
            <v>0</v>
          </cell>
          <cell r="FM419">
            <v>0</v>
          </cell>
          <cell r="FN419">
            <v>0</v>
          </cell>
          <cell r="FO419">
            <v>0</v>
          </cell>
          <cell r="FP419">
            <v>0</v>
          </cell>
          <cell r="FQ419">
            <v>0</v>
          </cell>
          <cell r="FR419">
            <v>0</v>
          </cell>
          <cell r="FS419">
            <v>0</v>
          </cell>
          <cell r="FT419">
            <v>0</v>
          </cell>
          <cell r="FU419">
            <v>0</v>
          </cell>
          <cell r="FV419">
            <v>0</v>
          </cell>
          <cell r="FW419">
            <v>0</v>
          </cell>
          <cell r="FX419">
            <v>0</v>
          </cell>
          <cell r="FY419">
            <v>0</v>
          </cell>
          <cell r="FZ419">
            <v>0</v>
          </cell>
          <cell r="GA419">
            <v>0</v>
          </cell>
          <cell r="GB419">
            <v>0</v>
          </cell>
          <cell r="GC419">
            <v>0</v>
          </cell>
          <cell r="GD419">
            <v>0</v>
          </cell>
          <cell r="GE419">
            <v>0</v>
          </cell>
          <cell r="GF419">
            <v>0</v>
          </cell>
          <cell r="GG419">
            <v>0</v>
          </cell>
          <cell r="GH419">
            <v>0</v>
          </cell>
          <cell r="GI419">
            <v>0</v>
          </cell>
          <cell r="GJ419">
            <v>0</v>
          </cell>
          <cell r="GK419">
            <v>0</v>
          </cell>
          <cell r="GL419">
            <v>0</v>
          </cell>
          <cell r="GM419">
            <v>0</v>
          </cell>
          <cell r="GN419">
            <v>0</v>
          </cell>
          <cell r="GO419">
            <v>0</v>
          </cell>
          <cell r="GP419">
            <v>0</v>
          </cell>
          <cell r="GQ419">
            <v>0</v>
          </cell>
          <cell r="GR419">
            <v>0</v>
          </cell>
          <cell r="GS419">
            <v>0</v>
          </cell>
          <cell r="GT419">
            <v>0</v>
          </cell>
          <cell r="GU419">
            <v>0</v>
          </cell>
          <cell r="GV419">
            <v>0</v>
          </cell>
          <cell r="GW419">
            <v>0</v>
          </cell>
          <cell r="GX419">
            <v>0</v>
          </cell>
          <cell r="GY419">
            <v>0</v>
          </cell>
          <cell r="GZ419">
            <v>0</v>
          </cell>
          <cell r="HA419">
            <v>0</v>
          </cell>
          <cell r="HB419">
            <v>0</v>
          </cell>
          <cell r="HC419">
            <v>0</v>
          </cell>
          <cell r="HD419">
            <v>0</v>
          </cell>
          <cell r="HE419">
            <v>0</v>
          </cell>
          <cell r="HF419">
            <v>0</v>
          </cell>
        </row>
        <row r="462">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cell r="BM462">
            <v>0</v>
          </cell>
          <cell r="BN462">
            <v>0</v>
          </cell>
          <cell r="BO462">
            <v>0</v>
          </cell>
          <cell r="BP462">
            <v>0</v>
          </cell>
          <cell r="BQ462">
            <v>0</v>
          </cell>
          <cell r="BR462">
            <v>0</v>
          </cell>
          <cell r="BS462">
            <v>0</v>
          </cell>
          <cell r="BT462">
            <v>0</v>
          </cell>
          <cell r="BU462">
            <v>0</v>
          </cell>
          <cell r="BV462">
            <v>0</v>
          </cell>
          <cell r="BW462">
            <v>0</v>
          </cell>
          <cell r="BX462">
            <v>0</v>
          </cell>
          <cell r="BY462">
            <v>0</v>
          </cell>
          <cell r="BZ462">
            <v>0</v>
          </cell>
          <cell r="CA462">
            <v>0</v>
          </cell>
          <cell r="CB462">
            <v>0</v>
          </cell>
          <cell r="CC462">
            <v>0</v>
          </cell>
          <cell r="CD462">
            <v>0</v>
          </cell>
          <cell r="CE462">
            <v>0</v>
          </cell>
          <cell r="CF462">
            <v>0</v>
          </cell>
          <cell r="CG462">
            <v>0</v>
          </cell>
          <cell r="CH462">
            <v>0</v>
          </cell>
          <cell r="CI462">
            <v>0</v>
          </cell>
          <cell r="CJ462">
            <v>0</v>
          </cell>
          <cell r="CK462">
            <v>0</v>
          </cell>
          <cell r="CL462">
            <v>0</v>
          </cell>
          <cell r="CM462">
            <v>0</v>
          </cell>
          <cell r="CN462">
            <v>0</v>
          </cell>
          <cell r="CO462">
            <v>0</v>
          </cell>
          <cell r="CP462">
            <v>0</v>
          </cell>
          <cell r="CQ462">
            <v>0</v>
          </cell>
          <cell r="CR462">
            <v>0</v>
          </cell>
          <cell r="CS462">
            <v>0</v>
          </cell>
          <cell r="CT462">
            <v>0</v>
          </cell>
          <cell r="CU462">
            <v>0</v>
          </cell>
          <cell r="CV462">
            <v>0</v>
          </cell>
          <cell r="CW462">
            <v>0</v>
          </cell>
          <cell r="CX462">
            <v>0</v>
          </cell>
          <cell r="CY462">
            <v>0</v>
          </cell>
          <cell r="CZ462">
            <v>0</v>
          </cell>
          <cell r="DA462">
            <v>0</v>
          </cell>
          <cell r="DB462">
            <v>0</v>
          </cell>
          <cell r="DC462">
            <v>0</v>
          </cell>
          <cell r="DD462">
            <v>0</v>
          </cell>
          <cell r="DE462">
            <v>0</v>
          </cell>
          <cell r="DF462">
            <v>0</v>
          </cell>
          <cell r="DG462">
            <v>0</v>
          </cell>
          <cell r="DH462">
            <v>0</v>
          </cell>
          <cell r="DI462">
            <v>0</v>
          </cell>
          <cell r="DJ462">
            <v>0</v>
          </cell>
          <cell r="DK462">
            <v>0</v>
          </cell>
          <cell r="DL462">
            <v>0</v>
          </cell>
          <cell r="DM462">
            <v>9405</v>
          </cell>
          <cell r="DN462">
            <v>9405</v>
          </cell>
          <cell r="DO462">
            <v>9405</v>
          </cell>
          <cell r="DP462">
            <v>9405</v>
          </cell>
          <cell r="DQ462">
            <v>9405</v>
          </cell>
          <cell r="DR462">
            <v>9362</v>
          </cell>
          <cell r="DS462">
            <v>9340</v>
          </cell>
          <cell r="DT462">
            <v>9295</v>
          </cell>
          <cell r="DU462">
            <v>9272</v>
          </cell>
          <cell r="DV462">
            <v>9248</v>
          </cell>
          <cell r="DW462">
            <v>9202</v>
          </cell>
          <cell r="DX462">
            <v>9177</v>
          </cell>
          <cell r="DY462">
            <v>9129</v>
          </cell>
          <cell r="DZ462">
            <v>9103</v>
          </cell>
          <cell r="EA462">
            <v>9077</v>
          </cell>
          <cell r="EB462">
            <v>9027</v>
          </cell>
          <cell r="EC462">
            <v>9000</v>
          </cell>
          <cell r="ED462">
            <v>8949</v>
          </cell>
          <cell r="EE462">
            <v>8921</v>
          </cell>
          <cell r="EF462">
            <v>8893</v>
          </cell>
          <cell r="EG462">
            <v>8839</v>
          </cell>
          <cell r="EH462">
            <v>8810</v>
          </cell>
          <cell r="EI462">
            <v>8755</v>
          </cell>
          <cell r="EJ462">
            <v>8725</v>
          </cell>
          <cell r="EK462">
            <v>8694</v>
          </cell>
          <cell r="EL462">
            <v>8637</v>
          </cell>
          <cell r="EM462">
            <v>8605</v>
          </cell>
          <cell r="EN462">
            <v>8547</v>
          </cell>
          <cell r="EO462">
            <v>8514</v>
          </cell>
          <cell r="EP462">
            <v>8481</v>
          </cell>
          <cell r="EQ462">
            <v>8421</v>
          </cell>
          <cell r="ER462">
            <v>8387</v>
          </cell>
          <cell r="ES462">
            <v>8325</v>
          </cell>
          <cell r="ET462">
            <v>8290</v>
          </cell>
          <cell r="EU462">
            <v>8227</v>
          </cell>
          <cell r="EV462">
            <v>8191</v>
          </cell>
          <cell r="EW462">
            <v>8154</v>
          </cell>
          <cell r="EX462">
            <v>8089</v>
          </cell>
          <cell r="EY462">
            <v>8051</v>
          </cell>
          <cell r="EZ462">
            <v>7985</v>
          </cell>
          <cell r="FA462">
            <v>7946</v>
          </cell>
          <cell r="FB462">
            <v>7907</v>
          </cell>
          <cell r="FC462">
            <v>7839</v>
          </cell>
          <cell r="FD462">
            <v>7799</v>
          </cell>
          <cell r="FE462">
            <v>7729</v>
          </cell>
          <cell r="FF462">
            <v>7688</v>
          </cell>
          <cell r="FG462">
            <v>7647</v>
          </cell>
          <cell r="FH462">
            <v>7575</v>
          </cell>
          <cell r="FI462">
            <v>7533</v>
          </cell>
          <cell r="FJ462">
            <v>7459</v>
          </cell>
          <cell r="FK462">
            <v>17814</v>
          </cell>
          <cell r="FL462">
            <v>17770</v>
          </cell>
          <cell r="FM462">
            <v>17695</v>
          </cell>
          <cell r="FN462">
            <v>17650</v>
          </cell>
          <cell r="FO462">
            <v>17574</v>
          </cell>
          <cell r="FP462">
            <v>17528</v>
          </cell>
          <cell r="FQ462">
            <v>17482</v>
          </cell>
          <cell r="FR462">
            <v>17403</v>
          </cell>
          <cell r="FS462">
            <v>17356</v>
          </cell>
          <cell r="FT462">
            <v>17276</v>
          </cell>
          <cell r="FU462">
            <v>17228</v>
          </cell>
          <cell r="FV462">
            <v>17179</v>
          </cell>
          <cell r="FW462">
            <v>17097</v>
          </cell>
          <cell r="FX462">
            <v>17047</v>
          </cell>
          <cell r="FY462">
            <v>16964</v>
          </cell>
          <cell r="FZ462">
            <v>16913</v>
          </cell>
          <cell r="GA462">
            <v>16862</v>
          </cell>
          <cell r="GB462">
            <v>16777</v>
          </cell>
          <cell r="GC462">
            <v>16725</v>
          </cell>
          <cell r="GD462">
            <v>16638</v>
          </cell>
          <cell r="GE462">
            <v>16585</v>
          </cell>
          <cell r="GF462">
            <v>16497</v>
          </cell>
          <cell r="GG462">
            <v>16443</v>
          </cell>
          <cell r="GH462">
            <v>16389</v>
          </cell>
          <cell r="GI462">
            <v>16298</v>
          </cell>
          <cell r="GJ462">
            <v>16243</v>
          </cell>
          <cell r="GK462">
            <v>16151</v>
          </cell>
          <cell r="GL462">
            <v>16095</v>
          </cell>
          <cell r="GM462">
            <v>16038</v>
          </cell>
          <cell r="GN462">
            <v>15945</v>
          </cell>
          <cell r="GO462">
            <v>15887</v>
          </cell>
          <cell r="GP462">
            <v>15792</v>
          </cell>
          <cell r="GQ462">
            <v>15733</v>
          </cell>
          <cell r="GR462">
            <v>15674</v>
          </cell>
          <cell r="GS462">
            <v>15577</v>
          </cell>
          <cell r="GT462">
            <v>15517</v>
          </cell>
          <cell r="GU462">
            <v>15418</v>
          </cell>
          <cell r="GV462">
            <v>15357</v>
          </cell>
          <cell r="GW462">
            <v>15295</v>
          </cell>
          <cell r="GX462">
            <v>15195</v>
          </cell>
          <cell r="GY462">
            <v>15132</v>
          </cell>
          <cell r="GZ462">
            <v>15031</v>
          </cell>
          <cell r="HA462">
            <v>14967</v>
          </cell>
          <cell r="HB462">
            <v>14903</v>
          </cell>
          <cell r="HC462">
            <v>14799</v>
          </cell>
          <cell r="HD462">
            <v>14734</v>
          </cell>
          <cell r="HE462">
            <v>14629</v>
          </cell>
          <cell r="HF462">
            <v>14563</v>
          </cell>
        </row>
        <row r="588">
          <cell r="N588">
            <v>0</v>
          </cell>
          <cell r="O588">
            <v>0</v>
          </cell>
          <cell r="P588">
            <v>0</v>
          </cell>
          <cell r="Q588">
            <v>0</v>
          </cell>
          <cell r="R588">
            <v>0</v>
          </cell>
          <cell r="S588">
            <v>0</v>
          </cell>
          <cell r="T588">
            <v>0</v>
          </cell>
          <cell r="U588">
            <v>0</v>
          </cell>
          <cell r="V588">
            <v>0</v>
          </cell>
          <cell r="W588">
            <v>0</v>
          </cell>
          <cell r="X588">
            <v>0</v>
          </cell>
          <cell r="Y588">
            <v>0</v>
          </cell>
          <cell r="Z588">
            <v>11190</v>
          </cell>
          <cell r="AA588">
            <v>12120</v>
          </cell>
          <cell r="AB588">
            <v>13053</v>
          </cell>
          <cell r="AC588">
            <v>13986</v>
          </cell>
          <cell r="AD588">
            <v>14919</v>
          </cell>
          <cell r="AE588">
            <v>15508</v>
          </cell>
          <cell r="AF588">
            <v>16782</v>
          </cell>
          <cell r="AG588">
            <v>17715</v>
          </cell>
          <cell r="AH588">
            <v>18648</v>
          </cell>
          <cell r="AI588">
            <v>19581</v>
          </cell>
          <cell r="AJ588">
            <v>20514</v>
          </cell>
          <cell r="AK588">
            <v>21447</v>
          </cell>
          <cell r="AL588">
            <v>21883</v>
          </cell>
          <cell r="AM588">
            <v>22650</v>
          </cell>
          <cell r="AN588">
            <v>22961</v>
          </cell>
          <cell r="AO588">
            <v>23272</v>
          </cell>
          <cell r="AP588">
            <v>23583</v>
          </cell>
          <cell r="AQ588">
            <v>23893</v>
          </cell>
          <cell r="AR588">
            <v>24204</v>
          </cell>
          <cell r="AS588">
            <v>24286</v>
          </cell>
          <cell r="AT588">
            <v>24286</v>
          </cell>
          <cell r="AU588">
            <v>24286</v>
          </cell>
          <cell r="AV588">
            <v>24286</v>
          </cell>
          <cell r="AW588">
            <v>24286</v>
          </cell>
          <cell r="AX588">
            <v>24286</v>
          </cell>
          <cell r="AY588">
            <v>24286</v>
          </cell>
          <cell r="AZ588">
            <v>24286</v>
          </cell>
          <cell r="BA588">
            <v>24286</v>
          </cell>
          <cell r="BB588">
            <v>24286</v>
          </cell>
          <cell r="BC588">
            <v>24286</v>
          </cell>
          <cell r="BD588">
            <v>24286</v>
          </cell>
          <cell r="BE588">
            <v>24286</v>
          </cell>
          <cell r="BF588">
            <v>24286</v>
          </cell>
          <cell r="BG588">
            <v>24286</v>
          </cell>
          <cell r="BH588">
            <v>24286</v>
          </cell>
          <cell r="BI588">
            <v>24286</v>
          </cell>
          <cell r="BJ588">
            <v>24286</v>
          </cell>
          <cell r="BK588">
            <v>24286</v>
          </cell>
          <cell r="BL588">
            <v>24286</v>
          </cell>
          <cell r="BM588">
            <v>24286</v>
          </cell>
          <cell r="BN588">
            <v>24286</v>
          </cell>
          <cell r="BO588">
            <v>24286</v>
          </cell>
          <cell r="BP588">
            <v>24286</v>
          </cell>
          <cell r="BQ588">
            <v>24286</v>
          </cell>
          <cell r="BR588">
            <v>24286</v>
          </cell>
          <cell r="BS588">
            <v>24286</v>
          </cell>
          <cell r="BT588">
            <v>24286</v>
          </cell>
          <cell r="BU588">
            <v>24286</v>
          </cell>
          <cell r="BV588">
            <v>24286</v>
          </cell>
          <cell r="BW588">
            <v>24286</v>
          </cell>
          <cell r="BX588">
            <v>24286</v>
          </cell>
          <cell r="BY588">
            <v>24286</v>
          </cell>
          <cell r="BZ588">
            <v>24286</v>
          </cell>
          <cell r="CA588">
            <v>24286</v>
          </cell>
          <cell r="CB588">
            <v>24286</v>
          </cell>
          <cell r="CC588">
            <v>24286</v>
          </cell>
          <cell r="CD588">
            <v>24286</v>
          </cell>
          <cell r="CE588">
            <v>24286</v>
          </cell>
          <cell r="CF588">
            <v>24286</v>
          </cell>
          <cell r="CG588">
            <v>24286</v>
          </cell>
          <cell r="CH588">
            <v>24286</v>
          </cell>
          <cell r="CI588">
            <v>24286</v>
          </cell>
          <cell r="CJ588">
            <v>24286</v>
          </cell>
          <cell r="CK588">
            <v>24286</v>
          </cell>
          <cell r="CL588">
            <v>24286</v>
          </cell>
          <cell r="CM588">
            <v>24286</v>
          </cell>
          <cell r="CN588">
            <v>24286</v>
          </cell>
          <cell r="CO588">
            <v>24286</v>
          </cell>
          <cell r="CP588">
            <v>24286</v>
          </cell>
          <cell r="CQ588">
            <v>24286</v>
          </cell>
          <cell r="CR588">
            <v>24286</v>
          </cell>
          <cell r="CS588">
            <v>24286</v>
          </cell>
          <cell r="CT588">
            <v>24286</v>
          </cell>
          <cell r="CU588">
            <v>24286</v>
          </cell>
          <cell r="CV588">
            <v>24286</v>
          </cell>
          <cell r="CW588">
            <v>24286</v>
          </cell>
          <cell r="CX588">
            <v>24286</v>
          </cell>
          <cell r="CY588">
            <v>24286</v>
          </cell>
          <cell r="CZ588">
            <v>24286</v>
          </cell>
          <cell r="DA588">
            <v>24286</v>
          </cell>
          <cell r="DB588">
            <v>24286</v>
          </cell>
          <cell r="DC588">
            <v>24286</v>
          </cell>
          <cell r="DD588">
            <v>24286</v>
          </cell>
          <cell r="DE588">
            <v>24286</v>
          </cell>
          <cell r="DF588">
            <v>24286</v>
          </cell>
          <cell r="DG588">
            <v>24286</v>
          </cell>
          <cell r="DH588">
            <v>24286</v>
          </cell>
          <cell r="DI588">
            <v>24286</v>
          </cell>
          <cell r="DJ588">
            <v>24286</v>
          </cell>
          <cell r="DK588">
            <v>24286</v>
          </cell>
          <cell r="DL588">
            <v>24286</v>
          </cell>
          <cell r="DM588">
            <v>24286</v>
          </cell>
          <cell r="DN588">
            <v>24286</v>
          </cell>
          <cell r="DO588">
            <v>24286</v>
          </cell>
          <cell r="DP588">
            <v>24286</v>
          </cell>
          <cell r="DQ588">
            <v>24286</v>
          </cell>
          <cell r="DR588">
            <v>24286</v>
          </cell>
          <cell r="DS588">
            <v>24286</v>
          </cell>
          <cell r="DT588">
            <v>24286</v>
          </cell>
          <cell r="DU588">
            <v>24286</v>
          </cell>
          <cell r="DV588">
            <v>24286</v>
          </cell>
          <cell r="DW588">
            <v>24286</v>
          </cell>
          <cell r="DX588">
            <v>24286</v>
          </cell>
          <cell r="DY588">
            <v>24286</v>
          </cell>
          <cell r="DZ588">
            <v>24286</v>
          </cell>
          <cell r="EA588">
            <v>24286</v>
          </cell>
          <cell r="EB588">
            <v>24286</v>
          </cell>
          <cell r="EC588">
            <v>24286</v>
          </cell>
          <cell r="ED588">
            <v>24286</v>
          </cell>
          <cell r="EE588">
            <v>24286</v>
          </cell>
          <cell r="EF588">
            <v>24286</v>
          </cell>
          <cell r="EG588">
            <v>24286</v>
          </cell>
          <cell r="EH588">
            <v>24286</v>
          </cell>
          <cell r="EI588">
            <v>24286</v>
          </cell>
          <cell r="EJ588">
            <v>24286</v>
          </cell>
          <cell r="EK588">
            <v>24286</v>
          </cell>
          <cell r="EL588">
            <v>24286</v>
          </cell>
          <cell r="EM588">
            <v>24286</v>
          </cell>
          <cell r="EN588">
            <v>24286</v>
          </cell>
          <cell r="EO588">
            <v>24286</v>
          </cell>
          <cell r="EP588">
            <v>24286</v>
          </cell>
          <cell r="EQ588">
            <v>24286</v>
          </cell>
          <cell r="ER588">
            <v>24286</v>
          </cell>
          <cell r="ES588">
            <v>24286</v>
          </cell>
          <cell r="ET588">
            <v>24286</v>
          </cell>
          <cell r="EU588">
            <v>24286</v>
          </cell>
          <cell r="EV588">
            <v>24286</v>
          </cell>
          <cell r="EW588">
            <v>24286</v>
          </cell>
          <cell r="EX588">
            <v>24286</v>
          </cell>
          <cell r="EY588">
            <v>24286</v>
          </cell>
          <cell r="EZ588">
            <v>24286</v>
          </cell>
          <cell r="FA588">
            <v>24286</v>
          </cell>
          <cell r="FB588">
            <v>24286</v>
          </cell>
          <cell r="FC588">
            <v>24286</v>
          </cell>
          <cell r="FD588">
            <v>24286</v>
          </cell>
          <cell r="FE588">
            <v>24286</v>
          </cell>
          <cell r="FF588">
            <v>24286</v>
          </cell>
          <cell r="FG588">
            <v>24286</v>
          </cell>
          <cell r="FH588">
            <v>24286</v>
          </cell>
          <cell r="FI588">
            <v>24286</v>
          </cell>
          <cell r="FJ588">
            <v>24286</v>
          </cell>
          <cell r="FK588">
            <v>24286</v>
          </cell>
          <cell r="FL588">
            <v>24286</v>
          </cell>
          <cell r="FM588">
            <v>24286</v>
          </cell>
          <cell r="FN588">
            <v>24286</v>
          </cell>
          <cell r="FO588">
            <v>24286</v>
          </cell>
          <cell r="FP588">
            <v>24286</v>
          </cell>
          <cell r="FQ588">
            <v>24286</v>
          </cell>
          <cell r="FR588">
            <v>24286</v>
          </cell>
          <cell r="FS588">
            <v>24286</v>
          </cell>
          <cell r="FT588">
            <v>24286</v>
          </cell>
          <cell r="FU588">
            <v>24286</v>
          </cell>
          <cell r="FV588">
            <v>24286</v>
          </cell>
          <cell r="FW588">
            <v>24286</v>
          </cell>
          <cell r="FX588">
            <v>24286</v>
          </cell>
          <cell r="FY588">
            <v>24286</v>
          </cell>
          <cell r="FZ588">
            <v>24286</v>
          </cell>
          <cell r="GA588">
            <v>24286</v>
          </cell>
          <cell r="GB588">
            <v>24286</v>
          </cell>
          <cell r="GC588">
            <v>24286</v>
          </cell>
          <cell r="GD588">
            <v>24286</v>
          </cell>
          <cell r="GE588">
            <v>24286</v>
          </cell>
          <cell r="GF588">
            <v>24286</v>
          </cell>
          <cell r="GG588">
            <v>24286</v>
          </cell>
          <cell r="GH588">
            <v>24286</v>
          </cell>
          <cell r="GI588">
            <v>24286</v>
          </cell>
          <cell r="GJ588">
            <v>24286</v>
          </cell>
          <cell r="GK588">
            <v>24286</v>
          </cell>
          <cell r="GL588">
            <v>24286</v>
          </cell>
          <cell r="GM588">
            <v>24286</v>
          </cell>
          <cell r="GN588">
            <v>24286</v>
          </cell>
          <cell r="GO588">
            <v>24286</v>
          </cell>
          <cell r="GP588">
            <v>24286</v>
          </cell>
          <cell r="GQ588">
            <v>24286</v>
          </cell>
          <cell r="GR588">
            <v>24286</v>
          </cell>
          <cell r="GS588">
            <v>24286</v>
          </cell>
          <cell r="GT588">
            <v>24286</v>
          </cell>
          <cell r="GU588">
            <v>24286</v>
          </cell>
          <cell r="GV588">
            <v>24286</v>
          </cell>
          <cell r="GW588">
            <v>24286</v>
          </cell>
          <cell r="GX588">
            <v>24286</v>
          </cell>
          <cell r="GY588">
            <v>24286</v>
          </cell>
          <cell r="GZ588">
            <v>24286</v>
          </cell>
          <cell r="HA588">
            <v>24286</v>
          </cell>
          <cell r="HB588">
            <v>24286</v>
          </cell>
          <cell r="HC588">
            <v>24286</v>
          </cell>
          <cell r="HD588">
            <v>0</v>
          </cell>
          <cell r="HE588">
            <v>0</v>
          </cell>
          <cell r="HF588">
            <v>0</v>
          </cell>
        </row>
        <row r="685">
          <cell r="N685">
            <v>20264</v>
          </cell>
          <cell r="O685">
            <v>20114</v>
          </cell>
          <cell r="P685">
            <v>19964</v>
          </cell>
          <cell r="Q685">
            <v>19859</v>
          </cell>
          <cell r="R685">
            <v>19784</v>
          </cell>
          <cell r="S685">
            <v>19709</v>
          </cell>
          <cell r="T685">
            <v>19634</v>
          </cell>
          <cell r="U685">
            <v>19559</v>
          </cell>
          <cell r="V685">
            <v>19484</v>
          </cell>
          <cell r="W685">
            <v>19409</v>
          </cell>
          <cell r="X685">
            <v>19334</v>
          </cell>
          <cell r="Y685">
            <v>19259</v>
          </cell>
          <cell r="Z685">
            <v>19184</v>
          </cell>
          <cell r="AA685">
            <v>19109</v>
          </cell>
          <cell r="AB685">
            <v>19034</v>
          </cell>
          <cell r="AC685">
            <v>18959</v>
          </cell>
          <cell r="AD685">
            <v>18884</v>
          </cell>
          <cell r="AE685">
            <v>18809</v>
          </cell>
          <cell r="AF685">
            <v>18734</v>
          </cell>
          <cell r="AG685">
            <v>18659</v>
          </cell>
          <cell r="AH685">
            <v>18584</v>
          </cell>
          <cell r="AI685">
            <v>18509</v>
          </cell>
          <cell r="AJ685">
            <v>18434</v>
          </cell>
          <cell r="AK685">
            <v>18359</v>
          </cell>
          <cell r="AL685">
            <v>18284</v>
          </cell>
          <cell r="AM685">
            <v>18209</v>
          </cell>
          <cell r="AN685">
            <v>18134</v>
          </cell>
          <cell r="AO685">
            <v>18059</v>
          </cell>
          <cell r="AP685">
            <v>17984</v>
          </cell>
          <cell r="AQ685">
            <v>17909</v>
          </cell>
          <cell r="AR685">
            <v>17834</v>
          </cell>
          <cell r="AS685">
            <v>17759</v>
          </cell>
          <cell r="AT685">
            <v>17684</v>
          </cell>
          <cell r="AU685">
            <v>17609</v>
          </cell>
          <cell r="AV685">
            <v>17534</v>
          </cell>
          <cell r="AW685">
            <v>17459</v>
          </cell>
          <cell r="AX685">
            <v>17384</v>
          </cell>
          <cell r="AY685">
            <v>17309</v>
          </cell>
          <cell r="AZ685">
            <v>17196</v>
          </cell>
          <cell r="BA685">
            <v>17046</v>
          </cell>
          <cell r="BB685">
            <v>16896</v>
          </cell>
          <cell r="BC685">
            <v>16746</v>
          </cell>
          <cell r="BD685">
            <v>16596</v>
          </cell>
          <cell r="BE685">
            <v>16446</v>
          </cell>
          <cell r="BF685">
            <v>16296</v>
          </cell>
          <cell r="BG685">
            <v>16146</v>
          </cell>
          <cell r="BH685">
            <v>15996</v>
          </cell>
          <cell r="BI685">
            <v>15846</v>
          </cell>
          <cell r="BJ685">
            <v>15696</v>
          </cell>
          <cell r="BK685">
            <v>15546</v>
          </cell>
          <cell r="BL685">
            <v>15396</v>
          </cell>
          <cell r="BM685">
            <v>15246</v>
          </cell>
          <cell r="BN685">
            <v>15096</v>
          </cell>
          <cell r="BO685">
            <v>14946</v>
          </cell>
          <cell r="BP685">
            <v>14796</v>
          </cell>
          <cell r="BQ685">
            <v>14646</v>
          </cell>
          <cell r="BR685">
            <v>14496</v>
          </cell>
          <cell r="BS685">
            <v>14346</v>
          </cell>
          <cell r="BT685">
            <v>14196</v>
          </cell>
          <cell r="BU685">
            <v>14046</v>
          </cell>
          <cell r="BV685">
            <v>13896</v>
          </cell>
          <cell r="BW685">
            <v>13746</v>
          </cell>
          <cell r="BX685">
            <v>13596</v>
          </cell>
          <cell r="BY685">
            <v>13446</v>
          </cell>
          <cell r="BZ685">
            <v>13296</v>
          </cell>
          <cell r="CA685">
            <v>13146</v>
          </cell>
          <cell r="CB685">
            <v>12996</v>
          </cell>
          <cell r="CC685">
            <v>12846</v>
          </cell>
          <cell r="CD685">
            <v>12696</v>
          </cell>
          <cell r="CE685">
            <v>12546</v>
          </cell>
          <cell r="CF685">
            <v>12396</v>
          </cell>
          <cell r="CG685">
            <v>12246</v>
          </cell>
          <cell r="CH685">
            <v>12096</v>
          </cell>
          <cell r="CI685">
            <v>11946</v>
          </cell>
          <cell r="CJ685">
            <v>11796</v>
          </cell>
          <cell r="CK685">
            <v>11646</v>
          </cell>
          <cell r="CL685">
            <v>11496</v>
          </cell>
          <cell r="CM685">
            <v>11346</v>
          </cell>
          <cell r="CN685">
            <v>11196</v>
          </cell>
          <cell r="CO685">
            <v>11046</v>
          </cell>
          <cell r="CP685">
            <v>10896</v>
          </cell>
          <cell r="CQ685">
            <v>10746</v>
          </cell>
          <cell r="CR685">
            <v>10596</v>
          </cell>
          <cell r="CS685">
            <v>10446</v>
          </cell>
          <cell r="CT685">
            <v>10296</v>
          </cell>
          <cell r="CU685">
            <v>10146</v>
          </cell>
          <cell r="CV685">
            <v>9996</v>
          </cell>
          <cell r="CW685">
            <v>9846</v>
          </cell>
          <cell r="CX685">
            <v>9696</v>
          </cell>
          <cell r="CY685">
            <v>9546</v>
          </cell>
          <cell r="CZ685">
            <v>9396</v>
          </cell>
          <cell r="DA685">
            <v>9246</v>
          </cell>
          <cell r="DB685">
            <v>9096</v>
          </cell>
          <cell r="DC685">
            <v>8946</v>
          </cell>
          <cell r="DD685">
            <v>8796</v>
          </cell>
          <cell r="DE685">
            <v>8646</v>
          </cell>
          <cell r="DF685">
            <v>8496</v>
          </cell>
          <cell r="DG685">
            <v>8346</v>
          </cell>
          <cell r="DH685">
            <v>8196</v>
          </cell>
          <cell r="DI685">
            <v>8046</v>
          </cell>
          <cell r="DJ685">
            <v>7896</v>
          </cell>
          <cell r="DK685">
            <v>7746</v>
          </cell>
          <cell r="DL685">
            <v>7596</v>
          </cell>
          <cell r="DM685">
            <v>7446</v>
          </cell>
          <cell r="DN685">
            <v>7296</v>
          </cell>
          <cell r="DO685">
            <v>7146</v>
          </cell>
          <cell r="DP685">
            <v>6996</v>
          </cell>
          <cell r="DQ685">
            <v>6846</v>
          </cell>
          <cell r="DR685">
            <v>6696</v>
          </cell>
          <cell r="DS685">
            <v>6546</v>
          </cell>
          <cell r="DT685">
            <v>6396</v>
          </cell>
          <cell r="DU685">
            <v>6246</v>
          </cell>
          <cell r="DV685">
            <v>6096</v>
          </cell>
          <cell r="DW685">
            <v>0</v>
          </cell>
          <cell r="DX685">
            <v>0</v>
          </cell>
          <cell r="DY685">
            <v>0</v>
          </cell>
          <cell r="DZ685">
            <v>0</v>
          </cell>
          <cell r="EA685">
            <v>0</v>
          </cell>
          <cell r="EB685">
            <v>0</v>
          </cell>
          <cell r="EC685">
            <v>0</v>
          </cell>
          <cell r="ED685">
            <v>0</v>
          </cell>
          <cell r="EE685">
            <v>0</v>
          </cell>
          <cell r="EF685">
            <v>0</v>
          </cell>
          <cell r="EG685">
            <v>0</v>
          </cell>
          <cell r="EH685">
            <v>0</v>
          </cell>
          <cell r="EI685">
            <v>0</v>
          </cell>
          <cell r="EJ685">
            <v>0</v>
          </cell>
          <cell r="EK685">
            <v>0</v>
          </cell>
          <cell r="EL685">
            <v>0</v>
          </cell>
          <cell r="EM685">
            <v>0</v>
          </cell>
          <cell r="EN685">
            <v>0</v>
          </cell>
          <cell r="EO685">
            <v>0</v>
          </cell>
          <cell r="EP685">
            <v>0</v>
          </cell>
          <cell r="EQ685">
            <v>0</v>
          </cell>
          <cell r="ER685">
            <v>0</v>
          </cell>
          <cell r="ES685">
            <v>0</v>
          </cell>
          <cell r="ET685">
            <v>0</v>
          </cell>
          <cell r="EU685">
            <v>0</v>
          </cell>
          <cell r="EV685">
            <v>0</v>
          </cell>
          <cell r="EW685">
            <v>0</v>
          </cell>
          <cell r="EX685">
            <v>0</v>
          </cell>
          <cell r="EY685">
            <v>0</v>
          </cell>
          <cell r="EZ685">
            <v>0</v>
          </cell>
          <cell r="FA685">
            <v>0</v>
          </cell>
          <cell r="FB685">
            <v>0</v>
          </cell>
          <cell r="FC685">
            <v>0</v>
          </cell>
          <cell r="FD685">
            <v>0</v>
          </cell>
          <cell r="FE685">
            <v>0</v>
          </cell>
          <cell r="FF685">
            <v>0</v>
          </cell>
          <cell r="FG685">
            <v>0</v>
          </cell>
          <cell r="FH685">
            <v>0</v>
          </cell>
          <cell r="FI685">
            <v>0</v>
          </cell>
          <cell r="FJ685">
            <v>0</v>
          </cell>
          <cell r="FK685">
            <v>0</v>
          </cell>
          <cell r="FL685">
            <v>0</v>
          </cell>
          <cell r="FM685">
            <v>0</v>
          </cell>
          <cell r="FN685">
            <v>0</v>
          </cell>
          <cell r="FO685">
            <v>0</v>
          </cell>
          <cell r="FP685">
            <v>0</v>
          </cell>
          <cell r="FQ685">
            <v>0</v>
          </cell>
          <cell r="FR685">
            <v>0</v>
          </cell>
          <cell r="FS685">
            <v>0</v>
          </cell>
          <cell r="FT685">
            <v>0</v>
          </cell>
          <cell r="FU685">
            <v>0</v>
          </cell>
          <cell r="FV685">
            <v>0</v>
          </cell>
          <cell r="FW685">
            <v>0</v>
          </cell>
          <cell r="FX685">
            <v>0</v>
          </cell>
          <cell r="FY685">
            <v>0</v>
          </cell>
          <cell r="FZ685">
            <v>0</v>
          </cell>
          <cell r="GA685">
            <v>0</v>
          </cell>
          <cell r="GB685">
            <v>0</v>
          </cell>
          <cell r="GC685">
            <v>0</v>
          </cell>
          <cell r="GD685">
            <v>0</v>
          </cell>
          <cell r="GE685">
            <v>0</v>
          </cell>
          <cell r="GF685">
            <v>0</v>
          </cell>
          <cell r="GG685">
            <v>0</v>
          </cell>
          <cell r="GH685">
            <v>0</v>
          </cell>
          <cell r="GI685">
            <v>0</v>
          </cell>
          <cell r="GJ685">
            <v>0</v>
          </cell>
          <cell r="GK685">
            <v>0</v>
          </cell>
          <cell r="GL685">
            <v>0</v>
          </cell>
          <cell r="GM685">
            <v>0</v>
          </cell>
          <cell r="GN685">
            <v>0</v>
          </cell>
          <cell r="GO685">
            <v>0</v>
          </cell>
          <cell r="GP685">
            <v>0</v>
          </cell>
          <cell r="GQ685">
            <v>0</v>
          </cell>
          <cell r="GR685">
            <v>0</v>
          </cell>
          <cell r="GS685">
            <v>0</v>
          </cell>
          <cell r="GT685">
            <v>0</v>
          </cell>
          <cell r="GU685">
            <v>0</v>
          </cell>
          <cell r="GV685">
            <v>0</v>
          </cell>
          <cell r="GW685">
            <v>0</v>
          </cell>
          <cell r="GX685">
            <v>0</v>
          </cell>
          <cell r="GY685">
            <v>0</v>
          </cell>
          <cell r="GZ685">
            <v>0</v>
          </cell>
          <cell r="HA685">
            <v>0</v>
          </cell>
          <cell r="HB685">
            <v>0</v>
          </cell>
          <cell r="HC685">
            <v>0</v>
          </cell>
          <cell r="HD685">
            <v>0</v>
          </cell>
          <cell r="HE685">
            <v>0</v>
          </cell>
          <cell r="HF685">
            <v>0</v>
          </cell>
        </row>
        <row r="688">
          <cell r="N688">
            <v>20264</v>
          </cell>
          <cell r="O688">
            <v>20114</v>
          </cell>
          <cell r="P688">
            <v>19964</v>
          </cell>
          <cell r="Q688">
            <v>19859</v>
          </cell>
          <cell r="R688">
            <v>19784</v>
          </cell>
          <cell r="S688">
            <v>19709</v>
          </cell>
          <cell r="T688">
            <v>19634</v>
          </cell>
          <cell r="U688">
            <v>19559</v>
          </cell>
          <cell r="V688">
            <v>19484</v>
          </cell>
          <cell r="W688">
            <v>19409</v>
          </cell>
          <cell r="X688">
            <v>19334</v>
          </cell>
          <cell r="Y688">
            <v>19259</v>
          </cell>
          <cell r="Z688">
            <v>19184</v>
          </cell>
          <cell r="AA688">
            <v>19109</v>
          </cell>
          <cell r="AB688">
            <v>19034</v>
          </cell>
          <cell r="AC688">
            <v>18959</v>
          </cell>
          <cell r="AD688">
            <v>18884</v>
          </cell>
          <cell r="AE688">
            <v>18809</v>
          </cell>
          <cell r="AF688">
            <v>18734</v>
          </cell>
          <cell r="AG688">
            <v>18659</v>
          </cell>
          <cell r="AH688">
            <v>18584</v>
          </cell>
          <cell r="AI688">
            <v>18509</v>
          </cell>
          <cell r="AJ688">
            <v>18434</v>
          </cell>
          <cell r="AK688">
            <v>18359</v>
          </cell>
          <cell r="AL688">
            <v>18284</v>
          </cell>
          <cell r="AM688">
            <v>18209</v>
          </cell>
          <cell r="AN688">
            <v>18134</v>
          </cell>
          <cell r="AO688">
            <v>18059</v>
          </cell>
          <cell r="AP688">
            <v>17984</v>
          </cell>
          <cell r="AQ688">
            <v>17909</v>
          </cell>
          <cell r="AR688">
            <v>17834</v>
          </cell>
          <cell r="AS688">
            <v>17759</v>
          </cell>
          <cell r="AT688">
            <v>17684</v>
          </cell>
          <cell r="AU688">
            <v>17609</v>
          </cell>
          <cell r="AV688">
            <v>17534</v>
          </cell>
          <cell r="AW688">
            <v>17459</v>
          </cell>
          <cell r="AX688">
            <v>17384</v>
          </cell>
          <cell r="AY688">
            <v>17309</v>
          </cell>
          <cell r="AZ688">
            <v>17196</v>
          </cell>
          <cell r="BA688">
            <v>17046</v>
          </cell>
          <cell r="BB688">
            <v>16896</v>
          </cell>
          <cell r="BC688">
            <v>16746</v>
          </cell>
          <cell r="BD688">
            <v>16596</v>
          </cell>
          <cell r="BE688">
            <v>16446</v>
          </cell>
          <cell r="BF688">
            <v>16296</v>
          </cell>
          <cell r="BG688">
            <v>16146</v>
          </cell>
          <cell r="BH688">
            <v>15996</v>
          </cell>
          <cell r="BI688">
            <v>15846</v>
          </cell>
          <cell r="BJ688">
            <v>15696</v>
          </cell>
          <cell r="BK688">
            <v>15546</v>
          </cell>
          <cell r="BL688">
            <v>15396</v>
          </cell>
          <cell r="BM688">
            <v>15246</v>
          </cell>
          <cell r="BN688">
            <v>15096</v>
          </cell>
          <cell r="BO688">
            <v>14946</v>
          </cell>
          <cell r="BP688">
            <v>14796</v>
          </cell>
          <cell r="BQ688">
            <v>14646</v>
          </cell>
          <cell r="BR688">
            <v>14496</v>
          </cell>
          <cell r="BS688">
            <v>14346</v>
          </cell>
          <cell r="BT688">
            <v>14196</v>
          </cell>
          <cell r="BU688">
            <v>14046</v>
          </cell>
          <cell r="BV688">
            <v>13896</v>
          </cell>
          <cell r="BW688">
            <v>13746</v>
          </cell>
          <cell r="BX688">
            <v>13596</v>
          </cell>
          <cell r="BY688">
            <v>13446</v>
          </cell>
          <cell r="BZ688">
            <v>13296</v>
          </cell>
          <cell r="CA688">
            <v>13146</v>
          </cell>
          <cell r="CB688">
            <v>12996</v>
          </cell>
          <cell r="CC688">
            <v>12846</v>
          </cell>
          <cell r="CD688">
            <v>12696</v>
          </cell>
          <cell r="CE688">
            <v>12546</v>
          </cell>
          <cell r="CF688">
            <v>12396</v>
          </cell>
          <cell r="CG688">
            <v>12246</v>
          </cell>
          <cell r="CH688">
            <v>12096</v>
          </cell>
          <cell r="CI688">
            <v>11946</v>
          </cell>
          <cell r="CJ688">
            <v>11796</v>
          </cell>
          <cell r="CK688">
            <v>11646</v>
          </cell>
          <cell r="CL688">
            <v>11496</v>
          </cell>
          <cell r="CM688">
            <v>11346</v>
          </cell>
          <cell r="CN688">
            <v>11196</v>
          </cell>
          <cell r="CO688">
            <v>11046</v>
          </cell>
          <cell r="CP688">
            <v>10896</v>
          </cell>
          <cell r="CQ688">
            <v>10746</v>
          </cell>
          <cell r="CR688">
            <v>10596</v>
          </cell>
          <cell r="CS688">
            <v>10446</v>
          </cell>
          <cell r="CT688">
            <v>10296</v>
          </cell>
          <cell r="CU688">
            <v>10146</v>
          </cell>
          <cell r="CV688">
            <v>9996</v>
          </cell>
          <cell r="CW688">
            <v>9846</v>
          </cell>
          <cell r="CX688">
            <v>9696</v>
          </cell>
          <cell r="CY688">
            <v>9546</v>
          </cell>
          <cell r="CZ688">
            <v>9396</v>
          </cell>
          <cell r="DA688">
            <v>9246</v>
          </cell>
          <cell r="DB688">
            <v>9096</v>
          </cell>
          <cell r="DC688">
            <v>8946</v>
          </cell>
          <cell r="DD688">
            <v>8796</v>
          </cell>
          <cell r="DE688">
            <v>8646</v>
          </cell>
          <cell r="DF688">
            <v>8496</v>
          </cell>
          <cell r="DG688">
            <v>8346</v>
          </cell>
          <cell r="DH688">
            <v>8196</v>
          </cell>
          <cell r="DI688">
            <v>8046</v>
          </cell>
          <cell r="DJ688">
            <v>7896</v>
          </cell>
          <cell r="DK688">
            <v>7746</v>
          </cell>
          <cell r="DL688">
            <v>7596</v>
          </cell>
          <cell r="DM688">
            <v>7446</v>
          </cell>
          <cell r="DN688">
            <v>7296</v>
          </cell>
          <cell r="DO688">
            <v>7146</v>
          </cell>
          <cell r="DP688">
            <v>6996</v>
          </cell>
          <cell r="DQ688">
            <v>6846</v>
          </cell>
          <cell r="DR688">
            <v>6696</v>
          </cell>
          <cell r="DS688">
            <v>6546</v>
          </cell>
          <cell r="DT688">
            <v>6396</v>
          </cell>
          <cell r="DU688">
            <v>6246</v>
          </cell>
          <cell r="DV688">
            <v>6096</v>
          </cell>
          <cell r="DW688">
            <v>5946</v>
          </cell>
          <cell r="DX688">
            <v>5796</v>
          </cell>
          <cell r="DY688">
            <v>5646</v>
          </cell>
          <cell r="DZ688">
            <v>5496</v>
          </cell>
          <cell r="EA688">
            <v>5346</v>
          </cell>
          <cell r="EB688">
            <v>5196</v>
          </cell>
          <cell r="EC688">
            <v>5046</v>
          </cell>
          <cell r="ED688">
            <v>4896</v>
          </cell>
          <cell r="EE688">
            <v>4746</v>
          </cell>
          <cell r="EF688">
            <v>4596</v>
          </cell>
          <cell r="EG688">
            <v>4446</v>
          </cell>
          <cell r="EH688">
            <v>4296</v>
          </cell>
          <cell r="EI688">
            <v>4146</v>
          </cell>
          <cell r="EJ688">
            <v>3996</v>
          </cell>
          <cell r="EK688">
            <v>3846</v>
          </cell>
          <cell r="EL688">
            <v>3696</v>
          </cell>
          <cell r="EM688">
            <v>3546</v>
          </cell>
          <cell r="EN688">
            <v>3396</v>
          </cell>
          <cell r="EO688">
            <v>3246</v>
          </cell>
          <cell r="EP688">
            <v>3096</v>
          </cell>
          <cell r="EQ688">
            <v>2946</v>
          </cell>
          <cell r="ER688">
            <v>2796</v>
          </cell>
          <cell r="ES688">
            <v>2646</v>
          </cell>
          <cell r="ET688">
            <v>2496</v>
          </cell>
          <cell r="EU688">
            <v>2346</v>
          </cell>
          <cell r="EV688">
            <v>2196</v>
          </cell>
          <cell r="EW688">
            <v>2046</v>
          </cell>
          <cell r="EX688">
            <v>1896</v>
          </cell>
          <cell r="EY688">
            <v>1746</v>
          </cell>
          <cell r="EZ688">
            <v>1596</v>
          </cell>
          <cell r="FA688">
            <v>1446</v>
          </cell>
          <cell r="FB688">
            <v>1296</v>
          </cell>
          <cell r="FC688">
            <v>1146</v>
          </cell>
          <cell r="FD688">
            <v>996</v>
          </cell>
          <cell r="FE688">
            <v>846</v>
          </cell>
          <cell r="FF688">
            <v>696</v>
          </cell>
          <cell r="FG688">
            <v>546</v>
          </cell>
          <cell r="FH688">
            <v>396</v>
          </cell>
          <cell r="FI688">
            <v>246</v>
          </cell>
          <cell r="FJ688">
            <v>96</v>
          </cell>
          <cell r="FK688">
            <v>0</v>
          </cell>
          <cell r="FL688">
            <v>0</v>
          </cell>
          <cell r="FM688">
            <v>0</v>
          </cell>
          <cell r="FN688">
            <v>0</v>
          </cell>
          <cell r="FO688">
            <v>0</v>
          </cell>
          <cell r="FP688">
            <v>0</v>
          </cell>
          <cell r="FQ688">
            <v>0</v>
          </cell>
          <cell r="FR688">
            <v>0</v>
          </cell>
          <cell r="FS688">
            <v>0</v>
          </cell>
          <cell r="FT688">
            <v>0</v>
          </cell>
          <cell r="FU688">
            <v>0</v>
          </cell>
          <cell r="FV688">
            <v>0</v>
          </cell>
          <cell r="FW688">
            <v>0</v>
          </cell>
          <cell r="FX688">
            <v>0</v>
          </cell>
          <cell r="FY688">
            <v>0</v>
          </cell>
          <cell r="FZ688">
            <v>0</v>
          </cell>
          <cell r="GA688">
            <v>0</v>
          </cell>
          <cell r="GB688">
            <v>0</v>
          </cell>
          <cell r="GC688">
            <v>0</v>
          </cell>
          <cell r="GD688">
            <v>0</v>
          </cell>
          <cell r="GE688">
            <v>0</v>
          </cell>
          <cell r="GF688">
            <v>0</v>
          </cell>
          <cell r="GG688">
            <v>0</v>
          </cell>
          <cell r="GH688">
            <v>0</v>
          </cell>
          <cell r="GI688">
            <v>0</v>
          </cell>
          <cell r="GJ688">
            <v>0</v>
          </cell>
          <cell r="GK688">
            <v>0</v>
          </cell>
          <cell r="GL688">
            <v>0</v>
          </cell>
          <cell r="GM688">
            <v>0</v>
          </cell>
          <cell r="GN688">
            <v>0</v>
          </cell>
          <cell r="GO688">
            <v>0</v>
          </cell>
          <cell r="GP688">
            <v>0</v>
          </cell>
          <cell r="GQ688">
            <v>0</v>
          </cell>
          <cell r="GR688">
            <v>0</v>
          </cell>
          <cell r="GS688">
            <v>0</v>
          </cell>
          <cell r="GT688">
            <v>0</v>
          </cell>
          <cell r="GU688">
            <v>0</v>
          </cell>
          <cell r="GV688">
            <v>0</v>
          </cell>
          <cell r="GW688">
            <v>0</v>
          </cell>
          <cell r="GX688">
            <v>0</v>
          </cell>
          <cell r="GY688">
            <v>0</v>
          </cell>
          <cell r="GZ688">
            <v>0</v>
          </cell>
          <cell r="HA688">
            <v>0</v>
          </cell>
          <cell r="HB688">
            <v>0</v>
          </cell>
          <cell r="HC688">
            <v>0</v>
          </cell>
          <cell r="HD688">
            <v>0</v>
          </cell>
          <cell r="HE688">
            <v>0</v>
          </cell>
          <cell r="HF688">
            <v>0</v>
          </cell>
        </row>
        <row r="690">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cell r="BM690">
            <v>0</v>
          </cell>
          <cell r="BN690">
            <v>0</v>
          </cell>
          <cell r="BO690">
            <v>0</v>
          </cell>
          <cell r="BP690">
            <v>0</v>
          </cell>
          <cell r="BQ690">
            <v>0</v>
          </cell>
          <cell r="BR690">
            <v>0</v>
          </cell>
          <cell r="BS690">
            <v>0</v>
          </cell>
          <cell r="BT690">
            <v>0</v>
          </cell>
          <cell r="BU690">
            <v>0</v>
          </cell>
          <cell r="BV690">
            <v>0</v>
          </cell>
          <cell r="BW690">
            <v>0</v>
          </cell>
          <cell r="BX690">
            <v>0</v>
          </cell>
          <cell r="BY690">
            <v>0</v>
          </cell>
          <cell r="BZ690">
            <v>0</v>
          </cell>
          <cell r="CA690">
            <v>0</v>
          </cell>
          <cell r="CB690">
            <v>0</v>
          </cell>
          <cell r="CC690">
            <v>0</v>
          </cell>
          <cell r="CD690">
            <v>0</v>
          </cell>
          <cell r="CE690">
            <v>0</v>
          </cell>
          <cell r="CF690">
            <v>0</v>
          </cell>
          <cell r="CG690">
            <v>0</v>
          </cell>
          <cell r="CH690">
            <v>0</v>
          </cell>
          <cell r="CI690">
            <v>0</v>
          </cell>
          <cell r="CJ690">
            <v>0</v>
          </cell>
          <cell r="CK690">
            <v>0</v>
          </cell>
          <cell r="CL690">
            <v>0</v>
          </cell>
          <cell r="CM690">
            <v>0</v>
          </cell>
          <cell r="CN690">
            <v>0</v>
          </cell>
          <cell r="CO690">
            <v>0</v>
          </cell>
          <cell r="CP690">
            <v>0</v>
          </cell>
          <cell r="CQ690">
            <v>0</v>
          </cell>
          <cell r="CR690">
            <v>0</v>
          </cell>
          <cell r="CS690">
            <v>0</v>
          </cell>
          <cell r="CT690">
            <v>0</v>
          </cell>
          <cell r="CU690">
            <v>0</v>
          </cell>
          <cell r="CV690">
            <v>0</v>
          </cell>
          <cell r="CW690">
            <v>0</v>
          </cell>
          <cell r="CX690">
            <v>0</v>
          </cell>
          <cell r="CY690">
            <v>0</v>
          </cell>
          <cell r="CZ690">
            <v>0</v>
          </cell>
          <cell r="DA690">
            <v>0</v>
          </cell>
          <cell r="DB690">
            <v>0</v>
          </cell>
          <cell r="DC690">
            <v>0</v>
          </cell>
          <cell r="DD690">
            <v>0</v>
          </cell>
          <cell r="DE690">
            <v>0</v>
          </cell>
          <cell r="DF690">
            <v>0</v>
          </cell>
          <cell r="DG690">
            <v>0</v>
          </cell>
          <cell r="DH690">
            <v>0</v>
          </cell>
          <cell r="DI690">
            <v>0</v>
          </cell>
          <cell r="DJ690">
            <v>0</v>
          </cell>
          <cell r="DK690">
            <v>0</v>
          </cell>
          <cell r="DL690">
            <v>0</v>
          </cell>
          <cell r="DM690">
            <v>0</v>
          </cell>
          <cell r="DN690">
            <v>0</v>
          </cell>
          <cell r="DO690">
            <v>0</v>
          </cell>
          <cell r="DP690">
            <v>0</v>
          </cell>
          <cell r="DQ690">
            <v>0</v>
          </cell>
          <cell r="DR690">
            <v>0</v>
          </cell>
          <cell r="DS690">
            <v>0</v>
          </cell>
          <cell r="DT690">
            <v>0</v>
          </cell>
          <cell r="DU690">
            <v>0</v>
          </cell>
          <cell r="DV690">
            <v>0</v>
          </cell>
          <cell r="DW690">
            <v>5946</v>
          </cell>
          <cell r="DX690">
            <v>5796</v>
          </cell>
          <cell r="DY690">
            <v>5646</v>
          </cell>
          <cell r="DZ690">
            <v>5496</v>
          </cell>
          <cell r="EA690">
            <v>5346</v>
          </cell>
          <cell r="EB690">
            <v>5196</v>
          </cell>
          <cell r="EC690">
            <v>5046</v>
          </cell>
          <cell r="ED690">
            <v>4896</v>
          </cell>
          <cell r="EE690">
            <v>4746</v>
          </cell>
          <cell r="EF690">
            <v>4596</v>
          </cell>
          <cell r="EG690">
            <v>4446</v>
          </cell>
          <cell r="EH690">
            <v>4296</v>
          </cell>
          <cell r="EI690">
            <v>4146</v>
          </cell>
          <cell r="EJ690">
            <v>3996</v>
          </cell>
          <cell r="EK690">
            <v>3846</v>
          </cell>
          <cell r="EL690">
            <v>3696</v>
          </cell>
          <cell r="EM690">
            <v>3546</v>
          </cell>
          <cell r="EN690">
            <v>3396</v>
          </cell>
          <cell r="EO690">
            <v>3246</v>
          </cell>
          <cell r="EP690">
            <v>3096</v>
          </cell>
          <cell r="EQ690">
            <v>2946</v>
          </cell>
          <cell r="ER690">
            <v>2796</v>
          </cell>
          <cell r="ES690">
            <v>2646</v>
          </cell>
          <cell r="ET690">
            <v>2496</v>
          </cell>
          <cell r="EU690">
            <v>2346</v>
          </cell>
          <cell r="EV690">
            <v>2196</v>
          </cell>
          <cell r="EW690">
            <v>2046</v>
          </cell>
          <cell r="EX690">
            <v>1896</v>
          </cell>
          <cell r="EY690">
            <v>1746</v>
          </cell>
          <cell r="EZ690">
            <v>1596</v>
          </cell>
          <cell r="FA690">
            <v>1446</v>
          </cell>
          <cell r="FB690">
            <v>1296</v>
          </cell>
          <cell r="FC690">
            <v>1146</v>
          </cell>
          <cell r="FD690">
            <v>996</v>
          </cell>
          <cell r="FE690">
            <v>846</v>
          </cell>
          <cell r="FF690">
            <v>696</v>
          </cell>
          <cell r="FG690">
            <v>546</v>
          </cell>
          <cell r="FH690">
            <v>396</v>
          </cell>
          <cell r="FI690">
            <v>246</v>
          </cell>
          <cell r="FJ690">
            <v>96</v>
          </cell>
          <cell r="FK690">
            <v>0</v>
          </cell>
          <cell r="FL690">
            <v>0</v>
          </cell>
          <cell r="FM690">
            <v>0</v>
          </cell>
          <cell r="FN690">
            <v>0</v>
          </cell>
          <cell r="FO690">
            <v>0</v>
          </cell>
          <cell r="FP690">
            <v>0</v>
          </cell>
          <cell r="FQ690">
            <v>0</v>
          </cell>
          <cell r="FR690">
            <v>0</v>
          </cell>
          <cell r="FS690">
            <v>0</v>
          </cell>
          <cell r="FT690">
            <v>0</v>
          </cell>
          <cell r="FU690">
            <v>0</v>
          </cell>
          <cell r="FV690">
            <v>0</v>
          </cell>
          <cell r="FW690">
            <v>0</v>
          </cell>
          <cell r="FX690">
            <v>0</v>
          </cell>
          <cell r="FY690">
            <v>0</v>
          </cell>
          <cell r="FZ690">
            <v>0</v>
          </cell>
          <cell r="GA690">
            <v>0</v>
          </cell>
          <cell r="GB690">
            <v>0</v>
          </cell>
          <cell r="GC690">
            <v>0</v>
          </cell>
          <cell r="GD690">
            <v>0</v>
          </cell>
          <cell r="GE690">
            <v>0</v>
          </cell>
          <cell r="GF690">
            <v>0</v>
          </cell>
          <cell r="GG690">
            <v>0</v>
          </cell>
          <cell r="GH690">
            <v>0</v>
          </cell>
          <cell r="GI690">
            <v>0</v>
          </cell>
          <cell r="GJ690">
            <v>0</v>
          </cell>
          <cell r="GK690">
            <v>0</v>
          </cell>
          <cell r="GL690">
            <v>0</v>
          </cell>
          <cell r="GM690">
            <v>0</v>
          </cell>
          <cell r="GN690">
            <v>0</v>
          </cell>
          <cell r="GO690">
            <v>0</v>
          </cell>
          <cell r="GP690">
            <v>0</v>
          </cell>
          <cell r="GQ690">
            <v>0</v>
          </cell>
          <cell r="GR690">
            <v>0</v>
          </cell>
          <cell r="GS690">
            <v>0</v>
          </cell>
          <cell r="GT690">
            <v>0</v>
          </cell>
          <cell r="GU690">
            <v>0</v>
          </cell>
          <cell r="GV690">
            <v>0</v>
          </cell>
          <cell r="GW690">
            <v>0</v>
          </cell>
          <cell r="GX690">
            <v>0</v>
          </cell>
          <cell r="GY690">
            <v>0</v>
          </cell>
          <cell r="GZ690">
            <v>0</v>
          </cell>
          <cell r="HA690">
            <v>0</v>
          </cell>
          <cell r="HB690">
            <v>0</v>
          </cell>
          <cell r="HC690">
            <v>0</v>
          </cell>
          <cell r="HD690">
            <v>0</v>
          </cell>
          <cell r="HE690">
            <v>0</v>
          </cell>
          <cell r="HF690">
            <v>0</v>
          </cell>
        </row>
        <row r="711">
          <cell r="N711">
            <v>1100</v>
          </cell>
          <cell r="O711">
            <v>1099</v>
          </cell>
          <cell r="P711">
            <v>1098</v>
          </cell>
          <cell r="Q711">
            <v>1097</v>
          </cell>
          <cell r="R711">
            <v>1096</v>
          </cell>
          <cell r="S711">
            <v>1095</v>
          </cell>
          <cell r="T711">
            <v>1094</v>
          </cell>
          <cell r="U711">
            <v>1093</v>
          </cell>
          <cell r="V711">
            <v>1092</v>
          </cell>
          <cell r="W711">
            <v>1091</v>
          </cell>
          <cell r="X711">
            <v>1090</v>
          </cell>
          <cell r="Y711">
            <v>1088</v>
          </cell>
          <cell r="Z711">
            <v>1087</v>
          </cell>
          <cell r="AA711">
            <v>1086</v>
          </cell>
          <cell r="AB711">
            <v>1085</v>
          </cell>
          <cell r="AC711">
            <v>1084</v>
          </cell>
          <cell r="AD711">
            <v>1083</v>
          </cell>
          <cell r="AE711">
            <v>1082</v>
          </cell>
          <cell r="AF711">
            <v>1081</v>
          </cell>
          <cell r="AG711">
            <v>1080</v>
          </cell>
          <cell r="AH711">
            <v>1079</v>
          </cell>
          <cell r="AI711">
            <v>1078</v>
          </cell>
          <cell r="AJ711">
            <v>1077</v>
          </cell>
          <cell r="AK711">
            <v>1076</v>
          </cell>
          <cell r="AL711">
            <v>1074</v>
          </cell>
          <cell r="AM711">
            <v>1073</v>
          </cell>
          <cell r="AN711">
            <v>1072</v>
          </cell>
          <cell r="AO711">
            <v>1071</v>
          </cell>
          <cell r="AP711">
            <v>1070</v>
          </cell>
          <cell r="AQ711">
            <v>1069</v>
          </cell>
          <cell r="AR711">
            <v>1068</v>
          </cell>
          <cell r="AS711">
            <v>1067</v>
          </cell>
          <cell r="AT711">
            <v>1066</v>
          </cell>
          <cell r="AU711">
            <v>1065</v>
          </cell>
          <cell r="AV711">
            <v>1064</v>
          </cell>
          <cell r="AW711">
            <v>1063</v>
          </cell>
          <cell r="AX711">
            <v>1042</v>
          </cell>
          <cell r="AY711">
            <v>1020</v>
          </cell>
          <cell r="AZ711">
            <v>1019</v>
          </cell>
          <cell r="BA711">
            <v>998</v>
          </cell>
          <cell r="BB711">
            <v>997</v>
          </cell>
          <cell r="BC711">
            <v>976</v>
          </cell>
          <cell r="BD711">
            <v>975</v>
          </cell>
          <cell r="BE711">
            <v>954</v>
          </cell>
          <cell r="BF711">
            <v>953</v>
          </cell>
          <cell r="BG711">
            <v>932</v>
          </cell>
          <cell r="BH711">
            <v>931</v>
          </cell>
          <cell r="BI711">
            <v>910</v>
          </cell>
          <cell r="BJ711">
            <v>909</v>
          </cell>
          <cell r="BK711">
            <v>908</v>
          </cell>
          <cell r="BL711">
            <v>886</v>
          </cell>
          <cell r="BM711">
            <v>885</v>
          </cell>
          <cell r="BN711">
            <v>884</v>
          </cell>
          <cell r="BO711">
            <v>863</v>
          </cell>
          <cell r="BP711">
            <v>862</v>
          </cell>
          <cell r="BQ711">
            <v>861</v>
          </cell>
          <cell r="BR711">
            <v>840</v>
          </cell>
          <cell r="BS711">
            <v>839</v>
          </cell>
          <cell r="BT711">
            <v>838</v>
          </cell>
          <cell r="BU711">
            <v>837</v>
          </cell>
          <cell r="BV711">
            <v>816</v>
          </cell>
          <cell r="BW711">
            <v>815</v>
          </cell>
          <cell r="BX711">
            <v>814</v>
          </cell>
          <cell r="BY711">
            <v>813</v>
          </cell>
          <cell r="BZ711">
            <v>811</v>
          </cell>
          <cell r="CA711">
            <v>790</v>
          </cell>
          <cell r="CB711">
            <v>789</v>
          </cell>
          <cell r="CC711">
            <v>788</v>
          </cell>
          <cell r="CD711">
            <v>787</v>
          </cell>
          <cell r="CE711">
            <v>786</v>
          </cell>
          <cell r="CF711">
            <v>765</v>
          </cell>
          <cell r="CG711">
            <v>764</v>
          </cell>
          <cell r="CH711">
            <v>763</v>
          </cell>
          <cell r="CI711">
            <v>762</v>
          </cell>
          <cell r="CJ711">
            <v>761</v>
          </cell>
          <cell r="CK711">
            <v>760</v>
          </cell>
          <cell r="CL711">
            <v>739</v>
          </cell>
          <cell r="CM711">
            <v>737</v>
          </cell>
          <cell r="CN711">
            <v>736</v>
          </cell>
          <cell r="CO711">
            <v>735</v>
          </cell>
          <cell r="CP711">
            <v>734</v>
          </cell>
          <cell r="CQ711">
            <v>733</v>
          </cell>
          <cell r="CR711">
            <v>732</v>
          </cell>
          <cell r="CS711">
            <v>711</v>
          </cell>
          <cell r="CT711">
            <v>710</v>
          </cell>
          <cell r="CU711">
            <v>709</v>
          </cell>
          <cell r="CV711">
            <v>708</v>
          </cell>
          <cell r="CW711">
            <v>707</v>
          </cell>
          <cell r="CX711">
            <v>706</v>
          </cell>
          <cell r="CY711">
            <v>705</v>
          </cell>
          <cell r="CZ711">
            <v>703</v>
          </cell>
          <cell r="DA711">
            <v>682</v>
          </cell>
          <cell r="DB711">
            <v>681</v>
          </cell>
          <cell r="DC711">
            <v>680</v>
          </cell>
          <cell r="DD711">
            <v>679</v>
          </cell>
          <cell r="DE711">
            <v>678</v>
          </cell>
          <cell r="DF711">
            <v>677</v>
          </cell>
          <cell r="DG711">
            <v>676</v>
          </cell>
          <cell r="DH711">
            <v>675</v>
          </cell>
          <cell r="DI711">
            <v>674</v>
          </cell>
          <cell r="DJ711">
            <v>673</v>
          </cell>
          <cell r="DK711">
            <v>672</v>
          </cell>
          <cell r="DL711">
            <v>651</v>
          </cell>
          <cell r="DM711">
            <v>649</v>
          </cell>
          <cell r="DN711">
            <v>648</v>
          </cell>
          <cell r="DO711">
            <v>647</v>
          </cell>
          <cell r="DP711">
            <v>646</v>
          </cell>
          <cell r="DQ711">
            <v>645</v>
          </cell>
          <cell r="DR711">
            <v>644</v>
          </cell>
          <cell r="DS711">
            <v>643</v>
          </cell>
          <cell r="DT711">
            <v>642</v>
          </cell>
          <cell r="DU711">
            <v>641</v>
          </cell>
          <cell r="DV711">
            <v>640</v>
          </cell>
          <cell r="DW711">
            <v>639</v>
          </cell>
          <cell r="DX711">
            <v>638</v>
          </cell>
          <cell r="DY711">
            <v>637</v>
          </cell>
          <cell r="DZ711">
            <v>615</v>
          </cell>
          <cell r="EA711">
            <v>614</v>
          </cell>
          <cell r="EB711">
            <v>613</v>
          </cell>
          <cell r="EC711">
            <v>612</v>
          </cell>
          <cell r="ED711">
            <v>611</v>
          </cell>
          <cell r="EE711">
            <v>610</v>
          </cell>
          <cell r="EF711">
            <v>609</v>
          </cell>
          <cell r="EG711">
            <v>608</v>
          </cell>
          <cell r="EH711">
            <v>607</v>
          </cell>
          <cell r="EI711">
            <v>606</v>
          </cell>
          <cell r="EJ711">
            <v>605</v>
          </cell>
          <cell r="EK711">
            <v>604</v>
          </cell>
          <cell r="EL711">
            <v>603</v>
          </cell>
          <cell r="EM711">
            <v>602</v>
          </cell>
          <cell r="EN711">
            <v>600</v>
          </cell>
          <cell r="EO711">
            <v>599</v>
          </cell>
          <cell r="EP711">
            <v>598</v>
          </cell>
          <cell r="EQ711">
            <v>577</v>
          </cell>
          <cell r="ER711">
            <v>576</v>
          </cell>
          <cell r="ES711">
            <v>575</v>
          </cell>
          <cell r="ET711">
            <v>574</v>
          </cell>
          <cell r="EU711">
            <v>573</v>
          </cell>
          <cell r="EV711">
            <v>572</v>
          </cell>
          <cell r="EW711">
            <v>571</v>
          </cell>
          <cell r="EX711">
            <v>0</v>
          </cell>
          <cell r="EY711">
            <v>0</v>
          </cell>
          <cell r="EZ711">
            <v>0</v>
          </cell>
          <cell r="FA711">
            <v>0</v>
          </cell>
          <cell r="FB711">
            <v>0</v>
          </cell>
          <cell r="FC711">
            <v>0</v>
          </cell>
          <cell r="FD711">
            <v>0</v>
          </cell>
          <cell r="FE711">
            <v>0</v>
          </cell>
          <cell r="FF711">
            <v>0</v>
          </cell>
          <cell r="FG711">
            <v>0</v>
          </cell>
          <cell r="FH711">
            <v>0</v>
          </cell>
          <cell r="FI711">
            <v>0</v>
          </cell>
          <cell r="FJ711">
            <v>0</v>
          </cell>
          <cell r="FK711">
            <v>0</v>
          </cell>
          <cell r="FL711">
            <v>0</v>
          </cell>
          <cell r="FM711">
            <v>0</v>
          </cell>
          <cell r="FN711">
            <v>0</v>
          </cell>
          <cell r="FO711">
            <v>0</v>
          </cell>
          <cell r="FP711">
            <v>0</v>
          </cell>
          <cell r="FQ711">
            <v>0</v>
          </cell>
          <cell r="FR711">
            <v>0</v>
          </cell>
          <cell r="FS711">
            <v>0</v>
          </cell>
          <cell r="FT711">
            <v>0</v>
          </cell>
          <cell r="FU711">
            <v>0</v>
          </cell>
          <cell r="FV711">
            <v>0</v>
          </cell>
          <cell r="FW711">
            <v>0</v>
          </cell>
          <cell r="FX711">
            <v>0</v>
          </cell>
          <cell r="FY711">
            <v>0</v>
          </cell>
          <cell r="FZ711">
            <v>0</v>
          </cell>
          <cell r="GA711">
            <v>0</v>
          </cell>
          <cell r="GB711">
            <v>0</v>
          </cell>
          <cell r="GC711">
            <v>0</v>
          </cell>
          <cell r="GD711">
            <v>0</v>
          </cell>
          <cell r="GE711">
            <v>0</v>
          </cell>
          <cell r="GF711">
            <v>0</v>
          </cell>
          <cell r="GG711">
            <v>0</v>
          </cell>
          <cell r="GH711">
            <v>0</v>
          </cell>
          <cell r="GI711">
            <v>0</v>
          </cell>
          <cell r="GJ711">
            <v>0</v>
          </cell>
          <cell r="GK711">
            <v>0</v>
          </cell>
          <cell r="GL711">
            <v>0</v>
          </cell>
          <cell r="GM711">
            <v>0</v>
          </cell>
          <cell r="GN711">
            <v>0</v>
          </cell>
          <cell r="GO711">
            <v>0</v>
          </cell>
          <cell r="GP711">
            <v>0</v>
          </cell>
          <cell r="GQ711">
            <v>0</v>
          </cell>
          <cell r="GR711">
            <v>0</v>
          </cell>
          <cell r="GS711">
            <v>0</v>
          </cell>
          <cell r="GT711">
            <v>0</v>
          </cell>
          <cell r="GU711">
            <v>0</v>
          </cell>
          <cell r="GV711">
            <v>0</v>
          </cell>
          <cell r="GW711">
            <v>0</v>
          </cell>
          <cell r="GX711">
            <v>0</v>
          </cell>
          <cell r="GY711">
            <v>0</v>
          </cell>
          <cell r="GZ711">
            <v>0</v>
          </cell>
          <cell r="HA711">
            <v>0</v>
          </cell>
          <cell r="HB711">
            <v>0</v>
          </cell>
          <cell r="HC711">
            <v>0</v>
          </cell>
          <cell r="HD711">
            <v>0</v>
          </cell>
          <cell r="HE711">
            <v>0</v>
          </cell>
          <cell r="HF711">
            <v>0</v>
          </cell>
        </row>
      </sheetData>
      <sheetData sheetId="11" refreshError="1"/>
      <sheetData sheetId="12"/>
      <sheetData sheetId="13"/>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ow r="10">
          <cell r="D10" t="str">
            <v>Yes</v>
          </cell>
          <cell r="F10">
            <v>16</v>
          </cell>
          <cell r="H10">
            <v>0</v>
          </cell>
        </row>
        <row r="11">
          <cell r="D11" t="str">
            <v>No</v>
          </cell>
          <cell r="F11">
            <v>17</v>
          </cell>
          <cell r="H11">
            <v>1</v>
          </cell>
        </row>
        <row r="12">
          <cell r="F12">
            <v>18</v>
          </cell>
          <cell r="H12">
            <v>2</v>
          </cell>
        </row>
        <row r="13">
          <cell r="F13">
            <v>19</v>
          </cell>
          <cell r="H13">
            <v>3</v>
          </cell>
        </row>
        <row r="14">
          <cell r="F14">
            <v>20</v>
          </cell>
          <cell r="H14">
            <v>4</v>
          </cell>
        </row>
        <row r="15">
          <cell r="D15" t="str">
            <v>male</v>
          </cell>
          <cell r="F15">
            <v>21</v>
          </cell>
          <cell r="H15">
            <v>5</v>
          </cell>
        </row>
        <row r="16">
          <cell r="D16" t="str">
            <v>female</v>
          </cell>
          <cell r="F16">
            <v>22</v>
          </cell>
          <cell r="H16">
            <v>6</v>
          </cell>
        </row>
        <row r="17">
          <cell r="F17">
            <v>23</v>
          </cell>
          <cell r="H17">
            <v>7</v>
          </cell>
        </row>
        <row r="18">
          <cell r="F18">
            <v>24</v>
          </cell>
          <cell r="H18">
            <v>8</v>
          </cell>
        </row>
        <row r="19">
          <cell r="F19">
            <v>25</v>
          </cell>
          <cell r="H19">
            <v>9</v>
          </cell>
        </row>
        <row r="20">
          <cell r="F20">
            <v>26</v>
          </cell>
          <cell r="H20">
            <v>10</v>
          </cell>
        </row>
        <row r="21">
          <cell r="F21">
            <v>27</v>
          </cell>
          <cell r="H21">
            <v>11</v>
          </cell>
        </row>
        <row r="22">
          <cell r="F22">
            <v>28</v>
          </cell>
          <cell r="H22">
            <v>12</v>
          </cell>
        </row>
        <row r="23">
          <cell r="F23">
            <v>29</v>
          </cell>
          <cell r="H23">
            <v>13</v>
          </cell>
        </row>
        <row r="24">
          <cell r="F24">
            <v>30</v>
          </cell>
          <cell r="H24">
            <v>14</v>
          </cell>
        </row>
        <row r="25">
          <cell r="F25">
            <v>31</v>
          </cell>
          <cell r="H25">
            <v>15</v>
          </cell>
        </row>
        <row r="26">
          <cell r="F26">
            <v>32</v>
          </cell>
          <cell r="H26">
            <v>16</v>
          </cell>
        </row>
        <row r="27">
          <cell r="F27">
            <v>33</v>
          </cell>
          <cell r="H27">
            <v>17</v>
          </cell>
        </row>
        <row r="28">
          <cell r="F28">
            <v>34</v>
          </cell>
          <cell r="H28">
            <v>18</v>
          </cell>
        </row>
        <row r="29">
          <cell r="F29">
            <v>35</v>
          </cell>
          <cell r="H29">
            <v>19</v>
          </cell>
        </row>
        <row r="30">
          <cell r="F30">
            <v>36</v>
          </cell>
        </row>
        <row r="31">
          <cell r="F31">
            <v>37</v>
          </cell>
        </row>
        <row r="32">
          <cell r="F32">
            <v>38</v>
          </cell>
        </row>
        <row r="33">
          <cell r="F33">
            <v>39</v>
          </cell>
        </row>
        <row r="34">
          <cell r="F34">
            <v>40</v>
          </cell>
        </row>
        <row r="35">
          <cell r="F35">
            <v>41</v>
          </cell>
        </row>
        <row r="36">
          <cell r="F36">
            <v>42</v>
          </cell>
        </row>
        <row r="37">
          <cell r="F37">
            <v>43</v>
          </cell>
        </row>
        <row r="38">
          <cell r="F38">
            <v>44</v>
          </cell>
        </row>
        <row r="39">
          <cell r="F39">
            <v>45</v>
          </cell>
        </row>
        <row r="40">
          <cell r="F40">
            <v>46</v>
          </cell>
        </row>
        <row r="41">
          <cell r="F41">
            <v>47</v>
          </cell>
        </row>
        <row r="42">
          <cell r="F42">
            <v>48</v>
          </cell>
        </row>
        <row r="43">
          <cell r="F43">
            <v>49</v>
          </cell>
        </row>
        <row r="44">
          <cell r="F44">
            <v>50</v>
          </cell>
        </row>
        <row r="45">
          <cell r="F45">
            <v>51</v>
          </cell>
        </row>
        <row r="46">
          <cell r="F46">
            <v>52</v>
          </cell>
        </row>
        <row r="47">
          <cell r="F47">
            <v>53</v>
          </cell>
        </row>
        <row r="48">
          <cell r="F48">
            <v>54</v>
          </cell>
        </row>
        <row r="49">
          <cell r="F49">
            <v>55</v>
          </cell>
        </row>
        <row r="50">
          <cell r="F50">
            <v>56</v>
          </cell>
        </row>
        <row r="51">
          <cell r="F51">
            <v>57</v>
          </cell>
        </row>
        <row r="52">
          <cell r="F52">
            <v>58</v>
          </cell>
        </row>
        <row r="53">
          <cell r="F53">
            <v>59</v>
          </cell>
        </row>
        <row r="54">
          <cell r="F54">
            <v>60</v>
          </cell>
        </row>
        <row r="55">
          <cell r="F55">
            <v>61</v>
          </cell>
        </row>
        <row r="56">
          <cell r="F56">
            <v>62</v>
          </cell>
        </row>
        <row r="57">
          <cell r="F57">
            <v>63</v>
          </cell>
        </row>
        <row r="58">
          <cell r="F58">
            <v>64</v>
          </cell>
        </row>
        <row r="59">
          <cell r="F59">
            <v>65</v>
          </cell>
        </row>
      </sheetData>
      <sheetData sheetId="34" refreshError="1"/>
      <sheetData sheetId="35" refreshError="1"/>
      <sheetData sheetId="36" refreshError="1"/>
      <sheetData sheetId="37"/>
      <sheetData sheetId="38" refreshError="1"/>
      <sheetData sheetId="3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Ch4Prt"/>
      <sheetName val="Ch3Prt"/>
      <sheetName val="Ch2Prt"/>
      <sheetName val="Ch1-1c Prt"/>
      <sheetName val="Ch1-1Prt"/>
      <sheetName val="Chart1"/>
      <sheetName val="Export2"/>
      <sheetName val="Export1"/>
      <sheetName val="T-2"/>
      <sheetName val="MarriagePenalty"/>
      <sheetName val="T-Marriage"/>
      <sheetName val="CountyCompare"/>
      <sheetName val="Chart2"/>
      <sheetName val="Chart3"/>
      <sheetName val="Chart4"/>
      <sheetName val="Chart5"/>
      <sheetName val="Chart6"/>
      <sheetName val="T1"/>
      <sheetName val="T2"/>
      <sheetName val="Tb2"/>
      <sheetName val="Tb1"/>
      <sheetName val="Table1"/>
      <sheetName val="Calc1"/>
      <sheetName val="Calc2"/>
      <sheetName val="Calc2b"/>
      <sheetName val="Calc2c"/>
      <sheetName val="Calc0"/>
      <sheetName val="Counties"/>
      <sheetName val="FPIG"/>
      <sheetName val="PayrollTaxes"/>
      <sheetName val="IncomeTax"/>
      <sheetName val="TaxRates"/>
      <sheetName val="ChildDepCare"/>
      <sheetName val="GAIncTax"/>
      <sheetName val="EITC"/>
      <sheetName val="ACTC"/>
      <sheetName val="TANF"/>
      <sheetName val="SSI"/>
      <sheetName val="State SSI"/>
      <sheetName val="T-SNAP"/>
      <sheetName val="SNAP"/>
      <sheetName val="SNAPBenTable"/>
      <sheetName val="T-SBP"/>
      <sheetName val="NSLP"/>
      <sheetName val="NSLP-old"/>
      <sheetName val="WIC"/>
      <sheetName val="HCV"/>
      <sheetName val="Ch-HCV"/>
      <sheetName val="HCVIncome"/>
      <sheetName val="FairMarketRent"/>
      <sheetName val="T-Chs-CAPS"/>
      <sheetName val="CAPSPayRates"/>
      <sheetName val="CAPS"/>
      <sheetName val="Medicaid"/>
      <sheetName val="PeachCare"/>
      <sheetName val="T-HIX"/>
      <sheetName val="Ch-HIX"/>
      <sheetName val="Exchange"/>
      <sheetName val="Lists"/>
      <sheetName val="Cohabiting"/>
      <sheetName val="Intervals"/>
      <sheetName val="WageConversion"/>
      <sheetName val="Chart7"/>
      <sheetName val="Chart8"/>
      <sheetName val="Chart9"/>
      <sheetName val="Chart10"/>
      <sheetName val="Chart11"/>
      <sheetName val="Chart1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71">
          <cell r="B71" t="str">
            <v>Bracket 1</v>
          </cell>
          <cell r="C71">
            <v>6000</v>
          </cell>
          <cell r="D71">
            <v>26</v>
          </cell>
          <cell r="E71">
            <v>6000</v>
          </cell>
          <cell r="F71">
            <v>26</v>
          </cell>
          <cell r="G71">
            <v>6000</v>
          </cell>
          <cell r="H71">
            <v>26</v>
          </cell>
          <cell r="I71"/>
          <cell r="J71"/>
        </row>
        <row r="72">
          <cell r="B72" t="str">
            <v>Bracket 2</v>
          </cell>
          <cell r="C72">
            <v>8000</v>
          </cell>
          <cell r="D72">
            <v>20</v>
          </cell>
          <cell r="E72">
            <v>8000</v>
          </cell>
          <cell r="F72">
            <v>20</v>
          </cell>
          <cell r="G72">
            <v>8000</v>
          </cell>
          <cell r="H72">
            <v>20</v>
          </cell>
          <cell r="I72"/>
          <cell r="J72"/>
        </row>
        <row r="73">
          <cell r="B73" t="str">
            <v>Bracket 3</v>
          </cell>
          <cell r="C73">
            <v>10000</v>
          </cell>
          <cell r="D73">
            <v>14</v>
          </cell>
          <cell r="E73">
            <v>10000</v>
          </cell>
          <cell r="F73">
            <v>14</v>
          </cell>
          <cell r="G73">
            <v>10000</v>
          </cell>
          <cell r="H73">
            <v>14</v>
          </cell>
          <cell r="I73"/>
          <cell r="J73"/>
        </row>
        <row r="74">
          <cell r="B74" t="str">
            <v>Bracket 4</v>
          </cell>
          <cell r="C74">
            <v>15000</v>
          </cell>
          <cell r="D74">
            <v>8</v>
          </cell>
          <cell r="E74">
            <v>15000</v>
          </cell>
          <cell r="F74">
            <v>8</v>
          </cell>
          <cell r="G74">
            <v>15000</v>
          </cell>
          <cell r="H74">
            <v>8</v>
          </cell>
          <cell r="I74"/>
          <cell r="J74"/>
        </row>
        <row r="75">
          <cell r="B75" t="str">
            <v>Bracket 5</v>
          </cell>
          <cell r="C75">
            <v>20000</v>
          </cell>
          <cell r="D75">
            <v>5</v>
          </cell>
          <cell r="E75">
            <v>20000</v>
          </cell>
          <cell r="F75">
            <v>5</v>
          </cell>
          <cell r="G75">
            <v>20000</v>
          </cell>
          <cell r="H75">
            <v>5</v>
          </cell>
          <cell r="I75"/>
          <cell r="J75"/>
        </row>
        <row r="76">
          <cell r="B76"/>
          <cell r="C76"/>
          <cell r="D76"/>
          <cell r="E76"/>
          <cell r="F76"/>
          <cell r="G76"/>
          <cell r="H76"/>
          <cell r="I76"/>
          <cell r="J76"/>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60F421-46F9-4191-85EB-5804E1974904}" name="TANFDisregards" displayName="TANFDisregards" ref="C85:M153" totalsRowShown="0">
  <autoFilter ref="C85:M153" xr:uid="{515D3941-E5A7-45F2-AE94-DD5BA111C29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DE0D7B83-0BCB-4B0E-8C70-34E826C50BB1}" name="State"/>
    <tableColumn id="2" xr3:uid="{490FA3EE-6450-4920-8139-3F2185CA60FD}" name="Name"/>
    <tableColumn id="7" xr3:uid="{F1DD6C9E-4DEE-4FE4-8292-311A61FB27CD}" name="Type"/>
    <tableColumn id="3" xr3:uid="{E55F82C4-3B8A-4A56-9FF0-9F8E04EA930E}" name="Description"/>
    <tableColumn id="8" xr3:uid="{7EF96833-A657-4943-96EF-293C1AC03360}" name="Comment"/>
    <tableColumn id="4" xr3:uid="{384E85C1-6D9A-4C80-B162-382A19F29EFF}" name="2018" dataDxfId="43"/>
    <tableColumn id="5" xr3:uid="{1D214563-2090-45C5-B45B-464A8F79DB97}" name="2019" dataDxfId="42"/>
    <tableColumn id="6" xr3:uid="{DA7C93F6-BB46-4559-9A0E-A6418FC5F907}" name="2020" dataDxfId="41"/>
    <tableColumn id="9" xr3:uid="{6EA68623-D523-49BC-912D-5499BFBB1202}" name="2021" dataDxfId="40"/>
    <tableColumn id="10" xr3:uid="{2FE99191-F7BB-4F51-B73D-7D3C8C5342B6}" name="2022" dataDxfId="39"/>
    <tableColumn id="11" xr3:uid="{CE014B91-AF4D-4461-B030-9207EA2CAA52}" name="2023" dataDxfId="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F0A33A-7259-40FD-B38A-2B4A4246AA65}" name="TANFFactors" displayName="TANFFactors" ref="C222:R650" totalsRowShown="0" headerRowDxfId="37" dataDxfId="36">
  <autoFilter ref="C222:R650" xr:uid="{071C3EAB-2254-4981-81E3-DF601081762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2B9B7EF-89CE-4A12-BF26-A5881D8920A4}" name="State"/>
    <tableColumn id="2" xr3:uid="{25986546-6A27-43B1-B380-8A557906461A}" name="Name"/>
    <tableColumn id="7" xr3:uid="{65169B67-39B8-455F-BDAC-13F38A616B5B}" name="State Name"/>
    <tableColumn id="11" xr3:uid="{E79A94E0-87C8-408E-BB00-FB5533650164}" name="Number Parents"/>
    <tableColumn id="9" xr3:uid="{F6954F4C-27BB-4C6C-A0C8-8E658EB32C37}" name="Source" dataDxfId="35"/>
    <tableColumn id="8" xr3:uid="{9E2FF641-B17B-431E-B126-DC5396F1407F}" name="Comment_1" dataDxfId="34"/>
    <tableColumn id="10" xr3:uid="{6FBDDCE8-AAF2-49A9-A55B-47250BE2AB3A}" name="Comment_2" dataDxfId="33"/>
    <tableColumn id="12" xr3:uid="{DCEAE0ED-9E8E-4A49-A0B6-A9ED3F7053F8}" name="Comment_3" dataDxfId="32"/>
    <tableColumn id="3" xr3:uid="{806AF9FB-32AD-49EA-91D8-85765DF0A45B}" name="Family Size" dataDxfId="31"/>
    <tableColumn id="4" xr3:uid="{EEBF4478-0622-4DBF-B2A7-52EE8DFCD664}" name="2018" dataDxfId="30"/>
    <tableColumn id="5" xr3:uid="{FB031909-12D8-4B10-9664-D577AD02D26A}" name="2019" dataDxfId="29"/>
    <tableColumn id="6" xr3:uid="{437DF598-F2DF-449E-B1E0-FD011794476F}" name="2020" dataDxfId="28"/>
    <tableColumn id="13" xr3:uid="{27B9DBE2-0BA6-4B2B-B3C9-973B02A4485E}" name="2021" dataDxfId="27"/>
    <tableColumn id="14" xr3:uid="{6246FFE7-B3D4-4FAD-92B7-1C880B92A9F9}" name="2022" dataDxfId="26"/>
    <tableColumn id="15" xr3:uid="{6963E83E-6CB2-49A2-A641-AD57D7F7AA75}" name="2023" dataDxfId="25"/>
    <tableColumn id="16" xr3:uid="{D16672B4-7FA2-4078-BABD-31DA426F1A3A}" name="2024" dataDxfId="2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1451A2-7829-40C9-BF87-B54C5F622991}" name="TANFCCExpenses" displayName="TANFCCExpenses" ref="C177:N203" totalsRowShown="0" headerRowDxfId="23" dataDxfId="22">
  <autoFilter ref="C177:N203" xr:uid="{F30200B6-CABF-49D9-9E43-031A3E85A6D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8A644B36-FF16-43FE-9A00-F047D093FB8E}" name="State"/>
    <tableColumn id="2" xr3:uid="{D1C7C725-F2A8-4E27-BAA8-935951A75FD8}" name="Age" dataDxfId="21"/>
    <tableColumn id="8" xr3:uid="{E57CFFA9-32D6-433C-A39D-DF0268B1E712}" name="Allowable Expense"/>
    <tableColumn id="9" xr3:uid="{767A36F5-1AD8-480A-837A-D9CCFCB75EE4}" name="Limit on CC Expense"/>
    <tableColumn id="6" xr3:uid="{D71C3ECD-3076-4CE5-9A80-7F8F327F6A13}" name="Comment_1"/>
    <tableColumn id="7" xr3:uid="{AF018308-3C8A-4121-9EF4-254288A3BF77}" name="Comment_2"/>
    <tableColumn id="3" xr3:uid="{AEDCF096-9E89-4FD7-B23B-AF4DD53E435D}" name="2018" dataDxfId="20"/>
    <tableColumn id="4" xr3:uid="{B709AE29-9B16-4906-A356-EE63AE0FA018}" name="2019" dataDxfId="19"/>
    <tableColumn id="5" xr3:uid="{E702F702-326F-4CA2-BC61-B48A3A7BFAB8}" name="2020" dataDxfId="18"/>
    <tableColumn id="10" xr3:uid="{925D2357-9151-4743-A4B8-3D744EB991E1}" name="2021" dataDxfId="17"/>
    <tableColumn id="11" xr3:uid="{45B20E0B-5A16-4A0B-B06A-07BA8875B321}" name="2022" dataDxfId="16"/>
    <tableColumn id="12" xr3:uid="{632A2340-439B-4B98-8072-0DC5E9C67FE9}" name="2023" dataDxf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1FAE118-A865-4D45-9587-B061F753EB29}" name="TANFComponents" displayName="TANFComponents" ref="C11:K68" totalsRowShown="0">
  <autoFilter ref="C11:K68" xr:uid="{636331EB-0340-4C0B-8C53-51F7318B624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DF5F3748-C805-4BAE-AAAD-18D8DF607E9D}" name="State"/>
    <tableColumn id="2" xr3:uid="{7294484C-A791-47A0-B3E2-6BFDB26994FA}" name="Component"/>
    <tableColumn id="6" xr3:uid="{243D1D05-04DD-47C9-AF8F-4E523C47CF24}" name="Comment"/>
    <tableColumn id="3" xr3:uid="{186AE978-68BE-48A3-A0C5-D8866D8A5F30}" name="2018"/>
    <tableColumn id="4" xr3:uid="{F5A19CA2-F04B-46C7-A3F1-913E2EC226C5}" name="2019"/>
    <tableColumn id="5" xr3:uid="{66E5B94C-0DF1-48A3-962E-3255BAB540DA}" name="2020"/>
    <tableColumn id="7" xr3:uid="{52542090-17EB-46C6-979A-E4AE2ECBCBAB}" name="2021"/>
    <tableColumn id="8" xr3:uid="{66E925E5-ECF0-433B-965C-209D8C91E51C}" name="2022"/>
    <tableColumn id="9" xr3:uid="{3AC391CE-8D0E-4E7A-A609-9B0F2FED804E}" name="202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37CE18-399E-4604-9987-A2E553B456D5}" name="FPIG" displayName="FPIG" ref="C18:Q51" totalsRowShown="0" headerRowDxfId="14">
  <autoFilter ref="C18:Q51" xr:uid="{1E852AFA-38DA-401A-A434-33DC37BE104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F1592579-985D-40B6-A113-3F6F83FE915B}" name="State"/>
    <tableColumn id="2" xr3:uid="{284D697D-1D75-40BD-8600-E21BC2087512}" name="Persons in Family/Household" dataDxfId="13"/>
    <tableColumn id="3" xr3:uid="{C9AEC9DA-CCAE-4AEE-9C37-19A89942C833}" name="2011" dataDxfId="12"/>
    <tableColumn id="4" xr3:uid="{3CFC63E7-A32E-45DF-88AE-83EA214D4D5D}" name="2012" dataDxfId="11"/>
    <tableColumn id="5" xr3:uid="{A2327DD0-AB85-4C6E-A2B1-613D87D53632}" name="2013" dataDxfId="10"/>
    <tableColumn id="6" xr3:uid="{0E12C0E7-AD2F-481A-810F-0D60ABCE77B8}" name="2014" dataDxfId="9"/>
    <tableColumn id="7" xr3:uid="{ED91E273-585A-4262-A7C2-1D07E691EBF5}" name="2015" dataDxfId="8"/>
    <tableColumn id="8" xr3:uid="{459825D6-7D22-498A-B9AA-072A8CC84649}" name="2016" dataDxfId="7"/>
    <tableColumn id="9" xr3:uid="{F9FD6B10-855C-4AEB-833A-EC6BF3575B38}" name="2017" dataDxfId="6"/>
    <tableColumn id="10" xr3:uid="{C8C1C2A3-A84E-4EA8-BD6B-ABB4E2BFE6AF}" name="2018" dataDxfId="5"/>
    <tableColumn id="11" xr3:uid="{76187F40-F70E-49DC-91F2-63635EA1C605}" name="2019" dataDxfId="4"/>
    <tableColumn id="12" xr3:uid="{A767D64C-3744-499A-B8BF-1451DC45F54C}" name="2020" dataDxfId="3"/>
    <tableColumn id="13" xr3:uid="{C46ED760-1CC4-4EEB-8AF6-058B81D486BC}" name="2021" dataDxfId="2"/>
    <tableColumn id="14" xr3:uid="{E2E32E6E-EF13-47E9-832F-42839F614AA1}" name="2022" dataDxfId="1"/>
    <tableColumn id="15" xr3:uid="{43A8D054-92DA-4174-81C1-9FAC24FAECF8}" name="202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dhr.alabama.gov/services/Family_Assistance/Documents/2019StatePlan.pdf" TargetMode="External"/><Relationship Id="rId13" Type="http://schemas.openxmlformats.org/officeDocument/2006/relationships/hyperlink" Target="https://www.myflfamilies.com/service-programs/access/temporary-cash-assistance.shtml" TargetMode="External"/><Relationship Id="rId18" Type="http://schemas.openxmlformats.org/officeDocument/2006/relationships/hyperlink" Target="https://www.mdhs.ms.gov/economic-assistance/tanf/" TargetMode="External"/><Relationship Id="rId26" Type="http://schemas.openxmlformats.org/officeDocument/2006/relationships/printerSettings" Target="../printerSettings/printerSettings1.bin"/><Relationship Id="rId3" Type="http://schemas.openxmlformats.org/officeDocument/2006/relationships/hyperlink" Target="https://wrd.urban.org/wrd/Query/query.cfm" TargetMode="External"/><Relationship Id="rId21" Type="http://schemas.openxmlformats.org/officeDocument/2006/relationships/hyperlink" Target="https://www.tn.gov/content/dam/tn/human-services/documents/TN_WIOA_Combined_State_Plan.pdf" TargetMode="External"/><Relationship Id="rId7" Type="http://schemas.openxmlformats.org/officeDocument/2006/relationships/hyperlink" Target="https://www.tn.gov/content/tn/humanservices.html" TargetMode="External"/><Relationship Id="rId12" Type="http://schemas.openxmlformats.org/officeDocument/2006/relationships/hyperlink" Target="https://www.myflfamilies.com/service-programs/access/docs/TANF-Plan.pdf" TargetMode="External"/><Relationship Id="rId17" Type="http://schemas.openxmlformats.org/officeDocument/2006/relationships/hyperlink" Target="https://www2.ed.gov/about/offices/list/osers/rsa/wioa/state-plans/ms.pdf" TargetMode="External"/><Relationship Id="rId25" Type="http://schemas.openxmlformats.org/officeDocument/2006/relationships/hyperlink" Target="https://yourtexasbenefits.hhsc.texas.gov/programs/tanf/families" TargetMode="External"/><Relationship Id="rId2" Type="http://schemas.openxmlformats.org/officeDocument/2006/relationships/hyperlink" Target="https://wrd.urban.org/wrd/data/databooks/2018%20Welfare%20Rules%20Databook%20Tables%20(final%2008%2007%202019).xlsx" TargetMode="External"/><Relationship Id="rId16" Type="http://schemas.openxmlformats.org/officeDocument/2006/relationships/hyperlink" Target="http://www.dcfs.louisiana.gov/page/139" TargetMode="External"/><Relationship Id="rId20" Type="http://schemas.openxmlformats.org/officeDocument/2006/relationships/hyperlink" Target="https://www.ncdhhs.gov/divisions/social-services/work-first-family-assistance" TargetMode="External"/><Relationship Id="rId29" Type="http://schemas.openxmlformats.org/officeDocument/2006/relationships/table" Target="../tables/table3.xml"/><Relationship Id="rId1" Type="http://schemas.openxmlformats.org/officeDocument/2006/relationships/hyperlink" Target="https://wrd.urban.org/wrd/data/databooks/2018%20Welfare%20Rules%20Databook%20(final%2008%2007%202019).pdf" TargetMode="External"/><Relationship Id="rId6" Type="http://schemas.openxmlformats.org/officeDocument/2006/relationships/hyperlink" Target="http://www.dcfs.louisiana.gov/assets/docs/searchable/EconomicStability/TANF/TANF_portion_combined_WIOAplan.pdf" TargetMode="External"/><Relationship Id="rId11" Type="http://schemas.openxmlformats.org/officeDocument/2006/relationships/hyperlink" Target="https://wrd.urban.org/wrd/Query/query.cfm" TargetMode="External"/><Relationship Id="rId24" Type="http://schemas.openxmlformats.org/officeDocument/2006/relationships/hyperlink" Target="https://hhs.texas.gov/file/74841/download?token=xPCB2aix" TargetMode="External"/><Relationship Id="rId5" Type="http://schemas.openxmlformats.org/officeDocument/2006/relationships/hyperlink" Target="https://dfcs.georgia.gov/document/document/georgias-tanf-state-plan-renewal-2020-2022/download" TargetMode="External"/><Relationship Id="rId15" Type="http://schemas.openxmlformats.org/officeDocument/2006/relationships/hyperlink" Target="https://dfcs.georgia.gov/services/temporary-assistance-needy-families" TargetMode="External"/><Relationship Id="rId23" Type="http://schemas.openxmlformats.org/officeDocument/2006/relationships/hyperlink" Target="https://hhs.texas.gov/laws-regulations/handbooks/twh/part-a-determining-eligibility/section-1400-deductions" TargetMode="External"/><Relationship Id="rId28" Type="http://schemas.openxmlformats.org/officeDocument/2006/relationships/table" Target="../tables/table2.xml"/><Relationship Id="rId10" Type="http://schemas.openxmlformats.org/officeDocument/2006/relationships/hyperlink" Target="https://www.myflfamilies.com/service-programs/access/temporary-cash-assistance.shtml" TargetMode="External"/><Relationship Id="rId19" Type="http://schemas.openxmlformats.org/officeDocument/2006/relationships/hyperlink" Target="https://files.nc.gov/ncdhhs/documents/files/2019-2022%20TANF%20STATE%20PLAN%20DRAFT.pdf" TargetMode="External"/><Relationship Id="rId4" Type="http://schemas.openxmlformats.org/officeDocument/2006/relationships/hyperlink" Target="https://wrd.urban.org/wrd/dictionary/Wrdcategories.cfm?ShowVars=y" TargetMode="External"/><Relationship Id="rId9" Type="http://schemas.openxmlformats.org/officeDocument/2006/relationships/hyperlink" Target="https://hhs.texas.gov/laws-regulations/handbooks/twh/part-c-appendix/section-100-income-limits-proration-charts" TargetMode="External"/><Relationship Id="rId14" Type="http://schemas.openxmlformats.org/officeDocument/2006/relationships/hyperlink" Target="https://www.myflfamilies.com/service-programs/access/docs/tcafactsheet.pdf" TargetMode="External"/><Relationship Id="rId22" Type="http://schemas.openxmlformats.org/officeDocument/2006/relationships/hyperlink" Target="https://www.tn.gov/humanservices/for-families/families-first-tanf.html" TargetMode="External"/><Relationship Id="rId27" Type="http://schemas.openxmlformats.org/officeDocument/2006/relationships/table" Target="../tables/table1.xml"/><Relationship Id="rId30" Type="http://schemas.openxmlformats.org/officeDocument/2006/relationships/table" Target="../tables/table4.xml"/></Relationships>
</file>

<file path=xl/worksheets/_rels/sheet2.xml.rels><?xml version="1.0" encoding="UTF-8" standalone="yes"?>
<Relationships xmlns="http://schemas.openxmlformats.org/package/2006/relationships"><Relationship Id="rId3" Type="http://schemas.openxmlformats.org/officeDocument/2006/relationships/hyperlink" Target="https://aspe.hhs.gov/topics/poverty-economic-mobility/poverty-guidelines" TargetMode="External"/><Relationship Id="rId2" Type="http://schemas.openxmlformats.org/officeDocument/2006/relationships/hyperlink" Target="https://www.federalregister.gov/documents/2020/01/17/2020-00858/annual-update-of-the-hhs-poverty-guidelines" TargetMode="External"/><Relationship Id="rId1" Type="http://schemas.openxmlformats.org/officeDocument/2006/relationships/hyperlink" Target="https://aspe.hhs.gov/poverty-guidelines" TargetMode="External"/><Relationship Id="rId5" Type="http://schemas.openxmlformats.org/officeDocument/2006/relationships/table" Target="../tables/table5.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16E6E-2C0B-4FB5-9F0F-27744C0165DB}">
  <sheetPr codeName="Sheet16"/>
  <dimension ref="A1:AH738"/>
  <sheetViews>
    <sheetView tabSelected="1" topLeftCell="A628" zoomScale="75" zoomScaleNormal="75" workbookViewId="0">
      <selection activeCell="T645" sqref="T645"/>
    </sheetView>
  </sheetViews>
  <sheetFormatPr defaultRowHeight="14.5" x14ac:dyDescent="0.35"/>
  <cols>
    <col min="3" max="3" width="15.54296875" customWidth="1"/>
    <col min="4" max="4" width="37" customWidth="1"/>
    <col min="5" max="5" width="16.54296875" customWidth="1"/>
    <col min="6" max="6" width="19.453125" customWidth="1"/>
    <col min="7" max="7" width="13.90625" customWidth="1"/>
    <col min="8" max="8" width="14" customWidth="1"/>
  </cols>
  <sheetData>
    <row r="1" spans="1:11" x14ac:dyDescent="0.35">
      <c r="A1" s="1" t="s">
        <v>0</v>
      </c>
      <c r="B1" s="1" t="s">
        <v>1</v>
      </c>
    </row>
    <row r="3" spans="1:11" x14ac:dyDescent="0.35">
      <c r="B3" t="s">
        <v>2</v>
      </c>
    </row>
    <row r="5" spans="1:11" x14ac:dyDescent="0.35">
      <c r="B5" t="s">
        <v>3</v>
      </c>
    </row>
    <row r="7" spans="1:11" x14ac:dyDescent="0.35">
      <c r="C7" t="s">
        <v>4</v>
      </c>
      <c r="D7" t="s">
        <v>5</v>
      </c>
      <c r="E7" t="s">
        <v>6</v>
      </c>
      <c r="F7" t="s">
        <v>7</v>
      </c>
      <c r="G7" t="s">
        <v>8</v>
      </c>
    </row>
    <row r="8" spans="1:11" x14ac:dyDescent="0.35">
      <c r="B8" t="s">
        <v>9</v>
      </c>
      <c r="C8" s="2" t="s">
        <v>10</v>
      </c>
      <c r="D8" s="2" t="s">
        <v>10</v>
      </c>
      <c r="E8" s="2" t="s">
        <v>10</v>
      </c>
      <c r="F8" s="2" t="s">
        <v>10</v>
      </c>
      <c r="G8" s="2" t="s">
        <v>10</v>
      </c>
    </row>
    <row r="10" spans="1:11" x14ac:dyDescent="0.35">
      <c r="B10" s="3" t="s">
        <v>11</v>
      </c>
    </row>
    <row r="11" spans="1:11" x14ac:dyDescent="0.35">
      <c r="C11" t="s">
        <v>12</v>
      </c>
      <c r="D11" t="s">
        <v>13</v>
      </c>
      <c r="E11" t="s">
        <v>14</v>
      </c>
      <c r="F11" s="4" t="s">
        <v>15</v>
      </c>
      <c r="G11" s="4" t="s">
        <v>16</v>
      </c>
      <c r="H11" s="4" t="s">
        <v>17</v>
      </c>
      <c r="I11" t="s">
        <v>18</v>
      </c>
      <c r="J11" t="s">
        <v>19</v>
      </c>
      <c r="K11" t="s">
        <v>306</v>
      </c>
    </row>
    <row r="12" spans="1:11" x14ac:dyDescent="0.35">
      <c r="C12" t="s">
        <v>20</v>
      </c>
      <c r="D12" t="s">
        <v>21</v>
      </c>
      <c r="F12" t="b">
        <v>0</v>
      </c>
      <c r="G12" t="b">
        <v>0</v>
      </c>
      <c r="H12" t="b">
        <v>0</v>
      </c>
      <c r="I12" t="b">
        <v>0</v>
      </c>
      <c r="J12" t="b">
        <v>0</v>
      </c>
      <c r="K12" t="b">
        <v>0</v>
      </c>
    </row>
    <row r="13" spans="1:11" x14ac:dyDescent="0.35">
      <c r="C13" t="s">
        <v>22</v>
      </c>
      <c r="D13" t="s">
        <v>21</v>
      </c>
      <c r="F13" t="b">
        <v>0</v>
      </c>
      <c r="G13" t="b">
        <v>0</v>
      </c>
      <c r="H13" t="b">
        <v>0</v>
      </c>
      <c r="I13" t="b">
        <v>0</v>
      </c>
      <c r="J13" t="b">
        <v>0</v>
      </c>
      <c r="K13" t="b">
        <v>0</v>
      </c>
    </row>
    <row r="14" spans="1:11" x14ac:dyDescent="0.35">
      <c r="C14" t="s">
        <v>23</v>
      </c>
      <c r="D14" t="s">
        <v>21</v>
      </c>
      <c r="F14" t="b">
        <v>0</v>
      </c>
      <c r="G14" t="b">
        <v>0</v>
      </c>
      <c r="H14" t="b">
        <v>0</v>
      </c>
      <c r="I14" t="b">
        <v>0</v>
      </c>
      <c r="J14" t="b">
        <v>0</v>
      </c>
      <c r="K14" t="b">
        <v>0</v>
      </c>
    </row>
    <row r="15" spans="1:11" x14ac:dyDescent="0.35">
      <c r="C15" t="s">
        <v>9</v>
      </c>
      <c r="D15" t="s">
        <v>21</v>
      </c>
      <c r="F15" t="b">
        <v>0</v>
      </c>
      <c r="G15" t="b">
        <v>0</v>
      </c>
      <c r="H15" t="b">
        <v>0</v>
      </c>
      <c r="I15" t="b">
        <v>0</v>
      </c>
      <c r="J15" t="b">
        <v>0</v>
      </c>
      <c r="K15" t="b">
        <v>0</v>
      </c>
    </row>
    <row r="16" spans="1:11" x14ac:dyDescent="0.35">
      <c r="C16" t="s">
        <v>24</v>
      </c>
      <c r="D16" t="s">
        <v>21</v>
      </c>
      <c r="F16" t="b">
        <v>0</v>
      </c>
      <c r="G16" t="b">
        <v>0</v>
      </c>
      <c r="H16" t="b">
        <v>0</v>
      </c>
      <c r="I16" t="b">
        <v>0</v>
      </c>
      <c r="J16" t="b">
        <v>0</v>
      </c>
      <c r="K16" t="b">
        <v>0</v>
      </c>
    </row>
    <row r="17" spans="3:11" x14ac:dyDescent="0.35">
      <c r="C17" t="s">
        <v>25</v>
      </c>
      <c r="D17" t="s">
        <v>21</v>
      </c>
      <c r="F17" t="b">
        <v>0</v>
      </c>
      <c r="G17" t="b">
        <v>0</v>
      </c>
      <c r="H17" t="b">
        <v>0</v>
      </c>
      <c r="I17" t="b">
        <v>0</v>
      </c>
      <c r="J17" t="b">
        <v>0</v>
      </c>
      <c r="K17" t="b">
        <v>0</v>
      </c>
    </row>
    <row r="18" spans="3:11" x14ac:dyDescent="0.35">
      <c r="C18" t="s">
        <v>26</v>
      </c>
      <c r="D18" t="s">
        <v>21</v>
      </c>
      <c r="F18" t="b">
        <v>0</v>
      </c>
      <c r="G18" t="b">
        <v>0</v>
      </c>
      <c r="H18" t="b">
        <v>0</v>
      </c>
      <c r="I18" t="b">
        <v>0</v>
      </c>
      <c r="J18" t="b">
        <v>0</v>
      </c>
      <c r="K18" t="b">
        <v>0</v>
      </c>
    </row>
    <row r="19" spans="3:11" x14ac:dyDescent="0.35">
      <c r="C19" t="s">
        <v>27</v>
      </c>
      <c r="D19" t="s">
        <v>21</v>
      </c>
      <c r="F19" t="b">
        <v>0</v>
      </c>
      <c r="G19" t="b">
        <v>0</v>
      </c>
      <c r="H19" t="b">
        <v>0</v>
      </c>
      <c r="I19" t="b">
        <v>0</v>
      </c>
      <c r="J19" t="b">
        <v>0</v>
      </c>
      <c r="K19" t="b">
        <v>0</v>
      </c>
    </row>
    <row r="20" spans="3:11" x14ac:dyDescent="0.35">
      <c r="C20" t="s">
        <v>28</v>
      </c>
      <c r="D20" t="s">
        <v>21</v>
      </c>
      <c r="F20" t="b">
        <v>0</v>
      </c>
      <c r="G20" t="b">
        <v>0</v>
      </c>
      <c r="H20" t="b">
        <v>0</v>
      </c>
      <c r="I20" t="b">
        <v>0</v>
      </c>
      <c r="J20" t="b">
        <v>0</v>
      </c>
      <c r="K20" t="b">
        <v>0</v>
      </c>
    </row>
    <row r="21" spans="3:11" x14ac:dyDescent="0.35">
      <c r="C21" t="s">
        <v>29</v>
      </c>
      <c r="D21" t="s">
        <v>21</v>
      </c>
      <c r="F21" t="b">
        <v>0</v>
      </c>
      <c r="G21" t="b">
        <v>0</v>
      </c>
      <c r="H21" t="b">
        <v>0</v>
      </c>
      <c r="I21" t="b">
        <v>0</v>
      </c>
      <c r="J21" t="b">
        <v>0</v>
      </c>
      <c r="K21" t="b">
        <v>0</v>
      </c>
    </row>
    <row r="22" spans="3:11" x14ac:dyDescent="0.35">
      <c r="C22" t="s">
        <v>30</v>
      </c>
      <c r="D22" t="s">
        <v>21</v>
      </c>
      <c r="F22" t="b">
        <v>0</v>
      </c>
      <c r="G22" t="b">
        <v>0</v>
      </c>
      <c r="H22" t="b">
        <v>0</v>
      </c>
      <c r="I22" t="b">
        <v>0</v>
      </c>
      <c r="J22" t="b">
        <v>0</v>
      </c>
      <c r="K22" t="b">
        <v>0</v>
      </c>
    </row>
    <row r="23" spans="3:11" x14ac:dyDescent="0.35">
      <c r="C23" t="s">
        <v>31</v>
      </c>
      <c r="D23" t="s">
        <v>21</v>
      </c>
      <c r="F23" t="b">
        <v>0</v>
      </c>
      <c r="G23" t="b">
        <v>0</v>
      </c>
      <c r="H23" t="b">
        <v>0</v>
      </c>
      <c r="I23" t="b">
        <v>0</v>
      </c>
      <c r="J23" t="b">
        <v>0</v>
      </c>
      <c r="K23" t="b">
        <v>0</v>
      </c>
    </row>
    <row r="24" spans="3:11" x14ac:dyDescent="0.35">
      <c r="C24" t="s">
        <v>32</v>
      </c>
      <c r="D24" t="s">
        <v>21</v>
      </c>
      <c r="F24" t="b">
        <v>0</v>
      </c>
      <c r="G24" t="b">
        <v>0</v>
      </c>
      <c r="H24" t="b">
        <v>0</v>
      </c>
      <c r="I24" t="b">
        <v>0</v>
      </c>
      <c r="J24" t="b">
        <v>0</v>
      </c>
      <c r="K24" t="b">
        <v>0</v>
      </c>
    </row>
    <row r="25" spans="3:11" x14ac:dyDescent="0.35">
      <c r="C25" t="s">
        <v>33</v>
      </c>
      <c r="D25" t="s">
        <v>21</v>
      </c>
      <c r="F25" t="b">
        <v>0</v>
      </c>
      <c r="G25" t="b">
        <v>0</v>
      </c>
      <c r="H25" t="b">
        <v>0</v>
      </c>
      <c r="I25" t="b">
        <v>0</v>
      </c>
      <c r="J25" t="b">
        <v>0</v>
      </c>
      <c r="K25" t="b">
        <v>0</v>
      </c>
    </row>
    <row r="26" spans="3:11" x14ac:dyDescent="0.35">
      <c r="C26" t="s">
        <v>20</v>
      </c>
      <c r="D26" t="s">
        <v>34</v>
      </c>
      <c r="F26" t="b">
        <v>0</v>
      </c>
      <c r="G26" t="b">
        <v>0</v>
      </c>
      <c r="H26" t="b">
        <v>0</v>
      </c>
      <c r="I26" t="b">
        <v>0</v>
      </c>
      <c r="J26" t="b">
        <v>0</v>
      </c>
      <c r="K26" t="b">
        <v>0</v>
      </c>
    </row>
    <row r="27" spans="3:11" x14ac:dyDescent="0.35">
      <c r="C27" t="s">
        <v>22</v>
      </c>
      <c r="D27" t="s">
        <v>34</v>
      </c>
      <c r="F27" t="b">
        <v>0</v>
      </c>
      <c r="G27" t="b">
        <v>0</v>
      </c>
      <c r="H27" t="b">
        <v>0</v>
      </c>
      <c r="I27" t="b">
        <v>0</v>
      </c>
      <c r="J27" t="b">
        <v>0</v>
      </c>
      <c r="K27" t="b">
        <v>0</v>
      </c>
    </row>
    <row r="28" spans="3:11" x14ac:dyDescent="0.35">
      <c r="C28" t="s">
        <v>23</v>
      </c>
      <c r="D28" t="s">
        <v>34</v>
      </c>
      <c r="E28" t="s">
        <v>35</v>
      </c>
      <c r="F28" t="b">
        <v>1</v>
      </c>
      <c r="G28" t="b">
        <v>1</v>
      </c>
      <c r="H28" t="b">
        <v>1</v>
      </c>
      <c r="I28" t="b">
        <v>1</v>
      </c>
      <c r="J28" t="b">
        <v>1</v>
      </c>
      <c r="K28" t="b">
        <v>1</v>
      </c>
    </row>
    <row r="29" spans="3:11" x14ac:dyDescent="0.35">
      <c r="C29" t="s">
        <v>9</v>
      </c>
      <c r="D29" t="s">
        <v>34</v>
      </c>
      <c r="F29" t="b">
        <v>0</v>
      </c>
      <c r="G29" t="b">
        <v>0</v>
      </c>
      <c r="H29" t="b">
        <v>0</v>
      </c>
      <c r="I29" t="b">
        <v>0</v>
      </c>
      <c r="J29" t="b">
        <v>0</v>
      </c>
      <c r="K29" t="b">
        <v>0</v>
      </c>
    </row>
    <row r="30" spans="3:11" x14ac:dyDescent="0.35">
      <c r="C30" t="s">
        <v>24</v>
      </c>
      <c r="D30" t="s">
        <v>34</v>
      </c>
      <c r="E30" t="s">
        <v>36</v>
      </c>
      <c r="F30" t="b">
        <v>1</v>
      </c>
      <c r="G30" t="b">
        <v>1</v>
      </c>
      <c r="H30" t="b">
        <v>1</v>
      </c>
      <c r="I30" t="b">
        <v>1</v>
      </c>
      <c r="J30" t="b">
        <v>1</v>
      </c>
      <c r="K30" t="b">
        <v>1</v>
      </c>
    </row>
    <row r="31" spans="3:11" x14ac:dyDescent="0.35">
      <c r="C31" t="s">
        <v>26</v>
      </c>
      <c r="D31" t="s">
        <v>34</v>
      </c>
      <c r="F31" t="b">
        <v>0</v>
      </c>
      <c r="G31" t="b">
        <v>0</v>
      </c>
      <c r="H31" t="b">
        <v>0</v>
      </c>
      <c r="I31" t="b">
        <v>0</v>
      </c>
      <c r="J31" t="b">
        <v>0</v>
      </c>
      <c r="K31" t="b">
        <v>0</v>
      </c>
    </row>
    <row r="32" spans="3:11" x14ac:dyDescent="0.35">
      <c r="C32" t="s">
        <v>25</v>
      </c>
      <c r="D32" t="s">
        <v>34</v>
      </c>
      <c r="F32" t="b">
        <v>0</v>
      </c>
      <c r="G32" t="b">
        <v>0</v>
      </c>
      <c r="H32" t="b">
        <v>0</v>
      </c>
      <c r="I32" t="b">
        <v>0</v>
      </c>
      <c r="J32" t="b">
        <v>0</v>
      </c>
      <c r="K32" t="b">
        <v>0</v>
      </c>
    </row>
    <row r="33" spans="3:11" x14ac:dyDescent="0.35">
      <c r="C33" t="s">
        <v>27</v>
      </c>
      <c r="D33" t="s">
        <v>34</v>
      </c>
      <c r="F33" t="b">
        <v>0</v>
      </c>
      <c r="G33" t="b">
        <v>0</v>
      </c>
      <c r="H33" t="b">
        <v>0</v>
      </c>
      <c r="I33" t="b">
        <v>0</v>
      </c>
      <c r="J33" t="b">
        <v>0</v>
      </c>
      <c r="K33" t="b">
        <v>0</v>
      </c>
    </row>
    <row r="34" spans="3:11" x14ac:dyDescent="0.35">
      <c r="C34" t="s">
        <v>28</v>
      </c>
      <c r="D34" t="s">
        <v>34</v>
      </c>
      <c r="F34" t="b">
        <v>0</v>
      </c>
      <c r="G34" t="b">
        <v>0</v>
      </c>
      <c r="H34" t="b">
        <v>0</v>
      </c>
      <c r="I34" t="b">
        <v>0</v>
      </c>
      <c r="J34" t="b">
        <v>0</v>
      </c>
      <c r="K34" t="b">
        <v>0</v>
      </c>
    </row>
    <row r="35" spans="3:11" x14ac:dyDescent="0.35">
      <c r="C35" t="s">
        <v>29</v>
      </c>
      <c r="D35" t="s">
        <v>34</v>
      </c>
      <c r="F35" t="b">
        <v>0</v>
      </c>
      <c r="G35" t="b">
        <v>0</v>
      </c>
      <c r="H35" t="b">
        <v>0</v>
      </c>
      <c r="I35" t="b">
        <v>0</v>
      </c>
      <c r="J35" t="b">
        <v>0</v>
      </c>
      <c r="K35" t="b">
        <v>0</v>
      </c>
    </row>
    <row r="36" spans="3:11" x14ac:dyDescent="0.35">
      <c r="C36" t="s">
        <v>30</v>
      </c>
      <c r="D36" t="s">
        <v>34</v>
      </c>
      <c r="E36" t="s">
        <v>36</v>
      </c>
      <c r="F36" t="b">
        <v>1</v>
      </c>
      <c r="G36" t="b">
        <v>1</v>
      </c>
      <c r="H36" t="b">
        <v>1</v>
      </c>
      <c r="I36" t="b">
        <v>1</v>
      </c>
      <c r="J36" t="b">
        <v>1</v>
      </c>
      <c r="K36" t="b">
        <v>1</v>
      </c>
    </row>
    <row r="37" spans="3:11" x14ac:dyDescent="0.35">
      <c r="C37" t="s">
        <v>31</v>
      </c>
      <c r="D37" t="s">
        <v>34</v>
      </c>
      <c r="F37" t="b">
        <v>0</v>
      </c>
      <c r="G37" t="b">
        <v>0</v>
      </c>
      <c r="H37" t="b">
        <v>0</v>
      </c>
      <c r="I37" t="b">
        <v>0</v>
      </c>
      <c r="J37" t="b">
        <v>0</v>
      </c>
      <c r="K37" t="b">
        <v>0</v>
      </c>
    </row>
    <row r="38" spans="3:11" x14ac:dyDescent="0.35">
      <c r="C38" t="s">
        <v>32</v>
      </c>
      <c r="D38" t="s">
        <v>34</v>
      </c>
      <c r="F38" t="b">
        <v>1</v>
      </c>
      <c r="G38" t="b">
        <v>1</v>
      </c>
      <c r="H38" t="b">
        <v>1</v>
      </c>
      <c r="I38" t="b">
        <v>1</v>
      </c>
      <c r="J38" t="b">
        <v>1</v>
      </c>
      <c r="K38" t="b">
        <v>1</v>
      </c>
    </row>
    <row r="39" spans="3:11" x14ac:dyDescent="0.35">
      <c r="C39" t="s">
        <v>33</v>
      </c>
      <c r="D39" t="s">
        <v>34</v>
      </c>
      <c r="F39" t="b">
        <v>0</v>
      </c>
      <c r="G39" t="b">
        <v>0</v>
      </c>
      <c r="H39" t="b">
        <v>0</v>
      </c>
      <c r="I39" t="b">
        <v>0</v>
      </c>
      <c r="J39" t="b">
        <v>0</v>
      </c>
      <c r="K39" t="b">
        <v>0</v>
      </c>
    </row>
    <row r="40" spans="3:11" x14ac:dyDescent="0.35">
      <c r="C40" t="s">
        <v>20</v>
      </c>
      <c r="D40" t="s">
        <v>37</v>
      </c>
      <c r="F40" t="b">
        <v>1</v>
      </c>
      <c r="G40" t="b">
        <v>1</v>
      </c>
      <c r="H40" t="b">
        <v>1</v>
      </c>
      <c r="I40" t="b">
        <v>1</v>
      </c>
      <c r="J40" t="b">
        <v>1</v>
      </c>
      <c r="K40" t="b">
        <v>1</v>
      </c>
    </row>
    <row r="41" spans="3:11" x14ac:dyDescent="0.35">
      <c r="C41" t="s">
        <v>22</v>
      </c>
      <c r="D41" t="s">
        <v>37</v>
      </c>
      <c r="F41" t="b">
        <v>1</v>
      </c>
      <c r="G41" t="b">
        <v>1</v>
      </c>
      <c r="H41" t="b">
        <v>1</v>
      </c>
      <c r="I41" t="b">
        <v>1</v>
      </c>
      <c r="J41" t="b">
        <v>1</v>
      </c>
      <c r="K41" t="b">
        <v>1</v>
      </c>
    </row>
    <row r="42" spans="3:11" x14ac:dyDescent="0.35">
      <c r="C42" t="s">
        <v>23</v>
      </c>
      <c r="D42" t="s">
        <v>37</v>
      </c>
      <c r="F42" t="b">
        <v>1</v>
      </c>
      <c r="G42" t="b">
        <v>1</v>
      </c>
      <c r="H42" t="b">
        <v>1</v>
      </c>
      <c r="I42" t="b">
        <v>1</v>
      </c>
      <c r="J42" t="b">
        <v>1</v>
      </c>
      <c r="K42" t="b">
        <v>1</v>
      </c>
    </row>
    <row r="43" spans="3:11" x14ac:dyDescent="0.35">
      <c r="C43" t="s">
        <v>9</v>
      </c>
      <c r="D43" t="s">
        <v>37</v>
      </c>
      <c r="F43" t="b">
        <v>1</v>
      </c>
      <c r="G43" t="b">
        <v>1</v>
      </c>
      <c r="H43" t="b">
        <v>1</v>
      </c>
      <c r="I43" t="b">
        <v>1</v>
      </c>
      <c r="J43" t="b">
        <v>1</v>
      </c>
      <c r="K43" t="b">
        <v>1</v>
      </c>
    </row>
    <row r="44" spans="3:11" x14ac:dyDescent="0.35">
      <c r="C44" t="s">
        <v>24</v>
      </c>
      <c r="D44" t="s">
        <v>37</v>
      </c>
      <c r="F44" t="b">
        <v>0</v>
      </c>
      <c r="G44" t="b">
        <v>0</v>
      </c>
      <c r="H44" t="b">
        <v>0</v>
      </c>
      <c r="I44" t="b">
        <v>0</v>
      </c>
      <c r="J44" t="b">
        <v>0</v>
      </c>
      <c r="K44" t="b">
        <v>0</v>
      </c>
    </row>
    <row r="45" spans="3:11" x14ac:dyDescent="0.35">
      <c r="C45" t="s">
        <v>26</v>
      </c>
      <c r="D45" t="s">
        <v>37</v>
      </c>
      <c r="F45" t="b">
        <v>1</v>
      </c>
      <c r="G45" t="b">
        <v>1</v>
      </c>
      <c r="H45" t="b">
        <v>1</v>
      </c>
      <c r="I45" t="b">
        <v>1</v>
      </c>
      <c r="J45" t="b">
        <v>1</v>
      </c>
      <c r="K45" t="b">
        <v>1</v>
      </c>
    </row>
    <row r="46" spans="3:11" x14ac:dyDescent="0.35">
      <c r="C46" t="s">
        <v>25</v>
      </c>
      <c r="D46" t="s">
        <v>37</v>
      </c>
      <c r="F46" t="b">
        <v>1</v>
      </c>
      <c r="G46" t="b">
        <v>1</v>
      </c>
      <c r="H46" t="b">
        <v>1</v>
      </c>
      <c r="I46" t="b">
        <v>1</v>
      </c>
      <c r="J46" t="b">
        <v>1</v>
      </c>
      <c r="K46" t="b">
        <v>1</v>
      </c>
    </row>
    <row r="47" spans="3:11" x14ac:dyDescent="0.35">
      <c r="C47" t="s">
        <v>27</v>
      </c>
      <c r="D47" t="s">
        <v>37</v>
      </c>
      <c r="F47" t="b">
        <v>1</v>
      </c>
      <c r="G47" t="b">
        <v>1</v>
      </c>
      <c r="H47" t="b">
        <v>1</v>
      </c>
      <c r="I47" t="b">
        <v>1</v>
      </c>
      <c r="J47" t="b">
        <v>1</v>
      </c>
      <c r="K47" t="b">
        <v>1</v>
      </c>
    </row>
    <row r="48" spans="3:11" x14ac:dyDescent="0.35">
      <c r="C48" t="s">
        <v>28</v>
      </c>
      <c r="D48" t="s">
        <v>37</v>
      </c>
      <c r="F48" t="b">
        <v>1</v>
      </c>
      <c r="G48" t="b">
        <v>1</v>
      </c>
      <c r="H48" t="b">
        <v>1</v>
      </c>
      <c r="I48" t="b">
        <v>1</v>
      </c>
      <c r="J48" t="b">
        <v>1</v>
      </c>
      <c r="K48" t="b">
        <v>1</v>
      </c>
    </row>
    <row r="49" spans="3:11" x14ac:dyDescent="0.35">
      <c r="C49" t="s">
        <v>29</v>
      </c>
      <c r="D49" t="s">
        <v>37</v>
      </c>
      <c r="F49" t="b">
        <v>1</v>
      </c>
      <c r="G49" t="b">
        <v>1</v>
      </c>
      <c r="H49" t="b">
        <v>1</v>
      </c>
      <c r="I49" t="b">
        <v>1</v>
      </c>
      <c r="J49" t="b">
        <v>1</v>
      </c>
      <c r="K49" t="b">
        <v>1</v>
      </c>
    </row>
    <row r="50" spans="3:11" x14ac:dyDescent="0.35">
      <c r="C50" t="s">
        <v>30</v>
      </c>
      <c r="D50" t="s">
        <v>37</v>
      </c>
      <c r="F50" t="b">
        <v>1</v>
      </c>
      <c r="G50" t="b">
        <v>1</v>
      </c>
      <c r="H50" t="b">
        <v>1</v>
      </c>
      <c r="I50" t="b">
        <v>1</v>
      </c>
      <c r="J50" t="b">
        <v>1</v>
      </c>
      <c r="K50" t="b">
        <v>1</v>
      </c>
    </row>
    <row r="51" spans="3:11" x14ac:dyDescent="0.35">
      <c r="C51" t="s">
        <v>31</v>
      </c>
      <c r="D51" t="s">
        <v>37</v>
      </c>
      <c r="F51" t="b">
        <v>1</v>
      </c>
      <c r="G51" t="b">
        <v>1</v>
      </c>
      <c r="H51" t="b">
        <v>1</v>
      </c>
      <c r="I51" t="b">
        <v>1</v>
      </c>
      <c r="J51" t="b">
        <v>1</v>
      </c>
      <c r="K51" t="b">
        <v>1</v>
      </c>
    </row>
    <row r="52" spans="3:11" x14ac:dyDescent="0.35">
      <c r="C52" t="s">
        <v>32</v>
      </c>
      <c r="D52" t="s">
        <v>37</v>
      </c>
      <c r="F52" t="b">
        <v>1</v>
      </c>
      <c r="G52" t="b">
        <v>1</v>
      </c>
      <c r="H52" t="b">
        <v>1</v>
      </c>
      <c r="I52" t="b">
        <v>1</v>
      </c>
      <c r="J52" t="b">
        <v>1</v>
      </c>
      <c r="K52" t="b">
        <v>1</v>
      </c>
    </row>
    <row r="53" spans="3:11" x14ac:dyDescent="0.35">
      <c r="C53" t="s">
        <v>33</v>
      </c>
      <c r="D53" t="s">
        <v>37</v>
      </c>
      <c r="F53" t="b">
        <v>1</v>
      </c>
      <c r="G53" t="b">
        <v>1</v>
      </c>
      <c r="H53" t="b">
        <v>1</v>
      </c>
      <c r="I53" t="b">
        <v>1</v>
      </c>
      <c r="J53" t="b">
        <v>1</v>
      </c>
      <c r="K53" t="b">
        <v>1</v>
      </c>
    </row>
    <row r="54" spans="3:11" x14ac:dyDescent="0.35">
      <c r="C54" t="s">
        <v>20</v>
      </c>
      <c r="D54" t="s">
        <v>38</v>
      </c>
      <c r="F54" t="b">
        <v>1</v>
      </c>
      <c r="G54" t="b">
        <v>1</v>
      </c>
      <c r="H54" t="b">
        <v>1</v>
      </c>
      <c r="I54" t="b">
        <v>1</v>
      </c>
      <c r="J54" t="b">
        <v>1</v>
      </c>
      <c r="K54" t="b">
        <v>1</v>
      </c>
    </row>
    <row r="55" spans="3:11" x14ac:dyDescent="0.35">
      <c r="C55" t="s">
        <v>22</v>
      </c>
      <c r="D55" t="s">
        <v>38</v>
      </c>
      <c r="F55" t="b">
        <v>1</v>
      </c>
      <c r="G55" t="b">
        <v>1</v>
      </c>
      <c r="H55" t="b">
        <v>1</v>
      </c>
      <c r="I55" t="b">
        <v>1</v>
      </c>
      <c r="J55" t="b">
        <v>1</v>
      </c>
      <c r="K55" t="b">
        <v>1</v>
      </c>
    </row>
    <row r="56" spans="3:11" x14ac:dyDescent="0.35">
      <c r="C56" t="s">
        <v>23</v>
      </c>
      <c r="D56" t="s">
        <v>38</v>
      </c>
      <c r="F56" t="b">
        <v>0</v>
      </c>
      <c r="G56" t="b">
        <v>0</v>
      </c>
      <c r="H56" t="b">
        <v>0</v>
      </c>
      <c r="I56" t="b">
        <v>0</v>
      </c>
      <c r="J56" t="b">
        <v>0</v>
      </c>
      <c r="K56" t="b">
        <v>0</v>
      </c>
    </row>
    <row r="57" spans="3:11" x14ac:dyDescent="0.35">
      <c r="C57" t="s">
        <v>9</v>
      </c>
      <c r="D57" t="s">
        <v>38</v>
      </c>
      <c r="F57" t="b">
        <v>0</v>
      </c>
      <c r="G57" t="b">
        <v>0</v>
      </c>
      <c r="H57" t="b">
        <v>0</v>
      </c>
      <c r="I57" t="b">
        <v>0</v>
      </c>
      <c r="J57" t="b">
        <v>0</v>
      </c>
      <c r="K57" t="b">
        <v>0</v>
      </c>
    </row>
    <row r="58" spans="3:11" x14ac:dyDescent="0.35">
      <c r="C58" t="s">
        <v>24</v>
      </c>
      <c r="D58" t="s">
        <v>38</v>
      </c>
      <c r="F58" t="b">
        <v>1</v>
      </c>
      <c r="G58" t="b">
        <v>1</v>
      </c>
      <c r="H58" t="b">
        <v>1</v>
      </c>
      <c r="I58" t="b">
        <v>1</v>
      </c>
      <c r="J58" t="b">
        <v>1</v>
      </c>
      <c r="K58" t="b">
        <v>1</v>
      </c>
    </row>
    <row r="59" spans="3:11" x14ac:dyDescent="0.35">
      <c r="C59" t="s">
        <v>26</v>
      </c>
      <c r="D59" t="s">
        <v>38</v>
      </c>
      <c r="F59" t="b">
        <v>0</v>
      </c>
      <c r="G59" t="b">
        <v>0</v>
      </c>
      <c r="H59" t="b">
        <v>0</v>
      </c>
      <c r="I59" t="b">
        <v>0</v>
      </c>
      <c r="J59" t="b">
        <v>0</v>
      </c>
      <c r="K59" t="b">
        <v>0</v>
      </c>
    </row>
    <row r="60" spans="3:11" x14ac:dyDescent="0.35">
      <c r="C60" t="s">
        <v>25</v>
      </c>
      <c r="D60" t="s">
        <v>38</v>
      </c>
      <c r="F60" t="b">
        <v>1</v>
      </c>
      <c r="G60" t="b">
        <v>1</v>
      </c>
      <c r="H60" t="b">
        <v>1</v>
      </c>
      <c r="I60" t="b">
        <v>1</v>
      </c>
      <c r="J60" t="b">
        <v>1</v>
      </c>
      <c r="K60" t="b">
        <v>1</v>
      </c>
    </row>
    <row r="61" spans="3:11" x14ac:dyDescent="0.35">
      <c r="C61" t="s">
        <v>27</v>
      </c>
      <c r="D61" t="s">
        <v>38</v>
      </c>
      <c r="F61" t="b">
        <v>1</v>
      </c>
      <c r="G61" t="b">
        <v>1</v>
      </c>
      <c r="H61" t="b">
        <v>1</v>
      </c>
      <c r="I61" t="b">
        <v>1</v>
      </c>
      <c r="J61" t="b">
        <v>1</v>
      </c>
      <c r="K61" t="b">
        <v>1</v>
      </c>
    </row>
    <row r="62" spans="3:11" x14ac:dyDescent="0.35">
      <c r="C62" t="s">
        <v>28</v>
      </c>
      <c r="D62" t="s">
        <v>38</v>
      </c>
      <c r="F62" t="b">
        <v>0</v>
      </c>
      <c r="G62" t="b">
        <v>0</v>
      </c>
      <c r="H62" t="b">
        <v>0</v>
      </c>
      <c r="I62" t="b">
        <v>0</v>
      </c>
      <c r="J62" t="b">
        <v>0</v>
      </c>
      <c r="K62" t="b">
        <v>0</v>
      </c>
    </row>
    <row r="63" spans="3:11" x14ac:dyDescent="0.35">
      <c r="C63" t="s">
        <v>29</v>
      </c>
      <c r="D63" t="s">
        <v>38</v>
      </c>
      <c r="F63" t="b">
        <v>1</v>
      </c>
      <c r="G63" t="b">
        <v>1</v>
      </c>
      <c r="H63" t="b">
        <v>1</v>
      </c>
      <c r="I63" t="b">
        <v>1</v>
      </c>
      <c r="J63" t="b">
        <v>1</v>
      </c>
      <c r="K63" t="b">
        <v>1</v>
      </c>
    </row>
    <row r="64" spans="3:11" x14ac:dyDescent="0.35">
      <c r="C64" t="s">
        <v>30</v>
      </c>
      <c r="D64" t="s">
        <v>38</v>
      </c>
      <c r="F64" t="b">
        <v>0</v>
      </c>
      <c r="G64" t="b">
        <v>0</v>
      </c>
      <c r="H64" t="b">
        <v>0</v>
      </c>
      <c r="I64" t="b">
        <v>0</v>
      </c>
      <c r="J64" t="b">
        <v>0</v>
      </c>
      <c r="K64" t="b">
        <v>0</v>
      </c>
    </row>
    <row r="65" spans="2:11" x14ac:dyDescent="0.35">
      <c r="C65" t="s">
        <v>31</v>
      </c>
      <c r="D65" t="s">
        <v>38</v>
      </c>
      <c r="F65" s="4" t="s">
        <v>39</v>
      </c>
      <c r="G65" s="4" t="s">
        <v>39</v>
      </c>
      <c r="H65" s="4" t="s">
        <v>39</v>
      </c>
      <c r="I65" s="4" t="s">
        <v>39</v>
      </c>
      <c r="J65" s="4" t="s">
        <v>39</v>
      </c>
      <c r="K65" s="4" t="s">
        <v>39</v>
      </c>
    </row>
    <row r="66" spans="2:11" x14ac:dyDescent="0.35">
      <c r="C66" t="s">
        <v>32</v>
      </c>
      <c r="D66" t="s">
        <v>38</v>
      </c>
      <c r="F66" s="4" t="b">
        <v>1</v>
      </c>
      <c r="G66" s="4" t="b">
        <v>1</v>
      </c>
      <c r="H66" s="4" t="b">
        <v>1</v>
      </c>
      <c r="I66" s="4" t="b">
        <v>1</v>
      </c>
      <c r="J66" s="4" t="b">
        <v>1</v>
      </c>
      <c r="K66" s="4" t="b">
        <v>1</v>
      </c>
    </row>
    <row r="67" spans="2:11" x14ac:dyDescent="0.35">
      <c r="C67" t="s">
        <v>33</v>
      </c>
      <c r="D67" t="s">
        <v>38</v>
      </c>
      <c r="F67" t="b">
        <v>0</v>
      </c>
      <c r="G67" t="b">
        <v>0</v>
      </c>
      <c r="H67" t="b">
        <v>0</v>
      </c>
      <c r="I67" t="b">
        <v>0</v>
      </c>
      <c r="J67" t="b">
        <v>0</v>
      </c>
      <c r="K67" t="b">
        <v>0</v>
      </c>
    </row>
    <row r="68" spans="2:11" x14ac:dyDescent="0.35">
      <c r="C68" t="s">
        <v>33</v>
      </c>
      <c r="D68" t="s">
        <v>305</v>
      </c>
      <c r="F68" t="b">
        <v>1</v>
      </c>
      <c r="G68" t="b">
        <v>1</v>
      </c>
      <c r="H68" t="b">
        <v>1</v>
      </c>
      <c r="I68" t="b">
        <v>1</v>
      </c>
      <c r="J68" t="b">
        <v>1</v>
      </c>
      <c r="K68" t="b">
        <v>1</v>
      </c>
    </row>
    <row r="70" spans="2:11" x14ac:dyDescent="0.35">
      <c r="B70" s="3" t="s">
        <v>40</v>
      </c>
    </row>
    <row r="71" spans="2:11" x14ac:dyDescent="0.35">
      <c r="C71" s="5" t="s">
        <v>41</v>
      </c>
      <c r="D71" t="s">
        <v>42</v>
      </c>
    </row>
    <row r="72" spans="2:11" x14ac:dyDescent="0.35">
      <c r="C72" s="5" t="s">
        <v>43</v>
      </c>
      <c r="D72" s="5" t="s">
        <v>44</v>
      </c>
      <c r="E72" t="s">
        <v>9</v>
      </c>
    </row>
    <row r="73" spans="2:11" x14ac:dyDescent="0.35">
      <c r="D73" s="5" t="s">
        <v>45</v>
      </c>
      <c r="E73" t="str">
        <f>H73</f>
        <v>Include SSI Child in AU?</v>
      </c>
      <c r="H73" s="6" t="s">
        <v>21</v>
      </c>
    </row>
    <row r="74" spans="2:11" x14ac:dyDescent="0.35">
      <c r="D74" s="5" t="s">
        <v>46</v>
      </c>
      <c r="E74">
        <v>2019</v>
      </c>
    </row>
    <row r="75" spans="2:11" x14ac:dyDescent="0.35">
      <c r="D75" s="7" t="s">
        <v>47</v>
      </c>
      <c r="E75" t="b">
        <f t="array" ref="E75">INDEX(TANFComponents[],MATCH(1,(TANFComponents[State]=$E$72)*(TANFComponents[Component]=$E$73),0),MATCH($E$74,VALUE(TANFComponents[#Headers]),0))</f>
        <v>0</v>
      </c>
    </row>
    <row r="77" spans="2:11" x14ac:dyDescent="0.35">
      <c r="B77" s="3" t="s">
        <v>48</v>
      </c>
    </row>
    <row r="78" spans="2:11" x14ac:dyDescent="0.35">
      <c r="C78" s="1" t="s">
        <v>49</v>
      </c>
    </row>
    <row r="79" spans="2:11" x14ac:dyDescent="0.35">
      <c r="C79" t="s">
        <v>50</v>
      </c>
      <c r="D79" t="s">
        <v>51</v>
      </c>
    </row>
    <row r="80" spans="2:11" x14ac:dyDescent="0.35">
      <c r="C80" t="s">
        <v>52</v>
      </c>
      <c r="D80" t="s">
        <v>53</v>
      </c>
      <c r="F80" t="s">
        <v>54</v>
      </c>
    </row>
    <row r="81" spans="2:13" x14ac:dyDescent="0.35">
      <c r="C81" t="s">
        <v>55</v>
      </c>
      <c r="D81" t="s">
        <v>56</v>
      </c>
    </row>
    <row r="83" spans="2:13" x14ac:dyDescent="0.35">
      <c r="G83" s="8" t="s">
        <v>57</v>
      </c>
      <c r="H83" s="8" t="s">
        <v>58</v>
      </c>
    </row>
    <row r="84" spans="2:13" x14ac:dyDescent="0.35">
      <c r="B84" s="3" t="s">
        <v>59</v>
      </c>
    </row>
    <row r="85" spans="2:13" x14ac:dyDescent="0.35">
      <c r="C85" t="s">
        <v>12</v>
      </c>
      <c r="D85" t="s">
        <v>60</v>
      </c>
      <c r="E85" t="s">
        <v>61</v>
      </c>
      <c r="F85" t="s">
        <v>62</v>
      </c>
      <c r="G85" t="s">
        <v>14</v>
      </c>
      <c r="H85" s="4" t="s">
        <v>15</v>
      </c>
      <c r="I85" s="4" t="s">
        <v>16</v>
      </c>
      <c r="J85" s="4" t="s">
        <v>17</v>
      </c>
      <c r="K85" t="s">
        <v>18</v>
      </c>
      <c r="L85" t="s">
        <v>19</v>
      </c>
      <c r="M85" t="s">
        <v>306</v>
      </c>
    </row>
    <row r="86" spans="2:13" x14ac:dyDescent="0.35">
      <c r="C86" t="s">
        <v>20</v>
      </c>
      <c r="D86" t="s">
        <v>63</v>
      </c>
      <c r="E86" t="s">
        <v>58</v>
      </c>
      <c r="H86" s="9">
        <v>0.2</v>
      </c>
      <c r="I86" s="9">
        <v>0.2</v>
      </c>
      <c r="J86" s="9">
        <v>0.2</v>
      </c>
      <c r="K86" s="9">
        <v>0.2</v>
      </c>
      <c r="L86" s="9">
        <v>0.2</v>
      </c>
      <c r="M86" s="9">
        <v>0.2</v>
      </c>
    </row>
    <row r="87" spans="2:13" x14ac:dyDescent="0.35">
      <c r="C87" t="s">
        <v>20</v>
      </c>
      <c r="D87" t="s">
        <v>64</v>
      </c>
      <c r="E87" t="s">
        <v>58</v>
      </c>
      <c r="H87" s="9">
        <v>0.2</v>
      </c>
      <c r="I87" s="9">
        <v>0.2</v>
      </c>
      <c r="J87" s="9">
        <v>0.2</v>
      </c>
      <c r="K87" s="9">
        <v>0.2</v>
      </c>
      <c r="L87" s="9">
        <v>0.2</v>
      </c>
      <c r="M87" s="9">
        <v>0.2</v>
      </c>
    </row>
    <row r="88" spans="2:13" x14ac:dyDescent="0.35">
      <c r="C88" t="s">
        <v>20</v>
      </c>
      <c r="D88" t="s">
        <v>65</v>
      </c>
      <c r="E88" t="s">
        <v>58</v>
      </c>
      <c r="F88" t="s">
        <v>66</v>
      </c>
      <c r="H88" s="9">
        <v>1</v>
      </c>
      <c r="I88" s="9">
        <v>1</v>
      </c>
      <c r="J88" s="9">
        <v>1</v>
      </c>
      <c r="K88" s="9">
        <v>1</v>
      </c>
      <c r="L88" s="9">
        <v>1</v>
      </c>
      <c r="M88" s="9">
        <v>1</v>
      </c>
    </row>
    <row r="89" spans="2:13" x14ac:dyDescent="0.35">
      <c r="C89" t="s">
        <v>20</v>
      </c>
      <c r="D89" t="s">
        <v>67</v>
      </c>
      <c r="E89" t="s">
        <v>58</v>
      </c>
      <c r="F89" t="s">
        <v>68</v>
      </c>
      <c r="H89" s="9">
        <v>1</v>
      </c>
      <c r="I89" s="9">
        <v>1</v>
      </c>
      <c r="J89" s="9">
        <v>1</v>
      </c>
      <c r="K89" s="9">
        <v>1</v>
      </c>
      <c r="L89" s="9">
        <v>1</v>
      </c>
      <c r="M89" s="9">
        <v>1</v>
      </c>
    </row>
    <row r="90" spans="2:13" x14ac:dyDescent="0.35">
      <c r="C90" t="s">
        <v>22</v>
      </c>
      <c r="D90" t="s">
        <v>63</v>
      </c>
      <c r="E90" t="s">
        <v>58</v>
      </c>
      <c r="F90" t="s">
        <v>69</v>
      </c>
      <c r="H90" s="9">
        <v>0.2</v>
      </c>
      <c r="I90" s="9">
        <v>0.2</v>
      </c>
      <c r="J90" s="9">
        <v>0.2</v>
      </c>
      <c r="K90" s="9">
        <v>0.2</v>
      </c>
      <c r="L90" s="9">
        <v>0.2</v>
      </c>
      <c r="M90" s="9">
        <v>0.2</v>
      </c>
    </row>
    <row r="91" spans="2:13" x14ac:dyDescent="0.35">
      <c r="C91" t="s">
        <v>22</v>
      </c>
      <c r="D91" t="s">
        <v>70</v>
      </c>
      <c r="E91" t="s">
        <v>58</v>
      </c>
      <c r="F91" t="s">
        <v>71</v>
      </c>
      <c r="H91" s="9">
        <v>0.5</v>
      </c>
      <c r="I91" s="9">
        <v>0.5</v>
      </c>
      <c r="J91" s="9">
        <v>0.5</v>
      </c>
      <c r="K91" s="9">
        <v>0.5</v>
      </c>
      <c r="L91" s="9">
        <v>0.5</v>
      </c>
      <c r="M91" s="9">
        <v>0.5</v>
      </c>
    </row>
    <row r="92" spans="2:13" x14ac:dyDescent="0.35">
      <c r="C92" t="s">
        <v>22</v>
      </c>
      <c r="D92" s="8" t="s">
        <v>57</v>
      </c>
      <c r="E92" t="s">
        <v>58</v>
      </c>
      <c r="F92" t="s">
        <v>69</v>
      </c>
      <c r="H92" s="9">
        <v>0.6</v>
      </c>
      <c r="I92" s="9">
        <v>0.6</v>
      </c>
      <c r="J92" s="9">
        <v>0.6</v>
      </c>
      <c r="K92" s="9">
        <v>0.6</v>
      </c>
      <c r="L92" s="9">
        <v>0.6</v>
      </c>
      <c r="M92" s="9">
        <v>0.6</v>
      </c>
    </row>
    <row r="93" spans="2:13" x14ac:dyDescent="0.35">
      <c r="C93" t="s">
        <v>22</v>
      </c>
      <c r="D93" t="s">
        <v>65</v>
      </c>
      <c r="E93" t="s">
        <v>58</v>
      </c>
      <c r="F93" t="s">
        <v>72</v>
      </c>
      <c r="H93" s="9">
        <v>1</v>
      </c>
      <c r="I93" s="9">
        <v>1</v>
      </c>
      <c r="J93" s="9">
        <v>1</v>
      </c>
      <c r="K93" s="9">
        <v>1</v>
      </c>
      <c r="L93" s="9">
        <v>1</v>
      </c>
      <c r="M93" s="9">
        <v>1</v>
      </c>
    </row>
    <row r="94" spans="2:13" x14ac:dyDescent="0.35">
      <c r="C94" t="s">
        <v>22</v>
      </c>
      <c r="D94" t="s">
        <v>67</v>
      </c>
      <c r="E94" t="s">
        <v>73</v>
      </c>
      <c r="F94" t="s">
        <v>68</v>
      </c>
      <c r="H94" s="10">
        <v>0</v>
      </c>
      <c r="I94" s="10">
        <v>0</v>
      </c>
      <c r="J94" s="10">
        <v>0</v>
      </c>
      <c r="K94" s="10">
        <v>0</v>
      </c>
      <c r="L94" s="10">
        <v>0</v>
      </c>
      <c r="M94" s="10">
        <v>0</v>
      </c>
    </row>
    <row r="95" spans="2:13" x14ac:dyDescent="0.35">
      <c r="C95" t="s">
        <v>9</v>
      </c>
      <c r="D95" t="s">
        <v>63</v>
      </c>
      <c r="E95" t="s">
        <v>73</v>
      </c>
      <c r="H95" s="11">
        <v>250</v>
      </c>
      <c r="I95" s="11">
        <v>250</v>
      </c>
      <c r="J95" s="11">
        <v>250</v>
      </c>
      <c r="K95" s="11">
        <v>250</v>
      </c>
      <c r="L95" s="11">
        <v>250</v>
      </c>
      <c r="M95" s="11">
        <v>250</v>
      </c>
    </row>
    <row r="96" spans="2:13" x14ac:dyDescent="0.35">
      <c r="C96" t="s">
        <v>9</v>
      </c>
      <c r="D96" t="s">
        <v>64</v>
      </c>
      <c r="E96" t="s">
        <v>73</v>
      </c>
      <c r="H96" s="11">
        <v>250</v>
      </c>
      <c r="I96" s="11">
        <v>250</v>
      </c>
      <c r="J96" s="11">
        <v>250</v>
      </c>
      <c r="K96" s="11">
        <v>250</v>
      </c>
      <c r="L96" s="11">
        <v>250</v>
      </c>
      <c r="M96" s="11">
        <v>250</v>
      </c>
    </row>
    <row r="97" spans="3:13" x14ac:dyDescent="0.35">
      <c r="C97" t="s">
        <v>9</v>
      </c>
      <c r="D97" t="s">
        <v>65</v>
      </c>
      <c r="E97" t="s">
        <v>58</v>
      </c>
      <c r="F97" t="s">
        <v>74</v>
      </c>
      <c r="H97" s="9">
        <v>1.85</v>
      </c>
      <c r="I97" s="9">
        <v>1.85</v>
      </c>
      <c r="J97" s="9">
        <v>1.85</v>
      </c>
      <c r="K97" s="9">
        <v>1.85</v>
      </c>
      <c r="L97" s="9">
        <v>1.85</v>
      </c>
      <c r="M97" s="9">
        <v>1.85</v>
      </c>
    </row>
    <row r="98" spans="3:13" x14ac:dyDescent="0.35">
      <c r="C98" t="s">
        <v>9</v>
      </c>
      <c r="D98" t="s">
        <v>67</v>
      </c>
      <c r="E98" t="s">
        <v>58</v>
      </c>
      <c r="F98" t="s">
        <v>68</v>
      </c>
      <c r="H98" s="9">
        <v>1</v>
      </c>
      <c r="I98" s="9">
        <v>1</v>
      </c>
      <c r="J98" s="9">
        <v>1</v>
      </c>
      <c r="K98" s="9">
        <v>1</v>
      </c>
      <c r="L98" s="9">
        <v>1</v>
      </c>
      <c r="M98" s="9">
        <v>1</v>
      </c>
    </row>
    <row r="99" spans="3:13" x14ac:dyDescent="0.35">
      <c r="C99" t="s">
        <v>23</v>
      </c>
      <c r="D99" t="s">
        <v>63</v>
      </c>
      <c r="E99" t="s">
        <v>73</v>
      </c>
      <c r="H99" s="11">
        <v>90</v>
      </c>
      <c r="I99" s="11">
        <v>90</v>
      </c>
      <c r="J99" s="11">
        <v>90</v>
      </c>
      <c r="K99" s="11">
        <v>90</v>
      </c>
      <c r="L99" s="11">
        <v>90</v>
      </c>
      <c r="M99" s="11">
        <v>90</v>
      </c>
    </row>
    <row r="100" spans="3:13" x14ac:dyDescent="0.35">
      <c r="C100" t="s">
        <v>23</v>
      </c>
      <c r="D100" t="s">
        <v>63</v>
      </c>
      <c r="E100" t="s">
        <v>58</v>
      </c>
      <c r="F100" t="s">
        <v>75</v>
      </c>
      <c r="H100" s="9">
        <v>0.5</v>
      </c>
      <c r="I100" s="9">
        <v>0.5</v>
      </c>
      <c r="J100" s="9">
        <v>0.5</v>
      </c>
      <c r="K100" s="9">
        <v>0.5</v>
      </c>
      <c r="L100" s="9">
        <v>0.5</v>
      </c>
      <c r="M100" s="9">
        <v>0.5</v>
      </c>
    </row>
    <row r="101" spans="3:13" x14ac:dyDescent="0.35">
      <c r="C101" t="s">
        <v>23</v>
      </c>
      <c r="D101" t="s">
        <v>64</v>
      </c>
      <c r="E101" t="s">
        <v>73</v>
      </c>
      <c r="H101" s="11">
        <v>200</v>
      </c>
      <c r="I101" s="11">
        <v>200</v>
      </c>
      <c r="J101" s="11">
        <v>200</v>
      </c>
      <c r="K101" s="11">
        <v>200</v>
      </c>
      <c r="L101" s="11">
        <v>200</v>
      </c>
      <c r="M101" s="11">
        <v>200</v>
      </c>
    </row>
    <row r="102" spans="3:13" x14ac:dyDescent="0.35">
      <c r="C102" t="s">
        <v>23</v>
      </c>
      <c r="D102" t="s">
        <v>64</v>
      </c>
      <c r="E102" s="1" t="s">
        <v>58</v>
      </c>
      <c r="H102" s="9">
        <v>0.5</v>
      </c>
      <c r="I102" s="9">
        <v>0.5</v>
      </c>
      <c r="J102" s="9">
        <v>0.5</v>
      </c>
      <c r="K102" s="9">
        <v>0.5</v>
      </c>
      <c r="L102" s="9">
        <v>0.5</v>
      </c>
      <c r="M102" s="9">
        <v>0.5</v>
      </c>
    </row>
    <row r="103" spans="3:13" x14ac:dyDescent="0.35">
      <c r="C103" t="s">
        <v>23</v>
      </c>
      <c r="D103" t="s">
        <v>65</v>
      </c>
      <c r="E103" t="s">
        <v>58</v>
      </c>
      <c r="F103" t="s">
        <v>74</v>
      </c>
      <c r="H103" s="9">
        <v>1.85</v>
      </c>
      <c r="I103" s="9">
        <v>1.85</v>
      </c>
      <c r="J103" s="9">
        <v>1.85</v>
      </c>
      <c r="K103" s="9">
        <v>1.85</v>
      </c>
      <c r="L103" s="9">
        <v>1.85</v>
      </c>
      <c r="M103" s="9">
        <v>1.85</v>
      </c>
    </row>
    <row r="104" spans="3:13" x14ac:dyDescent="0.35">
      <c r="C104" t="s">
        <v>23</v>
      </c>
      <c r="D104" t="s">
        <v>67</v>
      </c>
      <c r="E104" t="s">
        <v>73</v>
      </c>
      <c r="F104" t="s">
        <v>68</v>
      </c>
      <c r="H104" s="10">
        <v>0</v>
      </c>
      <c r="I104" s="10">
        <v>0</v>
      </c>
      <c r="J104" s="10">
        <v>0</v>
      </c>
      <c r="K104" s="10">
        <v>0</v>
      </c>
      <c r="L104" s="10">
        <v>0</v>
      </c>
      <c r="M104" s="10">
        <v>0</v>
      </c>
    </row>
    <row r="105" spans="3:13" x14ac:dyDescent="0.35">
      <c r="C105" t="s">
        <v>24</v>
      </c>
      <c r="D105" t="s">
        <v>63</v>
      </c>
      <c r="E105" t="s">
        <v>73</v>
      </c>
      <c r="H105" s="11">
        <v>120</v>
      </c>
      <c r="I105" s="11">
        <v>120</v>
      </c>
      <c r="J105" s="11">
        <v>120</v>
      </c>
      <c r="K105" s="11">
        <v>120</v>
      </c>
      <c r="L105" s="11">
        <v>120</v>
      </c>
      <c r="M105" s="11">
        <v>120</v>
      </c>
    </row>
    <row r="106" spans="3:13" x14ac:dyDescent="0.35">
      <c r="C106" t="s">
        <v>24</v>
      </c>
      <c r="D106" t="s">
        <v>64</v>
      </c>
      <c r="E106" t="s">
        <v>73</v>
      </c>
      <c r="H106" s="11">
        <v>120</v>
      </c>
      <c r="I106" s="11">
        <v>120</v>
      </c>
      <c r="J106" s="11">
        <v>120</v>
      </c>
      <c r="K106" s="11">
        <v>120</v>
      </c>
      <c r="L106" s="11">
        <v>120</v>
      </c>
      <c r="M106" s="11">
        <v>120</v>
      </c>
    </row>
    <row r="107" spans="3:13" x14ac:dyDescent="0.35">
      <c r="C107" t="s">
        <v>24</v>
      </c>
      <c r="D107" t="s">
        <v>65</v>
      </c>
      <c r="E107" t="s">
        <v>58</v>
      </c>
      <c r="F107" t="s">
        <v>66</v>
      </c>
      <c r="H107" s="9">
        <v>1</v>
      </c>
      <c r="I107" s="9">
        <v>1</v>
      </c>
      <c r="J107" s="9">
        <v>1</v>
      </c>
      <c r="K107" s="9">
        <v>1</v>
      </c>
      <c r="L107" s="9">
        <v>1</v>
      </c>
      <c r="M107" s="9">
        <v>1</v>
      </c>
    </row>
    <row r="108" spans="3:13" x14ac:dyDescent="0.35">
      <c r="C108" t="s">
        <v>24</v>
      </c>
      <c r="D108" t="s">
        <v>67</v>
      </c>
      <c r="E108" t="s">
        <v>58</v>
      </c>
      <c r="F108" t="s">
        <v>68</v>
      </c>
      <c r="H108" s="9">
        <v>1</v>
      </c>
      <c r="I108" s="9">
        <v>1</v>
      </c>
      <c r="J108" s="9">
        <v>1</v>
      </c>
      <c r="K108" s="9">
        <v>1</v>
      </c>
      <c r="L108" s="9">
        <v>1</v>
      </c>
      <c r="M108" s="9">
        <v>1</v>
      </c>
    </row>
    <row r="109" spans="3:13" x14ac:dyDescent="0.35">
      <c r="C109" t="s">
        <v>26</v>
      </c>
      <c r="D109" t="s">
        <v>63</v>
      </c>
      <c r="E109" t="s">
        <v>73</v>
      </c>
      <c r="H109" s="11">
        <v>90</v>
      </c>
      <c r="I109" s="11">
        <v>90</v>
      </c>
      <c r="J109" s="11">
        <v>90</v>
      </c>
      <c r="K109" s="11">
        <v>90</v>
      </c>
      <c r="L109" s="11">
        <v>90</v>
      </c>
      <c r="M109" s="11">
        <v>90</v>
      </c>
    </row>
    <row r="110" spans="3:13" x14ac:dyDescent="0.35">
      <c r="C110" t="s">
        <v>26</v>
      </c>
      <c r="D110" t="s">
        <v>64</v>
      </c>
      <c r="E110" t="s">
        <v>73</v>
      </c>
      <c r="H110" s="11">
        <v>90</v>
      </c>
      <c r="I110" s="11">
        <v>90</v>
      </c>
      <c r="J110" s="11">
        <v>90</v>
      </c>
      <c r="K110" s="11">
        <v>90</v>
      </c>
      <c r="L110" s="11">
        <v>90</v>
      </c>
      <c r="M110" s="11">
        <v>90</v>
      </c>
    </row>
    <row r="111" spans="3:13" x14ac:dyDescent="0.35">
      <c r="C111" t="s">
        <v>26</v>
      </c>
      <c r="D111" t="s">
        <v>65</v>
      </c>
      <c r="E111" t="s">
        <v>58</v>
      </c>
      <c r="F111" t="s">
        <v>74</v>
      </c>
      <c r="H111" s="9">
        <v>1.85</v>
      </c>
      <c r="I111" s="9">
        <v>1.85</v>
      </c>
      <c r="J111" s="9">
        <v>1.85</v>
      </c>
      <c r="K111" s="9">
        <v>1.85</v>
      </c>
      <c r="L111" s="9">
        <v>1.85</v>
      </c>
      <c r="M111" s="9">
        <v>1.85</v>
      </c>
    </row>
    <row r="112" spans="3:13" x14ac:dyDescent="0.35">
      <c r="C112" t="s">
        <v>26</v>
      </c>
      <c r="D112" t="s">
        <v>76</v>
      </c>
      <c r="E112" t="s">
        <v>58</v>
      </c>
      <c r="F112" t="s">
        <v>74</v>
      </c>
      <c r="H112" s="9">
        <v>0.6</v>
      </c>
      <c r="I112" s="9">
        <v>0.6</v>
      </c>
      <c r="J112" s="9">
        <v>0.6</v>
      </c>
      <c r="K112" s="9">
        <v>0.6</v>
      </c>
      <c r="L112" s="9">
        <v>0.6</v>
      </c>
      <c r="M112" s="9">
        <v>0.6</v>
      </c>
    </row>
    <row r="113" spans="3:13" x14ac:dyDescent="0.35">
      <c r="C113" t="s">
        <v>26</v>
      </c>
      <c r="D113" t="s">
        <v>67</v>
      </c>
      <c r="E113" t="s">
        <v>73</v>
      </c>
      <c r="F113" t="s">
        <v>68</v>
      </c>
      <c r="H113" s="10">
        <v>0</v>
      </c>
      <c r="I113" s="10">
        <v>0</v>
      </c>
      <c r="J113" s="10">
        <v>0</v>
      </c>
      <c r="K113" s="10">
        <v>0</v>
      </c>
      <c r="L113" s="10">
        <v>0</v>
      </c>
      <c r="M113" s="10">
        <v>0</v>
      </c>
    </row>
    <row r="114" spans="3:13" x14ac:dyDescent="0.35">
      <c r="C114" t="s">
        <v>25</v>
      </c>
      <c r="D114" s="12" t="s">
        <v>63</v>
      </c>
      <c r="E114" t="s">
        <v>73</v>
      </c>
      <c r="H114" s="11">
        <v>90</v>
      </c>
      <c r="I114" s="11">
        <v>90</v>
      </c>
      <c r="J114" s="11">
        <v>90</v>
      </c>
      <c r="K114" s="11">
        <v>90</v>
      </c>
      <c r="L114" s="11">
        <v>90</v>
      </c>
      <c r="M114" s="11">
        <v>90</v>
      </c>
    </row>
    <row r="115" spans="3:13" x14ac:dyDescent="0.35">
      <c r="C115" t="s">
        <v>25</v>
      </c>
      <c r="D115" s="12" t="s">
        <v>57</v>
      </c>
      <c r="E115" t="s">
        <v>73</v>
      </c>
      <c r="G115" t="s">
        <v>77</v>
      </c>
      <c r="H115" s="10">
        <v>30</v>
      </c>
      <c r="I115" s="10">
        <v>30</v>
      </c>
      <c r="J115" s="10">
        <v>30</v>
      </c>
      <c r="K115" s="10">
        <v>30</v>
      </c>
      <c r="L115" s="10">
        <v>30</v>
      </c>
      <c r="M115" s="10">
        <v>30</v>
      </c>
    </row>
    <row r="116" spans="3:13" x14ac:dyDescent="0.35">
      <c r="C116" t="s">
        <v>25</v>
      </c>
      <c r="D116" s="12" t="s">
        <v>57</v>
      </c>
      <c r="E116" t="s">
        <v>58</v>
      </c>
      <c r="F116" t="s">
        <v>78</v>
      </c>
      <c r="H116" s="11">
        <v>0.33300000000000002</v>
      </c>
      <c r="I116" s="11">
        <v>0.33300000000000002</v>
      </c>
      <c r="J116" s="11">
        <v>0.33300000000000002</v>
      </c>
      <c r="K116" s="11">
        <v>0.33300000000000002</v>
      </c>
      <c r="L116" s="11">
        <v>0.33300000000000002</v>
      </c>
      <c r="M116" s="11">
        <v>0.33300000000000002</v>
      </c>
    </row>
    <row r="117" spans="3:13" x14ac:dyDescent="0.35">
      <c r="C117" t="s">
        <v>25</v>
      </c>
      <c r="D117" s="12" t="s">
        <v>64</v>
      </c>
      <c r="E117" s="1" t="s">
        <v>58</v>
      </c>
      <c r="F117" t="s">
        <v>79</v>
      </c>
      <c r="H117" s="9">
        <v>0.66700000000000004</v>
      </c>
      <c r="I117" s="9">
        <v>0.66700000000000004</v>
      </c>
      <c r="J117" s="9">
        <v>0.66700000000000004</v>
      </c>
      <c r="K117" s="9">
        <v>0.66700000000000004</v>
      </c>
      <c r="L117" s="9">
        <v>0.66700000000000004</v>
      </c>
      <c r="M117" s="9">
        <v>0.66700000000000004</v>
      </c>
    </row>
    <row r="118" spans="3:13" x14ac:dyDescent="0.35">
      <c r="C118" t="s">
        <v>25</v>
      </c>
      <c r="D118" s="12" t="s">
        <v>80</v>
      </c>
      <c r="E118" t="s">
        <v>73</v>
      </c>
      <c r="F118" t="s">
        <v>81</v>
      </c>
      <c r="H118" s="10">
        <v>90</v>
      </c>
      <c r="I118" s="10">
        <v>90</v>
      </c>
      <c r="J118" s="10">
        <v>90</v>
      </c>
      <c r="K118" s="10">
        <v>90</v>
      </c>
      <c r="L118" s="10">
        <v>90</v>
      </c>
      <c r="M118" s="10">
        <v>90</v>
      </c>
    </row>
    <row r="119" spans="3:13" x14ac:dyDescent="0.35">
      <c r="C119" t="s">
        <v>25</v>
      </c>
      <c r="D119" s="12" t="s">
        <v>65</v>
      </c>
      <c r="E119" t="s">
        <v>58</v>
      </c>
      <c r="F119" t="s">
        <v>82</v>
      </c>
      <c r="H119" s="9">
        <v>1</v>
      </c>
      <c r="I119" s="9">
        <v>1</v>
      </c>
      <c r="J119" s="9">
        <v>1</v>
      </c>
      <c r="K119" s="9">
        <v>1</v>
      </c>
      <c r="L119" s="9">
        <v>1</v>
      </c>
      <c r="M119" s="9">
        <v>1</v>
      </c>
    </row>
    <row r="120" spans="3:13" x14ac:dyDescent="0.35">
      <c r="C120" t="s">
        <v>25</v>
      </c>
      <c r="D120" s="12" t="s">
        <v>67</v>
      </c>
      <c r="F120" t="s">
        <v>83</v>
      </c>
      <c r="H120" s="9">
        <v>0</v>
      </c>
      <c r="I120" s="9">
        <v>0</v>
      </c>
      <c r="J120" s="9">
        <v>0</v>
      </c>
      <c r="K120" s="9">
        <v>0</v>
      </c>
      <c r="L120" s="9">
        <v>0</v>
      </c>
      <c r="M120" s="9">
        <v>0</v>
      </c>
    </row>
    <row r="121" spans="3:13" x14ac:dyDescent="0.35">
      <c r="C121" t="s">
        <v>27</v>
      </c>
      <c r="D121" t="s">
        <v>63</v>
      </c>
      <c r="E121" t="s">
        <v>58</v>
      </c>
      <c r="H121" s="13">
        <v>0.27500000000000002</v>
      </c>
      <c r="I121" s="13">
        <v>0.27500000000000002</v>
      </c>
      <c r="J121" s="13">
        <v>0.27500000000000002</v>
      </c>
      <c r="K121" s="13">
        <v>0.27500000000000002</v>
      </c>
      <c r="L121" s="13">
        <v>0.27500000000000002</v>
      </c>
      <c r="M121" s="13">
        <v>0.27500000000000002</v>
      </c>
    </row>
    <row r="122" spans="3:13" x14ac:dyDescent="0.35">
      <c r="C122" t="s">
        <v>27</v>
      </c>
      <c r="D122" t="s">
        <v>64</v>
      </c>
      <c r="E122" t="s">
        <v>58</v>
      </c>
      <c r="H122" s="13">
        <v>0.27500000000000002</v>
      </c>
      <c r="I122" s="13">
        <v>0.27500000000000002</v>
      </c>
      <c r="J122" s="13">
        <v>0.27500000000000002</v>
      </c>
      <c r="K122" s="13">
        <v>0.27500000000000002</v>
      </c>
      <c r="L122" s="13">
        <v>0.27500000000000002</v>
      </c>
      <c r="M122" s="13">
        <v>0.27500000000000002</v>
      </c>
    </row>
    <row r="123" spans="3:13" x14ac:dyDescent="0.35">
      <c r="C123" t="s">
        <v>27</v>
      </c>
      <c r="D123" t="s">
        <v>76</v>
      </c>
      <c r="E123" t="s">
        <v>58</v>
      </c>
      <c r="F123" t="s">
        <v>74</v>
      </c>
      <c r="H123" s="9">
        <v>0.5</v>
      </c>
      <c r="I123" s="9">
        <v>0.5</v>
      </c>
      <c r="J123" s="9">
        <v>0.5</v>
      </c>
      <c r="K123" s="9">
        <v>0.5</v>
      </c>
      <c r="L123" s="9">
        <v>0.5</v>
      </c>
      <c r="M123" s="9">
        <v>0.5</v>
      </c>
    </row>
    <row r="124" spans="3:13" x14ac:dyDescent="0.35">
      <c r="C124" t="s">
        <v>27</v>
      </c>
      <c r="D124" t="s">
        <v>67</v>
      </c>
      <c r="E124" t="s">
        <v>73</v>
      </c>
      <c r="F124" t="s">
        <v>68</v>
      </c>
      <c r="H124" s="10">
        <v>0</v>
      </c>
      <c r="I124" s="10">
        <v>0</v>
      </c>
      <c r="J124" s="10">
        <v>0</v>
      </c>
      <c r="K124" s="10">
        <v>0</v>
      </c>
      <c r="L124" s="10">
        <v>0</v>
      </c>
      <c r="M124" s="10">
        <v>0</v>
      </c>
    </row>
    <row r="125" spans="3:13" x14ac:dyDescent="0.35">
      <c r="C125" t="s">
        <v>28</v>
      </c>
      <c r="D125" t="s">
        <v>63</v>
      </c>
      <c r="E125" t="s">
        <v>58</v>
      </c>
      <c r="H125" s="9">
        <v>1</v>
      </c>
      <c r="I125" s="9">
        <v>1</v>
      </c>
      <c r="J125" s="9">
        <v>1</v>
      </c>
      <c r="K125" s="9">
        <v>1</v>
      </c>
      <c r="L125" s="9">
        <v>1</v>
      </c>
      <c r="M125" s="9">
        <v>1</v>
      </c>
    </row>
    <row r="126" spans="3:13" x14ac:dyDescent="0.35">
      <c r="C126" t="s">
        <v>28</v>
      </c>
      <c r="D126" t="s">
        <v>63</v>
      </c>
      <c r="E126" t="s">
        <v>73</v>
      </c>
      <c r="H126" s="11">
        <v>240</v>
      </c>
      <c r="I126" s="11">
        <v>240</v>
      </c>
      <c r="J126" s="11">
        <v>240</v>
      </c>
      <c r="K126" s="11">
        <v>240</v>
      </c>
      <c r="L126" s="11">
        <v>240</v>
      </c>
      <c r="M126" s="11">
        <v>240</v>
      </c>
    </row>
    <row r="127" spans="3:13" x14ac:dyDescent="0.35">
      <c r="C127" t="s">
        <v>28</v>
      </c>
      <c r="D127" t="s">
        <v>64</v>
      </c>
      <c r="E127" t="s">
        <v>58</v>
      </c>
      <c r="H127" s="9">
        <v>0.5</v>
      </c>
      <c r="I127" s="9">
        <v>0.5</v>
      </c>
      <c r="J127" s="9">
        <v>0.5</v>
      </c>
      <c r="K127" s="9">
        <v>0.5</v>
      </c>
      <c r="L127" s="9">
        <v>0.5</v>
      </c>
      <c r="M127" s="9">
        <v>0.5</v>
      </c>
    </row>
    <row r="128" spans="3:13" x14ac:dyDescent="0.35">
      <c r="C128" t="s">
        <v>28</v>
      </c>
      <c r="D128" t="s">
        <v>64</v>
      </c>
      <c r="E128" t="s">
        <v>73</v>
      </c>
      <c r="H128" s="11">
        <v>240</v>
      </c>
      <c r="I128" s="11">
        <v>240</v>
      </c>
      <c r="J128" s="11">
        <v>240</v>
      </c>
      <c r="K128" s="11">
        <v>240</v>
      </c>
      <c r="L128" s="11">
        <v>240</v>
      </c>
      <c r="M128" s="11">
        <v>240</v>
      </c>
    </row>
    <row r="129" spans="3:15" x14ac:dyDescent="0.35">
      <c r="C129" t="s">
        <v>28</v>
      </c>
      <c r="D129" t="s">
        <v>65</v>
      </c>
      <c r="E129" t="s">
        <v>58</v>
      </c>
      <c r="F129" t="s">
        <v>74</v>
      </c>
      <c r="H129" s="9">
        <v>1.85</v>
      </c>
      <c r="I129" s="9">
        <v>1.85</v>
      </c>
      <c r="J129" s="9">
        <v>1.85</v>
      </c>
      <c r="K129" s="9">
        <v>1.85</v>
      </c>
      <c r="L129" s="9">
        <v>1.85</v>
      </c>
      <c r="M129" s="9">
        <v>1.85</v>
      </c>
    </row>
    <row r="130" spans="3:15" x14ac:dyDescent="0.35">
      <c r="C130" t="s">
        <v>28</v>
      </c>
      <c r="D130" t="s">
        <v>67</v>
      </c>
      <c r="E130" t="s">
        <v>73</v>
      </c>
      <c r="F130" t="s">
        <v>68</v>
      </c>
      <c r="H130" s="10">
        <v>0</v>
      </c>
      <c r="I130" s="10">
        <v>0</v>
      </c>
      <c r="J130" s="10">
        <v>0</v>
      </c>
      <c r="K130" s="10">
        <v>0</v>
      </c>
      <c r="L130" s="10">
        <v>0</v>
      </c>
      <c r="M130" s="10">
        <v>0</v>
      </c>
    </row>
    <row r="131" spans="3:15" x14ac:dyDescent="0.35">
      <c r="C131" t="s">
        <v>29</v>
      </c>
      <c r="D131" t="s">
        <v>63</v>
      </c>
      <c r="E131" t="s">
        <v>58</v>
      </c>
      <c r="H131" s="9">
        <v>0.5</v>
      </c>
      <c r="I131" s="9">
        <v>0.5</v>
      </c>
      <c r="J131" s="9">
        <v>0.5</v>
      </c>
      <c r="K131" s="9">
        <v>0.5</v>
      </c>
      <c r="L131" s="9">
        <v>0.5</v>
      </c>
      <c r="M131" s="9">
        <v>0.5</v>
      </c>
    </row>
    <row r="132" spans="3:15" x14ac:dyDescent="0.35">
      <c r="C132" t="s">
        <v>29</v>
      </c>
      <c r="D132" t="s">
        <v>64</v>
      </c>
      <c r="E132" t="s">
        <v>73</v>
      </c>
      <c r="H132" s="11">
        <v>100</v>
      </c>
      <c r="I132" s="11">
        <v>100</v>
      </c>
      <c r="J132" s="11">
        <v>100</v>
      </c>
      <c r="K132" s="11">
        <v>100</v>
      </c>
      <c r="L132" s="11">
        <v>100</v>
      </c>
      <c r="M132" s="11">
        <v>100</v>
      </c>
    </row>
    <row r="133" spans="3:15" x14ac:dyDescent="0.35">
      <c r="C133" t="s">
        <v>29</v>
      </c>
      <c r="D133" t="s">
        <v>65</v>
      </c>
      <c r="E133" t="s">
        <v>58</v>
      </c>
      <c r="F133" t="s">
        <v>74</v>
      </c>
      <c r="H133" s="9">
        <v>1.85</v>
      </c>
      <c r="I133" s="9">
        <v>1.85</v>
      </c>
      <c r="J133" s="9">
        <v>1.85</v>
      </c>
      <c r="K133" s="9">
        <v>1.85</v>
      </c>
      <c r="L133" s="9">
        <v>1.85</v>
      </c>
      <c r="M133" s="9">
        <v>1.85</v>
      </c>
    </row>
    <row r="134" spans="3:15" x14ac:dyDescent="0.35">
      <c r="C134" t="s">
        <v>29</v>
      </c>
      <c r="D134" t="s">
        <v>67</v>
      </c>
      <c r="E134" t="s">
        <v>58</v>
      </c>
      <c r="F134" t="s">
        <v>68</v>
      </c>
      <c r="H134" s="9">
        <v>1</v>
      </c>
      <c r="I134" s="9">
        <v>1</v>
      </c>
      <c r="J134" s="9">
        <v>1</v>
      </c>
      <c r="K134" s="9">
        <v>1</v>
      </c>
      <c r="L134" s="9">
        <v>1</v>
      </c>
      <c r="M134" s="9">
        <v>1</v>
      </c>
    </row>
    <row r="135" spans="3:15" x14ac:dyDescent="0.35">
      <c r="C135" t="s">
        <v>30</v>
      </c>
      <c r="D135" t="s">
        <v>63</v>
      </c>
      <c r="E135" t="s">
        <v>73</v>
      </c>
      <c r="H135" s="11">
        <v>250</v>
      </c>
      <c r="I135" s="11">
        <v>250</v>
      </c>
      <c r="J135" s="11">
        <v>250</v>
      </c>
      <c r="K135" s="11">
        <v>250</v>
      </c>
      <c r="L135" s="11">
        <v>250</v>
      </c>
      <c r="M135" s="11">
        <v>250</v>
      </c>
    </row>
    <row r="136" spans="3:15" x14ac:dyDescent="0.35">
      <c r="C136" t="s">
        <v>30</v>
      </c>
      <c r="D136" t="s">
        <v>64</v>
      </c>
      <c r="E136" t="s">
        <v>73</v>
      </c>
      <c r="H136" s="11">
        <v>250</v>
      </c>
      <c r="I136" s="11">
        <v>250</v>
      </c>
      <c r="J136" s="11">
        <v>250</v>
      </c>
      <c r="K136" s="11">
        <v>250</v>
      </c>
      <c r="L136" s="11">
        <v>250</v>
      </c>
      <c r="M136" s="11">
        <v>250</v>
      </c>
    </row>
    <row r="137" spans="3:15" x14ac:dyDescent="0.35">
      <c r="C137" t="s">
        <v>30</v>
      </c>
      <c r="D137" t="s">
        <v>65</v>
      </c>
      <c r="E137" t="s">
        <v>58</v>
      </c>
      <c r="F137" t="s">
        <v>74</v>
      </c>
      <c r="H137" s="9">
        <v>1.85</v>
      </c>
      <c r="I137" s="9">
        <v>1.85</v>
      </c>
      <c r="J137" s="9">
        <v>1.85</v>
      </c>
      <c r="K137" s="9">
        <v>1.85</v>
      </c>
      <c r="L137" s="9">
        <v>1.85</v>
      </c>
      <c r="M137" s="9">
        <v>1.85</v>
      </c>
      <c r="N137" s="9"/>
      <c r="O137" t="s">
        <v>84</v>
      </c>
    </row>
    <row r="138" spans="3:15" x14ac:dyDescent="0.35">
      <c r="C138" t="s">
        <v>30</v>
      </c>
      <c r="D138" t="s">
        <v>67</v>
      </c>
      <c r="E138" t="s">
        <v>58</v>
      </c>
      <c r="F138" t="s">
        <v>68</v>
      </c>
      <c r="H138" s="9">
        <v>1</v>
      </c>
      <c r="I138" s="9">
        <v>1</v>
      </c>
      <c r="J138" s="9">
        <v>1</v>
      </c>
      <c r="K138" s="9">
        <v>1</v>
      </c>
      <c r="L138" s="9">
        <v>1</v>
      </c>
      <c r="M138" s="9">
        <v>1</v>
      </c>
      <c r="N138" s="9"/>
    </row>
    <row r="139" spans="3:15" x14ac:dyDescent="0.35">
      <c r="C139" t="s">
        <v>31</v>
      </c>
      <c r="D139" t="s">
        <v>63</v>
      </c>
      <c r="E139" t="s">
        <v>73</v>
      </c>
      <c r="G139" t="s">
        <v>85</v>
      </c>
      <c r="H139" s="11">
        <v>120</v>
      </c>
      <c r="I139" s="11">
        <v>120</v>
      </c>
      <c r="J139" s="11">
        <v>120</v>
      </c>
      <c r="K139" s="11">
        <v>120</v>
      </c>
      <c r="L139" s="11">
        <v>120</v>
      </c>
      <c r="M139" s="11">
        <v>120</v>
      </c>
      <c r="N139" s="11"/>
      <c r="O139" t="s">
        <v>86</v>
      </c>
    </row>
    <row r="140" spans="3:15" x14ac:dyDescent="0.35">
      <c r="C140" t="s">
        <v>31</v>
      </c>
      <c r="D140" t="s">
        <v>57</v>
      </c>
      <c r="E140" t="s">
        <v>73</v>
      </c>
      <c r="G140" t="s">
        <v>77</v>
      </c>
      <c r="H140" s="11">
        <v>120</v>
      </c>
      <c r="I140" s="11">
        <v>120</v>
      </c>
      <c r="J140" s="11">
        <v>120</v>
      </c>
      <c r="K140" s="11">
        <v>120</v>
      </c>
      <c r="L140" s="11">
        <v>120</v>
      </c>
      <c r="M140" s="11">
        <v>120</v>
      </c>
    </row>
    <row r="141" spans="3:15" x14ac:dyDescent="0.35">
      <c r="C141" t="s">
        <v>31</v>
      </c>
      <c r="D141" t="s">
        <v>57</v>
      </c>
      <c r="E141" t="s">
        <v>58</v>
      </c>
      <c r="F141" t="s">
        <v>78</v>
      </c>
      <c r="H141" s="14">
        <v>0.33300000000000002</v>
      </c>
      <c r="I141" s="14">
        <v>0.33300000000000002</v>
      </c>
      <c r="J141" s="14">
        <v>0.33300000000000002</v>
      </c>
      <c r="K141" s="14">
        <v>0.33300000000000002</v>
      </c>
      <c r="L141" s="14">
        <v>0.33300000000000002</v>
      </c>
      <c r="M141" s="14">
        <v>0.33300000000000002</v>
      </c>
    </row>
    <row r="142" spans="3:15" x14ac:dyDescent="0.35">
      <c r="C142" t="s">
        <v>31</v>
      </c>
      <c r="D142" t="s">
        <v>64</v>
      </c>
      <c r="E142" t="s">
        <v>73</v>
      </c>
      <c r="H142" s="11">
        <f t="shared" ref="H142:M142" si="0">ROUND(120+$E$160,0)</f>
        <v>237</v>
      </c>
      <c r="I142" s="11">
        <f t="shared" si="0"/>
        <v>237</v>
      </c>
      <c r="J142" s="11">
        <f t="shared" si="0"/>
        <v>237</v>
      </c>
      <c r="K142" s="11">
        <f t="shared" si="0"/>
        <v>237</v>
      </c>
      <c r="L142" s="11">
        <f t="shared" si="0"/>
        <v>237</v>
      </c>
      <c r="M142" s="11">
        <f t="shared" si="0"/>
        <v>237</v>
      </c>
    </row>
    <row r="143" spans="3:15" x14ac:dyDescent="0.35">
      <c r="C143" t="s">
        <v>31</v>
      </c>
      <c r="D143" t="s">
        <v>67</v>
      </c>
      <c r="E143" t="s">
        <v>73</v>
      </c>
      <c r="F143" t="s">
        <v>68</v>
      </c>
      <c r="H143" s="10">
        <v>75</v>
      </c>
      <c r="I143" s="10">
        <v>75</v>
      </c>
      <c r="J143" s="10">
        <v>75</v>
      </c>
      <c r="K143" s="10">
        <v>75</v>
      </c>
      <c r="L143" s="10">
        <v>75</v>
      </c>
      <c r="M143" s="10">
        <v>75</v>
      </c>
    </row>
    <row r="144" spans="3:15" x14ac:dyDescent="0.35">
      <c r="C144" t="s">
        <v>32</v>
      </c>
      <c r="D144" t="s">
        <v>63</v>
      </c>
      <c r="E144" t="s">
        <v>73</v>
      </c>
      <c r="H144" s="11">
        <v>100</v>
      </c>
      <c r="I144" s="11">
        <v>100</v>
      </c>
      <c r="J144" s="11">
        <v>100</v>
      </c>
      <c r="K144" s="11">
        <v>100</v>
      </c>
      <c r="L144" s="11">
        <v>100</v>
      </c>
      <c r="M144" s="11">
        <v>100</v>
      </c>
    </row>
    <row r="145" spans="2:13" x14ac:dyDescent="0.35">
      <c r="C145" t="s">
        <v>32</v>
      </c>
      <c r="D145" t="s">
        <v>57</v>
      </c>
      <c r="E145" t="s">
        <v>58</v>
      </c>
      <c r="F145" t="s">
        <v>87</v>
      </c>
      <c r="H145" s="9">
        <v>0.5</v>
      </c>
      <c r="I145" s="9">
        <v>0.5</v>
      </c>
      <c r="J145" s="9">
        <v>0.5</v>
      </c>
      <c r="K145" s="9">
        <v>0.5</v>
      </c>
      <c r="L145" s="9">
        <v>0.5</v>
      </c>
      <c r="M145" s="9">
        <v>0.5</v>
      </c>
    </row>
    <row r="146" spans="2:13" x14ac:dyDescent="0.35">
      <c r="C146" t="s">
        <v>32</v>
      </c>
      <c r="D146" t="s">
        <v>65</v>
      </c>
      <c r="E146" t="s">
        <v>58</v>
      </c>
      <c r="F146" t="s">
        <v>88</v>
      </c>
      <c r="H146" s="9">
        <v>1</v>
      </c>
      <c r="I146" s="9">
        <v>1</v>
      </c>
      <c r="J146" s="9">
        <v>1</v>
      </c>
      <c r="K146" s="9">
        <v>1</v>
      </c>
      <c r="L146" s="9">
        <v>1</v>
      </c>
      <c r="M146" s="9">
        <v>1</v>
      </c>
    </row>
    <row r="147" spans="2:13" x14ac:dyDescent="0.35">
      <c r="C147" t="s">
        <v>32</v>
      </c>
      <c r="D147" t="s">
        <v>67</v>
      </c>
      <c r="E147" t="s">
        <v>73</v>
      </c>
      <c r="H147" s="10">
        <v>50</v>
      </c>
      <c r="I147" s="10">
        <v>50</v>
      </c>
      <c r="J147" s="10">
        <v>50</v>
      </c>
      <c r="K147" s="10">
        <v>50</v>
      </c>
      <c r="L147" s="10">
        <v>50</v>
      </c>
      <c r="M147" s="10">
        <v>50</v>
      </c>
    </row>
    <row r="148" spans="2:13" x14ac:dyDescent="0.35">
      <c r="C148" t="s">
        <v>33</v>
      </c>
      <c r="D148" t="s">
        <v>63</v>
      </c>
      <c r="E148" t="s">
        <v>58</v>
      </c>
      <c r="G148" s="9"/>
      <c r="H148" s="9">
        <v>0</v>
      </c>
      <c r="I148" s="9">
        <v>0</v>
      </c>
      <c r="J148" s="9">
        <v>0</v>
      </c>
      <c r="K148" s="9">
        <v>0</v>
      </c>
      <c r="L148" s="9">
        <v>0</v>
      </c>
      <c r="M148" s="9">
        <v>0</v>
      </c>
    </row>
    <row r="149" spans="2:13" x14ac:dyDescent="0.35">
      <c r="C149" t="s">
        <v>33</v>
      </c>
      <c r="D149" t="s">
        <v>64</v>
      </c>
      <c r="E149" t="s">
        <v>58</v>
      </c>
      <c r="G149" s="9"/>
      <c r="H149" s="9">
        <v>0.4</v>
      </c>
      <c r="I149" s="9">
        <v>0.4</v>
      </c>
      <c r="J149" s="9">
        <v>0.4</v>
      </c>
      <c r="K149" s="9">
        <v>0.4</v>
      </c>
      <c r="L149" s="9">
        <v>0.4</v>
      </c>
      <c r="M149" s="9">
        <v>0.4</v>
      </c>
    </row>
    <row r="150" spans="2:13" x14ac:dyDescent="0.35">
      <c r="C150" t="s">
        <v>33</v>
      </c>
      <c r="D150" t="s">
        <v>65</v>
      </c>
      <c r="E150" t="s">
        <v>58</v>
      </c>
      <c r="F150" t="s">
        <v>66</v>
      </c>
      <c r="G150" s="9"/>
      <c r="H150" s="9">
        <v>1</v>
      </c>
      <c r="I150" s="9">
        <v>1</v>
      </c>
      <c r="J150" s="9">
        <v>1</v>
      </c>
      <c r="K150" s="9">
        <v>1</v>
      </c>
      <c r="L150" s="9">
        <v>1</v>
      </c>
      <c r="M150" s="9">
        <v>1</v>
      </c>
    </row>
    <row r="151" spans="2:13" x14ac:dyDescent="0.35">
      <c r="C151" t="s">
        <v>33</v>
      </c>
      <c r="D151" t="s">
        <v>67</v>
      </c>
      <c r="E151" t="s">
        <v>73</v>
      </c>
      <c r="F151" t="s">
        <v>301</v>
      </c>
      <c r="H151" s="10">
        <v>100</v>
      </c>
      <c r="I151" s="10">
        <v>100</v>
      </c>
      <c r="J151" s="10">
        <v>100</v>
      </c>
      <c r="K151" s="10">
        <v>100</v>
      </c>
      <c r="L151" s="10">
        <v>100</v>
      </c>
      <c r="M151" s="10">
        <v>100</v>
      </c>
    </row>
    <row r="152" spans="2:13" x14ac:dyDescent="0.35">
      <c r="C152" t="s">
        <v>33</v>
      </c>
      <c r="D152" t="s">
        <v>67</v>
      </c>
      <c r="E152" t="s">
        <v>73</v>
      </c>
      <c r="F152" t="s">
        <v>302</v>
      </c>
      <c r="H152" s="10">
        <v>200</v>
      </c>
      <c r="I152" s="10">
        <v>200</v>
      </c>
      <c r="J152" s="10">
        <v>200</v>
      </c>
      <c r="K152" s="10">
        <v>200</v>
      </c>
      <c r="L152" s="10">
        <v>200</v>
      </c>
      <c r="M152" s="10">
        <v>200</v>
      </c>
    </row>
    <row r="153" spans="2:13" x14ac:dyDescent="0.35">
      <c r="C153" t="s">
        <v>33</v>
      </c>
      <c r="D153" t="s">
        <v>304</v>
      </c>
      <c r="E153" t="s">
        <v>73</v>
      </c>
      <c r="F153" t="s">
        <v>303</v>
      </c>
      <c r="H153" s="10">
        <v>25</v>
      </c>
      <c r="I153" s="10">
        <v>25</v>
      </c>
      <c r="J153" s="10">
        <v>25</v>
      </c>
      <c r="K153" s="10">
        <v>25</v>
      </c>
      <c r="L153" s="10">
        <v>25</v>
      </c>
      <c r="M153" s="10">
        <v>25</v>
      </c>
    </row>
    <row r="154" spans="2:13" x14ac:dyDescent="0.35">
      <c r="H154" s="10"/>
      <c r="I154" s="10"/>
      <c r="J154" s="10"/>
      <c r="K154" s="10"/>
      <c r="L154" s="10"/>
    </row>
    <row r="155" spans="2:13" x14ac:dyDescent="0.35">
      <c r="B155" s="3" t="s">
        <v>89</v>
      </c>
      <c r="G155" s="9"/>
      <c r="H155" s="9"/>
      <c r="I155" s="9"/>
    </row>
    <row r="156" spans="2:13" x14ac:dyDescent="0.35">
      <c r="C156" t="s">
        <v>20</v>
      </c>
      <c r="D156" t="s">
        <v>90</v>
      </c>
      <c r="G156" s="9"/>
      <c r="H156" s="9"/>
      <c r="I156" s="9"/>
    </row>
    <row r="157" spans="2:13" x14ac:dyDescent="0.35">
      <c r="C157" t="s">
        <v>24</v>
      </c>
      <c r="D157" t="s">
        <v>91</v>
      </c>
      <c r="G157" s="9"/>
      <c r="H157" s="9"/>
      <c r="I157" s="9"/>
    </row>
    <row r="158" spans="2:13" x14ac:dyDescent="0.35">
      <c r="C158" t="s">
        <v>26</v>
      </c>
      <c r="D158" t="s">
        <v>92</v>
      </c>
      <c r="G158" s="9"/>
      <c r="H158" s="9"/>
      <c r="I158" s="9"/>
    </row>
    <row r="159" spans="2:13" x14ac:dyDescent="0.35">
      <c r="C159" t="s">
        <v>31</v>
      </c>
      <c r="D159" t="s">
        <v>93</v>
      </c>
      <c r="G159" s="9"/>
      <c r="H159" s="9"/>
      <c r="I159" s="9"/>
    </row>
    <row r="160" spans="2:13" x14ac:dyDescent="0.35">
      <c r="D160" s="15" t="s">
        <v>94</v>
      </c>
      <c r="E160" s="15">
        <f>1400/12</f>
        <v>116.66666666666667</v>
      </c>
      <c r="F160" s="16" t="s">
        <v>95</v>
      </c>
      <c r="G160" s="17" t="s">
        <v>96</v>
      </c>
      <c r="H160" s="9"/>
      <c r="I160" s="9"/>
    </row>
    <row r="161" spans="2:11" ht="18.75" customHeight="1" x14ac:dyDescent="0.35"/>
    <row r="162" spans="2:11" x14ac:dyDescent="0.35">
      <c r="B162" s="3" t="s">
        <v>40</v>
      </c>
    </row>
    <row r="163" spans="2:11" x14ac:dyDescent="0.35">
      <c r="C163" s="5" t="s">
        <v>41</v>
      </c>
      <c r="D163" t="s">
        <v>97</v>
      </c>
    </row>
    <row r="164" spans="2:11" x14ac:dyDescent="0.35">
      <c r="C164" s="5" t="s">
        <v>43</v>
      </c>
      <c r="D164" s="5" t="s">
        <v>44</v>
      </c>
      <c r="E164" t="s">
        <v>9</v>
      </c>
    </row>
    <row r="165" spans="2:11" x14ac:dyDescent="0.35">
      <c r="D165" s="5" t="s">
        <v>45</v>
      </c>
      <c r="E165" t="s">
        <v>65</v>
      </c>
    </row>
    <row r="166" spans="2:11" x14ac:dyDescent="0.35">
      <c r="D166" s="5" t="s">
        <v>46</v>
      </c>
      <c r="E166">
        <v>2019</v>
      </c>
    </row>
    <row r="167" spans="2:11" x14ac:dyDescent="0.35">
      <c r="D167" s="7" t="s">
        <v>47</v>
      </c>
      <c r="E167" s="18">
        <f t="array" ref="E167">INDEX(TANFDisregards[],MATCH(1,(TANFDisregards[State]=$E$164)*(TANFDisregards[Name]=$E$165),0),MATCH($E$166,VALUE(TANFDisregards[#Headers]),0))</f>
        <v>1.85</v>
      </c>
    </row>
    <row r="168" spans="2:11" x14ac:dyDescent="0.35">
      <c r="K168" s="5"/>
    </row>
    <row r="169" spans="2:11" x14ac:dyDescent="0.35">
      <c r="B169" s="3" t="s">
        <v>48</v>
      </c>
      <c r="K169" s="5"/>
    </row>
    <row r="170" spans="2:11" x14ac:dyDescent="0.35">
      <c r="C170" s="1" t="s">
        <v>49</v>
      </c>
      <c r="K170" s="5"/>
    </row>
    <row r="171" spans="2:11" x14ac:dyDescent="0.35">
      <c r="C171" t="s">
        <v>98</v>
      </c>
      <c r="D171" t="s">
        <v>99</v>
      </c>
      <c r="F171" t="s">
        <v>100</v>
      </c>
      <c r="K171" s="5"/>
    </row>
    <row r="172" spans="2:11" x14ac:dyDescent="0.35">
      <c r="C172" t="s">
        <v>101</v>
      </c>
      <c r="D172" t="s">
        <v>102</v>
      </c>
      <c r="K172" s="5"/>
    </row>
    <row r="173" spans="2:11" x14ac:dyDescent="0.35">
      <c r="C173" t="s">
        <v>103</v>
      </c>
      <c r="D173" t="s">
        <v>104</v>
      </c>
      <c r="F173" t="s">
        <v>105</v>
      </c>
      <c r="K173" s="5"/>
    </row>
    <row r="174" spans="2:11" x14ac:dyDescent="0.35">
      <c r="C174" t="s">
        <v>106</v>
      </c>
      <c r="D174" t="s">
        <v>107</v>
      </c>
      <c r="E174" t="s">
        <v>108</v>
      </c>
      <c r="K174" s="5"/>
    </row>
    <row r="175" spans="2:11" x14ac:dyDescent="0.35">
      <c r="K175" s="5"/>
    </row>
    <row r="176" spans="2:11" x14ac:dyDescent="0.35">
      <c r="B176" s="3" t="s">
        <v>109</v>
      </c>
      <c r="C176" s="3"/>
    </row>
    <row r="177" spans="3:14" x14ac:dyDescent="0.35">
      <c r="C177" t="s">
        <v>12</v>
      </c>
      <c r="D177" t="s">
        <v>110</v>
      </c>
      <c r="E177" s="4" t="s">
        <v>111</v>
      </c>
      <c r="F177" t="s">
        <v>112</v>
      </c>
      <c r="G177" t="s">
        <v>113</v>
      </c>
      <c r="H177" t="s">
        <v>114</v>
      </c>
      <c r="I177" s="4" t="s">
        <v>15</v>
      </c>
      <c r="J177" s="4" t="s">
        <v>16</v>
      </c>
      <c r="K177" s="4" t="s">
        <v>17</v>
      </c>
      <c r="L177" s="4" t="s">
        <v>18</v>
      </c>
      <c r="M177" s="4" t="s">
        <v>19</v>
      </c>
      <c r="N177" s="4" t="s">
        <v>306</v>
      </c>
    </row>
    <row r="178" spans="3:14" x14ac:dyDescent="0.35">
      <c r="C178" t="s">
        <v>20</v>
      </c>
      <c r="D178" s="12" t="s">
        <v>115</v>
      </c>
      <c r="E178" t="b">
        <v>1</v>
      </c>
      <c r="F178" t="b">
        <v>0</v>
      </c>
      <c r="I178" s="11"/>
      <c r="J178" s="11"/>
      <c r="K178" s="11"/>
      <c r="L178" s="11"/>
      <c r="M178" s="11"/>
      <c r="N178" s="11"/>
    </row>
    <row r="179" spans="3:14" x14ac:dyDescent="0.35">
      <c r="C179" t="s">
        <v>20</v>
      </c>
      <c r="D179" s="12" t="s">
        <v>116</v>
      </c>
      <c r="E179" t="b">
        <v>1</v>
      </c>
      <c r="F179" t="b">
        <v>0</v>
      </c>
      <c r="I179" s="11"/>
      <c r="J179" s="11"/>
      <c r="K179" s="11"/>
      <c r="L179" s="11"/>
      <c r="M179" s="11"/>
      <c r="N179" s="11"/>
    </row>
    <row r="180" spans="3:14" x14ac:dyDescent="0.35">
      <c r="C180" t="s">
        <v>22</v>
      </c>
      <c r="D180" s="12" t="s">
        <v>115</v>
      </c>
      <c r="E180" t="b">
        <v>0</v>
      </c>
      <c r="F180" t="b">
        <v>0</v>
      </c>
      <c r="I180" s="11"/>
      <c r="J180" s="11"/>
      <c r="K180" s="11"/>
      <c r="L180" s="11"/>
      <c r="M180" s="11"/>
      <c r="N180" s="11"/>
    </row>
    <row r="181" spans="3:14" x14ac:dyDescent="0.35">
      <c r="C181" t="s">
        <v>22</v>
      </c>
      <c r="D181" s="12" t="s">
        <v>116</v>
      </c>
      <c r="E181" t="b">
        <v>0</v>
      </c>
      <c r="F181" t="b">
        <v>0</v>
      </c>
      <c r="I181" s="11"/>
      <c r="J181" s="11"/>
      <c r="K181" s="11"/>
      <c r="L181" s="11"/>
      <c r="M181" s="11"/>
      <c r="N181" s="11"/>
    </row>
    <row r="182" spans="3:14" x14ac:dyDescent="0.35">
      <c r="C182" t="s">
        <v>23</v>
      </c>
      <c r="D182" s="12" t="s">
        <v>115</v>
      </c>
      <c r="E182" t="b">
        <v>1</v>
      </c>
      <c r="F182" t="b">
        <v>1</v>
      </c>
      <c r="H182" t="s">
        <v>117</v>
      </c>
      <c r="I182" s="11">
        <v>200</v>
      </c>
      <c r="J182" s="11">
        <v>200</v>
      </c>
      <c r="K182" s="11">
        <v>200</v>
      </c>
      <c r="L182" s="11">
        <v>200</v>
      </c>
      <c r="M182" s="11">
        <v>200</v>
      </c>
      <c r="N182" s="11">
        <v>200</v>
      </c>
    </row>
    <row r="183" spans="3:14" x14ac:dyDescent="0.35">
      <c r="C183" t="s">
        <v>23</v>
      </c>
      <c r="D183" s="12" t="s">
        <v>116</v>
      </c>
      <c r="E183" t="b">
        <v>1</v>
      </c>
      <c r="F183" t="b">
        <v>1</v>
      </c>
      <c r="H183" t="s">
        <v>117</v>
      </c>
      <c r="I183" s="11">
        <v>175</v>
      </c>
      <c r="J183" s="11">
        <v>175</v>
      </c>
      <c r="K183" s="11">
        <v>175</v>
      </c>
      <c r="L183" s="11">
        <v>175</v>
      </c>
      <c r="M183" s="11">
        <v>175</v>
      </c>
      <c r="N183" s="11">
        <v>175</v>
      </c>
    </row>
    <row r="184" spans="3:14" x14ac:dyDescent="0.35">
      <c r="C184" t="s">
        <v>9</v>
      </c>
      <c r="D184" s="12" t="s">
        <v>115</v>
      </c>
      <c r="E184" t="b">
        <v>1</v>
      </c>
      <c r="F184" t="b">
        <v>1</v>
      </c>
      <c r="I184" s="11">
        <v>200</v>
      </c>
      <c r="J184" s="11">
        <v>200</v>
      </c>
      <c r="K184" s="11">
        <v>200</v>
      </c>
      <c r="L184" s="11">
        <v>200</v>
      </c>
      <c r="M184" s="11">
        <v>200</v>
      </c>
      <c r="N184" s="11">
        <v>200</v>
      </c>
    </row>
    <row r="185" spans="3:14" x14ac:dyDescent="0.35">
      <c r="C185" t="s">
        <v>9</v>
      </c>
      <c r="D185" s="12" t="s">
        <v>116</v>
      </c>
      <c r="E185" t="b">
        <v>1</v>
      </c>
      <c r="F185" t="b">
        <v>1</v>
      </c>
      <c r="I185" s="11">
        <v>175</v>
      </c>
      <c r="J185" s="11">
        <v>175</v>
      </c>
      <c r="K185" s="11">
        <v>175</v>
      </c>
      <c r="L185" s="11">
        <v>175</v>
      </c>
      <c r="M185" s="11">
        <v>175</v>
      </c>
      <c r="N185" s="11">
        <v>175</v>
      </c>
    </row>
    <row r="186" spans="3:14" x14ac:dyDescent="0.35">
      <c r="C186" t="s">
        <v>24</v>
      </c>
      <c r="D186" s="12" t="s">
        <v>115</v>
      </c>
      <c r="E186" t="b">
        <v>1</v>
      </c>
      <c r="F186" t="b">
        <v>1</v>
      </c>
      <c r="I186" s="11">
        <v>200</v>
      </c>
      <c r="J186" s="11">
        <v>200</v>
      </c>
      <c r="K186" s="11">
        <v>200</v>
      </c>
      <c r="L186" s="11">
        <v>200</v>
      </c>
      <c r="M186" s="11">
        <v>200</v>
      </c>
      <c r="N186" s="11">
        <v>200</v>
      </c>
    </row>
    <row r="187" spans="3:14" x14ac:dyDescent="0.35">
      <c r="C187" t="s">
        <v>24</v>
      </c>
      <c r="D187" s="12" t="s">
        <v>116</v>
      </c>
      <c r="E187" t="b">
        <v>1</v>
      </c>
      <c r="F187" t="b">
        <v>1</v>
      </c>
      <c r="I187" s="11">
        <v>175</v>
      </c>
      <c r="J187" s="11">
        <v>175</v>
      </c>
      <c r="K187" s="11">
        <v>175</v>
      </c>
      <c r="L187" s="11">
        <v>175</v>
      </c>
      <c r="M187" s="11">
        <v>175</v>
      </c>
      <c r="N187" s="11">
        <v>175</v>
      </c>
    </row>
    <row r="188" spans="3:14" x14ac:dyDescent="0.35">
      <c r="C188" t="s">
        <v>26</v>
      </c>
      <c r="D188" s="12" t="s">
        <v>115</v>
      </c>
      <c r="E188" t="b">
        <v>1</v>
      </c>
      <c r="F188" t="b">
        <v>0</v>
      </c>
      <c r="I188" s="11"/>
      <c r="J188" s="11"/>
      <c r="K188" s="11"/>
      <c r="L188" s="11"/>
      <c r="M188" s="11"/>
      <c r="N188" s="11"/>
    </row>
    <row r="189" spans="3:14" x14ac:dyDescent="0.35">
      <c r="C189" t="s">
        <v>26</v>
      </c>
      <c r="D189" s="12" t="s">
        <v>116</v>
      </c>
      <c r="E189" t="b">
        <v>1</v>
      </c>
      <c r="F189" t="b">
        <v>0</v>
      </c>
      <c r="I189" s="11"/>
      <c r="J189" s="11"/>
      <c r="K189" s="11"/>
      <c r="L189" s="11"/>
      <c r="M189" s="11"/>
      <c r="N189" s="11"/>
    </row>
    <row r="190" spans="3:14" x14ac:dyDescent="0.35">
      <c r="C190" t="s">
        <v>25</v>
      </c>
      <c r="D190" s="12" t="s">
        <v>115</v>
      </c>
      <c r="E190" t="b">
        <v>0</v>
      </c>
      <c r="F190" t="b">
        <v>0</v>
      </c>
      <c r="I190" s="11"/>
      <c r="J190" s="11"/>
      <c r="K190" s="11"/>
      <c r="L190" s="11"/>
      <c r="M190" s="11"/>
      <c r="N190" s="11"/>
    </row>
    <row r="191" spans="3:14" x14ac:dyDescent="0.35">
      <c r="C191" t="s">
        <v>25</v>
      </c>
      <c r="D191" s="12" t="s">
        <v>116</v>
      </c>
      <c r="E191" t="b">
        <v>0</v>
      </c>
      <c r="F191" t="b">
        <v>0</v>
      </c>
      <c r="I191" s="11"/>
      <c r="J191" s="11"/>
      <c r="K191" s="11"/>
      <c r="L191" s="11"/>
      <c r="M191" s="11"/>
      <c r="N191" s="11"/>
    </row>
    <row r="192" spans="3:14" x14ac:dyDescent="0.35">
      <c r="C192" t="s">
        <v>27</v>
      </c>
      <c r="D192" s="12" t="s">
        <v>115</v>
      </c>
      <c r="E192" t="b">
        <v>0</v>
      </c>
      <c r="F192" t="b">
        <v>0</v>
      </c>
      <c r="I192" s="11"/>
      <c r="J192" s="11"/>
      <c r="K192" s="11"/>
      <c r="L192" s="11"/>
      <c r="M192" s="11"/>
      <c r="N192" s="11"/>
    </row>
    <row r="193" spans="2:14" x14ac:dyDescent="0.35">
      <c r="C193" t="s">
        <v>27</v>
      </c>
      <c r="D193" s="12" t="s">
        <v>116</v>
      </c>
      <c r="E193" t="b">
        <v>0</v>
      </c>
      <c r="F193" t="b">
        <v>0</v>
      </c>
      <c r="I193" s="11"/>
      <c r="J193" s="11"/>
      <c r="K193" s="11"/>
      <c r="L193" s="11"/>
      <c r="M193" s="11"/>
      <c r="N193" s="11"/>
    </row>
    <row r="194" spans="2:14" x14ac:dyDescent="0.35">
      <c r="C194" t="s">
        <v>29</v>
      </c>
      <c r="D194" s="12" t="s">
        <v>115</v>
      </c>
      <c r="E194" t="b">
        <v>0</v>
      </c>
      <c r="F194" t="b">
        <v>0</v>
      </c>
      <c r="I194" s="11"/>
      <c r="J194" s="11"/>
      <c r="K194" s="11"/>
      <c r="L194" s="11"/>
      <c r="M194" s="11"/>
      <c r="N194" s="11"/>
    </row>
    <row r="195" spans="2:14" x14ac:dyDescent="0.35">
      <c r="C195" t="s">
        <v>29</v>
      </c>
      <c r="D195" s="12" t="s">
        <v>116</v>
      </c>
      <c r="E195" t="b">
        <v>0</v>
      </c>
      <c r="F195" t="b">
        <v>0</v>
      </c>
      <c r="I195" s="11"/>
      <c r="J195" s="11"/>
      <c r="K195" s="11"/>
      <c r="L195" s="11"/>
      <c r="M195" s="11"/>
      <c r="N195" s="11"/>
    </row>
    <row r="196" spans="2:14" x14ac:dyDescent="0.35">
      <c r="C196" t="s">
        <v>30</v>
      </c>
      <c r="D196" s="12" t="s">
        <v>115</v>
      </c>
      <c r="E196" t="b">
        <v>1</v>
      </c>
      <c r="F196" t="b">
        <v>1</v>
      </c>
      <c r="I196" s="11">
        <v>200</v>
      </c>
      <c r="J196" s="11">
        <v>200</v>
      </c>
      <c r="K196" s="11">
        <v>200</v>
      </c>
      <c r="L196" s="11">
        <v>200</v>
      </c>
      <c r="M196" s="11">
        <v>200</v>
      </c>
      <c r="N196" s="11">
        <v>200</v>
      </c>
    </row>
    <row r="197" spans="2:14" x14ac:dyDescent="0.35">
      <c r="C197" t="s">
        <v>30</v>
      </c>
      <c r="D197" s="12" t="s">
        <v>116</v>
      </c>
      <c r="E197" t="b">
        <v>1</v>
      </c>
      <c r="F197" t="b">
        <v>1</v>
      </c>
      <c r="I197" s="11">
        <v>175</v>
      </c>
      <c r="J197" s="11">
        <v>175</v>
      </c>
      <c r="K197" s="11">
        <v>175</v>
      </c>
      <c r="L197" s="11">
        <v>175</v>
      </c>
      <c r="M197" s="11">
        <v>175</v>
      </c>
      <c r="N197" s="11">
        <v>175</v>
      </c>
    </row>
    <row r="198" spans="2:14" x14ac:dyDescent="0.35">
      <c r="C198" t="s">
        <v>31</v>
      </c>
      <c r="D198" s="12" t="s">
        <v>115</v>
      </c>
      <c r="E198" t="b">
        <v>1</v>
      </c>
      <c r="F198" t="b">
        <v>1</v>
      </c>
      <c r="G198" s="19" t="s">
        <v>118</v>
      </c>
      <c r="H198" s="19" t="s">
        <v>119</v>
      </c>
      <c r="I198" s="11">
        <v>200</v>
      </c>
      <c r="J198" s="11">
        <v>200</v>
      </c>
      <c r="K198" s="11">
        <v>200</v>
      </c>
      <c r="L198" s="11">
        <v>200</v>
      </c>
      <c r="M198" s="11">
        <v>200</v>
      </c>
      <c r="N198" s="11">
        <v>200</v>
      </c>
    </row>
    <row r="199" spans="2:14" x14ac:dyDescent="0.35">
      <c r="C199" t="s">
        <v>31</v>
      </c>
      <c r="D199" s="12" t="s">
        <v>116</v>
      </c>
      <c r="E199" t="b">
        <v>1</v>
      </c>
      <c r="F199" t="b">
        <v>1</v>
      </c>
      <c r="G199" s="19" t="s">
        <v>118</v>
      </c>
      <c r="H199" s="19" t="s">
        <v>119</v>
      </c>
      <c r="I199" s="11">
        <v>175</v>
      </c>
      <c r="J199" s="11">
        <v>175</v>
      </c>
      <c r="K199" s="11">
        <v>175</v>
      </c>
      <c r="L199" s="11">
        <v>175</v>
      </c>
      <c r="M199" s="11">
        <v>175</v>
      </c>
      <c r="N199" s="11">
        <v>175</v>
      </c>
    </row>
    <row r="200" spans="2:14" x14ac:dyDescent="0.35">
      <c r="C200" t="s">
        <v>32</v>
      </c>
      <c r="D200" s="12" t="s">
        <v>115</v>
      </c>
      <c r="E200" t="b">
        <v>0</v>
      </c>
      <c r="F200" t="b">
        <v>0</v>
      </c>
      <c r="G200" s="19" t="s">
        <v>120</v>
      </c>
      <c r="H200" s="19"/>
      <c r="I200" s="11">
        <v>0</v>
      </c>
      <c r="J200" s="11">
        <v>0</v>
      </c>
      <c r="K200" s="11">
        <v>0</v>
      </c>
      <c r="L200" s="11">
        <v>0</v>
      </c>
      <c r="M200" s="11">
        <v>0</v>
      </c>
      <c r="N200" s="11">
        <v>0</v>
      </c>
    </row>
    <row r="201" spans="2:14" x14ac:dyDescent="0.35">
      <c r="C201" t="s">
        <v>32</v>
      </c>
      <c r="D201" s="12" t="s">
        <v>116</v>
      </c>
      <c r="E201" t="b">
        <v>0</v>
      </c>
      <c r="F201" t="b">
        <v>0</v>
      </c>
      <c r="G201" s="19" t="s">
        <v>120</v>
      </c>
      <c r="H201" s="19"/>
      <c r="I201" s="11">
        <v>0</v>
      </c>
      <c r="J201" s="11">
        <v>0</v>
      </c>
      <c r="K201" s="11">
        <v>0</v>
      </c>
      <c r="L201" s="11">
        <v>0</v>
      </c>
      <c r="M201" s="11">
        <v>0</v>
      </c>
      <c r="N201" s="11">
        <v>0</v>
      </c>
    </row>
    <row r="202" spans="2:14" x14ac:dyDescent="0.35">
      <c r="C202" t="s">
        <v>33</v>
      </c>
      <c r="D202" s="12" t="s">
        <v>115</v>
      </c>
      <c r="E202" t="b">
        <v>1</v>
      </c>
      <c r="F202" t="b">
        <v>0</v>
      </c>
      <c r="G202" s="19"/>
      <c r="H202" s="19"/>
      <c r="I202" s="11"/>
      <c r="J202" s="11"/>
      <c r="K202" s="11"/>
      <c r="L202" s="11"/>
      <c r="M202" s="11"/>
      <c r="N202" s="11"/>
    </row>
    <row r="203" spans="2:14" x14ac:dyDescent="0.35">
      <c r="C203" t="s">
        <v>33</v>
      </c>
      <c r="D203" s="12" t="s">
        <v>116</v>
      </c>
      <c r="E203" t="b">
        <v>1</v>
      </c>
      <c r="F203" t="b">
        <v>0</v>
      </c>
      <c r="G203" s="19"/>
      <c r="H203" s="19"/>
      <c r="I203" s="11"/>
      <c r="J203" s="11"/>
      <c r="K203" s="11"/>
      <c r="L203" s="11"/>
      <c r="M203" s="11"/>
      <c r="N203" s="11"/>
    </row>
    <row r="204" spans="2:14" x14ac:dyDescent="0.35">
      <c r="G204" s="19"/>
      <c r="H204" s="19"/>
      <c r="I204" s="11"/>
      <c r="J204" s="11"/>
      <c r="K204" s="11"/>
      <c r="L204" s="11"/>
      <c r="M204" s="11"/>
    </row>
    <row r="205" spans="2:14" x14ac:dyDescent="0.35">
      <c r="B205" s="3" t="s">
        <v>89</v>
      </c>
      <c r="E205" s="20"/>
      <c r="F205" s="20"/>
      <c r="G205" s="20"/>
    </row>
    <row r="206" spans="2:14" x14ac:dyDescent="0.35">
      <c r="C206" s="15" t="s">
        <v>121</v>
      </c>
      <c r="F206" s="20"/>
      <c r="G206" s="20"/>
    </row>
    <row r="207" spans="2:14" x14ac:dyDescent="0.35">
      <c r="C207" t="s">
        <v>27</v>
      </c>
      <c r="D207" t="s">
        <v>122</v>
      </c>
      <c r="E207" s="21" t="s">
        <v>123</v>
      </c>
      <c r="F207" s="20"/>
      <c r="G207" s="20"/>
    </row>
    <row r="208" spans="2:14" x14ac:dyDescent="0.35">
      <c r="C208" t="s">
        <v>23</v>
      </c>
      <c r="D208" t="s">
        <v>124</v>
      </c>
      <c r="E208" s="20" t="s">
        <v>125</v>
      </c>
      <c r="F208" s="20"/>
      <c r="G208" s="20"/>
    </row>
    <row r="209" spans="2:34" x14ac:dyDescent="0.35">
      <c r="E209" s="20"/>
      <c r="F209" s="20"/>
      <c r="G209" s="20"/>
    </row>
    <row r="210" spans="2:34" x14ac:dyDescent="0.35">
      <c r="B210" s="3" t="s">
        <v>40</v>
      </c>
      <c r="F210" s="20"/>
      <c r="G210" s="20"/>
    </row>
    <row r="211" spans="2:34" x14ac:dyDescent="0.35">
      <c r="C211" s="5" t="s">
        <v>41</v>
      </c>
      <c r="D211" t="s">
        <v>126</v>
      </c>
      <c r="F211" s="20"/>
      <c r="G211" s="20"/>
    </row>
    <row r="212" spans="2:34" x14ac:dyDescent="0.35">
      <c r="C212" s="5" t="s">
        <v>43</v>
      </c>
      <c r="D212" s="5" t="s">
        <v>44</v>
      </c>
      <c r="E212" t="s">
        <v>9</v>
      </c>
      <c r="F212" s="20"/>
      <c r="G212" s="20"/>
    </row>
    <row r="213" spans="2:34" x14ac:dyDescent="0.35">
      <c r="D213" s="5" t="s">
        <v>127</v>
      </c>
      <c r="E213" t="s">
        <v>116</v>
      </c>
    </row>
    <row r="214" spans="2:34" x14ac:dyDescent="0.35">
      <c r="D214" s="5" t="s">
        <v>46</v>
      </c>
      <c r="E214">
        <v>2019</v>
      </c>
    </row>
    <row r="215" spans="2:34" x14ac:dyDescent="0.35">
      <c r="D215" s="7" t="s">
        <v>47</v>
      </c>
      <c r="E215">
        <f t="array" ref="E215">INDEX(TANFCCExpenses[],MATCH(1,(TANFCCExpenses[State]=$E$212)*(TANFCCExpenses[Age]=$E$213),0),MATCH($E$214,VALUE(TANFCCExpenses[#Headers]),0))</f>
        <v>175</v>
      </c>
    </row>
    <row r="216" spans="2:34" x14ac:dyDescent="0.35">
      <c r="D216" s="7"/>
    </row>
    <row r="217" spans="2:34" x14ac:dyDescent="0.35">
      <c r="B217" s="3" t="s">
        <v>128</v>
      </c>
      <c r="D217" s="7"/>
    </row>
    <row r="218" spans="2:34" x14ac:dyDescent="0.35">
      <c r="C218" t="s">
        <v>129</v>
      </c>
      <c r="D218" s="7"/>
    </row>
    <row r="219" spans="2:34" x14ac:dyDescent="0.35">
      <c r="C219" t="s">
        <v>130</v>
      </c>
      <c r="E219" s="22" t="s">
        <v>131</v>
      </c>
    </row>
    <row r="220" spans="2:34" x14ac:dyDescent="0.35">
      <c r="D220" s="7"/>
      <c r="E220" s="18"/>
    </row>
    <row r="221" spans="2:34" x14ac:dyDescent="0.35">
      <c r="B221" s="3" t="s">
        <v>132</v>
      </c>
    </row>
    <row r="222" spans="2:34" x14ac:dyDescent="0.35">
      <c r="C222" s="4" t="s">
        <v>12</v>
      </c>
      <c r="D222" s="4" t="s">
        <v>60</v>
      </c>
      <c r="E222" s="4" t="s">
        <v>133</v>
      </c>
      <c r="F222" s="4" t="s">
        <v>134</v>
      </c>
      <c r="G222" s="12" t="s">
        <v>128</v>
      </c>
      <c r="H222" s="12" t="s">
        <v>113</v>
      </c>
      <c r="I222" s="12" t="s">
        <v>114</v>
      </c>
      <c r="J222" s="12" t="s">
        <v>135</v>
      </c>
      <c r="K222" s="4" t="s">
        <v>136</v>
      </c>
      <c r="L222" s="5" t="s">
        <v>15</v>
      </c>
      <c r="M222" s="5" t="s">
        <v>16</v>
      </c>
      <c r="N222" s="5" t="s">
        <v>17</v>
      </c>
      <c r="O222" s="5" t="s">
        <v>18</v>
      </c>
      <c r="P222" s="5" t="s">
        <v>19</v>
      </c>
      <c r="Q222" s="4" t="s">
        <v>306</v>
      </c>
      <c r="R222" s="4" t="s">
        <v>355</v>
      </c>
      <c r="S222" s="5"/>
      <c r="T222" s="5"/>
    </row>
    <row r="223" spans="2:34" x14ac:dyDescent="0.35">
      <c r="C223" t="s">
        <v>20</v>
      </c>
      <c r="D223" t="s">
        <v>137</v>
      </c>
      <c r="E223" s="12" t="s">
        <v>138</v>
      </c>
      <c r="F223" t="s">
        <v>139</v>
      </c>
      <c r="G223" s="12" t="s">
        <v>140</v>
      </c>
      <c r="H223" s="12" t="s">
        <v>141</v>
      </c>
      <c r="I223" s="12"/>
      <c r="J223" s="12" t="s">
        <v>142</v>
      </c>
      <c r="K223" s="4">
        <v>1</v>
      </c>
      <c r="L223" s="23">
        <v>165</v>
      </c>
      <c r="M223" s="23">
        <v>165</v>
      </c>
      <c r="N223" s="24">
        <v>165</v>
      </c>
      <c r="O223" s="23">
        <v>165</v>
      </c>
      <c r="P223" s="23">
        <v>165</v>
      </c>
      <c r="Q223" s="23">
        <v>165</v>
      </c>
      <c r="R223" s="23">
        <v>264</v>
      </c>
      <c r="Z223" s="25"/>
      <c r="AA223" s="25"/>
      <c r="AB223" s="25"/>
      <c r="AC223" s="26"/>
      <c r="AD223" s="26"/>
      <c r="AF223" s="27"/>
      <c r="AG223" s="27"/>
      <c r="AH223" s="27"/>
    </row>
    <row r="224" spans="2:34" x14ac:dyDescent="0.35">
      <c r="C224" t="s">
        <v>20</v>
      </c>
      <c r="D224" t="s">
        <v>137</v>
      </c>
      <c r="E224" s="12" t="s">
        <v>138</v>
      </c>
      <c r="F224" t="s">
        <v>139</v>
      </c>
      <c r="G224" s="12" t="s">
        <v>140</v>
      </c>
      <c r="H224" s="12" t="s">
        <v>141</v>
      </c>
      <c r="I224" s="12"/>
      <c r="J224" s="12" t="s">
        <v>142</v>
      </c>
      <c r="K224" s="4">
        <v>2</v>
      </c>
      <c r="L224" s="23">
        <v>190</v>
      </c>
      <c r="M224" s="23">
        <v>190</v>
      </c>
      <c r="N224" s="24">
        <v>190</v>
      </c>
      <c r="O224" s="23">
        <v>190</v>
      </c>
      <c r="P224" s="23">
        <v>190</v>
      </c>
      <c r="Q224" s="23">
        <v>190</v>
      </c>
      <c r="R224" s="23">
        <v>304</v>
      </c>
      <c r="Z224" s="25"/>
      <c r="AA224" s="25"/>
      <c r="AB224" s="25"/>
      <c r="AC224" s="26"/>
      <c r="AD224" s="26"/>
      <c r="AF224" s="27"/>
      <c r="AG224" s="27"/>
      <c r="AH224" s="27"/>
    </row>
    <row r="225" spans="3:34" x14ac:dyDescent="0.35">
      <c r="C225" t="s">
        <v>20</v>
      </c>
      <c r="D225" t="s">
        <v>137</v>
      </c>
      <c r="E225" s="12" t="s">
        <v>138</v>
      </c>
      <c r="F225" t="s">
        <v>139</v>
      </c>
      <c r="G225" s="12" t="s">
        <v>140</v>
      </c>
      <c r="H225" s="12" t="s">
        <v>141</v>
      </c>
      <c r="I225" s="12"/>
      <c r="J225" s="12" t="s">
        <v>142</v>
      </c>
      <c r="K225" s="4">
        <v>3</v>
      </c>
      <c r="L225" s="23">
        <v>215</v>
      </c>
      <c r="M225" s="23">
        <v>215</v>
      </c>
      <c r="N225" s="24">
        <v>215</v>
      </c>
      <c r="O225" s="23">
        <v>215</v>
      </c>
      <c r="P225" s="23">
        <v>215</v>
      </c>
      <c r="Q225" s="23">
        <v>215</v>
      </c>
      <c r="R225" s="23">
        <v>344</v>
      </c>
      <c r="Z225" s="25"/>
      <c r="AA225" s="25"/>
      <c r="AB225" s="25"/>
      <c r="AC225" s="26"/>
      <c r="AD225" s="26"/>
      <c r="AF225" s="27"/>
      <c r="AG225" s="27"/>
      <c r="AH225" s="27"/>
    </row>
    <row r="226" spans="3:34" x14ac:dyDescent="0.35">
      <c r="C226" t="s">
        <v>20</v>
      </c>
      <c r="D226" t="s">
        <v>137</v>
      </c>
      <c r="E226" s="12" t="s">
        <v>138</v>
      </c>
      <c r="F226" t="s">
        <v>139</v>
      </c>
      <c r="G226" s="12" t="s">
        <v>140</v>
      </c>
      <c r="H226" s="12" t="s">
        <v>141</v>
      </c>
      <c r="I226" s="12"/>
      <c r="J226" s="12" t="s">
        <v>142</v>
      </c>
      <c r="K226" s="4">
        <v>4</v>
      </c>
      <c r="L226" s="23">
        <v>245</v>
      </c>
      <c r="M226" s="23">
        <v>245</v>
      </c>
      <c r="N226" s="24">
        <v>245</v>
      </c>
      <c r="O226" s="23">
        <v>245</v>
      </c>
      <c r="P226" s="23">
        <v>245</v>
      </c>
      <c r="Q226" s="23">
        <v>245</v>
      </c>
      <c r="R226" s="23">
        <v>392</v>
      </c>
      <c r="Z226" s="25"/>
      <c r="AA226" s="25"/>
      <c r="AB226" s="25"/>
      <c r="AC226" s="26"/>
      <c r="AD226" s="26"/>
      <c r="AF226" s="27"/>
      <c r="AG226" s="27"/>
      <c r="AH226" s="27"/>
    </row>
    <row r="227" spans="3:34" x14ac:dyDescent="0.35">
      <c r="C227" t="s">
        <v>20</v>
      </c>
      <c r="D227" t="s">
        <v>137</v>
      </c>
      <c r="E227" s="12" t="s">
        <v>138</v>
      </c>
      <c r="F227" t="s">
        <v>139</v>
      </c>
      <c r="G227" s="12" t="s">
        <v>140</v>
      </c>
      <c r="H227" s="12" t="s">
        <v>141</v>
      </c>
      <c r="I227" s="12"/>
      <c r="J227" s="12" t="s">
        <v>142</v>
      </c>
      <c r="K227" s="4">
        <v>5</v>
      </c>
      <c r="L227" s="23">
        <v>275</v>
      </c>
      <c r="M227" s="23">
        <v>275</v>
      </c>
      <c r="N227" s="24">
        <v>275</v>
      </c>
      <c r="O227" s="23">
        <v>275</v>
      </c>
      <c r="P227" s="23">
        <v>275</v>
      </c>
      <c r="Q227" s="23">
        <v>275</v>
      </c>
      <c r="R227" s="23">
        <v>440</v>
      </c>
      <c r="Z227" s="25"/>
      <c r="AA227" s="25"/>
      <c r="AB227" s="25"/>
      <c r="AC227" s="26"/>
      <c r="AD227" s="26"/>
      <c r="AF227" s="27"/>
      <c r="AG227" s="27"/>
      <c r="AH227" s="27"/>
    </row>
    <row r="228" spans="3:34" x14ac:dyDescent="0.35">
      <c r="C228" t="s">
        <v>20</v>
      </c>
      <c r="D228" t="s">
        <v>137</v>
      </c>
      <c r="E228" t="s">
        <v>138</v>
      </c>
      <c r="F228" t="s">
        <v>139</v>
      </c>
      <c r="G228" s="12" t="s">
        <v>140</v>
      </c>
      <c r="H228" s="12" t="s">
        <v>141</v>
      </c>
      <c r="I228" s="12"/>
      <c r="J228" s="12" t="s">
        <v>142</v>
      </c>
      <c r="K228" s="4">
        <v>6</v>
      </c>
      <c r="L228" s="23">
        <v>305</v>
      </c>
      <c r="M228" s="23">
        <v>305</v>
      </c>
      <c r="N228" s="24">
        <v>305</v>
      </c>
      <c r="O228" s="23">
        <v>305</v>
      </c>
      <c r="P228" s="23">
        <v>305</v>
      </c>
      <c r="Q228" s="23">
        <v>305</v>
      </c>
      <c r="R228" s="23">
        <v>488</v>
      </c>
      <c r="Z228" s="25"/>
      <c r="AA228" s="25"/>
      <c r="AB228" s="25"/>
      <c r="AC228" s="26"/>
      <c r="AD228" s="26"/>
      <c r="AF228" s="27"/>
      <c r="AG228" s="27"/>
      <c r="AH228" s="27"/>
    </row>
    <row r="229" spans="3:34" x14ac:dyDescent="0.35">
      <c r="C229" t="s">
        <v>20</v>
      </c>
      <c r="D229" t="s">
        <v>137</v>
      </c>
      <c r="E229" t="s">
        <v>138</v>
      </c>
      <c r="F229" t="s">
        <v>139</v>
      </c>
      <c r="G229" s="12" t="s">
        <v>140</v>
      </c>
      <c r="H229" s="12" t="s">
        <v>141</v>
      </c>
      <c r="I229" s="12"/>
      <c r="J229" s="12" t="s">
        <v>142</v>
      </c>
      <c r="K229" s="4">
        <v>7</v>
      </c>
      <c r="L229" s="23">
        <v>335</v>
      </c>
      <c r="M229" s="23">
        <v>335</v>
      </c>
      <c r="N229" s="24">
        <v>335</v>
      </c>
      <c r="O229" s="23">
        <v>335</v>
      </c>
      <c r="P229" s="23">
        <v>335</v>
      </c>
      <c r="Q229" s="23">
        <v>335</v>
      </c>
      <c r="R229" s="23">
        <v>536</v>
      </c>
      <c r="Z229" s="26"/>
      <c r="AA229" s="26"/>
      <c r="AB229" s="26"/>
      <c r="AC229" s="26"/>
      <c r="AD229" s="26"/>
      <c r="AF229" s="27"/>
      <c r="AG229" s="27"/>
      <c r="AH229" s="27"/>
    </row>
    <row r="230" spans="3:34" x14ac:dyDescent="0.35">
      <c r="C230" t="s">
        <v>20</v>
      </c>
      <c r="D230" t="s">
        <v>137</v>
      </c>
      <c r="E230" t="s">
        <v>138</v>
      </c>
      <c r="F230" t="s">
        <v>139</v>
      </c>
      <c r="G230" s="12" t="s">
        <v>140</v>
      </c>
      <c r="H230" s="12" t="s">
        <v>141</v>
      </c>
      <c r="I230" s="12"/>
      <c r="J230" s="12" t="s">
        <v>142</v>
      </c>
      <c r="K230" s="4">
        <v>8</v>
      </c>
      <c r="L230" s="23">
        <v>365</v>
      </c>
      <c r="M230" s="23">
        <v>365</v>
      </c>
      <c r="N230" s="24">
        <v>365</v>
      </c>
      <c r="O230" s="23">
        <v>365</v>
      </c>
      <c r="P230" s="23">
        <v>365</v>
      </c>
      <c r="Q230" s="23">
        <v>365</v>
      </c>
      <c r="R230" s="23">
        <v>584</v>
      </c>
      <c r="Z230" s="26"/>
      <c r="AA230" s="26"/>
      <c r="AB230" s="26"/>
      <c r="AC230" s="26"/>
      <c r="AD230" s="26"/>
      <c r="AF230" s="27"/>
      <c r="AG230" s="27"/>
      <c r="AH230" s="27"/>
    </row>
    <row r="231" spans="3:34" x14ac:dyDescent="0.35">
      <c r="C231" t="s">
        <v>20</v>
      </c>
      <c r="D231" t="s">
        <v>143</v>
      </c>
      <c r="E231" t="s">
        <v>66</v>
      </c>
      <c r="G231" s="12" t="s">
        <v>144</v>
      </c>
      <c r="H231" s="12"/>
      <c r="I231" s="12"/>
      <c r="J231" s="12"/>
      <c r="K231" s="4">
        <v>1</v>
      </c>
      <c r="L231" s="23">
        <v>165</v>
      </c>
      <c r="M231" s="23">
        <v>165</v>
      </c>
      <c r="N231" s="24">
        <v>165</v>
      </c>
      <c r="O231" s="23">
        <v>165</v>
      </c>
      <c r="P231" s="23">
        <v>165</v>
      </c>
      <c r="Q231" s="23">
        <v>165</v>
      </c>
      <c r="R231" s="23">
        <v>264</v>
      </c>
      <c r="Z231" s="26"/>
      <c r="AA231" s="26"/>
      <c r="AB231" s="26"/>
      <c r="AC231" s="26"/>
      <c r="AD231" s="26"/>
      <c r="AF231" s="27"/>
      <c r="AG231" s="27"/>
      <c r="AH231" s="27"/>
    </row>
    <row r="232" spans="3:34" x14ac:dyDescent="0.35">
      <c r="C232" t="s">
        <v>20</v>
      </c>
      <c r="D232" t="s">
        <v>143</v>
      </c>
      <c r="E232" t="s">
        <v>66</v>
      </c>
      <c r="G232" s="12" t="s">
        <v>144</v>
      </c>
      <c r="H232" s="12"/>
      <c r="I232" s="12" t="s">
        <v>145</v>
      </c>
      <c r="J232" s="12"/>
      <c r="K232" s="4">
        <v>2</v>
      </c>
      <c r="L232" s="23">
        <v>190</v>
      </c>
      <c r="M232" s="23">
        <v>190</v>
      </c>
      <c r="N232" s="24">
        <v>190</v>
      </c>
      <c r="O232" s="23">
        <v>190</v>
      </c>
      <c r="P232" s="23">
        <v>190</v>
      </c>
      <c r="Q232" s="23">
        <v>190</v>
      </c>
      <c r="R232" s="23">
        <v>304</v>
      </c>
      <c r="Z232" s="25"/>
      <c r="AA232" s="26"/>
      <c r="AB232" s="26"/>
      <c r="AC232" s="26"/>
      <c r="AD232" s="26"/>
      <c r="AF232" s="27"/>
      <c r="AG232" s="27"/>
      <c r="AH232" s="27"/>
    </row>
    <row r="233" spans="3:34" x14ac:dyDescent="0.35">
      <c r="C233" t="s">
        <v>20</v>
      </c>
      <c r="D233" t="s">
        <v>143</v>
      </c>
      <c r="E233" t="s">
        <v>66</v>
      </c>
      <c r="G233" s="12" t="s">
        <v>144</v>
      </c>
      <c r="H233" s="12"/>
      <c r="I233" s="12" t="s">
        <v>145</v>
      </c>
      <c r="J233" s="12"/>
      <c r="K233" s="4">
        <v>3</v>
      </c>
      <c r="L233" s="23">
        <v>215</v>
      </c>
      <c r="M233" s="23">
        <v>215</v>
      </c>
      <c r="N233" s="24">
        <v>215</v>
      </c>
      <c r="O233" s="23">
        <v>215</v>
      </c>
      <c r="P233" s="23">
        <v>215</v>
      </c>
      <c r="Q233" s="23">
        <v>215</v>
      </c>
      <c r="R233" s="23">
        <v>344</v>
      </c>
      <c r="Z233" s="25"/>
      <c r="AA233" s="26"/>
      <c r="AB233" s="26"/>
      <c r="AC233" s="26"/>
      <c r="AD233" s="26"/>
      <c r="AF233" s="27"/>
      <c r="AG233" s="27"/>
      <c r="AH233" s="27"/>
    </row>
    <row r="234" spans="3:34" x14ac:dyDescent="0.35">
      <c r="C234" t="s">
        <v>20</v>
      </c>
      <c r="D234" t="s">
        <v>143</v>
      </c>
      <c r="E234" t="s">
        <v>66</v>
      </c>
      <c r="G234" s="12" t="s">
        <v>144</v>
      </c>
      <c r="H234" s="12"/>
      <c r="I234" s="12" t="s">
        <v>145</v>
      </c>
      <c r="J234" s="12"/>
      <c r="K234" s="4">
        <v>4</v>
      </c>
      <c r="L234" s="23">
        <v>245</v>
      </c>
      <c r="M234" s="23">
        <v>245</v>
      </c>
      <c r="N234" s="24">
        <v>245</v>
      </c>
      <c r="O234" s="23">
        <v>245</v>
      </c>
      <c r="P234" s="23">
        <v>245</v>
      </c>
      <c r="Q234" s="23">
        <v>245</v>
      </c>
      <c r="R234" s="23">
        <v>392</v>
      </c>
      <c r="Z234" s="25"/>
      <c r="AA234" s="26"/>
      <c r="AB234" s="26"/>
      <c r="AC234" s="26"/>
      <c r="AD234" s="26"/>
      <c r="AF234" s="27"/>
      <c r="AG234" s="27"/>
      <c r="AH234" s="27"/>
    </row>
    <row r="235" spans="3:34" x14ac:dyDescent="0.35">
      <c r="C235" t="s">
        <v>20</v>
      </c>
      <c r="D235" t="s">
        <v>143</v>
      </c>
      <c r="E235" t="s">
        <v>66</v>
      </c>
      <c r="G235" s="12" t="s">
        <v>144</v>
      </c>
      <c r="H235" s="12"/>
      <c r="I235" s="12" t="s">
        <v>145</v>
      </c>
      <c r="J235" s="12"/>
      <c r="K235" s="4">
        <v>5</v>
      </c>
      <c r="L235" s="23">
        <v>275</v>
      </c>
      <c r="M235" s="23">
        <v>275</v>
      </c>
      <c r="N235" s="24">
        <v>275</v>
      </c>
      <c r="O235" s="23">
        <v>275</v>
      </c>
      <c r="P235" s="23">
        <v>275</v>
      </c>
      <c r="Q235" s="23">
        <v>275</v>
      </c>
      <c r="R235" s="23">
        <v>440</v>
      </c>
      <c r="S235" s="3"/>
      <c r="T235" s="3"/>
      <c r="Z235" s="26"/>
      <c r="AA235" s="26"/>
      <c r="AB235" s="26"/>
      <c r="AC235" s="26"/>
      <c r="AD235" s="26"/>
    </row>
    <row r="236" spans="3:34" x14ac:dyDescent="0.35">
      <c r="C236" t="s">
        <v>20</v>
      </c>
      <c r="D236" t="s">
        <v>143</v>
      </c>
      <c r="E236" t="s">
        <v>66</v>
      </c>
      <c r="G236" s="12" t="s">
        <v>144</v>
      </c>
      <c r="H236" s="12"/>
      <c r="I236" s="12" t="s">
        <v>145</v>
      </c>
      <c r="J236" s="12"/>
      <c r="K236" s="4">
        <v>6</v>
      </c>
      <c r="L236" s="23">
        <v>305</v>
      </c>
      <c r="M236" s="23">
        <v>305</v>
      </c>
      <c r="N236" s="24">
        <v>305</v>
      </c>
      <c r="O236" s="23">
        <v>305</v>
      </c>
      <c r="P236" s="23">
        <v>305</v>
      </c>
      <c r="Q236" s="23">
        <v>305</v>
      </c>
      <c r="R236" s="23">
        <v>488</v>
      </c>
      <c r="Z236" s="26"/>
      <c r="AA236" s="26"/>
      <c r="AB236" s="26"/>
      <c r="AC236" s="26"/>
      <c r="AD236" s="26"/>
    </row>
    <row r="237" spans="3:34" x14ac:dyDescent="0.35">
      <c r="C237" t="s">
        <v>20</v>
      </c>
      <c r="D237" t="s">
        <v>143</v>
      </c>
      <c r="E237" t="s">
        <v>66</v>
      </c>
      <c r="G237" s="12" t="s">
        <v>144</v>
      </c>
      <c r="H237" s="12"/>
      <c r="I237" s="12" t="s">
        <v>145</v>
      </c>
      <c r="J237" s="12"/>
      <c r="K237" s="4">
        <v>7</v>
      </c>
      <c r="L237" s="23">
        <v>335</v>
      </c>
      <c r="M237" s="23">
        <v>335</v>
      </c>
      <c r="N237" s="24">
        <v>335</v>
      </c>
      <c r="O237" s="23">
        <v>335</v>
      </c>
      <c r="P237" s="23">
        <v>335</v>
      </c>
      <c r="Q237" s="23">
        <v>335</v>
      </c>
      <c r="R237" s="23">
        <v>536</v>
      </c>
      <c r="Z237" s="26"/>
      <c r="AA237" s="26"/>
      <c r="AB237" s="26"/>
      <c r="AC237" s="26"/>
      <c r="AD237" s="26"/>
    </row>
    <row r="238" spans="3:34" x14ac:dyDescent="0.35">
      <c r="C238" t="s">
        <v>20</v>
      </c>
      <c r="D238" t="s">
        <v>143</v>
      </c>
      <c r="E238" t="s">
        <v>66</v>
      </c>
      <c r="G238" s="12" t="s">
        <v>144</v>
      </c>
      <c r="H238" s="12"/>
      <c r="I238" s="12" t="s">
        <v>145</v>
      </c>
      <c r="J238" s="12"/>
      <c r="K238" s="4">
        <v>8</v>
      </c>
      <c r="L238" s="23">
        <v>365</v>
      </c>
      <c r="M238" s="23">
        <v>365</v>
      </c>
      <c r="N238" s="24">
        <v>365</v>
      </c>
      <c r="O238" s="23">
        <v>365</v>
      </c>
      <c r="P238" s="23">
        <v>365</v>
      </c>
      <c r="Q238" s="23">
        <v>365</v>
      </c>
      <c r="R238" s="23">
        <v>584</v>
      </c>
      <c r="Z238" s="26"/>
      <c r="AA238" s="26"/>
      <c r="AB238" s="26"/>
      <c r="AC238" s="26"/>
      <c r="AD238" s="26"/>
    </row>
    <row r="239" spans="3:34" x14ac:dyDescent="0.35">
      <c r="C239" t="s">
        <v>20</v>
      </c>
      <c r="D239" t="s">
        <v>147</v>
      </c>
      <c r="E239" t="s">
        <v>66</v>
      </c>
      <c r="G239" s="12" t="s">
        <v>144</v>
      </c>
      <c r="H239" s="12"/>
      <c r="I239" s="12" t="s">
        <v>145</v>
      </c>
      <c r="J239" s="12"/>
      <c r="K239" s="4">
        <v>1</v>
      </c>
      <c r="L239" s="23">
        <v>165</v>
      </c>
      <c r="M239" s="23">
        <v>165</v>
      </c>
      <c r="N239" s="24">
        <v>165</v>
      </c>
      <c r="O239" s="23">
        <v>165</v>
      </c>
      <c r="P239" s="23">
        <v>165</v>
      </c>
      <c r="Q239" s="23">
        <v>165</v>
      </c>
      <c r="R239" s="23">
        <v>264</v>
      </c>
      <c r="Z239" s="26"/>
      <c r="AA239" s="26"/>
      <c r="AB239" s="26"/>
      <c r="AC239" s="26"/>
      <c r="AD239" s="26"/>
    </row>
    <row r="240" spans="3:34" x14ac:dyDescent="0.35">
      <c r="C240" t="s">
        <v>20</v>
      </c>
      <c r="D240" t="s">
        <v>147</v>
      </c>
      <c r="E240" t="s">
        <v>66</v>
      </c>
      <c r="G240" s="12" t="s">
        <v>144</v>
      </c>
      <c r="H240" s="12"/>
      <c r="I240" s="12" t="s">
        <v>145</v>
      </c>
      <c r="J240" s="12"/>
      <c r="K240" s="4">
        <v>2</v>
      </c>
      <c r="L240" s="23">
        <v>190</v>
      </c>
      <c r="M240" s="23">
        <v>190</v>
      </c>
      <c r="N240" s="24">
        <v>190</v>
      </c>
      <c r="O240" s="23">
        <v>190</v>
      </c>
      <c r="P240" s="23">
        <v>190</v>
      </c>
      <c r="Q240" s="23">
        <v>190</v>
      </c>
      <c r="R240" s="23">
        <v>304</v>
      </c>
      <c r="Z240" s="26"/>
      <c r="AA240" s="26"/>
      <c r="AB240" s="26"/>
      <c r="AC240" s="26"/>
      <c r="AD240" s="26"/>
    </row>
    <row r="241" spans="3:30" x14ac:dyDescent="0.35">
      <c r="C241" t="s">
        <v>20</v>
      </c>
      <c r="D241" t="s">
        <v>147</v>
      </c>
      <c r="E241" t="s">
        <v>66</v>
      </c>
      <c r="G241" s="12" t="s">
        <v>144</v>
      </c>
      <c r="H241" s="12"/>
      <c r="I241" s="12" t="s">
        <v>145</v>
      </c>
      <c r="J241" s="12"/>
      <c r="K241" s="4">
        <v>3</v>
      </c>
      <c r="L241" s="23">
        <v>215</v>
      </c>
      <c r="M241" s="23">
        <v>215</v>
      </c>
      <c r="N241" s="24">
        <v>215</v>
      </c>
      <c r="O241" s="23">
        <v>215</v>
      </c>
      <c r="P241" s="23">
        <v>215</v>
      </c>
      <c r="Q241" s="23">
        <v>215</v>
      </c>
      <c r="R241" s="23">
        <v>344</v>
      </c>
      <c r="Z241" s="26"/>
      <c r="AA241" s="26"/>
      <c r="AB241" s="26"/>
      <c r="AC241" s="26"/>
      <c r="AD241" s="26"/>
    </row>
    <row r="242" spans="3:30" x14ac:dyDescent="0.35">
      <c r="C242" t="s">
        <v>20</v>
      </c>
      <c r="D242" t="s">
        <v>147</v>
      </c>
      <c r="E242" t="s">
        <v>66</v>
      </c>
      <c r="G242" s="12" t="s">
        <v>144</v>
      </c>
      <c r="H242" s="12"/>
      <c r="I242" s="12" t="s">
        <v>145</v>
      </c>
      <c r="J242" s="12"/>
      <c r="K242" s="4">
        <v>4</v>
      </c>
      <c r="L242" s="23">
        <v>245</v>
      </c>
      <c r="M242" s="23">
        <v>245</v>
      </c>
      <c r="N242" s="24">
        <v>245</v>
      </c>
      <c r="O242" s="23">
        <v>245</v>
      </c>
      <c r="P242" s="23">
        <v>245</v>
      </c>
      <c r="Q242" s="23">
        <v>245</v>
      </c>
      <c r="R242" s="23">
        <v>392</v>
      </c>
      <c r="Z242" s="26"/>
      <c r="AA242" s="26"/>
      <c r="AB242" s="26"/>
      <c r="AC242" s="26"/>
      <c r="AD242" s="26"/>
    </row>
    <row r="243" spans="3:30" x14ac:dyDescent="0.35">
      <c r="C243" t="s">
        <v>20</v>
      </c>
      <c r="D243" t="s">
        <v>147</v>
      </c>
      <c r="E243" t="s">
        <v>66</v>
      </c>
      <c r="G243" s="12" t="s">
        <v>144</v>
      </c>
      <c r="H243" s="12"/>
      <c r="I243" s="12" t="s">
        <v>145</v>
      </c>
      <c r="J243" s="12"/>
      <c r="K243" s="4">
        <v>5</v>
      </c>
      <c r="L243" s="23">
        <v>275</v>
      </c>
      <c r="M243" s="23">
        <v>275</v>
      </c>
      <c r="N243" s="24">
        <v>275</v>
      </c>
      <c r="O243" s="23">
        <v>275</v>
      </c>
      <c r="P243" s="23">
        <v>275</v>
      </c>
      <c r="Q243" s="23">
        <v>275</v>
      </c>
      <c r="R243" s="23">
        <v>440</v>
      </c>
      <c r="Z243" s="26"/>
      <c r="AA243" s="26"/>
      <c r="AB243" s="26"/>
      <c r="AC243" s="26"/>
      <c r="AD243" s="26"/>
    </row>
    <row r="244" spans="3:30" x14ac:dyDescent="0.35">
      <c r="C244" t="s">
        <v>20</v>
      </c>
      <c r="D244" t="s">
        <v>147</v>
      </c>
      <c r="E244" t="s">
        <v>66</v>
      </c>
      <c r="G244" s="12" t="s">
        <v>144</v>
      </c>
      <c r="H244" s="12"/>
      <c r="I244" s="12" t="s">
        <v>145</v>
      </c>
      <c r="J244" s="12"/>
      <c r="K244" s="4">
        <v>6</v>
      </c>
      <c r="L244" s="23">
        <v>305</v>
      </c>
      <c r="M244" s="23">
        <v>305</v>
      </c>
      <c r="N244" s="24">
        <v>305</v>
      </c>
      <c r="O244" s="23">
        <v>305</v>
      </c>
      <c r="P244" s="23">
        <v>305</v>
      </c>
      <c r="Q244" s="23">
        <v>305</v>
      </c>
      <c r="R244" s="23">
        <v>488</v>
      </c>
      <c r="Z244" s="26"/>
      <c r="AA244" s="26"/>
      <c r="AB244" s="26"/>
      <c r="AC244" s="26"/>
      <c r="AD244" s="26"/>
    </row>
    <row r="245" spans="3:30" x14ac:dyDescent="0.35">
      <c r="C245" t="s">
        <v>20</v>
      </c>
      <c r="D245" t="s">
        <v>147</v>
      </c>
      <c r="E245" t="s">
        <v>66</v>
      </c>
      <c r="G245" s="12" t="s">
        <v>144</v>
      </c>
      <c r="H245" s="12"/>
      <c r="I245" s="12" t="s">
        <v>145</v>
      </c>
      <c r="J245" s="12"/>
      <c r="K245" s="4">
        <v>7</v>
      </c>
      <c r="L245" s="23">
        <v>335</v>
      </c>
      <c r="M245" s="23">
        <v>335</v>
      </c>
      <c r="N245" s="24">
        <v>335</v>
      </c>
      <c r="O245" s="23">
        <v>335</v>
      </c>
      <c r="P245" s="23">
        <v>335</v>
      </c>
      <c r="Q245" s="23">
        <v>335</v>
      </c>
      <c r="R245" s="23">
        <v>536</v>
      </c>
      <c r="Z245" s="26"/>
      <c r="AA245" s="26"/>
      <c r="AB245" s="26"/>
      <c r="AC245" s="26"/>
      <c r="AD245" s="26"/>
    </row>
    <row r="246" spans="3:30" x14ac:dyDescent="0.35">
      <c r="C246" t="s">
        <v>20</v>
      </c>
      <c r="D246" t="s">
        <v>147</v>
      </c>
      <c r="E246" t="s">
        <v>66</v>
      </c>
      <c r="G246" s="12" t="s">
        <v>144</v>
      </c>
      <c r="H246" s="12"/>
      <c r="I246" s="12" t="s">
        <v>145</v>
      </c>
      <c r="J246" s="12"/>
      <c r="K246" s="4">
        <v>8</v>
      </c>
      <c r="L246" s="23">
        <v>365</v>
      </c>
      <c r="M246" s="23">
        <v>365</v>
      </c>
      <c r="N246" s="24">
        <v>365</v>
      </c>
      <c r="O246" s="23">
        <v>365</v>
      </c>
      <c r="P246" s="23">
        <v>365</v>
      </c>
      <c r="Q246" s="23">
        <v>365</v>
      </c>
      <c r="R246" s="23">
        <v>584</v>
      </c>
      <c r="Z246" s="26"/>
      <c r="AA246" s="26"/>
      <c r="AB246" s="26"/>
      <c r="AC246" s="26"/>
      <c r="AD246" s="26"/>
    </row>
    <row r="247" spans="3:30" x14ac:dyDescent="0.35">
      <c r="C247" t="s">
        <v>22</v>
      </c>
      <c r="D247" t="s">
        <v>148</v>
      </c>
      <c r="E247" t="s">
        <v>149</v>
      </c>
      <c r="G247" s="12" t="s">
        <v>150</v>
      </c>
      <c r="H247" s="12"/>
      <c r="I247" s="12"/>
      <c r="J247" s="12"/>
      <c r="K247" s="4">
        <v>1</v>
      </c>
      <c r="L247" s="23"/>
      <c r="M247" s="23">
        <v>1925.5416666666665</v>
      </c>
      <c r="N247" s="24">
        <v>1967.1666666666665</v>
      </c>
      <c r="O247" s="23">
        <v>1985.6666666666665</v>
      </c>
      <c r="P247" s="23">
        <f>ROUND((FPIG!P19*1.85)/12,0)</f>
        <v>2095</v>
      </c>
      <c r="Q247" s="23">
        <f>ROUND((FPIG!Q19*1.85)/12,0)</f>
        <v>2248</v>
      </c>
      <c r="R247" s="56">
        <v>2322</v>
      </c>
      <c r="Z247" s="26"/>
      <c r="AA247" s="26"/>
      <c r="AB247" s="26"/>
      <c r="AC247" s="26"/>
      <c r="AD247" s="26"/>
    </row>
    <row r="248" spans="3:30" x14ac:dyDescent="0.35">
      <c r="C248" t="s">
        <v>22</v>
      </c>
      <c r="D248" t="s">
        <v>148</v>
      </c>
      <c r="E248" t="s">
        <v>149</v>
      </c>
      <c r="G248" s="12" t="s">
        <v>150</v>
      </c>
      <c r="H248" s="12"/>
      <c r="I248" s="12"/>
      <c r="J248" s="12"/>
      <c r="K248" s="4">
        <v>2</v>
      </c>
      <c r="L248" s="23"/>
      <c r="M248" s="23">
        <v>2606.9583333333335</v>
      </c>
      <c r="N248" s="24">
        <v>2657.8333333333335</v>
      </c>
      <c r="O248" s="23">
        <v>2685.5833333333335</v>
      </c>
      <c r="P248" s="23">
        <f>ROUND((FPIG!P20*1.85)/12,0)</f>
        <v>2823</v>
      </c>
      <c r="Q248" s="23">
        <f>ROUND((FPIG!Q20*1.85)/12,0)</f>
        <v>3040</v>
      </c>
      <c r="R248" s="23">
        <v>3151</v>
      </c>
      <c r="Z248" s="26"/>
      <c r="AA248" s="26"/>
      <c r="AB248" s="26"/>
      <c r="AC248" s="26"/>
      <c r="AD248" s="26"/>
    </row>
    <row r="249" spans="3:30" x14ac:dyDescent="0.35">
      <c r="C249" t="s">
        <v>22</v>
      </c>
      <c r="D249" t="s">
        <v>148</v>
      </c>
      <c r="E249" t="s">
        <v>149</v>
      </c>
      <c r="G249" s="12" t="s">
        <v>150</v>
      </c>
      <c r="H249" s="12"/>
      <c r="I249" s="12"/>
      <c r="J249" s="12"/>
      <c r="K249" s="4">
        <v>3</v>
      </c>
      <c r="L249" s="23"/>
      <c r="M249" s="23">
        <v>3288.375</v>
      </c>
      <c r="N249" s="24">
        <v>3348.5</v>
      </c>
      <c r="O249" s="23">
        <v>3385.5</v>
      </c>
      <c r="P249" s="23">
        <f>ROUND((FPIG!P21*1.85)/12,0)</f>
        <v>3550</v>
      </c>
      <c r="Q249" s="23">
        <f>ROUND((FPIG!Q21*1.85)/12,0)</f>
        <v>3833</v>
      </c>
      <c r="R249" s="23">
        <v>3981</v>
      </c>
      <c r="Z249" s="26"/>
      <c r="AA249" s="26"/>
      <c r="AB249" s="26"/>
      <c r="AC249" s="26"/>
      <c r="AD249" s="26"/>
    </row>
    <row r="250" spans="3:30" x14ac:dyDescent="0.35">
      <c r="C250" t="s">
        <v>22</v>
      </c>
      <c r="D250" t="s">
        <v>148</v>
      </c>
      <c r="E250" t="s">
        <v>149</v>
      </c>
      <c r="G250" s="12" t="s">
        <v>150</v>
      </c>
      <c r="H250" s="12"/>
      <c r="I250" s="12"/>
      <c r="J250" s="12"/>
      <c r="K250" s="4">
        <v>4</v>
      </c>
      <c r="L250" s="23"/>
      <c r="M250" s="23">
        <v>3969.791666666667</v>
      </c>
      <c r="N250" s="24">
        <v>4039.166666666667</v>
      </c>
      <c r="O250" s="23">
        <v>4085.416666666667</v>
      </c>
      <c r="P250" s="23">
        <f>ROUND((FPIG!P22*1.85)/12,0)</f>
        <v>4278</v>
      </c>
      <c r="Q250" s="23">
        <f>ROUND((FPIG!Q22*1.85)/12,0)</f>
        <v>4625</v>
      </c>
      <c r="R250" s="23">
        <v>4810</v>
      </c>
      <c r="Z250" s="26"/>
      <c r="AA250" s="26"/>
      <c r="AB250" s="26"/>
      <c r="AC250" s="26"/>
      <c r="AD250" s="26"/>
    </row>
    <row r="251" spans="3:30" x14ac:dyDescent="0.35">
      <c r="C251" t="s">
        <v>22</v>
      </c>
      <c r="D251" t="s">
        <v>148</v>
      </c>
      <c r="E251" t="s">
        <v>149</v>
      </c>
      <c r="G251" s="12" t="s">
        <v>150</v>
      </c>
      <c r="H251" s="12"/>
      <c r="I251" s="12"/>
      <c r="J251" s="12"/>
      <c r="K251" s="4">
        <v>5</v>
      </c>
      <c r="L251" s="23"/>
      <c r="M251" s="23">
        <v>4651.208333333333</v>
      </c>
      <c r="N251" s="24">
        <v>4729.833333333333</v>
      </c>
      <c r="O251" s="23">
        <v>4785.333333333333</v>
      </c>
      <c r="P251" s="23">
        <f>ROUND((FPIG!P23*1.85)/12,0)</f>
        <v>5006</v>
      </c>
      <c r="Q251" s="23">
        <f>ROUND((FPIG!Q23*1.85)/12,0)</f>
        <v>5417</v>
      </c>
      <c r="R251" s="23">
        <v>5639</v>
      </c>
      <c r="Z251" s="26"/>
      <c r="AA251" s="26"/>
      <c r="AB251" s="26"/>
      <c r="AC251" s="26"/>
      <c r="AD251" s="26"/>
    </row>
    <row r="252" spans="3:30" x14ac:dyDescent="0.35">
      <c r="C252" t="s">
        <v>22</v>
      </c>
      <c r="D252" t="s">
        <v>148</v>
      </c>
      <c r="E252" t="s">
        <v>149</v>
      </c>
      <c r="G252" s="12" t="s">
        <v>150</v>
      </c>
      <c r="H252" s="12"/>
      <c r="I252" s="12"/>
      <c r="J252" s="12"/>
      <c r="K252" s="4">
        <v>6</v>
      </c>
      <c r="L252" s="23"/>
      <c r="M252" s="23">
        <v>5332.625</v>
      </c>
      <c r="N252" s="24">
        <v>5420.5</v>
      </c>
      <c r="O252" s="23">
        <v>5485.25</v>
      </c>
      <c r="P252" s="23">
        <f>ROUND((FPIG!P24*1.85)/12,0)</f>
        <v>5733</v>
      </c>
      <c r="Q252" s="23">
        <f>ROUND((FPIG!Q24*1.85)/12,0)</f>
        <v>6210</v>
      </c>
      <c r="R252" s="23">
        <v>6469</v>
      </c>
      <c r="Z252" s="26"/>
      <c r="AA252" s="26"/>
      <c r="AB252" s="26"/>
      <c r="AC252" s="26"/>
      <c r="AD252" s="26"/>
    </row>
    <row r="253" spans="3:30" x14ac:dyDescent="0.35">
      <c r="C253" t="s">
        <v>22</v>
      </c>
      <c r="D253" t="s">
        <v>148</v>
      </c>
      <c r="E253" t="s">
        <v>149</v>
      </c>
      <c r="G253" s="12" t="s">
        <v>150</v>
      </c>
      <c r="H253" s="12"/>
      <c r="I253" s="12"/>
      <c r="J253" s="12"/>
      <c r="K253" s="4">
        <v>7</v>
      </c>
      <c r="L253" s="23"/>
      <c r="M253" s="23">
        <v>6014.041666666667</v>
      </c>
      <c r="N253" s="24">
        <v>6111.166666666667</v>
      </c>
      <c r="O253" s="23">
        <v>6185.166666666667</v>
      </c>
      <c r="P253" s="23">
        <f>ROUND((FPIG!P25*1.85)/12,0)</f>
        <v>6461</v>
      </c>
      <c r="Q253" s="23">
        <f>ROUND((FPIG!Q25*1.85)/12,0)</f>
        <v>7002</v>
      </c>
      <c r="R253" s="23">
        <v>7298</v>
      </c>
      <c r="Z253" s="26"/>
      <c r="AA253" s="26"/>
      <c r="AB253" s="26"/>
      <c r="AC253" s="26"/>
      <c r="AD253" s="26"/>
    </row>
    <row r="254" spans="3:30" x14ac:dyDescent="0.35">
      <c r="C254" t="s">
        <v>22</v>
      </c>
      <c r="D254" t="s">
        <v>148</v>
      </c>
      <c r="E254" t="s">
        <v>149</v>
      </c>
      <c r="G254" s="12" t="s">
        <v>150</v>
      </c>
      <c r="H254" s="12"/>
      <c r="I254" s="12"/>
      <c r="J254" s="12"/>
      <c r="K254" s="4">
        <v>8</v>
      </c>
      <c r="L254" s="23"/>
      <c r="M254" s="23">
        <v>6695.458333333333</v>
      </c>
      <c r="N254" s="24">
        <v>6801.833333333333</v>
      </c>
      <c r="O254" s="23">
        <v>6885.083333333333</v>
      </c>
      <c r="P254" s="23">
        <f>ROUND((FPIG!P26*1.85)/12,0)</f>
        <v>7189</v>
      </c>
      <c r="Q254" s="23">
        <f>ROUND((FPIG!Q26*1.85)/12,0)</f>
        <v>7795</v>
      </c>
      <c r="R254" s="23">
        <v>8128</v>
      </c>
      <c r="Z254" s="26"/>
      <c r="AA254" s="26"/>
      <c r="AB254" s="26"/>
      <c r="AC254" s="26"/>
      <c r="AD254" s="26"/>
    </row>
    <row r="255" spans="3:30" x14ac:dyDescent="0.35">
      <c r="C255" t="s">
        <v>22</v>
      </c>
      <c r="D255" t="s">
        <v>137</v>
      </c>
      <c r="E255" t="s">
        <v>71</v>
      </c>
      <c r="G255" s="12" t="s">
        <v>150</v>
      </c>
      <c r="H255" s="12"/>
      <c r="I255" s="12"/>
      <c r="J255" s="12"/>
      <c r="K255" s="4">
        <v>1</v>
      </c>
      <c r="L255" s="23"/>
      <c r="M255" s="23">
        <v>446</v>
      </c>
      <c r="N255" s="24">
        <v>446</v>
      </c>
      <c r="O255" s="23">
        <v>446</v>
      </c>
      <c r="P255" s="23">
        <v>446</v>
      </c>
      <c r="Q255" s="23">
        <v>446</v>
      </c>
      <c r="R255" s="23">
        <v>446</v>
      </c>
      <c r="Z255" s="26"/>
      <c r="AA255" s="26"/>
      <c r="AB255" s="26"/>
      <c r="AC255" s="26"/>
      <c r="AD255" s="26"/>
    </row>
    <row r="256" spans="3:30" x14ac:dyDescent="0.35">
      <c r="C256" t="s">
        <v>22</v>
      </c>
      <c r="D256" t="s">
        <v>137</v>
      </c>
      <c r="E256" t="s">
        <v>71</v>
      </c>
      <c r="G256" s="12" t="s">
        <v>150</v>
      </c>
      <c r="H256" s="12"/>
      <c r="I256" s="12"/>
      <c r="J256" s="12"/>
      <c r="K256" s="4">
        <v>2</v>
      </c>
      <c r="L256" s="23"/>
      <c r="M256" s="23">
        <v>446</v>
      </c>
      <c r="N256" s="24">
        <v>446</v>
      </c>
      <c r="O256" s="23">
        <v>446</v>
      </c>
      <c r="P256" s="23">
        <v>446</v>
      </c>
      <c r="Q256" s="23">
        <v>446</v>
      </c>
      <c r="R256" s="23">
        <v>446</v>
      </c>
      <c r="Z256" s="26"/>
      <c r="AA256" s="26"/>
      <c r="AB256" s="26"/>
      <c r="AC256" s="26"/>
      <c r="AD256" s="26"/>
    </row>
    <row r="257" spans="3:30" x14ac:dyDescent="0.35">
      <c r="C257" t="s">
        <v>22</v>
      </c>
      <c r="D257" t="s">
        <v>137</v>
      </c>
      <c r="E257" t="s">
        <v>71</v>
      </c>
      <c r="G257" s="12" t="s">
        <v>150</v>
      </c>
      <c r="H257" s="12"/>
      <c r="I257" s="12"/>
      <c r="J257" s="12"/>
      <c r="K257" s="4">
        <v>3</v>
      </c>
      <c r="L257" s="23"/>
      <c r="M257" s="23">
        <v>446</v>
      </c>
      <c r="N257" s="24">
        <v>446</v>
      </c>
      <c r="O257" s="23">
        <v>446</v>
      </c>
      <c r="P257" s="23">
        <v>446</v>
      </c>
      <c r="Q257" s="23">
        <v>446</v>
      </c>
      <c r="R257" s="23">
        <v>446</v>
      </c>
      <c r="Z257" s="26"/>
      <c r="AA257" s="26"/>
      <c r="AB257" s="26"/>
      <c r="AC257" s="26"/>
      <c r="AD257" s="26"/>
    </row>
    <row r="258" spans="3:30" x14ac:dyDescent="0.35">
      <c r="C258" t="s">
        <v>22</v>
      </c>
      <c r="D258" t="s">
        <v>137</v>
      </c>
      <c r="E258" t="s">
        <v>71</v>
      </c>
      <c r="G258" s="12" t="s">
        <v>150</v>
      </c>
      <c r="H258" s="12"/>
      <c r="I258" s="12"/>
      <c r="J258" s="12"/>
      <c r="K258" s="4">
        <v>4</v>
      </c>
      <c r="L258" s="23"/>
      <c r="M258" s="23">
        <v>446</v>
      </c>
      <c r="N258" s="24">
        <v>446</v>
      </c>
      <c r="O258" s="23">
        <v>446</v>
      </c>
      <c r="P258" s="23">
        <v>446</v>
      </c>
      <c r="Q258" s="23">
        <v>446</v>
      </c>
      <c r="R258" s="23">
        <v>446</v>
      </c>
      <c r="Z258" s="26"/>
      <c r="AA258" s="26"/>
      <c r="AB258" s="26"/>
      <c r="AC258" s="26"/>
      <c r="AD258" s="26"/>
    </row>
    <row r="259" spans="3:30" x14ac:dyDescent="0.35">
      <c r="C259" t="s">
        <v>22</v>
      </c>
      <c r="D259" t="s">
        <v>137</v>
      </c>
      <c r="E259" t="s">
        <v>71</v>
      </c>
      <c r="G259" s="12" t="s">
        <v>150</v>
      </c>
      <c r="H259" s="12"/>
      <c r="I259" s="12"/>
      <c r="J259" s="12"/>
      <c r="K259" s="4">
        <v>5</v>
      </c>
      <c r="L259" s="23"/>
      <c r="M259" s="23">
        <v>446</v>
      </c>
      <c r="N259" s="24">
        <v>446</v>
      </c>
      <c r="O259" s="23">
        <v>446</v>
      </c>
      <c r="P259" s="23">
        <v>446</v>
      </c>
      <c r="Q259" s="23">
        <v>446</v>
      </c>
      <c r="R259" s="23">
        <v>446</v>
      </c>
      <c r="Z259" s="26"/>
      <c r="AA259" s="26"/>
      <c r="AB259" s="26"/>
      <c r="AC259" s="26"/>
      <c r="AD259" s="26"/>
    </row>
    <row r="260" spans="3:30" x14ac:dyDescent="0.35">
      <c r="C260" t="s">
        <v>22</v>
      </c>
      <c r="D260" t="s">
        <v>137</v>
      </c>
      <c r="E260" t="s">
        <v>71</v>
      </c>
      <c r="G260" s="12" t="s">
        <v>150</v>
      </c>
      <c r="H260" s="12"/>
      <c r="I260" s="12"/>
      <c r="J260" s="12"/>
      <c r="K260" s="4">
        <v>6</v>
      </c>
      <c r="L260" s="23"/>
      <c r="M260" s="23">
        <v>446</v>
      </c>
      <c r="N260" s="24">
        <v>446</v>
      </c>
      <c r="O260" s="23">
        <v>446</v>
      </c>
      <c r="P260" s="23">
        <v>446</v>
      </c>
      <c r="Q260" s="23">
        <v>446</v>
      </c>
      <c r="R260" s="23">
        <v>446</v>
      </c>
      <c r="Z260" s="26"/>
      <c r="AA260" s="26"/>
      <c r="AB260" s="26"/>
      <c r="AC260" s="26"/>
      <c r="AD260" s="26"/>
    </row>
    <row r="261" spans="3:30" x14ac:dyDescent="0.35">
      <c r="C261" t="s">
        <v>22</v>
      </c>
      <c r="D261" t="s">
        <v>137</v>
      </c>
      <c r="E261" t="s">
        <v>71</v>
      </c>
      <c r="G261" s="12" t="s">
        <v>150</v>
      </c>
      <c r="H261" s="12"/>
      <c r="I261" s="12"/>
      <c r="J261" s="12"/>
      <c r="K261" s="4">
        <v>7</v>
      </c>
      <c r="L261" s="23"/>
      <c r="M261" s="23">
        <v>446</v>
      </c>
      <c r="N261" s="24">
        <v>446</v>
      </c>
      <c r="O261" s="23">
        <v>446</v>
      </c>
      <c r="P261" s="23">
        <v>446</v>
      </c>
      <c r="Q261" s="23">
        <v>446</v>
      </c>
      <c r="R261" s="23">
        <v>446</v>
      </c>
      <c r="Z261" s="26"/>
      <c r="AA261" s="26"/>
      <c r="AB261" s="26"/>
      <c r="AC261" s="26"/>
      <c r="AD261" s="26"/>
    </row>
    <row r="262" spans="3:30" x14ac:dyDescent="0.35">
      <c r="C262" t="s">
        <v>22</v>
      </c>
      <c r="D262" t="s">
        <v>137</v>
      </c>
      <c r="E262" t="s">
        <v>71</v>
      </c>
      <c r="G262" s="12" t="s">
        <v>150</v>
      </c>
      <c r="H262" s="12"/>
      <c r="I262" s="12"/>
      <c r="J262" s="12"/>
      <c r="K262" s="4">
        <v>8</v>
      </c>
      <c r="L262" s="23"/>
      <c r="M262" s="23">
        <v>446</v>
      </c>
      <c r="N262" s="24">
        <v>446</v>
      </c>
      <c r="O262" s="23">
        <v>446</v>
      </c>
      <c r="P262" s="23">
        <v>446</v>
      </c>
      <c r="Q262" s="23">
        <v>446</v>
      </c>
      <c r="R262" s="23">
        <v>446</v>
      </c>
      <c r="Z262" s="26"/>
      <c r="AA262" s="26"/>
      <c r="AB262" s="26"/>
      <c r="AC262" s="26"/>
      <c r="AD262" s="26"/>
    </row>
    <row r="263" spans="3:30" x14ac:dyDescent="0.35">
      <c r="C263" t="s">
        <v>22</v>
      </c>
      <c r="D263" t="s">
        <v>147</v>
      </c>
      <c r="E263" t="s">
        <v>151</v>
      </c>
      <c r="F263" t="s">
        <v>139</v>
      </c>
      <c r="G263" s="12"/>
      <c r="H263" s="12" t="s">
        <v>69</v>
      </c>
      <c r="I263" s="12"/>
      <c r="J263" s="12"/>
      <c r="K263" s="4">
        <v>1</v>
      </c>
      <c r="L263" s="23"/>
      <c r="M263" s="23">
        <v>81</v>
      </c>
      <c r="N263" s="24">
        <v>81</v>
      </c>
      <c r="O263" s="23">
        <v>81</v>
      </c>
      <c r="P263" s="23">
        <v>81</v>
      </c>
      <c r="Q263" s="23">
        <v>81</v>
      </c>
      <c r="R263" s="23">
        <v>81</v>
      </c>
      <c r="Z263" s="26"/>
      <c r="AA263" s="26"/>
      <c r="AB263" s="26"/>
      <c r="AC263" s="26"/>
      <c r="AD263" s="26"/>
    </row>
    <row r="264" spans="3:30" x14ac:dyDescent="0.35">
      <c r="C264" t="s">
        <v>22</v>
      </c>
      <c r="D264" t="s">
        <v>147</v>
      </c>
      <c r="E264" t="s">
        <v>151</v>
      </c>
      <c r="F264" t="s">
        <v>139</v>
      </c>
      <c r="G264" s="12"/>
      <c r="H264" s="12" t="s">
        <v>69</v>
      </c>
      <c r="I264" s="12"/>
      <c r="J264" s="12"/>
      <c r="K264" s="4">
        <v>2</v>
      </c>
      <c r="L264" s="23"/>
      <c r="M264" s="23">
        <v>162</v>
      </c>
      <c r="N264" s="24">
        <v>162</v>
      </c>
      <c r="O264" s="23">
        <v>162</v>
      </c>
      <c r="P264" s="23">
        <v>162</v>
      </c>
      <c r="Q264" s="23">
        <v>162</v>
      </c>
      <c r="R264" s="23">
        <v>162</v>
      </c>
      <c r="Z264" s="26"/>
      <c r="AA264" s="26"/>
      <c r="AB264" s="26"/>
      <c r="AC264" s="26"/>
      <c r="AD264" s="26"/>
    </row>
    <row r="265" spans="3:30" x14ac:dyDescent="0.35">
      <c r="C265" t="s">
        <v>22</v>
      </c>
      <c r="D265" t="s">
        <v>147</v>
      </c>
      <c r="E265" t="s">
        <v>151</v>
      </c>
      <c r="F265" t="s">
        <v>139</v>
      </c>
      <c r="G265" s="12"/>
      <c r="H265" s="12" t="s">
        <v>69</v>
      </c>
      <c r="I265" s="12"/>
      <c r="J265" s="12"/>
      <c r="K265" s="4">
        <v>3</v>
      </c>
      <c r="L265" s="23"/>
      <c r="M265" s="23">
        <v>204</v>
      </c>
      <c r="N265" s="24">
        <v>204</v>
      </c>
      <c r="O265" s="23">
        <v>204</v>
      </c>
      <c r="P265" s="23">
        <v>204</v>
      </c>
      <c r="Q265" s="23">
        <v>204</v>
      </c>
      <c r="R265" s="23">
        <v>204</v>
      </c>
      <c r="Z265" s="26"/>
      <c r="AA265" s="26"/>
      <c r="AB265" s="26"/>
      <c r="AC265" s="26"/>
      <c r="AD265" s="26"/>
    </row>
    <row r="266" spans="3:30" x14ac:dyDescent="0.35">
      <c r="C266" t="s">
        <v>22</v>
      </c>
      <c r="D266" t="s">
        <v>147</v>
      </c>
      <c r="E266" t="s">
        <v>151</v>
      </c>
      <c r="F266" t="s">
        <v>139</v>
      </c>
      <c r="G266" s="12"/>
      <c r="H266" s="12" t="s">
        <v>69</v>
      </c>
      <c r="I266" s="12"/>
      <c r="J266" s="12"/>
      <c r="K266" s="4">
        <v>4</v>
      </c>
      <c r="L266" s="23"/>
      <c r="M266" s="23">
        <v>247</v>
      </c>
      <c r="N266" s="24">
        <v>247</v>
      </c>
      <c r="O266" s="23">
        <v>247</v>
      </c>
      <c r="P266" s="23">
        <v>247</v>
      </c>
      <c r="Q266" s="23">
        <v>247</v>
      </c>
      <c r="R266" s="23">
        <v>247</v>
      </c>
      <c r="Z266" s="26"/>
      <c r="AA266" s="26"/>
      <c r="AB266" s="26"/>
      <c r="AC266" s="26"/>
      <c r="AD266" s="26"/>
    </row>
    <row r="267" spans="3:30" x14ac:dyDescent="0.35">
      <c r="C267" t="s">
        <v>22</v>
      </c>
      <c r="D267" t="s">
        <v>147</v>
      </c>
      <c r="E267" t="s">
        <v>151</v>
      </c>
      <c r="F267" t="s">
        <v>139</v>
      </c>
      <c r="G267" s="12"/>
      <c r="H267" s="12" t="s">
        <v>69</v>
      </c>
      <c r="I267" s="12"/>
      <c r="J267" s="12"/>
      <c r="K267" s="4">
        <v>5</v>
      </c>
      <c r="L267" s="23"/>
      <c r="M267" s="23">
        <v>286</v>
      </c>
      <c r="N267" s="24">
        <v>286</v>
      </c>
      <c r="O267" s="23">
        <v>286</v>
      </c>
      <c r="P267" s="23">
        <v>286</v>
      </c>
      <c r="Q267" s="23">
        <v>286</v>
      </c>
      <c r="R267" s="23">
        <v>286</v>
      </c>
      <c r="Z267" s="26"/>
      <c r="AA267" s="26"/>
      <c r="AB267" s="26"/>
      <c r="AC267" s="26"/>
      <c r="AD267" s="26"/>
    </row>
    <row r="268" spans="3:30" x14ac:dyDescent="0.35">
      <c r="C268" t="s">
        <v>22</v>
      </c>
      <c r="D268" t="s">
        <v>147</v>
      </c>
      <c r="E268" t="s">
        <v>151</v>
      </c>
      <c r="F268" t="s">
        <v>139</v>
      </c>
      <c r="G268" s="12"/>
      <c r="H268" s="12" t="s">
        <v>69</v>
      </c>
      <c r="I268" s="12"/>
      <c r="J268" s="12"/>
      <c r="K268" s="4">
        <v>6</v>
      </c>
      <c r="L268" s="23"/>
      <c r="M268" s="23">
        <v>331</v>
      </c>
      <c r="N268" s="24">
        <v>331</v>
      </c>
      <c r="O268" s="23">
        <v>331</v>
      </c>
      <c r="P268" s="23">
        <v>331</v>
      </c>
      <c r="Q268" s="23">
        <v>331</v>
      </c>
      <c r="R268" s="23">
        <v>331</v>
      </c>
      <c r="Z268" s="26"/>
      <c r="AA268" s="26"/>
      <c r="AB268" s="26"/>
      <c r="AC268" s="26"/>
      <c r="AD268" s="26"/>
    </row>
    <row r="269" spans="3:30" x14ac:dyDescent="0.35">
      <c r="C269" t="s">
        <v>22</v>
      </c>
      <c r="D269" t="s">
        <v>147</v>
      </c>
      <c r="E269" t="s">
        <v>151</v>
      </c>
      <c r="F269" t="s">
        <v>139</v>
      </c>
      <c r="G269" s="12"/>
      <c r="H269" s="12" t="s">
        <v>69</v>
      </c>
      <c r="I269" s="12"/>
      <c r="J269" s="12"/>
      <c r="K269" s="4">
        <v>7</v>
      </c>
      <c r="L269" s="23"/>
      <c r="M269" s="23">
        <v>373</v>
      </c>
      <c r="N269" s="24">
        <v>373</v>
      </c>
      <c r="O269" s="23">
        <v>373</v>
      </c>
      <c r="P269" s="23">
        <v>373</v>
      </c>
      <c r="Q269" s="23">
        <v>373</v>
      </c>
      <c r="R269" s="23">
        <v>373</v>
      </c>
      <c r="Z269" s="26"/>
      <c r="AA269" s="26"/>
      <c r="AB269" s="26"/>
      <c r="AC269" s="26"/>
      <c r="AD269" s="26"/>
    </row>
    <row r="270" spans="3:30" x14ac:dyDescent="0.35">
      <c r="C270" t="s">
        <v>22</v>
      </c>
      <c r="D270" t="s">
        <v>147</v>
      </c>
      <c r="E270" t="s">
        <v>151</v>
      </c>
      <c r="F270" t="s">
        <v>139</v>
      </c>
      <c r="G270" s="12"/>
      <c r="H270" s="12" t="s">
        <v>69</v>
      </c>
      <c r="I270" s="12"/>
      <c r="J270" s="12"/>
      <c r="K270" s="4">
        <v>8</v>
      </c>
      <c r="L270" s="23"/>
      <c r="M270" s="23">
        <v>415</v>
      </c>
      <c r="N270" s="24">
        <v>415</v>
      </c>
      <c r="O270" s="23">
        <v>415</v>
      </c>
      <c r="P270" s="23">
        <v>415</v>
      </c>
      <c r="Q270" s="23">
        <v>415</v>
      </c>
      <c r="R270" s="23">
        <v>415</v>
      </c>
      <c r="Z270" s="26"/>
      <c r="AA270" s="26"/>
      <c r="AB270" s="26"/>
      <c r="AC270" s="26"/>
      <c r="AD270" s="26"/>
    </row>
    <row r="271" spans="3:30" x14ac:dyDescent="0.35">
      <c r="C271" t="s">
        <v>22</v>
      </c>
      <c r="D271" t="s">
        <v>143</v>
      </c>
      <c r="E271" t="s">
        <v>72</v>
      </c>
      <c r="G271" s="12"/>
      <c r="H271" s="12"/>
      <c r="I271" s="12"/>
      <c r="J271" s="12"/>
      <c r="K271" s="4">
        <v>1</v>
      </c>
      <c r="L271" s="23"/>
      <c r="M271" s="23">
        <v>223</v>
      </c>
      <c r="N271" s="24">
        <v>223</v>
      </c>
      <c r="O271" s="23">
        <v>223</v>
      </c>
      <c r="P271" s="23">
        <v>223</v>
      </c>
      <c r="Q271" s="23">
        <v>223</v>
      </c>
      <c r="R271" s="23">
        <v>223</v>
      </c>
      <c r="Z271" s="26"/>
      <c r="AA271" s="26"/>
      <c r="AB271" s="26"/>
      <c r="AC271" s="26"/>
      <c r="AD271" s="26"/>
    </row>
    <row r="272" spans="3:30" x14ac:dyDescent="0.35">
      <c r="C272" t="s">
        <v>22</v>
      </c>
      <c r="D272" t="s">
        <v>143</v>
      </c>
      <c r="E272" t="s">
        <v>72</v>
      </c>
      <c r="G272" s="12"/>
      <c r="H272" s="12"/>
      <c r="I272" s="12"/>
      <c r="J272" s="12"/>
      <c r="K272" s="4">
        <v>2</v>
      </c>
      <c r="L272" s="23"/>
      <c r="M272" s="23">
        <v>223</v>
      </c>
      <c r="N272" s="24">
        <v>223</v>
      </c>
      <c r="O272" s="23">
        <v>223</v>
      </c>
      <c r="P272" s="23">
        <v>223</v>
      </c>
      <c r="Q272" s="23">
        <v>223</v>
      </c>
      <c r="R272" s="23">
        <v>223</v>
      </c>
      <c r="Z272" s="26"/>
      <c r="AA272" s="26"/>
      <c r="AB272" s="26"/>
      <c r="AC272" s="26"/>
      <c r="AD272" s="26"/>
    </row>
    <row r="273" spans="3:30" x14ac:dyDescent="0.35">
      <c r="C273" t="s">
        <v>22</v>
      </c>
      <c r="D273" t="s">
        <v>143</v>
      </c>
      <c r="E273" t="s">
        <v>72</v>
      </c>
      <c r="G273" s="12"/>
      <c r="H273" s="12"/>
      <c r="I273" s="12"/>
      <c r="J273" s="12"/>
      <c r="K273" s="4">
        <v>3</v>
      </c>
      <c r="L273" s="23"/>
      <c r="M273" s="23">
        <v>223</v>
      </c>
      <c r="N273" s="24">
        <v>223</v>
      </c>
      <c r="O273" s="23">
        <v>223</v>
      </c>
      <c r="P273" s="23">
        <v>223</v>
      </c>
      <c r="Q273" s="23">
        <v>223</v>
      </c>
      <c r="R273" s="23">
        <v>223</v>
      </c>
      <c r="Z273" s="26"/>
      <c r="AA273" s="26"/>
      <c r="AB273" s="26"/>
      <c r="AC273" s="26"/>
      <c r="AD273" s="26"/>
    </row>
    <row r="274" spans="3:30" x14ac:dyDescent="0.35">
      <c r="C274" t="s">
        <v>22</v>
      </c>
      <c r="D274" t="s">
        <v>143</v>
      </c>
      <c r="E274" t="s">
        <v>72</v>
      </c>
      <c r="G274" s="12"/>
      <c r="H274" s="12"/>
      <c r="I274" s="12"/>
      <c r="J274" s="12"/>
      <c r="K274" s="4">
        <v>4</v>
      </c>
      <c r="L274" s="23"/>
      <c r="M274" s="23">
        <v>223</v>
      </c>
      <c r="N274" s="24">
        <v>223</v>
      </c>
      <c r="O274" s="23">
        <v>223</v>
      </c>
      <c r="P274" s="23">
        <v>223</v>
      </c>
      <c r="Q274" s="23">
        <v>223</v>
      </c>
      <c r="R274" s="23">
        <v>223</v>
      </c>
      <c r="Z274" s="26"/>
      <c r="AA274" s="26"/>
      <c r="AB274" s="26"/>
      <c r="AC274" s="26"/>
      <c r="AD274" s="26"/>
    </row>
    <row r="275" spans="3:30" x14ac:dyDescent="0.35">
      <c r="C275" t="s">
        <v>22</v>
      </c>
      <c r="D275" t="s">
        <v>143</v>
      </c>
      <c r="E275" t="s">
        <v>72</v>
      </c>
      <c r="G275" s="12"/>
      <c r="H275" s="12"/>
      <c r="I275" s="12"/>
      <c r="J275" s="12"/>
      <c r="K275" s="4">
        <v>5</v>
      </c>
      <c r="L275" s="23"/>
      <c r="M275" s="23">
        <v>223</v>
      </c>
      <c r="N275" s="24">
        <v>223</v>
      </c>
      <c r="O275" s="23">
        <v>223</v>
      </c>
      <c r="P275" s="23">
        <v>223</v>
      </c>
      <c r="Q275" s="23">
        <v>223</v>
      </c>
      <c r="R275" s="23">
        <v>223</v>
      </c>
      <c r="Z275" s="26"/>
      <c r="AA275" s="26"/>
      <c r="AB275" s="26"/>
      <c r="AC275" s="26"/>
      <c r="AD275" s="26"/>
    </row>
    <row r="276" spans="3:30" x14ac:dyDescent="0.35">
      <c r="C276" t="s">
        <v>22</v>
      </c>
      <c r="D276" t="s">
        <v>143</v>
      </c>
      <c r="E276" t="s">
        <v>72</v>
      </c>
      <c r="G276" s="12"/>
      <c r="H276" s="12"/>
      <c r="I276" s="12"/>
      <c r="J276" s="12"/>
      <c r="K276" s="4">
        <v>6</v>
      </c>
      <c r="L276" s="23"/>
      <c r="M276" s="23">
        <v>223</v>
      </c>
      <c r="N276" s="24">
        <v>223</v>
      </c>
      <c r="O276" s="23">
        <v>223</v>
      </c>
      <c r="P276" s="23">
        <v>223</v>
      </c>
      <c r="Q276" s="23">
        <v>223</v>
      </c>
      <c r="R276" s="23">
        <v>223</v>
      </c>
      <c r="Z276" s="26"/>
      <c r="AA276" s="26"/>
      <c r="AB276" s="26"/>
      <c r="AC276" s="26"/>
      <c r="AD276" s="26"/>
    </row>
    <row r="277" spans="3:30" x14ac:dyDescent="0.35">
      <c r="C277" t="s">
        <v>22</v>
      </c>
      <c r="D277" t="s">
        <v>143</v>
      </c>
      <c r="E277" t="s">
        <v>72</v>
      </c>
      <c r="G277" s="12"/>
      <c r="H277" s="12"/>
      <c r="I277" s="12"/>
      <c r="J277" s="12"/>
      <c r="K277" s="4">
        <v>7</v>
      </c>
      <c r="L277" s="23"/>
      <c r="M277" s="23">
        <v>223</v>
      </c>
      <c r="N277" s="24">
        <v>223</v>
      </c>
      <c r="O277" s="23">
        <v>223</v>
      </c>
      <c r="P277" s="23">
        <v>223</v>
      </c>
      <c r="Q277" s="23">
        <v>223</v>
      </c>
      <c r="R277" s="23">
        <v>223</v>
      </c>
      <c r="Z277" s="26"/>
      <c r="AA277" s="26"/>
      <c r="AB277" s="26"/>
      <c r="AC277" s="26"/>
      <c r="AD277" s="26"/>
    </row>
    <row r="278" spans="3:30" x14ac:dyDescent="0.35">
      <c r="C278" t="s">
        <v>22</v>
      </c>
      <c r="D278" t="s">
        <v>143</v>
      </c>
      <c r="E278" t="s">
        <v>72</v>
      </c>
      <c r="G278" s="12"/>
      <c r="H278" s="12"/>
      <c r="I278" s="12"/>
      <c r="J278" s="12"/>
      <c r="K278" s="4">
        <v>8</v>
      </c>
      <c r="L278" s="23"/>
      <c r="M278" s="23">
        <v>223</v>
      </c>
      <c r="N278" s="24">
        <v>223</v>
      </c>
      <c r="O278" s="23">
        <v>223</v>
      </c>
      <c r="P278" s="23">
        <v>223</v>
      </c>
      <c r="Q278" s="23">
        <v>223</v>
      </c>
      <c r="R278" s="40">
        <v>223</v>
      </c>
      <c r="Z278" s="26"/>
      <c r="AA278" s="26"/>
      <c r="AB278" s="26"/>
      <c r="AC278" s="26"/>
      <c r="AD278" s="26"/>
    </row>
    <row r="279" spans="3:30" x14ac:dyDescent="0.35">
      <c r="C279" t="s">
        <v>23</v>
      </c>
      <c r="D279" t="s">
        <v>137</v>
      </c>
      <c r="E279" s="12" t="s">
        <v>152</v>
      </c>
      <c r="F279" t="s">
        <v>139</v>
      </c>
      <c r="G279" s="12" t="s">
        <v>153</v>
      </c>
      <c r="H279" s="12" t="s">
        <v>154</v>
      </c>
      <c r="I279" s="12"/>
      <c r="J279" s="12"/>
      <c r="K279" s="4">
        <v>1</v>
      </c>
      <c r="L279" s="23">
        <v>1012</v>
      </c>
      <c r="M279" s="23">
        <v>1041</v>
      </c>
      <c r="N279" s="24">
        <v>1063</v>
      </c>
      <c r="O279" s="23">
        <v>1073</v>
      </c>
      <c r="P279" s="23">
        <f>ROUND(FPIG!P19/12,0)</f>
        <v>1133</v>
      </c>
      <c r="Q279" s="23">
        <f>ROUND(FPIG!Q19/12,0)</f>
        <v>1215</v>
      </c>
      <c r="R279" s="56">
        <v>1255</v>
      </c>
      <c r="U279">
        <v>1012</v>
      </c>
      <c r="V279" s="55">
        <f>TANFFactors[[#This Row],[2021]]/(FPIG!O19/12)</f>
        <v>0.99968944099378887</v>
      </c>
      <c r="Z279" s="26"/>
      <c r="AA279" s="26"/>
      <c r="AB279" s="26"/>
      <c r="AC279" s="26"/>
      <c r="AD279" s="26"/>
    </row>
    <row r="280" spans="3:30" x14ac:dyDescent="0.35">
      <c r="C280" t="s">
        <v>23</v>
      </c>
      <c r="D280" t="s">
        <v>137</v>
      </c>
      <c r="E280" s="12" t="s">
        <v>152</v>
      </c>
      <c r="F280" t="s">
        <v>139</v>
      </c>
      <c r="G280" s="12" t="s">
        <v>153</v>
      </c>
      <c r="H280" s="12" t="s">
        <v>154</v>
      </c>
      <c r="I280" s="12"/>
      <c r="J280" s="12"/>
      <c r="K280" s="4">
        <v>2</v>
      </c>
      <c r="L280" s="23">
        <v>1372</v>
      </c>
      <c r="M280" s="23">
        <v>1409</v>
      </c>
      <c r="N280" s="24">
        <v>1437</v>
      </c>
      <c r="O280" s="23">
        <v>1452</v>
      </c>
      <c r="P280" s="23">
        <f>ROUND(FPIG!P20/12,0)</f>
        <v>1526</v>
      </c>
      <c r="Q280" s="23">
        <f>ROUND(FPIG!Q20/12,0)</f>
        <v>1643</v>
      </c>
      <c r="R280" s="23">
        <v>1704</v>
      </c>
      <c r="U280">
        <v>1372</v>
      </c>
      <c r="Z280" s="26"/>
      <c r="AA280" s="26"/>
      <c r="AB280" s="26"/>
      <c r="AC280" s="26"/>
      <c r="AD280" s="26"/>
    </row>
    <row r="281" spans="3:30" x14ac:dyDescent="0.35">
      <c r="C281" t="s">
        <v>23</v>
      </c>
      <c r="D281" t="s">
        <v>137</v>
      </c>
      <c r="E281" s="12" t="s">
        <v>152</v>
      </c>
      <c r="F281" t="s">
        <v>139</v>
      </c>
      <c r="G281" s="12" t="s">
        <v>153</v>
      </c>
      <c r="H281" s="12" t="s">
        <v>154</v>
      </c>
      <c r="I281" s="12"/>
      <c r="J281" s="12"/>
      <c r="K281" s="4">
        <v>3</v>
      </c>
      <c r="L281" s="23">
        <v>1732</v>
      </c>
      <c r="M281" s="23">
        <v>1778</v>
      </c>
      <c r="N281" s="24">
        <v>1810</v>
      </c>
      <c r="O281" s="23">
        <v>1830</v>
      </c>
      <c r="P281" s="23">
        <f>ROUND(FPIG!P21/12,0)</f>
        <v>1919</v>
      </c>
      <c r="Q281" s="23">
        <f>ROUND(FPIG!Q21/12,0)</f>
        <v>2072</v>
      </c>
      <c r="R281" s="23">
        <v>2152</v>
      </c>
      <c r="U281">
        <v>1732</v>
      </c>
      <c r="Z281" s="26"/>
      <c r="AA281" s="26"/>
      <c r="AB281" s="26"/>
      <c r="AC281" s="26"/>
      <c r="AD281" s="26"/>
    </row>
    <row r="282" spans="3:30" x14ac:dyDescent="0.35">
      <c r="C282" t="s">
        <v>23</v>
      </c>
      <c r="D282" t="s">
        <v>137</v>
      </c>
      <c r="E282" s="12" t="s">
        <v>152</v>
      </c>
      <c r="F282" t="s">
        <v>139</v>
      </c>
      <c r="G282" s="12" t="s">
        <v>153</v>
      </c>
      <c r="H282" s="12" t="s">
        <v>154</v>
      </c>
      <c r="I282" s="12"/>
      <c r="J282" s="12"/>
      <c r="K282" s="4">
        <v>4</v>
      </c>
      <c r="L282" s="23">
        <v>2092</v>
      </c>
      <c r="M282" s="23">
        <v>2146</v>
      </c>
      <c r="N282" s="24">
        <v>2183</v>
      </c>
      <c r="O282" s="23">
        <v>2208</v>
      </c>
      <c r="P282" s="23">
        <f>ROUND(FPIG!P22/12,0)</f>
        <v>2313</v>
      </c>
      <c r="Q282" s="23">
        <f>ROUND(FPIG!Q22/12,0)</f>
        <v>2500</v>
      </c>
      <c r="R282" s="23">
        <v>2600</v>
      </c>
      <c r="U282">
        <v>2092</v>
      </c>
      <c r="Z282" s="26"/>
      <c r="AA282" s="26"/>
      <c r="AB282" s="26"/>
      <c r="AC282" s="26"/>
      <c r="AD282" s="26"/>
    </row>
    <row r="283" spans="3:30" x14ac:dyDescent="0.35">
      <c r="C283" t="s">
        <v>23</v>
      </c>
      <c r="D283" t="s">
        <v>137</v>
      </c>
      <c r="E283" s="12" t="s">
        <v>152</v>
      </c>
      <c r="F283" t="s">
        <v>139</v>
      </c>
      <c r="G283" s="12" t="s">
        <v>153</v>
      </c>
      <c r="H283" s="12" t="s">
        <v>154</v>
      </c>
      <c r="I283" s="12"/>
      <c r="J283" s="12"/>
      <c r="K283" s="4">
        <v>5</v>
      </c>
      <c r="L283" s="23">
        <v>2452</v>
      </c>
      <c r="M283" s="23">
        <v>2514</v>
      </c>
      <c r="N283" s="24">
        <v>2557</v>
      </c>
      <c r="O283" s="23">
        <v>2587</v>
      </c>
      <c r="P283" s="23">
        <f>ROUND(FPIG!P23/12,0)</f>
        <v>2706</v>
      </c>
      <c r="Q283" s="23">
        <f>ROUND(FPIG!Q23/12,0)</f>
        <v>2928</v>
      </c>
      <c r="R283" s="23">
        <v>3049</v>
      </c>
      <c r="U283">
        <v>2452</v>
      </c>
      <c r="Z283" s="26"/>
      <c r="AA283" s="26"/>
      <c r="AB283" s="26"/>
      <c r="AC283" s="26"/>
      <c r="AD283" s="26"/>
    </row>
    <row r="284" spans="3:30" x14ac:dyDescent="0.35">
      <c r="C284" t="s">
        <v>23</v>
      </c>
      <c r="D284" t="s">
        <v>137</v>
      </c>
      <c r="E284" s="12" t="s">
        <v>152</v>
      </c>
      <c r="F284" t="s">
        <v>139</v>
      </c>
      <c r="G284" s="12" t="s">
        <v>153</v>
      </c>
      <c r="H284" s="12" t="s">
        <v>154</v>
      </c>
      <c r="I284" s="12"/>
      <c r="J284" s="12"/>
      <c r="K284" s="4">
        <v>6</v>
      </c>
      <c r="L284" s="23">
        <v>2812</v>
      </c>
      <c r="M284" s="23">
        <v>2883</v>
      </c>
      <c r="N284" s="24">
        <v>2930</v>
      </c>
      <c r="O284" s="23">
        <v>2965</v>
      </c>
      <c r="P284" s="23">
        <f>ROUND(FPIG!P24/12,0)</f>
        <v>3099</v>
      </c>
      <c r="Q284" s="23">
        <f>ROUND(FPIG!Q24/12,0)</f>
        <v>3357</v>
      </c>
      <c r="R284" s="23">
        <v>3497</v>
      </c>
      <c r="Z284" s="26"/>
      <c r="AA284" s="26"/>
      <c r="AB284" s="26"/>
      <c r="AC284" s="26"/>
      <c r="AD284" s="26"/>
    </row>
    <row r="285" spans="3:30" x14ac:dyDescent="0.35">
      <c r="C285" t="s">
        <v>23</v>
      </c>
      <c r="D285" t="s">
        <v>137</v>
      </c>
      <c r="E285" s="12" t="s">
        <v>152</v>
      </c>
      <c r="F285" t="s">
        <v>139</v>
      </c>
      <c r="G285" s="12" t="s">
        <v>153</v>
      </c>
      <c r="H285" s="12" t="s">
        <v>155</v>
      </c>
      <c r="I285" s="12"/>
      <c r="J285" s="12"/>
      <c r="K285" s="4">
        <v>7</v>
      </c>
      <c r="L285" s="23">
        <v>3172</v>
      </c>
      <c r="M285" s="23">
        <v>3251</v>
      </c>
      <c r="N285" s="24">
        <v>3303</v>
      </c>
      <c r="O285" s="23">
        <v>3343</v>
      </c>
      <c r="P285" s="23">
        <f>ROUND(FPIG!P25/12,0)</f>
        <v>3493</v>
      </c>
      <c r="Q285" s="23">
        <f>ROUND(FPIG!Q25/12,0)</f>
        <v>3785</v>
      </c>
      <c r="R285" s="23">
        <v>3945</v>
      </c>
      <c r="Z285" s="26"/>
      <c r="AA285" s="26"/>
      <c r="AB285" s="26"/>
      <c r="AC285" s="26"/>
      <c r="AD285" s="26"/>
    </row>
    <row r="286" spans="3:30" x14ac:dyDescent="0.35">
      <c r="C286" t="s">
        <v>23</v>
      </c>
      <c r="D286" t="s">
        <v>137</v>
      </c>
      <c r="E286" s="12" t="s">
        <v>152</v>
      </c>
      <c r="F286" t="s">
        <v>139</v>
      </c>
      <c r="G286" s="12" t="s">
        <v>153</v>
      </c>
      <c r="H286" s="12" t="s">
        <v>156</v>
      </c>
      <c r="I286" s="12"/>
      <c r="J286" s="12"/>
      <c r="K286" s="4">
        <v>8</v>
      </c>
      <c r="L286" s="23">
        <v>3532</v>
      </c>
      <c r="M286" s="23">
        <v>3619</v>
      </c>
      <c r="N286" s="24">
        <v>3677</v>
      </c>
      <c r="O286" s="23">
        <v>3722</v>
      </c>
      <c r="P286" s="23">
        <f>ROUND(FPIG!P26/12,0)</f>
        <v>3886</v>
      </c>
      <c r="Q286" s="23">
        <f>ROUND(FPIG!Q26/12,0)</f>
        <v>4213</v>
      </c>
      <c r="R286" s="23">
        <v>4394</v>
      </c>
      <c r="V286" s="55">
        <f>TANFFactors[[#This Row],[2021]]/(FPIG!O18/12)</f>
        <v>22.09995051954478</v>
      </c>
      <c r="Z286" s="26"/>
      <c r="AA286" s="26"/>
      <c r="AB286" s="26"/>
      <c r="AC286" s="26"/>
      <c r="AD286" s="26"/>
    </row>
    <row r="287" spans="3:30" x14ac:dyDescent="0.35">
      <c r="C287" t="s">
        <v>23</v>
      </c>
      <c r="D287" t="s">
        <v>148</v>
      </c>
      <c r="E287" s="4"/>
      <c r="G287" s="12" t="s">
        <v>153</v>
      </c>
      <c r="H287" s="12"/>
      <c r="I287" s="12"/>
      <c r="J287" s="12"/>
      <c r="K287" s="4">
        <v>1</v>
      </c>
      <c r="L287" s="23">
        <v>1872</v>
      </c>
      <c r="M287" s="23">
        <v>1926</v>
      </c>
      <c r="N287" s="24">
        <v>1967</v>
      </c>
      <c r="O287" s="23">
        <v>1985</v>
      </c>
      <c r="P287" s="23">
        <f>ROUND((FPIG!P19*1.85)/12,2)</f>
        <v>2095.13</v>
      </c>
      <c r="Q287" s="23">
        <f>ROUND((FPIG!Q19*1.85)/12,2)</f>
        <v>2247.75</v>
      </c>
      <c r="R287" s="23">
        <v>2322</v>
      </c>
      <c r="S287" s="3"/>
      <c r="T287" s="3" t="s">
        <v>157</v>
      </c>
      <c r="V287" s="55">
        <f>TANFFactors[[#This Row],[2021]]/(FPIG!O19/12)</f>
        <v>1.8493788819875778</v>
      </c>
      <c r="Z287" s="26"/>
      <c r="AA287" s="26"/>
      <c r="AB287" s="26"/>
      <c r="AC287" s="26"/>
      <c r="AD287" s="26"/>
    </row>
    <row r="288" spans="3:30" x14ac:dyDescent="0.35">
      <c r="C288" t="s">
        <v>23</v>
      </c>
      <c r="D288" t="s">
        <v>148</v>
      </c>
      <c r="E288" s="4"/>
      <c r="G288" s="12" t="s">
        <v>153</v>
      </c>
      <c r="H288" s="12"/>
      <c r="I288" s="12"/>
      <c r="J288" s="12"/>
      <c r="K288" s="4">
        <v>2</v>
      </c>
      <c r="L288" s="23">
        <v>2538</v>
      </c>
      <c r="M288" s="23">
        <v>2607</v>
      </c>
      <c r="N288" s="24">
        <v>2658</v>
      </c>
      <c r="O288" s="23">
        <v>2686</v>
      </c>
      <c r="P288" s="23">
        <f>ROUND((FPIG!P20*1.85)/12,2)</f>
        <v>2822.79</v>
      </c>
      <c r="Q288" s="23">
        <f>ROUND((FPIG!Q20*1.85)/12,2)</f>
        <v>3040.17</v>
      </c>
      <c r="R288" s="23">
        <v>3152</v>
      </c>
      <c r="Z288" s="26"/>
      <c r="AA288" s="26"/>
      <c r="AB288" s="26"/>
      <c r="AC288" s="26"/>
      <c r="AD288" s="26"/>
    </row>
    <row r="289" spans="3:30" x14ac:dyDescent="0.35">
      <c r="C289" t="s">
        <v>23</v>
      </c>
      <c r="D289" t="s">
        <v>148</v>
      </c>
      <c r="E289" s="4"/>
      <c r="G289" s="12" t="s">
        <v>153</v>
      </c>
      <c r="H289" s="12"/>
      <c r="I289" s="12"/>
      <c r="J289" s="12"/>
      <c r="K289" s="4">
        <v>3</v>
      </c>
      <c r="L289" s="23">
        <v>3204</v>
      </c>
      <c r="M289" s="23">
        <v>3289</v>
      </c>
      <c r="N289" s="24">
        <v>3349</v>
      </c>
      <c r="O289" s="23">
        <v>3386</v>
      </c>
      <c r="P289" s="23">
        <f>ROUND((FPIG!P21*1.85)/12,2)</f>
        <v>3550.46</v>
      </c>
      <c r="Q289" s="23">
        <f>ROUND((FPIG!Q21*1.85)/12,2)</f>
        <v>3832.58</v>
      </c>
      <c r="R289" s="23">
        <v>3981</v>
      </c>
      <c r="Z289" s="26"/>
      <c r="AA289" s="26"/>
      <c r="AB289" s="26"/>
      <c r="AC289" s="26"/>
      <c r="AD289" s="26"/>
    </row>
    <row r="290" spans="3:30" x14ac:dyDescent="0.35">
      <c r="C290" t="s">
        <v>23</v>
      </c>
      <c r="D290" t="s">
        <v>148</v>
      </c>
      <c r="E290" s="4"/>
      <c r="G290" s="12" t="s">
        <v>153</v>
      </c>
      <c r="H290" s="12"/>
      <c r="I290" s="12"/>
      <c r="J290" s="12"/>
      <c r="K290" s="4">
        <v>4</v>
      </c>
      <c r="L290" s="23">
        <v>3870</v>
      </c>
      <c r="M290" s="23">
        <v>3970</v>
      </c>
      <c r="N290" s="24">
        <v>4039</v>
      </c>
      <c r="O290" s="23">
        <v>4085</v>
      </c>
      <c r="P290" s="23">
        <f>ROUND((FPIG!P22*1.85)/12,2)</f>
        <v>4278.13</v>
      </c>
      <c r="Q290" s="23">
        <f>ROUND((FPIG!Q22*1.85)/12,2)</f>
        <v>4625</v>
      </c>
      <c r="R290" s="23">
        <v>4810</v>
      </c>
      <c r="Z290" s="26"/>
      <c r="AA290" s="26"/>
      <c r="AB290" s="26"/>
      <c r="AC290" s="26"/>
      <c r="AD290" s="26"/>
    </row>
    <row r="291" spans="3:30" x14ac:dyDescent="0.35">
      <c r="C291" t="s">
        <v>23</v>
      </c>
      <c r="D291" t="s">
        <v>148</v>
      </c>
      <c r="E291" s="4"/>
      <c r="G291" s="12" t="s">
        <v>153</v>
      </c>
      <c r="H291" s="12"/>
      <c r="I291" s="12"/>
      <c r="J291" s="12"/>
      <c r="K291" s="4">
        <v>5</v>
      </c>
      <c r="L291" s="23">
        <v>4536</v>
      </c>
      <c r="M291" s="23">
        <v>4651</v>
      </c>
      <c r="N291" s="24">
        <v>4730</v>
      </c>
      <c r="O291" s="23">
        <v>4786</v>
      </c>
      <c r="P291" s="23">
        <f>ROUND((FPIG!P23*1.85)/12,2)</f>
        <v>5005.79</v>
      </c>
      <c r="Q291" s="23">
        <f>ROUND((FPIG!Q23*1.85)/12,2)</f>
        <v>5417.42</v>
      </c>
      <c r="R291" s="23">
        <v>5640</v>
      </c>
      <c r="Z291" s="26"/>
      <c r="AA291" s="26"/>
      <c r="AB291" s="26"/>
      <c r="AC291" s="26"/>
      <c r="AD291" s="26"/>
    </row>
    <row r="292" spans="3:30" x14ac:dyDescent="0.35">
      <c r="C292" t="s">
        <v>23</v>
      </c>
      <c r="D292" t="s">
        <v>148</v>
      </c>
      <c r="E292" s="4"/>
      <c r="G292" s="12" t="s">
        <v>153</v>
      </c>
      <c r="H292" s="12"/>
      <c r="I292" s="12"/>
      <c r="J292" s="12"/>
      <c r="K292" s="4">
        <v>6</v>
      </c>
      <c r="L292" s="23">
        <v>5202</v>
      </c>
      <c r="M292" s="23">
        <v>5334</v>
      </c>
      <c r="N292" s="24">
        <v>5421</v>
      </c>
      <c r="O292" s="23">
        <v>5485</v>
      </c>
      <c r="P292" s="23">
        <f>ROUND((FPIG!P24*1.85)/12,2)</f>
        <v>5733.46</v>
      </c>
      <c r="Q292" s="23">
        <f>ROUND((FPIG!Q24*1.85)/12,2)</f>
        <v>6209.83</v>
      </c>
      <c r="R292" s="23">
        <v>6469</v>
      </c>
      <c r="Z292" s="26"/>
      <c r="AA292" s="26"/>
      <c r="AB292" s="26"/>
      <c r="AC292" s="26"/>
      <c r="AD292" s="26"/>
    </row>
    <row r="293" spans="3:30" x14ac:dyDescent="0.35">
      <c r="C293" t="s">
        <v>23</v>
      </c>
      <c r="D293" t="s">
        <v>148</v>
      </c>
      <c r="E293" s="4"/>
      <c r="G293" s="12" t="s">
        <v>153</v>
      </c>
      <c r="H293" s="12"/>
      <c r="I293" s="12"/>
      <c r="J293" s="12"/>
      <c r="K293" s="4">
        <v>7</v>
      </c>
      <c r="L293" s="23">
        <v>5868</v>
      </c>
      <c r="M293" s="23">
        <v>6014</v>
      </c>
      <c r="N293" s="24">
        <v>6111</v>
      </c>
      <c r="O293" s="23">
        <v>6185</v>
      </c>
      <c r="P293" s="23">
        <f>ROUND((FPIG!P25*1.85)/12,2)</f>
        <v>6461.13</v>
      </c>
      <c r="Q293" s="23">
        <f>ROUND((FPIG!Q25*1.85)/12,2)</f>
        <v>7002.25</v>
      </c>
      <c r="R293" s="23">
        <v>7299</v>
      </c>
      <c r="Z293" s="26"/>
      <c r="AA293" s="26"/>
      <c r="AB293" s="26"/>
      <c r="AC293" s="26"/>
      <c r="AD293" s="26"/>
    </row>
    <row r="294" spans="3:30" x14ac:dyDescent="0.35">
      <c r="C294" t="s">
        <v>23</v>
      </c>
      <c r="D294" t="s">
        <v>148</v>
      </c>
      <c r="E294" s="4"/>
      <c r="G294" s="12" t="s">
        <v>153</v>
      </c>
      <c r="H294" s="12"/>
      <c r="I294" s="12"/>
      <c r="J294" s="12"/>
      <c r="K294" s="4">
        <v>8</v>
      </c>
      <c r="L294" s="23">
        <v>6534</v>
      </c>
      <c r="M294" s="23">
        <v>6695</v>
      </c>
      <c r="N294" s="24">
        <v>6802</v>
      </c>
      <c r="O294" s="23">
        <v>6886</v>
      </c>
      <c r="P294" s="23">
        <f>ROUND((FPIG!P26*1.85)/12,2)</f>
        <v>7188.79</v>
      </c>
      <c r="Q294" s="23">
        <f>ROUND((FPIG!Q26*1.85)/12,2)</f>
        <v>7794.67</v>
      </c>
      <c r="R294" s="23">
        <v>8128</v>
      </c>
      <c r="Z294" s="26"/>
      <c r="AA294" s="26"/>
      <c r="AB294" s="26"/>
      <c r="AC294" s="26"/>
      <c r="AD294" s="26"/>
    </row>
    <row r="295" spans="3:30" x14ac:dyDescent="0.35">
      <c r="C295" t="s">
        <v>23</v>
      </c>
      <c r="D295" t="s">
        <v>147</v>
      </c>
      <c r="E295" t="s">
        <v>138</v>
      </c>
      <c r="F295" t="s">
        <v>139</v>
      </c>
      <c r="G295" s="12" t="s">
        <v>153</v>
      </c>
      <c r="H295" s="12" t="s">
        <v>154</v>
      </c>
      <c r="I295" s="12"/>
      <c r="J295" s="12" t="s">
        <v>158</v>
      </c>
      <c r="K295" s="4">
        <v>1</v>
      </c>
      <c r="L295" s="23">
        <v>180</v>
      </c>
      <c r="M295" s="23">
        <v>180</v>
      </c>
      <c r="N295" s="24">
        <v>180</v>
      </c>
      <c r="O295" s="23">
        <v>180</v>
      </c>
      <c r="P295" s="23">
        <v>180</v>
      </c>
      <c r="Q295" s="23">
        <v>180</v>
      </c>
      <c r="R295" s="23">
        <v>180</v>
      </c>
      <c r="S295" s="3" t="s">
        <v>159</v>
      </c>
      <c r="Z295" s="26"/>
      <c r="AA295" s="26"/>
      <c r="AB295" s="26"/>
      <c r="AC295" s="26"/>
      <c r="AD295" s="26"/>
    </row>
    <row r="296" spans="3:30" x14ac:dyDescent="0.35">
      <c r="C296" t="s">
        <v>23</v>
      </c>
      <c r="D296" t="s">
        <v>147</v>
      </c>
      <c r="E296" t="s">
        <v>138</v>
      </c>
      <c r="F296" t="s">
        <v>139</v>
      </c>
      <c r="G296" s="12" t="s">
        <v>153</v>
      </c>
      <c r="H296" s="12" t="s">
        <v>154</v>
      </c>
      <c r="I296" s="12" t="s">
        <v>145</v>
      </c>
      <c r="J296" s="12" t="s">
        <v>158</v>
      </c>
      <c r="K296" s="4">
        <v>2</v>
      </c>
      <c r="L296" s="23">
        <v>241</v>
      </c>
      <c r="M296" s="23">
        <v>241</v>
      </c>
      <c r="N296" s="24">
        <v>241</v>
      </c>
      <c r="O296" s="23">
        <v>241</v>
      </c>
      <c r="P296" s="23">
        <v>241</v>
      </c>
      <c r="Q296" s="23">
        <v>241</v>
      </c>
      <c r="R296" s="23">
        <v>241</v>
      </c>
      <c r="T296" t="s">
        <v>146</v>
      </c>
      <c r="Z296" s="26"/>
      <c r="AA296" s="26"/>
      <c r="AB296" s="26"/>
      <c r="AC296" s="26"/>
      <c r="AD296" s="26"/>
    </row>
    <row r="297" spans="3:30" x14ac:dyDescent="0.35">
      <c r="C297" t="s">
        <v>23</v>
      </c>
      <c r="D297" t="s">
        <v>147</v>
      </c>
      <c r="E297" t="s">
        <v>138</v>
      </c>
      <c r="F297" t="s">
        <v>139</v>
      </c>
      <c r="G297" s="12" t="s">
        <v>153</v>
      </c>
      <c r="H297" s="12" t="s">
        <v>154</v>
      </c>
      <c r="I297" s="12" t="s">
        <v>145</v>
      </c>
      <c r="J297" s="12" t="s">
        <v>158</v>
      </c>
      <c r="K297" s="4">
        <v>3</v>
      </c>
      <c r="L297" s="23">
        <v>303</v>
      </c>
      <c r="M297" s="23">
        <v>303</v>
      </c>
      <c r="N297" s="24">
        <v>303</v>
      </c>
      <c r="O297" s="23">
        <v>303</v>
      </c>
      <c r="P297" s="23">
        <v>303</v>
      </c>
      <c r="Q297" s="23">
        <v>303</v>
      </c>
      <c r="R297" s="23">
        <v>303</v>
      </c>
      <c r="Z297" s="26"/>
      <c r="AA297" s="26"/>
      <c r="AB297" s="26"/>
      <c r="AC297" s="26"/>
      <c r="AD297" s="26"/>
    </row>
    <row r="298" spans="3:30" x14ac:dyDescent="0.35">
      <c r="C298" t="s">
        <v>23</v>
      </c>
      <c r="D298" t="s">
        <v>147</v>
      </c>
      <c r="E298" t="s">
        <v>138</v>
      </c>
      <c r="F298" t="s">
        <v>139</v>
      </c>
      <c r="G298" s="12" t="s">
        <v>153</v>
      </c>
      <c r="H298" s="12" t="s">
        <v>154</v>
      </c>
      <c r="I298" s="12" t="s">
        <v>145</v>
      </c>
      <c r="J298" s="12" t="s">
        <v>158</v>
      </c>
      <c r="K298" s="4">
        <v>4</v>
      </c>
      <c r="L298" s="23">
        <v>364</v>
      </c>
      <c r="M298" s="23">
        <v>364</v>
      </c>
      <c r="N298" s="24">
        <v>364</v>
      </c>
      <c r="O298" s="23">
        <v>364</v>
      </c>
      <c r="P298" s="23">
        <v>364</v>
      </c>
      <c r="Q298" s="23">
        <v>364</v>
      </c>
      <c r="R298" s="23">
        <v>364</v>
      </c>
      <c r="Z298" s="26"/>
      <c r="AA298" s="26"/>
      <c r="AB298" s="26"/>
      <c r="AC298" s="26"/>
      <c r="AD298" s="26"/>
    </row>
    <row r="299" spans="3:30" x14ac:dyDescent="0.35">
      <c r="C299" t="s">
        <v>23</v>
      </c>
      <c r="D299" t="s">
        <v>147</v>
      </c>
      <c r="E299" t="s">
        <v>138</v>
      </c>
      <c r="F299" t="s">
        <v>139</v>
      </c>
      <c r="G299" s="12" t="s">
        <v>153</v>
      </c>
      <c r="H299" s="12" t="s">
        <v>154</v>
      </c>
      <c r="I299" s="12" t="s">
        <v>145</v>
      </c>
      <c r="J299" s="12" t="s">
        <v>158</v>
      </c>
      <c r="K299" s="4">
        <v>5</v>
      </c>
      <c r="L299" s="23">
        <v>426</v>
      </c>
      <c r="M299" s="23">
        <v>426</v>
      </c>
      <c r="N299" s="24">
        <v>426</v>
      </c>
      <c r="O299" s="23">
        <v>426</v>
      </c>
      <c r="P299" s="23">
        <v>426</v>
      </c>
      <c r="Q299" s="23">
        <v>426</v>
      </c>
      <c r="R299" s="23">
        <v>426</v>
      </c>
      <c r="Z299" s="26"/>
      <c r="AA299" s="26"/>
      <c r="AB299" s="26"/>
      <c r="AC299" s="26"/>
      <c r="AD299" s="26"/>
    </row>
    <row r="300" spans="3:30" x14ac:dyDescent="0.35">
      <c r="C300" t="s">
        <v>23</v>
      </c>
      <c r="D300" t="s">
        <v>147</v>
      </c>
      <c r="E300" t="s">
        <v>138</v>
      </c>
      <c r="F300" t="s">
        <v>139</v>
      </c>
      <c r="G300" s="12" t="s">
        <v>153</v>
      </c>
      <c r="H300" s="12" t="s">
        <v>154</v>
      </c>
      <c r="I300" s="12" t="s">
        <v>145</v>
      </c>
      <c r="J300" s="12" t="s">
        <v>158</v>
      </c>
      <c r="K300" s="4">
        <v>6</v>
      </c>
      <c r="L300" s="23">
        <v>487</v>
      </c>
      <c r="M300" s="23">
        <v>487</v>
      </c>
      <c r="N300" s="24">
        <v>487</v>
      </c>
      <c r="O300" s="23">
        <v>487</v>
      </c>
      <c r="P300" s="23">
        <v>487</v>
      </c>
      <c r="Q300" s="23">
        <v>487</v>
      </c>
      <c r="R300" s="23">
        <v>487</v>
      </c>
      <c r="Z300" s="26"/>
      <c r="AA300" s="26"/>
      <c r="AB300" s="26"/>
      <c r="AC300" s="26"/>
      <c r="AD300" s="26"/>
    </row>
    <row r="301" spans="3:30" x14ac:dyDescent="0.35">
      <c r="C301" t="s">
        <v>23</v>
      </c>
      <c r="D301" t="s">
        <v>147</v>
      </c>
      <c r="E301" t="s">
        <v>138</v>
      </c>
      <c r="F301" t="s">
        <v>139</v>
      </c>
      <c r="G301" s="12" t="s">
        <v>153</v>
      </c>
      <c r="H301" s="12" t="s">
        <v>155</v>
      </c>
      <c r="I301" s="12" t="s">
        <v>145</v>
      </c>
      <c r="J301" s="12" t="s">
        <v>158</v>
      </c>
      <c r="K301" s="4">
        <v>7</v>
      </c>
      <c r="L301" s="23">
        <v>549</v>
      </c>
      <c r="M301" s="23">
        <v>549</v>
      </c>
      <c r="N301" s="24">
        <v>549</v>
      </c>
      <c r="O301" s="23">
        <v>549</v>
      </c>
      <c r="P301" s="23">
        <v>549</v>
      </c>
      <c r="Q301" s="23">
        <v>549</v>
      </c>
      <c r="R301" s="23">
        <v>549</v>
      </c>
      <c r="Z301" s="26"/>
      <c r="AA301" s="26"/>
      <c r="AB301" s="26"/>
      <c r="AC301" s="26"/>
      <c r="AD301" s="26"/>
    </row>
    <row r="302" spans="3:30" x14ac:dyDescent="0.35">
      <c r="C302" t="s">
        <v>23</v>
      </c>
      <c r="D302" t="s">
        <v>147</v>
      </c>
      <c r="E302" t="s">
        <v>138</v>
      </c>
      <c r="F302" t="s">
        <v>139</v>
      </c>
      <c r="G302" s="12" t="s">
        <v>153</v>
      </c>
      <c r="H302" s="12" t="s">
        <v>156</v>
      </c>
      <c r="I302" s="12" t="s">
        <v>145</v>
      </c>
      <c r="J302" s="12" t="s">
        <v>158</v>
      </c>
      <c r="K302" s="4">
        <v>8</v>
      </c>
      <c r="L302" s="23">
        <v>610</v>
      </c>
      <c r="M302" s="23">
        <v>610</v>
      </c>
      <c r="N302" s="24">
        <v>610</v>
      </c>
      <c r="O302" s="23">
        <v>610</v>
      </c>
      <c r="P302" s="23">
        <v>610</v>
      </c>
      <c r="Q302" s="23">
        <v>610</v>
      </c>
      <c r="R302" s="23">
        <v>610</v>
      </c>
      <c r="Z302" s="26"/>
      <c r="AA302" s="26"/>
      <c r="AB302" s="26"/>
      <c r="AC302" s="26"/>
      <c r="AD302" s="26"/>
    </row>
    <row r="303" spans="3:30" x14ac:dyDescent="0.35">
      <c r="C303" t="s">
        <v>23</v>
      </c>
      <c r="D303" t="s">
        <v>143</v>
      </c>
      <c r="E303" t="s">
        <v>66</v>
      </c>
      <c r="G303" s="12" t="s">
        <v>153</v>
      </c>
      <c r="H303" s="12"/>
      <c r="I303" s="12"/>
      <c r="J303" s="12"/>
      <c r="K303" s="4">
        <v>1</v>
      </c>
      <c r="L303" s="23">
        <v>180</v>
      </c>
      <c r="M303" s="23">
        <v>180</v>
      </c>
      <c r="N303" s="24">
        <v>180</v>
      </c>
      <c r="O303" s="23">
        <v>180</v>
      </c>
      <c r="P303" s="23">
        <v>180</v>
      </c>
      <c r="Q303" s="23">
        <v>180</v>
      </c>
      <c r="R303" s="23">
        <v>180</v>
      </c>
      <c r="Z303" s="26"/>
      <c r="AA303" s="26"/>
      <c r="AB303" s="26"/>
      <c r="AC303" s="26"/>
      <c r="AD303" s="26"/>
    </row>
    <row r="304" spans="3:30" x14ac:dyDescent="0.35">
      <c r="C304" t="s">
        <v>23</v>
      </c>
      <c r="D304" t="s">
        <v>143</v>
      </c>
      <c r="E304" t="s">
        <v>66</v>
      </c>
      <c r="G304" s="12" t="s">
        <v>153</v>
      </c>
      <c r="H304" s="12"/>
      <c r="I304" s="12"/>
      <c r="J304" s="12"/>
      <c r="K304" s="4">
        <v>2</v>
      </c>
      <c r="L304" s="23">
        <v>241</v>
      </c>
      <c r="M304" s="23">
        <v>241</v>
      </c>
      <c r="N304" s="24">
        <v>241</v>
      </c>
      <c r="O304" s="23">
        <v>241</v>
      </c>
      <c r="P304" s="23">
        <v>241</v>
      </c>
      <c r="Q304" s="23">
        <v>241</v>
      </c>
      <c r="R304" s="23">
        <v>241</v>
      </c>
      <c r="Z304" s="26"/>
      <c r="AA304" s="26"/>
      <c r="AB304" s="26"/>
      <c r="AC304" s="26"/>
      <c r="AD304" s="26"/>
    </row>
    <row r="305" spans="3:30" x14ac:dyDescent="0.35">
      <c r="C305" t="s">
        <v>23</v>
      </c>
      <c r="D305" t="s">
        <v>143</v>
      </c>
      <c r="E305" t="s">
        <v>66</v>
      </c>
      <c r="G305" s="12" t="s">
        <v>153</v>
      </c>
      <c r="H305" s="12"/>
      <c r="I305" s="12"/>
      <c r="J305" s="12"/>
      <c r="K305" s="4">
        <v>3</v>
      </c>
      <c r="L305" s="23">
        <v>303</v>
      </c>
      <c r="M305" s="23">
        <v>303</v>
      </c>
      <c r="N305" s="24">
        <v>303</v>
      </c>
      <c r="O305" s="23">
        <v>303</v>
      </c>
      <c r="P305" s="23">
        <v>303</v>
      </c>
      <c r="Q305" s="23">
        <v>303</v>
      </c>
      <c r="R305" s="23">
        <v>303</v>
      </c>
      <c r="Z305" s="26"/>
      <c r="AA305" s="26"/>
      <c r="AB305" s="26"/>
      <c r="AC305" s="26"/>
      <c r="AD305" s="26"/>
    </row>
    <row r="306" spans="3:30" x14ac:dyDescent="0.35">
      <c r="C306" t="s">
        <v>23</v>
      </c>
      <c r="D306" t="s">
        <v>143</v>
      </c>
      <c r="E306" t="s">
        <v>66</v>
      </c>
      <c r="G306" s="12" t="s">
        <v>153</v>
      </c>
      <c r="H306" s="12"/>
      <c r="I306" s="12"/>
      <c r="J306" s="12"/>
      <c r="K306" s="4">
        <v>4</v>
      </c>
      <c r="L306" s="23">
        <v>364</v>
      </c>
      <c r="M306" s="23">
        <v>364</v>
      </c>
      <c r="N306" s="24">
        <v>364</v>
      </c>
      <c r="O306" s="23">
        <v>364</v>
      </c>
      <c r="P306" s="23">
        <v>364</v>
      </c>
      <c r="Q306" s="23">
        <v>364</v>
      </c>
      <c r="R306" s="23">
        <v>364</v>
      </c>
      <c r="Z306" s="26"/>
      <c r="AA306" s="26"/>
      <c r="AB306" s="26"/>
      <c r="AC306" s="26"/>
      <c r="AD306" s="26"/>
    </row>
    <row r="307" spans="3:30" x14ac:dyDescent="0.35">
      <c r="C307" t="s">
        <v>23</v>
      </c>
      <c r="D307" t="s">
        <v>143</v>
      </c>
      <c r="E307" t="s">
        <v>66</v>
      </c>
      <c r="G307" s="12" t="s">
        <v>153</v>
      </c>
      <c r="H307" s="12"/>
      <c r="I307" s="12"/>
      <c r="J307" s="12"/>
      <c r="K307" s="4">
        <v>5</v>
      </c>
      <c r="L307" s="23">
        <v>426</v>
      </c>
      <c r="M307" s="23">
        <v>426</v>
      </c>
      <c r="N307" s="24">
        <v>426</v>
      </c>
      <c r="O307" s="23">
        <v>426</v>
      </c>
      <c r="P307" s="23">
        <v>426</v>
      </c>
      <c r="Q307" s="23">
        <v>426</v>
      </c>
      <c r="R307" s="23">
        <v>426</v>
      </c>
      <c r="Z307" s="26"/>
      <c r="AA307" s="26"/>
      <c r="AB307" s="26"/>
      <c r="AC307" s="26"/>
      <c r="AD307" s="26"/>
    </row>
    <row r="308" spans="3:30" x14ac:dyDescent="0.35">
      <c r="C308" t="s">
        <v>23</v>
      </c>
      <c r="D308" t="s">
        <v>143</v>
      </c>
      <c r="E308" t="s">
        <v>66</v>
      </c>
      <c r="G308" s="12" t="s">
        <v>153</v>
      </c>
      <c r="H308" s="12"/>
      <c r="I308" s="12"/>
      <c r="J308" s="12"/>
      <c r="K308" s="4">
        <v>6</v>
      </c>
      <c r="L308" s="23">
        <v>487</v>
      </c>
      <c r="M308" s="23">
        <v>487</v>
      </c>
      <c r="N308" s="24">
        <v>487</v>
      </c>
      <c r="O308" s="23">
        <v>487</v>
      </c>
      <c r="P308" s="23">
        <v>487</v>
      </c>
      <c r="Q308" s="23">
        <v>487</v>
      </c>
      <c r="R308" s="23">
        <v>487</v>
      </c>
      <c r="Z308" s="26"/>
      <c r="AA308" s="26"/>
      <c r="AB308" s="26"/>
      <c r="AC308" s="26"/>
      <c r="AD308" s="26"/>
    </row>
    <row r="309" spans="3:30" x14ac:dyDescent="0.35">
      <c r="C309" t="s">
        <v>23</v>
      </c>
      <c r="D309" t="s">
        <v>143</v>
      </c>
      <c r="E309" t="s">
        <v>66</v>
      </c>
      <c r="G309" s="12" t="s">
        <v>153</v>
      </c>
      <c r="H309" s="12"/>
      <c r="I309" s="12"/>
      <c r="J309" s="12"/>
      <c r="K309" s="4">
        <v>7</v>
      </c>
      <c r="L309" s="23">
        <v>549</v>
      </c>
      <c r="M309" s="23">
        <v>549</v>
      </c>
      <c r="N309" s="24">
        <v>549</v>
      </c>
      <c r="O309" s="23">
        <v>549</v>
      </c>
      <c r="P309" s="23">
        <v>549</v>
      </c>
      <c r="Q309" s="23">
        <v>549</v>
      </c>
      <c r="R309" s="23">
        <v>549</v>
      </c>
      <c r="Z309" s="26"/>
      <c r="AA309" s="26"/>
      <c r="AB309" s="26"/>
      <c r="AC309" s="26"/>
      <c r="AD309" s="26"/>
    </row>
    <row r="310" spans="3:30" x14ac:dyDescent="0.35">
      <c r="C310" t="s">
        <v>23</v>
      </c>
      <c r="D310" t="s">
        <v>143</v>
      </c>
      <c r="E310" t="s">
        <v>66</v>
      </c>
      <c r="G310" s="12" t="s">
        <v>153</v>
      </c>
      <c r="H310" s="12"/>
      <c r="I310" s="12"/>
      <c r="J310" s="12"/>
      <c r="K310" s="4">
        <v>8</v>
      </c>
      <c r="L310" s="23">
        <v>610</v>
      </c>
      <c r="M310" s="23">
        <v>610</v>
      </c>
      <c r="N310" s="24">
        <v>610</v>
      </c>
      <c r="O310" s="23">
        <v>610</v>
      </c>
      <c r="P310" s="23">
        <v>610</v>
      </c>
      <c r="Q310" s="23">
        <v>610</v>
      </c>
      <c r="R310" s="40">
        <v>610</v>
      </c>
      <c r="Z310" s="26"/>
      <c r="AA310" s="26"/>
      <c r="AB310" s="26"/>
      <c r="AC310" s="26"/>
      <c r="AD310" s="26"/>
    </row>
    <row r="311" spans="3:30" x14ac:dyDescent="0.35">
      <c r="C311" t="s">
        <v>9</v>
      </c>
      <c r="D311" t="s">
        <v>137</v>
      </c>
      <c r="E311" t="s">
        <v>137</v>
      </c>
      <c r="F311" t="s">
        <v>139</v>
      </c>
      <c r="G311" s="12" t="s">
        <v>140</v>
      </c>
      <c r="H311" s="12" t="s">
        <v>141</v>
      </c>
      <c r="I311" s="12"/>
      <c r="J311" s="12"/>
      <c r="K311" s="4">
        <v>1</v>
      </c>
      <c r="L311" s="23">
        <v>235</v>
      </c>
      <c r="M311" s="23">
        <v>235</v>
      </c>
      <c r="N311" s="24">
        <v>235</v>
      </c>
      <c r="O311" s="23">
        <v>235</v>
      </c>
      <c r="P311" s="23">
        <v>235</v>
      </c>
      <c r="Q311" s="23">
        <v>235</v>
      </c>
      <c r="R311" s="23">
        <v>235</v>
      </c>
      <c r="Z311" s="26"/>
      <c r="AA311" s="26"/>
      <c r="AB311" s="26"/>
      <c r="AC311" s="26"/>
      <c r="AD311" s="26"/>
    </row>
    <row r="312" spans="3:30" x14ac:dyDescent="0.35">
      <c r="C312" t="s">
        <v>9</v>
      </c>
      <c r="D312" t="s">
        <v>137</v>
      </c>
      <c r="E312" t="s">
        <v>137</v>
      </c>
      <c r="F312" t="s">
        <v>139</v>
      </c>
      <c r="G312" s="12" t="s">
        <v>140</v>
      </c>
      <c r="H312" s="12" t="s">
        <v>141</v>
      </c>
      <c r="I312" s="12"/>
      <c r="J312" s="12"/>
      <c r="K312" s="4">
        <v>2</v>
      </c>
      <c r="L312" s="23">
        <v>356</v>
      </c>
      <c r="M312" s="23">
        <v>356</v>
      </c>
      <c r="N312" s="24">
        <v>356</v>
      </c>
      <c r="O312" s="23">
        <v>356</v>
      </c>
      <c r="P312" s="23">
        <v>356</v>
      </c>
      <c r="Q312" s="23">
        <v>356</v>
      </c>
      <c r="R312" s="23">
        <v>356</v>
      </c>
      <c r="Z312" s="26"/>
      <c r="AA312" s="26"/>
      <c r="AB312" s="26"/>
      <c r="AC312" s="26"/>
      <c r="AD312" s="26"/>
    </row>
    <row r="313" spans="3:30" x14ac:dyDescent="0.35">
      <c r="C313" t="s">
        <v>9</v>
      </c>
      <c r="D313" t="s">
        <v>137</v>
      </c>
      <c r="E313" t="s">
        <v>137</v>
      </c>
      <c r="F313" t="s">
        <v>139</v>
      </c>
      <c r="G313" s="12" t="s">
        <v>140</v>
      </c>
      <c r="H313" s="12" t="s">
        <v>141</v>
      </c>
      <c r="I313" s="12"/>
      <c r="J313" s="12"/>
      <c r="K313" s="4">
        <v>3</v>
      </c>
      <c r="L313" s="23">
        <v>424</v>
      </c>
      <c r="M313" s="23">
        <v>424</v>
      </c>
      <c r="N313" s="24">
        <v>424</v>
      </c>
      <c r="O313" s="23">
        <v>424</v>
      </c>
      <c r="P313" s="23">
        <v>424</v>
      </c>
      <c r="Q313" s="23">
        <v>424</v>
      </c>
      <c r="R313" s="23">
        <v>424</v>
      </c>
      <c r="Z313" s="26"/>
      <c r="AA313" s="26"/>
      <c r="AB313" s="26"/>
      <c r="AC313" s="26"/>
      <c r="AD313" s="26"/>
    </row>
    <row r="314" spans="3:30" x14ac:dyDescent="0.35">
      <c r="C314" t="s">
        <v>9</v>
      </c>
      <c r="D314" t="s">
        <v>137</v>
      </c>
      <c r="E314" t="s">
        <v>137</v>
      </c>
      <c r="F314" t="s">
        <v>139</v>
      </c>
      <c r="G314" s="12" t="s">
        <v>140</v>
      </c>
      <c r="H314" s="12" t="s">
        <v>141</v>
      </c>
      <c r="I314" s="12"/>
      <c r="J314" s="12"/>
      <c r="K314" s="4">
        <v>4</v>
      </c>
      <c r="L314" s="23">
        <v>500</v>
      </c>
      <c r="M314" s="23">
        <v>500</v>
      </c>
      <c r="N314" s="24">
        <v>500</v>
      </c>
      <c r="O314" s="23">
        <v>500</v>
      </c>
      <c r="P314" s="23">
        <v>500</v>
      </c>
      <c r="Q314" s="23">
        <v>500</v>
      </c>
      <c r="R314" s="23">
        <v>500</v>
      </c>
      <c r="Z314" s="26"/>
      <c r="AA314" s="26"/>
      <c r="AB314" s="26"/>
      <c r="AC314" s="26"/>
      <c r="AD314" s="26"/>
    </row>
    <row r="315" spans="3:30" x14ac:dyDescent="0.35">
      <c r="C315" t="s">
        <v>9</v>
      </c>
      <c r="D315" t="s">
        <v>137</v>
      </c>
      <c r="E315" t="s">
        <v>137</v>
      </c>
      <c r="F315" t="s">
        <v>139</v>
      </c>
      <c r="G315" s="12" t="s">
        <v>140</v>
      </c>
      <c r="H315" s="12" t="s">
        <v>141</v>
      </c>
      <c r="I315" s="12"/>
      <c r="J315" s="12"/>
      <c r="K315" s="4">
        <v>5</v>
      </c>
      <c r="L315" s="23">
        <v>573</v>
      </c>
      <c r="M315" s="23">
        <v>573</v>
      </c>
      <c r="N315" s="24">
        <v>573</v>
      </c>
      <c r="O315" s="23">
        <v>573</v>
      </c>
      <c r="P315" s="23">
        <v>573</v>
      </c>
      <c r="Q315" s="23">
        <v>573</v>
      </c>
      <c r="R315" s="23">
        <v>573</v>
      </c>
      <c r="U315" s="28"/>
      <c r="Z315" s="26"/>
      <c r="AA315" s="26"/>
      <c r="AB315" s="26"/>
      <c r="AC315" s="26"/>
      <c r="AD315" s="26"/>
    </row>
    <row r="316" spans="3:30" x14ac:dyDescent="0.35">
      <c r="C316" t="s">
        <v>9</v>
      </c>
      <c r="D316" t="s">
        <v>137</v>
      </c>
      <c r="E316" t="s">
        <v>137</v>
      </c>
      <c r="F316" t="s">
        <v>139</v>
      </c>
      <c r="G316" s="12" t="s">
        <v>140</v>
      </c>
      <c r="H316" s="12" t="s">
        <v>141</v>
      </c>
      <c r="I316" s="12"/>
      <c r="J316" s="12"/>
      <c r="K316" s="4">
        <v>6</v>
      </c>
      <c r="L316" s="23">
        <v>621</v>
      </c>
      <c r="M316" s="23">
        <v>621</v>
      </c>
      <c r="N316" s="24">
        <v>621</v>
      </c>
      <c r="O316" s="23">
        <v>621</v>
      </c>
      <c r="P316" s="23">
        <v>621</v>
      </c>
      <c r="Q316" s="23">
        <v>621</v>
      </c>
      <c r="R316" s="23">
        <v>621</v>
      </c>
      <c r="Z316" s="26"/>
      <c r="AA316" s="26"/>
      <c r="AB316" s="26"/>
      <c r="AC316" s="26"/>
      <c r="AD316" s="26"/>
    </row>
    <row r="317" spans="3:30" x14ac:dyDescent="0.35">
      <c r="C317" t="s">
        <v>9</v>
      </c>
      <c r="D317" t="s">
        <v>137</v>
      </c>
      <c r="E317" t="s">
        <v>137</v>
      </c>
      <c r="F317" t="s">
        <v>139</v>
      </c>
      <c r="G317" s="12" t="s">
        <v>140</v>
      </c>
      <c r="H317" s="12" t="s">
        <v>141</v>
      </c>
      <c r="I317" s="12"/>
      <c r="J317" s="12"/>
      <c r="K317" s="4">
        <v>7</v>
      </c>
      <c r="L317" s="23">
        <v>672</v>
      </c>
      <c r="M317" s="23">
        <v>672</v>
      </c>
      <c r="N317" s="24">
        <v>672</v>
      </c>
      <c r="O317" s="23">
        <v>672</v>
      </c>
      <c r="P317" s="23">
        <v>672</v>
      </c>
      <c r="Q317" s="23">
        <v>672</v>
      </c>
      <c r="R317" s="23">
        <v>672</v>
      </c>
      <c r="Z317" s="26"/>
      <c r="AA317" s="26"/>
      <c r="AB317" s="26"/>
      <c r="AC317" s="26"/>
      <c r="AD317" s="26"/>
    </row>
    <row r="318" spans="3:30" x14ac:dyDescent="0.35">
      <c r="C318" t="s">
        <v>9</v>
      </c>
      <c r="D318" t="s">
        <v>137</v>
      </c>
      <c r="E318" t="s">
        <v>137</v>
      </c>
      <c r="F318" t="s">
        <v>139</v>
      </c>
      <c r="G318" s="12" t="s">
        <v>140</v>
      </c>
      <c r="H318" s="12" t="s">
        <v>141</v>
      </c>
      <c r="I318" s="12"/>
      <c r="J318" s="12"/>
      <c r="K318" s="4">
        <v>8</v>
      </c>
      <c r="L318" s="23">
        <v>713</v>
      </c>
      <c r="M318" s="23">
        <v>713</v>
      </c>
      <c r="N318" s="24">
        <v>713</v>
      </c>
      <c r="O318" s="23">
        <v>713</v>
      </c>
      <c r="P318" s="23">
        <v>713</v>
      </c>
      <c r="Q318" s="23">
        <v>713</v>
      </c>
      <c r="R318" s="23">
        <v>713</v>
      </c>
      <c r="Z318" s="26"/>
      <c r="AA318" s="26"/>
      <c r="AB318" s="26"/>
      <c r="AC318" s="26"/>
      <c r="AD318" s="26"/>
    </row>
    <row r="319" spans="3:30" x14ac:dyDescent="0.35">
      <c r="C319" t="s">
        <v>9</v>
      </c>
      <c r="D319" t="s">
        <v>148</v>
      </c>
      <c r="G319" s="12"/>
      <c r="H319" s="12"/>
      <c r="I319" s="12"/>
      <c r="J319" s="12"/>
      <c r="K319" s="4">
        <v>1</v>
      </c>
      <c r="L319" s="23">
        <v>435</v>
      </c>
      <c r="M319" s="23">
        <v>435</v>
      </c>
      <c r="N319" s="24">
        <v>435</v>
      </c>
      <c r="O319" s="23">
        <v>435</v>
      </c>
      <c r="P319" s="23">
        <v>435</v>
      </c>
      <c r="Q319" s="23">
        <v>435</v>
      </c>
      <c r="R319" s="23">
        <v>435</v>
      </c>
      <c r="S319" s="3" t="s">
        <v>157</v>
      </c>
      <c r="U319" s="20">
        <f>FPIG!O$19/12</f>
        <v>1073.3333333333333</v>
      </c>
      <c r="V319" s="55">
        <f>TANFFactors[[#This Row],[2021]]/U319</f>
        <v>0.40527950310559008</v>
      </c>
      <c r="Z319" s="26"/>
      <c r="AA319" s="26"/>
      <c r="AB319" s="26"/>
      <c r="AC319" s="26"/>
      <c r="AD319" s="26"/>
    </row>
    <row r="320" spans="3:30" x14ac:dyDescent="0.35">
      <c r="C320" t="s">
        <v>9</v>
      </c>
      <c r="D320" t="s">
        <v>148</v>
      </c>
      <c r="G320" s="12"/>
      <c r="H320" s="12"/>
      <c r="I320" s="12"/>
      <c r="J320" s="12"/>
      <c r="K320" s="4">
        <v>2</v>
      </c>
      <c r="L320" s="23">
        <v>659</v>
      </c>
      <c r="M320" s="23">
        <v>659</v>
      </c>
      <c r="N320" s="24">
        <v>659</v>
      </c>
      <c r="O320" s="23">
        <v>659</v>
      </c>
      <c r="P320" s="23">
        <v>659</v>
      </c>
      <c r="Q320" s="23">
        <v>659</v>
      </c>
      <c r="R320" s="23">
        <v>659</v>
      </c>
      <c r="Z320" s="26"/>
      <c r="AA320" s="26"/>
      <c r="AB320" s="26"/>
      <c r="AC320" s="26"/>
      <c r="AD320" s="26"/>
    </row>
    <row r="321" spans="3:30" x14ac:dyDescent="0.35">
      <c r="C321" t="s">
        <v>9</v>
      </c>
      <c r="D321" t="s">
        <v>148</v>
      </c>
      <c r="G321" s="12"/>
      <c r="H321" s="12"/>
      <c r="I321" s="12"/>
      <c r="J321" s="12"/>
      <c r="K321" s="4">
        <v>3</v>
      </c>
      <c r="L321" s="23">
        <v>784</v>
      </c>
      <c r="M321" s="23">
        <v>784</v>
      </c>
      <c r="N321" s="24">
        <v>784</v>
      </c>
      <c r="O321" s="23">
        <v>784</v>
      </c>
      <c r="P321" s="23">
        <v>784</v>
      </c>
      <c r="Q321" s="23">
        <v>784</v>
      </c>
      <c r="R321" s="23">
        <v>784</v>
      </c>
      <c r="Z321" s="26"/>
      <c r="AA321" s="26"/>
      <c r="AB321" s="26"/>
      <c r="AC321" s="26"/>
      <c r="AD321" s="26"/>
    </row>
    <row r="322" spans="3:30" x14ac:dyDescent="0.35">
      <c r="C322" t="s">
        <v>9</v>
      </c>
      <c r="D322" t="s">
        <v>148</v>
      </c>
      <c r="G322" s="12"/>
      <c r="H322" s="12"/>
      <c r="I322" s="12"/>
      <c r="J322" s="12"/>
      <c r="K322" s="4">
        <v>4</v>
      </c>
      <c r="L322" s="23">
        <v>925</v>
      </c>
      <c r="M322" s="23">
        <v>925</v>
      </c>
      <c r="N322" s="24">
        <v>925</v>
      </c>
      <c r="O322" s="23">
        <v>925</v>
      </c>
      <c r="P322" s="23">
        <v>925</v>
      </c>
      <c r="Q322" s="23">
        <v>925</v>
      </c>
      <c r="R322" s="23">
        <v>925</v>
      </c>
      <c r="Z322" s="26"/>
      <c r="AA322" s="26"/>
      <c r="AB322" s="26"/>
      <c r="AC322" s="26"/>
      <c r="AD322" s="26"/>
    </row>
    <row r="323" spans="3:30" x14ac:dyDescent="0.35">
      <c r="C323" t="s">
        <v>9</v>
      </c>
      <c r="D323" t="s">
        <v>148</v>
      </c>
      <c r="G323" s="12"/>
      <c r="H323" s="12"/>
      <c r="I323" s="12"/>
      <c r="J323" s="12"/>
      <c r="K323" s="4">
        <v>5</v>
      </c>
      <c r="L323" s="23">
        <v>1060</v>
      </c>
      <c r="M323" s="23">
        <v>1060</v>
      </c>
      <c r="N323" s="24">
        <v>1060</v>
      </c>
      <c r="O323" s="23">
        <v>1060</v>
      </c>
      <c r="P323" s="23">
        <v>1060</v>
      </c>
      <c r="Q323" s="23">
        <v>1060</v>
      </c>
      <c r="R323" s="23">
        <v>1060</v>
      </c>
      <c r="Z323" s="26"/>
      <c r="AA323" s="26"/>
      <c r="AB323" s="26"/>
      <c r="AC323" s="26"/>
      <c r="AD323" s="26"/>
    </row>
    <row r="324" spans="3:30" x14ac:dyDescent="0.35">
      <c r="C324" t="s">
        <v>9</v>
      </c>
      <c r="D324" t="s">
        <v>148</v>
      </c>
      <c r="G324" s="12"/>
      <c r="H324" s="12"/>
      <c r="I324" s="12"/>
      <c r="J324" s="12"/>
      <c r="K324" s="4">
        <v>6</v>
      </c>
      <c r="L324" s="23">
        <v>1149</v>
      </c>
      <c r="M324" s="23">
        <v>1149</v>
      </c>
      <c r="N324" s="24">
        <v>1149</v>
      </c>
      <c r="O324" s="23">
        <v>1149</v>
      </c>
      <c r="P324" s="23">
        <v>1149</v>
      </c>
      <c r="Q324" s="23">
        <v>1149</v>
      </c>
      <c r="R324" s="23">
        <v>1149</v>
      </c>
      <c r="Z324" s="26"/>
      <c r="AA324" s="26"/>
      <c r="AB324" s="26"/>
      <c r="AC324" s="26"/>
      <c r="AD324" s="26"/>
    </row>
    <row r="325" spans="3:30" x14ac:dyDescent="0.35">
      <c r="C325" t="s">
        <v>9</v>
      </c>
      <c r="D325" t="s">
        <v>148</v>
      </c>
      <c r="G325" s="12"/>
      <c r="H325" s="12"/>
      <c r="I325" s="12"/>
      <c r="J325" s="12"/>
      <c r="K325" s="4">
        <v>7</v>
      </c>
      <c r="L325" s="23">
        <v>1243</v>
      </c>
      <c r="M325" s="23">
        <v>1243</v>
      </c>
      <c r="N325" s="24">
        <v>1243</v>
      </c>
      <c r="O325" s="23">
        <v>1243</v>
      </c>
      <c r="P325" s="23">
        <v>1243</v>
      </c>
      <c r="Q325" s="23">
        <v>1243</v>
      </c>
      <c r="R325" s="23">
        <v>1243</v>
      </c>
      <c r="Z325" s="26"/>
      <c r="AA325" s="26"/>
      <c r="AB325" s="26"/>
      <c r="AC325" s="26"/>
      <c r="AD325" s="26"/>
    </row>
    <row r="326" spans="3:30" x14ac:dyDescent="0.35">
      <c r="C326" t="s">
        <v>9</v>
      </c>
      <c r="D326" t="s">
        <v>148</v>
      </c>
      <c r="G326" s="12"/>
      <c r="H326" s="12"/>
      <c r="I326" s="12"/>
      <c r="J326" s="12"/>
      <c r="K326" s="4">
        <v>8</v>
      </c>
      <c r="L326" s="23">
        <v>1319</v>
      </c>
      <c r="M326" s="23">
        <v>1319</v>
      </c>
      <c r="N326" s="24">
        <v>1319</v>
      </c>
      <c r="O326" s="23">
        <v>1319</v>
      </c>
      <c r="P326" s="23">
        <v>1319</v>
      </c>
      <c r="Q326" s="23">
        <v>1319</v>
      </c>
      <c r="R326" s="23">
        <v>1319</v>
      </c>
      <c r="Z326" s="26"/>
      <c r="AA326" s="26"/>
      <c r="AB326" s="26"/>
      <c r="AC326" s="26"/>
      <c r="AD326" s="26"/>
    </row>
    <row r="327" spans="3:30" x14ac:dyDescent="0.35">
      <c r="C327" t="s">
        <v>9</v>
      </c>
      <c r="D327" t="s">
        <v>147</v>
      </c>
      <c r="E327" t="s">
        <v>147</v>
      </c>
      <c r="F327" t="s">
        <v>139</v>
      </c>
      <c r="G327" s="12"/>
      <c r="H327" s="12"/>
      <c r="I327" s="12"/>
      <c r="J327" s="12"/>
      <c r="K327" s="4">
        <v>1</v>
      </c>
      <c r="L327" s="23">
        <v>155</v>
      </c>
      <c r="M327" s="23">
        <v>155</v>
      </c>
      <c r="N327" s="24">
        <v>155</v>
      </c>
      <c r="O327" s="23">
        <v>155</v>
      </c>
      <c r="P327" s="23">
        <v>155</v>
      </c>
      <c r="Q327" s="23">
        <v>155</v>
      </c>
      <c r="R327" s="23">
        <v>155</v>
      </c>
      <c r="Z327" s="26"/>
      <c r="AA327" s="26"/>
      <c r="AB327" s="26"/>
      <c r="AC327" s="26"/>
      <c r="AD327" s="26"/>
    </row>
    <row r="328" spans="3:30" x14ac:dyDescent="0.35">
      <c r="C328" t="s">
        <v>9</v>
      </c>
      <c r="D328" t="s">
        <v>147</v>
      </c>
      <c r="E328" t="s">
        <v>147</v>
      </c>
      <c r="F328" t="s">
        <v>139</v>
      </c>
      <c r="G328" s="12"/>
      <c r="H328" s="12"/>
      <c r="I328" s="12" t="s">
        <v>145</v>
      </c>
      <c r="J328" s="12"/>
      <c r="K328" s="4">
        <v>2</v>
      </c>
      <c r="L328" s="23">
        <v>235</v>
      </c>
      <c r="M328" s="23">
        <v>235</v>
      </c>
      <c r="N328" s="24">
        <v>235</v>
      </c>
      <c r="O328" s="23">
        <v>235</v>
      </c>
      <c r="P328" s="23">
        <v>235</v>
      </c>
      <c r="Q328" s="23">
        <v>235</v>
      </c>
      <c r="R328" s="23">
        <v>235</v>
      </c>
      <c r="Z328" s="26"/>
      <c r="AA328" s="26"/>
      <c r="AB328" s="26"/>
      <c r="AC328" s="26"/>
      <c r="AD328" s="26"/>
    </row>
    <row r="329" spans="3:30" x14ac:dyDescent="0.35">
      <c r="C329" t="s">
        <v>9</v>
      </c>
      <c r="D329" t="s">
        <v>147</v>
      </c>
      <c r="E329" t="s">
        <v>147</v>
      </c>
      <c r="F329" t="s">
        <v>139</v>
      </c>
      <c r="G329" s="12"/>
      <c r="H329" s="12"/>
      <c r="I329" s="12" t="s">
        <v>145</v>
      </c>
      <c r="J329" s="12"/>
      <c r="K329" s="4">
        <v>3</v>
      </c>
      <c r="L329" s="23">
        <v>280</v>
      </c>
      <c r="M329" s="23">
        <v>280</v>
      </c>
      <c r="N329" s="24">
        <v>280</v>
      </c>
      <c r="O329" s="23">
        <v>280</v>
      </c>
      <c r="P329" s="23">
        <v>280</v>
      </c>
      <c r="Q329" s="23">
        <v>280</v>
      </c>
      <c r="R329" s="23">
        <v>280</v>
      </c>
      <c r="Z329" s="26"/>
      <c r="AA329" s="26"/>
      <c r="AB329" s="26"/>
      <c r="AC329" s="26"/>
      <c r="AD329" s="26"/>
    </row>
    <row r="330" spans="3:30" x14ac:dyDescent="0.35">
      <c r="C330" t="s">
        <v>9</v>
      </c>
      <c r="D330" t="s">
        <v>147</v>
      </c>
      <c r="E330" t="s">
        <v>147</v>
      </c>
      <c r="F330" t="s">
        <v>139</v>
      </c>
      <c r="G330" s="12"/>
      <c r="H330" s="12"/>
      <c r="I330" s="12" t="s">
        <v>145</v>
      </c>
      <c r="J330" s="12"/>
      <c r="K330" s="4">
        <v>4</v>
      </c>
      <c r="L330" s="23">
        <v>330</v>
      </c>
      <c r="M330" s="23">
        <v>330</v>
      </c>
      <c r="N330" s="24">
        <v>330</v>
      </c>
      <c r="O330" s="23">
        <v>330</v>
      </c>
      <c r="P330" s="23">
        <v>330</v>
      </c>
      <c r="Q330" s="23">
        <v>330</v>
      </c>
      <c r="R330" s="23">
        <v>330</v>
      </c>
      <c r="Z330" s="26"/>
      <c r="AA330" s="26"/>
      <c r="AB330" s="26"/>
      <c r="AC330" s="26"/>
      <c r="AD330" s="26"/>
    </row>
    <row r="331" spans="3:30" x14ac:dyDescent="0.35">
      <c r="C331" t="s">
        <v>9</v>
      </c>
      <c r="D331" t="s">
        <v>147</v>
      </c>
      <c r="E331" t="s">
        <v>147</v>
      </c>
      <c r="F331" t="s">
        <v>139</v>
      </c>
      <c r="G331" s="12"/>
      <c r="H331" s="12"/>
      <c r="I331" s="12" t="s">
        <v>145</v>
      </c>
      <c r="J331" s="12"/>
      <c r="K331" s="4">
        <v>5</v>
      </c>
      <c r="L331" s="23">
        <v>378</v>
      </c>
      <c r="M331" s="23">
        <v>378</v>
      </c>
      <c r="N331" s="24">
        <v>378</v>
      </c>
      <c r="O331" s="23">
        <v>378</v>
      </c>
      <c r="P331" s="23">
        <v>378</v>
      </c>
      <c r="Q331" s="23">
        <v>378</v>
      </c>
      <c r="R331" s="23">
        <v>378</v>
      </c>
      <c r="Z331" s="26"/>
      <c r="AA331" s="26"/>
      <c r="AB331" s="26"/>
      <c r="AC331" s="26"/>
      <c r="AD331" s="26"/>
    </row>
    <row r="332" spans="3:30" x14ac:dyDescent="0.35">
      <c r="C332" t="s">
        <v>9</v>
      </c>
      <c r="D332" t="s">
        <v>147</v>
      </c>
      <c r="E332" t="s">
        <v>147</v>
      </c>
      <c r="F332" t="s">
        <v>139</v>
      </c>
      <c r="G332" s="12"/>
      <c r="H332" s="12"/>
      <c r="I332" s="12" t="s">
        <v>145</v>
      </c>
      <c r="J332" s="12"/>
      <c r="K332" s="4">
        <v>6</v>
      </c>
      <c r="L332" s="23">
        <v>410</v>
      </c>
      <c r="M332" s="23">
        <v>410</v>
      </c>
      <c r="N332" s="24">
        <v>410</v>
      </c>
      <c r="O332" s="23">
        <v>410</v>
      </c>
      <c r="P332" s="23">
        <v>410</v>
      </c>
      <c r="Q332" s="23">
        <v>410</v>
      </c>
      <c r="R332" s="23">
        <v>410</v>
      </c>
      <c r="Z332" s="26"/>
      <c r="AA332" s="26"/>
      <c r="AB332" s="26"/>
      <c r="AC332" s="26"/>
      <c r="AD332" s="26"/>
    </row>
    <row r="333" spans="3:30" x14ac:dyDescent="0.35">
      <c r="C333" t="s">
        <v>9</v>
      </c>
      <c r="D333" t="s">
        <v>147</v>
      </c>
      <c r="E333" t="s">
        <v>147</v>
      </c>
      <c r="F333" t="s">
        <v>139</v>
      </c>
      <c r="G333" s="12"/>
      <c r="H333" s="12"/>
      <c r="I333" s="12" t="s">
        <v>145</v>
      </c>
      <c r="J333" s="12"/>
      <c r="K333" s="4">
        <v>7</v>
      </c>
      <c r="L333" s="23">
        <v>444</v>
      </c>
      <c r="M333" s="23">
        <v>444</v>
      </c>
      <c r="N333" s="24">
        <v>444</v>
      </c>
      <c r="O333" s="23">
        <v>444</v>
      </c>
      <c r="P333" s="23">
        <v>444</v>
      </c>
      <c r="Q333" s="23">
        <v>444</v>
      </c>
      <c r="R333" s="23">
        <v>444</v>
      </c>
      <c r="Z333" s="26"/>
      <c r="AA333" s="26"/>
      <c r="AB333" s="26"/>
      <c r="AC333" s="26"/>
      <c r="AD333" s="26"/>
    </row>
    <row r="334" spans="3:30" x14ac:dyDescent="0.35">
      <c r="C334" t="s">
        <v>9</v>
      </c>
      <c r="D334" t="s">
        <v>147</v>
      </c>
      <c r="E334" t="s">
        <v>147</v>
      </c>
      <c r="F334" t="s">
        <v>139</v>
      </c>
      <c r="G334" s="12"/>
      <c r="H334" s="12"/>
      <c r="I334" s="12" t="s">
        <v>145</v>
      </c>
      <c r="J334" s="12"/>
      <c r="K334" s="4">
        <v>8</v>
      </c>
      <c r="L334" s="23">
        <v>470</v>
      </c>
      <c r="M334" s="23">
        <v>470</v>
      </c>
      <c r="N334" s="24">
        <v>470</v>
      </c>
      <c r="O334" s="23">
        <v>470</v>
      </c>
      <c r="P334" s="23">
        <v>470</v>
      </c>
      <c r="Q334" s="23">
        <v>470</v>
      </c>
      <c r="R334" s="23">
        <v>470</v>
      </c>
      <c r="Z334" s="26"/>
      <c r="AA334" s="26"/>
      <c r="AB334" s="26"/>
      <c r="AC334" s="26"/>
      <c r="AD334" s="26"/>
    </row>
    <row r="335" spans="3:30" x14ac:dyDescent="0.35">
      <c r="C335" t="s">
        <v>9</v>
      </c>
      <c r="D335" t="s">
        <v>143</v>
      </c>
      <c r="E335" t="s">
        <v>82</v>
      </c>
      <c r="G335" s="12" t="s">
        <v>144</v>
      </c>
      <c r="H335" s="12"/>
      <c r="I335" s="12"/>
      <c r="J335" s="12"/>
      <c r="K335" s="4">
        <v>1</v>
      </c>
      <c r="L335" s="23">
        <v>235</v>
      </c>
      <c r="M335" s="23">
        <v>235</v>
      </c>
      <c r="N335" s="24">
        <v>235</v>
      </c>
      <c r="O335" s="23">
        <v>235</v>
      </c>
      <c r="P335" s="23">
        <v>235</v>
      </c>
      <c r="Q335" s="23">
        <v>235</v>
      </c>
      <c r="R335" s="23">
        <v>235</v>
      </c>
      <c r="Z335" s="26"/>
      <c r="AA335" s="26"/>
      <c r="AB335" s="26"/>
      <c r="AC335" s="26"/>
      <c r="AD335" s="26"/>
    </row>
    <row r="336" spans="3:30" x14ac:dyDescent="0.35">
      <c r="C336" t="s">
        <v>9</v>
      </c>
      <c r="D336" t="s">
        <v>143</v>
      </c>
      <c r="E336" t="s">
        <v>82</v>
      </c>
      <c r="G336" s="12" t="s">
        <v>144</v>
      </c>
      <c r="H336" s="12"/>
      <c r="I336" s="12"/>
      <c r="J336" s="12"/>
      <c r="K336" s="4">
        <v>2</v>
      </c>
      <c r="L336" s="23">
        <v>356</v>
      </c>
      <c r="M336" s="23">
        <v>356</v>
      </c>
      <c r="N336" s="24">
        <v>356</v>
      </c>
      <c r="O336" s="23">
        <v>356</v>
      </c>
      <c r="P336" s="23">
        <v>356</v>
      </c>
      <c r="Q336" s="23">
        <v>356</v>
      </c>
      <c r="R336" s="23">
        <v>356</v>
      </c>
      <c r="Z336" s="26"/>
      <c r="AA336" s="26"/>
      <c r="AB336" s="26"/>
      <c r="AC336" s="26"/>
      <c r="AD336" s="26"/>
    </row>
    <row r="337" spans="2:30" x14ac:dyDescent="0.35">
      <c r="C337" t="s">
        <v>9</v>
      </c>
      <c r="D337" t="s">
        <v>143</v>
      </c>
      <c r="E337" t="s">
        <v>82</v>
      </c>
      <c r="G337" s="12" t="s">
        <v>144</v>
      </c>
      <c r="H337" s="12"/>
      <c r="I337" s="12"/>
      <c r="J337" s="12"/>
      <c r="K337" s="4">
        <v>3</v>
      </c>
      <c r="L337" s="23">
        <v>424</v>
      </c>
      <c r="M337" s="23">
        <v>424</v>
      </c>
      <c r="N337" s="24">
        <v>424</v>
      </c>
      <c r="O337" s="23">
        <v>424</v>
      </c>
      <c r="P337" s="23">
        <v>424</v>
      </c>
      <c r="Q337" s="23">
        <v>424</v>
      </c>
      <c r="R337" s="23">
        <v>424</v>
      </c>
      <c r="Z337" s="26"/>
      <c r="AA337" s="26"/>
      <c r="AB337" s="26"/>
      <c r="AC337" s="26"/>
      <c r="AD337" s="26"/>
    </row>
    <row r="338" spans="2:30" x14ac:dyDescent="0.35">
      <c r="C338" t="s">
        <v>9</v>
      </c>
      <c r="D338" t="s">
        <v>143</v>
      </c>
      <c r="E338" t="s">
        <v>82</v>
      </c>
      <c r="G338" s="12" t="s">
        <v>144</v>
      </c>
      <c r="H338" s="12"/>
      <c r="I338" s="12"/>
      <c r="J338" s="12"/>
      <c r="K338" s="4">
        <v>4</v>
      </c>
      <c r="L338" s="23">
        <v>500</v>
      </c>
      <c r="M338" s="23">
        <v>500</v>
      </c>
      <c r="N338" s="24">
        <v>500</v>
      </c>
      <c r="O338" s="23">
        <v>500</v>
      </c>
      <c r="P338" s="23">
        <v>500</v>
      </c>
      <c r="Q338" s="23">
        <v>500</v>
      </c>
      <c r="R338" s="23">
        <v>500</v>
      </c>
      <c r="Z338" s="26"/>
      <c r="AA338" s="26"/>
      <c r="AB338" s="26"/>
      <c r="AC338" s="26"/>
      <c r="AD338" s="26"/>
    </row>
    <row r="339" spans="2:30" x14ac:dyDescent="0.35">
      <c r="C339" t="s">
        <v>9</v>
      </c>
      <c r="D339" t="s">
        <v>143</v>
      </c>
      <c r="E339" t="s">
        <v>82</v>
      </c>
      <c r="G339" s="12" t="s">
        <v>144</v>
      </c>
      <c r="H339" s="12"/>
      <c r="I339" s="12"/>
      <c r="J339" s="12"/>
      <c r="K339" s="4">
        <v>5</v>
      </c>
      <c r="L339" s="23">
        <v>573</v>
      </c>
      <c r="M339" s="23">
        <v>573</v>
      </c>
      <c r="N339" s="24">
        <v>573</v>
      </c>
      <c r="O339" s="23">
        <v>573</v>
      </c>
      <c r="P339" s="23">
        <v>573</v>
      </c>
      <c r="Q339" s="23">
        <v>573</v>
      </c>
      <c r="R339" s="23">
        <v>573</v>
      </c>
      <c r="Z339" s="26"/>
      <c r="AA339" s="26"/>
      <c r="AB339" s="26"/>
      <c r="AC339" s="26"/>
      <c r="AD339" s="26"/>
    </row>
    <row r="340" spans="2:30" x14ac:dyDescent="0.35">
      <c r="C340" t="s">
        <v>9</v>
      </c>
      <c r="D340" t="s">
        <v>143</v>
      </c>
      <c r="E340" t="s">
        <v>82</v>
      </c>
      <c r="G340" s="12" t="s">
        <v>144</v>
      </c>
      <c r="H340" s="12"/>
      <c r="I340" s="12"/>
      <c r="J340" s="12"/>
      <c r="K340" s="4">
        <v>6</v>
      </c>
      <c r="L340" s="23">
        <v>621</v>
      </c>
      <c r="M340" s="23">
        <v>621</v>
      </c>
      <c r="N340" s="24">
        <v>621</v>
      </c>
      <c r="O340" s="23">
        <v>621</v>
      </c>
      <c r="P340" s="23">
        <v>621</v>
      </c>
      <c r="Q340" s="23">
        <v>621</v>
      </c>
      <c r="R340" s="23">
        <v>621</v>
      </c>
      <c r="Z340" s="26"/>
      <c r="AA340" s="26"/>
      <c r="AB340" s="26"/>
      <c r="AC340" s="26"/>
      <c r="AD340" s="26"/>
    </row>
    <row r="341" spans="2:30" x14ac:dyDescent="0.35">
      <c r="C341" t="s">
        <v>9</v>
      </c>
      <c r="D341" t="s">
        <v>143</v>
      </c>
      <c r="E341" t="s">
        <v>82</v>
      </c>
      <c r="G341" s="12" t="s">
        <v>144</v>
      </c>
      <c r="H341" s="12"/>
      <c r="I341" s="12"/>
      <c r="J341" s="12"/>
      <c r="K341" s="4">
        <v>7</v>
      </c>
      <c r="L341" s="23">
        <v>672</v>
      </c>
      <c r="M341" s="23">
        <v>672</v>
      </c>
      <c r="N341" s="24">
        <v>672</v>
      </c>
      <c r="O341" s="23">
        <v>672</v>
      </c>
      <c r="P341" s="23">
        <v>672</v>
      </c>
      <c r="Q341" s="23">
        <v>672</v>
      </c>
      <c r="R341" s="23">
        <v>672</v>
      </c>
      <c r="Z341" s="26"/>
      <c r="AA341" s="26"/>
      <c r="AB341" s="26"/>
      <c r="AC341" s="26"/>
      <c r="AD341" s="26"/>
    </row>
    <row r="342" spans="2:30" x14ac:dyDescent="0.35">
      <c r="C342" t="s">
        <v>9</v>
      </c>
      <c r="D342" t="s">
        <v>143</v>
      </c>
      <c r="E342" t="s">
        <v>82</v>
      </c>
      <c r="G342" s="12" t="s">
        <v>144</v>
      </c>
      <c r="H342" s="12"/>
      <c r="I342" s="12"/>
      <c r="J342" s="12"/>
      <c r="K342" s="4">
        <v>8</v>
      </c>
      <c r="L342" s="23">
        <v>713</v>
      </c>
      <c r="M342" s="23">
        <v>713</v>
      </c>
      <c r="N342" s="24">
        <v>713</v>
      </c>
      <c r="O342" s="23">
        <v>713</v>
      </c>
      <c r="P342" s="23">
        <v>713</v>
      </c>
      <c r="Q342" s="23">
        <v>713</v>
      </c>
      <c r="R342" s="40">
        <v>713</v>
      </c>
      <c r="Z342" s="26"/>
      <c r="AA342" s="26"/>
      <c r="AB342" s="26"/>
      <c r="AC342" s="26"/>
      <c r="AD342" s="26"/>
    </row>
    <row r="343" spans="2:30" x14ac:dyDescent="0.35">
      <c r="B343">
        <v>1</v>
      </c>
      <c r="C343" t="s">
        <v>24</v>
      </c>
      <c r="D343" t="s">
        <v>137</v>
      </c>
      <c r="E343" t="s">
        <v>160</v>
      </c>
      <c r="F343" t="s">
        <v>139</v>
      </c>
      <c r="G343" s="12" t="s">
        <v>153</v>
      </c>
      <c r="H343" s="12" t="s">
        <v>141</v>
      </c>
      <c r="I343" s="12"/>
      <c r="J343" s="12"/>
      <c r="K343" s="4">
        <v>1</v>
      </c>
      <c r="L343" s="23">
        <v>122</v>
      </c>
      <c r="M343" s="23">
        <v>122</v>
      </c>
      <c r="N343" s="24">
        <v>122</v>
      </c>
      <c r="O343" s="23">
        <v>122</v>
      </c>
      <c r="P343" s="23">
        <v>244</v>
      </c>
      <c r="Q343" s="23">
        <v>244</v>
      </c>
      <c r="R343" s="23">
        <v>244</v>
      </c>
      <c r="Z343" s="26"/>
      <c r="AA343" s="26"/>
      <c r="AB343" s="26"/>
      <c r="AC343" s="26"/>
      <c r="AD343" s="26"/>
    </row>
    <row r="344" spans="2:30" x14ac:dyDescent="0.35">
      <c r="B344">
        <v>2</v>
      </c>
      <c r="C344" t="s">
        <v>24</v>
      </c>
      <c r="D344" t="s">
        <v>137</v>
      </c>
      <c r="E344" t="s">
        <v>160</v>
      </c>
      <c r="F344" t="s">
        <v>139</v>
      </c>
      <c r="G344" s="12" t="s">
        <v>153</v>
      </c>
      <c r="H344" s="12" t="s">
        <v>141</v>
      </c>
      <c r="I344" s="12"/>
      <c r="J344" s="12"/>
      <c r="K344" s="4">
        <v>2</v>
      </c>
      <c r="L344" s="23">
        <v>188</v>
      </c>
      <c r="M344" s="23">
        <v>188</v>
      </c>
      <c r="N344" s="24">
        <v>188</v>
      </c>
      <c r="O344" s="23">
        <v>188</v>
      </c>
      <c r="P344" s="23">
        <v>376</v>
      </c>
      <c r="Q344" s="23">
        <v>376</v>
      </c>
      <c r="R344" s="23">
        <v>376</v>
      </c>
      <c r="Z344" s="26"/>
      <c r="AA344" s="26"/>
      <c r="AB344" s="26"/>
      <c r="AC344" s="26"/>
      <c r="AD344" s="26"/>
    </row>
    <row r="345" spans="2:30" x14ac:dyDescent="0.35">
      <c r="B345">
        <v>3</v>
      </c>
      <c r="C345" t="s">
        <v>24</v>
      </c>
      <c r="D345" t="s">
        <v>137</v>
      </c>
      <c r="E345" t="s">
        <v>160</v>
      </c>
      <c r="F345" t="s">
        <v>139</v>
      </c>
      <c r="G345" s="12" t="s">
        <v>153</v>
      </c>
      <c r="H345" s="12" t="s">
        <v>141</v>
      </c>
      <c r="I345" s="12"/>
      <c r="J345" s="12"/>
      <c r="K345" s="4">
        <v>3</v>
      </c>
      <c r="L345" s="23">
        <v>240</v>
      </c>
      <c r="M345" s="23">
        <v>240</v>
      </c>
      <c r="N345" s="24">
        <v>240</v>
      </c>
      <c r="O345" s="23">
        <v>240</v>
      </c>
      <c r="P345" s="23">
        <v>484</v>
      </c>
      <c r="Q345" s="23">
        <v>484</v>
      </c>
      <c r="R345" s="23">
        <v>484</v>
      </c>
      <c r="Z345" s="26"/>
      <c r="AA345" s="26"/>
      <c r="AB345" s="26"/>
      <c r="AC345" s="26"/>
      <c r="AD345" s="26"/>
    </row>
    <row r="346" spans="2:30" x14ac:dyDescent="0.35">
      <c r="B346">
        <v>4</v>
      </c>
      <c r="C346" t="s">
        <v>24</v>
      </c>
      <c r="D346" t="s">
        <v>137</v>
      </c>
      <c r="E346" t="s">
        <v>160</v>
      </c>
      <c r="F346" t="s">
        <v>139</v>
      </c>
      <c r="G346" s="12" t="s">
        <v>153</v>
      </c>
      <c r="H346" s="12" t="s">
        <v>141</v>
      </c>
      <c r="I346" s="12"/>
      <c r="J346" s="12"/>
      <c r="K346" s="4">
        <v>4</v>
      </c>
      <c r="L346" s="23">
        <v>284</v>
      </c>
      <c r="M346" s="23">
        <v>284</v>
      </c>
      <c r="N346" s="24">
        <v>284</v>
      </c>
      <c r="O346" s="23">
        <v>284</v>
      </c>
      <c r="P346" s="23">
        <v>568</v>
      </c>
      <c r="Q346" s="23">
        <v>568</v>
      </c>
      <c r="R346" s="23">
        <v>568</v>
      </c>
      <c r="Z346" s="26"/>
      <c r="AA346" s="26"/>
      <c r="AB346" s="26"/>
      <c r="AC346" s="26"/>
      <c r="AD346" s="26"/>
    </row>
    <row r="347" spans="2:30" x14ac:dyDescent="0.35">
      <c r="B347">
        <v>5</v>
      </c>
      <c r="C347" t="s">
        <v>24</v>
      </c>
      <c r="D347" t="s">
        <v>137</v>
      </c>
      <c r="E347" t="s">
        <v>160</v>
      </c>
      <c r="F347" t="s">
        <v>139</v>
      </c>
      <c r="G347" s="12" t="s">
        <v>153</v>
      </c>
      <c r="H347" s="12" t="s">
        <v>141</v>
      </c>
      <c r="I347" s="12"/>
      <c r="J347" s="12"/>
      <c r="K347" s="4">
        <v>5</v>
      </c>
      <c r="L347" s="23">
        <v>327</v>
      </c>
      <c r="M347" s="23">
        <v>327</v>
      </c>
      <c r="N347" s="24">
        <v>327</v>
      </c>
      <c r="O347" s="23">
        <v>327</v>
      </c>
      <c r="P347" s="23">
        <v>654</v>
      </c>
      <c r="Q347" s="23">
        <v>654</v>
      </c>
      <c r="R347" s="23">
        <v>654</v>
      </c>
      <c r="Z347" s="26"/>
      <c r="AA347" s="26"/>
      <c r="AB347" s="26"/>
      <c r="AC347" s="26"/>
      <c r="AD347" s="26"/>
    </row>
    <row r="348" spans="2:30" x14ac:dyDescent="0.35">
      <c r="B348">
        <v>6</v>
      </c>
      <c r="C348" t="s">
        <v>24</v>
      </c>
      <c r="D348" t="s">
        <v>137</v>
      </c>
      <c r="E348" t="s">
        <v>160</v>
      </c>
      <c r="F348" t="s">
        <v>139</v>
      </c>
      <c r="G348" s="12" t="s">
        <v>153</v>
      </c>
      <c r="H348" s="12" t="s">
        <v>141</v>
      </c>
      <c r="I348" s="12"/>
      <c r="J348" s="12"/>
      <c r="K348" s="4">
        <v>6</v>
      </c>
      <c r="L348" s="23">
        <v>366</v>
      </c>
      <c r="M348" s="23">
        <v>366</v>
      </c>
      <c r="N348" s="24">
        <v>366</v>
      </c>
      <c r="O348" s="23">
        <v>366</v>
      </c>
      <c r="P348" s="23">
        <v>732</v>
      </c>
      <c r="Q348" s="23">
        <v>732</v>
      </c>
      <c r="R348" s="23">
        <v>732</v>
      </c>
      <c r="Z348" s="26"/>
      <c r="AA348" s="26"/>
      <c r="AB348" s="26"/>
      <c r="AC348" s="26"/>
      <c r="AD348" s="26"/>
    </row>
    <row r="349" spans="2:30" x14ac:dyDescent="0.35">
      <c r="C349" t="s">
        <v>24</v>
      </c>
      <c r="D349" t="s">
        <v>137</v>
      </c>
      <c r="E349" t="s">
        <v>160</v>
      </c>
      <c r="F349" t="s">
        <v>139</v>
      </c>
      <c r="G349" s="12" t="s">
        <v>153</v>
      </c>
      <c r="H349" s="12" t="s">
        <v>141</v>
      </c>
      <c r="I349" s="12"/>
      <c r="J349" s="12"/>
      <c r="K349" s="4">
        <v>7</v>
      </c>
      <c r="L349" s="23">
        <v>402</v>
      </c>
      <c r="M349" s="23">
        <v>402</v>
      </c>
      <c r="N349" s="24">
        <v>402</v>
      </c>
      <c r="O349" s="23">
        <v>402</v>
      </c>
      <c r="P349" s="23">
        <v>804</v>
      </c>
      <c r="Q349" s="23">
        <v>804</v>
      </c>
      <c r="R349" s="23">
        <v>804</v>
      </c>
      <c r="Z349" s="26"/>
      <c r="AA349" s="26"/>
      <c r="AB349" s="26"/>
      <c r="AC349" s="26"/>
      <c r="AD349" s="26"/>
    </row>
    <row r="350" spans="2:30" x14ac:dyDescent="0.35">
      <c r="C350" t="s">
        <v>24</v>
      </c>
      <c r="D350" t="s">
        <v>137</v>
      </c>
      <c r="E350" t="s">
        <v>160</v>
      </c>
      <c r="F350" t="s">
        <v>139</v>
      </c>
      <c r="G350" s="12" t="s">
        <v>153</v>
      </c>
      <c r="H350" s="12" t="s">
        <v>141</v>
      </c>
      <c r="I350" s="12"/>
      <c r="J350" s="12"/>
      <c r="K350" s="4">
        <v>8</v>
      </c>
      <c r="L350" s="23">
        <v>441</v>
      </c>
      <c r="M350" s="23">
        <v>441</v>
      </c>
      <c r="N350" s="24">
        <v>441</v>
      </c>
      <c r="O350" s="23">
        <v>441</v>
      </c>
      <c r="P350" s="23">
        <v>882</v>
      </c>
      <c r="Q350" s="23">
        <v>882</v>
      </c>
      <c r="R350" s="23">
        <v>882</v>
      </c>
      <c r="Z350" s="26"/>
      <c r="AA350" s="26"/>
      <c r="AB350" s="26"/>
      <c r="AC350" s="26"/>
      <c r="AD350" s="26"/>
    </row>
    <row r="351" spans="2:30" x14ac:dyDescent="0.35">
      <c r="B351">
        <v>7</v>
      </c>
      <c r="C351" t="s">
        <v>24</v>
      </c>
      <c r="D351" t="s">
        <v>147</v>
      </c>
      <c r="E351" t="s">
        <v>161</v>
      </c>
      <c r="F351" t="s">
        <v>139</v>
      </c>
      <c r="G351" s="12" t="s">
        <v>153</v>
      </c>
      <c r="H351" s="12" t="s">
        <v>141</v>
      </c>
      <c r="I351" s="12"/>
      <c r="J351" s="12"/>
      <c r="K351" s="4">
        <v>1</v>
      </c>
      <c r="L351" s="23">
        <v>122</v>
      </c>
      <c r="M351" s="23">
        <v>122</v>
      </c>
      <c r="N351" s="24">
        <v>122</v>
      </c>
      <c r="O351" s="23">
        <v>122</v>
      </c>
      <c r="P351" s="23">
        <v>244</v>
      </c>
      <c r="Q351" s="23">
        <v>244</v>
      </c>
      <c r="R351" s="23">
        <v>244</v>
      </c>
      <c r="Z351" s="26"/>
      <c r="AA351" s="26"/>
      <c r="AB351" s="26"/>
      <c r="AC351" s="26"/>
      <c r="AD351" s="26"/>
    </row>
    <row r="352" spans="2:30" x14ac:dyDescent="0.35">
      <c r="B352">
        <v>8</v>
      </c>
      <c r="C352" t="s">
        <v>24</v>
      </c>
      <c r="D352" t="s">
        <v>147</v>
      </c>
      <c r="E352" t="s">
        <v>161</v>
      </c>
      <c r="F352" t="s">
        <v>139</v>
      </c>
      <c r="G352" s="12" t="s">
        <v>153</v>
      </c>
      <c r="H352" s="12" t="s">
        <v>141</v>
      </c>
      <c r="I352" s="12" t="s">
        <v>145</v>
      </c>
      <c r="J352" s="12"/>
      <c r="K352" s="4">
        <v>2</v>
      </c>
      <c r="L352" s="23">
        <v>188</v>
      </c>
      <c r="M352" s="23">
        <v>188</v>
      </c>
      <c r="N352" s="24">
        <v>188</v>
      </c>
      <c r="O352" s="23">
        <v>188</v>
      </c>
      <c r="P352" s="23">
        <v>376</v>
      </c>
      <c r="Q352" s="23">
        <v>376</v>
      </c>
      <c r="R352" s="23">
        <v>376</v>
      </c>
      <c r="Z352" s="26"/>
      <c r="AA352" s="26"/>
      <c r="AB352" s="26"/>
      <c r="AC352" s="26"/>
      <c r="AD352" s="26"/>
    </row>
    <row r="353" spans="2:30" x14ac:dyDescent="0.35">
      <c r="B353">
        <v>9</v>
      </c>
      <c r="C353" t="s">
        <v>24</v>
      </c>
      <c r="D353" t="s">
        <v>147</v>
      </c>
      <c r="E353" t="s">
        <v>161</v>
      </c>
      <c r="F353" t="s">
        <v>139</v>
      </c>
      <c r="G353" s="12" t="s">
        <v>153</v>
      </c>
      <c r="H353" s="12" t="s">
        <v>141</v>
      </c>
      <c r="I353" s="12" t="s">
        <v>145</v>
      </c>
      <c r="J353" s="12"/>
      <c r="K353" s="4">
        <v>3</v>
      </c>
      <c r="L353" s="23">
        <v>240</v>
      </c>
      <c r="M353" s="23">
        <v>240</v>
      </c>
      <c r="N353" s="24">
        <v>240</v>
      </c>
      <c r="O353" s="23">
        <v>240</v>
      </c>
      <c r="P353" s="23">
        <v>484</v>
      </c>
      <c r="Q353" s="23">
        <v>484</v>
      </c>
      <c r="R353" s="23">
        <v>484</v>
      </c>
      <c r="Z353" s="26"/>
      <c r="AA353" s="26"/>
      <c r="AB353" s="26"/>
      <c r="AC353" s="26"/>
      <c r="AD353" s="26"/>
    </row>
    <row r="354" spans="2:30" x14ac:dyDescent="0.35">
      <c r="B354">
        <v>10</v>
      </c>
      <c r="C354" t="s">
        <v>24</v>
      </c>
      <c r="D354" t="s">
        <v>147</v>
      </c>
      <c r="E354" t="s">
        <v>161</v>
      </c>
      <c r="F354" t="s">
        <v>139</v>
      </c>
      <c r="G354" s="12" t="s">
        <v>153</v>
      </c>
      <c r="H354" s="12" t="s">
        <v>141</v>
      </c>
      <c r="I354" s="12" t="s">
        <v>145</v>
      </c>
      <c r="J354" s="12"/>
      <c r="K354" s="4">
        <v>4</v>
      </c>
      <c r="L354" s="23">
        <v>284</v>
      </c>
      <c r="M354" s="23">
        <v>284</v>
      </c>
      <c r="N354" s="24">
        <v>284</v>
      </c>
      <c r="O354" s="23">
        <v>284</v>
      </c>
      <c r="P354" s="23">
        <v>568</v>
      </c>
      <c r="Q354" s="23">
        <v>568</v>
      </c>
      <c r="R354" s="23">
        <v>568</v>
      </c>
      <c r="Z354" s="26"/>
      <c r="AA354" s="26"/>
      <c r="AB354" s="26"/>
      <c r="AC354" s="26"/>
      <c r="AD354" s="26"/>
    </row>
    <row r="355" spans="2:30" x14ac:dyDescent="0.35">
      <c r="B355">
        <v>11</v>
      </c>
      <c r="C355" t="s">
        <v>24</v>
      </c>
      <c r="D355" t="s">
        <v>147</v>
      </c>
      <c r="E355" t="s">
        <v>161</v>
      </c>
      <c r="F355" t="s">
        <v>139</v>
      </c>
      <c r="G355" s="12" t="s">
        <v>153</v>
      </c>
      <c r="H355" s="12" t="s">
        <v>141</v>
      </c>
      <c r="I355" s="12" t="s">
        <v>145</v>
      </c>
      <c r="J355" s="12"/>
      <c r="K355" s="4">
        <v>5</v>
      </c>
      <c r="L355" s="23">
        <v>327</v>
      </c>
      <c r="M355" s="23">
        <v>327</v>
      </c>
      <c r="N355" s="24">
        <v>327</v>
      </c>
      <c r="O355" s="23">
        <v>327</v>
      </c>
      <c r="P355" s="23">
        <v>654</v>
      </c>
      <c r="Q355" s="23">
        <v>654</v>
      </c>
      <c r="R355" s="23">
        <v>654</v>
      </c>
      <c r="Z355" s="26"/>
      <c r="AA355" s="26"/>
      <c r="AB355" s="26"/>
      <c r="AC355" s="26"/>
      <c r="AD355" s="26"/>
    </row>
    <row r="356" spans="2:30" x14ac:dyDescent="0.35">
      <c r="B356">
        <v>12</v>
      </c>
      <c r="C356" t="s">
        <v>24</v>
      </c>
      <c r="D356" t="s">
        <v>147</v>
      </c>
      <c r="E356" t="s">
        <v>161</v>
      </c>
      <c r="F356" t="s">
        <v>139</v>
      </c>
      <c r="G356" s="12" t="s">
        <v>153</v>
      </c>
      <c r="H356" s="12" t="s">
        <v>141</v>
      </c>
      <c r="I356" s="12" t="s">
        <v>145</v>
      </c>
      <c r="J356" s="12"/>
      <c r="K356" s="4">
        <v>6</v>
      </c>
      <c r="L356" s="23">
        <v>366</v>
      </c>
      <c r="M356" s="23">
        <v>366</v>
      </c>
      <c r="N356" s="24">
        <v>366</v>
      </c>
      <c r="O356" s="23">
        <v>366</v>
      </c>
      <c r="P356" s="23">
        <v>732</v>
      </c>
      <c r="Q356" s="23">
        <v>732</v>
      </c>
      <c r="R356" s="23">
        <v>732</v>
      </c>
      <c r="Z356" s="26"/>
      <c r="AA356" s="26"/>
      <c r="AB356" s="26"/>
      <c r="AC356" s="26"/>
      <c r="AD356" s="26"/>
    </row>
    <row r="357" spans="2:30" x14ac:dyDescent="0.35">
      <c r="C357" t="s">
        <v>24</v>
      </c>
      <c r="D357" t="s">
        <v>147</v>
      </c>
      <c r="E357" t="s">
        <v>161</v>
      </c>
      <c r="F357" t="s">
        <v>139</v>
      </c>
      <c r="G357" s="12" t="s">
        <v>153</v>
      </c>
      <c r="H357" s="12" t="s">
        <v>141</v>
      </c>
      <c r="I357" s="12" t="s">
        <v>145</v>
      </c>
      <c r="J357" s="12"/>
      <c r="K357" s="4">
        <v>7</v>
      </c>
      <c r="L357" s="23">
        <v>402</v>
      </c>
      <c r="M357" s="23">
        <v>402</v>
      </c>
      <c r="N357" s="24">
        <v>402</v>
      </c>
      <c r="O357" s="23">
        <v>402</v>
      </c>
      <c r="P357" s="23">
        <v>804</v>
      </c>
      <c r="Q357" s="23">
        <v>804</v>
      </c>
      <c r="R357" s="23">
        <v>804</v>
      </c>
      <c r="Z357" s="26"/>
      <c r="AA357" s="26"/>
      <c r="AB357" s="26"/>
      <c r="AC357" s="26"/>
      <c r="AD357" s="26"/>
    </row>
    <row r="358" spans="2:30" x14ac:dyDescent="0.35">
      <c r="C358" t="s">
        <v>24</v>
      </c>
      <c r="D358" t="s">
        <v>147</v>
      </c>
      <c r="E358" t="s">
        <v>161</v>
      </c>
      <c r="F358" t="s">
        <v>139</v>
      </c>
      <c r="G358" s="12" t="s">
        <v>153</v>
      </c>
      <c r="H358" s="12" t="s">
        <v>141</v>
      </c>
      <c r="I358" s="12" t="s">
        <v>145</v>
      </c>
      <c r="J358" s="12"/>
      <c r="K358" s="4">
        <v>8</v>
      </c>
      <c r="L358" s="23">
        <v>441</v>
      </c>
      <c r="M358" s="23">
        <v>441</v>
      </c>
      <c r="N358" s="24">
        <v>441</v>
      </c>
      <c r="O358" s="23">
        <v>441</v>
      </c>
      <c r="P358" s="23">
        <v>882</v>
      </c>
      <c r="Q358" s="23">
        <v>882</v>
      </c>
      <c r="R358" s="23">
        <v>882</v>
      </c>
      <c r="Z358" s="26"/>
      <c r="AA358" s="26"/>
      <c r="AB358" s="26"/>
      <c r="AC358" s="26"/>
      <c r="AD358" s="26"/>
    </row>
    <row r="359" spans="2:30" x14ac:dyDescent="0.35">
      <c r="B359">
        <v>13</v>
      </c>
      <c r="C359" t="s">
        <v>24</v>
      </c>
      <c r="D359" t="s">
        <v>143</v>
      </c>
      <c r="E359" t="s">
        <v>162</v>
      </c>
      <c r="G359" s="12" t="s">
        <v>153</v>
      </c>
      <c r="H359" s="12"/>
      <c r="I359" s="12"/>
      <c r="J359" s="12"/>
      <c r="K359" s="4">
        <v>1</v>
      </c>
      <c r="L359" s="23">
        <v>122</v>
      </c>
      <c r="M359" s="23">
        <v>122</v>
      </c>
      <c r="N359" s="24">
        <v>122</v>
      </c>
      <c r="O359" s="23">
        <v>122</v>
      </c>
      <c r="P359" s="23">
        <v>244</v>
      </c>
      <c r="Q359" s="23">
        <v>244</v>
      </c>
      <c r="R359" s="23">
        <v>244</v>
      </c>
      <c r="Z359" s="26"/>
      <c r="AA359" s="26"/>
      <c r="AB359" s="26"/>
      <c r="AC359" s="26"/>
      <c r="AD359" s="26"/>
    </row>
    <row r="360" spans="2:30" x14ac:dyDescent="0.35">
      <c r="B360">
        <v>14</v>
      </c>
      <c r="C360" t="s">
        <v>24</v>
      </c>
      <c r="D360" t="s">
        <v>143</v>
      </c>
      <c r="E360" t="s">
        <v>162</v>
      </c>
      <c r="G360" s="12" t="s">
        <v>153</v>
      </c>
      <c r="H360" s="12"/>
      <c r="I360" s="12"/>
      <c r="J360" s="12"/>
      <c r="K360" s="4">
        <v>2</v>
      </c>
      <c r="L360" s="23">
        <v>188</v>
      </c>
      <c r="M360" s="23">
        <v>188</v>
      </c>
      <c r="N360" s="24">
        <v>188</v>
      </c>
      <c r="O360" s="23">
        <v>188</v>
      </c>
      <c r="P360" s="23">
        <v>376</v>
      </c>
      <c r="Q360" s="23">
        <v>376</v>
      </c>
      <c r="R360" s="23">
        <v>376</v>
      </c>
      <c r="Z360" s="26"/>
      <c r="AA360" s="26"/>
      <c r="AB360" s="26"/>
      <c r="AC360" s="26"/>
      <c r="AD360" s="26"/>
    </row>
    <row r="361" spans="2:30" x14ac:dyDescent="0.35">
      <c r="B361">
        <v>15</v>
      </c>
      <c r="C361" t="s">
        <v>24</v>
      </c>
      <c r="D361" t="s">
        <v>143</v>
      </c>
      <c r="E361" t="s">
        <v>162</v>
      </c>
      <c r="G361" s="12" t="s">
        <v>153</v>
      </c>
      <c r="H361" s="12"/>
      <c r="I361" s="12"/>
      <c r="J361" s="12"/>
      <c r="K361" s="4">
        <v>3</v>
      </c>
      <c r="L361" s="23">
        <v>240</v>
      </c>
      <c r="M361" s="23">
        <v>240</v>
      </c>
      <c r="N361" s="24">
        <v>240</v>
      </c>
      <c r="O361" s="23">
        <v>240</v>
      </c>
      <c r="P361" s="23">
        <v>484</v>
      </c>
      <c r="Q361" s="23">
        <v>484</v>
      </c>
      <c r="R361" s="23">
        <v>484</v>
      </c>
      <c r="Z361" s="26"/>
      <c r="AA361" s="26"/>
      <c r="AB361" s="26"/>
      <c r="AC361" s="26"/>
      <c r="AD361" s="26"/>
    </row>
    <row r="362" spans="2:30" x14ac:dyDescent="0.35">
      <c r="B362">
        <v>16</v>
      </c>
      <c r="C362" t="s">
        <v>24</v>
      </c>
      <c r="D362" t="s">
        <v>143</v>
      </c>
      <c r="E362" t="s">
        <v>162</v>
      </c>
      <c r="G362" s="12" t="s">
        <v>153</v>
      </c>
      <c r="H362" s="12"/>
      <c r="I362" s="12"/>
      <c r="J362" s="12"/>
      <c r="K362" s="4">
        <v>4</v>
      </c>
      <c r="L362" s="23">
        <v>284</v>
      </c>
      <c r="M362" s="23">
        <v>284</v>
      </c>
      <c r="N362" s="24">
        <v>284</v>
      </c>
      <c r="O362" s="23">
        <v>284</v>
      </c>
      <c r="P362" s="23">
        <v>568</v>
      </c>
      <c r="Q362" s="23">
        <v>568</v>
      </c>
      <c r="R362" s="23">
        <v>568</v>
      </c>
      <c r="Z362" s="26"/>
      <c r="AA362" s="26"/>
      <c r="AB362" s="26"/>
      <c r="AC362" s="26"/>
      <c r="AD362" s="26"/>
    </row>
    <row r="363" spans="2:30" x14ac:dyDescent="0.35">
      <c r="B363">
        <v>17</v>
      </c>
      <c r="C363" t="s">
        <v>24</v>
      </c>
      <c r="D363" t="s">
        <v>143</v>
      </c>
      <c r="E363" t="s">
        <v>162</v>
      </c>
      <c r="G363" s="12" t="s">
        <v>153</v>
      </c>
      <c r="H363" s="12"/>
      <c r="I363" s="12"/>
      <c r="J363" s="12"/>
      <c r="K363" s="4">
        <v>5</v>
      </c>
      <c r="L363" s="23">
        <v>327</v>
      </c>
      <c r="M363" s="23">
        <v>327</v>
      </c>
      <c r="N363" s="24">
        <v>327</v>
      </c>
      <c r="O363" s="23">
        <v>327</v>
      </c>
      <c r="P363" s="23">
        <v>654</v>
      </c>
      <c r="Q363" s="23">
        <v>654</v>
      </c>
      <c r="R363" s="23">
        <v>654</v>
      </c>
      <c r="S363" s="3"/>
      <c r="Z363" s="26"/>
      <c r="AA363" s="26"/>
      <c r="AB363" s="26"/>
      <c r="AC363" s="26"/>
      <c r="AD363" s="26"/>
    </row>
    <row r="364" spans="2:30" x14ac:dyDescent="0.35">
      <c r="B364">
        <v>18</v>
      </c>
      <c r="C364" t="s">
        <v>24</v>
      </c>
      <c r="D364" t="s">
        <v>143</v>
      </c>
      <c r="E364" t="s">
        <v>162</v>
      </c>
      <c r="G364" s="12" t="s">
        <v>153</v>
      </c>
      <c r="H364" s="12"/>
      <c r="I364" s="12"/>
      <c r="J364" s="12"/>
      <c r="K364" s="4">
        <v>6</v>
      </c>
      <c r="L364" s="23">
        <v>366</v>
      </c>
      <c r="M364" s="23">
        <v>366</v>
      </c>
      <c r="N364" s="24">
        <v>366</v>
      </c>
      <c r="O364" s="23">
        <v>366</v>
      </c>
      <c r="P364" s="23">
        <v>732</v>
      </c>
      <c r="Q364" s="23">
        <v>732</v>
      </c>
      <c r="R364" s="23">
        <v>732</v>
      </c>
      <c r="Z364" s="26"/>
      <c r="AA364" s="26"/>
      <c r="AB364" s="26"/>
      <c r="AC364" s="26"/>
      <c r="AD364" s="26"/>
    </row>
    <row r="365" spans="2:30" x14ac:dyDescent="0.35">
      <c r="C365" t="s">
        <v>24</v>
      </c>
      <c r="D365" t="s">
        <v>143</v>
      </c>
      <c r="E365" t="s">
        <v>162</v>
      </c>
      <c r="G365" s="12" t="s">
        <v>153</v>
      </c>
      <c r="H365" s="12"/>
      <c r="I365" s="12"/>
      <c r="J365" s="12"/>
      <c r="K365" s="4">
        <v>7</v>
      </c>
      <c r="L365" s="23">
        <v>366</v>
      </c>
      <c r="M365" s="23">
        <v>366</v>
      </c>
      <c r="N365" s="24">
        <v>366</v>
      </c>
      <c r="O365" s="23">
        <v>366</v>
      </c>
      <c r="P365" s="23">
        <v>804</v>
      </c>
      <c r="Q365" s="23">
        <v>804</v>
      </c>
      <c r="R365" s="23">
        <v>804</v>
      </c>
      <c r="Z365" s="26"/>
      <c r="AA365" s="26"/>
      <c r="AB365" s="26"/>
      <c r="AC365" s="26"/>
      <c r="AD365" s="26"/>
    </row>
    <row r="366" spans="2:30" x14ac:dyDescent="0.35">
      <c r="C366" t="s">
        <v>24</v>
      </c>
      <c r="D366" t="s">
        <v>143</v>
      </c>
      <c r="E366" t="s">
        <v>162</v>
      </c>
      <c r="G366" s="12" t="s">
        <v>153</v>
      </c>
      <c r="H366" s="12"/>
      <c r="I366" s="12"/>
      <c r="J366" s="12"/>
      <c r="K366" s="4">
        <v>8</v>
      </c>
      <c r="L366" s="23">
        <v>402</v>
      </c>
      <c r="M366" s="23">
        <v>402</v>
      </c>
      <c r="N366" s="24">
        <v>402</v>
      </c>
      <c r="O366" s="23">
        <v>402</v>
      </c>
      <c r="P366" s="23">
        <v>882</v>
      </c>
      <c r="Q366" s="23">
        <v>882</v>
      </c>
      <c r="R366" s="23">
        <v>882</v>
      </c>
      <c r="Z366" s="26"/>
      <c r="AA366" s="26"/>
      <c r="AB366" s="26"/>
      <c r="AC366" s="26"/>
      <c r="AD366" s="26"/>
    </row>
    <row r="367" spans="2:30" x14ac:dyDescent="0.35">
      <c r="B367">
        <v>19</v>
      </c>
      <c r="C367" t="s">
        <v>26</v>
      </c>
      <c r="D367" t="s">
        <v>137</v>
      </c>
      <c r="E367" t="s">
        <v>163</v>
      </c>
      <c r="F367" t="s">
        <v>139</v>
      </c>
      <c r="G367" s="12" t="s">
        <v>153</v>
      </c>
      <c r="H367" s="12" t="s">
        <v>141</v>
      </c>
      <c r="I367" s="12"/>
      <c r="J367" s="12"/>
      <c r="K367" s="4">
        <v>1</v>
      </c>
      <c r="L367" s="23">
        <v>218</v>
      </c>
      <c r="M367" s="23">
        <v>218</v>
      </c>
      <c r="N367" s="24">
        <v>218</v>
      </c>
      <c r="O367" s="23">
        <v>218</v>
      </c>
      <c r="P367" s="23">
        <v>218</v>
      </c>
      <c r="Q367" s="23">
        <v>218</v>
      </c>
      <c r="R367" s="23"/>
      <c r="T367" s="27"/>
      <c r="Z367" s="26"/>
      <c r="AA367" s="26"/>
      <c r="AB367" s="26"/>
      <c r="AC367" s="26"/>
      <c r="AD367" s="26"/>
    </row>
    <row r="368" spans="2:30" x14ac:dyDescent="0.35">
      <c r="B368">
        <v>20</v>
      </c>
      <c r="C368" t="s">
        <v>26</v>
      </c>
      <c r="D368" t="s">
        <v>137</v>
      </c>
      <c r="E368" t="s">
        <v>163</v>
      </c>
      <c r="F368" t="s">
        <v>139</v>
      </c>
      <c r="G368" s="12" t="s">
        <v>153</v>
      </c>
      <c r="H368" s="12" t="s">
        <v>141</v>
      </c>
      <c r="I368" s="12"/>
      <c r="J368" s="12"/>
      <c r="K368" s="4">
        <v>2</v>
      </c>
      <c r="L368" s="23">
        <v>293</v>
      </c>
      <c r="M368" s="23">
        <v>293</v>
      </c>
      <c r="N368" s="24">
        <v>293</v>
      </c>
      <c r="O368" s="23">
        <v>293</v>
      </c>
      <c r="P368" s="23">
        <v>293</v>
      </c>
      <c r="Q368" s="23">
        <v>293</v>
      </c>
      <c r="R368" s="23"/>
      <c r="T368" s="27"/>
      <c r="Z368" s="26"/>
      <c r="AA368" s="26"/>
      <c r="AB368" s="26"/>
      <c r="AC368" s="26"/>
      <c r="AD368" s="26"/>
    </row>
    <row r="369" spans="2:30" x14ac:dyDescent="0.35">
      <c r="B369">
        <v>21</v>
      </c>
      <c r="C369" t="s">
        <v>26</v>
      </c>
      <c r="D369" t="s">
        <v>137</v>
      </c>
      <c r="E369" t="s">
        <v>163</v>
      </c>
      <c r="F369" t="s">
        <v>139</v>
      </c>
      <c r="G369" s="12" t="s">
        <v>153</v>
      </c>
      <c r="H369" s="12" t="s">
        <v>141</v>
      </c>
      <c r="I369" s="12"/>
      <c r="J369" s="12"/>
      <c r="K369" s="4">
        <v>3</v>
      </c>
      <c r="L369" s="23">
        <v>368</v>
      </c>
      <c r="M369" s="23">
        <v>368</v>
      </c>
      <c r="N369" s="24">
        <v>368</v>
      </c>
      <c r="O369" s="23">
        <v>368</v>
      </c>
      <c r="P369" s="23">
        <v>368</v>
      </c>
      <c r="Q369" s="23">
        <v>368</v>
      </c>
      <c r="R369" s="23"/>
      <c r="T369" s="27"/>
      <c r="Z369" s="26"/>
      <c r="AA369" s="26"/>
      <c r="AB369" s="26"/>
      <c r="AC369" s="26"/>
      <c r="AD369" s="26"/>
    </row>
    <row r="370" spans="2:30" x14ac:dyDescent="0.35">
      <c r="B370">
        <v>22</v>
      </c>
      <c r="C370" t="s">
        <v>26</v>
      </c>
      <c r="D370" t="s">
        <v>137</v>
      </c>
      <c r="E370" t="s">
        <v>163</v>
      </c>
      <c r="F370" t="s">
        <v>139</v>
      </c>
      <c r="G370" s="12" t="s">
        <v>153</v>
      </c>
      <c r="H370" s="12" t="s">
        <v>141</v>
      </c>
      <c r="I370" s="12"/>
      <c r="J370" s="12"/>
      <c r="K370" s="4">
        <v>4</v>
      </c>
      <c r="L370" s="23">
        <v>443</v>
      </c>
      <c r="M370" s="23">
        <v>443</v>
      </c>
      <c r="N370" s="24">
        <v>443</v>
      </c>
      <c r="O370" s="23">
        <v>443</v>
      </c>
      <c r="P370" s="23">
        <v>443</v>
      </c>
      <c r="Q370" s="23">
        <v>443</v>
      </c>
      <c r="R370" s="23"/>
      <c r="T370" s="27"/>
      <c r="Z370" s="26"/>
      <c r="AA370" s="26"/>
      <c r="AB370" s="26"/>
      <c r="AC370" s="26"/>
      <c r="AD370" s="26"/>
    </row>
    <row r="371" spans="2:30" x14ac:dyDescent="0.35">
      <c r="B371">
        <v>23</v>
      </c>
      <c r="C371" t="s">
        <v>26</v>
      </c>
      <c r="D371" t="s">
        <v>137</v>
      </c>
      <c r="E371" t="s">
        <v>163</v>
      </c>
      <c r="F371" t="s">
        <v>139</v>
      </c>
      <c r="G371" s="12" t="s">
        <v>153</v>
      </c>
      <c r="H371" s="12" t="s">
        <v>141</v>
      </c>
      <c r="I371" s="12"/>
      <c r="J371" s="12"/>
      <c r="K371" s="4">
        <v>5</v>
      </c>
      <c r="L371" s="23">
        <v>518</v>
      </c>
      <c r="M371" s="23">
        <v>518</v>
      </c>
      <c r="N371" s="24">
        <v>518</v>
      </c>
      <c r="O371" s="23">
        <v>518</v>
      </c>
      <c r="P371" s="23">
        <v>518</v>
      </c>
      <c r="Q371" s="23">
        <v>518</v>
      </c>
      <c r="R371" s="23"/>
      <c r="T371" s="27"/>
      <c r="Z371" s="26"/>
      <c r="AA371" s="26"/>
      <c r="AB371" s="26"/>
      <c r="AC371" s="26"/>
      <c r="AD371" s="26"/>
    </row>
    <row r="372" spans="2:30" x14ac:dyDescent="0.35">
      <c r="C372" t="s">
        <v>26</v>
      </c>
      <c r="D372" t="s">
        <v>137</v>
      </c>
      <c r="E372" t="s">
        <v>163</v>
      </c>
      <c r="F372" t="s">
        <v>139</v>
      </c>
      <c r="G372" s="12" t="s">
        <v>153</v>
      </c>
      <c r="H372" s="12" t="s">
        <v>141</v>
      </c>
      <c r="I372" s="12"/>
      <c r="J372" s="12"/>
      <c r="K372" s="4">
        <v>6</v>
      </c>
      <c r="L372" s="23">
        <v>593</v>
      </c>
      <c r="M372" s="23">
        <v>593</v>
      </c>
      <c r="N372" s="24">
        <v>593</v>
      </c>
      <c r="O372" s="23">
        <v>593</v>
      </c>
      <c r="P372" s="23">
        <v>593</v>
      </c>
      <c r="Q372" s="23">
        <v>593</v>
      </c>
      <c r="R372" s="23"/>
      <c r="T372" s="27"/>
      <c r="Z372" s="26"/>
      <c r="AA372" s="26"/>
      <c r="AB372" s="26"/>
      <c r="AC372" s="26"/>
      <c r="AD372" s="26"/>
    </row>
    <row r="373" spans="2:30" x14ac:dyDescent="0.35">
      <c r="C373" t="s">
        <v>26</v>
      </c>
      <c r="D373" t="s">
        <v>137</v>
      </c>
      <c r="E373" t="s">
        <v>163</v>
      </c>
      <c r="F373" t="s">
        <v>139</v>
      </c>
      <c r="G373" s="12" t="s">
        <v>153</v>
      </c>
      <c r="H373" s="12" t="s">
        <v>141</v>
      </c>
      <c r="I373" s="12"/>
      <c r="J373" s="12"/>
      <c r="K373" s="4">
        <v>7</v>
      </c>
      <c r="L373" s="23">
        <v>668</v>
      </c>
      <c r="M373" s="23">
        <v>668</v>
      </c>
      <c r="N373" s="24">
        <v>668</v>
      </c>
      <c r="O373" s="23">
        <v>668</v>
      </c>
      <c r="P373" s="23">
        <v>668</v>
      </c>
      <c r="Q373" s="23">
        <v>668</v>
      </c>
      <c r="R373" s="23"/>
      <c r="T373" s="27"/>
      <c r="Z373" s="26"/>
      <c r="AA373" s="26"/>
      <c r="AB373" s="26"/>
      <c r="AC373" s="26"/>
      <c r="AD373" s="26"/>
    </row>
    <row r="374" spans="2:30" x14ac:dyDescent="0.35">
      <c r="C374" t="s">
        <v>26</v>
      </c>
      <c r="D374" t="s">
        <v>137</v>
      </c>
      <c r="E374" t="s">
        <v>163</v>
      </c>
      <c r="F374" t="s">
        <v>139</v>
      </c>
      <c r="G374" s="12" t="s">
        <v>153</v>
      </c>
      <c r="H374" s="12" t="s">
        <v>141</v>
      </c>
      <c r="I374" s="12"/>
      <c r="J374" s="12"/>
      <c r="K374" s="4">
        <v>8</v>
      </c>
      <c r="L374" s="23">
        <v>743</v>
      </c>
      <c r="M374" s="23">
        <v>743</v>
      </c>
      <c r="N374" s="24">
        <v>743</v>
      </c>
      <c r="O374" s="23">
        <v>743</v>
      </c>
      <c r="P374" s="23">
        <v>743</v>
      </c>
      <c r="Q374" s="23">
        <v>743</v>
      </c>
      <c r="R374" s="23"/>
      <c r="T374" s="27"/>
      <c r="Z374" s="26"/>
      <c r="AA374" s="26"/>
      <c r="AB374" s="26"/>
      <c r="AC374" s="26"/>
      <c r="AD374" s="26"/>
    </row>
    <row r="375" spans="2:30" x14ac:dyDescent="0.35">
      <c r="C375" t="s">
        <v>26</v>
      </c>
      <c r="D375" t="s">
        <v>143</v>
      </c>
      <c r="E375" t="s">
        <v>164</v>
      </c>
      <c r="G375" s="12" t="s">
        <v>153</v>
      </c>
      <c r="H375" s="12"/>
      <c r="I375" s="12"/>
      <c r="J375" s="12"/>
      <c r="K375" s="4">
        <v>1</v>
      </c>
      <c r="L375" s="23">
        <v>218</v>
      </c>
      <c r="M375" s="23">
        <v>218</v>
      </c>
      <c r="N375" s="24">
        <v>218</v>
      </c>
      <c r="O375" s="23">
        <v>218</v>
      </c>
      <c r="P375" s="23">
        <v>218</v>
      </c>
      <c r="Q375" s="23">
        <v>218</v>
      </c>
      <c r="R375" s="23"/>
      <c r="Z375" s="26"/>
      <c r="AA375" s="26"/>
      <c r="AB375" s="26"/>
      <c r="AC375" s="26"/>
      <c r="AD375" s="26"/>
    </row>
    <row r="376" spans="2:30" x14ac:dyDescent="0.35">
      <c r="C376" t="s">
        <v>26</v>
      </c>
      <c r="D376" t="s">
        <v>143</v>
      </c>
      <c r="E376" t="s">
        <v>164</v>
      </c>
      <c r="G376" s="12" t="s">
        <v>153</v>
      </c>
      <c r="H376" s="12"/>
      <c r="I376" s="12"/>
      <c r="J376" s="12"/>
      <c r="K376" s="4">
        <v>2</v>
      </c>
      <c r="L376" s="23">
        <v>293</v>
      </c>
      <c r="M376" s="23">
        <v>293</v>
      </c>
      <c r="N376" s="24">
        <v>293</v>
      </c>
      <c r="O376" s="23">
        <v>293</v>
      </c>
      <c r="P376" s="23">
        <v>293</v>
      </c>
      <c r="Q376" s="23">
        <v>293</v>
      </c>
      <c r="R376" s="23"/>
      <c r="Z376" s="26"/>
      <c r="AA376" s="26"/>
      <c r="AB376" s="26"/>
      <c r="AC376" s="26"/>
      <c r="AD376" s="26"/>
    </row>
    <row r="377" spans="2:30" x14ac:dyDescent="0.35">
      <c r="C377" t="s">
        <v>26</v>
      </c>
      <c r="D377" t="s">
        <v>143</v>
      </c>
      <c r="E377" t="s">
        <v>164</v>
      </c>
      <c r="G377" s="12" t="s">
        <v>153</v>
      </c>
      <c r="H377" s="12"/>
      <c r="I377" s="12"/>
      <c r="J377" s="12"/>
      <c r="K377" s="4">
        <v>3</v>
      </c>
      <c r="L377" s="23">
        <v>368</v>
      </c>
      <c r="M377" s="23">
        <v>368</v>
      </c>
      <c r="N377" s="24">
        <v>368</v>
      </c>
      <c r="O377" s="23">
        <v>368</v>
      </c>
      <c r="P377" s="23">
        <v>368</v>
      </c>
      <c r="Q377" s="23">
        <v>368</v>
      </c>
      <c r="R377" s="23"/>
      <c r="Z377" s="26"/>
      <c r="AA377" s="26"/>
      <c r="AB377" s="26"/>
      <c r="AC377" s="26"/>
      <c r="AD377" s="26"/>
    </row>
    <row r="378" spans="2:30" x14ac:dyDescent="0.35">
      <c r="C378" t="s">
        <v>26</v>
      </c>
      <c r="D378" t="s">
        <v>143</v>
      </c>
      <c r="E378" t="s">
        <v>164</v>
      </c>
      <c r="G378" s="12" t="s">
        <v>153</v>
      </c>
      <c r="H378" s="12"/>
      <c r="I378" s="12"/>
      <c r="J378" s="12"/>
      <c r="K378" s="4">
        <v>4</v>
      </c>
      <c r="L378" s="23">
        <v>443</v>
      </c>
      <c r="M378" s="23">
        <v>443</v>
      </c>
      <c r="N378" s="24">
        <v>443</v>
      </c>
      <c r="O378" s="23">
        <v>443</v>
      </c>
      <c r="P378" s="23">
        <v>443</v>
      </c>
      <c r="Q378" s="23">
        <v>443</v>
      </c>
      <c r="R378" s="23"/>
      <c r="Z378" s="26"/>
      <c r="AA378" s="26"/>
      <c r="AB378" s="26"/>
      <c r="AC378" s="26"/>
      <c r="AD378" s="26"/>
    </row>
    <row r="379" spans="2:30" x14ac:dyDescent="0.35">
      <c r="C379" t="s">
        <v>26</v>
      </c>
      <c r="D379" t="s">
        <v>143</v>
      </c>
      <c r="E379" t="s">
        <v>164</v>
      </c>
      <c r="G379" s="12" t="s">
        <v>153</v>
      </c>
      <c r="H379" s="12"/>
      <c r="I379" s="12"/>
      <c r="J379" s="12"/>
      <c r="K379" s="4">
        <v>5</v>
      </c>
      <c r="L379" s="23">
        <v>518</v>
      </c>
      <c r="M379" s="23">
        <v>518</v>
      </c>
      <c r="N379" s="24">
        <v>518</v>
      </c>
      <c r="O379" s="23">
        <v>518</v>
      </c>
      <c r="P379" s="23">
        <v>518</v>
      </c>
      <c r="Q379" s="23">
        <v>518</v>
      </c>
      <c r="R379" s="23"/>
      <c r="Z379" s="26"/>
      <c r="AA379" s="26"/>
      <c r="AB379" s="26"/>
      <c r="AC379" s="26"/>
      <c r="AD379" s="26"/>
    </row>
    <row r="380" spans="2:30" x14ac:dyDescent="0.35">
      <c r="C380" t="s">
        <v>26</v>
      </c>
      <c r="D380" t="s">
        <v>143</v>
      </c>
      <c r="E380" t="s">
        <v>164</v>
      </c>
      <c r="G380" s="12" t="s">
        <v>153</v>
      </c>
      <c r="H380" s="12"/>
      <c r="I380" s="12"/>
      <c r="J380" s="12"/>
      <c r="K380" s="4">
        <v>6</v>
      </c>
      <c r="L380" s="23">
        <v>593</v>
      </c>
      <c r="M380" s="23">
        <v>593</v>
      </c>
      <c r="N380" s="24">
        <v>593</v>
      </c>
      <c r="O380" s="23">
        <v>593</v>
      </c>
      <c r="P380" s="23">
        <v>593</v>
      </c>
      <c r="Q380" s="23">
        <v>593</v>
      </c>
      <c r="R380" s="23"/>
      <c r="Z380" s="26"/>
      <c r="AA380" s="26"/>
      <c r="AB380" s="26"/>
      <c r="AC380" s="26"/>
      <c r="AD380" s="26"/>
    </row>
    <row r="381" spans="2:30" x14ac:dyDescent="0.35">
      <c r="C381" t="s">
        <v>26</v>
      </c>
      <c r="D381" t="s">
        <v>143</v>
      </c>
      <c r="E381" t="s">
        <v>164</v>
      </c>
      <c r="G381" s="12" t="s">
        <v>153</v>
      </c>
      <c r="H381" s="12"/>
      <c r="I381" s="12"/>
      <c r="J381" s="12"/>
      <c r="K381" s="4">
        <v>7</v>
      </c>
      <c r="L381" s="23">
        <v>668</v>
      </c>
      <c r="M381" s="23">
        <v>668</v>
      </c>
      <c r="N381" s="24">
        <v>668</v>
      </c>
      <c r="O381" s="23">
        <v>668</v>
      </c>
      <c r="P381" s="23">
        <v>668</v>
      </c>
      <c r="Q381" s="23">
        <v>668</v>
      </c>
      <c r="R381" s="23"/>
      <c r="Z381" s="26"/>
      <c r="AA381" s="26"/>
      <c r="AB381" s="26"/>
      <c r="AC381" s="26"/>
      <c r="AD381" s="26"/>
    </row>
    <row r="382" spans="2:30" x14ac:dyDescent="0.35">
      <c r="C382" t="s">
        <v>26</v>
      </c>
      <c r="D382" t="s">
        <v>143</v>
      </c>
      <c r="E382" t="s">
        <v>164</v>
      </c>
      <c r="G382" s="12" t="s">
        <v>153</v>
      </c>
      <c r="H382" s="12"/>
      <c r="I382" s="12"/>
      <c r="J382" s="12"/>
      <c r="K382" s="4">
        <v>8</v>
      </c>
      <c r="L382" s="23">
        <v>743</v>
      </c>
      <c r="M382" s="23">
        <v>743</v>
      </c>
      <c r="N382" s="24">
        <v>743</v>
      </c>
      <c r="O382" s="23">
        <v>743</v>
      </c>
      <c r="P382" s="23">
        <v>743</v>
      </c>
      <c r="Q382" s="23">
        <v>743</v>
      </c>
      <c r="R382" s="23"/>
      <c r="Z382" s="26"/>
      <c r="AA382" s="26"/>
      <c r="AB382" s="26"/>
      <c r="AC382" s="26"/>
      <c r="AD382" s="26"/>
    </row>
    <row r="383" spans="2:30" x14ac:dyDescent="0.35">
      <c r="C383" t="s">
        <v>26</v>
      </c>
      <c r="D383" t="s">
        <v>148</v>
      </c>
      <c r="E383" s="4"/>
      <c r="F383" s="4"/>
      <c r="G383" s="12" t="s">
        <v>165</v>
      </c>
      <c r="H383" s="12"/>
      <c r="I383" s="12" t="s">
        <v>166</v>
      </c>
      <c r="J383" s="12"/>
      <c r="K383" s="4">
        <v>1</v>
      </c>
      <c r="L383" s="23">
        <v>403</v>
      </c>
      <c r="M383" s="23">
        <v>403</v>
      </c>
      <c r="N383" s="24">
        <v>403</v>
      </c>
      <c r="O383" s="23">
        <v>403</v>
      </c>
      <c r="P383" s="23">
        <v>403</v>
      </c>
      <c r="Q383" s="23">
        <v>403</v>
      </c>
      <c r="R383" s="23"/>
      <c r="Z383" s="26"/>
      <c r="AA383" s="26"/>
      <c r="AB383" s="26"/>
      <c r="AC383" s="26"/>
      <c r="AD383" s="26"/>
    </row>
    <row r="384" spans="2:30" x14ac:dyDescent="0.35">
      <c r="C384" t="s">
        <v>26</v>
      </c>
      <c r="D384" t="s">
        <v>148</v>
      </c>
      <c r="E384" s="4"/>
      <c r="F384" s="4"/>
      <c r="G384" s="12" t="s">
        <v>165</v>
      </c>
      <c r="H384" s="12"/>
      <c r="I384" s="12" t="s">
        <v>166</v>
      </c>
      <c r="J384" s="12"/>
      <c r="K384" s="4">
        <v>2</v>
      </c>
      <c r="L384" s="23">
        <v>542</v>
      </c>
      <c r="M384" s="23">
        <v>542</v>
      </c>
      <c r="N384" s="24">
        <v>542</v>
      </c>
      <c r="O384" s="23">
        <v>542</v>
      </c>
      <c r="P384" s="23">
        <v>542</v>
      </c>
      <c r="Q384" s="23">
        <v>542</v>
      </c>
      <c r="R384" s="23"/>
      <c r="Z384" s="26"/>
      <c r="AA384" s="26"/>
      <c r="AB384" s="26"/>
      <c r="AC384" s="26"/>
      <c r="AD384" s="26"/>
    </row>
    <row r="385" spans="3:30" x14ac:dyDescent="0.35">
      <c r="C385" t="s">
        <v>26</v>
      </c>
      <c r="D385" t="s">
        <v>148</v>
      </c>
      <c r="E385" s="4"/>
      <c r="F385" s="4"/>
      <c r="G385" s="12" t="s">
        <v>165</v>
      </c>
      <c r="H385" s="12"/>
      <c r="I385" s="12" t="s">
        <v>166</v>
      </c>
      <c r="J385" s="12"/>
      <c r="K385" s="4">
        <v>3</v>
      </c>
      <c r="L385" s="23">
        <v>680</v>
      </c>
      <c r="M385" s="23">
        <v>680</v>
      </c>
      <c r="N385" s="24">
        <v>680</v>
      </c>
      <c r="O385" s="23">
        <v>680</v>
      </c>
      <c r="P385" s="23">
        <v>680</v>
      </c>
      <c r="Q385" s="23">
        <v>680</v>
      </c>
      <c r="R385" s="23"/>
      <c r="Z385" s="26"/>
      <c r="AA385" s="26"/>
      <c r="AB385" s="26"/>
      <c r="AC385" s="26"/>
      <c r="AD385" s="26"/>
    </row>
    <row r="386" spans="3:30" x14ac:dyDescent="0.35">
      <c r="C386" t="s">
        <v>26</v>
      </c>
      <c r="D386" t="s">
        <v>148</v>
      </c>
      <c r="E386" s="4"/>
      <c r="F386" s="4"/>
      <c r="G386" s="12" t="s">
        <v>165</v>
      </c>
      <c r="H386" s="12"/>
      <c r="I386" s="12" t="s">
        <v>166</v>
      </c>
      <c r="J386" s="12"/>
      <c r="K386" s="4">
        <v>4</v>
      </c>
      <c r="L386" s="23">
        <v>819</v>
      </c>
      <c r="M386" s="23">
        <v>819</v>
      </c>
      <c r="N386" s="24">
        <v>819</v>
      </c>
      <c r="O386" s="23">
        <v>819</v>
      </c>
      <c r="P386" s="23">
        <v>819</v>
      </c>
      <c r="Q386" s="23">
        <v>819</v>
      </c>
      <c r="R386" s="23"/>
      <c r="Z386" s="26"/>
      <c r="AA386" s="26"/>
      <c r="AB386" s="26"/>
      <c r="AC386" s="26"/>
      <c r="AD386" s="26"/>
    </row>
    <row r="387" spans="3:30" x14ac:dyDescent="0.35">
      <c r="C387" t="s">
        <v>26</v>
      </c>
      <c r="D387" t="s">
        <v>148</v>
      </c>
      <c r="E387" s="4"/>
      <c r="F387" s="4"/>
      <c r="G387" s="12" t="s">
        <v>165</v>
      </c>
      <c r="H387" s="12"/>
      <c r="I387" s="12" t="s">
        <v>166</v>
      </c>
      <c r="J387" s="12"/>
      <c r="K387" s="4">
        <v>5</v>
      </c>
      <c r="L387" s="23">
        <v>958</v>
      </c>
      <c r="M387" s="23">
        <v>958</v>
      </c>
      <c r="N387" s="24">
        <v>958</v>
      </c>
      <c r="O387" s="23">
        <v>958</v>
      </c>
      <c r="P387" s="23">
        <v>958</v>
      </c>
      <c r="Q387" s="23">
        <v>958</v>
      </c>
      <c r="R387" s="23"/>
      <c r="W387" s="29"/>
      <c r="Z387" s="26"/>
      <c r="AA387" s="26"/>
      <c r="AB387" s="26"/>
      <c r="AC387" s="26"/>
      <c r="AD387" s="26"/>
    </row>
    <row r="388" spans="3:30" x14ac:dyDescent="0.35">
      <c r="C388" t="s">
        <v>26</v>
      </c>
      <c r="D388" t="s">
        <v>148</v>
      </c>
      <c r="E388" s="4"/>
      <c r="F388" s="4"/>
      <c r="G388" s="12" t="s">
        <v>165</v>
      </c>
      <c r="H388" s="12"/>
      <c r="I388" s="12" t="s">
        <v>166</v>
      </c>
      <c r="J388" s="12"/>
      <c r="K388" s="4">
        <v>6</v>
      </c>
      <c r="L388" s="23">
        <v>1097</v>
      </c>
      <c r="M388" s="23">
        <v>1097</v>
      </c>
      <c r="N388" s="24">
        <v>1097</v>
      </c>
      <c r="O388" s="23">
        <v>1097</v>
      </c>
      <c r="P388" s="23">
        <v>1097</v>
      </c>
      <c r="Q388" s="23">
        <v>1097</v>
      </c>
      <c r="R388" s="23"/>
      <c r="Z388" s="26"/>
      <c r="AA388" s="26"/>
      <c r="AB388" s="26"/>
      <c r="AC388" s="26"/>
      <c r="AD388" s="26"/>
    </row>
    <row r="389" spans="3:30" x14ac:dyDescent="0.35">
      <c r="C389" t="s">
        <v>26</v>
      </c>
      <c r="D389" t="s">
        <v>148</v>
      </c>
      <c r="E389" s="4"/>
      <c r="F389" s="4"/>
      <c r="G389" s="12" t="s">
        <v>165</v>
      </c>
      <c r="H389" s="12"/>
      <c r="I389" s="12" t="s">
        <v>166</v>
      </c>
      <c r="J389" s="12"/>
      <c r="K389" s="4">
        <v>7</v>
      </c>
      <c r="L389" s="23">
        <v>1235</v>
      </c>
      <c r="M389" s="23">
        <v>1235</v>
      </c>
      <c r="N389" s="24">
        <v>1235</v>
      </c>
      <c r="O389" s="23">
        <v>1235</v>
      </c>
      <c r="P389" s="23">
        <v>1235</v>
      </c>
      <c r="Q389" s="23">
        <v>1235</v>
      </c>
      <c r="R389" s="23"/>
      <c r="Z389" s="26"/>
      <c r="AA389" s="26"/>
      <c r="AB389" s="26"/>
      <c r="AC389" s="26"/>
      <c r="AD389" s="26"/>
    </row>
    <row r="390" spans="3:30" x14ac:dyDescent="0.35">
      <c r="C390" t="s">
        <v>26</v>
      </c>
      <c r="D390" t="s">
        <v>148</v>
      </c>
      <c r="E390" s="4"/>
      <c r="F390" s="4"/>
      <c r="G390" s="12" t="s">
        <v>165</v>
      </c>
      <c r="H390" s="12"/>
      <c r="I390" s="12" t="s">
        <v>166</v>
      </c>
      <c r="J390" s="12"/>
      <c r="K390" s="4">
        <v>8</v>
      </c>
      <c r="L390" s="23">
        <v>1374</v>
      </c>
      <c r="M390" s="23">
        <v>1374</v>
      </c>
      <c r="N390" s="24">
        <v>1374</v>
      </c>
      <c r="O390" s="23">
        <v>1374</v>
      </c>
      <c r="P390" s="23">
        <v>1374</v>
      </c>
      <c r="Q390" s="23">
        <v>1374</v>
      </c>
      <c r="R390" s="23"/>
      <c r="Z390" s="26"/>
      <c r="AA390" s="26"/>
      <c r="AB390" s="26"/>
      <c r="AC390" s="26"/>
      <c r="AD390" s="26"/>
    </row>
    <row r="391" spans="3:30" x14ac:dyDescent="0.35">
      <c r="C391" t="s">
        <v>26</v>
      </c>
      <c r="D391" t="s">
        <v>147</v>
      </c>
      <c r="E391" t="s">
        <v>167</v>
      </c>
      <c r="F391" t="s">
        <v>139</v>
      </c>
      <c r="G391" s="12" t="s">
        <v>153</v>
      </c>
      <c r="H391" s="12" t="s">
        <v>141</v>
      </c>
      <c r="I391" s="12" t="s">
        <v>166</v>
      </c>
      <c r="J391" s="12"/>
      <c r="K391" s="4">
        <v>1</v>
      </c>
      <c r="L391" s="23">
        <v>110</v>
      </c>
      <c r="M391" s="23">
        <v>110</v>
      </c>
      <c r="N391" s="24">
        <v>110</v>
      </c>
      <c r="O391" s="23">
        <v>200</v>
      </c>
      <c r="P391" s="23">
        <v>200</v>
      </c>
      <c r="Q391" s="23">
        <v>200</v>
      </c>
      <c r="R391" s="23"/>
      <c r="Z391" s="26"/>
      <c r="AA391" s="26"/>
      <c r="AB391" s="26"/>
      <c r="AC391" s="26"/>
      <c r="AD391" s="26"/>
    </row>
    <row r="392" spans="3:30" x14ac:dyDescent="0.35">
      <c r="C392" t="s">
        <v>26</v>
      </c>
      <c r="D392" t="s">
        <v>147</v>
      </c>
      <c r="E392" t="s">
        <v>167</v>
      </c>
      <c r="F392" t="s">
        <v>139</v>
      </c>
      <c r="G392" s="12" t="s">
        <v>153</v>
      </c>
      <c r="H392" s="12" t="s">
        <v>141</v>
      </c>
      <c r="I392" s="12" t="s">
        <v>145</v>
      </c>
      <c r="J392" s="12" t="s">
        <v>166</v>
      </c>
      <c r="K392" s="4">
        <v>2</v>
      </c>
      <c r="L392" s="23">
        <v>146</v>
      </c>
      <c r="M392" s="23">
        <v>146</v>
      </c>
      <c r="N392" s="24">
        <v>146</v>
      </c>
      <c r="O392" s="23">
        <v>236</v>
      </c>
      <c r="P392" s="23">
        <v>236</v>
      </c>
      <c r="Q392" s="23">
        <v>236</v>
      </c>
      <c r="R392" s="23"/>
      <c r="Z392" s="26"/>
      <c r="AA392" s="26"/>
      <c r="AB392" s="26"/>
      <c r="AC392" s="26"/>
      <c r="AD392" s="26"/>
    </row>
    <row r="393" spans="3:30" x14ac:dyDescent="0.35">
      <c r="C393" t="s">
        <v>26</v>
      </c>
      <c r="D393" t="s">
        <v>147</v>
      </c>
      <c r="E393" t="s">
        <v>167</v>
      </c>
      <c r="F393" t="s">
        <v>139</v>
      </c>
      <c r="G393" s="12" t="s">
        <v>153</v>
      </c>
      <c r="H393" s="12" t="s">
        <v>141</v>
      </c>
      <c r="I393" s="12" t="s">
        <v>145</v>
      </c>
      <c r="J393" s="12" t="s">
        <v>166</v>
      </c>
      <c r="K393" s="4">
        <v>3</v>
      </c>
      <c r="L393" s="23">
        <v>170</v>
      </c>
      <c r="M393" s="23">
        <v>170</v>
      </c>
      <c r="N393" s="24">
        <v>170</v>
      </c>
      <c r="O393" s="23">
        <v>260</v>
      </c>
      <c r="P393" s="23">
        <v>260</v>
      </c>
      <c r="Q393" s="23">
        <v>260</v>
      </c>
      <c r="R393" s="23"/>
      <c r="Z393" s="26"/>
      <c r="AA393" s="26"/>
      <c r="AB393" s="26"/>
      <c r="AC393" s="26"/>
      <c r="AD393" s="26"/>
    </row>
    <row r="394" spans="3:30" x14ac:dyDescent="0.35">
      <c r="C394" t="s">
        <v>26</v>
      </c>
      <c r="D394" t="s">
        <v>147</v>
      </c>
      <c r="E394" t="s">
        <v>167</v>
      </c>
      <c r="F394" t="s">
        <v>139</v>
      </c>
      <c r="G394" s="12" t="s">
        <v>153</v>
      </c>
      <c r="H394" s="12" t="s">
        <v>141</v>
      </c>
      <c r="I394" s="12" t="s">
        <v>145</v>
      </c>
      <c r="J394" s="12" t="s">
        <v>166</v>
      </c>
      <c r="K394" s="4">
        <v>4</v>
      </c>
      <c r="L394" s="23">
        <v>194</v>
      </c>
      <c r="M394" s="23">
        <v>194</v>
      </c>
      <c r="N394" s="24">
        <v>194</v>
      </c>
      <c r="O394" s="23">
        <v>284</v>
      </c>
      <c r="P394" s="23">
        <v>284</v>
      </c>
      <c r="Q394" s="23">
        <v>284</v>
      </c>
      <c r="R394" s="23"/>
      <c r="T394" t="s">
        <v>168</v>
      </c>
      <c r="Z394" s="26"/>
      <c r="AA394" s="26"/>
      <c r="AB394" s="26"/>
      <c r="AC394" s="26"/>
      <c r="AD394" s="26"/>
    </row>
    <row r="395" spans="3:30" x14ac:dyDescent="0.35">
      <c r="C395" t="s">
        <v>26</v>
      </c>
      <c r="D395" t="s">
        <v>147</v>
      </c>
      <c r="E395" t="s">
        <v>167</v>
      </c>
      <c r="F395" t="s">
        <v>139</v>
      </c>
      <c r="G395" s="12" t="s">
        <v>153</v>
      </c>
      <c r="H395" s="12" t="s">
        <v>141</v>
      </c>
      <c r="I395" s="12" t="s">
        <v>145</v>
      </c>
      <c r="J395" s="12" t="s">
        <v>166</v>
      </c>
      <c r="K395" s="4">
        <v>5</v>
      </c>
      <c r="L395" s="23">
        <v>218</v>
      </c>
      <c r="M395" s="23">
        <v>218</v>
      </c>
      <c r="N395" s="24">
        <v>218</v>
      </c>
      <c r="O395" s="23">
        <v>308</v>
      </c>
      <c r="P395" s="23">
        <v>308</v>
      </c>
      <c r="Q395" s="23">
        <v>308</v>
      </c>
      <c r="R395" s="23"/>
      <c r="T395" t="s">
        <v>169</v>
      </c>
      <c r="Z395" s="26"/>
      <c r="AA395" s="26"/>
      <c r="AB395" s="26"/>
      <c r="AC395" s="26"/>
      <c r="AD395" s="26"/>
    </row>
    <row r="396" spans="3:30" x14ac:dyDescent="0.35">
      <c r="C396" t="s">
        <v>26</v>
      </c>
      <c r="D396" t="s">
        <v>147</v>
      </c>
      <c r="E396" t="s">
        <v>167</v>
      </c>
      <c r="F396" t="s">
        <v>139</v>
      </c>
      <c r="G396" s="12" t="s">
        <v>153</v>
      </c>
      <c r="H396" s="12" t="s">
        <v>141</v>
      </c>
      <c r="I396" s="12" t="s">
        <v>145</v>
      </c>
      <c r="J396" s="12" t="s">
        <v>166</v>
      </c>
      <c r="K396" s="4">
        <v>6</v>
      </c>
      <c r="L396" s="23">
        <v>242</v>
      </c>
      <c r="M396" s="23">
        <v>242</v>
      </c>
      <c r="N396" s="24">
        <v>242</v>
      </c>
      <c r="O396" s="23">
        <v>332</v>
      </c>
      <c r="P396" s="23">
        <v>332</v>
      </c>
      <c r="Q396" s="23">
        <v>332</v>
      </c>
      <c r="R396" s="23"/>
      <c r="T396">
        <v>272</v>
      </c>
      <c r="U396" t="s">
        <v>170</v>
      </c>
      <c r="Z396" s="26"/>
      <c r="AA396" s="26"/>
      <c r="AB396" s="26"/>
      <c r="AC396" s="26"/>
      <c r="AD396" s="26"/>
    </row>
    <row r="397" spans="3:30" x14ac:dyDescent="0.35">
      <c r="C397" t="s">
        <v>26</v>
      </c>
      <c r="D397" t="s">
        <v>147</v>
      </c>
      <c r="E397" t="s">
        <v>167</v>
      </c>
      <c r="F397" t="s">
        <v>139</v>
      </c>
      <c r="G397" s="12" t="s">
        <v>153</v>
      </c>
      <c r="H397" s="12" t="s">
        <v>141</v>
      </c>
      <c r="I397" s="12" t="s">
        <v>145</v>
      </c>
      <c r="J397" s="12" t="s">
        <v>166</v>
      </c>
      <c r="K397" s="4">
        <v>7</v>
      </c>
      <c r="L397" s="23">
        <v>266</v>
      </c>
      <c r="M397" s="23">
        <v>266</v>
      </c>
      <c r="N397" s="24">
        <v>266</v>
      </c>
      <c r="O397" s="23">
        <v>356</v>
      </c>
      <c r="P397" s="23">
        <v>356</v>
      </c>
      <c r="Q397" s="23">
        <v>356</v>
      </c>
      <c r="R397" s="23"/>
      <c r="Z397" s="26"/>
      <c r="AA397" s="26"/>
      <c r="AB397" s="26"/>
      <c r="AC397" s="26"/>
      <c r="AD397" s="26"/>
    </row>
    <row r="398" spans="3:30" x14ac:dyDescent="0.35">
      <c r="C398" t="s">
        <v>26</v>
      </c>
      <c r="D398" t="s">
        <v>147</v>
      </c>
      <c r="E398" t="s">
        <v>167</v>
      </c>
      <c r="F398" t="s">
        <v>139</v>
      </c>
      <c r="G398" s="12" t="s">
        <v>153</v>
      </c>
      <c r="H398" s="12" t="s">
        <v>141</v>
      </c>
      <c r="I398" s="12" t="s">
        <v>145</v>
      </c>
      <c r="J398" s="12" t="s">
        <v>166</v>
      </c>
      <c r="K398" s="4">
        <v>8</v>
      </c>
      <c r="L398" s="23">
        <v>290</v>
      </c>
      <c r="M398" s="23">
        <v>290</v>
      </c>
      <c r="N398" s="24">
        <v>290</v>
      </c>
      <c r="O398" s="23">
        <v>380</v>
      </c>
      <c r="P398" s="23">
        <v>380</v>
      </c>
      <c r="Q398" s="23">
        <v>380</v>
      </c>
      <c r="R398" s="23"/>
      <c r="Z398" s="26"/>
      <c r="AA398" s="26"/>
      <c r="AB398" s="26"/>
      <c r="AC398" s="26"/>
      <c r="AD398" s="26"/>
    </row>
    <row r="399" spans="3:30" x14ac:dyDescent="0.35">
      <c r="C399" t="s">
        <v>25</v>
      </c>
      <c r="D399" t="s">
        <v>148</v>
      </c>
      <c r="E399" t="s">
        <v>171</v>
      </c>
      <c r="G399" s="12"/>
      <c r="H399" s="12"/>
      <c r="I399" s="12"/>
      <c r="J399" s="12"/>
      <c r="K399" s="4">
        <v>1</v>
      </c>
      <c r="L399" s="23">
        <v>727</v>
      </c>
      <c r="M399" s="23">
        <v>727</v>
      </c>
      <c r="N399" s="24">
        <v>727</v>
      </c>
      <c r="O399" s="23">
        <v>727</v>
      </c>
      <c r="P399" s="23">
        <v>727</v>
      </c>
      <c r="Q399" s="23">
        <v>727</v>
      </c>
      <c r="R399" s="23"/>
      <c r="Z399" s="26"/>
      <c r="AA399" s="26"/>
      <c r="AB399" s="26"/>
      <c r="AC399" s="26"/>
      <c r="AD399" s="26"/>
    </row>
    <row r="400" spans="3:30" x14ac:dyDescent="0.35">
      <c r="C400" t="s">
        <v>25</v>
      </c>
      <c r="D400" t="s">
        <v>148</v>
      </c>
      <c r="E400" t="s">
        <v>171</v>
      </c>
      <c r="G400" s="12"/>
      <c r="H400" s="12"/>
      <c r="I400" s="12"/>
      <c r="J400" s="12"/>
      <c r="K400" s="4">
        <v>2</v>
      </c>
      <c r="L400" s="23">
        <v>1254</v>
      </c>
      <c r="M400" s="23">
        <v>1254</v>
      </c>
      <c r="N400" s="24">
        <v>1254</v>
      </c>
      <c r="O400" s="23">
        <v>1254</v>
      </c>
      <c r="P400" s="23">
        <v>1254</v>
      </c>
      <c r="Q400" s="23">
        <v>1254</v>
      </c>
      <c r="R400" s="23"/>
      <c r="Z400" s="26"/>
      <c r="AA400" s="26"/>
      <c r="AB400" s="26"/>
      <c r="AC400" s="26"/>
      <c r="AD400" s="26"/>
    </row>
    <row r="401" spans="3:30" x14ac:dyDescent="0.35">
      <c r="C401" t="s">
        <v>25</v>
      </c>
      <c r="D401" t="s">
        <v>148</v>
      </c>
      <c r="E401" t="s">
        <v>171</v>
      </c>
      <c r="G401" s="12"/>
      <c r="H401" s="12"/>
      <c r="I401" s="12"/>
      <c r="J401" s="12"/>
      <c r="K401" s="4">
        <v>3</v>
      </c>
      <c r="L401" s="23">
        <v>1565</v>
      </c>
      <c r="M401" s="23">
        <v>1565</v>
      </c>
      <c r="N401" s="24">
        <v>1565</v>
      </c>
      <c r="O401" s="23">
        <v>1565</v>
      </c>
      <c r="P401" s="23">
        <v>1565</v>
      </c>
      <c r="Q401" s="23">
        <v>1565</v>
      </c>
      <c r="R401" s="23"/>
      <c r="Z401" s="26"/>
      <c r="AA401" s="26"/>
      <c r="AB401" s="26"/>
      <c r="AC401" s="26"/>
      <c r="AD401" s="26"/>
    </row>
    <row r="402" spans="3:30" x14ac:dyDescent="0.35">
      <c r="C402" t="s">
        <v>25</v>
      </c>
      <c r="D402" t="s">
        <v>148</v>
      </c>
      <c r="E402" t="s">
        <v>171</v>
      </c>
      <c r="G402" s="12"/>
      <c r="H402" s="12"/>
      <c r="I402" s="12"/>
      <c r="J402" s="12"/>
      <c r="K402" s="4">
        <v>4</v>
      </c>
      <c r="L402" s="23">
        <v>1832</v>
      </c>
      <c r="M402" s="23">
        <v>1832</v>
      </c>
      <c r="N402" s="24">
        <v>1832</v>
      </c>
      <c r="O402" s="23">
        <v>1832</v>
      </c>
      <c r="P402" s="23">
        <v>1832</v>
      </c>
      <c r="Q402" s="23">
        <v>1832</v>
      </c>
      <c r="R402" s="23"/>
      <c r="Z402" s="26"/>
      <c r="AA402" s="26"/>
      <c r="AB402" s="26"/>
      <c r="AC402" s="26"/>
      <c r="AD402" s="26"/>
    </row>
    <row r="403" spans="3:30" x14ac:dyDescent="0.35">
      <c r="C403" t="s">
        <v>25</v>
      </c>
      <c r="D403" t="s">
        <v>148</v>
      </c>
      <c r="E403" t="s">
        <v>171</v>
      </c>
      <c r="G403" s="12"/>
      <c r="H403" s="12"/>
      <c r="I403" s="12"/>
      <c r="J403" s="12"/>
      <c r="K403" s="4">
        <v>5</v>
      </c>
      <c r="L403" s="23">
        <v>2078</v>
      </c>
      <c r="M403" s="23">
        <v>2078</v>
      </c>
      <c r="N403" s="24">
        <v>2078</v>
      </c>
      <c r="O403" s="23">
        <v>2078</v>
      </c>
      <c r="P403" s="23">
        <v>2078</v>
      </c>
      <c r="Q403" s="23">
        <v>2078</v>
      </c>
      <c r="R403" s="23"/>
      <c r="Z403" s="26"/>
      <c r="AA403" s="26"/>
      <c r="AB403" s="26"/>
      <c r="AC403" s="26"/>
      <c r="AD403" s="26"/>
    </row>
    <row r="404" spans="3:30" x14ac:dyDescent="0.35">
      <c r="C404" t="s">
        <v>25</v>
      </c>
      <c r="D404" t="s">
        <v>148</v>
      </c>
      <c r="E404" t="s">
        <v>171</v>
      </c>
      <c r="G404" s="12"/>
      <c r="H404" s="12"/>
      <c r="I404" s="12"/>
      <c r="J404" s="12"/>
      <c r="K404" s="4">
        <v>6</v>
      </c>
      <c r="L404" s="23">
        <v>2307</v>
      </c>
      <c r="M404" s="23">
        <v>2307</v>
      </c>
      <c r="N404" s="24">
        <v>2307</v>
      </c>
      <c r="O404" s="23">
        <v>2307</v>
      </c>
      <c r="P404" s="23">
        <v>2307</v>
      </c>
      <c r="Q404" s="23">
        <v>2307</v>
      </c>
      <c r="R404" s="23"/>
      <c r="Z404" s="26"/>
      <c r="AA404" s="26"/>
      <c r="AB404" s="26"/>
      <c r="AC404" s="26"/>
      <c r="AD404" s="26"/>
    </row>
    <row r="405" spans="3:30" x14ac:dyDescent="0.35">
      <c r="C405" t="s">
        <v>25</v>
      </c>
      <c r="D405" t="s">
        <v>148</v>
      </c>
      <c r="E405" t="s">
        <v>171</v>
      </c>
      <c r="G405" s="12"/>
      <c r="H405" s="12"/>
      <c r="I405" s="12"/>
      <c r="J405" s="12"/>
      <c r="K405" s="4">
        <v>7</v>
      </c>
      <c r="L405" s="23">
        <v>2538</v>
      </c>
      <c r="M405" s="23">
        <v>2538</v>
      </c>
      <c r="N405" s="24">
        <v>2538</v>
      </c>
      <c r="O405" s="23">
        <v>2538</v>
      </c>
      <c r="P405" s="23">
        <v>2538</v>
      </c>
      <c r="Q405" s="23">
        <v>2538</v>
      </c>
      <c r="R405" s="23"/>
      <c r="Z405" s="26"/>
      <c r="AA405" s="26"/>
      <c r="AB405" s="26"/>
      <c r="AC405" s="26"/>
      <c r="AD405" s="26"/>
    </row>
    <row r="406" spans="3:30" x14ac:dyDescent="0.35">
      <c r="C406" t="s">
        <v>25</v>
      </c>
      <c r="D406" t="s">
        <v>148</v>
      </c>
      <c r="E406" t="s">
        <v>171</v>
      </c>
      <c r="G406" s="12"/>
      <c r="H406" s="12"/>
      <c r="I406" s="12"/>
      <c r="J406" s="12"/>
      <c r="K406" s="4">
        <v>8</v>
      </c>
      <c r="L406" s="23">
        <v>2755</v>
      </c>
      <c r="M406" s="23">
        <v>2755</v>
      </c>
      <c r="N406" s="24">
        <v>2755</v>
      </c>
      <c r="O406" s="23">
        <v>2755</v>
      </c>
      <c r="P406" s="23">
        <v>2755</v>
      </c>
      <c r="Q406" s="23">
        <v>2755</v>
      </c>
      <c r="R406" s="23"/>
      <c r="Z406" s="26"/>
      <c r="AA406" s="26"/>
      <c r="AB406" s="26"/>
      <c r="AC406" s="26"/>
      <c r="AD406" s="26"/>
    </row>
    <row r="407" spans="3:30" x14ac:dyDescent="0.35">
      <c r="C407" t="s">
        <v>25</v>
      </c>
      <c r="D407" t="s">
        <v>137</v>
      </c>
      <c r="E407" t="s">
        <v>172</v>
      </c>
      <c r="G407" s="12"/>
      <c r="H407" s="12"/>
      <c r="I407" s="12"/>
      <c r="J407" s="12"/>
      <c r="K407" s="4">
        <v>1</v>
      </c>
      <c r="L407" s="23">
        <v>393</v>
      </c>
      <c r="M407" s="23">
        <v>393</v>
      </c>
      <c r="N407" s="24">
        <v>393</v>
      </c>
      <c r="O407" s="23">
        <v>393</v>
      </c>
      <c r="P407" s="23">
        <v>393</v>
      </c>
      <c r="Q407" s="23">
        <v>393</v>
      </c>
      <c r="R407" s="23"/>
      <c r="Z407" s="26"/>
      <c r="AA407" s="26"/>
      <c r="AB407" s="26"/>
      <c r="AC407" s="26"/>
      <c r="AD407" s="26"/>
    </row>
    <row r="408" spans="3:30" x14ac:dyDescent="0.35">
      <c r="C408" t="s">
        <v>25</v>
      </c>
      <c r="D408" t="s">
        <v>137</v>
      </c>
      <c r="E408" t="s">
        <v>172</v>
      </c>
      <c r="G408" s="12"/>
      <c r="H408" s="12"/>
      <c r="I408" s="12"/>
      <c r="J408" s="12"/>
      <c r="K408" s="4">
        <v>2</v>
      </c>
      <c r="L408" s="23">
        <v>678</v>
      </c>
      <c r="M408" s="23">
        <v>678</v>
      </c>
      <c r="N408" s="24">
        <v>678</v>
      </c>
      <c r="O408" s="23">
        <v>678</v>
      </c>
      <c r="P408" s="23">
        <v>678</v>
      </c>
      <c r="Q408" s="23">
        <v>678</v>
      </c>
      <c r="R408" s="23"/>
      <c r="Z408" s="26"/>
      <c r="AA408" s="26"/>
      <c r="AB408" s="26"/>
      <c r="AC408" s="26"/>
      <c r="AD408" s="26"/>
    </row>
    <row r="409" spans="3:30" x14ac:dyDescent="0.35">
      <c r="C409" t="s">
        <v>25</v>
      </c>
      <c r="D409" t="s">
        <v>137</v>
      </c>
      <c r="E409" t="s">
        <v>172</v>
      </c>
      <c r="G409" s="12"/>
      <c r="H409" s="12"/>
      <c r="I409" s="12"/>
      <c r="J409" s="12"/>
      <c r="K409" s="4">
        <v>3</v>
      </c>
      <c r="L409" s="23">
        <v>846</v>
      </c>
      <c r="M409" s="23">
        <v>846</v>
      </c>
      <c r="N409" s="24">
        <v>846</v>
      </c>
      <c r="O409" s="23">
        <v>846</v>
      </c>
      <c r="P409" s="23">
        <v>846</v>
      </c>
      <c r="Q409" s="23">
        <v>846</v>
      </c>
      <c r="R409" s="23"/>
      <c r="Z409" s="26"/>
      <c r="AA409" s="26"/>
      <c r="AB409" s="26"/>
      <c r="AC409" s="26"/>
      <c r="AD409" s="26"/>
    </row>
    <row r="410" spans="3:30" x14ac:dyDescent="0.35">
      <c r="C410" t="s">
        <v>25</v>
      </c>
      <c r="D410" t="s">
        <v>137</v>
      </c>
      <c r="E410" t="s">
        <v>172</v>
      </c>
      <c r="G410" s="12"/>
      <c r="H410" s="12"/>
      <c r="I410" s="12"/>
      <c r="J410" s="12"/>
      <c r="K410" s="4">
        <v>4</v>
      </c>
      <c r="L410" s="23">
        <v>990</v>
      </c>
      <c r="M410" s="23">
        <v>990</v>
      </c>
      <c r="N410" s="24">
        <v>990</v>
      </c>
      <c r="O410" s="23">
        <v>990</v>
      </c>
      <c r="P410" s="23">
        <v>990</v>
      </c>
      <c r="Q410" s="23">
        <v>990</v>
      </c>
      <c r="R410" s="23"/>
      <c r="Z410" s="26"/>
      <c r="AA410" s="26"/>
      <c r="AB410" s="26"/>
      <c r="AC410" s="26"/>
      <c r="AD410" s="26"/>
    </row>
    <row r="411" spans="3:30" x14ac:dyDescent="0.35">
      <c r="C411" t="s">
        <v>25</v>
      </c>
      <c r="D411" t="s">
        <v>137</v>
      </c>
      <c r="E411" t="s">
        <v>172</v>
      </c>
      <c r="G411" s="12"/>
      <c r="H411" s="12"/>
      <c r="I411" s="12"/>
      <c r="J411" s="12"/>
      <c r="K411" s="4">
        <v>5</v>
      </c>
      <c r="L411" s="23">
        <v>1123</v>
      </c>
      <c r="M411" s="23">
        <v>1123</v>
      </c>
      <c r="N411" s="24">
        <v>1123</v>
      </c>
      <c r="O411" s="23">
        <v>1123</v>
      </c>
      <c r="P411" s="23">
        <v>1123</v>
      </c>
      <c r="Q411" s="23">
        <v>1123</v>
      </c>
      <c r="R411" s="23"/>
      <c r="Z411" s="26"/>
      <c r="AA411" s="26"/>
      <c r="AB411" s="26"/>
      <c r="AC411" s="26"/>
      <c r="AD411" s="26"/>
    </row>
    <row r="412" spans="3:30" x14ac:dyDescent="0.35">
      <c r="C412" t="s">
        <v>25</v>
      </c>
      <c r="D412" t="s">
        <v>137</v>
      </c>
      <c r="E412" t="s">
        <v>172</v>
      </c>
      <c r="G412" s="12"/>
      <c r="H412" s="12"/>
      <c r="I412" s="12"/>
      <c r="J412" s="12"/>
      <c r="K412" s="4">
        <v>6</v>
      </c>
      <c r="L412" s="23">
        <v>1247</v>
      </c>
      <c r="M412" s="23">
        <v>1247</v>
      </c>
      <c r="N412" s="24">
        <v>1247</v>
      </c>
      <c r="O412" s="23">
        <v>1247</v>
      </c>
      <c r="P412" s="23">
        <v>1247</v>
      </c>
      <c r="Q412" s="23">
        <v>1247</v>
      </c>
      <c r="R412" s="23"/>
      <c r="Z412" s="26"/>
      <c r="AA412" s="26"/>
      <c r="AB412" s="26"/>
      <c r="AC412" s="26"/>
      <c r="AD412" s="26"/>
    </row>
    <row r="413" spans="3:30" x14ac:dyDescent="0.35">
      <c r="C413" t="s">
        <v>25</v>
      </c>
      <c r="D413" t="s">
        <v>137</v>
      </c>
      <c r="E413" t="s">
        <v>172</v>
      </c>
      <c r="G413" s="12"/>
      <c r="H413" s="12"/>
      <c r="I413" s="12"/>
      <c r="J413" s="12"/>
      <c r="K413" s="4">
        <v>7</v>
      </c>
      <c r="L413" s="23">
        <v>1372</v>
      </c>
      <c r="M413" s="23">
        <v>1372</v>
      </c>
      <c r="N413" s="24">
        <v>1372</v>
      </c>
      <c r="O413" s="23">
        <v>1372</v>
      </c>
      <c r="P413" s="23">
        <v>1372</v>
      </c>
      <c r="Q413" s="23">
        <v>1372</v>
      </c>
      <c r="R413" s="23"/>
      <c r="Z413" s="26"/>
      <c r="AA413" s="26"/>
      <c r="AB413" s="26"/>
      <c r="AC413" s="26"/>
      <c r="AD413" s="26"/>
    </row>
    <row r="414" spans="3:30" x14ac:dyDescent="0.35">
      <c r="C414" t="s">
        <v>25</v>
      </c>
      <c r="D414" t="s">
        <v>137</v>
      </c>
      <c r="E414" t="s">
        <v>172</v>
      </c>
      <c r="G414" s="12"/>
      <c r="H414" s="12"/>
      <c r="I414" s="12"/>
      <c r="J414" s="12"/>
      <c r="K414" s="4">
        <v>8</v>
      </c>
      <c r="L414" s="23">
        <v>1489</v>
      </c>
      <c r="M414" s="23">
        <v>1489</v>
      </c>
      <c r="N414" s="24">
        <v>1489</v>
      </c>
      <c r="O414" s="23">
        <v>1489</v>
      </c>
      <c r="P414" s="23">
        <v>1489</v>
      </c>
      <c r="Q414" s="23">
        <v>1489</v>
      </c>
      <c r="R414" s="23"/>
      <c r="Z414" s="26"/>
      <c r="AA414" s="26"/>
      <c r="AB414" s="26"/>
      <c r="AC414" s="26"/>
      <c r="AD414" s="26"/>
    </row>
    <row r="415" spans="3:30" x14ac:dyDescent="0.35">
      <c r="C415" t="s">
        <v>25</v>
      </c>
      <c r="D415" t="s">
        <v>143</v>
      </c>
      <c r="E415" t="s">
        <v>137</v>
      </c>
      <c r="G415" s="12"/>
      <c r="H415" s="12"/>
      <c r="I415" s="12"/>
      <c r="J415" s="12"/>
      <c r="K415" s="4">
        <v>1</v>
      </c>
      <c r="L415" s="23">
        <v>393</v>
      </c>
      <c r="M415" s="23">
        <v>393</v>
      </c>
      <c r="N415" s="24">
        <v>393</v>
      </c>
      <c r="O415" s="23">
        <v>393</v>
      </c>
      <c r="P415" s="23">
        <v>393</v>
      </c>
      <c r="Q415" s="23">
        <v>393</v>
      </c>
      <c r="R415" s="23"/>
      <c r="Z415" s="26"/>
      <c r="AA415" s="26"/>
      <c r="AB415" s="26"/>
      <c r="AC415" s="26"/>
      <c r="AD415" s="26"/>
    </row>
    <row r="416" spans="3:30" x14ac:dyDescent="0.35">
      <c r="C416" t="s">
        <v>25</v>
      </c>
      <c r="D416" t="s">
        <v>143</v>
      </c>
      <c r="E416" t="s">
        <v>137</v>
      </c>
      <c r="G416" s="12"/>
      <c r="H416" s="12"/>
      <c r="I416" s="12"/>
      <c r="J416" s="12"/>
      <c r="K416" s="4">
        <v>2</v>
      </c>
      <c r="L416" s="23">
        <v>678</v>
      </c>
      <c r="M416" s="23">
        <v>678</v>
      </c>
      <c r="N416" s="24">
        <v>678</v>
      </c>
      <c r="O416" s="23">
        <v>678</v>
      </c>
      <c r="P416" s="23">
        <v>678</v>
      </c>
      <c r="Q416" s="23">
        <v>678</v>
      </c>
      <c r="R416" s="23"/>
      <c r="Z416" s="26"/>
      <c r="AA416" s="26"/>
      <c r="AB416" s="26"/>
      <c r="AC416" s="26"/>
      <c r="AD416" s="26"/>
    </row>
    <row r="417" spans="3:30" x14ac:dyDescent="0.35">
      <c r="C417" t="s">
        <v>25</v>
      </c>
      <c r="D417" t="s">
        <v>143</v>
      </c>
      <c r="E417" t="s">
        <v>137</v>
      </c>
      <c r="G417" s="12"/>
      <c r="H417" s="12"/>
      <c r="I417" s="12"/>
      <c r="J417" s="12"/>
      <c r="K417" s="4">
        <v>3</v>
      </c>
      <c r="L417" s="23">
        <v>846</v>
      </c>
      <c r="M417" s="23">
        <v>846</v>
      </c>
      <c r="N417" s="24">
        <v>846</v>
      </c>
      <c r="O417" s="23">
        <v>846</v>
      </c>
      <c r="P417" s="23">
        <v>846</v>
      </c>
      <c r="Q417" s="23">
        <v>846</v>
      </c>
      <c r="R417" s="23"/>
      <c r="Z417" s="26"/>
      <c r="AA417" s="26"/>
      <c r="AB417" s="26"/>
      <c r="AC417" s="26"/>
      <c r="AD417" s="26"/>
    </row>
    <row r="418" spans="3:30" x14ac:dyDescent="0.35">
      <c r="C418" t="s">
        <v>25</v>
      </c>
      <c r="D418" t="s">
        <v>143</v>
      </c>
      <c r="E418" t="s">
        <v>137</v>
      </c>
      <c r="G418" s="12"/>
      <c r="H418" s="12"/>
      <c r="I418" s="12"/>
      <c r="J418" s="12"/>
      <c r="K418" s="4">
        <v>4</v>
      </c>
      <c r="L418" s="23">
        <v>990</v>
      </c>
      <c r="M418" s="23">
        <v>990</v>
      </c>
      <c r="N418" s="24">
        <v>990</v>
      </c>
      <c r="O418" s="23">
        <v>990</v>
      </c>
      <c r="P418" s="23">
        <v>990</v>
      </c>
      <c r="Q418" s="23">
        <v>990</v>
      </c>
      <c r="R418" s="23"/>
      <c r="Z418" s="26"/>
      <c r="AA418" s="26"/>
      <c r="AB418" s="26"/>
      <c r="AC418" s="26"/>
      <c r="AD418" s="26"/>
    </row>
    <row r="419" spans="3:30" x14ac:dyDescent="0.35">
      <c r="C419" t="s">
        <v>25</v>
      </c>
      <c r="D419" t="s">
        <v>143</v>
      </c>
      <c r="E419" t="s">
        <v>137</v>
      </c>
      <c r="G419" s="12"/>
      <c r="H419" s="12"/>
      <c r="I419" s="12"/>
      <c r="J419" s="12"/>
      <c r="K419" s="4">
        <v>5</v>
      </c>
      <c r="L419" s="23">
        <v>1123</v>
      </c>
      <c r="M419" s="23">
        <v>1123</v>
      </c>
      <c r="N419" s="24">
        <v>1123</v>
      </c>
      <c r="O419" s="23">
        <v>1123</v>
      </c>
      <c r="P419" s="23">
        <v>1123</v>
      </c>
      <c r="Q419" s="23">
        <v>1123</v>
      </c>
      <c r="R419" s="23"/>
      <c r="Z419" s="26"/>
      <c r="AA419" s="26"/>
      <c r="AB419" s="26"/>
      <c r="AC419" s="26"/>
      <c r="AD419" s="26"/>
    </row>
    <row r="420" spans="3:30" x14ac:dyDescent="0.35">
      <c r="C420" t="s">
        <v>25</v>
      </c>
      <c r="D420" t="s">
        <v>143</v>
      </c>
      <c r="E420" t="s">
        <v>137</v>
      </c>
      <c r="G420" s="12"/>
      <c r="H420" s="12"/>
      <c r="I420" s="12"/>
      <c r="J420" s="12"/>
      <c r="K420" s="4">
        <v>6</v>
      </c>
      <c r="L420" s="23">
        <v>1247</v>
      </c>
      <c r="M420" s="23">
        <v>1247</v>
      </c>
      <c r="N420" s="24">
        <v>1247</v>
      </c>
      <c r="O420" s="23">
        <v>1247</v>
      </c>
      <c r="P420" s="23">
        <v>1247</v>
      </c>
      <c r="Q420" s="23">
        <v>1247</v>
      </c>
      <c r="R420" s="23"/>
      <c r="Z420" s="26"/>
      <c r="AA420" s="26"/>
      <c r="AB420" s="26"/>
      <c r="AC420" s="26"/>
      <c r="AD420" s="26"/>
    </row>
    <row r="421" spans="3:30" x14ac:dyDescent="0.35">
      <c r="C421" t="s">
        <v>25</v>
      </c>
      <c r="D421" t="s">
        <v>143</v>
      </c>
      <c r="E421" t="s">
        <v>137</v>
      </c>
      <c r="G421" s="12"/>
      <c r="H421" s="12"/>
      <c r="I421" s="12"/>
      <c r="J421" s="12"/>
      <c r="K421" s="4">
        <v>7</v>
      </c>
      <c r="L421" s="23">
        <v>1372</v>
      </c>
      <c r="M421" s="23">
        <v>1372</v>
      </c>
      <c r="N421" s="24">
        <v>1372</v>
      </c>
      <c r="O421" s="23">
        <v>1372</v>
      </c>
      <c r="P421" s="23">
        <v>1372</v>
      </c>
      <c r="Q421" s="23">
        <v>1372</v>
      </c>
      <c r="R421" s="23"/>
      <c r="Z421" s="26"/>
      <c r="AA421" s="26"/>
      <c r="AB421" s="26"/>
      <c r="AC421" s="26"/>
      <c r="AD421" s="26"/>
    </row>
    <row r="422" spans="3:30" x14ac:dyDescent="0.35">
      <c r="C422" t="s">
        <v>25</v>
      </c>
      <c r="D422" t="s">
        <v>143</v>
      </c>
      <c r="E422" t="s">
        <v>137</v>
      </c>
      <c r="G422" s="12"/>
      <c r="H422" s="12"/>
      <c r="I422" s="12"/>
      <c r="J422" s="12"/>
      <c r="K422" s="4">
        <v>8</v>
      </c>
      <c r="L422" s="23">
        <v>1489</v>
      </c>
      <c r="M422" s="23">
        <v>1489</v>
      </c>
      <c r="N422" s="24">
        <v>1489</v>
      </c>
      <c r="O422" s="23">
        <v>1489</v>
      </c>
      <c r="P422" s="23">
        <v>1489</v>
      </c>
      <c r="Q422" s="23">
        <v>1489</v>
      </c>
      <c r="R422" s="23"/>
      <c r="Z422" s="26"/>
      <c r="AA422" s="26"/>
      <c r="AB422" s="26"/>
      <c r="AC422" s="26"/>
      <c r="AD422" s="26"/>
    </row>
    <row r="423" spans="3:30" x14ac:dyDescent="0.35">
      <c r="C423" t="s">
        <v>25</v>
      </c>
      <c r="D423" t="s">
        <v>147</v>
      </c>
      <c r="E423" t="s">
        <v>138</v>
      </c>
      <c r="G423" s="12" t="s">
        <v>173</v>
      </c>
      <c r="H423" s="12" t="s">
        <v>174</v>
      </c>
      <c r="I423" s="12"/>
      <c r="J423" s="12"/>
      <c r="K423" s="4">
        <v>1</v>
      </c>
      <c r="L423" s="23">
        <v>136</v>
      </c>
      <c r="M423" s="23">
        <v>136</v>
      </c>
      <c r="N423" s="24">
        <v>136</v>
      </c>
      <c r="O423" s="23">
        <v>136</v>
      </c>
      <c r="P423" s="23">
        <v>136</v>
      </c>
      <c r="Q423" s="23">
        <v>136</v>
      </c>
      <c r="R423" s="23"/>
      <c r="Z423" s="26"/>
      <c r="AA423" s="26"/>
      <c r="AB423" s="26"/>
      <c r="AC423" s="26"/>
      <c r="AD423" s="26"/>
    </row>
    <row r="424" spans="3:30" x14ac:dyDescent="0.35">
      <c r="C424" t="s">
        <v>25</v>
      </c>
      <c r="D424" t="s">
        <v>147</v>
      </c>
      <c r="E424" t="s">
        <v>138</v>
      </c>
      <c r="G424" s="12" t="s">
        <v>173</v>
      </c>
      <c r="H424" s="12" t="s">
        <v>174</v>
      </c>
      <c r="I424" s="12"/>
      <c r="J424" s="12"/>
      <c r="K424" s="4">
        <v>2</v>
      </c>
      <c r="L424" s="23">
        <v>234</v>
      </c>
      <c r="M424" s="23">
        <v>234</v>
      </c>
      <c r="N424" s="24">
        <v>234</v>
      </c>
      <c r="O424" s="23">
        <v>234</v>
      </c>
      <c r="P424" s="23">
        <v>234</v>
      </c>
      <c r="Q424" s="23">
        <v>234</v>
      </c>
      <c r="R424" s="23"/>
      <c r="Z424" s="26"/>
      <c r="AA424" s="26"/>
      <c r="AB424" s="26"/>
      <c r="AC424" s="26"/>
      <c r="AD424" s="26"/>
    </row>
    <row r="425" spans="3:30" x14ac:dyDescent="0.35">
      <c r="C425" t="s">
        <v>25</v>
      </c>
      <c r="D425" t="s">
        <v>147</v>
      </c>
      <c r="E425" t="s">
        <v>138</v>
      </c>
      <c r="G425" s="12" t="s">
        <v>173</v>
      </c>
      <c r="H425" s="12" t="s">
        <v>174</v>
      </c>
      <c r="I425" s="12"/>
      <c r="J425" s="12"/>
      <c r="K425" s="4">
        <v>3</v>
      </c>
      <c r="L425" s="23">
        <v>292</v>
      </c>
      <c r="M425" s="23">
        <v>292</v>
      </c>
      <c r="N425" s="24">
        <v>292</v>
      </c>
      <c r="O425" s="23">
        <v>292</v>
      </c>
      <c r="P425" s="23">
        <v>292</v>
      </c>
      <c r="Q425" s="23">
        <v>292</v>
      </c>
      <c r="R425" s="23"/>
      <c r="Z425" s="26"/>
      <c r="AA425" s="26"/>
      <c r="AB425" s="26"/>
      <c r="AC425" s="26"/>
      <c r="AD425" s="26"/>
    </row>
    <row r="426" spans="3:30" x14ac:dyDescent="0.35">
      <c r="C426" t="s">
        <v>25</v>
      </c>
      <c r="D426" t="s">
        <v>147</v>
      </c>
      <c r="E426" t="s">
        <v>138</v>
      </c>
      <c r="G426" s="12" t="s">
        <v>173</v>
      </c>
      <c r="H426" s="12" t="s">
        <v>174</v>
      </c>
      <c r="I426" s="12"/>
      <c r="J426" s="12"/>
      <c r="K426" s="4">
        <v>4</v>
      </c>
      <c r="L426" s="23">
        <v>342</v>
      </c>
      <c r="M426" s="23">
        <v>342</v>
      </c>
      <c r="N426" s="24">
        <v>342</v>
      </c>
      <c r="O426" s="23">
        <v>342</v>
      </c>
      <c r="P426" s="23">
        <v>342</v>
      </c>
      <c r="Q426" s="23">
        <v>342</v>
      </c>
      <c r="R426" s="23"/>
      <c r="Z426" s="26"/>
      <c r="AA426" s="26"/>
      <c r="AB426" s="26"/>
      <c r="AC426" s="26"/>
      <c r="AD426" s="26"/>
    </row>
    <row r="427" spans="3:30" x14ac:dyDescent="0.35">
      <c r="C427" t="s">
        <v>25</v>
      </c>
      <c r="D427" t="s">
        <v>147</v>
      </c>
      <c r="E427" t="s">
        <v>138</v>
      </c>
      <c r="G427" s="12" t="s">
        <v>173</v>
      </c>
      <c r="H427" s="12" t="s">
        <v>174</v>
      </c>
      <c r="I427" s="12"/>
      <c r="J427" s="12"/>
      <c r="K427" s="4">
        <v>5</v>
      </c>
      <c r="L427" s="23">
        <v>388</v>
      </c>
      <c r="M427" s="23">
        <v>388</v>
      </c>
      <c r="N427" s="24">
        <v>388</v>
      </c>
      <c r="O427" s="23">
        <v>388</v>
      </c>
      <c r="P427" s="23">
        <v>388</v>
      </c>
      <c r="Q427" s="23">
        <v>388</v>
      </c>
      <c r="R427" s="23"/>
      <c r="Z427" s="26"/>
      <c r="AA427" s="26"/>
      <c r="AB427" s="26"/>
      <c r="AC427" s="26"/>
      <c r="AD427" s="26"/>
    </row>
    <row r="428" spans="3:30" x14ac:dyDescent="0.35">
      <c r="C428" t="s">
        <v>25</v>
      </c>
      <c r="D428" t="s">
        <v>147</v>
      </c>
      <c r="E428" t="s">
        <v>138</v>
      </c>
      <c r="G428" s="12" t="s">
        <v>173</v>
      </c>
      <c r="H428" s="12" t="s">
        <v>174</v>
      </c>
      <c r="I428" s="12"/>
      <c r="J428" s="12"/>
      <c r="K428" s="4">
        <v>6</v>
      </c>
      <c r="L428" s="23">
        <v>431</v>
      </c>
      <c r="M428" s="23">
        <v>431</v>
      </c>
      <c r="N428" s="24">
        <v>431</v>
      </c>
      <c r="O428" s="23">
        <v>431</v>
      </c>
      <c r="P428" s="23">
        <v>431</v>
      </c>
      <c r="Q428" s="23">
        <v>431</v>
      </c>
      <c r="R428" s="23"/>
      <c r="Z428" s="26"/>
      <c r="AA428" s="26"/>
      <c r="AB428" s="26"/>
      <c r="AC428" s="26"/>
      <c r="AD428" s="26"/>
    </row>
    <row r="429" spans="3:30" x14ac:dyDescent="0.35">
      <c r="C429" t="s">
        <v>25</v>
      </c>
      <c r="D429" t="s">
        <v>147</v>
      </c>
      <c r="E429" t="s">
        <v>138</v>
      </c>
      <c r="G429" s="12" t="s">
        <v>173</v>
      </c>
      <c r="H429" s="12" t="s">
        <v>174</v>
      </c>
      <c r="I429" s="12"/>
      <c r="J429" s="12"/>
      <c r="K429" s="4">
        <v>7</v>
      </c>
      <c r="L429" s="23">
        <v>474</v>
      </c>
      <c r="M429" s="23">
        <v>474</v>
      </c>
      <c r="N429" s="24">
        <v>474</v>
      </c>
      <c r="O429" s="23">
        <v>474</v>
      </c>
      <c r="P429" s="23">
        <v>474</v>
      </c>
      <c r="Q429" s="23">
        <v>474</v>
      </c>
      <c r="R429" s="23"/>
      <c r="Z429" s="26"/>
      <c r="AA429" s="26"/>
      <c r="AB429" s="26"/>
      <c r="AC429" s="26"/>
      <c r="AD429" s="26"/>
    </row>
    <row r="430" spans="3:30" x14ac:dyDescent="0.35">
      <c r="C430" t="s">
        <v>25</v>
      </c>
      <c r="D430" t="s">
        <v>147</v>
      </c>
      <c r="E430" t="s">
        <v>138</v>
      </c>
      <c r="G430" s="12" t="s">
        <v>173</v>
      </c>
      <c r="H430" s="12" t="s">
        <v>174</v>
      </c>
      <c r="I430" s="12"/>
      <c r="J430" s="12"/>
      <c r="K430" s="4">
        <v>8</v>
      </c>
      <c r="L430" s="23">
        <v>514</v>
      </c>
      <c r="M430" s="23">
        <v>514</v>
      </c>
      <c r="N430" s="24">
        <v>514</v>
      </c>
      <c r="O430" s="23">
        <v>514</v>
      </c>
      <c r="P430" s="23">
        <v>514</v>
      </c>
      <c r="Q430" s="23">
        <v>514</v>
      </c>
      <c r="R430" s="23"/>
      <c r="Z430" s="26"/>
      <c r="AA430" s="26"/>
      <c r="AB430" s="26"/>
      <c r="AC430" s="26"/>
      <c r="AD430" s="26"/>
    </row>
    <row r="431" spans="3:30" x14ac:dyDescent="0.35">
      <c r="C431" t="s">
        <v>27</v>
      </c>
      <c r="D431" t="s">
        <v>137</v>
      </c>
      <c r="E431" t="s">
        <v>160</v>
      </c>
      <c r="F431" t="s">
        <v>139</v>
      </c>
      <c r="G431" s="12" t="s">
        <v>153</v>
      </c>
      <c r="H431" s="12" t="s">
        <v>141</v>
      </c>
      <c r="I431" s="12" t="s">
        <v>142</v>
      </c>
      <c r="J431" s="12"/>
      <c r="K431" s="4">
        <v>1</v>
      </c>
      <c r="L431" s="23">
        <v>362</v>
      </c>
      <c r="M431" s="23">
        <v>362</v>
      </c>
      <c r="N431" s="24">
        <v>362</v>
      </c>
      <c r="O431" s="23">
        <v>362</v>
      </c>
      <c r="P431" s="23">
        <v>362</v>
      </c>
      <c r="Q431" s="23">
        <v>362</v>
      </c>
      <c r="R431" s="23"/>
      <c r="T431">
        <v>12</v>
      </c>
      <c r="Z431" s="26"/>
      <c r="AA431" s="26"/>
      <c r="AB431" s="26"/>
      <c r="AC431" s="26"/>
      <c r="AD431" s="26"/>
    </row>
    <row r="432" spans="3:30" x14ac:dyDescent="0.35">
      <c r="C432" t="s">
        <v>27</v>
      </c>
      <c r="D432" t="s">
        <v>137</v>
      </c>
      <c r="E432" t="s">
        <v>160</v>
      </c>
      <c r="F432" t="s">
        <v>139</v>
      </c>
      <c r="G432" s="12" t="s">
        <v>153</v>
      </c>
      <c r="H432" s="12" t="s">
        <v>141</v>
      </c>
      <c r="I432" s="12" t="s">
        <v>142</v>
      </c>
      <c r="J432" s="12"/>
      <c r="K432" s="4">
        <v>2</v>
      </c>
      <c r="L432" s="23">
        <v>472</v>
      </c>
      <c r="M432" s="23">
        <v>472</v>
      </c>
      <c r="N432" s="24">
        <v>472</v>
      </c>
      <c r="O432" s="23">
        <v>472</v>
      </c>
      <c r="P432" s="23">
        <v>472</v>
      </c>
      <c r="Q432" s="23">
        <v>472</v>
      </c>
      <c r="R432" s="23"/>
      <c r="T432">
        <f>T396*T431</f>
        <v>3264</v>
      </c>
      <c r="Z432" s="26"/>
      <c r="AA432" s="26"/>
      <c r="AB432" s="26"/>
      <c r="AC432" s="26"/>
      <c r="AD432" s="26"/>
    </row>
    <row r="433" spans="3:30" x14ac:dyDescent="0.35">
      <c r="C433" t="s">
        <v>27</v>
      </c>
      <c r="D433" t="s">
        <v>137</v>
      </c>
      <c r="E433" t="s">
        <v>160</v>
      </c>
      <c r="F433" t="s">
        <v>139</v>
      </c>
      <c r="G433" s="12" t="s">
        <v>153</v>
      </c>
      <c r="H433" s="12" t="s">
        <v>141</v>
      </c>
      <c r="I433" s="12" t="s">
        <v>142</v>
      </c>
      <c r="J433" s="12"/>
      <c r="K433" s="4">
        <v>3</v>
      </c>
      <c r="L433" s="23">
        <v>544</v>
      </c>
      <c r="M433" s="23">
        <v>544</v>
      </c>
      <c r="N433" s="24">
        <v>544</v>
      </c>
      <c r="O433" s="23">
        <v>544</v>
      </c>
      <c r="P433" s="23">
        <v>544</v>
      </c>
      <c r="Q433" s="23">
        <v>544</v>
      </c>
      <c r="R433" s="23"/>
      <c r="Z433" s="26"/>
      <c r="AA433" s="26"/>
      <c r="AB433" s="26"/>
      <c r="AC433" s="26"/>
      <c r="AD433" s="26"/>
    </row>
    <row r="434" spans="3:30" x14ac:dyDescent="0.35">
      <c r="C434" t="s">
        <v>27</v>
      </c>
      <c r="D434" t="s">
        <v>137</v>
      </c>
      <c r="E434" t="s">
        <v>160</v>
      </c>
      <c r="F434" t="s">
        <v>139</v>
      </c>
      <c r="G434" s="12" t="s">
        <v>153</v>
      </c>
      <c r="H434" s="12" t="s">
        <v>141</v>
      </c>
      <c r="I434" s="12" t="s">
        <v>142</v>
      </c>
      <c r="J434" s="12"/>
      <c r="K434" s="4">
        <v>4</v>
      </c>
      <c r="L434" s="23">
        <v>594</v>
      </c>
      <c r="M434" s="23">
        <v>594</v>
      </c>
      <c r="N434" s="24">
        <v>594</v>
      </c>
      <c r="O434" s="23">
        <v>594</v>
      </c>
      <c r="P434" s="23">
        <v>594</v>
      </c>
      <c r="Q434" s="23">
        <v>594</v>
      </c>
      <c r="R434" s="23"/>
      <c r="Z434" s="26"/>
      <c r="AA434" s="26"/>
      <c r="AB434" s="26"/>
      <c r="AC434" s="26"/>
      <c r="AD434" s="26"/>
    </row>
    <row r="435" spans="3:30" x14ac:dyDescent="0.35">
      <c r="C435" t="s">
        <v>27</v>
      </c>
      <c r="D435" t="s">
        <v>137</v>
      </c>
      <c r="E435" t="s">
        <v>160</v>
      </c>
      <c r="F435" t="s">
        <v>139</v>
      </c>
      <c r="G435" s="12" t="s">
        <v>153</v>
      </c>
      <c r="H435" s="12" t="s">
        <v>141</v>
      </c>
      <c r="I435" s="12" t="s">
        <v>142</v>
      </c>
      <c r="J435" s="12"/>
      <c r="K435" s="4">
        <v>5</v>
      </c>
      <c r="L435" s="23">
        <v>648</v>
      </c>
      <c r="M435" s="23">
        <v>648</v>
      </c>
      <c r="N435" s="24">
        <v>648</v>
      </c>
      <c r="O435" s="23">
        <v>648</v>
      </c>
      <c r="P435" s="23">
        <v>648</v>
      </c>
      <c r="Q435" s="23">
        <v>648</v>
      </c>
      <c r="R435" s="23"/>
      <c r="Z435" s="26"/>
      <c r="AA435" s="26"/>
      <c r="AB435" s="26"/>
      <c r="AC435" s="26"/>
      <c r="AD435" s="26"/>
    </row>
    <row r="436" spans="3:30" x14ac:dyDescent="0.35">
      <c r="C436" t="s">
        <v>27</v>
      </c>
      <c r="D436" t="s">
        <v>137</v>
      </c>
      <c r="E436" t="s">
        <v>160</v>
      </c>
      <c r="F436" t="s">
        <v>139</v>
      </c>
      <c r="G436" s="12" t="s">
        <v>153</v>
      </c>
      <c r="H436" s="12" t="s">
        <v>141</v>
      </c>
      <c r="I436" s="12" t="s">
        <v>142</v>
      </c>
      <c r="J436" s="12"/>
      <c r="K436" s="4">
        <v>6</v>
      </c>
      <c r="L436" s="23">
        <v>698</v>
      </c>
      <c r="M436" s="23">
        <v>698</v>
      </c>
      <c r="N436" s="24">
        <v>698</v>
      </c>
      <c r="O436" s="23">
        <v>698</v>
      </c>
      <c r="P436" s="23">
        <v>698</v>
      </c>
      <c r="Q436" s="23">
        <v>698</v>
      </c>
      <c r="R436" s="23"/>
      <c r="Z436" s="26"/>
      <c r="AA436" s="26"/>
      <c r="AB436" s="26"/>
      <c r="AC436" s="26"/>
      <c r="AD436" s="26"/>
    </row>
    <row r="437" spans="3:30" x14ac:dyDescent="0.35">
      <c r="C437" t="s">
        <v>27</v>
      </c>
      <c r="D437" t="s">
        <v>137</v>
      </c>
      <c r="E437" t="s">
        <v>160</v>
      </c>
      <c r="F437" t="s">
        <v>139</v>
      </c>
      <c r="G437" s="12" t="s">
        <v>153</v>
      </c>
      <c r="H437" s="12" t="s">
        <v>141</v>
      </c>
      <c r="I437" s="12" t="s">
        <v>142</v>
      </c>
      <c r="J437" s="12"/>
      <c r="K437" s="4">
        <v>7</v>
      </c>
      <c r="L437" s="23">
        <v>746</v>
      </c>
      <c r="M437" s="23">
        <v>746</v>
      </c>
      <c r="N437" s="24">
        <v>746</v>
      </c>
      <c r="O437" s="23">
        <v>746</v>
      </c>
      <c r="P437" s="23">
        <v>746</v>
      </c>
      <c r="Q437" s="23">
        <v>746</v>
      </c>
      <c r="R437" s="23"/>
      <c r="Z437" s="26"/>
      <c r="AA437" s="26"/>
      <c r="AB437" s="26"/>
      <c r="AC437" s="26"/>
      <c r="AD437" s="26"/>
    </row>
    <row r="438" spans="3:30" x14ac:dyDescent="0.35">
      <c r="C438" t="s">
        <v>27</v>
      </c>
      <c r="D438" t="s">
        <v>137</v>
      </c>
      <c r="E438" t="s">
        <v>160</v>
      </c>
      <c r="F438" t="s">
        <v>139</v>
      </c>
      <c r="G438" s="12" t="s">
        <v>153</v>
      </c>
      <c r="H438" s="12" t="s">
        <v>141</v>
      </c>
      <c r="I438" s="12" t="s">
        <v>142</v>
      </c>
      <c r="J438" s="12"/>
      <c r="K438" s="4">
        <v>8</v>
      </c>
      <c r="L438" s="23">
        <v>772</v>
      </c>
      <c r="M438" s="23">
        <v>772</v>
      </c>
      <c r="N438" s="24">
        <v>772</v>
      </c>
      <c r="O438" s="23">
        <v>772</v>
      </c>
      <c r="P438" s="23">
        <v>772</v>
      </c>
      <c r="Q438" s="23">
        <v>772</v>
      </c>
      <c r="R438" s="23"/>
      <c r="Z438" s="26"/>
      <c r="AA438" s="26"/>
      <c r="AB438" s="26"/>
      <c r="AC438" s="26"/>
      <c r="AD438" s="26"/>
    </row>
    <row r="439" spans="3:30" x14ac:dyDescent="0.35">
      <c r="C439" t="s">
        <v>27</v>
      </c>
      <c r="D439" t="s">
        <v>147</v>
      </c>
      <c r="E439" t="s">
        <v>167</v>
      </c>
      <c r="F439" t="s">
        <v>139</v>
      </c>
      <c r="G439" s="12" t="s">
        <v>153</v>
      </c>
      <c r="H439" s="12" t="s">
        <v>141</v>
      </c>
      <c r="I439" s="12" t="s">
        <v>142</v>
      </c>
      <c r="J439" s="12"/>
      <c r="K439" s="4">
        <v>1</v>
      </c>
      <c r="L439" s="23">
        <v>181</v>
      </c>
      <c r="M439" s="23">
        <v>181</v>
      </c>
      <c r="N439" s="24">
        <v>181</v>
      </c>
      <c r="O439" s="23">
        <v>181</v>
      </c>
      <c r="P439" s="23">
        <v>181</v>
      </c>
      <c r="Q439" s="23">
        <v>181</v>
      </c>
      <c r="R439" s="23"/>
      <c r="Z439" s="26"/>
      <c r="AA439" s="26"/>
      <c r="AB439" s="26"/>
      <c r="AC439" s="26"/>
      <c r="AD439" s="26"/>
    </row>
    <row r="440" spans="3:30" x14ac:dyDescent="0.35">
      <c r="C440" t="s">
        <v>27</v>
      </c>
      <c r="D440" t="s">
        <v>147</v>
      </c>
      <c r="E440" t="s">
        <v>167</v>
      </c>
      <c r="F440" t="s">
        <v>139</v>
      </c>
      <c r="G440" s="12" t="s">
        <v>153</v>
      </c>
      <c r="H440" s="12" t="s">
        <v>141</v>
      </c>
      <c r="I440" s="12" t="s">
        <v>142</v>
      </c>
      <c r="J440" s="12"/>
      <c r="K440" s="4">
        <v>2</v>
      </c>
      <c r="L440" s="23">
        <v>236</v>
      </c>
      <c r="M440" s="23">
        <v>236</v>
      </c>
      <c r="N440" s="24">
        <v>236</v>
      </c>
      <c r="O440" s="23">
        <v>236</v>
      </c>
      <c r="P440" s="23">
        <v>236</v>
      </c>
      <c r="Q440" s="23">
        <v>236</v>
      </c>
      <c r="R440" s="23"/>
      <c r="Z440" s="26"/>
      <c r="AA440" s="26"/>
      <c r="AB440" s="26"/>
      <c r="AC440" s="26"/>
      <c r="AD440" s="26"/>
    </row>
    <row r="441" spans="3:30" x14ac:dyDescent="0.35">
      <c r="C441" t="s">
        <v>27</v>
      </c>
      <c r="D441" t="s">
        <v>147</v>
      </c>
      <c r="E441" t="s">
        <v>167</v>
      </c>
      <c r="F441" t="s">
        <v>139</v>
      </c>
      <c r="G441" s="12" t="s">
        <v>153</v>
      </c>
      <c r="H441" s="12" t="s">
        <v>141</v>
      </c>
      <c r="I441" s="12" t="s">
        <v>142</v>
      </c>
      <c r="J441" s="12"/>
      <c r="K441" s="4">
        <v>3</v>
      </c>
      <c r="L441" s="23">
        <v>272</v>
      </c>
      <c r="M441" s="23">
        <v>272</v>
      </c>
      <c r="N441" s="24">
        <v>272</v>
      </c>
      <c r="O441" s="23">
        <v>272</v>
      </c>
      <c r="P441" s="23">
        <v>272</v>
      </c>
      <c r="Q441" s="23">
        <v>272</v>
      </c>
      <c r="R441" s="23"/>
      <c r="Z441" s="26"/>
      <c r="AA441" s="26"/>
      <c r="AB441" s="26"/>
      <c r="AC441" s="26"/>
      <c r="AD441" s="26"/>
    </row>
    <row r="442" spans="3:30" x14ac:dyDescent="0.35">
      <c r="C442" t="s">
        <v>27</v>
      </c>
      <c r="D442" t="s">
        <v>147</v>
      </c>
      <c r="E442" t="s">
        <v>167</v>
      </c>
      <c r="F442" t="s">
        <v>139</v>
      </c>
      <c r="G442" s="12" t="s">
        <v>153</v>
      </c>
      <c r="H442" s="12" t="s">
        <v>141</v>
      </c>
      <c r="I442" s="12" t="s">
        <v>142</v>
      </c>
      <c r="J442" s="12"/>
      <c r="K442" s="4">
        <v>4</v>
      </c>
      <c r="L442" s="23">
        <v>297</v>
      </c>
      <c r="M442" s="23">
        <v>297</v>
      </c>
      <c r="N442" s="24">
        <v>297</v>
      </c>
      <c r="O442" s="23">
        <v>297</v>
      </c>
      <c r="P442" s="23">
        <v>297</v>
      </c>
      <c r="Q442" s="23">
        <v>297</v>
      </c>
      <c r="R442" s="23"/>
      <c r="Z442" s="26"/>
      <c r="AA442" s="26"/>
      <c r="AB442" s="26"/>
      <c r="AC442" s="26"/>
      <c r="AD442" s="26"/>
    </row>
    <row r="443" spans="3:30" x14ac:dyDescent="0.35">
      <c r="C443" t="s">
        <v>27</v>
      </c>
      <c r="D443" t="s">
        <v>147</v>
      </c>
      <c r="E443" t="s">
        <v>167</v>
      </c>
      <c r="F443" t="s">
        <v>139</v>
      </c>
      <c r="G443" s="12" t="s">
        <v>153</v>
      </c>
      <c r="H443" s="12" t="s">
        <v>141</v>
      </c>
      <c r="I443" s="12" t="s">
        <v>142</v>
      </c>
      <c r="J443" s="12"/>
      <c r="K443" s="4">
        <v>5</v>
      </c>
      <c r="L443" s="23">
        <v>324</v>
      </c>
      <c r="M443" s="23">
        <v>324</v>
      </c>
      <c r="N443" s="24">
        <v>324</v>
      </c>
      <c r="O443" s="23">
        <v>324</v>
      </c>
      <c r="P443" s="23">
        <v>324</v>
      </c>
      <c r="Q443" s="23">
        <v>324</v>
      </c>
      <c r="R443" s="23"/>
      <c r="Z443" s="26"/>
      <c r="AA443" s="26"/>
      <c r="AB443" s="26"/>
      <c r="AC443" s="26"/>
      <c r="AD443" s="26"/>
    </row>
    <row r="444" spans="3:30" x14ac:dyDescent="0.35">
      <c r="C444" t="s">
        <v>27</v>
      </c>
      <c r="D444" t="s">
        <v>147</v>
      </c>
      <c r="E444" t="s">
        <v>167</v>
      </c>
      <c r="F444" t="s">
        <v>139</v>
      </c>
      <c r="G444" s="12" t="s">
        <v>153</v>
      </c>
      <c r="H444" s="12" t="s">
        <v>141</v>
      </c>
      <c r="I444" s="12" t="s">
        <v>142</v>
      </c>
      <c r="J444" s="12"/>
      <c r="K444" s="4">
        <v>6</v>
      </c>
      <c r="L444" s="23">
        <v>349</v>
      </c>
      <c r="M444" s="23">
        <v>349</v>
      </c>
      <c r="N444" s="24">
        <v>349</v>
      </c>
      <c r="O444" s="23">
        <v>349</v>
      </c>
      <c r="P444" s="23">
        <v>349</v>
      </c>
      <c r="Q444" s="23">
        <v>349</v>
      </c>
      <c r="R444" s="23"/>
      <c r="Z444" s="26"/>
      <c r="AA444" s="26"/>
      <c r="AB444" s="26"/>
      <c r="AC444" s="26"/>
      <c r="AD444" s="26"/>
    </row>
    <row r="445" spans="3:30" x14ac:dyDescent="0.35">
      <c r="C445" t="s">
        <v>27</v>
      </c>
      <c r="D445" t="s">
        <v>147</v>
      </c>
      <c r="E445" t="s">
        <v>167</v>
      </c>
      <c r="F445" t="s">
        <v>139</v>
      </c>
      <c r="G445" s="12" t="s">
        <v>153</v>
      </c>
      <c r="H445" s="12" t="s">
        <v>141</v>
      </c>
      <c r="I445" s="12" t="s">
        <v>142</v>
      </c>
      <c r="J445" s="12"/>
      <c r="K445" s="4">
        <v>7</v>
      </c>
      <c r="L445" s="23">
        <v>373</v>
      </c>
      <c r="M445" s="23">
        <v>373</v>
      </c>
      <c r="N445" s="24">
        <v>373</v>
      </c>
      <c r="O445" s="23">
        <v>373</v>
      </c>
      <c r="P445" s="23">
        <v>373</v>
      </c>
      <c r="Q445" s="23">
        <v>373</v>
      </c>
      <c r="R445" s="23"/>
      <c r="Z445" s="26"/>
      <c r="AA445" s="26"/>
      <c r="AB445" s="26"/>
      <c r="AC445" s="26"/>
      <c r="AD445" s="26"/>
    </row>
    <row r="446" spans="3:30" x14ac:dyDescent="0.35">
      <c r="C446" t="s">
        <v>27</v>
      </c>
      <c r="D446" t="s">
        <v>147</v>
      </c>
      <c r="E446" t="s">
        <v>167</v>
      </c>
      <c r="F446" t="s">
        <v>139</v>
      </c>
      <c r="G446" s="12" t="s">
        <v>153</v>
      </c>
      <c r="H446" s="12" t="s">
        <v>141</v>
      </c>
      <c r="I446" s="12" t="s">
        <v>142</v>
      </c>
      <c r="J446" s="12"/>
      <c r="K446" s="4">
        <v>8</v>
      </c>
      <c r="L446" s="23">
        <v>386</v>
      </c>
      <c r="M446" s="23">
        <v>386</v>
      </c>
      <c r="N446" s="24">
        <v>386</v>
      </c>
      <c r="O446" s="23">
        <v>386</v>
      </c>
      <c r="P446" s="23">
        <v>386</v>
      </c>
      <c r="Q446" s="23">
        <v>386</v>
      </c>
      <c r="R446" s="23"/>
      <c r="Z446" s="26"/>
      <c r="AA446" s="26"/>
      <c r="AB446" s="26"/>
      <c r="AC446" s="26"/>
      <c r="AD446" s="26"/>
    </row>
    <row r="447" spans="3:30" x14ac:dyDescent="0.35">
      <c r="C447" t="s">
        <v>29</v>
      </c>
      <c r="D447" t="s">
        <v>137</v>
      </c>
      <c r="F447" t="s">
        <v>139</v>
      </c>
      <c r="G447" s="12" t="s">
        <v>153</v>
      </c>
      <c r="H447" s="12" t="s">
        <v>141</v>
      </c>
      <c r="I447" s="12" t="s">
        <v>142</v>
      </c>
      <c r="J447" s="12"/>
      <c r="K447" s="4">
        <v>1</v>
      </c>
      <c r="L447" s="23">
        <v>506</v>
      </c>
      <c r="M447" s="23">
        <v>520</v>
      </c>
      <c r="N447" s="24">
        <v>532</v>
      </c>
      <c r="O447" s="23">
        <v>536</v>
      </c>
      <c r="P447" s="23">
        <v>536</v>
      </c>
      <c r="Q447" s="23">
        <v>536</v>
      </c>
      <c r="R447" s="23"/>
      <c r="Z447" s="26"/>
      <c r="AA447" s="26"/>
      <c r="AB447" s="26"/>
      <c r="AC447" s="26"/>
      <c r="AD447" s="26"/>
    </row>
    <row r="448" spans="3:30" x14ac:dyDescent="0.35">
      <c r="C448" t="s">
        <v>29</v>
      </c>
      <c r="D448" t="s">
        <v>137</v>
      </c>
      <c r="F448" t="s">
        <v>139</v>
      </c>
      <c r="G448" s="12" t="s">
        <v>153</v>
      </c>
      <c r="H448" s="12" t="s">
        <v>141</v>
      </c>
      <c r="I448" s="12" t="s">
        <v>142</v>
      </c>
      <c r="J448" s="12"/>
      <c r="K448" s="4">
        <v>2</v>
      </c>
      <c r="L448" s="23">
        <v>686</v>
      </c>
      <c r="M448" s="23">
        <v>705</v>
      </c>
      <c r="N448" s="24">
        <v>718</v>
      </c>
      <c r="O448" s="23">
        <v>725</v>
      </c>
      <c r="P448" s="23">
        <v>725</v>
      </c>
      <c r="Q448" s="23">
        <v>725</v>
      </c>
      <c r="R448" s="23"/>
      <c r="Z448" s="26"/>
      <c r="AA448" s="26"/>
      <c r="AB448" s="26"/>
      <c r="AC448" s="26"/>
      <c r="AD448" s="26"/>
    </row>
    <row r="449" spans="3:30" x14ac:dyDescent="0.35">
      <c r="C449" t="s">
        <v>29</v>
      </c>
      <c r="D449" t="s">
        <v>137</v>
      </c>
      <c r="F449" t="s">
        <v>139</v>
      </c>
      <c r="G449" s="12" t="s">
        <v>153</v>
      </c>
      <c r="H449" s="12" t="s">
        <v>141</v>
      </c>
      <c r="I449" s="12" t="s">
        <v>142</v>
      </c>
      <c r="J449" s="12"/>
      <c r="K449" s="4">
        <v>3</v>
      </c>
      <c r="L449" s="23">
        <v>866</v>
      </c>
      <c r="M449" s="23">
        <v>889</v>
      </c>
      <c r="N449" s="24">
        <v>905</v>
      </c>
      <c r="O449" s="23">
        <v>915</v>
      </c>
      <c r="P449" s="23">
        <v>915</v>
      </c>
      <c r="Q449" s="23">
        <v>915</v>
      </c>
      <c r="R449" s="23"/>
      <c r="Z449" s="26"/>
      <c r="AA449" s="26"/>
      <c r="AB449" s="26"/>
      <c r="AC449" s="26"/>
      <c r="AD449" s="26"/>
    </row>
    <row r="450" spans="3:30" x14ac:dyDescent="0.35">
      <c r="C450" t="s">
        <v>29</v>
      </c>
      <c r="D450" t="s">
        <v>137</v>
      </c>
      <c r="F450" t="s">
        <v>139</v>
      </c>
      <c r="G450" s="12" t="s">
        <v>153</v>
      </c>
      <c r="H450" s="12" t="s">
        <v>141</v>
      </c>
      <c r="I450" s="12" t="s">
        <v>142</v>
      </c>
      <c r="J450" s="12"/>
      <c r="K450" s="4">
        <v>4</v>
      </c>
      <c r="L450" s="23">
        <v>1046</v>
      </c>
      <c r="M450" s="23">
        <v>1073</v>
      </c>
      <c r="N450" s="24">
        <v>1092</v>
      </c>
      <c r="O450" s="23">
        <v>1104</v>
      </c>
      <c r="P450" s="23">
        <v>1104</v>
      </c>
      <c r="Q450" s="23">
        <v>1104</v>
      </c>
      <c r="R450" s="23"/>
      <c r="Z450" s="26"/>
      <c r="AA450" s="26"/>
      <c r="AB450" s="26"/>
      <c r="AC450" s="26"/>
      <c r="AD450" s="26"/>
    </row>
    <row r="451" spans="3:30" x14ac:dyDescent="0.35">
      <c r="C451" t="s">
        <v>29</v>
      </c>
      <c r="D451" t="s">
        <v>137</v>
      </c>
      <c r="F451" t="s">
        <v>139</v>
      </c>
      <c r="G451" s="12" t="s">
        <v>153</v>
      </c>
      <c r="H451" s="12" t="s">
        <v>141</v>
      </c>
      <c r="I451" s="12" t="s">
        <v>142</v>
      </c>
      <c r="J451" s="12"/>
      <c r="K451" s="4">
        <v>5</v>
      </c>
      <c r="L451" s="23">
        <v>1226</v>
      </c>
      <c r="M451" s="23">
        <v>1257</v>
      </c>
      <c r="N451" s="24">
        <v>1278</v>
      </c>
      <c r="O451" s="23">
        <v>1293</v>
      </c>
      <c r="P451" s="23">
        <v>1293</v>
      </c>
      <c r="Q451" s="23">
        <v>1293</v>
      </c>
      <c r="R451" s="23"/>
      <c r="Z451" s="26"/>
      <c r="AA451" s="26"/>
      <c r="AB451" s="26"/>
      <c r="AC451" s="26"/>
      <c r="AD451" s="26"/>
    </row>
    <row r="452" spans="3:30" x14ac:dyDescent="0.35">
      <c r="C452" t="s">
        <v>29</v>
      </c>
      <c r="D452" t="s">
        <v>137</v>
      </c>
      <c r="F452" t="s">
        <v>139</v>
      </c>
      <c r="G452" s="12" t="s">
        <v>153</v>
      </c>
      <c r="H452" s="12" t="s">
        <v>141</v>
      </c>
      <c r="I452" s="12" t="s">
        <v>142</v>
      </c>
      <c r="J452" s="12"/>
      <c r="K452" s="4">
        <v>6</v>
      </c>
      <c r="L452" s="23">
        <v>1406</v>
      </c>
      <c r="M452" s="23">
        <v>1441</v>
      </c>
      <c r="N452" s="24">
        <v>1465</v>
      </c>
      <c r="O452" s="23">
        <v>1482</v>
      </c>
      <c r="P452" s="23">
        <v>1482</v>
      </c>
      <c r="Q452" s="23">
        <v>1482</v>
      </c>
      <c r="R452" s="23"/>
      <c r="Z452" s="26"/>
      <c r="AA452" s="26"/>
      <c r="AB452" s="26"/>
      <c r="AC452" s="26"/>
      <c r="AD452" s="26"/>
    </row>
    <row r="453" spans="3:30" x14ac:dyDescent="0.35">
      <c r="C453" t="s">
        <v>29</v>
      </c>
      <c r="D453" t="s">
        <v>137</v>
      </c>
      <c r="F453" t="s">
        <v>139</v>
      </c>
      <c r="G453" s="12" t="s">
        <v>153</v>
      </c>
      <c r="H453" s="12" t="s">
        <v>141</v>
      </c>
      <c r="I453" s="12" t="s">
        <v>142</v>
      </c>
      <c r="J453" s="12"/>
      <c r="K453" s="4">
        <v>7</v>
      </c>
      <c r="L453" s="23">
        <v>1586</v>
      </c>
      <c r="M453" s="23">
        <v>1625</v>
      </c>
      <c r="N453" s="24">
        <v>1652</v>
      </c>
      <c r="O453" s="23">
        <v>1671</v>
      </c>
      <c r="P453" s="23">
        <v>1671</v>
      </c>
      <c r="Q453" s="23">
        <v>1671</v>
      </c>
      <c r="R453" s="23"/>
      <c r="Z453" s="26"/>
      <c r="AA453" s="26"/>
      <c r="AB453" s="26"/>
      <c r="AC453" s="26"/>
      <c r="AD453" s="26"/>
    </row>
    <row r="454" spans="3:30" x14ac:dyDescent="0.35">
      <c r="C454" t="s">
        <v>29</v>
      </c>
      <c r="D454" t="s">
        <v>137</v>
      </c>
      <c r="F454" t="s">
        <v>139</v>
      </c>
      <c r="G454" s="12" t="s">
        <v>153</v>
      </c>
      <c r="H454" s="12" t="s">
        <v>141</v>
      </c>
      <c r="I454" s="12" t="s">
        <v>142</v>
      </c>
      <c r="J454" s="12"/>
      <c r="K454" s="4">
        <v>8</v>
      </c>
      <c r="L454" s="23">
        <v>1766</v>
      </c>
      <c r="M454" s="23">
        <v>1810</v>
      </c>
      <c r="N454" s="24">
        <v>1838</v>
      </c>
      <c r="O454" s="23">
        <v>1860</v>
      </c>
      <c r="P454" s="23">
        <v>1860</v>
      </c>
      <c r="Q454" s="23">
        <v>1860</v>
      </c>
      <c r="R454" s="23"/>
      <c r="Z454" s="26"/>
      <c r="AA454" s="26"/>
      <c r="AB454" s="26"/>
      <c r="AC454" s="26"/>
      <c r="AD454" s="26"/>
    </row>
    <row r="455" spans="3:30" x14ac:dyDescent="0.35">
      <c r="C455" t="s">
        <v>29</v>
      </c>
      <c r="D455" t="s">
        <v>148</v>
      </c>
      <c r="E455" t="s">
        <v>175</v>
      </c>
      <c r="F455" t="s">
        <v>139</v>
      </c>
      <c r="G455" s="12" t="s">
        <v>153</v>
      </c>
      <c r="H455" s="12" t="s">
        <v>141</v>
      </c>
      <c r="I455" s="12" t="s">
        <v>142</v>
      </c>
      <c r="J455" s="12"/>
      <c r="K455" s="4">
        <v>1</v>
      </c>
      <c r="L455" s="23">
        <v>936</v>
      </c>
      <c r="M455" s="23">
        <v>962</v>
      </c>
      <c r="N455" s="24">
        <v>984</v>
      </c>
      <c r="O455" s="23">
        <v>991</v>
      </c>
      <c r="P455" s="23">
        <v>991</v>
      </c>
      <c r="Q455" s="23">
        <v>991</v>
      </c>
      <c r="R455" s="23"/>
      <c r="Z455" s="26"/>
      <c r="AA455" s="26"/>
      <c r="AB455" s="26"/>
      <c r="AC455" s="26"/>
      <c r="AD455" s="26"/>
    </row>
    <row r="456" spans="3:30" x14ac:dyDescent="0.35">
      <c r="C456" t="s">
        <v>29</v>
      </c>
      <c r="D456" t="s">
        <v>148</v>
      </c>
      <c r="E456" t="s">
        <v>175</v>
      </c>
      <c r="F456" t="s">
        <v>139</v>
      </c>
      <c r="G456" s="12" t="s">
        <v>153</v>
      </c>
      <c r="H456" s="12" t="s">
        <v>141</v>
      </c>
      <c r="I456" s="12" t="s">
        <v>142</v>
      </c>
      <c r="J456" s="12"/>
      <c r="K456" s="4">
        <v>2</v>
      </c>
      <c r="L456" s="23">
        <v>1269</v>
      </c>
      <c r="M456" s="23">
        <v>1304</v>
      </c>
      <c r="N456" s="24">
        <v>1328</v>
      </c>
      <c r="O456" s="23">
        <v>1341</v>
      </c>
      <c r="P456" s="23">
        <v>1341</v>
      </c>
      <c r="Q456" s="23">
        <v>1341</v>
      </c>
      <c r="R456" s="23"/>
      <c r="Z456" s="26"/>
      <c r="AA456" s="26"/>
      <c r="AB456" s="26"/>
      <c r="AC456" s="26"/>
      <c r="AD456" s="26"/>
    </row>
    <row r="457" spans="3:30" x14ac:dyDescent="0.35">
      <c r="C457" t="s">
        <v>29</v>
      </c>
      <c r="D457" t="s">
        <v>148</v>
      </c>
      <c r="E457" t="s">
        <v>175</v>
      </c>
      <c r="F457" t="s">
        <v>139</v>
      </c>
      <c r="G457" s="12" t="s">
        <v>153</v>
      </c>
      <c r="H457" s="12" t="s">
        <v>141</v>
      </c>
      <c r="I457" s="12" t="s">
        <v>142</v>
      </c>
      <c r="J457" s="12"/>
      <c r="K457" s="4">
        <v>3</v>
      </c>
      <c r="L457" s="23">
        <v>1602</v>
      </c>
      <c r="M457" s="23">
        <v>1645</v>
      </c>
      <c r="N457" s="24">
        <v>1674</v>
      </c>
      <c r="O457" s="23">
        <v>1692</v>
      </c>
      <c r="P457" s="23">
        <v>1692</v>
      </c>
      <c r="Q457" s="23">
        <v>1692</v>
      </c>
      <c r="R457" s="23"/>
      <c r="Z457" s="26"/>
      <c r="AA457" s="26"/>
      <c r="AB457" s="26"/>
      <c r="AC457" s="26"/>
      <c r="AD457" s="26"/>
    </row>
    <row r="458" spans="3:30" x14ac:dyDescent="0.35">
      <c r="C458" t="s">
        <v>29</v>
      </c>
      <c r="D458" t="s">
        <v>148</v>
      </c>
      <c r="E458" t="s">
        <v>175</v>
      </c>
      <c r="F458" t="s">
        <v>139</v>
      </c>
      <c r="G458" s="12" t="s">
        <v>153</v>
      </c>
      <c r="H458" s="12" t="s">
        <v>141</v>
      </c>
      <c r="I458" s="12" t="s">
        <v>142</v>
      </c>
      <c r="J458" s="12"/>
      <c r="K458" s="4">
        <v>4</v>
      </c>
      <c r="L458" s="23">
        <v>1935</v>
      </c>
      <c r="M458" s="23">
        <v>1985</v>
      </c>
      <c r="N458" s="24">
        <v>2020</v>
      </c>
      <c r="O458" s="23">
        <v>2042</v>
      </c>
      <c r="P458" s="23">
        <v>2042</v>
      </c>
      <c r="Q458" s="23">
        <v>2042</v>
      </c>
      <c r="R458" s="23"/>
      <c r="Z458" s="26"/>
      <c r="AA458" s="26"/>
      <c r="AB458" s="26"/>
      <c r="AC458" s="26"/>
      <c r="AD458" s="26"/>
    </row>
    <row r="459" spans="3:30" x14ac:dyDescent="0.35">
      <c r="C459" t="s">
        <v>29</v>
      </c>
      <c r="D459" t="s">
        <v>148</v>
      </c>
      <c r="E459" t="s">
        <v>175</v>
      </c>
      <c r="F459" t="s">
        <v>139</v>
      </c>
      <c r="G459" s="12" t="s">
        <v>153</v>
      </c>
      <c r="H459" s="12" t="s">
        <v>141</v>
      </c>
      <c r="I459" s="12" t="s">
        <v>142</v>
      </c>
      <c r="J459" s="12"/>
      <c r="K459" s="4">
        <v>5</v>
      </c>
      <c r="L459" s="23">
        <v>2268</v>
      </c>
      <c r="M459" s="23">
        <v>2325</v>
      </c>
      <c r="N459" s="24">
        <v>2364</v>
      </c>
      <c r="O459" s="23">
        <v>2392</v>
      </c>
      <c r="P459" s="23">
        <v>2392</v>
      </c>
      <c r="Q459" s="23">
        <v>2392</v>
      </c>
      <c r="R459" s="23"/>
      <c r="Z459" s="26"/>
      <c r="AA459" s="26"/>
      <c r="AB459" s="26"/>
      <c r="AC459" s="26"/>
      <c r="AD459" s="26"/>
    </row>
    <row r="460" spans="3:30" x14ac:dyDescent="0.35">
      <c r="C460" t="s">
        <v>29</v>
      </c>
      <c r="D460" t="s">
        <v>148</v>
      </c>
      <c r="E460" t="s">
        <v>175</v>
      </c>
      <c r="F460" t="s">
        <v>139</v>
      </c>
      <c r="G460" s="12" t="s">
        <v>153</v>
      </c>
      <c r="H460" s="12" t="s">
        <v>141</v>
      </c>
      <c r="I460" s="12" t="s">
        <v>142</v>
      </c>
      <c r="J460" s="12"/>
      <c r="K460" s="4">
        <v>6</v>
      </c>
      <c r="L460" s="23">
        <v>2601</v>
      </c>
      <c r="M460" s="23">
        <v>2666</v>
      </c>
      <c r="N460" s="24">
        <v>2710</v>
      </c>
      <c r="O460" s="23">
        <v>2741</v>
      </c>
      <c r="P460" s="23">
        <v>2741</v>
      </c>
      <c r="Q460" s="23">
        <v>2741</v>
      </c>
      <c r="R460" s="23"/>
      <c r="Z460" s="26"/>
      <c r="AA460" s="26"/>
      <c r="AB460" s="26"/>
      <c r="AC460" s="26"/>
      <c r="AD460" s="26"/>
    </row>
    <row r="461" spans="3:30" x14ac:dyDescent="0.35">
      <c r="C461" t="s">
        <v>29</v>
      </c>
      <c r="D461" t="s">
        <v>148</v>
      </c>
      <c r="E461" t="s">
        <v>175</v>
      </c>
      <c r="F461" t="s">
        <v>139</v>
      </c>
      <c r="G461" s="12" t="s">
        <v>153</v>
      </c>
      <c r="H461" s="12" t="s">
        <v>141</v>
      </c>
      <c r="I461" s="12" t="s">
        <v>142</v>
      </c>
      <c r="J461" s="12"/>
      <c r="K461" s="4">
        <v>7</v>
      </c>
      <c r="L461" s="23">
        <v>2934</v>
      </c>
      <c r="M461" s="23">
        <v>3006</v>
      </c>
      <c r="N461" s="24">
        <v>3056</v>
      </c>
      <c r="O461" s="23">
        <v>3091</v>
      </c>
      <c r="P461" s="23">
        <v>3091</v>
      </c>
      <c r="Q461" s="23">
        <v>3091</v>
      </c>
      <c r="R461" s="23"/>
      <c r="Z461" s="26"/>
      <c r="AA461" s="26"/>
      <c r="AB461" s="26"/>
      <c r="AC461" s="26"/>
      <c r="AD461" s="26"/>
    </row>
    <row r="462" spans="3:30" x14ac:dyDescent="0.35">
      <c r="C462" t="s">
        <v>29</v>
      </c>
      <c r="D462" t="s">
        <v>148</v>
      </c>
      <c r="E462" t="s">
        <v>175</v>
      </c>
      <c r="F462" t="s">
        <v>139</v>
      </c>
      <c r="G462" s="12" t="s">
        <v>153</v>
      </c>
      <c r="H462" s="12" t="s">
        <v>141</v>
      </c>
      <c r="I462" s="12" t="s">
        <v>142</v>
      </c>
      <c r="J462" s="12"/>
      <c r="K462" s="4">
        <v>8</v>
      </c>
      <c r="L462" s="23">
        <v>3267</v>
      </c>
      <c r="M462" s="23">
        <v>3349</v>
      </c>
      <c r="N462" s="24">
        <v>3400</v>
      </c>
      <c r="O462" s="23">
        <v>3441</v>
      </c>
      <c r="P462" s="23">
        <v>3441</v>
      </c>
      <c r="Q462" s="23">
        <v>3441</v>
      </c>
      <c r="R462" s="23"/>
      <c r="Z462" s="26"/>
      <c r="AA462" s="26"/>
      <c r="AB462" s="26"/>
      <c r="AC462" s="26"/>
      <c r="AD462" s="26"/>
    </row>
    <row r="463" spans="3:30" x14ac:dyDescent="0.35">
      <c r="C463" t="s">
        <v>29</v>
      </c>
      <c r="D463" t="s">
        <v>147</v>
      </c>
      <c r="E463" t="s">
        <v>160</v>
      </c>
      <c r="F463" t="s">
        <v>139</v>
      </c>
      <c r="G463" s="12" t="s">
        <v>153</v>
      </c>
      <c r="H463" s="12" t="s">
        <v>141</v>
      </c>
      <c r="I463" s="12" t="s">
        <v>176</v>
      </c>
      <c r="J463" s="12"/>
      <c r="K463" s="4">
        <v>1</v>
      </c>
      <c r="L463" s="23">
        <v>170</v>
      </c>
      <c r="M463" s="23">
        <v>175</v>
      </c>
      <c r="N463" s="24">
        <v>179</v>
      </c>
      <c r="O463" s="23">
        <v>180</v>
      </c>
      <c r="P463" s="23">
        <v>180</v>
      </c>
      <c r="Q463" s="23">
        <v>180</v>
      </c>
      <c r="R463" s="23"/>
      <c r="Z463" s="26"/>
      <c r="AA463" s="26"/>
      <c r="AB463" s="26"/>
      <c r="AC463" s="26"/>
      <c r="AD463" s="26"/>
    </row>
    <row r="464" spans="3:30" x14ac:dyDescent="0.35">
      <c r="C464" t="s">
        <v>29</v>
      </c>
      <c r="D464" t="s">
        <v>147</v>
      </c>
      <c r="E464" t="s">
        <v>160</v>
      </c>
      <c r="F464" t="s">
        <v>139</v>
      </c>
      <c r="G464" s="12" t="s">
        <v>153</v>
      </c>
      <c r="H464" s="12" t="s">
        <v>141</v>
      </c>
      <c r="I464" s="12" t="s">
        <v>176</v>
      </c>
      <c r="J464" s="12"/>
      <c r="K464" s="4">
        <v>2</v>
      </c>
      <c r="L464" s="23">
        <v>231</v>
      </c>
      <c r="M464" s="23">
        <v>237</v>
      </c>
      <c r="N464" s="24">
        <v>242</v>
      </c>
      <c r="O464" s="23">
        <v>244</v>
      </c>
      <c r="P464" s="23">
        <v>244</v>
      </c>
      <c r="Q464" s="23">
        <v>244</v>
      </c>
      <c r="R464" s="23"/>
      <c r="Z464" s="26"/>
      <c r="AA464" s="26"/>
      <c r="AB464" s="26"/>
      <c r="AC464" s="26"/>
      <c r="AD464" s="26"/>
    </row>
    <row r="465" spans="3:30" x14ac:dyDescent="0.35">
      <c r="C465" t="s">
        <v>29</v>
      </c>
      <c r="D465" t="s">
        <v>147</v>
      </c>
      <c r="E465" t="s">
        <v>160</v>
      </c>
      <c r="F465" t="s">
        <v>139</v>
      </c>
      <c r="G465" s="12" t="s">
        <v>153</v>
      </c>
      <c r="H465" s="12" t="s">
        <v>141</v>
      </c>
      <c r="I465" s="12" t="s">
        <v>176</v>
      </c>
      <c r="J465" s="12"/>
      <c r="K465" s="4">
        <v>3</v>
      </c>
      <c r="L465" s="23">
        <v>292</v>
      </c>
      <c r="M465" s="23">
        <v>299</v>
      </c>
      <c r="N465" s="24">
        <v>305</v>
      </c>
      <c r="O465" s="23">
        <v>308</v>
      </c>
      <c r="P465" s="23">
        <v>308</v>
      </c>
      <c r="Q465" s="23">
        <v>308</v>
      </c>
      <c r="R465" s="23"/>
      <c r="Z465" s="26"/>
      <c r="AA465" s="26"/>
      <c r="AB465" s="26"/>
      <c r="AC465" s="26"/>
      <c r="AD465" s="26"/>
    </row>
    <row r="466" spans="3:30" x14ac:dyDescent="0.35">
      <c r="C466" t="s">
        <v>29</v>
      </c>
      <c r="D466" t="s">
        <v>147</v>
      </c>
      <c r="E466" t="s">
        <v>160</v>
      </c>
      <c r="F466" t="s">
        <v>139</v>
      </c>
      <c r="G466" s="12" t="s">
        <v>153</v>
      </c>
      <c r="H466" s="12" t="s">
        <v>141</v>
      </c>
      <c r="I466" s="12" t="s">
        <v>176</v>
      </c>
      <c r="J466" s="12"/>
      <c r="K466" s="4">
        <v>4</v>
      </c>
      <c r="L466" s="23">
        <v>352</v>
      </c>
      <c r="M466" s="23">
        <v>361</v>
      </c>
      <c r="N466" s="24">
        <v>368</v>
      </c>
      <c r="O466" s="23">
        <v>372</v>
      </c>
      <c r="P466" s="23">
        <v>372</v>
      </c>
      <c r="Q466" s="23">
        <v>372</v>
      </c>
      <c r="R466" s="23"/>
      <c r="Z466" s="26"/>
      <c r="AA466" s="26"/>
      <c r="AB466" s="26"/>
      <c r="AC466" s="26"/>
      <c r="AD466" s="26"/>
    </row>
    <row r="467" spans="3:30" x14ac:dyDescent="0.35">
      <c r="C467" t="s">
        <v>29</v>
      </c>
      <c r="D467" t="s">
        <v>147</v>
      </c>
      <c r="E467" t="s">
        <v>160</v>
      </c>
      <c r="F467" t="s">
        <v>139</v>
      </c>
      <c r="G467" s="12" t="s">
        <v>153</v>
      </c>
      <c r="H467" s="12" t="s">
        <v>141</v>
      </c>
      <c r="I467" s="12" t="s">
        <v>176</v>
      </c>
      <c r="J467" s="12"/>
      <c r="K467" s="4">
        <v>5</v>
      </c>
      <c r="L467" s="23">
        <v>413</v>
      </c>
      <c r="M467" s="23">
        <v>423</v>
      </c>
      <c r="N467" s="24">
        <v>430</v>
      </c>
      <c r="O467" s="23">
        <v>435</v>
      </c>
      <c r="P467" s="23">
        <v>435</v>
      </c>
      <c r="Q467" s="23">
        <v>435</v>
      </c>
      <c r="R467" s="23"/>
      <c r="Z467" s="26"/>
      <c r="AA467" s="26"/>
      <c r="AB467" s="26"/>
      <c r="AC467" s="26"/>
      <c r="AD467" s="26"/>
    </row>
    <row r="468" spans="3:30" x14ac:dyDescent="0.35">
      <c r="C468" t="s">
        <v>29</v>
      </c>
      <c r="D468" t="s">
        <v>147</v>
      </c>
      <c r="E468" t="s">
        <v>160</v>
      </c>
      <c r="F468" t="s">
        <v>139</v>
      </c>
      <c r="G468" s="12" t="s">
        <v>153</v>
      </c>
      <c r="H468" s="12" t="s">
        <v>141</v>
      </c>
      <c r="I468" s="12" t="s">
        <v>176</v>
      </c>
      <c r="J468" s="12"/>
      <c r="K468" s="4">
        <v>6</v>
      </c>
      <c r="L468" s="23">
        <v>474</v>
      </c>
      <c r="M468" s="23">
        <v>485</v>
      </c>
      <c r="N468" s="24">
        <v>493</v>
      </c>
      <c r="O468" s="23">
        <v>499</v>
      </c>
      <c r="P468" s="23">
        <v>499</v>
      </c>
      <c r="Q468" s="23">
        <v>499</v>
      </c>
      <c r="R468" s="23"/>
      <c r="Z468" s="26"/>
      <c r="AA468" s="26"/>
      <c r="AB468" s="26"/>
      <c r="AC468" s="26"/>
      <c r="AD468" s="26"/>
    </row>
    <row r="469" spans="3:30" x14ac:dyDescent="0.35">
      <c r="C469" t="s">
        <v>29</v>
      </c>
      <c r="D469" t="s">
        <v>147</v>
      </c>
      <c r="E469" t="s">
        <v>160</v>
      </c>
      <c r="F469" t="s">
        <v>139</v>
      </c>
      <c r="G469" s="12" t="s">
        <v>153</v>
      </c>
      <c r="H469" s="12" t="s">
        <v>141</v>
      </c>
      <c r="I469" s="12" t="s">
        <v>176</v>
      </c>
      <c r="J469" s="12"/>
      <c r="K469" s="4">
        <v>7</v>
      </c>
      <c r="L469" s="23">
        <v>534</v>
      </c>
      <c r="M469" s="23">
        <v>547</v>
      </c>
      <c r="N469" s="24">
        <v>557</v>
      </c>
      <c r="O469" s="23">
        <v>563</v>
      </c>
      <c r="P469" s="23">
        <v>563</v>
      </c>
      <c r="Q469" s="23">
        <v>563</v>
      </c>
      <c r="R469" s="23"/>
      <c r="Z469" s="26"/>
      <c r="AA469" s="26"/>
      <c r="AB469" s="26"/>
      <c r="AC469" s="26"/>
      <c r="AD469" s="26"/>
    </row>
    <row r="470" spans="3:30" x14ac:dyDescent="0.35">
      <c r="C470" t="s">
        <v>29</v>
      </c>
      <c r="D470" t="s">
        <v>147</v>
      </c>
      <c r="E470" t="s">
        <v>160</v>
      </c>
      <c r="F470" t="s">
        <v>139</v>
      </c>
      <c r="G470" s="12" t="s">
        <v>153</v>
      </c>
      <c r="H470" s="12" t="s">
        <v>141</v>
      </c>
      <c r="I470" s="12" t="s">
        <v>176</v>
      </c>
      <c r="J470" s="12"/>
      <c r="K470" s="4">
        <v>8</v>
      </c>
      <c r="L470" s="23">
        <v>595</v>
      </c>
      <c r="M470" s="23">
        <v>610</v>
      </c>
      <c r="N470" s="24">
        <v>619</v>
      </c>
      <c r="O470" s="23">
        <v>638</v>
      </c>
      <c r="P470" s="23">
        <v>638</v>
      </c>
      <c r="Q470" s="23">
        <v>638</v>
      </c>
      <c r="R470" s="23"/>
      <c r="Z470" s="26"/>
      <c r="AA470" s="26"/>
      <c r="AB470" s="26"/>
      <c r="AC470" s="26"/>
      <c r="AD470" s="26"/>
    </row>
    <row r="471" spans="3:30" x14ac:dyDescent="0.35">
      <c r="C471" t="s">
        <v>30</v>
      </c>
      <c r="D471" t="s">
        <v>137</v>
      </c>
      <c r="E471" t="s">
        <v>152</v>
      </c>
      <c r="F471" t="s">
        <v>139</v>
      </c>
      <c r="G471" s="12" t="s">
        <v>153</v>
      </c>
      <c r="H471" s="12" t="s">
        <v>141</v>
      </c>
      <c r="I471" s="12"/>
      <c r="J471" s="12" t="s">
        <v>142</v>
      </c>
      <c r="K471" s="4">
        <v>1</v>
      </c>
      <c r="L471" s="23">
        <v>696</v>
      </c>
      <c r="M471" s="23">
        <v>696</v>
      </c>
      <c r="N471" s="24">
        <v>696</v>
      </c>
      <c r="O471" s="23">
        <v>976</v>
      </c>
      <c r="P471" s="23">
        <v>976</v>
      </c>
      <c r="Q471" s="23">
        <v>976</v>
      </c>
      <c r="R471" s="23"/>
      <c r="S471" s="4">
        <v>2019</v>
      </c>
      <c r="T471" s="4">
        <v>2020</v>
      </c>
      <c r="U471" s="15" t="s">
        <v>177</v>
      </c>
      <c r="Z471" s="26"/>
      <c r="AA471" s="26"/>
      <c r="AB471" s="26"/>
      <c r="AC471" s="26"/>
      <c r="AD471" s="26"/>
    </row>
    <row r="472" spans="3:30" x14ac:dyDescent="0.35">
      <c r="C472" t="s">
        <v>30</v>
      </c>
      <c r="D472" t="s">
        <v>137</v>
      </c>
      <c r="E472" t="s">
        <v>152</v>
      </c>
      <c r="F472" t="s">
        <v>139</v>
      </c>
      <c r="G472" s="12" t="s">
        <v>153</v>
      </c>
      <c r="H472" s="12" t="s">
        <v>141</v>
      </c>
      <c r="I472" s="12"/>
      <c r="J472" s="12" t="s">
        <v>142</v>
      </c>
      <c r="K472" s="4">
        <v>2</v>
      </c>
      <c r="L472" s="23">
        <v>896</v>
      </c>
      <c r="M472" s="23">
        <v>896</v>
      </c>
      <c r="N472" s="24">
        <v>896</v>
      </c>
      <c r="O472" s="23">
        <v>1307</v>
      </c>
      <c r="P472" s="23">
        <v>1307</v>
      </c>
      <c r="Q472" s="23">
        <v>1307</v>
      </c>
      <c r="R472" s="23"/>
      <c r="T472" s="4" t="s">
        <v>178</v>
      </c>
      <c r="Z472" s="26"/>
      <c r="AA472" s="26"/>
      <c r="AB472" s="26"/>
      <c r="AC472" s="26"/>
      <c r="AD472" s="26"/>
    </row>
    <row r="473" spans="3:30" x14ac:dyDescent="0.35">
      <c r="C473" t="s">
        <v>30</v>
      </c>
      <c r="D473" t="s">
        <v>137</v>
      </c>
      <c r="E473" t="s">
        <v>152</v>
      </c>
      <c r="F473" t="s">
        <v>139</v>
      </c>
      <c r="G473" s="12" t="s">
        <v>153</v>
      </c>
      <c r="H473" s="12" t="s">
        <v>141</v>
      </c>
      <c r="I473" s="12"/>
      <c r="J473" s="12" t="s">
        <v>142</v>
      </c>
      <c r="K473" s="4">
        <v>3</v>
      </c>
      <c r="L473" s="23">
        <v>1066</v>
      </c>
      <c r="M473" s="23">
        <v>1066</v>
      </c>
      <c r="N473" s="24">
        <v>1066</v>
      </c>
      <c r="O473" s="23">
        <v>1549</v>
      </c>
      <c r="P473" s="23">
        <v>1549</v>
      </c>
      <c r="Q473" s="23">
        <v>1549</v>
      </c>
      <c r="R473" s="23"/>
      <c r="T473" s="4" t="s">
        <v>178</v>
      </c>
      <c r="Z473" s="26"/>
      <c r="AA473" s="26"/>
      <c r="AB473" s="26"/>
      <c r="AC473" s="26"/>
      <c r="AD473" s="26"/>
    </row>
    <row r="474" spans="3:30" x14ac:dyDescent="0.35">
      <c r="C474" t="s">
        <v>30</v>
      </c>
      <c r="D474" t="s">
        <v>137</v>
      </c>
      <c r="E474" t="s">
        <v>152</v>
      </c>
      <c r="F474" t="s">
        <v>139</v>
      </c>
      <c r="G474" s="12" t="s">
        <v>153</v>
      </c>
      <c r="H474" s="12" t="s">
        <v>141</v>
      </c>
      <c r="I474" s="12"/>
      <c r="J474" s="12" t="s">
        <v>142</v>
      </c>
      <c r="K474" s="4">
        <v>4</v>
      </c>
      <c r="L474" s="23">
        <v>1211</v>
      </c>
      <c r="M474" s="23">
        <v>1211</v>
      </c>
      <c r="N474" s="24">
        <v>1211</v>
      </c>
      <c r="O474" s="23">
        <v>1752</v>
      </c>
      <c r="P474" s="23">
        <v>1752</v>
      </c>
      <c r="Q474" s="23">
        <v>1752</v>
      </c>
      <c r="R474" s="23"/>
      <c r="T474" s="4" t="s">
        <v>178</v>
      </c>
      <c r="Z474" s="26"/>
      <c r="AA474" s="26"/>
      <c r="AB474" s="26"/>
      <c r="AC474" s="26"/>
      <c r="AD474" s="26"/>
    </row>
    <row r="475" spans="3:30" x14ac:dyDescent="0.35">
      <c r="C475" t="s">
        <v>30</v>
      </c>
      <c r="D475" t="s">
        <v>137</v>
      </c>
      <c r="E475" t="s">
        <v>152</v>
      </c>
      <c r="F475" t="s">
        <v>139</v>
      </c>
      <c r="G475" s="12" t="s">
        <v>153</v>
      </c>
      <c r="H475" s="12" t="s">
        <v>141</v>
      </c>
      <c r="I475" s="12"/>
      <c r="J475" s="12" t="s">
        <v>142</v>
      </c>
      <c r="K475" s="4">
        <v>5</v>
      </c>
      <c r="L475" s="23">
        <v>1335</v>
      </c>
      <c r="M475" s="23">
        <v>1335</v>
      </c>
      <c r="N475" s="24">
        <v>1335</v>
      </c>
      <c r="O475" s="23">
        <v>1885</v>
      </c>
      <c r="P475" s="23">
        <v>1885</v>
      </c>
      <c r="Q475" s="23">
        <v>1885</v>
      </c>
      <c r="R475" s="23"/>
      <c r="T475" s="4" t="s">
        <v>178</v>
      </c>
      <c r="Z475" s="26"/>
      <c r="AA475" s="26"/>
      <c r="AB475" s="26"/>
      <c r="AC475" s="26"/>
      <c r="AD475" s="26"/>
    </row>
    <row r="476" spans="3:30" x14ac:dyDescent="0.35">
      <c r="C476" t="s">
        <v>30</v>
      </c>
      <c r="D476" t="s">
        <v>137</v>
      </c>
      <c r="E476" t="s">
        <v>152</v>
      </c>
      <c r="F476" t="s">
        <v>139</v>
      </c>
      <c r="G476" s="12" t="s">
        <v>153</v>
      </c>
      <c r="H476" s="12" t="s">
        <v>141</v>
      </c>
      <c r="I476" s="12"/>
      <c r="J476" s="12" t="s">
        <v>142</v>
      </c>
      <c r="K476" s="4">
        <v>6</v>
      </c>
      <c r="L476" s="23">
        <v>1441</v>
      </c>
      <c r="M476" s="23">
        <v>1441</v>
      </c>
      <c r="N476" s="24">
        <v>1441</v>
      </c>
      <c r="O476" s="23">
        <v>2009</v>
      </c>
      <c r="P476" s="23">
        <v>2009</v>
      </c>
      <c r="Q476" s="23">
        <v>2009</v>
      </c>
      <c r="R476" s="23"/>
      <c r="T476" s="4" t="s">
        <v>178</v>
      </c>
      <c r="Z476" s="26"/>
      <c r="AA476" s="26"/>
      <c r="AB476" s="26"/>
      <c r="AC476" s="26"/>
      <c r="AD476" s="26"/>
    </row>
    <row r="477" spans="3:30" x14ac:dyDescent="0.35">
      <c r="C477" t="s">
        <v>30</v>
      </c>
      <c r="D477" t="s">
        <v>137</v>
      </c>
      <c r="E477" t="s">
        <v>152</v>
      </c>
      <c r="F477" t="s">
        <v>139</v>
      </c>
      <c r="G477" s="12" t="s">
        <v>153</v>
      </c>
      <c r="H477" s="12" t="s">
        <v>141</v>
      </c>
      <c r="I477" s="12"/>
      <c r="J477" s="12" t="s">
        <v>142</v>
      </c>
      <c r="K477" s="4">
        <v>7</v>
      </c>
      <c r="L477" s="23">
        <v>1534</v>
      </c>
      <c r="M477" s="23">
        <v>1534</v>
      </c>
      <c r="N477" s="24">
        <v>1534</v>
      </c>
      <c r="O477" s="23">
        <v>2121</v>
      </c>
      <c r="P477" s="23">
        <v>2121</v>
      </c>
      <c r="Q477" s="23">
        <v>2121</v>
      </c>
      <c r="R477" s="23"/>
      <c r="T477" s="4"/>
      <c r="Z477" s="26"/>
      <c r="AA477" s="26"/>
      <c r="AB477" s="26"/>
      <c r="AC477" s="26"/>
      <c r="AD477" s="26"/>
    </row>
    <row r="478" spans="3:30" x14ac:dyDescent="0.35">
      <c r="C478" t="s">
        <v>30</v>
      </c>
      <c r="D478" t="s">
        <v>137</v>
      </c>
      <c r="E478" t="s">
        <v>152</v>
      </c>
      <c r="F478" t="s">
        <v>139</v>
      </c>
      <c r="G478" s="12" t="s">
        <v>153</v>
      </c>
      <c r="H478" s="12" t="s">
        <v>141</v>
      </c>
      <c r="I478" s="12"/>
      <c r="J478" s="12" t="s">
        <v>142</v>
      </c>
      <c r="K478" s="4">
        <v>8</v>
      </c>
      <c r="L478" s="23">
        <v>1617</v>
      </c>
      <c r="M478" s="23">
        <v>1617</v>
      </c>
      <c r="N478" s="24">
        <v>1617</v>
      </c>
      <c r="O478" s="23">
        <v>2224</v>
      </c>
      <c r="P478" s="23">
        <v>2224</v>
      </c>
      <c r="Q478" s="23">
        <v>2224</v>
      </c>
      <c r="R478" s="23"/>
      <c r="T478" s="4"/>
      <c r="Z478" s="26"/>
      <c r="AA478" s="26"/>
      <c r="AB478" s="26"/>
      <c r="AC478" s="26"/>
      <c r="AD478" s="26"/>
    </row>
    <row r="479" spans="3:30" x14ac:dyDescent="0.35">
      <c r="C479" t="s">
        <v>30</v>
      </c>
      <c r="D479" t="s">
        <v>143</v>
      </c>
      <c r="E479" t="s">
        <v>152</v>
      </c>
      <c r="F479" t="s">
        <v>139</v>
      </c>
      <c r="G479" s="12" t="s">
        <v>153</v>
      </c>
      <c r="H479" s="12" t="s">
        <v>141</v>
      </c>
      <c r="I479" s="12"/>
      <c r="J479" s="12" t="s">
        <v>142</v>
      </c>
      <c r="K479" s="4">
        <v>1</v>
      </c>
      <c r="L479" s="23">
        <v>696</v>
      </c>
      <c r="M479" s="23">
        <v>696</v>
      </c>
      <c r="N479" s="24">
        <v>696</v>
      </c>
      <c r="O479" s="23">
        <v>976</v>
      </c>
      <c r="P479" s="23">
        <v>976</v>
      </c>
      <c r="Q479" s="23">
        <v>976</v>
      </c>
      <c r="R479" s="23"/>
      <c r="T479" s="4"/>
      <c r="Z479" s="26"/>
      <c r="AA479" s="26"/>
      <c r="AB479" s="26"/>
      <c r="AC479" s="26"/>
      <c r="AD479" s="26"/>
    </row>
    <row r="480" spans="3:30" x14ac:dyDescent="0.35">
      <c r="C480" t="s">
        <v>30</v>
      </c>
      <c r="D480" t="s">
        <v>143</v>
      </c>
      <c r="E480" t="s">
        <v>152</v>
      </c>
      <c r="F480" t="s">
        <v>139</v>
      </c>
      <c r="G480" s="12" t="s">
        <v>153</v>
      </c>
      <c r="H480" s="12" t="s">
        <v>141</v>
      </c>
      <c r="I480" s="12"/>
      <c r="J480" s="12" t="s">
        <v>142</v>
      </c>
      <c r="K480" s="4">
        <v>2</v>
      </c>
      <c r="L480" s="23">
        <v>896</v>
      </c>
      <c r="M480" s="23">
        <v>896</v>
      </c>
      <c r="N480" s="24">
        <v>896</v>
      </c>
      <c r="O480" s="23">
        <v>1307</v>
      </c>
      <c r="P480" s="23">
        <v>1307</v>
      </c>
      <c r="Q480" s="23">
        <v>1307</v>
      </c>
      <c r="R480" s="23"/>
      <c r="T480" s="4"/>
      <c r="Z480" s="26"/>
      <c r="AA480" s="26"/>
      <c r="AB480" s="26"/>
      <c r="AC480" s="26"/>
      <c r="AD480" s="26"/>
    </row>
    <row r="481" spans="3:30" x14ac:dyDescent="0.35">
      <c r="C481" t="s">
        <v>30</v>
      </c>
      <c r="D481" t="s">
        <v>143</v>
      </c>
      <c r="E481" t="s">
        <v>152</v>
      </c>
      <c r="F481" t="s">
        <v>139</v>
      </c>
      <c r="G481" s="12" t="s">
        <v>153</v>
      </c>
      <c r="H481" s="12" t="s">
        <v>141</v>
      </c>
      <c r="I481" s="12"/>
      <c r="J481" s="12" t="s">
        <v>142</v>
      </c>
      <c r="K481" s="4">
        <v>3</v>
      </c>
      <c r="L481" s="23">
        <v>1066</v>
      </c>
      <c r="M481" s="23">
        <v>1066</v>
      </c>
      <c r="N481" s="24">
        <v>1066</v>
      </c>
      <c r="O481" s="23">
        <v>1549</v>
      </c>
      <c r="P481" s="23">
        <v>1549</v>
      </c>
      <c r="Q481" s="23">
        <v>1549</v>
      </c>
      <c r="R481" s="23"/>
      <c r="T481" s="4"/>
      <c r="Z481" s="26"/>
      <c r="AA481" s="26"/>
      <c r="AB481" s="26"/>
      <c r="AC481" s="26"/>
      <c r="AD481" s="26"/>
    </row>
    <row r="482" spans="3:30" x14ac:dyDescent="0.35">
      <c r="C482" t="s">
        <v>30</v>
      </c>
      <c r="D482" t="s">
        <v>143</v>
      </c>
      <c r="E482" t="s">
        <v>152</v>
      </c>
      <c r="F482" t="s">
        <v>139</v>
      </c>
      <c r="G482" s="12" t="s">
        <v>153</v>
      </c>
      <c r="H482" s="12" t="s">
        <v>141</v>
      </c>
      <c r="I482" s="12"/>
      <c r="J482" s="12" t="s">
        <v>142</v>
      </c>
      <c r="K482" s="4">
        <v>4</v>
      </c>
      <c r="L482" s="23">
        <v>1211</v>
      </c>
      <c r="M482" s="23">
        <v>1211</v>
      </c>
      <c r="N482" s="24">
        <v>1211</v>
      </c>
      <c r="O482" s="23">
        <v>1752</v>
      </c>
      <c r="P482" s="23">
        <v>1752</v>
      </c>
      <c r="Q482" s="23">
        <v>1752</v>
      </c>
      <c r="R482" s="23"/>
      <c r="T482" s="4"/>
      <c r="Z482" s="26"/>
      <c r="AA482" s="26"/>
      <c r="AB482" s="26"/>
      <c r="AC482" s="26"/>
      <c r="AD482" s="26"/>
    </row>
    <row r="483" spans="3:30" x14ac:dyDescent="0.35">
      <c r="C483" t="s">
        <v>30</v>
      </c>
      <c r="D483" t="s">
        <v>143</v>
      </c>
      <c r="E483" t="s">
        <v>152</v>
      </c>
      <c r="F483" t="s">
        <v>139</v>
      </c>
      <c r="G483" s="12" t="s">
        <v>153</v>
      </c>
      <c r="H483" s="12" t="s">
        <v>141</v>
      </c>
      <c r="I483" s="12"/>
      <c r="J483" s="12" t="s">
        <v>142</v>
      </c>
      <c r="K483" s="4">
        <v>5</v>
      </c>
      <c r="L483" s="23">
        <v>1335</v>
      </c>
      <c r="M483" s="23">
        <v>1335</v>
      </c>
      <c r="N483" s="24">
        <v>1335</v>
      </c>
      <c r="O483" s="23">
        <v>1885</v>
      </c>
      <c r="P483" s="23">
        <v>1885</v>
      </c>
      <c r="Q483" s="23">
        <v>1885</v>
      </c>
      <c r="R483" s="23"/>
      <c r="T483" s="4"/>
      <c r="Z483" s="26"/>
      <c r="AA483" s="26"/>
      <c r="AB483" s="26"/>
      <c r="AC483" s="26"/>
      <c r="AD483" s="26"/>
    </row>
    <row r="484" spans="3:30" x14ac:dyDescent="0.35">
      <c r="C484" t="s">
        <v>30</v>
      </c>
      <c r="D484" t="s">
        <v>143</v>
      </c>
      <c r="E484" t="s">
        <v>152</v>
      </c>
      <c r="F484" t="s">
        <v>139</v>
      </c>
      <c r="G484" s="12" t="s">
        <v>153</v>
      </c>
      <c r="H484" s="12" t="s">
        <v>141</v>
      </c>
      <c r="I484" s="12"/>
      <c r="J484" s="12" t="s">
        <v>142</v>
      </c>
      <c r="K484" s="4">
        <v>6</v>
      </c>
      <c r="L484" s="23">
        <v>1441</v>
      </c>
      <c r="M484" s="23">
        <v>1441</v>
      </c>
      <c r="N484" s="24">
        <v>1441</v>
      </c>
      <c r="O484" s="23">
        <v>2009</v>
      </c>
      <c r="P484" s="23">
        <v>2009</v>
      </c>
      <c r="Q484" s="23">
        <v>2009</v>
      </c>
      <c r="R484" s="23"/>
      <c r="T484" s="4"/>
      <c r="Z484" s="26"/>
      <c r="AA484" s="26"/>
      <c r="AB484" s="26"/>
      <c r="AC484" s="26"/>
      <c r="AD484" s="26"/>
    </row>
    <row r="485" spans="3:30" x14ac:dyDescent="0.35">
      <c r="C485" t="s">
        <v>30</v>
      </c>
      <c r="D485" t="s">
        <v>143</v>
      </c>
      <c r="E485" t="s">
        <v>152</v>
      </c>
      <c r="F485" t="s">
        <v>139</v>
      </c>
      <c r="G485" s="12" t="s">
        <v>153</v>
      </c>
      <c r="H485" s="12" t="s">
        <v>141</v>
      </c>
      <c r="I485" s="12"/>
      <c r="J485" s="12" t="s">
        <v>142</v>
      </c>
      <c r="K485" s="4">
        <v>7</v>
      </c>
      <c r="L485" s="23">
        <v>1534</v>
      </c>
      <c r="M485" s="23">
        <v>1534</v>
      </c>
      <c r="N485" s="24">
        <v>1534</v>
      </c>
      <c r="O485" s="23">
        <v>2121</v>
      </c>
      <c r="P485" s="23">
        <v>2121</v>
      </c>
      <c r="Q485" s="23">
        <v>2121</v>
      </c>
      <c r="R485" s="23"/>
      <c r="T485" s="4"/>
      <c r="Z485" s="26"/>
      <c r="AA485" s="26"/>
      <c r="AB485" s="26"/>
      <c r="AC485" s="26"/>
      <c r="AD485" s="26"/>
    </row>
    <row r="486" spans="3:30" x14ac:dyDescent="0.35">
      <c r="C486" t="s">
        <v>30</v>
      </c>
      <c r="D486" t="s">
        <v>143</v>
      </c>
      <c r="E486" t="s">
        <v>152</v>
      </c>
      <c r="F486" t="s">
        <v>139</v>
      </c>
      <c r="G486" s="12" t="s">
        <v>153</v>
      </c>
      <c r="H486" s="12" t="s">
        <v>141</v>
      </c>
      <c r="I486" s="12"/>
      <c r="J486" s="12" t="s">
        <v>142</v>
      </c>
      <c r="K486" s="4">
        <v>8</v>
      </c>
      <c r="L486" s="23">
        <v>1617</v>
      </c>
      <c r="M486" s="23">
        <v>1617</v>
      </c>
      <c r="N486" s="24">
        <v>1617</v>
      </c>
      <c r="O486" s="23">
        <v>2224</v>
      </c>
      <c r="P486" s="23">
        <v>2224</v>
      </c>
      <c r="Q486" s="23">
        <v>2224</v>
      </c>
      <c r="R486" s="23"/>
      <c r="T486" s="4"/>
      <c r="Z486" s="26"/>
      <c r="AA486" s="26"/>
      <c r="AB486" s="26"/>
      <c r="AC486" s="26"/>
      <c r="AD486" s="26"/>
    </row>
    <row r="487" spans="3:30" x14ac:dyDescent="0.35">
      <c r="C487" t="s">
        <v>30</v>
      </c>
      <c r="D487" t="s">
        <v>148</v>
      </c>
      <c r="E487" t="s">
        <v>152</v>
      </c>
      <c r="F487" t="s">
        <v>139</v>
      </c>
      <c r="G487" s="12" t="s">
        <v>153</v>
      </c>
      <c r="H487" s="12" t="s">
        <v>141</v>
      </c>
      <c r="I487" s="12"/>
      <c r="J487" s="12" t="s">
        <v>142</v>
      </c>
      <c r="K487" s="4">
        <v>1</v>
      </c>
      <c r="L487" s="23">
        <v>1288</v>
      </c>
      <c r="M487" s="23">
        <v>1288</v>
      </c>
      <c r="N487" s="24">
        <v>1288</v>
      </c>
      <c r="O487" s="23">
        <v>1806</v>
      </c>
      <c r="P487" s="23">
        <v>1806</v>
      </c>
      <c r="Q487" s="23">
        <v>1806</v>
      </c>
      <c r="R487" s="23"/>
      <c r="T487" s="4" t="s">
        <v>178</v>
      </c>
      <c r="Z487" s="26"/>
      <c r="AA487" s="26"/>
      <c r="AB487" s="26"/>
      <c r="AC487" s="26"/>
      <c r="AD487" s="26"/>
    </row>
    <row r="488" spans="3:30" x14ac:dyDescent="0.35">
      <c r="C488" t="s">
        <v>30</v>
      </c>
      <c r="D488" t="s">
        <v>148</v>
      </c>
      <c r="E488" t="s">
        <v>152</v>
      </c>
      <c r="F488" t="s">
        <v>139</v>
      </c>
      <c r="G488" s="12" t="s">
        <v>153</v>
      </c>
      <c r="H488" s="12" t="s">
        <v>141</v>
      </c>
      <c r="I488" s="12"/>
      <c r="J488" s="12" t="s">
        <v>142</v>
      </c>
      <c r="K488" s="4">
        <v>2</v>
      </c>
      <c r="L488" s="23">
        <v>1658</v>
      </c>
      <c r="M488" s="23">
        <v>1658</v>
      </c>
      <c r="N488" s="24">
        <v>1658</v>
      </c>
      <c r="O488" s="23">
        <v>2535</v>
      </c>
      <c r="P488" s="23">
        <v>2535</v>
      </c>
      <c r="Q488" s="23">
        <v>2535</v>
      </c>
      <c r="R488" s="23"/>
      <c r="T488" s="4" t="s">
        <v>178</v>
      </c>
      <c r="Z488" s="26"/>
      <c r="AA488" s="26"/>
      <c r="AB488" s="26"/>
      <c r="AC488" s="26"/>
      <c r="AD488" s="26"/>
    </row>
    <row r="489" spans="3:30" x14ac:dyDescent="0.35">
      <c r="C489" t="s">
        <v>30</v>
      </c>
      <c r="D489" t="s">
        <v>148</v>
      </c>
      <c r="E489" t="s">
        <v>152</v>
      </c>
      <c r="F489" t="s">
        <v>139</v>
      </c>
      <c r="G489" s="12" t="s">
        <v>153</v>
      </c>
      <c r="H489" s="12" t="s">
        <v>141</v>
      </c>
      <c r="I489" s="12"/>
      <c r="J489" s="12" t="s">
        <v>142</v>
      </c>
      <c r="K489" s="4">
        <v>3</v>
      </c>
      <c r="L489" s="23">
        <v>1972</v>
      </c>
      <c r="M489" s="23">
        <v>1972</v>
      </c>
      <c r="N489" s="24">
        <v>1972</v>
      </c>
      <c r="O489" s="23">
        <v>2866</v>
      </c>
      <c r="P489" s="23">
        <v>2866</v>
      </c>
      <c r="Q489" s="23">
        <v>2866</v>
      </c>
      <c r="R489" s="23"/>
      <c r="T489" s="4" t="s">
        <v>178</v>
      </c>
      <c r="V489" t="s">
        <v>179</v>
      </c>
      <c r="Z489" s="26"/>
      <c r="AA489" s="26"/>
      <c r="AB489" s="26"/>
      <c r="AC489" s="26"/>
      <c r="AD489" s="26"/>
    </row>
    <row r="490" spans="3:30" x14ac:dyDescent="0.35">
      <c r="C490" t="s">
        <v>30</v>
      </c>
      <c r="D490" t="s">
        <v>148</v>
      </c>
      <c r="E490" t="s">
        <v>152</v>
      </c>
      <c r="F490" t="s">
        <v>139</v>
      </c>
      <c r="G490" s="12" t="s">
        <v>153</v>
      </c>
      <c r="H490" s="12" t="s">
        <v>141</v>
      </c>
      <c r="I490" s="12"/>
      <c r="J490" s="12" t="s">
        <v>142</v>
      </c>
      <c r="K490" s="4">
        <v>4</v>
      </c>
      <c r="L490" s="23">
        <v>2240</v>
      </c>
      <c r="M490" s="23">
        <v>2240</v>
      </c>
      <c r="N490" s="24">
        <v>2240</v>
      </c>
      <c r="O490" s="23">
        <v>3241</v>
      </c>
      <c r="P490" s="23">
        <v>3241</v>
      </c>
      <c r="Q490" s="23">
        <v>3241</v>
      </c>
      <c r="R490" s="23"/>
      <c r="T490" s="4" t="s">
        <v>178</v>
      </c>
      <c r="V490" t="s">
        <v>180</v>
      </c>
      <c r="Z490" s="26"/>
      <c r="AA490" s="26"/>
      <c r="AB490" s="26"/>
      <c r="AC490" s="26"/>
      <c r="AD490" s="26"/>
    </row>
    <row r="491" spans="3:30" ht="15" thickBot="1" x14ac:dyDescent="0.4">
      <c r="C491" t="s">
        <v>30</v>
      </c>
      <c r="D491" t="s">
        <v>148</v>
      </c>
      <c r="E491" t="s">
        <v>152</v>
      </c>
      <c r="F491" t="s">
        <v>139</v>
      </c>
      <c r="G491" s="12" t="s">
        <v>153</v>
      </c>
      <c r="H491" s="12" t="s">
        <v>141</v>
      </c>
      <c r="I491" s="12"/>
      <c r="J491" s="12" t="s">
        <v>142</v>
      </c>
      <c r="K491" s="4">
        <v>5</v>
      </c>
      <c r="L491" s="23">
        <v>2470</v>
      </c>
      <c r="M491" s="23">
        <v>2470</v>
      </c>
      <c r="N491" s="24">
        <v>2470</v>
      </c>
      <c r="O491" s="23">
        <v>3487</v>
      </c>
      <c r="P491" s="23">
        <v>3487</v>
      </c>
      <c r="Q491" s="23">
        <v>3487</v>
      </c>
      <c r="R491" s="23"/>
      <c r="T491" s="4" t="s">
        <v>178</v>
      </c>
      <c r="V491" t="s">
        <v>181</v>
      </c>
      <c r="W491" t="s">
        <v>182</v>
      </c>
      <c r="X491" t="s">
        <v>183</v>
      </c>
      <c r="Z491" s="26"/>
      <c r="AA491" s="26"/>
      <c r="AB491" s="26"/>
      <c r="AC491" s="26"/>
      <c r="AD491" s="26"/>
    </row>
    <row r="492" spans="3:30" ht="15.5" thickBot="1" x14ac:dyDescent="0.4">
      <c r="C492" t="s">
        <v>30</v>
      </c>
      <c r="D492" t="s">
        <v>148</v>
      </c>
      <c r="E492" t="s">
        <v>152</v>
      </c>
      <c r="F492" t="s">
        <v>139</v>
      </c>
      <c r="G492" s="12" t="s">
        <v>153</v>
      </c>
      <c r="H492" s="12" t="s">
        <v>141</v>
      </c>
      <c r="I492" s="12"/>
      <c r="J492" s="12" t="s">
        <v>142</v>
      </c>
      <c r="K492" s="4">
        <v>6</v>
      </c>
      <c r="L492" s="23">
        <v>2666</v>
      </c>
      <c r="M492" s="23">
        <v>2666</v>
      </c>
      <c r="N492" s="24">
        <v>2666</v>
      </c>
      <c r="O492" s="23">
        <v>3717</v>
      </c>
      <c r="P492" s="23">
        <v>3717</v>
      </c>
      <c r="Q492" s="23">
        <v>3717</v>
      </c>
      <c r="R492" s="23"/>
      <c r="T492" s="4" t="s">
        <v>178</v>
      </c>
      <c r="U492" s="30">
        <v>1</v>
      </c>
      <c r="V492" s="31">
        <v>104</v>
      </c>
      <c r="W492" s="31">
        <v>126</v>
      </c>
      <c r="X492" s="32" t="s">
        <v>184</v>
      </c>
      <c r="Z492" s="26"/>
      <c r="AA492" s="26"/>
      <c r="AB492" s="26"/>
      <c r="AC492" s="26"/>
      <c r="AD492" s="26"/>
    </row>
    <row r="493" spans="3:30" ht="15.5" thickBot="1" x14ac:dyDescent="0.4">
      <c r="C493" t="s">
        <v>30</v>
      </c>
      <c r="D493" t="s">
        <v>148</v>
      </c>
      <c r="E493" t="s">
        <v>152</v>
      </c>
      <c r="F493" t="s">
        <v>139</v>
      </c>
      <c r="G493" s="12" t="s">
        <v>153</v>
      </c>
      <c r="H493" s="12" t="s">
        <v>141</v>
      </c>
      <c r="I493" s="12"/>
      <c r="J493" s="12" t="s">
        <v>142</v>
      </c>
      <c r="K493" s="4">
        <v>7</v>
      </c>
      <c r="L493" s="23">
        <v>2838</v>
      </c>
      <c r="M493" s="23">
        <v>2838</v>
      </c>
      <c r="N493" s="24">
        <v>2838</v>
      </c>
      <c r="O493" s="23">
        <v>3294</v>
      </c>
      <c r="P493" s="23">
        <v>3294</v>
      </c>
      <c r="Q493" s="23">
        <v>3294</v>
      </c>
      <c r="R493" s="23"/>
      <c r="T493" s="4"/>
      <c r="U493" s="33"/>
      <c r="V493" s="34"/>
      <c r="W493" s="34"/>
      <c r="X493" s="35"/>
      <c r="Z493" s="26"/>
      <c r="AA493" s="26"/>
      <c r="AB493" s="26"/>
      <c r="AC493" s="26"/>
      <c r="AD493" s="26"/>
    </row>
    <row r="494" spans="3:30" ht="15.5" thickBot="1" x14ac:dyDescent="0.4">
      <c r="C494" t="s">
        <v>30</v>
      </c>
      <c r="D494" t="s">
        <v>148</v>
      </c>
      <c r="E494" t="s">
        <v>152</v>
      </c>
      <c r="F494" t="s">
        <v>139</v>
      </c>
      <c r="G494" s="12" t="s">
        <v>153</v>
      </c>
      <c r="H494" s="12" t="s">
        <v>141</v>
      </c>
      <c r="I494" s="12"/>
      <c r="J494" s="12" t="s">
        <v>142</v>
      </c>
      <c r="K494" s="4">
        <v>8</v>
      </c>
      <c r="L494" s="23">
        <v>2991</v>
      </c>
      <c r="M494" s="23">
        <v>2991</v>
      </c>
      <c r="N494" s="24">
        <v>2991</v>
      </c>
      <c r="O494" s="23">
        <v>4114</v>
      </c>
      <c r="P494" s="23">
        <v>4114</v>
      </c>
      <c r="Q494" s="23">
        <v>4114</v>
      </c>
      <c r="R494" s="23"/>
      <c r="T494" s="4"/>
      <c r="U494" s="33"/>
      <c r="V494" s="34"/>
      <c r="W494" s="34"/>
      <c r="X494" s="35"/>
      <c r="Z494" s="26"/>
      <c r="AA494" s="26"/>
      <c r="AB494" s="26"/>
      <c r="AC494" s="26"/>
      <c r="AD494" s="26"/>
    </row>
    <row r="495" spans="3:30" ht="15.5" thickBot="1" x14ac:dyDescent="0.4">
      <c r="C495" t="s">
        <v>30</v>
      </c>
      <c r="D495" t="s">
        <v>147</v>
      </c>
      <c r="E495" t="s">
        <v>185</v>
      </c>
      <c r="F495" t="s">
        <v>139</v>
      </c>
      <c r="G495" s="12" t="s">
        <v>153</v>
      </c>
      <c r="H495" s="12" t="s">
        <v>141</v>
      </c>
      <c r="I495" s="12" t="s">
        <v>186</v>
      </c>
      <c r="J495" s="12" t="s">
        <v>142</v>
      </c>
      <c r="K495" s="4">
        <v>1</v>
      </c>
      <c r="L495" s="23">
        <v>95</v>
      </c>
      <c r="M495" s="23">
        <v>95</v>
      </c>
      <c r="N495" s="24">
        <v>203</v>
      </c>
      <c r="O495" s="23">
        <v>244</v>
      </c>
      <c r="P495" s="23">
        <v>244</v>
      </c>
      <c r="Q495" s="23">
        <v>244</v>
      </c>
      <c r="R495" s="23"/>
      <c r="U495" s="33">
        <v>2</v>
      </c>
      <c r="V495" s="34">
        <v>149</v>
      </c>
      <c r="W495" s="34">
        <v>262</v>
      </c>
      <c r="X495" s="36">
        <v>200</v>
      </c>
      <c r="Z495" s="26"/>
      <c r="AA495" s="26"/>
      <c r="AB495" s="26"/>
      <c r="AC495" s="26"/>
      <c r="AD495" s="26"/>
    </row>
    <row r="496" spans="3:30" ht="15.5" thickBot="1" x14ac:dyDescent="0.4">
      <c r="C496" t="s">
        <v>30</v>
      </c>
      <c r="D496" t="s">
        <v>147</v>
      </c>
      <c r="E496" t="s">
        <v>185</v>
      </c>
      <c r="F496" t="s">
        <v>139</v>
      </c>
      <c r="G496" s="12" t="s">
        <v>153</v>
      </c>
      <c r="H496" s="12" t="s">
        <v>141</v>
      </c>
      <c r="I496" s="12" t="s">
        <v>186</v>
      </c>
      <c r="J496" s="12" t="s">
        <v>142</v>
      </c>
      <c r="K496" s="4">
        <v>2</v>
      </c>
      <c r="L496" s="23">
        <v>142</v>
      </c>
      <c r="M496" s="23">
        <v>142</v>
      </c>
      <c r="N496" s="24">
        <v>215</v>
      </c>
      <c r="O496" s="23">
        <v>326.75</v>
      </c>
      <c r="P496" s="23">
        <v>326.75</v>
      </c>
      <c r="Q496" s="23">
        <v>326.75</v>
      </c>
      <c r="R496" s="23"/>
      <c r="U496" s="33">
        <v>3</v>
      </c>
      <c r="V496" s="34">
        <v>209</v>
      </c>
      <c r="W496" s="34">
        <v>303</v>
      </c>
      <c r="X496" s="36">
        <v>332</v>
      </c>
      <c r="Z496" s="26"/>
      <c r="AA496" s="26"/>
      <c r="AB496" s="26"/>
      <c r="AC496" s="26"/>
      <c r="AD496" s="26"/>
    </row>
    <row r="497" spans="3:30" ht="15.5" thickBot="1" x14ac:dyDescent="0.4">
      <c r="C497" t="s">
        <v>30</v>
      </c>
      <c r="D497" t="s">
        <v>147</v>
      </c>
      <c r="E497" t="s">
        <v>185</v>
      </c>
      <c r="F497" t="s">
        <v>139</v>
      </c>
      <c r="G497" s="12" t="s">
        <v>153</v>
      </c>
      <c r="H497" s="12" t="s">
        <v>141</v>
      </c>
      <c r="I497" s="12" t="s">
        <v>186</v>
      </c>
      <c r="J497" s="12" t="s">
        <v>142</v>
      </c>
      <c r="K497" s="4">
        <v>3</v>
      </c>
      <c r="L497" s="23">
        <v>185</v>
      </c>
      <c r="M497" s="23">
        <v>185</v>
      </c>
      <c r="N497" s="24">
        <v>277</v>
      </c>
      <c r="O497" s="23">
        <v>387.25</v>
      </c>
      <c r="P497" s="23">
        <v>387.25</v>
      </c>
      <c r="Q497" s="23">
        <v>387.25</v>
      </c>
      <c r="R497" s="23"/>
      <c r="U497" s="33">
        <v>4</v>
      </c>
      <c r="V497" s="34">
        <v>249</v>
      </c>
      <c r="W497" s="34">
        <v>364</v>
      </c>
      <c r="X497" s="36">
        <v>372</v>
      </c>
      <c r="Z497" s="26"/>
      <c r="AA497" s="26"/>
      <c r="AB497" s="26"/>
      <c r="AC497" s="26"/>
      <c r="AD497" s="26"/>
    </row>
    <row r="498" spans="3:30" ht="15" x14ac:dyDescent="0.35">
      <c r="C498" t="s">
        <v>30</v>
      </c>
      <c r="D498" t="s">
        <v>147</v>
      </c>
      <c r="E498" t="s">
        <v>185</v>
      </c>
      <c r="F498" t="s">
        <v>139</v>
      </c>
      <c r="G498" s="12" t="s">
        <v>153</v>
      </c>
      <c r="H498" s="12" t="s">
        <v>141</v>
      </c>
      <c r="I498" s="12" t="s">
        <v>186</v>
      </c>
      <c r="J498" s="12" t="s">
        <v>142</v>
      </c>
      <c r="K498" s="4">
        <v>4</v>
      </c>
      <c r="L498" s="23">
        <v>226</v>
      </c>
      <c r="M498" s="23">
        <v>226</v>
      </c>
      <c r="N498" s="24">
        <v>339</v>
      </c>
      <c r="O498" s="23">
        <v>438</v>
      </c>
      <c r="P498" s="23">
        <v>438</v>
      </c>
      <c r="Q498" s="23">
        <v>438</v>
      </c>
      <c r="R498" s="23"/>
      <c r="U498" s="37">
        <v>5</v>
      </c>
      <c r="V498" s="38">
        <v>320</v>
      </c>
      <c r="W498" s="38">
        <v>404</v>
      </c>
      <c r="X498" s="39">
        <v>432</v>
      </c>
      <c r="Z498" s="26"/>
      <c r="AA498" s="26"/>
      <c r="AB498" s="26"/>
      <c r="AC498" s="26"/>
      <c r="AD498" s="26"/>
    </row>
    <row r="499" spans="3:30" ht="15" x14ac:dyDescent="0.35">
      <c r="C499" t="s">
        <v>30</v>
      </c>
      <c r="D499" t="s">
        <v>147</v>
      </c>
      <c r="E499" t="s">
        <v>185</v>
      </c>
      <c r="F499" t="s">
        <v>139</v>
      </c>
      <c r="G499" s="12" t="s">
        <v>153</v>
      </c>
      <c r="H499" s="12" t="s">
        <v>141</v>
      </c>
      <c r="I499" s="12" t="s">
        <v>186</v>
      </c>
      <c r="J499" s="12" t="s">
        <v>142</v>
      </c>
      <c r="K499" s="4">
        <v>5</v>
      </c>
      <c r="L499" s="23">
        <v>264</v>
      </c>
      <c r="M499" s="23">
        <v>264</v>
      </c>
      <c r="N499" s="24">
        <v>401</v>
      </c>
      <c r="O499" s="23">
        <v>471.25</v>
      </c>
      <c r="P499" s="23">
        <v>471.25</v>
      </c>
      <c r="Q499" s="23">
        <v>471.25</v>
      </c>
      <c r="R499" s="23"/>
      <c r="U499" s="37">
        <v>6</v>
      </c>
      <c r="V499" s="20">
        <f>V498+$V668</f>
        <v>390</v>
      </c>
      <c r="W499" s="20">
        <f>W498+$V668</f>
        <v>474</v>
      </c>
      <c r="X499" s="20">
        <f>X498+$V668</f>
        <v>502</v>
      </c>
      <c r="Z499" s="26"/>
      <c r="AA499" s="26"/>
      <c r="AB499" s="26"/>
      <c r="AC499" s="26"/>
      <c r="AD499" s="26"/>
    </row>
    <row r="500" spans="3:30" x14ac:dyDescent="0.35">
      <c r="C500" t="s">
        <v>30</v>
      </c>
      <c r="D500" t="s">
        <v>147</v>
      </c>
      <c r="E500" t="s">
        <v>185</v>
      </c>
      <c r="F500" t="s">
        <v>139</v>
      </c>
      <c r="G500" s="12" t="s">
        <v>153</v>
      </c>
      <c r="H500" s="12" t="s">
        <v>141</v>
      </c>
      <c r="I500" s="12" t="s">
        <v>186</v>
      </c>
      <c r="J500" s="12" t="s">
        <v>142</v>
      </c>
      <c r="K500" s="4">
        <v>6</v>
      </c>
      <c r="L500" s="23">
        <v>305</v>
      </c>
      <c r="M500" s="23">
        <v>305</v>
      </c>
      <c r="N500" s="24">
        <v>461</v>
      </c>
      <c r="O500" s="23">
        <v>502.25</v>
      </c>
      <c r="P500" s="23">
        <v>502.25</v>
      </c>
      <c r="Q500" s="23">
        <v>502.25</v>
      </c>
      <c r="R500" s="23"/>
      <c r="Z500" s="26"/>
      <c r="AA500" s="26"/>
      <c r="AB500" s="26"/>
      <c r="AC500" s="26"/>
      <c r="AD500" s="26"/>
    </row>
    <row r="501" spans="3:30" x14ac:dyDescent="0.35">
      <c r="C501" t="s">
        <v>30</v>
      </c>
      <c r="D501" t="s">
        <v>147</v>
      </c>
      <c r="E501" t="s">
        <v>185</v>
      </c>
      <c r="F501" t="s">
        <v>139</v>
      </c>
      <c r="G501" s="12" t="s">
        <v>153</v>
      </c>
      <c r="H501" s="12" t="s">
        <v>141</v>
      </c>
      <c r="I501" s="12" t="s">
        <v>186</v>
      </c>
      <c r="J501" s="12" t="s">
        <v>142</v>
      </c>
      <c r="K501" s="4">
        <v>7</v>
      </c>
      <c r="L501" s="23">
        <v>345</v>
      </c>
      <c r="M501" s="23">
        <v>345</v>
      </c>
      <c r="N501" s="24">
        <v>486.70034843205576</v>
      </c>
      <c r="O501" s="23">
        <v>530.25</v>
      </c>
      <c r="P501" s="23">
        <v>530.25</v>
      </c>
      <c r="Q501" s="23">
        <v>530.25</v>
      </c>
      <c r="R501" s="23"/>
      <c r="Z501" s="26"/>
      <c r="AA501" s="26"/>
      <c r="AB501" s="26"/>
      <c r="AC501" s="26"/>
      <c r="AD501" s="26"/>
    </row>
    <row r="502" spans="3:30" x14ac:dyDescent="0.35">
      <c r="C502" t="s">
        <v>30</v>
      </c>
      <c r="D502" t="s">
        <v>147</v>
      </c>
      <c r="E502" t="s">
        <v>185</v>
      </c>
      <c r="F502" t="s">
        <v>139</v>
      </c>
      <c r="G502" s="12" t="s">
        <v>153</v>
      </c>
      <c r="H502" s="12" t="s">
        <v>141</v>
      </c>
      <c r="I502" s="12" t="s">
        <v>186</v>
      </c>
      <c r="J502" s="12" t="s">
        <v>142</v>
      </c>
      <c r="K502" s="4">
        <v>8</v>
      </c>
      <c r="L502" s="23">
        <v>386</v>
      </c>
      <c r="M502" s="23">
        <v>386</v>
      </c>
      <c r="N502" s="24">
        <v>510.33549029367845</v>
      </c>
      <c r="O502" s="23">
        <v>556</v>
      </c>
      <c r="P502" s="23">
        <v>556</v>
      </c>
      <c r="Q502" s="23">
        <v>556</v>
      </c>
      <c r="R502" s="23"/>
      <c r="Z502" s="26"/>
      <c r="AA502" s="26"/>
      <c r="AB502" s="26"/>
      <c r="AC502" s="26"/>
      <c r="AD502" s="26"/>
    </row>
    <row r="503" spans="3:30" x14ac:dyDescent="0.35">
      <c r="C503" t="s">
        <v>31</v>
      </c>
      <c r="D503" t="s">
        <v>137</v>
      </c>
      <c r="E503" s="12" t="s">
        <v>187</v>
      </c>
      <c r="F503" s="12" t="s">
        <v>188</v>
      </c>
      <c r="G503" s="12" t="s">
        <v>153</v>
      </c>
      <c r="H503" s="12" t="s">
        <v>189</v>
      </c>
      <c r="I503" s="12" t="s">
        <v>190</v>
      </c>
      <c r="J503" s="12" t="s">
        <v>191</v>
      </c>
      <c r="K503" s="4">
        <v>1</v>
      </c>
      <c r="L503" s="23">
        <v>313</v>
      </c>
      <c r="M503" s="23">
        <v>313</v>
      </c>
      <c r="N503" s="24">
        <v>313</v>
      </c>
      <c r="O503" s="23">
        <v>313</v>
      </c>
      <c r="P503" s="23">
        <v>313</v>
      </c>
      <c r="Q503" s="23">
        <v>313</v>
      </c>
      <c r="R503" s="23"/>
      <c r="Z503" s="26"/>
      <c r="AA503" s="26"/>
      <c r="AB503" s="26"/>
      <c r="AC503" s="26"/>
      <c r="AD503" s="26"/>
    </row>
    <row r="504" spans="3:30" x14ac:dyDescent="0.35">
      <c r="C504" t="s">
        <v>31</v>
      </c>
      <c r="D504" t="s">
        <v>137</v>
      </c>
      <c r="E504" s="12" t="s">
        <v>187</v>
      </c>
      <c r="F504" s="12" t="s">
        <v>188</v>
      </c>
      <c r="G504" s="12" t="s">
        <v>153</v>
      </c>
      <c r="H504" s="12" t="s">
        <v>189</v>
      </c>
      <c r="I504" s="12" t="s">
        <v>190</v>
      </c>
      <c r="J504" s="12" t="s">
        <v>191</v>
      </c>
      <c r="K504" s="4">
        <v>2</v>
      </c>
      <c r="L504" s="23">
        <v>650</v>
      </c>
      <c r="M504" s="23">
        <v>650</v>
      </c>
      <c r="N504" s="24">
        <v>650</v>
      </c>
      <c r="O504" s="23">
        <v>650</v>
      </c>
      <c r="P504" s="23">
        <v>650</v>
      </c>
      <c r="Q504" s="23">
        <v>650</v>
      </c>
      <c r="R504" s="23"/>
      <c r="Z504" s="26"/>
      <c r="AA504" s="26"/>
      <c r="AB504" s="26"/>
      <c r="AC504" s="26"/>
      <c r="AD504" s="26"/>
    </row>
    <row r="505" spans="3:30" x14ac:dyDescent="0.35">
      <c r="C505" t="s">
        <v>31</v>
      </c>
      <c r="D505" t="s">
        <v>137</v>
      </c>
      <c r="E505" s="12" t="s">
        <v>187</v>
      </c>
      <c r="F505" s="12" t="s">
        <v>188</v>
      </c>
      <c r="G505" s="12" t="s">
        <v>153</v>
      </c>
      <c r="H505" s="12" t="s">
        <v>189</v>
      </c>
      <c r="I505" s="12" t="s">
        <v>190</v>
      </c>
      <c r="J505" s="12" t="s">
        <v>191</v>
      </c>
      <c r="K505" s="4">
        <v>3</v>
      </c>
      <c r="L505" s="23">
        <v>751</v>
      </c>
      <c r="M505" s="23">
        <v>751</v>
      </c>
      <c r="N505" s="24">
        <v>751</v>
      </c>
      <c r="O505" s="23">
        <v>751</v>
      </c>
      <c r="P505" s="23">
        <v>751</v>
      </c>
      <c r="Q505" s="23">
        <v>751</v>
      </c>
      <c r="R505" s="23"/>
      <c r="Z505" s="26"/>
      <c r="AA505" s="26"/>
      <c r="AB505" s="26"/>
      <c r="AC505" s="26"/>
      <c r="AD505" s="26"/>
    </row>
    <row r="506" spans="3:30" x14ac:dyDescent="0.35">
      <c r="C506" t="s">
        <v>31</v>
      </c>
      <c r="D506" t="s">
        <v>137</v>
      </c>
      <c r="E506" s="12" t="s">
        <v>187</v>
      </c>
      <c r="F506" s="12" t="s">
        <v>188</v>
      </c>
      <c r="G506" s="12" t="s">
        <v>153</v>
      </c>
      <c r="H506" s="12" t="s">
        <v>189</v>
      </c>
      <c r="I506" s="12" t="s">
        <v>190</v>
      </c>
      <c r="J506" s="12" t="s">
        <v>191</v>
      </c>
      <c r="K506" s="4">
        <v>4</v>
      </c>
      <c r="L506" s="23">
        <v>903</v>
      </c>
      <c r="M506" s="23">
        <v>903</v>
      </c>
      <c r="N506" s="24">
        <v>903</v>
      </c>
      <c r="O506" s="23">
        <v>903</v>
      </c>
      <c r="P506" s="23">
        <v>903</v>
      </c>
      <c r="Q506" s="23">
        <v>903</v>
      </c>
      <c r="R506" s="23"/>
      <c r="Z506" s="26"/>
      <c r="AA506" s="26"/>
      <c r="AB506" s="26"/>
      <c r="AC506" s="26"/>
      <c r="AD506" s="26"/>
    </row>
    <row r="507" spans="3:30" x14ac:dyDescent="0.35">
      <c r="C507" t="s">
        <v>31</v>
      </c>
      <c r="D507" t="s">
        <v>137</v>
      </c>
      <c r="E507" s="12" t="s">
        <v>187</v>
      </c>
      <c r="F507" s="12" t="s">
        <v>188</v>
      </c>
      <c r="G507" s="12" t="s">
        <v>153</v>
      </c>
      <c r="H507" s="12" t="s">
        <v>189</v>
      </c>
      <c r="I507" s="12" t="s">
        <v>190</v>
      </c>
      <c r="J507" s="12" t="s">
        <v>191</v>
      </c>
      <c r="K507" s="4">
        <v>5</v>
      </c>
      <c r="L507" s="23">
        <v>1003</v>
      </c>
      <c r="M507" s="23">
        <v>1003</v>
      </c>
      <c r="N507" s="24">
        <v>1003</v>
      </c>
      <c r="O507" s="23">
        <v>1003</v>
      </c>
      <c r="P507" s="23">
        <v>1003</v>
      </c>
      <c r="Q507" s="23">
        <v>1003</v>
      </c>
      <c r="R507" s="23"/>
      <c r="T507" s="20"/>
      <c r="Z507" s="26"/>
      <c r="AA507" s="26"/>
      <c r="AB507" s="26"/>
      <c r="AC507" s="26"/>
      <c r="AD507" s="26"/>
    </row>
    <row r="508" spans="3:30" x14ac:dyDescent="0.35">
      <c r="C508" t="s">
        <v>31</v>
      </c>
      <c r="D508" t="s">
        <v>137</v>
      </c>
      <c r="E508" s="12" t="s">
        <v>187</v>
      </c>
      <c r="F508" s="12" t="s">
        <v>188</v>
      </c>
      <c r="G508" s="12" t="s">
        <v>153</v>
      </c>
      <c r="H508" s="12" t="s">
        <v>189</v>
      </c>
      <c r="I508" s="12" t="s">
        <v>190</v>
      </c>
      <c r="J508" s="12" t="s">
        <v>191</v>
      </c>
      <c r="K508" s="4">
        <v>6</v>
      </c>
      <c r="L508" s="23">
        <v>1153</v>
      </c>
      <c r="M508" s="23">
        <v>1153</v>
      </c>
      <c r="N508" s="24">
        <v>1153</v>
      </c>
      <c r="O508" s="23">
        <v>1153</v>
      </c>
      <c r="P508" s="23">
        <v>1153</v>
      </c>
      <c r="Q508" s="23">
        <v>1153</v>
      </c>
      <c r="R508" s="23"/>
      <c r="Z508" s="26"/>
      <c r="AA508" s="26"/>
      <c r="AB508" s="26"/>
      <c r="AC508" s="26"/>
      <c r="AD508" s="26"/>
    </row>
    <row r="509" spans="3:30" x14ac:dyDescent="0.35">
      <c r="C509" t="s">
        <v>31</v>
      </c>
      <c r="D509" t="s">
        <v>137</v>
      </c>
      <c r="E509" s="12" t="s">
        <v>187</v>
      </c>
      <c r="F509" s="12" t="s">
        <v>188</v>
      </c>
      <c r="G509" s="12" t="s">
        <v>153</v>
      </c>
      <c r="H509" s="12" t="s">
        <v>192</v>
      </c>
      <c r="I509" s="12" t="s">
        <v>190</v>
      </c>
      <c r="J509" s="12" t="s">
        <v>191</v>
      </c>
      <c r="K509" s="4">
        <v>7</v>
      </c>
      <c r="L509" s="23">
        <v>1252</v>
      </c>
      <c r="M509" s="23">
        <v>1252</v>
      </c>
      <c r="N509" s="24">
        <v>1252</v>
      </c>
      <c r="O509" s="23">
        <v>1252</v>
      </c>
      <c r="P509" s="23">
        <v>1252</v>
      </c>
      <c r="Q509" s="23">
        <v>1252</v>
      </c>
      <c r="R509" s="23"/>
      <c r="Z509" s="26"/>
      <c r="AA509" s="26"/>
      <c r="AB509" s="26"/>
      <c r="AC509" s="26"/>
      <c r="AD509" s="26"/>
    </row>
    <row r="510" spans="3:30" x14ac:dyDescent="0.35">
      <c r="C510" t="s">
        <v>31</v>
      </c>
      <c r="D510" t="s">
        <v>137</v>
      </c>
      <c r="E510" s="12" t="s">
        <v>187</v>
      </c>
      <c r="F510" s="12" t="s">
        <v>188</v>
      </c>
      <c r="G510" s="12" t="s">
        <v>153</v>
      </c>
      <c r="H510" s="12" t="s">
        <v>193</v>
      </c>
      <c r="I510" s="12" t="s">
        <v>190</v>
      </c>
      <c r="J510" s="12" t="s">
        <v>191</v>
      </c>
      <c r="K510" s="4">
        <v>8</v>
      </c>
      <c r="L510" s="23">
        <v>1425</v>
      </c>
      <c r="M510" s="23">
        <v>1425</v>
      </c>
      <c r="N510" s="24">
        <v>1425</v>
      </c>
      <c r="O510" s="23">
        <v>1425</v>
      </c>
      <c r="P510" s="23">
        <v>1425</v>
      </c>
      <c r="Q510" s="23">
        <v>1425</v>
      </c>
      <c r="R510" s="23"/>
      <c r="Z510" s="26"/>
      <c r="AA510" s="26"/>
      <c r="AB510" s="26"/>
      <c r="AC510" s="26"/>
      <c r="AD510" s="26"/>
    </row>
    <row r="511" spans="3:30" x14ac:dyDescent="0.35">
      <c r="C511" t="s">
        <v>31</v>
      </c>
      <c r="D511" t="s">
        <v>137</v>
      </c>
      <c r="E511" s="12" t="s">
        <v>187</v>
      </c>
      <c r="F511" s="12" t="s">
        <v>194</v>
      </c>
      <c r="G511" s="12" t="s">
        <v>153</v>
      </c>
      <c r="H511" s="12" t="s">
        <v>189</v>
      </c>
      <c r="I511" s="12"/>
      <c r="J511" s="12" t="s">
        <v>191</v>
      </c>
      <c r="K511" s="4">
        <v>2</v>
      </c>
      <c r="L511" s="23">
        <v>498</v>
      </c>
      <c r="M511" s="23">
        <v>498</v>
      </c>
      <c r="N511" s="24">
        <v>498</v>
      </c>
      <c r="O511" s="23">
        <v>498</v>
      </c>
      <c r="P511" s="23">
        <v>498</v>
      </c>
      <c r="Q511" s="23">
        <v>498</v>
      </c>
      <c r="R511" s="23"/>
      <c r="Z511" s="26"/>
      <c r="AA511" s="26"/>
      <c r="AB511" s="26"/>
      <c r="AC511" s="26"/>
      <c r="AD511" s="26"/>
    </row>
    <row r="512" spans="3:30" x14ac:dyDescent="0.35">
      <c r="C512" t="s">
        <v>31</v>
      </c>
      <c r="D512" t="s">
        <v>137</v>
      </c>
      <c r="E512" s="12" t="s">
        <v>187</v>
      </c>
      <c r="F512" s="12" t="s">
        <v>194</v>
      </c>
      <c r="G512" s="12" t="s">
        <v>153</v>
      </c>
      <c r="H512" s="12" t="s">
        <v>189</v>
      </c>
      <c r="I512" s="12"/>
      <c r="J512" s="12" t="s">
        <v>191</v>
      </c>
      <c r="K512" s="4">
        <v>3</v>
      </c>
      <c r="L512" s="23">
        <v>824</v>
      </c>
      <c r="M512" s="23">
        <v>824</v>
      </c>
      <c r="N512" s="24">
        <v>824</v>
      </c>
      <c r="O512" s="23">
        <v>824</v>
      </c>
      <c r="P512" s="23">
        <v>824</v>
      </c>
      <c r="Q512" s="23">
        <v>824</v>
      </c>
      <c r="R512" s="23"/>
      <c r="Z512" s="26"/>
      <c r="AA512" s="26"/>
      <c r="AB512" s="26"/>
      <c r="AC512" s="26"/>
      <c r="AD512" s="26"/>
    </row>
    <row r="513" spans="3:30" x14ac:dyDescent="0.35">
      <c r="C513" t="s">
        <v>31</v>
      </c>
      <c r="D513" t="s">
        <v>137</v>
      </c>
      <c r="E513" s="12" t="s">
        <v>187</v>
      </c>
      <c r="F513" s="12" t="s">
        <v>194</v>
      </c>
      <c r="G513" s="12" t="s">
        <v>153</v>
      </c>
      <c r="H513" s="12" t="s">
        <v>189</v>
      </c>
      <c r="I513" s="12"/>
      <c r="J513" s="12" t="s">
        <v>191</v>
      </c>
      <c r="K513" s="4">
        <v>4</v>
      </c>
      <c r="L513" s="23">
        <v>925</v>
      </c>
      <c r="M513" s="23">
        <v>925</v>
      </c>
      <c r="N513" s="24">
        <v>925</v>
      </c>
      <c r="O513" s="23">
        <v>925</v>
      </c>
      <c r="P513" s="23">
        <v>925</v>
      </c>
      <c r="Q513" s="23">
        <v>925</v>
      </c>
      <c r="R513" s="23"/>
      <c r="Z513" s="26"/>
      <c r="AA513" s="26"/>
      <c r="AB513" s="26"/>
      <c r="AC513" s="26"/>
      <c r="AD513" s="26"/>
    </row>
    <row r="514" spans="3:30" x14ac:dyDescent="0.35">
      <c r="C514" t="s">
        <v>31</v>
      </c>
      <c r="D514" t="s">
        <v>137</v>
      </c>
      <c r="E514" s="12" t="s">
        <v>187</v>
      </c>
      <c r="F514" s="12" t="s">
        <v>194</v>
      </c>
      <c r="G514" s="12" t="s">
        <v>153</v>
      </c>
      <c r="H514" s="12" t="s">
        <v>189</v>
      </c>
      <c r="I514" s="12"/>
      <c r="J514" s="12" t="s">
        <v>191</v>
      </c>
      <c r="K514" s="4">
        <v>5</v>
      </c>
      <c r="L514" s="23">
        <v>1073</v>
      </c>
      <c r="M514" s="23">
        <v>1073</v>
      </c>
      <c r="N514" s="24">
        <v>1073</v>
      </c>
      <c r="O514" s="23">
        <v>1073</v>
      </c>
      <c r="P514" s="23">
        <v>1073</v>
      </c>
      <c r="Q514" s="23">
        <v>1073</v>
      </c>
      <c r="R514" s="23"/>
      <c r="Z514" s="26"/>
      <c r="AA514" s="26"/>
      <c r="AB514" s="26"/>
      <c r="AC514" s="26"/>
      <c r="AD514" s="26"/>
    </row>
    <row r="515" spans="3:30" x14ac:dyDescent="0.35">
      <c r="C515" t="s">
        <v>31</v>
      </c>
      <c r="D515" t="s">
        <v>137</v>
      </c>
      <c r="E515" s="12" t="s">
        <v>187</v>
      </c>
      <c r="F515" s="12" t="s">
        <v>194</v>
      </c>
      <c r="G515" s="12" t="s">
        <v>153</v>
      </c>
      <c r="H515" s="12" t="s">
        <v>189</v>
      </c>
      <c r="I515" s="12"/>
      <c r="J515" s="12" t="s">
        <v>191</v>
      </c>
      <c r="K515" s="4">
        <v>6</v>
      </c>
      <c r="L515" s="23">
        <v>1176</v>
      </c>
      <c r="M515" s="23">
        <v>1176</v>
      </c>
      <c r="N515" s="24">
        <v>1176</v>
      </c>
      <c r="O515" s="23">
        <v>1176</v>
      </c>
      <c r="P515" s="23">
        <v>1176</v>
      </c>
      <c r="Q515" s="23">
        <v>1176</v>
      </c>
      <c r="R515" s="23"/>
      <c r="Z515" s="26"/>
      <c r="AA515" s="26"/>
      <c r="AB515" s="26"/>
      <c r="AC515" s="26"/>
      <c r="AD515" s="26"/>
    </row>
    <row r="516" spans="3:30" x14ac:dyDescent="0.35">
      <c r="C516" t="s">
        <v>31</v>
      </c>
      <c r="D516" t="s">
        <v>137</v>
      </c>
      <c r="E516" s="12" t="s">
        <v>187</v>
      </c>
      <c r="F516" s="12" t="s">
        <v>194</v>
      </c>
      <c r="G516" s="12" t="s">
        <v>153</v>
      </c>
      <c r="H516" s="12" t="s">
        <v>192</v>
      </c>
      <c r="I516" s="12"/>
      <c r="J516" s="12" t="s">
        <v>191</v>
      </c>
      <c r="K516" s="4">
        <v>7</v>
      </c>
      <c r="L516" s="23">
        <v>1319</v>
      </c>
      <c r="M516" s="23">
        <v>1319</v>
      </c>
      <c r="N516" s="24">
        <v>1319</v>
      </c>
      <c r="O516" s="23">
        <v>1319</v>
      </c>
      <c r="P516" s="23">
        <v>1319</v>
      </c>
      <c r="Q516" s="23">
        <v>1319</v>
      </c>
      <c r="R516" s="23"/>
      <c r="Z516" s="26"/>
      <c r="AA516" s="26"/>
      <c r="AB516" s="26"/>
      <c r="AC516" s="26"/>
      <c r="AD516" s="26"/>
    </row>
    <row r="517" spans="3:30" x14ac:dyDescent="0.35">
      <c r="C517" t="s">
        <v>31</v>
      </c>
      <c r="D517" t="s">
        <v>137</v>
      </c>
      <c r="E517" s="12" t="s">
        <v>187</v>
      </c>
      <c r="F517" s="12" t="s">
        <v>194</v>
      </c>
      <c r="G517" s="12" t="s">
        <v>153</v>
      </c>
      <c r="H517" s="12" t="s">
        <v>193</v>
      </c>
      <c r="I517" s="12"/>
      <c r="J517" s="12" t="s">
        <v>191</v>
      </c>
      <c r="K517" s="4">
        <v>8</v>
      </c>
      <c r="L517" s="23">
        <v>1422</v>
      </c>
      <c r="M517" s="23">
        <v>1422</v>
      </c>
      <c r="N517" s="24">
        <v>1422</v>
      </c>
      <c r="O517" s="23">
        <v>1422</v>
      </c>
      <c r="P517" s="23">
        <v>1422</v>
      </c>
      <c r="Q517" s="23">
        <v>1422</v>
      </c>
      <c r="R517" s="23"/>
      <c r="Z517" s="26"/>
      <c r="AA517" s="26"/>
      <c r="AB517" s="26"/>
      <c r="AC517" s="26"/>
      <c r="AD517" s="26"/>
    </row>
    <row r="518" spans="3:30" x14ac:dyDescent="0.35">
      <c r="C518" t="s">
        <v>31</v>
      </c>
      <c r="D518" t="s">
        <v>147</v>
      </c>
      <c r="E518" t="s">
        <v>195</v>
      </c>
      <c r="F518" s="12" t="s">
        <v>188</v>
      </c>
      <c r="G518" s="12" t="s">
        <v>196</v>
      </c>
      <c r="H518" s="12" t="s">
        <v>189</v>
      </c>
      <c r="I518" s="12" t="s">
        <v>190</v>
      </c>
      <c r="J518" s="12" t="s">
        <v>197</v>
      </c>
      <c r="K518" s="4">
        <v>1</v>
      </c>
      <c r="L518" s="23">
        <v>120</v>
      </c>
      <c r="M518" s="23">
        <v>121</v>
      </c>
      <c r="N518" s="24">
        <v>126</v>
      </c>
      <c r="O518" s="23">
        <v>129</v>
      </c>
      <c r="P518" s="23">
        <v>130</v>
      </c>
      <c r="Q518" s="23">
        <v>130</v>
      </c>
      <c r="R518" s="23"/>
      <c r="Z518" s="26"/>
      <c r="AA518" s="26"/>
      <c r="AB518" s="26"/>
      <c r="AC518" s="26"/>
      <c r="AD518" s="26"/>
    </row>
    <row r="519" spans="3:30" x14ac:dyDescent="0.35">
      <c r="C519" t="s">
        <v>31</v>
      </c>
      <c r="D519" t="s">
        <v>147</v>
      </c>
      <c r="E519" t="s">
        <v>195</v>
      </c>
      <c r="F519" s="12" t="s">
        <v>188</v>
      </c>
      <c r="G519" s="12" t="s">
        <v>196</v>
      </c>
      <c r="H519" s="12" t="s">
        <v>189</v>
      </c>
      <c r="I519" s="12" t="s">
        <v>190</v>
      </c>
      <c r="J519" s="12" t="s">
        <v>198</v>
      </c>
      <c r="K519" s="4">
        <v>2</v>
      </c>
      <c r="L519" s="23">
        <v>248</v>
      </c>
      <c r="M519" s="23">
        <v>251</v>
      </c>
      <c r="N519" s="24">
        <v>270</v>
      </c>
      <c r="O519" s="23">
        <v>270</v>
      </c>
      <c r="P519" s="23">
        <v>270</v>
      </c>
      <c r="Q519" s="23">
        <v>270</v>
      </c>
      <c r="R519" s="23"/>
      <c r="Z519" s="26"/>
      <c r="AA519" s="26"/>
      <c r="AB519" s="26"/>
      <c r="AC519" s="26"/>
      <c r="AD519" s="26"/>
    </row>
    <row r="520" spans="3:30" x14ac:dyDescent="0.35">
      <c r="C520" t="s">
        <v>31</v>
      </c>
      <c r="D520" t="s">
        <v>147</v>
      </c>
      <c r="E520" t="s">
        <v>195</v>
      </c>
      <c r="F520" s="12" t="s">
        <v>188</v>
      </c>
      <c r="G520" s="12" t="s">
        <v>196</v>
      </c>
      <c r="H520" s="12" t="s">
        <v>189</v>
      </c>
      <c r="I520" s="12" t="s">
        <v>190</v>
      </c>
      <c r="J520" s="12" t="s">
        <v>198</v>
      </c>
      <c r="K520" s="4">
        <v>3</v>
      </c>
      <c r="L520" s="23">
        <v>286</v>
      </c>
      <c r="M520" s="23">
        <v>290</v>
      </c>
      <c r="N520" s="24">
        <v>312</v>
      </c>
      <c r="O520" s="23">
        <v>312</v>
      </c>
      <c r="P520" s="23">
        <v>312</v>
      </c>
      <c r="Q520" s="23">
        <v>312</v>
      </c>
      <c r="R520" s="23"/>
      <c r="Z520" s="26"/>
      <c r="AA520" s="26"/>
      <c r="AB520" s="26"/>
      <c r="AC520" s="26"/>
      <c r="AD520" s="26"/>
    </row>
    <row r="521" spans="3:30" x14ac:dyDescent="0.35">
      <c r="C521" t="s">
        <v>31</v>
      </c>
      <c r="D521" t="s">
        <v>147</v>
      </c>
      <c r="E521" t="s">
        <v>195</v>
      </c>
      <c r="F521" s="12" t="s">
        <v>188</v>
      </c>
      <c r="G521" s="12" t="s">
        <v>196</v>
      </c>
      <c r="H521" s="12" t="s">
        <v>189</v>
      </c>
      <c r="I521" s="12" t="s">
        <v>190</v>
      </c>
      <c r="J521" s="12" t="s">
        <v>198</v>
      </c>
      <c r="K521" s="4">
        <v>4</v>
      </c>
      <c r="L521" s="23">
        <v>344</v>
      </c>
      <c r="M521" s="23">
        <v>348</v>
      </c>
      <c r="N521" s="24">
        <v>375</v>
      </c>
      <c r="O521" s="23">
        <v>375</v>
      </c>
      <c r="P521" s="23">
        <v>375</v>
      </c>
      <c r="Q521" s="23">
        <v>375</v>
      </c>
      <c r="R521" s="23"/>
      <c r="Z521" s="26"/>
      <c r="AA521" s="26"/>
      <c r="AB521" s="26"/>
      <c r="AC521" s="26"/>
      <c r="AD521" s="26"/>
    </row>
    <row r="522" spans="3:30" x14ac:dyDescent="0.35">
      <c r="C522" t="s">
        <v>31</v>
      </c>
      <c r="D522" t="s">
        <v>147</v>
      </c>
      <c r="E522" t="s">
        <v>195</v>
      </c>
      <c r="F522" s="12" t="s">
        <v>188</v>
      </c>
      <c r="G522" s="12" t="s">
        <v>196</v>
      </c>
      <c r="H522" s="12" t="s">
        <v>189</v>
      </c>
      <c r="I522" s="12" t="s">
        <v>190</v>
      </c>
      <c r="J522" s="12" t="s">
        <v>198</v>
      </c>
      <c r="K522" s="4">
        <v>5</v>
      </c>
      <c r="L522" s="23">
        <v>382</v>
      </c>
      <c r="M522" s="23">
        <v>387</v>
      </c>
      <c r="N522" s="24">
        <v>416</v>
      </c>
      <c r="O522" s="23">
        <v>416</v>
      </c>
      <c r="P522" s="23">
        <v>416</v>
      </c>
      <c r="Q522" s="23">
        <v>416</v>
      </c>
      <c r="R522" s="23"/>
      <c r="Z522" s="26"/>
      <c r="AA522" s="26"/>
      <c r="AB522" s="26"/>
      <c r="AC522" s="26"/>
      <c r="AD522" s="26"/>
    </row>
    <row r="523" spans="3:30" x14ac:dyDescent="0.35">
      <c r="C523" t="s">
        <v>31</v>
      </c>
      <c r="D523" t="s">
        <v>147</v>
      </c>
      <c r="E523" t="s">
        <v>195</v>
      </c>
      <c r="F523" s="12" t="s">
        <v>188</v>
      </c>
      <c r="G523" s="12" t="s">
        <v>196</v>
      </c>
      <c r="H523" s="12" t="s">
        <v>189</v>
      </c>
      <c r="I523" s="12" t="s">
        <v>190</v>
      </c>
      <c r="J523" s="12" t="s">
        <v>198</v>
      </c>
      <c r="K523" s="4">
        <v>6</v>
      </c>
      <c r="L523" s="23">
        <v>439</v>
      </c>
      <c r="M523" s="23">
        <v>445</v>
      </c>
      <c r="N523" s="24">
        <v>478</v>
      </c>
      <c r="O523" s="23">
        <v>478</v>
      </c>
      <c r="P523" s="23">
        <v>478</v>
      </c>
      <c r="Q523" s="23">
        <v>478</v>
      </c>
      <c r="R523" s="23"/>
      <c r="Z523" s="26"/>
      <c r="AA523" s="26"/>
      <c r="AB523" s="26"/>
      <c r="AC523" s="26"/>
      <c r="AD523" s="26"/>
    </row>
    <row r="524" spans="3:30" x14ac:dyDescent="0.35">
      <c r="C524" t="s">
        <v>31</v>
      </c>
      <c r="D524" t="s">
        <v>147</v>
      </c>
      <c r="E524" t="s">
        <v>195</v>
      </c>
      <c r="F524" s="12" t="s">
        <v>188</v>
      </c>
      <c r="G524" s="12" t="s">
        <v>196</v>
      </c>
      <c r="H524" s="12" t="s">
        <v>192</v>
      </c>
      <c r="I524" s="12" t="s">
        <v>190</v>
      </c>
      <c r="J524" s="12" t="s">
        <v>198</v>
      </c>
      <c r="K524" s="4">
        <v>7</v>
      </c>
      <c r="L524" s="23"/>
      <c r="M524" s="23"/>
      <c r="N524" s="24">
        <v>519</v>
      </c>
      <c r="O524" s="23">
        <v>519</v>
      </c>
      <c r="P524" s="23">
        <v>519</v>
      </c>
      <c r="Q524" s="23">
        <v>519</v>
      </c>
      <c r="R524" s="23"/>
      <c r="Z524" s="26"/>
      <c r="AA524" s="26"/>
      <c r="AB524" s="26"/>
      <c r="AC524" s="26"/>
      <c r="AD524" s="26"/>
    </row>
    <row r="525" spans="3:30" x14ac:dyDescent="0.35">
      <c r="C525" t="s">
        <v>31</v>
      </c>
      <c r="D525" t="s">
        <v>147</v>
      </c>
      <c r="E525" t="s">
        <v>195</v>
      </c>
      <c r="F525" s="12" t="s">
        <v>188</v>
      </c>
      <c r="G525" s="12" t="s">
        <v>196</v>
      </c>
      <c r="H525" s="12" t="s">
        <v>193</v>
      </c>
      <c r="I525" s="12" t="s">
        <v>190</v>
      </c>
      <c r="J525" s="12" t="s">
        <v>198</v>
      </c>
      <c r="K525" s="4">
        <v>8</v>
      </c>
      <c r="L525" s="23"/>
      <c r="M525" s="23"/>
      <c r="N525" s="24">
        <v>591</v>
      </c>
      <c r="O525" s="23">
        <v>591</v>
      </c>
      <c r="P525" s="23">
        <v>591</v>
      </c>
      <c r="Q525" s="23">
        <v>591</v>
      </c>
      <c r="R525" s="23"/>
      <c r="Z525" s="26"/>
      <c r="AA525" s="26"/>
      <c r="AB525" s="26"/>
      <c r="AC525" s="26"/>
      <c r="AD525" s="26"/>
    </row>
    <row r="526" spans="3:30" x14ac:dyDescent="0.35">
      <c r="C526" t="s">
        <v>31</v>
      </c>
      <c r="D526" t="s">
        <v>199</v>
      </c>
      <c r="E526" t="s">
        <v>195</v>
      </c>
      <c r="F526" s="12" t="s">
        <v>194</v>
      </c>
      <c r="G526" s="12" t="s">
        <v>196</v>
      </c>
      <c r="H526" s="12" t="s">
        <v>189</v>
      </c>
      <c r="I526" s="12"/>
      <c r="J526" s="12" t="s">
        <v>198</v>
      </c>
      <c r="K526" s="4">
        <v>2</v>
      </c>
      <c r="L526" s="23">
        <v>189</v>
      </c>
      <c r="M526" s="23">
        <v>192</v>
      </c>
      <c r="N526" s="24">
        <v>206</v>
      </c>
      <c r="O526" s="23">
        <v>206</v>
      </c>
      <c r="P526" s="23">
        <v>206</v>
      </c>
      <c r="Q526" s="23">
        <v>206</v>
      </c>
      <c r="R526" s="23"/>
      <c r="Z526" s="26"/>
      <c r="AA526" s="26"/>
      <c r="AB526" s="26"/>
      <c r="AC526" s="26"/>
      <c r="AD526" s="26"/>
    </row>
    <row r="527" spans="3:30" x14ac:dyDescent="0.35">
      <c r="C527" t="s">
        <v>31</v>
      </c>
      <c r="D527" t="s">
        <v>199</v>
      </c>
      <c r="E527" t="s">
        <v>195</v>
      </c>
      <c r="F527" s="12" t="s">
        <v>194</v>
      </c>
      <c r="G527" s="12" t="s">
        <v>196</v>
      </c>
      <c r="H527" s="12" t="s">
        <v>189</v>
      </c>
      <c r="I527" s="12"/>
      <c r="J527" s="12" t="s">
        <v>198</v>
      </c>
      <c r="K527" s="4">
        <v>3</v>
      </c>
      <c r="L527" s="23">
        <v>313</v>
      </c>
      <c r="M527" s="23">
        <v>318</v>
      </c>
      <c r="N527" s="24">
        <v>341</v>
      </c>
      <c r="O527" s="23">
        <v>341</v>
      </c>
      <c r="P527" s="23">
        <v>341</v>
      </c>
      <c r="Q527" s="23">
        <v>341</v>
      </c>
      <c r="R527" s="23"/>
      <c r="Z527" s="26"/>
      <c r="AA527" s="26"/>
      <c r="AB527" s="26"/>
      <c r="AC527" s="26"/>
      <c r="AD527" s="26"/>
    </row>
    <row r="528" spans="3:30" x14ac:dyDescent="0.35">
      <c r="C528" t="s">
        <v>31</v>
      </c>
      <c r="D528" t="s">
        <v>199</v>
      </c>
      <c r="E528" t="s">
        <v>195</v>
      </c>
      <c r="F528" s="12" t="s">
        <v>194</v>
      </c>
      <c r="G528" s="12" t="s">
        <v>196</v>
      </c>
      <c r="H528" s="12" t="s">
        <v>189</v>
      </c>
      <c r="I528" s="12"/>
      <c r="J528" s="12" t="s">
        <v>198</v>
      </c>
      <c r="K528" s="4">
        <v>4</v>
      </c>
      <c r="L528" s="23">
        <v>352</v>
      </c>
      <c r="M528" s="23">
        <v>357</v>
      </c>
      <c r="N528" s="24">
        <v>383</v>
      </c>
      <c r="O528" s="23">
        <v>383</v>
      </c>
      <c r="P528" s="23">
        <v>383</v>
      </c>
      <c r="Q528" s="23">
        <v>383</v>
      </c>
      <c r="R528" s="23"/>
      <c r="Z528" s="26"/>
      <c r="AA528" s="26"/>
      <c r="AB528" s="26"/>
      <c r="AC528" s="26"/>
      <c r="AD528" s="26"/>
    </row>
    <row r="529" spans="3:30" x14ac:dyDescent="0.35">
      <c r="C529" t="s">
        <v>31</v>
      </c>
      <c r="D529" t="s">
        <v>199</v>
      </c>
      <c r="E529" t="s">
        <v>195</v>
      </c>
      <c r="F529" s="12" t="s">
        <v>194</v>
      </c>
      <c r="G529" s="12" t="s">
        <v>196</v>
      </c>
      <c r="H529" s="12" t="s">
        <v>189</v>
      </c>
      <c r="I529" s="12"/>
      <c r="J529" s="12" t="s">
        <v>198</v>
      </c>
      <c r="K529" s="4">
        <v>5</v>
      </c>
      <c r="L529" s="23">
        <v>408</v>
      </c>
      <c r="M529" s="23">
        <v>414</v>
      </c>
      <c r="N529" s="24">
        <v>444</v>
      </c>
      <c r="O529" s="23">
        <v>444</v>
      </c>
      <c r="P529" s="23">
        <v>444</v>
      </c>
      <c r="Q529" s="23">
        <v>444</v>
      </c>
      <c r="R529" s="23"/>
      <c r="Z529" s="26"/>
      <c r="AA529" s="26"/>
      <c r="AB529" s="26"/>
      <c r="AC529" s="26"/>
      <c r="AD529" s="26"/>
    </row>
    <row r="530" spans="3:30" x14ac:dyDescent="0.35">
      <c r="C530" t="s">
        <v>31</v>
      </c>
      <c r="D530" t="s">
        <v>199</v>
      </c>
      <c r="E530" t="s">
        <v>195</v>
      </c>
      <c r="F530" s="12" t="s">
        <v>194</v>
      </c>
      <c r="G530" s="12" t="s">
        <v>196</v>
      </c>
      <c r="H530" s="12" t="s">
        <v>189</v>
      </c>
      <c r="I530" s="12"/>
      <c r="J530" s="12" t="s">
        <v>198</v>
      </c>
      <c r="K530" s="4">
        <v>6</v>
      </c>
      <c r="L530" s="23">
        <v>447</v>
      </c>
      <c r="M530" s="23">
        <v>453</v>
      </c>
      <c r="N530" s="24">
        <v>487</v>
      </c>
      <c r="O530" s="23">
        <v>487</v>
      </c>
      <c r="P530" s="23">
        <v>487</v>
      </c>
      <c r="Q530" s="23">
        <v>487</v>
      </c>
      <c r="R530" s="23"/>
      <c r="Z530" s="26"/>
      <c r="AA530" s="26"/>
      <c r="AB530" s="26"/>
      <c r="AC530" s="26"/>
      <c r="AD530" s="26"/>
    </row>
    <row r="531" spans="3:30" x14ac:dyDescent="0.35">
      <c r="C531" t="s">
        <v>31</v>
      </c>
      <c r="D531" t="s">
        <v>200</v>
      </c>
      <c r="E531" t="s">
        <v>195</v>
      </c>
      <c r="F531" s="12" t="s">
        <v>194</v>
      </c>
      <c r="G531" s="12" t="s">
        <v>196</v>
      </c>
      <c r="H531" s="12" t="s">
        <v>192</v>
      </c>
      <c r="I531" s="12"/>
      <c r="J531" s="12" t="s">
        <v>198</v>
      </c>
      <c r="K531" s="4">
        <v>7</v>
      </c>
      <c r="L531" s="23"/>
      <c r="M531" s="23"/>
      <c r="N531" s="24">
        <v>546</v>
      </c>
      <c r="O531" s="23">
        <v>546</v>
      </c>
      <c r="P531" s="23">
        <v>546</v>
      </c>
      <c r="Q531" s="23">
        <v>546</v>
      </c>
      <c r="R531" s="23"/>
      <c r="Z531" s="26"/>
      <c r="AA531" s="26"/>
      <c r="AB531" s="26"/>
      <c r="AC531" s="26"/>
      <c r="AD531" s="26"/>
    </row>
    <row r="532" spans="3:30" x14ac:dyDescent="0.35">
      <c r="C532" t="s">
        <v>31</v>
      </c>
      <c r="D532" t="s">
        <v>201</v>
      </c>
      <c r="E532" t="s">
        <v>195</v>
      </c>
      <c r="F532" s="12" t="s">
        <v>194</v>
      </c>
      <c r="G532" s="12" t="s">
        <v>196</v>
      </c>
      <c r="H532" s="12" t="s">
        <v>193</v>
      </c>
      <c r="I532" s="12"/>
      <c r="J532" s="12" t="s">
        <v>198</v>
      </c>
      <c r="K532" s="4">
        <v>8</v>
      </c>
      <c r="L532" s="23"/>
      <c r="M532" s="23"/>
      <c r="N532" s="24">
        <v>589</v>
      </c>
      <c r="O532" s="23">
        <v>589</v>
      </c>
      <c r="P532" s="23">
        <v>589</v>
      </c>
      <c r="Q532" s="23">
        <v>589</v>
      </c>
      <c r="R532" s="23"/>
      <c r="Z532" s="26"/>
      <c r="AA532" s="26"/>
      <c r="AB532" s="26"/>
      <c r="AC532" s="26"/>
      <c r="AD532" s="26"/>
    </row>
    <row r="533" spans="3:30" x14ac:dyDescent="0.35">
      <c r="C533" t="s">
        <v>31</v>
      </c>
      <c r="D533" t="s">
        <v>143</v>
      </c>
      <c r="E533" t="s">
        <v>202</v>
      </c>
      <c r="F533" s="12" t="s">
        <v>188</v>
      </c>
      <c r="G533" s="12" t="s">
        <v>153</v>
      </c>
      <c r="H533" s="12"/>
      <c r="I533" s="12"/>
      <c r="J533" s="12"/>
      <c r="K533" s="4">
        <v>1</v>
      </c>
      <c r="L533" s="23">
        <v>313</v>
      </c>
      <c r="M533" s="23">
        <v>313</v>
      </c>
      <c r="N533" s="24">
        <v>313</v>
      </c>
      <c r="O533" s="23">
        <v>313</v>
      </c>
      <c r="P533" s="23">
        <v>313</v>
      </c>
      <c r="Q533" s="23">
        <v>313</v>
      </c>
      <c r="R533" s="23"/>
      <c r="Z533" s="26"/>
      <c r="AA533" s="26"/>
      <c r="AB533" s="26"/>
      <c r="AC533" s="26"/>
      <c r="AD533" s="26"/>
    </row>
    <row r="534" spans="3:30" x14ac:dyDescent="0.35">
      <c r="C534" t="s">
        <v>31</v>
      </c>
      <c r="D534" t="s">
        <v>143</v>
      </c>
      <c r="E534" t="s">
        <v>202</v>
      </c>
      <c r="F534" s="12" t="s">
        <v>188</v>
      </c>
      <c r="G534" s="12" t="s">
        <v>153</v>
      </c>
      <c r="H534" s="12"/>
      <c r="I534" s="12"/>
      <c r="J534" s="12"/>
      <c r="K534" s="4">
        <v>2</v>
      </c>
      <c r="L534" s="23">
        <v>650</v>
      </c>
      <c r="M534" s="23">
        <v>650</v>
      </c>
      <c r="N534" s="24">
        <v>650</v>
      </c>
      <c r="O534" s="23">
        <v>650</v>
      </c>
      <c r="P534" s="23">
        <v>650</v>
      </c>
      <c r="Q534" s="23">
        <v>650</v>
      </c>
      <c r="R534" s="23"/>
      <c r="Z534" s="26"/>
      <c r="AA534" s="26"/>
      <c r="AB534" s="26"/>
      <c r="AC534" s="26"/>
      <c r="AD534" s="26"/>
    </row>
    <row r="535" spans="3:30" x14ac:dyDescent="0.35">
      <c r="C535" t="s">
        <v>31</v>
      </c>
      <c r="D535" t="s">
        <v>143</v>
      </c>
      <c r="E535" t="s">
        <v>202</v>
      </c>
      <c r="F535" s="12" t="s">
        <v>188</v>
      </c>
      <c r="G535" s="12" t="s">
        <v>153</v>
      </c>
      <c r="H535" s="12"/>
      <c r="I535" s="12"/>
      <c r="J535" s="12"/>
      <c r="K535" s="4">
        <v>3</v>
      </c>
      <c r="L535" s="23">
        <v>751</v>
      </c>
      <c r="M535" s="23">
        <v>751</v>
      </c>
      <c r="N535" s="24">
        <v>751</v>
      </c>
      <c r="O535" s="23">
        <v>751</v>
      </c>
      <c r="P535" s="23">
        <v>751</v>
      </c>
      <c r="Q535" s="23">
        <v>751</v>
      </c>
      <c r="R535" s="23"/>
      <c r="Z535" s="26"/>
      <c r="AA535" s="26"/>
      <c r="AB535" s="26"/>
      <c r="AC535" s="26"/>
      <c r="AD535" s="26"/>
    </row>
    <row r="536" spans="3:30" x14ac:dyDescent="0.35">
      <c r="C536" t="s">
        <v>31</v>
      </c>
      <c r="D536" t="s">
        <v>143</v>
      </c>
      <c r="E536" t="s">
        <v>202</v>
      </c>
      <c r="F536" s="12" t="s">
        <v>188</v>
      </c>
      <c r="G536" s="12" t="s">
        <v>153</v>
      </c>
      <c r="H536" s="12"/>
      <c r="I536" s="12"/>
      <c r="J536" s="12"/>
      <c r="K536" s="4">
        <v>4</v>
      </c>
      <c r="L536" s="23">
        <v>903</v>
      </c>
      <c r="M536" s="23">
        <v>903</v>
      </c>
      <c r="N536" s="24">
        <v>903</v>
      </c>
      <c r="O536" s="23">
        <v>903</v>
      </c>
      <c r="P536" s="23">
        <v>903</v>
      </c>
      <c r="Q536" s="23">
        <v>903</v>
      </c>
      <c r="R536" s="23"/>
      <c r="Z536" s="26"/>
      <c r="AA536" s="26"/>
      <c r="AB536" s="26"/>
      <c r="AC536" s="26"/>
      <c r="AD536" s="26"/>
    </row>
    <row r="537" spans="3:30" x14ac:dyDescent="0.35">
      <c r="C537" t="s">
        <v>31</v>
      </c>
      <c r="D537" t="s">
        <v>143</v>
      </c>
      <c r="E537" t="s">
        <v>202</v>
      </c>
      <c r="F537" s="12" t="s">
        <v>188</v>
      </c>
      <c r="G537" s="12" t="s">
        <v>153</v>
      </c>
      <c r="H537" s="12"/>
      <c r="I537" s="12"/>
      <c r="J537" s="12"/>
      <c r="K537" s="4">
        <v>5</v>
      </c>
      <c r="L537" s="23">
        <v>1003</v>
      </c>
      <c r="M537" s="23">
        <v>1003</v>
      </c>
      <c r="N537" s="24">
        <v>1003</v>
      </c>
      <c r="O537" s="23">
        <v>1003</v>
      </c>
      <c r="P537" s="23">
        <v>1003</v>
      </c>
      <c r="Q537" s="23">
        <v>1003</v>
      </c>
      <c r="R537" s="23"/>
      <c r="Z537" s="26"/>
      <c r="AA537" s="26"/>
      <c r="AB537" s="26"/>
      <c r="AC537" s="26"/>
      <c r="AD537" s="26"/>
    </row>
    <row r="538" spans="3:30" x14ac:dyDescent="0.35">
      <c r="C538" t="s">
        <v>31</v>
      </c>
      <c r="D538" t="s">
        <v>143</v>
      </c>
      <c r="E538" t="s">
        <v>202</v>
      </c>
      <c r="F538" s="12" t="s">
        <v>188</v>
      </c>
      <c r="G538" s="12" t="s">
        <v>153</v>
      </c>
      <c r="H538" s="12"/>
      <c r="I538" s="12"/>
      <c r="J538" s="12"/>
      <c r="K538" s="4">
        <v>6</v>
      </c>
      <c r="L538" s="23">
        <v>1153</v>
      </c>
      <c r="M538" s="23">
        <v>1153</v>
      </c>
      <c r="N538" s="24">
        <v>1153</v>
      </c>
      <c r="O538" s="23">
        <v>1153</v>
      </c>
      <c r="P538" s="23">
        <v>1153</v>
      </c>
      <c r="Q538" s="23">
        <v>1153</v>
      </c>
      <c r="R538" s="23"/>
      <c r="Z538" s="26"/>
      <c r="AA538" s="26"/>
      <c r="AB538" s="26"/>
      <c r="AC538" s="26"/>
      <c r="AD538" s="26"/>
    </row>
    <row r="539" spans="3:30" x14ac:dyDescent="0.35">
      <c r="C539" t="s">
        <v>31</v>
      </c>
      <c r="D539" t="s">
        <v>143</v>
      </c>
      <c r="E539" t="s">
        <v>202</v>
      </c>
      <c r="F539" s="12" t="s">
        <v>188</v>
      </c>
      <c r="G539" s="12" t="s">
        <v>153</v>
      </c>
      <c r="H539" s="12"/>
      <c r="I539" s="12"/>
      <c r="J539" s="12"/>
      <c r="K539" s="4">
        <v>7</v>
      </c>
      <c r="L539" s="23">
        <v>1252</v>
      </c>
      <c r="M539" s="23">
        <v>1252</v>
      </c>
      <c r="N539" s="24">
        <v>1252</v>
      </c>
      <c r="O539" s="23">
        <v>1252</v>
      </c>
      <c r="P539" s="23">
        <v>1252</v>
      </c>
      <c r="Q539" s="23">
        <v>1252</v>
      </c>
      <c r="R539" s="23"/>
      <c r="Z539" s="26"/>
      <c r="AA539" s="26"/>
      <c r="AB539" s="26"/>
      <c r="AC539" s="26"/>
      <c r="AD539" s="26"/>
    </row>
    <row r="540" spans="3:30" x14ac:dyDescent="0.35">
      <c r="C540" t="s">
        <v>31</v>
      </c>
      <c r="D540" t="s">
        <v>143</v>
      </c>
      <c r="E540" t="s">
        <v>202</v>
      </c>
      <c r="F540" s="12" t="s">
        <v>188</v>
      </c>
      <c r="G540" s="12" t="s">
        <v>153</v>
      </c>
      <c r="H540" s="12"/>
      <c r="I540" s="12"/>
      <c r="J540" s="12"/>
      <c r="K540" s="4">
        <v>8</v>
      </c>
      <c r="L540" s="23">
        <v>1425</v>
      </c>
      <c r="M540" s="23">
        <v>1425</v>
      </c>
      <c r="N540" s="24">
        <v>1425</v>
      </c>
      <c r="O540" s="23">
        <v>1425</v>
      </c>
      <c r="P540" s="23">
        <v>1425</v>
      </c>
      <c r="Q540" s="23">
        <v>1425</v>
      </c>
      <c r="R540" s="23"/>
      <c r="Z540" s="26"/>
      <c r="AA540" s="26"/>
      <c r="AB540" s="26"/>
      <c r="AC540" s="26"/>
      <c r="AD540" s="26"/>
    </row>
    <row r="541" spans="3:30" x14ac:dyDescent="0.35">
      <c r="C541" t="s">
        <v>31</v>
      </c>
      <c r="D541" t="s">
        <v>143</v>
      </c>
      <c r="E541" t="s">
        <v>202</v>
      </c>
      <c r="F541" s="12" t="s">
        <v>194</v>
      </c>
      <c r="G541" s="12" t="s">
        <v>153</v>
      </c>
      <c r="H541" s="12"/>
      <c r="I541" s="12"/>
      <c r="J541" s="12"/>
      <c r="K541" s="4">
        <v>2</v>
      </c>
      <c r="L541" s="23">
        <v>498</v>
      </c>
      <c r="M541" s="23">
        <v>498</v>
      </c>
      <c r="N541" s="24">
        <v>498</v>
      </c>
      <c r="O541" s="23">
        <v>498</v>
      </c>
      <c r="P541" s="23">
        <v>498</v>
      </c>
      <c r="Q541" s="23">
        <v>498</v>
      </c>
      <c r="R541" s="23"/>
      <c r="Z541" s="26"/>
      <c r="AA541" s="26"/>
      <c r="AB541" s="26"/>
      <c r="AC541" s="26"/>
      <c r="AD541" s="26"/>
    </row>
    <row r="542" spans="3:30" x14ac:dyDescent="0.35">
      <c r="C542" t="s">
        <v>31</v>
      </c>
      <c r="D542" t="s">
        <v>143</v>
      </c>
      <c r="E542" t="s">
        <v>202</v>
      </c>
      <c r="F542" s="12" t="s">
        <v>194</v>
      </c>
      <c r="G542" s="12" t="s">
        <v>153</v>
      </c>
      <c r="H542" s="12"/>
      <c r="I542" s="12"/>
      <c r="J542" s="12"/>
      <c r="K542" s="4">
        <v>3</v>
      </c>
      <c r="L542" s="23">
        <v>824</v>
      </c>
      <c r="M542" s="23">
        <v>824</v>
      </c>
      <c r="N542" s="24">
        <v>824</v>
      </c>
      <c r="O542" s="23">
        <v>824</v>
      </c>
      <c r="P542" s="23">
        <v>824</v>
      </c>
      <c r="Q542" s="23">
        <v>824</v>
      </c>
      <c r="R542" s="23"/>
      <c r="Z542" s="26"/>
      <c r="AA542" s="26"/>
      <c r="AB542" s="26"/>
      <c r="AC542" s="26"/>
      <c r="AD542" s="26"/>
    </row>
    <row r="543" spans="3:30" x14ac:dyDescent="0.35">
      <c r="C543" t="s">
        <v>31</v>
      </c>
      <c r="D543" t="s">
        <v>143</v>
      </c>
      <c r="E543" t="s">
        <v>202</v>
      </c>
      <c r="F543" s="12" t="s">
        <v>194</v>
      </c>
      <c r="G543" s="12" t="s">
        <v>153</v>
      </c>
      <c r="H543" s="12"/>
      <c r="I543" s="12"/>
      <c r="J543" s="12"/>
      <c r="K543" s="4">
        <v>4</v>
      </c>
      <c r="L543" s="23">
        <v>925</v>
      </c>
      <c r="M543" s="23">
        <v>925</v>
      </c>
      <c r="N543" s="24">
        <v>925</v>
      </c>
      <c r="O543" s="23">
        <v>925</v>
      </c>
      <c r="P543" s="23">
        <v>925</v>
      </c>
      <c r="Q543" s="23">
        <v>925</v>
      </c>
      <c r="R543" s="23"/>
      <c r="Z543" s="26"/>
      <c r="AA543" s="26"/>
      <c r="AB543" s="26"/>
      <c r="AC543" s="26"/>
      <c r="AD543" s="26"/>
    </row>
    <row r="544" spans="3:30" x14ac:dyDescent="0.35">
      <c r="C544" t="s">
        <v>31</v>
      </c>
      <c r="D544" t="s">
        <v>143</v>
      </c>
      <c r="E544" t="s">
        <v>202</v>
      </c>
      <c r="F544" s="12" t="s">
        <v>194</v>
      </c>
      <c r="G544" s="12" t="s">
        <v>153</v>
      </c>
      <c r="H544" s="12"/>
      <c r="I544" s="12"/>
      <c r="J544" s="12"/>
      <c r="K544" s="4">
        <v>5</v>
      </c>
      <c r="L544" s="23">
        <v>1073</v>
      </c>
      <c r="M544" s="23">
        <v>1073</v>
      </c>
      <c r="N544" s="24">
        <v>1073</v>
      </c>
      <c r="O544" s="23">
        <v>1073</v>
      </c>
      <c r="P544" s="23">
        <v>1073</v>
      </c>
      <c r="Q544" s="23">
        <v>1073</v>
      </c>
      <c r="R544" s="23"/>
      <c r="Z544" s="26"/>
      <c r="AA544" s="26"/>
      <c r="AB544" s="26"/>
      <c r="AC544" s="26"/>
      <c r="AD544" s="26"/>
    </row>
    <row r="545" spans="3:30" x14ac:dyDescent="0.35">
      <c r="C545" t="s">
        <v>31</v>
      </c>
      <c r="D545" t="s">
        <v>143</v>
      </c>
      <c r="E545" t="s">
        <v>202</v>
      </c>
      <c r="F545" s="12" t="s">
        <v>194</v>
      </c>
      <c r="G545" s="12" t="s">
        <v>153</v>
      </c>
      <c r="H545" s="12"/>
      <c r="I545" s="12"/>
      <c r="J545" s="12"/>
      <c r="K545" s="4">
        <v>6</v>
      </c>
      <c r="L545" s="23">
        <v>1176</v>
      </c>
      <c r="M545" s="23">
        <v>1176</v>
      </c>
      <c r="N545" s="24">
        <v>1176</v>
      </c>
      <c r="O545" s="23">
        <v>1176</v>
      </c>
      <c r="P545" s="23">
        <v>1176</v>
      </c>
      <c r="Q545" s="23">
        <v>1176</v>
      </c>
      <c r="R545" s="23"/>
      <c r="Z545" s="26"/>
      <c r="AA545" s="26"/>
      <c r="AB545" s="26"/>
      <c r="AC545" s="26"/>
      <c r="AD545" s="26"/>
    </row>
    <row r="546" spans="3:30" x14ac:dyDescent="0.35">
      <c r="C546" t="s">
        <v>31</v>
      </c>
      <c r="D546" t="s">
        <v>143</v>
      </c>
      <c r="E546" t="s">
        <v>202</v>
      </c>
      <c r="F546" s="12" t="s">
        <v>194</v>
      </c>
      <c r="G546" s="12" t="s">
        <v>153</v>
      </c>
      <c r="H546" s="12"/>
      <c r="I546" s="12"/>
      <c r="J546" s="12"/>
      <c r="K546" s="4">
        <v>7</v>
      </c>
      <c r="L546" s="23">
        <v>1319</v>
      </c>
      <c r="M546" s="23">
        <v>1319</v>
      </c>
      <c r="N546" s="24">
        <v>1319</v>
      </c>
      <c r="O546" s="23">
        <v>1319</v>
      </c>
      <c r="P546" s="23">
        <v>1319</v>
      </c>
      <c r="Q546" s="23">
        <v>1319</v>
      </c>
      <c r="R546" s="23"/>
      <c r="Z546" s="26"/>
      <c r="AA546" s="26"/>
      <c r="AB546" s="26"/>
      <c r="AC546" s="26"/>
      <c r="AD546" s="26"/>
    </row>
    <row r="547" spans="3:30" x14ac:dyDescent="0.35">
      <c r="C547" t="s">
        <v>31</v>
      </c>
      <c r="D547" t="s">
        <v>143</v>
      </c>
      <c r="E547" t="s">
        <v>202</v>
      </c>
      <c r="F547" s="12" t="s">
        <v>194</v>
      </c>
      <c r="G547" s="12" t="s">
        <v>153</v>
      </c>
      <c r="H547" s="12"/>
      <c r="I547" s="12"/>
      <c r="J547" s="12"/>
      <c r="K547" s="4">
        <v>8</v>
      </c>
      <c r="L547" s="23">
        <v>1422</v>
      </c>
      <c r="M547" s="23">
        <v>1422</v>
      </c>
      <c r="N547" s="24">
        <v>1422</v>
      </c>
      <c r="O547" s="23">
        <v>1422</v>
      </c>
      <c r="P547" s="23">
        <v>1422</v>
      </c>
      <c r="Q547" s="23">
        <v>1422</v>
      </c>
      <c r="R547" s="23"/>
      <c r="Z547" s="26"/>
      <c r="AA547" s="26"/>
      <c r="AB547" s="26"/>
      <c r="AC547" s="26"/>
      <c r="AD547" s="26"/>
    </row>
    <row r="548" spans="3:30" x14ac:dyDescent="0.35">
      <c r="C548" t="s">
        <v>31</v>
      </c>
      <c r="D548" t="s">
        <v>203</v>
      </c>
      <c r="E548" t="s">
        <v>204</v>
      </c>
      <c r="F548" s="12" t="s">
        <v>188</v>
      </c>
      <c r="G548" s="12"/>
      <c r="H548" s="12"/>
      <c r="I548" s="12"/>
      <c r="J548" s="12" t="s">
        <v>191</v>
      </c>
      <c r="K548" s="4">
        <v>1</v>
      </c>
      <c r="L548" s="23">
        <v>78</v>
      </c>
      <c r="M548" s="23">
        <v>78</v>
      </c>
      <c r="N548" s="24">
        <v>78</v>
      </c>
      <c r="O548" s="23">
        <v>78</v>
      </c>
      <c r="P548" s="23">
        <v>78</v>
      </c>
      <c r="Q548" s="23">
        <v>78</v>
      </c>
      <c r="R548" s="23"/>
      <c r="Z548" s="26"/>
      <c r="AA548" s="26"/>
      <c r="AB548" s="26"/>
      <c r="AC548" s="26"/>
      <c r="AD548" s="26"/>
    </row>
    <row r="549" spans="3:30" x14ac:dyDescent="0.35">
      <c r="C549" t="s">
        <v>31</v>
      </c>
      <c r="D549" t="s">
        <v>203</v>
      </c>
      <c r="E549" t="s">
        <v>204</v>
      </c>
      <c r="F549" s="12" t="s">
        <v>188</v>
      </c>
      <c r="G549" s="12"/>
      <c r="H549" s="12"/>
      <c r="I549" s="12"/>
      <c r="J549" s="12" t="s">
        <v>191</v>
      </c>
      <c r="K549" s="4">
        <v>2</v>
      </c>
      <c r="L549" s="23">
        <v>163</v>
      </c>
      <c r="M549" s="23">
        <v>163</v>
      </c>
      <c r="N549" s="24">
        <v>163</v>
      </c>
      <c r="O549" s="23">
        <v>163</v>
      </c>
      <c r="P549" s="23">
        <v>163</v>
      </c>
      <c r="Q549" s="23">
        <v>163</v>
      </c>
      <c r="R549" s="23"/>
      <c r="Z549" s="26"/>
      <c r="AA549" s="26"/>
      <c r="AB549" s="26"/>
      <c r="AC549" s="26"/>
      <c r="AD549" s="26"/>
    </row>
    <row r="550" spans="3:30" x14ac:dyDescent="0.35">
      <c r="C550" t="s">
        <v>31</v>
      </c>
      <c r="D550" t="s">
        <v>203</v>
      </c>
      <c r="E550" t="s">
        <v>204</v>
      </c>
      <c r="F550" s="12" t="s">
        <v>188</v>
      </c>
      <c r="G550" s="12"/>
      <c r="H550" s="12"/>
      <c r="I550" s="12"/>
      <c r="J550" s="12" t="s">
        <v>191</v>
      </c>
      <c r="K550" s="4">
        <v>3</v>
      </c>
      <c r="L550" s="23">
        <v>188</v>
      </c>
      <c r="M550" s="23">
        <v>188</v>
      </c>
      <c r="N550" s="24">
        <v>188</v>
      </c>
      <c r="O550" s="23">
        <v>188</v>
      </c>
      <c r="P550" s="23">
        <v>188</v>
      </c>
      <c r="Q550" s="23">
        <v>188</v>
      </c>
      <c r="R550" s="23"/>
      <c r="Z550" s="26"/>
      <c r="AA550" s="26"/>
      <c r="AB550" s="26"/>
      <c r="AC550" s="26"/>
      <c r="AD550" s="26"/>
    </row>
    <row r="551" spans="3:30" x14ac:dyDescent="0.35">
      <c r="C551" t="s">
        <v>31</v>
      </c>
      <c r="D551" t="s">
        <v>203</v>
      </c>
      <c r="E551" t="s">
        <v>204</v>
      </c>
      <c r="F551" s="12" t="s">
        <v>188</v>
      </c>
      <c r="G551" s="12"/>
      <c r="H551" s="12"/>
      <c r="I551" s="12"/>
      <c r="J551" s="12" t="s">
        <v>191</v>
      </c>
      <c r="K551" s="4">
        <v>4</v>
      </c>
      <c r="L551" s="23">
        <v>226</v>
      </c>
      <c r="M551" s="23">
        <v>226</v>
      </c>
      <c r="N551" s="24">
        <v>226</v>
      </c>
      <c r="O551" s="23">
        <v>226</v>
      </c>
      <c r="P551" s="23">
        <v>226</v>
      </c>
      <c r="Q551" s="23">
        <v>226</v>
      </c>
      <c r="R551" s="23"/>
      <c r="Z551" s="26"/>
      <c r="AA551" s="26"/>
      <c r="AB551" s="26"/>
      <c r="AC551" s="26"/>
      <c r="AD551" s="26"/>
    </row>
    <row r="552" spans="3:30" x14ac:dyDescent="0.35">
      <c r="C552" t="s">
        <v>31</v>
      </c>
      <c r="D552" t="s">
        <v>203</v>
      </c>
      <c r="E552" t="s">
        <v>204</v>
      </c>
      <c r="F552" s="12" t="s">
        <v>188</v>
      </c>
      <c r="G552" s="12"/>
      <c r="H552" s="12"/>
      <c r="I552" s="12"/>
      <c r="J552" s="12" t="s">
        <v>191</v>
      </c>
      <c r="K552" s="4">
        <v>5</v>
      </c>
      <c r="L552" s="23">
        <v>251</v>
      </c>
      <c r="M552" s="23">
        <v>251</v>
      </c>
      <c r="N552" s="24">
        <v>251</v>
      </c>
      <c r="O552" s="23">
        <v>251</v>
      </c>
      <c r="P552" s="23">
        <v>251</v>
      </c>
      <c r="Q552" s="23">
        <v>251</v>
      </c>
      <c r="R552" s="23"/>
      <c r="Z552" s="26"/>
      <c r="AA552" s="26"/>
      <c r="AB552" s="26"/>
      <c r="AC552" s="26"/>
      <c r="AD552" s="26"/>
    </row>
    <row r="553" spans="3:30" x14ac:dyDescent="0.35">
      <c r="C553" t="s">
        <v>31</v>
      </c>
      <c r="D553" t="s">
        <v>203</v>
      </c>
      <c r="E553" t="s">
        <v>204</v>
      </c>
      <c r="F553" s="12" t="s">
        <v>188</v>
      </c>
      <c r="G553" s="12"/>
      <c r="H553" s="12"/>
      <c r="I553" s="12"/>
      <c r="J553" s="12" t="s">
        <v>191</v>
      </c>
      <c r="K553" s="4">
        <v>6</v>
      </c>
      <c r="L553" s="23">
        <v>288</v>
      </c>
      <c r="M553" s="23">
        <v>288</v>
      </c>
      <c r="N553" s="24">
        <v>288</v>
      </c>
      <c r="O553" s="23">
        <v>288</v>
      </c>
      <c r="P553" s="23">
        <v>288</v>
      </c>
      <c r="Q553" s="23">
        <v>288</v>
      </c>
      <c r="R553" s="23"/>
      <c r="Z553" s="26"/>
      <c r="AA553" s="26"/>
      <c r="AB553" s="26"/>
      <c r="AC553" s="26"/>
      <c r="AD553" s="26"/>
    </row>
    <row r="554" spans="3:30" x14ac:dyDescent="0.35">
      <c r="C554" t="s">
        <v>31</v>
      </c>
      <c r="D554" t="s">
        <v>203</v>
      </c>
      <c r="E554" t="s">
        <v>204</v>
      </c>
      <c r="F554" s="12" t="s">
        <v>188</v>
      </c>
      <c r="G554" s="12"/>
      <c r="H554" s="12"/>
      <c r="I554" s="12"/>
      <c r="J554" s="12" t="s">
        <v>191</v>
      </c>
      <c r="K554" s="4">
        <v>7</v>
      </c>
      <c r="L554" s="23">
        <v>313</v>
      </c>
      <c r="M554" s="23">
        <v>313</v>
      </c>
      <c r="N554" s="24">
        <v>313</v>
      </c>
      <c r="O554" s="23">
        <v>313</v>
      </c>
      <c r="P554" s="23">
        <v>313</v>
      </c>
      <c r="Q554" s="23">
        <v>313</v>
      </c>
      <c r="R554" s="23"/>
      <c r="Z554" s="26"/>
      <c r="AA554" s="26"/>
      <c r="AB554" s="26"/>
      <c r="AC554" s="26"/>
      <c r="AD554" s="26"/>
    </row>
    <row r="555" spans="3:30" x14ac:dyDescent="0.35">
      <c r="C555" t="s">
        <v>31</v>
      </c>
      <c r="D555" t="s">
        <v>203</v>
      </c>
      <c r="E555" t="s">
        <v>204</v>
      </c>
      <c r="F555" s="12" t="s">
        <v>188</v>
      </c>
      <c r="G555" s="12"/>
      <c r="H555" s="12"/>
      <c r="I555" s="12"/>
      <c r="J555" s="12" t="s">
        <v>191</v>
      </c>
      <c r="K555" s="4">
        <v>8</v>
      </c>
      <c r="L555" s="23">
        <v>356</v>
      </c>
      <c r="M555" s="23">
        <v>356</v>
      </c>
      <c r="N555" s="24">
        <v>356</v>
      </c>
      <c r="O555" s="23">
        <v>356</v>
      </c>
      <c r="P555" s="23">
        <v>356</v>
      </c>
      <c r="Q555" s="23">
        <v>356</v>
      </c>
      <c r="R555" s="23"/>
      <c r="Z555" s="26"/>
      <c r="AA555" s="26"/>
      <c r="AB555" s="26"/>
      <c r="AC555" s="26"/>
      <c r="AD555" s="26"/>
    </row>
    <row r="556" spans="3:30" x14ac:dyDescent="0.35">
      <c r="C556" t="s">
        <v>31</v>
      </c>
      <c r="D556" t="s">
        <v>203</v>
      </c>
      <c r="E556" t="s">
        <v>204</v>
      </c>
      <c r="F556" s="12" t="s">
        <v>194</v>
      </c>
      <c r="G556" s="12"/>
      <c r="H556" s="12"/>
      <c r="I556" s="12"/>
      <c r="J556" s="12" t="s">
        <v>191</v>
      </c>
      <c r="K556" s="4">
        <v>2</v>
      </c>
      <c r="L556" s="23">
        <v>125</v>
      </c>
      <c r="M556" s="23">
        <v>125</v>
      </c>
      <c r="N556" s="24">
        <v>125</v>
      </c>
      <c r="O556" s="23">
        <v>125</v>
      </c>
      <c r="P556" s="23">
        <v>125</v>
      </c>
      <c r="Q556" s="23">
        <v>125</v>
      </c>
      <c r="R556" s="23"/>
      <c r="Z556" s="26"/>
      <c r="AA556" s="26"/>
      <c r="AB556" s="26"/>
      <c r="AC556" s="26"/>
      <c r="AD556" s="26"/>
    </row>
    <row r="557" spans="3:30" x14ac:dyDescent="0.35">
      <c r="C557" t="s">
        <v>31</v>
      </c>
      <c r="D557" t="s">
        <v>203</v>
      </c>
      <c r="E557" t="s">
        <v>204</v>
      </c>
      <c r="F557" s="12" t="s">
        <v>194</v>
      </c>
      <c r="G557" s="12"/>
      <c r="H557" s="12"/>
      <c r="I557" s="12"/>
      <c r="J557" s="12" t="s">
        <v>191</v>
      </c>
      <c r="K557" s="4">
        <v>3</v>
      </c>
      <c r="L557" s="23">
        <v>206</v>
      </c>
      <c r="M557" s="23">
        <v>206</v>
      </c>
      <c r="N557" s="24">
        <v>206</v>
      </c>
      <c r="O557" s="23">
        <v>206</v>
      </c>
      <c r="P557" s="23">
        <v>206</v>
      </c>
      <c r="Q557" s="23">
        <v>206</v>
      </c>
      <c r="R557" s="23"/>
      <c r="Z557" s="26"/>
      <c r="AA557" s="26"/>
      <c r="AB557" s="26"/>
      <c r="AC557" s="26"/>
      <c r="AD557" s="26"/>
    </row>
    <row r="558" spans="3:30" x14ac:dyDescent="0.35">
      <c r="C558" t="s">
        <v>31</v>
      </c>
      <c r="D558" t="s">
        <v>203</v>
      </c>
      <c r="E558" t="s">
        <v>204</v>
      </c>
      <c r="F558" s="12" t="s">
        <v>194</v>
      </c>
      <c r="G558" s="12"/>
      <c r="H558" s="12"/>
      <c r="I558" s="12"/>
      <c r="J558" s="12" t="s">
        <v>191</v>
      </c>
      <c r="K558" s="4">
        <v>4</v>
      </c>
      <c r="L558" s="23">
        <v>231</v>
      </c>
      <c r="M558" s="23">
        <v>231</v>
      </c>
      <c r="N558" s="24">
        <v>231</v>
      </c>
      <c r="O558" s="23">
        <v>231</v>
      </c>
      <c r="P558" s="23">
        <v>231</v>
      </c>
      <c r="Q558" s="23">
        <v>231</v>
      </c>
      <c r="R558" s="23"/>
      <c r="Z558" s="26"/>
      <c r="AA558" s="26"/>
      <c r="AB558" s="26"/>
      <c r="AC558" s="26"/>
      <c r="AD558" s="26"/>
    </row>
    <row r="559" spans="3:30" x14ac:dyDescent="0.35">
      <c r="C559" t="s">
        <v>31</v>
      </c>
      <c r="D559" t="s">
        <v>203</v>
      </c>
      <c r="E559" t="s">
        <v>204</v>
      </c>
      <c r="F559" s="12" t="s">
        <v>194</v>
      </c>
      <c r="G559" s="12"/>
      <c r="H559" s="12"/>
      <c r="I559" s="12"/>
      <c r="J559" s="12" t="s">
        <v>191</v>
      </c>
      <c r="K559" s="4">
        <v>5</v>
      </c>
      <c r="L559" s="23">
        <v>268</v>
      </c>
      <c r="M559" s="23">
        <v>268</v>
      </c>
      <c r="N559" s="24">
        <v>268</v>
      </c>
      <c r="O559" s="23">
        <v>268</v>
      </c>
      <c r="P559" s="23">
        <v>268</v>
      </c>
      <c r="Q559" s="23">
        <v>268</v>
      </c>
      <c r="R559" s="23"/>
      <c r="Z559" s="26"/>
      <c r="AA559" s="26"/>
      <c r="AB559" s="26"/>
      <c r="AC559" s="26"/>
      <c r="AD559" s="26"/>
    </row>
    <row r="560" spans="3:30" x14ac:dyDescent="0.35">
      <c r="C560" t="s">
        <v>31</v>
      </c>
      <c r="D560" t="s">
        <v>203</v>
      </c>
      <c r="E560" t="s">
        <v>204</v>
      </c>
      <c r="F560" s="12" t="s">
        <v>194</v>
      </c>
      <c r="G560" s="12"/>
      <c r="H560" s="12"/>
      <c r="I560" s="12"/>
      <c r="J560" s="12" t="s">
        <v>191</v>
      </c>
      <c r="K560" s="4">
        <v>6</v>
      </c>
      <c r="L560" s="23">
        <v>294</v>
      </c>
      <c r="M560" s="23">
        <v>294</v>
      </c>
      <c r="N560" s="24">
        <v>294</v>
      </c>
      <c r="O560" s="23">
        <v>294</v>
      </c>
      <c r="P560" s="23">
        <v>294</v>
      </c>
      <c r="Q560" s="23">
        <v>294</v>
      </c>
      <c r="R560" s="23"/>
      <c r="Z560" s="26"/>
      <c r="AA560" s="26"/>
      <c r="AB560" s="26"/>
      <c r="AC560" s="26"/>
      <c r="AD560" s="26"/>
    </row>
    <row r="561" spans="3:30" x14ac:dyDescent="0.35">
      <c r="C561" t="s">
        <v>31</v>
      </c>
      <c r="D561" t="s">
        <v>203</v>
      </c>
      <c r="E561" t="s">
        <v>204</v>
      </c>
      <c r="F561" s="12" t="s">
        <v>194</v>
      </c>
      <c r="G561" s="12"/>
      <c r="H561" s="12"/>
      <c r="I561" s="12"/>
      <c r="J561" s="12" t="s">
        <v>191</v>
      </c>
      <c r="K561" s="4">
        <v>7</v>
      </c>
      <c r="L561" s="23">
        <v>330</v>
      </c>
      <c r="M561" s="23">
        <v>330</v>
      </c>
      <c r="N561" s="24">
        <v>330</v>
      </c>
      <c r="O561" s="23">
        <v>330</v>
      </c>
      <c r="P561" s="23">
        <v>330</v>
      </c>
      <c r="Q561" s="23">
        <v>330</v>
      </c>
      <c r="R561" s="23"/>
      <c r="Z561" s="26"/>
      <c r="AA561" s="26"/>
      <c r="AB561" s="26"/>
      <c r="AC561" s="26"/>
      <c r="AD561" s="26"/>
    </row>
    <row r="562" spans="3:30" x14ac:dyDescent="0.35">
      <c r="C562" t="s">
        <v>31</v>
      </c>
      <c r="D562" t="s">
        <v>203</v>
      </c>
      <c r="E562" t="s">
        <v>204</v>
      </c>
      <c r="F562" s="12" t="s">
        <v>194</v>
      </c>
      <c r="G562" s="12"/>
      <c r="H562" s="12"/>
      <c r="I562" s="12"/>
      <c r="J562" s="12" t="s">
        <v>191</v>
      </c>
      <c r="K562" s="4">
        <v>8</v>
      </c>
      <c r="L562" s="23">
        <v>356</v>
      </c>
      <c r="M562" s="23">
        <v>356</v>
      </c>
      <c r="N562" s="24">
        <v>356</v>
      </c>
      <c r="O562" s="23">
        <v>356</v>
      </c>
      <c r="P562" s="23">
        <v>356</v>
      </c>
      <c r="Q562" s="23">
        <v>356</v>
      </c>
      <c r="R562" s="23"/>
      <c r="Z562" s="26"/>
      <c r="AA562" s="26"/>
      <c r="AB562" s="26"/>
      <c r="AC562" s="26"/>
      <c r="AD562" s="26"/>
    </row>
    <row r="563" spans="3:30" x14ac:dyDescent="0.35">
      <c r="C563" t="s">
        <v>32</v>
      </c>
      <c r="D563" t="s">
        <v>137</v>
      </c>
      <c r="E563" t="s">
        <v>88</v>
      </c>
      <c r="F563" s="12"/>
      <c r="G563" s="12"/>
      <c r="H563" s="12"/>
      <c r="I563" s="12"/>
      <c r="J563" s="12"/>
      <c r="K563" s="4">
        <v>1</v>
      </c>
      <c r="L563" s="23">
        <v>329</v>
      </c>
      <c r="M563" s="23">
        <v>329</v>
      </c>
      <c r="N563" s="24">
        <v>329</v>
      </c>
      <c r="O563" s="23">
        <v>329</v>
      </c>
      <c r="P563" s="23">
        <v>329</v>
      </c>
      <c r="Q563" s="23">
        <v>329</v>
      </c>
      <c r="R563" s="23"/>
      <c r="Z563" s="26"/>
      <c r="AA563" s="26"/>
      <c r="AB563" s="26"/>
      <c r="AC563" s="26"/>
      <c r="AD563" s="26"/>
    </row>
    <row r="564" spans="3:30" x14ac:dyDescent="0.35">
      <c r="C564" t="s">
        <v>32</v>
      </c>
      <c r="D564" t="s">
        <v>137</v>
      </c>
      <c r="E564" t="s">
        <v>88</v>
      </c>
      <c r="F564" s="12"/>
      <c r="G564" s="12"/>
      <c r="H564" s="12"/>
      <c r="I564" s="12"/>
      <c r="J564" s="12"/>
      <c r="K564" s="4">
        <v>2</v>
      </c>
      <c r="L564" s="23">
        <v>456</v>
      </c>
      <c r="M564" s="23">
        <v>456</v>
      </c>
      <c r="N564" s="24">
        <v>456</v>
      </c>
      <c r="O564" s="23">
        <v>456</v>
      </c>
      <c r="P564" s="23">
        <v>456</v>
      </c>
      <c r="Q564" s="23">
        <v>456</v>
      </c>
      <c r="R564" s="23"/>
      <c r="Z564" s="26"/>
      <c r="AA564" s="26"/>
      <c r="AB564" s="26"/>
      <c r="AC564" s="26"/>
      <c r="AD564" s="26"/>
    </row>
    <row r="565" spans="3:30" x14ac:dyDescent="0.35">
      <c r="C565" t="s">
        <v>32</v>
      </c>
      <c r="D565" t="s">
        <v>137</v>
      </c>
      <c r="E565" t="s">
        <v>88</v>
      </c>
      <c r="F565" s="12"/>
      <c r="G565" s="12"/>
      <c r="H565" s="12"/>
      <c r="I565" s="12"/>
      <c r="J565" s="12"/>
      <c r="K565" s="4">
        <v>3</v>
      </c>
      <c r="L565" s="23">
        <v>568</v>
      </c>
      <c r="M565" s="23">
        <v>568</v>
      </c>
      <c r="N565" s="24">
        <v>568</v>
      </c>
      <c r="O565" s="23">
        <v>568</v>
      </c>
      <c r="P565" s="23">
        <v>568</v>
      </c>
      <c r="Q565" s="23">
        <v>568</v>
      </c>
      <c r="R565" s="23"/>
      <c r="Z565" s="26"/>
      <c r="AA565" s="26"/>
      <c r="AB565" s="26"/>
      <c r="AC565" s="26"/>
      <c r="AD565" s="26"/>
    </row>
    <row r="566" spans="3:30" x14ac:dyDescent="0.35">
      <c r="C566" t="s">
        <v>32</v>
      </c>
      <c r="D566" t="s">
        <v>137</v>
      </c>
      <c r="E566" t="s">
        <v>88</v>
      </c>
      <c r="F566" s="12"/>
      <c r="G566" s="12"/>
      <c r="H566" s="12"/>
      <c r="I566" s="12"/>
      <c r="J566" s="12"/>
      <c r="K566" s="4">
        <v>4</v>
      </c>
      <c r="L566" s="23">
        <v>665</v>
      </c>
      <c r="M566" s="23">
        <v>665</v>
      </c>
      <c r="N566" s="24">
        <v>665</v>
      </c>
      <c r="O566" s="23">
        <v>665</v>
      </c>
      <c r="P566" s="23">
        <v>665</v>
      </c>
      <c r="Q566" s="23">
        <v>665</v>
      </c>
      <c r="R566" s="23"/>
      <c r="Z566" s="26"/>
      <c r="AA566" s="26"/>
      <c r="AB566" s="26"/>
      <c r="AC566" s="26"/>
      <c r="AD566" s="26"/>
    </row>
    <row r="567" spans="3:30" x14ac:dyDescent="0.35">
      <c r="C567" t="s">
        <v>32</v>
      </c>
      <c r="D567" t="s">
        <v>137</v>
      </c>
      <c r="E567" t="s">
        <v>88</v>
      </c>
      <c r="F567" s="12"/>
      <c r="G567" s="12"/>
      <c r="H567" s="12"/>
      <c r="I567" s="12"/>
      <c r="J567" s="12"/>
      <c r="K567" s="4">
        <v>5</v>
      </c>
      <c r="L567" s="23">
        <v>757</v>
      </c>
      <c r="M567" s="23">
        <v>757</v>
      </c>
      <c r="N567" s="24">
        <v>757</v>
      </c>
      <c r="O567" s="23">
        <v>757</v>
      </c>
      <c r="P567" s="23">
        <v>757</v>
      </c>
      <c r="Q567" s="23">
        <v>757</v>
      </c>
      <c r="R567" s="23"/>
      <c r="Z567" s="26"/>
      <c r="AA567" s="26"/>
      <c r="AB567" s="26"/>
      <c r="AC567" s="26"/>
      <c r="AD567" s="26"/>
    </row>
    <row r="568" spans="3:30" x14ac:dyDescent="0.35">
      <c r="C568" t="s">
        <v>32</v>
      </c>
      <c r="D568" t="s">
        <v>137</v>
      </c>
      <c r="E568" t="s">
        <v>88</v>
      </c>
      <c r="F568" s="12"/>
      <c r="G568" s="12"/>
      <c r="H568" s="12"/>
      <c r="I568" s="12"/>
      <c r="J568" s="12"/>
      <c r="K568" s="4">
        <v>6</v>
      </c>
      <c r="L568" s="23">
        <v>834</v>
      </c>
      <c r="M568" s="23">
        <v>834</v>
      </c>
      <c r="N568" s="24">
        <v>834</v>
      </c>
      <c r="O568" s="23">
        <v>834</v>
      </c>
      <c r="P568" s="23">
        <v>834</v>
      </c>
      <c r="Q568" s="23">
        <v>834</v>
      </c>
      <c r="R568" s="23"/>
      <c r="Z568" s="26"/>
      <c r="AA568" s="26"/>
      <c r="AB568" s="26"/>
      <c r="AC568" s="26"/>
      <c r="AD568" s="26"/>
    </row>
    <row r="569" spans="3:30" x14ac:dyDescent="0.35">
      <c r="C569" t="s">
        <v>32</v>
      </c>
      <c r="D569" t="s">
        <v>137</v>
      </c>
      <c r="E569" t="s">
        <v>88</v>
      </c>
      <c r="F569" s="12"/>
      <c r="G569" s="12"/>
      <c r="H569" s="12"/>
      <c r="I569" s="12"/>
      <c r="J569" s="12"/>
      <c r="K569" s="4">
        <v>7</v>
      </c>
      <c r="L569" s="23">
        <v>873</v>
      </c>
      <c r="M569" s="23">
        <v>873</v>
      </c>
      <c r="N569" s="24">
        <v>873</v>
      </c>
      <c r="O569" s="23">
        <v>873</v>
      </c>
      <c r="P569" s="23">
        <v>873</v>
      </c>
      <c r="Q569" s="23">
        <v>873</v>
      </c>
      <c r="R569" s="23"/>
      <c r="Z569" s="26"/>
      <c r="AA569" s="26"/>
      <c r="AB569" s="26"/>
      <c r="AC569" s="26"/>
      <c r="AD569" s="26"/>
    </row>
    <row r="570" spans="3:30" x14ac:dyDescent="0.35">
      <c r="C570" t="s">
        <v>32</v>
      </c>
      <c r="D570" t="s">
        <v>137</v>
      </c>
      <c r="E570" t="s">
        <v>88</v>
      </c>
      <c r="F570" s="12"/>
      <c r="G570" s="12"/>
      <c r="H570" s="12"/>
      <c r="I570" s="12"/>
      <c r="J570" s="12"/>
      <c r="K570" s="4">
        <v>8</v>
      </c>
      <c r="L570" s="23">
        <v>914</v>
      </c>
      <c r="M570" s="23">
        <v>914</v>
      </c>
      <c r="N570" s="24">
        <v>914</v>
      </c>
      <c r="O570" s="23">
        <v>914</v>
      </c>
      <c r="P570" s="23">
        <v>914</v>
      </c>
      <c r="Q570" s="23">
        <v>914</v>
      </c>
      <c r="R570" s="23"/>
      <c r="Z570" s="26"/>
      <c r="AA570" s="26"/>
      <c r="AB570" s="26"/>
      <c r="AC570" s="26"/>
      <c r="AD570" s="26"/>
    </row>
    <row r="571" spans="3:30" x14ac:dyDescent="0.35">
      <c r="C571" t="s">
        <v>32</v>
      </c>
      <c r="D571" t="s">
        <v>143</v>
      </c>
      <c r="E571" t="s">
        <v>88</v>
      </c>
      <c r="F571" s="12"/>
      <c r="G571" s="12"/>
      <c r="H571" s="12"/>
      <c r="I571" s="12"/>
      <c r="J571" s="12"/>
      <c r="K571" s="4">
        <v>1</v>
      </c>
      <c r="L571" s="23">
        <v>329</v>
      </c>
      <c r="M571" s="23">
        <v>329</v>
      </c>
      <c r="N571" s="24">
        <v>329</v>
      </c>
      <c r="O571" s="23">
        <v>329</v>
      </c>
      <c r="P571" s="23">
        <v>329</v>
      </c>
      <c r="Q571" s="23">
        <v>329</v>
      </c>
      <c r="R571" s="23"/>
      <c r="Z571" s="26"/>
      <c r="AA571" s="26"/>
      <c r="AB571" s="26"/>
      <c r="AC571" s="26"/>
      <c r="AD571" s="26"/>
    </row>
    <row r="572" spans="3:30" x14ac:dyDescent="0.35">
      <c r="C572" t="s">
        <v>32</v>
      </c>
      <c r="D572" t="s">
        <v>143</v>
      </c>
      <c r="E572" t="s">
        <v>88</v>
      </c>
      <c r="F572" s="12"/>
      <c r="G572" s="12"/>
      <c r="H572" s="12"/>
      <c r="I572" s="12"/>
      <c r="J572" s="12"/>
      <c r="K572" s="4">
        <v>2</v>
      </c>
      <c r="L572" s="23">
        <v>456</v>
      </c>
      <c r="M572" s="23">
        <v>456</v>
      </c>
      <c r="N572" s="24">
        <v>456</v>
      </c>
      <c r="O572" s="23">
        <v>456</v>
      </c>
      <c r="P572" s="23">
        <v>456</v>
      </c>
      <c r="Q572" s="23">
        <v>456</v>
      </c>
      <c r="R572" s="23"/>
      <c r="Z572" s="26"/>
      <c r="AA572" s="26"/>
      <c r="AB572" s="26"/>
      <c r="AC572" s="26"/>
      <c r="AD572" s="26"/>
    </row>
    <row r="573" spans="3:30" x14ac:dyDescent="0.35">
      <c r="C573" t="s">
        <v>32</v>
      </c>
      <c r="D573" t="s">
        <v>143</v>
      </c>
      <c r="E573" t="s">
        <v>88</v>
      </c>
      <c r="F573" s="12"/>
      <c r="G573" s="12"/>
      <c r="H573" s="12"/>
      <c r="I573" s="12"/>
      <c r="J573" s="12"/>
      <c r="K573" s="4">
        <v>3</v>
      </c>
      <c r="L573" s="23">
        <v>568</v>
      </c>
      <c r="M573" s="23">
        <v>568</v>
      </c>
      <c r="N573" s="24">
        <v>568</v>
      </c>
      <c r="O573" s="23">
        <v>568</v>
      </c>
      <c r="P573" s="23">
        <v>568</v>
      </c>
      <c r="Q573" s="23">
        <v>568</v>
      </c>
      <c r="R573" s="23"/>
      <c r="Z573" s="26"/>
      <c r="AA573" s="26"/>
      <c r="AB573" s="26"/>
      <c r="AC573" s="26"/>
      <c r="AD573" s="26"/>
    </row>
    <row r="574" spans="3:30" x14ac:dyDescent="0.35">
      <c r="C574" t="s">
        <v>32</v>
      </c>
      <c r="D574" t="s">
        <v>143</v>
      </c>
      <c r="E574" t="s">
        <v>88</v>
      </c>
      <c r="F574" s="12"/>
      <c r="G574" s="12"/>
      <c r="H574" s="12"/>
      <c r="I574" s="12"/>
      <c r="J574" s="12"/>
      <c r="K574" s="4">
        <v>4</v>
      </c>
      <c r="L574" s="23">
        <v>665</v>
      </c>
      <c r="M574" s="23">
        <v>665</v>
      </c>
      <c r="N574" s="24">
        <v>665</v>
      </c>
      <c r="O574" s="23">
        <v>665</v>
      </c>
      <c r="P574" s="23">
        <v>665</v>
      </c>
      <c r="Q574" s="23">
        <v>665</v>
      </c>
      <c r="R574" s="23"/>
      <c r="Z574" s="26"/>
      <c r="AA574" s="26"/>
      <c r="AB574" s="26"/>
      <c r="AC574" s="26"/>
      <c r="AD574" s="26"/>
    </row>
    <row r="575" spans="3:30" x14ac:dyDescent="0.35">
      <c r="C575" t="s">
        <v>32</v>
      </c>
      <c r="D575" t="s">
        <v>143</v>
      </c>
      <c r="E575" t="s">
        <v>88</v>
      </c>
      <c r="F575" s="12"/>
      <c r="G575" s="12"/>
      <c r="H575" s="12"/>
      <c r="I575" s="12"/>
      <c r="J575" s="12"/>
      <c r="K575" s="4">
        <v>5</v>
      </c>
      <c r="L575" s="23">
        <v>757</v>
      </c>
      <c r="M575" s="23">
        <v>757</v>
      </c>
      <c r="N575" s="24">
        <v>757</v>
      </c>
      <c r="O575" s="23">
        <v>757</v>
      </c>
      <c r="P575" s="23">
        <v>757</v>
      </c>
      <c r="Q575" s="23">
        <v>757</v>
      </c>
      <c r="R575" s="23"/>
      <c r="Z575" s="26"/>
      <c r="AA575" s="26"/>
      <c r="AB575" s="26"/>
      <c r="AC575" s="26"/>
      <c r="AD575" s="26"/>
    </row>
    <row r="576" spans="3:30" x14ac:dyDescent="0.35">
      <c r="C576" t="s">
        <v>32</v>
      </c>
      <c r="D576" t="s">
        <v>143</v>
      </c>
      <c r="E576" t="s">
        <v>88</v>
      </c>
      <c r="F576" s="12"/>
      <c r="G576" s="12"/>
      <c r="H576" s="12"/>
      <c r="I576" s="12"/>
      <c r="J576" s="12"/>
      <c r="K576" s="4">
        <v>6</v>
      </c>
      <c r="L576" s="23">
        <v>834</v>
      </c>
      <c r="M576" s="23">
        <v>834</v>
      </c>
      <c r="N576" s="24">
        <v>834</v>
      </c>
      <c r="O576" s="23">
        <v>834</v>
      </c>
      <c r="P576" s="23">
        <v>834</v>
      </c>
      <c r="Q576" s="23">
        <v>834</v>
      </c>
      <c r="R576" s="23"/>
      <c r="Z576" s="26"/>
      <c r="AA576" s="26"/>
      <c r="AB576" s="26"/>
      <c r="AC576" s="26"/>
      <c r="AD576" s="26"/>
    </row>
    <row r="577" spans="3:30" x14ac:dyDescent="0.35">
      <c r="C577" t="s">
        <v>32</v>
      </c>
      <c r="D577" t="s">
        <v>143</v>
      </c>
      <c r="E577" t="s">
        <v>88</v>
      </c>
      <c r="F577" s="12"/>
      <c r="G577" s="12"/>
      <c r="H577" s="12"/>
      <c r="I577" s="12"/>
      <c r="J577" s="12"/>
      <c r="K577" s="4">
        <v>7</v>
      </c>
      <c r="L577" s="23">
        <v>873</v>
      </c>
      <c r="M577" s="23">
        <v>873</v>
      </c>
      <c r="N577" s="24">
        <v>873</v>
      </c>
      <c r="O577" s="23">
        <v>873</v>
      </c>
      <c r="P577" s="23">
        <v>873</v>
      </c>
      <c r="Q577" s="23">
        <v>873</v>
      </c>
      <c r="R577" s="23"/>
      <c r="Z577" s="26"/>
      <c r="AA577" s="26"/>
      <c r="AB577" s="26"/>
      <c r="AC577" s="26"/>
      <c r="AD577" s="26"/>
    </row>
    <row r="578" spans="3:30" x14ac:dyDescent="0.35">
      <c r="C578" t="s">
        <v>32</v>
      </c>
      <c r="D578" t="s">
        <v>143</v>
      </c>
      <c r="E578" t="s">
        <v>88</v>
      </c>
      <c r="F578" s="12"/>
      <c r="G578" s="12"/>
      <c r="H578" s="12"/>
      <c r="I578" s="12"/>
      <c r="J578" s="12"/>
      <c r="K578" s="4">
        <v>8</v>
      </c>
      <c r="L578" s="23">
        <v>914</v>
      </c>
      <c r="M578" s="23">
        <v>914</v>
      </c>
      <c r="N578" s="24">
        <v>914</v>
      </c>
      <c r="O578" s="23">
        <v>914</v>
      </c>
      <c r="P578" s="23">
        <v>914</v>
      </c>
      <c r="Q578" s="23">
        <v>914</v>
      </c>
      <c r="R578" s="23"/>
      <c r="Z578" s="26"/>
      <c r="AA578" s="26"/>
      <c r="AB578" s="26"/>
      <c r="AC578" s="26"/>
      <c r="AD578" s="26"/>
    </row>
    <row r="579" spans="3:30" x14ac:dyDescent="0.35">
      <c r="C579" t="s">
        <v>32</v>
      </c>
      <c r="D579" t="s">
        <v>148</v>
      </c>
      <c r="E579" t="s">
        <v>205</v>
      </c>
      <c r="F579" s="12"/>
      <c r="G579" s="12"/>
      <c r="H579" s="12"/>
      <c r="I579" s="12"/>
      <c r="J579" s="12"/>
      <c r="K579" s="4">
        <v>1</v>
      </c>
      <c r="L579" s="23">
        <v>608</v>
      </c>
      <c r="M579" s="23">
        <v>608</v>
      </c>
      <c r="N579" s="24">
        <v>608</v>
      </c>
      <c r="O579" s="23">
        <v>608</v>
      </c>
      <c r="P579" s="23">
        <v>608</v>
      </c>
      <c r="Q579" s="23">
        <v>608</v>
      </c>
      <c r="R579" s="23"/>
      <c r="Z579" s="26"/>
      <c r="AA579" s="26"/>
      <c r="AB579" s="26"/>
      <c r="AC579" s="26"/>
      <c r="AD579" s="26"/>
    </row>
    <row r="580" spans="3:30" x14ac:dyDescent="0.35">
      <c r="C580" t="s">
        <v>32</v>
      </c>
      <c r="D580" t="s">
        <v>148</v>
      </c>
      <c r="E580" t="s">
        <v>205</v>
      </c>
      <c r="F580" s="12"/>
      <c r="G580" s="12"/>
      <c r="H580" s="12"/>
      <c r="I580" s="12"/>
      <c r="J580" s="12"/>
      <c r="K580" s="4">
        <v>2</v>
      </c>
      <c r="L580" s="23">
        <v>843</v>
      </c>
      <c r="M580" s="23">
        <v>843</v>
      </c>
      <c r="N580" s="24">
        <v>843</v>
      </c>
      <c r="O580" s="23">
        <v>843</v>
      </c>
      <c r="P580" s="23">
        <v>843</v>
      </c>
      <c r="Q580" s="23">
        <v>843</v>
      </c>
      <c r="R580" s="23"/>
      <c r="Z580" s="26"/>
      <c r="AA580" s="26"/>
      <c r="AB580" s="26"/>
      <c r="AC580" s="26"/>
      <c r="AD580" s="26"/>
    </row>
    <row r="581" spans="3:30" x14ac:dyDescent="0.35">
      <c r="C581" t="s">
        <v>32</v>
      </c>
      <c r="D581" t="s">
        <v>148</v>
      </c>
      <c r="E581" t="s">
        <v>205</v>
      </c>
      <c r="F581" s="12"/>
      <c r="G581" s="12"/>
      <c r="H581" s="12"/>
      <c r="I581" s="12"/>
      <c r="J581" s="12"/>
      <c r="K581" s="4">
        <v>3</v>
      </c>
      <c r="L581" s="23">
        <v>1050</v>
      </c>
      <c r="M581" s="23">
        <v>1050</v>
      </c>
      <c r="N581" s="24">
        <v>1050</v>
      </c>
      <c r="O581" s="23">
        <v>1050</v>
      </c>
      <c r="P581" s="23">
        <v>1050</v>
      </c>
      <c r="Q581" s="23">
        <v>1050</v>
      </c>
      <c r="R581" s="23"/>
      <c r="Z581" s="26"/>
      <c r="AA581" s="26"/>
      <c r="AB581" s="26"/>
      <c r="AC581" s="26"/>
      <c r="AD581" s="26"/>
    </row>
    <row r="582" spans="3:30" x14ac:dyDescent="0.35">
      <c r="C582" t="s">
        <v>32</v>
      </c>
      <c r="D582" t="s">
        <v>148</v>
      </c>
      <c r="E582" t="s">
        <v>205</v>
      </c>
      <c r="F582" s="12"/>
      <c r="G582" s="12"/>
      <c r="H582" s="12"/>
      <c r="I582" s="12"/>
      <c r="J582" s="12"/>
      <c r="K582" s="4">
        <v>4</v>
      </c>
      <c r="L582" s="23">
        <v>1230</v>
      </c>
      <c r="M582" s="23">
        <v>1230</v>
      </c>
      <c r="N582" s="24">
        <v>1230</v>
      </c>
      <c r="O582" s="23">
        <v>1230</v>
      </c>
      <c r="P582" s="23">
        <v>1230</v>
      </c>
      <c r="Q582" s="23">
        <v>1230</v>
      </c>
      <c r="R582" s="23"/>
      <c r="Z582" s="26"/>
      <c r="AA582" s="26"/>
      <c r="AB582" s="26"/>
      <c r="AC582" s="26"/>
      <c r="AD582" s="26"/>
    </row>
    <row r="583" spans="3:30" x14ac:dyDescent="0.35">
      <c r="C583" t="s">
        <v>32</v>
      </c>
      <c r="D583" t="s">
        <v>148</v>
      </c>
      <c r="E583" t="s">
        <v>205</v>
      </c>
      <c r="F583" s="12"/>
      <c r="G583" s="12"/>
      <c r="H583" s="12"/>
      <c r="I583" s="12"/>
      <c r="J583" s="12"/>
      <c r="K583" s="4">
        <v>5</v>
      </c>
      <c r="L583" s="23">
        <v>1400</v>
      </c>
      <c r="M583" s="23">
        <v>1400</v>
      </c>
      <c r="N583" s="24">
        <v>1400</v>
      </c>
      <c r="O583" s="23">
        <v>1400</v>
      </c>
      <c r="P583" s="23">
        <v>1400</v>
      </c>
      <c r="Q583" s="23">
        <v>1400</v>
      </c>
      <c r="R583" s="23"/>
      <c r="Z583" s="26"/>
      <c r="AA583" s="26"/>
      <c r="AB583" s="26"/>
      <c r="AC583" s="26"/>
      <c r="AD583" s="26"/>
    </row>
    <row r="584" spans="3:30" x14ac:dyDescent="0.35">
      <c r="C584" t="s">
        <v>32</v>
      </c>
      <c r="D584" t="s">
        <v>148</v>
      </c>
      <c r="E584" t="s">
        <v>205</v>
      </c>
      <c r="F584" s="12"/>
      <c r="G584" s="12"/>
      <c r="H584" s="12"/>
      <c r="I584" s="12"/>
      <c r="J584" s="12"/>
      <c r="K584" s="4">
        <v>6</v>
      </c>
      <c r="L584" s="23">
        <v>1542</v>
      </c>
      <c r="M584" s="23">
        <v>1542</v>
      </c>
      <c r="N584" s="24">
        <v>1542</v>
      </c>
      <c r="O584" s="23">
        <v>1542</v>
      </c>
      <c r="P584" s="23">
        <v>1542</v>
      </c>
      <c r="Q584" s="23">
        <v>1542</v>
      </c>
      <c r="R584" s="23"/>
      <c r="Z584" s="26"/>
      <c r="AA584" s="26"/>
      <c r="AB584" s="26"/>
      <c r="AC584" s="26"/>
      <c r="AD584" s="26"/>
    </row>
    <row r="585" spans="3:30" x14ac:dyDescent="0.35">
      <c r="C585" t="s">
        <v>32</v>
      </c>
      <c r="D585" t="s">
        <v>148</v>
      </c>
      <c r="E585" t="s">
        <v>205</v>
      </c>
      <c r="F585" s="12"/>
      <c r="G585" s="12"/>
      <c r="H585" s="12"/>
      <c r="I585" s="12"/>
      <c r="J585" s="12"/>
      <c r="K585" s="4">
        <v>7</v>
      </c>
      <c r="L585" s="23">
        <v>1615</v>
      </c>
      <c r="M585" s="23">
        <v>1615</v>
      </c>
      <c r="N585" s="24">
        <v>1615</v>
      </c>
      <c r="O585" s="23">
        <v>1615</v>
      </c>
      <c r="P585" s="23">
        <v>1615</v>
      </c>
      <c r="Q585" s="23">
        <v>1615</v>
      </c>
      <c r="R585" s="23"/>
      <c r="Z585" s="26"/>
      <c r="AA585" s="26"/>
      <c r="AB585" s="26"/>
      <c r="AC585" s="26"/>
      <c r="AD585" s="26"/>
    </row>
    <row r="586" spans="3:30" x14ac:dyDescent="0.35">
      <c r="C586" t="s">
        <v>32</v>
      </c>
      <c r="D586" t="s">
        <v>148</v>
      </c>
      <c r="E586" t="s">
        <v>205</v>
      </c>
      <c r="F586" s="12"/>
      <c r="G586" s="12"/>
      <c r="H586" s="12"/>
      <c r="I586" s="12"/>
      <c r="J586" s="12"/>
      <c r="K586" s="4">
        <v>8</v>
      </c>
      <c r="L586" s="23">
        <v>1690</v>
      </c>
      <c r="M586" s="23">
        <v>1690</v>
      </c>
      <c r="N586" s="24">
        <v>1690</v>
      </c>
      <c r="O586" s="23">
        <v>1690</v>
      </c>
      <c r="P586" s="23">
        <v>1690</v>
      </c>
      <c r="Q586" s="23">
        <v>1690</v>
      </c>
      <c r="R586" s="23"/>
      <c r="Z586" s="26"/>
      <c r="AA586" s="26"/>
      <c r="AB586" s="26"/>
      <c r="AC586" s="26"/>
      <c r="AD586" s="26"/>
    </row>
    <row r="587" spans="3:30" x14ac:dyDescent="0.35">
      <c r="C587" t="s">
        <v>32</v>
      </c>
      <c r="D587" t="s">
        <v>203</v>
      </c>
      <c r="E587" t="s">
        <v>206</v>
      </c>
      <c r="F587" s="12"/>
      <c r="G587" s="12"/>
      <c r="H587" s="12" t="s">
        <v>174</v>
      </c>
      <c r="I587" s="12"/>
      <c r="J587" s="12"/>
      <c r="K587" s="4">
        <v>1</v>
      </c>
      <c r="L587" s="23">
        <v>288</v>
      </c>
      <c r="M587" s="23">
        <v>288</v>
      </c>
      <c r="N587" s="24">
        <v>288</v>
      </c>
      <c r="O587" s="23">
        <v>288</v>
      </c>
      <c r="P587" s="23">
        <v>288</v>
      </c>
      <c r="Q587" s="23">
        <v>288</v>
      </c>
      <c r="R587" s="23"/>
      <c r="Z587" s="26"/>
      <c r="AA587" s="26"/>
      <c r="AB587" s="26"/>
      <c r="AC587" s="26"/>
      <c r="AD587" s="26"/>
    </row>
    <row r="588" spans="3:30" x14ac:dyDescent="0.35">
      <c r="C588" t="s">
        <v>32</v>
      </c>
      <c r="D588" t="s">
        <v>203</v>
      </c>
      <c r="E588" t="s">
        <v>206</v>
      </c>
      <c r="F588" s="12"/>
      <c r="G588" s="12"/>
      <c r="H588" s="12" t="s">
        <v>174</v>
      </c>
      <c r="I588" s="12"/>
      <c r="J588" s="12"/>
      <c r="K588" s="4">
        <v>2</v>
      </c>
      <c r="L588" s="23">
        <v>399</v>
      </c>
      <c r="M588" s="23">
        <v>399</v>
      </c>
      <c r="N588" s="24">
        <v>399</v>
      </c>
      <c r="O588" s="23">
        <v>399</v>
      </c>
      <c r="P588" s="23">
        <v>399</v>
      </c>
      <c r="Q588" s="23">
        <v>399</v>
      </c>
      <c r="R588" s="23"/>
      <c r="Z588" s="26"/>
      <c r="AA588" s="26"/>
      <c r="AB588" s="26"/>
      <c r="AC588" s="26"/>
      <c r="AD588" s="26"/>
    </row>
    <row r="589" spans="3:30" x14ac:dyDescent="0.35">
      <c r="C589" t="s">
        <v>32</v>
      </c>
      <c r="D589" t="s">
        <v>203</v>
      </c>
      <c r="E589" t="s">
        <v>206</v>
      </c>
      <c r="F589" s="12"/>
      <c r="G589" s="12"/>
      <c r="H589" s="12" t="s">
        <v>174</v>
      </c>
      <c r="I589" s="12"/>
      <c r="J589" s="12"/>
      <c r="K589" s="4">
        <v>3</v>
      </c>
      <c r="L589" s="23">
        <v>498</v>
      </c>
      <c r="M589" s="23">
        <v>498</v>
      </c>
      <c r="N589" s="24">
        <v>498</v>
      </c>
      <c r="O589" s="23">
        <v>498</v>
      </c>
      <c r="P589" s="23">
        <v>498</v>
      </c>
      <c r="Q589" s="23">
        <v>498</v>
      </c>
      <c r="R589" s="23"/>
      <c r="Z589" s="26"/>
      <c r="AA589" s="26"/>
      <c r="AB589" s="26"/>
      <c r="AC589" s="26"/>
      <c r="AD589" s="26"/>
    </row>
    <row r="590" spans="3:30" x14ac:dyDescent="0.35">
      <c r="C590" t="s">
        <v>32</v>
      </c>
      <c r="D590" t="s">
        <v>203</v>
      </c>
      <c r="E590" t="s">
        <v>206</v>
      </c>
      <c r="F590" s="12"/>
      <c r="G590" s="12"/>
      <c r="H590" s="12" t="s">
        <v>174</v>
      </c>
      <c r="I590" s="12"/>
      <c r="J590" s="12"/>
      <c r="K590" s="4">
        <v>4</v>
      </c>
      <c r="L590" s="23">
        <v>583</v>
      </c>
      <c r="M590" s="23">
        <v>583</v>
      </c>
      <c r="N590" s="24">
        <v>583</v>
      </c>
      <c r="O590" s="23">
        <v>583</v>
      </c>
      <c r="P590" s="23">
        <v>583</v>
      </c>
      <c r="Q590" s="23">
        <v>583</v>
      </c>
      <c r="R590" s="23"/>
      <c r="Z590" s="26"/>
      <c r="AA590" s="26"/>
      <c r="AB590" s="26"/>
      <c r="AC590" s="26"/>
      <c r="AD590" s="26"/>
    </row>
    <row r="591" spans="3:30" x14ac:dyDescent="0.35">
      <c r="C591" t="s">
        <v>32</v>
      </c>
      <c r="D591" t="s">
        <v>203</v>
      </c>
      <c r="E591" t="s">
        <v>206</v>
      </c>
      <c r="F591" s="12"/>
      <c r="G591" s="12"/>
      <c r="H591" s="12" t="s">
        <v>174</v>
      </c>
      <c r="I591" s="12"/>
      <c r="J591" s="12"/>
      <c r="K591" s="4">
        <v>5</v>
      </c>
      <c r="L591" s="23">
        <v>663</v>
      </c>
      <c r="M591" s="23">
        <v>663</v>
      </c>
      <c r="N591" s="24">
        <v>663</v>
      </c>
      <c r="O591" s="23">
        <v>663</v>
      </c>
      <c r="P591" s="23">
        <v>663</v>
      </c>
      <c r="Q591" s="23">
        <v>663</v>
      </c>
      <c r="R591" s="23"/>
      <c r="Z591" s="26"/>
      <c r="AA591" s="26"/>
      <c r="AB591" s="26"/>
      <c r="AC591" s="26"/>
      <c r="AD591" s="26"/>
    </row>
    <row r="592" spans="3:30" x14ac:dyDescent="0.35">
      <c r="C592" t="s">
        <v>32</v>
      </c>
      <c r="D592" t="s">
        <v>203</v>
      </c>
      <c r="E592" t="s">
        <v>206</v>
      </c>
      <c r="F592" s="12"/>
      <c r="G592" s="12"/>
      <c r="H592" s="12" t="s">
        <v>174</v>
      </c>
      <c r="I592" s="12"/>
      <c r="J592" s="12"/>
      <c r="K592" s="4">
        <v>6</v>
      </c>
      <c r="L592" s="23">
        <v>731</v>
      </c>
      <c r="M592" s="23">
        <v>731</v>
      </c>
      <c r="N592" s="24">
        <v>731</v>
      </c>
      <c r="O592" s="23">
        <v>731</v>
      </c>
      <c r="P592" s="23">
        <v>731</v>
      </c>
      <c r="Q592" s="23">
        <v>731</v>
      </c>
      <c r="R592" s="23"/>
      <c r="Z592" s="26"/>
      <c r="AA592" s="26"/>
      <c r="AB592" s="26"/>
      <c r="AC592" s="26"/>
      <c r="AD592" s="26"/>
    </row>
    <row r="593" spans="3:30" x14ac:dyDescent="0.35">
      <c r="C593" t="s">
        <v>32</v>
      </c>
      <c r="D593" t="s">
        <v>203</v>
      </c>
      <c r="E593" t="s">
        <v>206</v>
      </c>
      <c r="F593" s="12"/>
      <c r="G593" s="12"/>
      <c r="H593" s="12" t="s">
        <v>174</v>
      </c>
      <c r="I593" s="12"/>
      <c r="J593" s="12"/>
      <c r="K593" s="4">
        <v>7</v>
      </c>
      <c r="L593" s="23">
        <v>765</v>
      </c>
      <c r="M593" s="23">
        <v>765</v>
      </c>
      <c r="N593" s="24">
        <v>765</v>
      </c>
      <c r="O593" s="23">
        <v>765</v>
      </c>
      <c r="P593" s="23">
        <v>765</v>
      </c>
      <c r="Q593" s="23">
        <v>765</v>
      </c>
      <c r="R593" s="23"/>
      <c r="Z593" s="26"/>
      <c r="AA593" s="26"/>
      <c r="AB593" s="26"/>
      <c r="AC593" s="26"/>
      <c r="AD593" s="26"/>
    </row>
    <row r="594" spans="3:30" x14ac:dyDescent="0.35">
      <c r="C594" t="s">
        <v>32</v>
      </c>
      <c r="D594" t="s">
        <v>203</v>
      </c>
      <c r="E594" t="s">
        <v>206</v>
      </c>
      <c r="F594" s="12"/>
      <c r="G594" s="12"/>
      <c r="H594" s="12" t="s">
        <v>174</v>
      </c>
      <c r="I594" s="12"/>
      <c r="J594" s="12"/>
      <c r="K594" s="4">
        <v>8</v>
      </c>
      <c r="L594" s="23">
        <v>801</v>
      </c>
      <c r="M594" s="23">
        <v>801</v>
      </c>
      <c r="N594" s="24">
        <v>801</v>
      </c>
      <c r="O594" s="23">
        <v>801</v>
      </c>
      <c r="P594" s="23">
        <v>801</v>
      </c>
      <c r="Q594" s="23">
        <v>801</v>
      </c>
      <c r="R594" s="23"/>
      <c r="Z594" s="26"/>
      <c r="AA594" s="26"/>
      <c r="AB594" s="26"/>
      <c r="AC594" s="26"/>
      <c r="AD594" s="26"/>
    </row>
    <row r="595" spans="3:30" x14ac:dyDescent="0.35">
      <c r="C595" t="s">
        <v>32</v>
      </c>
      <c r="D595" t="s">
        <v>147</v>
      </c>
      <c r="E595" t="s">
        <v>206</v>
      </c>
      <c r="F595" s="12"/>
      <c r="G595" s="12"/>
      <c r="H595" s="12" t="s">
        <v>174</v>
      </c>
      <c r="I595" s="12"/>
      <c r="J595" s="12"/>
      <c r="K595" s="4">
        <v>1</v>
      </c>
      <c r="L595" s="23">
        <v>288</v>
      </c>
      <c r="M595" s="23">
        <v>288</v>
      </c>
      <c r="N595" s="24">
        <v>288</v>
      </c>
      <c r="O595" s="23">
        <v>288</v>
      </c>
      <c r="P595" s="23">
        <v>288</v>
      </c>
      <c r="Q595" s="23">
        <v>288</v>
      </c>
      <c r="R595" s="23"/>
      <c r="Z595" s="26"/>
      <c r="AA595" s="26"/>
      <c r="AB595" s="26"/>
      <c r="AC595" s="26"/>
      <c r="AD595" s="26"/>
    </row>
    <row r="596" spans="3:30" x14ac:dyDescent="0.35">
      <c r="C596" t="s">
        <v>32</v>
      </c>
      <c r="D596" t="s">
        <v>147</v>
      </c>
      <c r="E596" t="s">
        <v>206</v>
      </c>
      <c r="F596" s="12"/>
      <c r="G596" s="12"/>
      <c r="H596" s="12" t="s">
        <v>174</v>
      </c>
      <c r="I596" s="12"/>
      <c r="J596" s="12"/>
      <c r="K596" s="4">
        <v>2</v>
      </c>
      <c r="L596" s="23">
        <v>399</v>
      </c>
      <c r="M596" s="23">
        <v>399</v>
      </c>
      <c r="N596" s="24">
        <v>399</v>
      </c>
      <c r="O596" s="23">
        <v>399</v>
      </c>
      <c r="P596" s="23">
        <v>399</v>
      </c>
      <c r="Q596" s="23">
        <v>399</v>
      </c>
      <c r="R596" s="23"/>
      <c r="Z596" s="26"/>
      <c r="AA596" s="26"/>
      <c r="AB596" s="26"/>
      <c r="AC596" s="26"/>
      <c r="AD596" s="26"/>
    </row>
    <row r="597" spans="3:30" x14ac:dyDescent="0.35">
      <c r="C597" t="s">
        <v>32</v>
      </c>
      <c r="D597" t="s">
        <v>147</v>
      </c>
      <c r="E597" t="s">
        <v>206</v>
      </c>
      <c r="F597" s="12"/>
      <c r="G597" s="12"/>
      <c r="H597" s="12" t="s">
        <v>174</v>
      </c>
      <c r="I597" s="12"/>
      <c r="J597" s="12"/>
      <c r="K597" s="4">
        <v>3</v>
      </c>
      <c r="L597" s="23">
        <v>498</v>
      </c>
      <c r="M597" s="23">
        <v>498</v>
      </c>
      <c r="N597" s="24">
        <v>498</v>
      </c>
      <c r="O597" s="23">
        <v>498</v>
      </c>
      <c r="P597" s="23">
        <v>498</v>
      </c>
      <c r="Q597" s="23">
        <v>498</v>
      </c>
      <c r="R597" s="23"/>
      <c r="Z597" s="26"/>
      <c r="AA597" s="26"/>
      <c r="AB597" s="26"/>
      <c r="AC597" s="26"/>
      <c r="AD597" s="26"/>
    </row>
    <row r="598" spans="3:30" x14ac:dyDescent="0.35">
      <c r="C598" t="s">
        <v>32</v>
      </c>
      <c r="D598" t="s">
        <v>147</v>
      </c>
      <c r="E598" t="s">
        <v>206</v>
      </c>
      <c r="F598" s="12"/>
      <c r="G598" s="12"/>
      <c r="H598" s="12" t="s">
        <v>174</v>
      </c>
      <c r="I598" s="12"/>
      <c r="J598" s="12"/>
      <c r="K598" s="4">
        <v>4</v>
      </c>
      <c r="L598" s="23">
        <v>583</v>
      </c>
      <c r="M598" s="23">
        <v>583</v>
      </c>
      <c r="N598" s="24">
        <v>583</v>
      </c>
      <c r="O598" s="23">
        <v>583</v>
      </c>
      <c r="P598" s="23">
        <v>583</v>
      </c>
      <c r="Q598" s="23">
        <v>583</v>
      </c>
      <c r="R598" s="23"/>
      <c r="Z598" s="26"/>
      <c r="AA598" s="26"/>
      <c r="AB598" s="26"/>
      <c r="AC598" s="26"/>
      <c r="AD598" s="26"/>
    </row>
    <row r="599" spans="3:30" x14ac:dyDescent="0.35">
      <c r="C599" t="s">
        <v>32</v>
      </c>
      <c r="D599" t="s">
        <v>147</v>
      </c>
      <c r="E599" t="s">
        <v>206</v>
      </c>
      <c r="F599" s="12"/>
      <c r="G599" s="12"/>
      <c r="H599" s="12" t="s">
        <v>174</v>
      </c>
      <c r="I599" s="12"/>
      <c r="J599" s="12"/>
      <c r="K599" s="4">
        <v>5</v>
      </c>
      <c r="L599" s="23">
        <v>663</v>
      </c>
      <c r="M599" s="23">
        <v>663</v>
      </c>
      <c r="N599" s="24">
        <v>663</v>
      </c>
      <c r="O599" s="23">
        <v>663</v>
      </c>
      <c r="P599" s="23">
        <v>663</v>
      </c>
      <c r="Q599" s="23">
        <v>663</v>
      </c>
      <c r="R599" s="23"/>
      <c r="Z599" s="26"/>
      <c r="AA599" s="26"/>
      <c r="AB599" s="26"/>
      <c r="AC599" s="26"/>
      <c r="AD599" s="26"/>
    </row>
    <row r="600" spans="3:30" x14ac:dyDescent="0.35">
      <c r="C600" t="s">
        <v>32</v>
      </c>
      <c r="D600" t="s">
        <v>147</v>
      </c>
      <c r="E600" t="s">
        <v>206</v>
      </c>
      <c r="F600" s="12"/>
      <c r="G600" s="12"/>
      <c r="H600" s="12" t="s">
        <v>174</v>
      </c>
      <c r="I600" s="12"/>
      <c r="J600" s="12"/>
      <c r="K600" s="4">
        <v>6</v>
      </c>
      <c r="L600" s="23">
        <v>731</v>
      </c>
      <c r="M600" s="23">
        <v>731</v>
      </c>
      <c r="N600" s="24">
        <v>731</v>
      </c>
      <c r="O600" s="23">
        <v>731</v>
      </c>
      <c r="P600" s="23">
        <v>731</v>
      </c>
      <c r="Q600" s="23">
        <v>731</v>
      </c>
      <c r="R600" s="23"/>
      <c r="Z600" s="26"/>
      <c r="AA600" s="26"/>
      <c r="AB600" s="26"/>
      <c r="AC600" s="26"/>
      <c r="AD600" s="26"/>
    </row>
    <row r="601" spans="3:30" x14ac:dyDescent="0.35">
      <c r="C601" t="s">
        <v>32</v>
      </c>
      <c r="D601" t="s">
        <v>147</v>
      </c>
      <c r="E601" t="s">
        <v>206</v>
      </c>
      <c r="F601" s="12"/>
      <c r="G601" s="12"/>
      <c r="H601" s="12" t="s">
        <v>174</v>
      </c>
      <c r="I601" s="12"/>
      <c r="J601" s="12"/>
      <c r="K601" s="4">
        <v>7</v>
      </c>
      <c r="L601" s="23">
        <v>765</v>
      </c>
      <c r="M601" s="23">
        <v>765</v>
      </c>
      <c r="N601" s="24">
        <v>765</v>
      </c>
      <c r="O601" s="23">
        <v>765</v>
      </c>
      <c r="P601" s="23">
        <v>765</v>
      </c>
      <c r="Q601" s="23">
        <v>765</v>
      </c>
      <c r="R601" s="23"/>
      <c r="Z601" s="26"/>
      <c r="AA601" s="26"/>
      <c r="AB601" s="26"/>
      <c r="AC601" s="26"/>
      <c r="AD601" s="26"/>
    </row>
    <row r="602" spans="3:30" x14ac:dyDescent="0.35">
      <c r="C602" t="s">
        <v>32</v>
      </c>
      <c r="D602" t="s">
        <v>147</v>
      </c>
      <c r="E602" t="s">
        <v>206</v>
      </c>
      <c r="F602" s="12"/>
      <c r="G602" s="12"/>
      <c r="H602" s="12" t="s">
        <v>174</v>
      </c>
      <c r="I602" s="12"/>
      <c r="J602" s="12"/>
      <c r="K602" s="4">
        <v>8</v>
      </c>
      <c r="L602" s="40">
        <v>801</v>
      </c>
      <c r="M602" s="40">
        <v>801</v>
      </c>
      <c r="N602" s="41">
        <v>801</v>
      </c>
      <c r="O602" s="40">
        <v>801</v>
      </c>
      <c r="P602" s="40">
        <v>801</v>
      </c>
      <c r="Q602" s="40">
        <v>801</v>
      </c>
      <c r="R602" s="23"/>
      <c r="Z602" s="26"/>
      <c r="AA602" s="26"/>
      <c r="AB602" s="26"/>
      <c r="AC602" s="26"/>
      <c r="AD602" s="26"/>
    </row>
    <row r="603" spans="3:30" x14ac:dyDescent="0.35">
      <c r="C603" t="s">
        <v>33</v>
      </c>
      <c r="D603" t="s">
        <v>137</v>
      </c>
      <c r="E603" t="s">
        <v>172</v>
      </c>
      <c r="F603" s="12"/>
      <c r="G603" s="12"/>
      <c r="H603" s="12"/>
      <c r="I603" s="12"/>
      <c r="J603" s="12"/>
      <c r="K603" s="4">
        <v>1</v>
      </c>
      <c r="L603" s="23">
        <v>581</v>
      </c>
      <c r="M603" s="23">
        <v>581</v>
      </c>
      <c r="N603" s="23">
        <v>581</v>
      </c>
      <c r="O603" s="23">
        <v>581</v>
      </c>
      <c r="P603" s="23">
        <v>581</v>
      </c>
      <c r="Q603" s="23">
        <v>581</v>
      </c>
      <c r="R603" s="23"/>
      <c r="Z603" s="26"/>
      <c r="AA603" s="26"/>
      <c r="AB603" s="26"/>
      <c r="AC603" s="26"/>
      <c r="AD603" s="26"/>
    </row>
    <row r="604" spans="3:30" x14ac:dyDescent="0.35">
      <c r="C604" t="s">
        <v>33</v>
      </c>
      <c r="D604" t="s">
        <v>137</v>
      </c>
      <c r="E604" t="s">
        <v>172</v>
      </c>
      <c r="F604" s="12"/>
      <c r="G604" s="12"/>
      <c r="H604" s="12"/>
      <c r="I604" s="12"/>
      <c r="J604" s="12"/>
      <c r="K604" s="4">
        <v>2</v>
      </c>
      <c r="L604" s="23">
        <v>786</v>
      </c>
      <c r="M604" s="23">
        <v>786</v>
      </c>
      <c r="N604" s="23">
        <v>786</v>
      </c>
      <c r="O604" s="23">
        <v>786</v>
      </c>
      <c r="P604" s="23">
        <v>786</v>
      </c>
      <c r="Q604" s="23">
        <v>786</v>
      </c>
      <c r="R604" s="23"/>
      <c r="Z604" s="26"/>
      <c r="AA604" s="26"/>
      <c r="AB604" s="26"/>
      <c r="AC604" s="26"/>
      <c r="AD604" s="26"/>
    </row>
    <row r="605" spans="3:30" x14ac:dyDescent="0.35">
      <c r="C605" t="s">
        <v>33</v>
      </c>
      <c r="D605" t="s">
        <v>137</v>
      </c>
      <c r="E605" t="s">
        <v>172</v>
      </c>
      <c r="F605" s="12"/>
      <c r="G605" s="12"/>
      <c r="H605" s="12"/>
      <c r="I605" s="12"/>
      <c r="J605" s="12"/>
      <c r="K605" s="4">
        <v>3</v>
      </c>
      <c r="L605" s="23">
        <v>991</v>
      </c>
      <c r="M605" s="23">
        <v>991</v>
      </c>
      <c r="N605" s="23">
        <v>991</v>
      </c>
      <c r="O605" s="23">
        <v>991</v>
      </c>
      <c r="P605" s="23">
        <v>991</v>
      </c>
      <c r="Q605" s="23">
        <v>991</v>
      </c>
      <c r="R605" s="23"/>
      <c r="Z605" s="26"/>
      <c r="AA605" s="26"/>
      <c r="AB605" s="26"/>
      <c r="AC605" s="26"/>
      <c r="AD605" s="26"/>
    </row>
    <row r="606" spans="3:30" x14ac:dyDescent="0.35">
      <c r="C606" t="s">
        <v>33</v>
      </c>
      <c r="D606" t="s">
        <v>137</v>
      </c>
      <c r="E606" t="s">
        <v>172</v>
      </c>
      <c r="F606" s="12"/>
      <c r="G606" s="12"/>
      <c r="H606" s="12"/>
      <c r="I606" s="12"/>
      <c r="J606" s="12"/>
      <c r="K606" s="4">
        <v>4</v>
      </c>
      <c r="L606" s="23">
        <v>1196</v>
      </c>
      <c r="M606" s="23">
        <v>1196</v>
      </c>
      <c r="N606" s="23">
        <v>1196</v>
      </c>
      <c r="O606" s="23">
        <v>1196</v>
      </c>
      <c r="P606" s="23">
        <v>1196</v>
      </c>
      <c r="Q606" s="23">
        <v>1196</v>
      </c>
      <c r="R606" s="23"/>
      <c r="Z606" s="26"/>
      <c r="AA606" s="26"/>
      <c r="AB606" s="26"/>
      <c r="AC606" s="26"/>
      <c r="AD606" s="26"/>
    </row>
    <row r="607" spans="3:30" x14ac:dyDescent="0.35">
      <c r="C607" t="s">
        <v>33</v>
      </c>
      <c r="D607" t="s">
        <v>137</v>
      </c>
      <c r="E607" t="s">
        <v>172</v>
      </c>
      <c r="F607" s="12"/>
      <c r="G607" s="12"/>
      <c r="H607" s="12"/>
      <c r="I607" s="12"/>
      <c r="J607" s="12"/>
      <c r="K607" s="4">
        <v>5</v>
      </c>
      <c r="L607" s="23">
        <v>1401</v>
      </c>
      <c r="M607" s="23">
        <v>1401</v>
      </c>
      <c r="N607" s="23">
        <v>1401</v>
      </c>
      <c r="O607" s="23">
        <v>1401</v>
      </c>
      <c r="P607" s="23">
        <v>1401</v>
      </c>
      <c r="Q607" s="23">
        <v>1401</v>
      </c>
      <c r="R607" s="23"/>
      <c r="Z607" s="26"/>
      <c r="AA607" s="26"/>
      <c r="AB607" s="26"/>
      <c r="AC607" s="26"/>
      <c r="AD607" s="26"/>
    </row>
    <row r="608" spans="3:30" x14ac:dyDescent="0.35">
      <c r="C608" t="s">
        <v>33</v>
      </c>
      <c r="D608" t="s">
        <v>137</v>
      </c>
      <c r="E608" t="s">
        <v>172</v>
      </c>
      <c r="F608" s="12"/>
      <c r="G608" s="12"/>
      <c r="H608" s="12"/>
      <c r="I608" s="12"/>
      <c r="J608" s="12"/>
      <c r="K608" s="4">
        <v>6</v>
      </c>
      <c r="L608" s="23">
        <v>1606</v>
      </c>
      <c r="M608" s="23">
        <v>1606</v>
      </c>
      <c r="N608" s="23">
        <v>1606</v>
      </c>
      <c r="O608" s="23">
        <v>1606</v>
      </c>
      <c r="P608" s="23">
        <v>1606</v>
      </c>
      <c r="Q608" s="23">
        <v>1606</v>
      </c>
      <c r="R608" s="23"/>
      <c r="Z608" s="26"/>
      <c r="AA608" s="26"/>
      <c r="AB608" s="26"/>
      <c r="AC608" s="26"/>
      <c r="AD608" s="26"/>
    </row>
    <row r="609" spans="3:30" x14ac:dyDescent="0.35">
      <c r="C609" t="s">
        <v>33</v>
      </c>
      <c r="D609" t="s">
        <v>137</v>
      </c>
      <c r="E609" t="s">
        <v>172</v>
      </c>
      <c r="F609" s="12"/>
      <c r="G609" s="12"/>
      <c r="H609" s="12"/>
      <c r="I609" s="12"/>
      <c r="J609" s="12"/>
      <c r="K609" s="4">
        <v>7</v>
      </c>
      <c r="L609" s="23">
        <v>1811</v>
      </c>
      <c r="M609" s="23">
        <v>1811</v>
      </c>
      <c r="N609" s="23">
        <v>1811</v>
      </c>
      <c r="O609" s="23">
        <v>1811</v>
      </c>
      <c r="P609" s="23">
        <v>1811</v>
      </c>
      <c r="Q609" s="23">
        <v>1811</v>
      </c>
      <c r="R609" s="23"/>
      <c r="Z609" s="26"/>
      <c r="AA609" s="26"/>
      <c r="AB609" s="26"/>
      <c r="AC609" s="26"/>
      <c r="AD609" s="26"/>
    </row>
    <row r="610" spans="3:30" x14ac:dyDescent="0.35">
      <c r="C610" t="s">
        <v>33</v>
      </c>
      <c r="D610" t="s">
        <v>148</v>
      </c>
      <c r="E610" t="s">
        <v>172</v>
      </c>
      <c r="F610" s="12"/>
      <c r="G610" s="12"/>
      <c r="H610" s="12"/>
      <c r="I610" s="12"/>
      <c r="J610" s="12"/>
      <c r="K610" s="4">
        <v>8</v>
      </c>
      <c r="L610" s="23">
        <v>2016</v>
      </c>
      <c r="M610" s="23">
        <v>2016</v>
      </c>
      <c r="N610" s="23">
        <v>2016</v>
      </c>
      <c r="O610" s="23">
        <v>2016</v>
      </c>
      <c r="P610" s="23">
        <v>2016</v>
      </c>
      <c r="Q610" s="23">
        <v>2016</v>
      </c>
      <c r="R610" s="23"/>
      <c r="Z610" s="26"/>
      <c r="AA610" s="26"/>
      <c r="AB610" s="26"/>
      <c r="AC610" s="26"/>
      <c r="AD610" s="26"/>
    </row>
    <row r="611" spans="3:30" x14ac:dyDescent="0.35">
      <c r="C611" t="s">
        <v>33</v>
      </c>
      <c r="D611" t="s">
        <v>148</v>
      </c>
      <c r="E611" t="s">
        <v>172</v>
      </c>
      <c r="F611" s="12"/>
      <c r="G611" s="12"/>
      <c r="H611" s="12"/>
      <c r="I611" s="12"/>
      <c r="J611" s="12"/>
      <c r="K611" s="4">
        <v>1</v>
      </c>
      <c r="L611" s="23">
        <v>581</v>
      </c>
      <c r="M611" s="23">
        <v>581</v>
      </c>
      <c r="N611" s="23">
        <v>581</v>
      </c>
      <c r="O611" s="23">
        <v>581</v>
      </c>
      <c r="P611" s="23">
        <v>581</v>
      </c>
      <c r="Q611" s="23">
        <v>581</v>
      </c>
      <c r="R611" s="23"/>
      <c r="Z611" s="26"/>
      <c r="AA611" s="26"/>
      <c r="AB611" s="26"/>
      <c r="AC611" s="26"/>
      <c r="AD611" s="26"/>
    </row>
    <row r="612" spans="3:30" x14ac:dyDescent="0.35">
      <c r="C612" t="s">
        <v>33</v>
      </c>
      <c r="D612" t="s">
        <v>148</v>
      </c>
      <c r="E612" t="s">
        <v>172</v>
      </c>
      <c r="F612" s="12"/>
      <c r="G612" s="12"/>
      <c r="H612" s="12"/>
      <c r="I612" s="12"/>
      <c r="J612" s="12"/>
      <c r="K612" s="4">
        <v>2</v>
      </c>
      <c r="L612" s="23">
        <v>786</v>
      </c>
      <c r="M612" s="23">
        <v>786</v>
      </c>
      <c r="N612" s="23">
        <v>786</v>
      </c>
      <c r="O612" s="23">
        <v>786</v>
      </c>
      <c r="P612" s="23">
        <v>786</v>
      </c>
      <c r="Q612" s="23">
        <v>786</v>
      </c>
      <c r="R612" s="23"/>
      <c r="Z612" s="26"/>
      <c r="AA612" s="26"/>
      <c r="AB612" s="26"/>
      <c r="AC612" s="26"/>
      <c r="AD612" s="26"/>
    </row>
    <row r="613" spans="3:30" x14ac:dyDescent="0.35">
      <c r="C613" t="s">
        <v>33</v>
      </c>
      <c r="D613" t="s">
        <v>148</v>
      </c>
      <c r="E613" t="s">
        <v>172</v>
      </c>
      <c r="F613" s="12"/>
      <c r="G613" s="12"/>
      <c r="H613" s="12"/>
      <c r="I613" s="12"/>
      <c r="J613" s="12"/>
      <c r="K613" s="4">
        <v>3</v>
      </c>
      <c r="L613" s="23">
        <v>991</v>
      </c>
      <c r="M613" s="23">
        <v>991</v>
      </c>
      <c r="N613" s="23">
        <v>991</v>
      </c>
      <c r="O613" s="23">
        <v>991</v>
      </c>
      <c r="P613" s="23">
        <v>991</v>
      </c>
      <c r="Q613" s="23">
        <v>991</v>
      </c>
      <c r="R613" s="23"/>
      <c r="Z613" s="26"/>
      <c r="AA613" s="26"/>
      <c r="AB613" s="26"/>
      <c r="AC613" s="26"/>
      <c r="AD613" s="26"/>
    </row>
    <row r="614" spans="3:30" x14ac:dyDescent="0.35">
      <c r="C614" t="s">
        <v>33</v>
      </c>
      <c r="D614" t="s">
        <v>148</v>
      </c>
      <c r="E614" t="s">
        <v>172</v>
      </c>
      <c r="F614" s="12"/>
      <c r="G614" s="12"/>
      <c r="H614" s="12"/>
      <c r="I614" s="12"/>
      <c r="J614" s="12"/>
      <c r="K614" s="4">
        <v>4</v>
      </c>
      <c r="L614" s="23">
        <v>1196</v>
      </c>
      <c r="M614" s="23">
        <v>1196</v>
      </c>
      <c r="N614" s="23">
        <v>1196</v>
      </c>
      <c r="O614" s="23">
        <v>1196</v>
      </c>
      <c r="P614" s="23">
        <v>1196</v>
      </c>
      <c r="Q614" s="23">
        <v>1196</v>
      </c>
      <c r="R614" s="23"/>
      <c r="Z614" s="26"/>
      <c r="AA614" s="26"/>
      <c r="AB614" s="26"/>
      <c r="AC614" s="26"/>
      <c r="AD614" s="26"/>
    </row>
    <row r="615" spans="3:30" x14ac:dyDescent="0.35">
      <c r="C615" t="s">
        <v>33</v>
      </c>
      <c r="D615" t="s">
        <v>148</v>
      </c>
      <c r="E615" t="s">
        <v>172</v>
      </c>
      <c r="F615" s="12"/>
      <c r="G615" s="12"/>
      <c r="H615" s="12"/>
      <c r="I615" s="12"/>
      <c r="J615" s="12"/>
      <c r="K615" s="4">
        <v>5</v>
      </c>
      <c r="L615" s="23">
        <v>1401</v>
      </c>
      <c r="M615" s="23">
        <v>1401</v>
      </c>
      <c r="N615" s="23">
        <v>1401</v>
      </c>
      <c r="O615" s="23">
        <v>1401</v>
      </c>
      <c r="P615" s="23">
        <v>1401</v>
      </c>
      <c r="Q615" s="23">
        <v>1401</v>
      </c>
      <c r="R615" s="23"/>
      <c r="Z615" s="26"/>
      <c r="AA615" s="26"/>
      <c r="AB615" s="26"/>
      <c r="AC615" s="26"/>
      <c r="AD615" s="26"/>
    </row>
    <row r="616" spans="3:30" x14ac:dyDescent="0.35">
      <c r="C616" t="s">
        <v>33</v>
      </c>
      <c r="D616" t="s">
        <v>148</v>
      </c>
      <c r="E616" t="s">
        <v>172</v>
      </c>
      <c r="F616" s="12"/>
      <c r="G616" s="12"/>
      <c r="H616" s="12"/>
      <c r="I616" s="12"/>
      <c r="J616" s="12"/>
      <c r="K616" s="4">
        <v>6</v>
      </c>
      <c r="L616" s="23">
        <v>1606</v>
      </c>
      <c r="M616" s="23">
        <v>1606</v>
      </c>
      <c r="N616" s="23">
        <v>1606</v>
      </c>
      <c r="O616" s="23">
        <v>1606</v>
      </c>
      <c r="P616" s="23">
        <v>1606</v>
      </c>
      <c r="Q616" s="23">
        <v>1606</v>
      </c>
      <c r="R616" s="23"/>
      <c r="Z616" s="26"/>
      <c r="AA616" s="26"/>
      <c r="AB616" s="26"/>
      <c r="AC616" s="26"/>
      <c r="AD616" s="26"/>
    </row>
    <row r="617" spans="3:30" x14ac:dyDescent="0.35">
      <c r="C617" t="s">
        <v>33</v>
      </c>
      <c r="D617" t="s">
        <v>148</v>
      </c>
      <c r="E617" t="s">
        <v>172</v>
      </c>
      <c r="F617" s="12"/>
      <c r="G617" s="12"/>
      <c r="H617" s="12"/>
      <c r="I617" s="12"/>
      <c r="J617" s="12"/>
      <c r="K617" s="4">
        <v>7</v>
      </c>
      <c r="L617" s="23">
        <v>1811</v>
      </c>
      <c r="M617" s="23">
        <v>1811</v>
      </c>
      <c r="N617" s="23">
        <v>1811</v>
      </c>
      <c r="O617" s="23">
        <v>1811</v>
      </c>
      <c r="P617" s="23">
        <v>1811</v>
      </c>
      <c r="Q617" s="23">
        <v>1811</v>
      </c>
      <c r="R617" s="23"/>
      <c r="Z617" s="26"/>
      <c r="AA617" s="26"/>
      <c r="AB617" s="26"/>
      <c r="AC617" s="26"/>
      <c r="AD617" s="26"/>
    </row>
    <row r="618" spans="3:30" x14ac:dyDescent="0.35">
      <c r="C618" t="s">
        <v>33</v>
      </c>
      <c r="D618" t="s">
        <v>148</v>
      </c>
      <c r="E618" t="s">
        <v>172</v>
      </c>
      <c r="F618" s="12"/>
      <c r="G618" s="12"/>
      <c r="H618" s="12"/>
      <c r="I618" s="12"/>
      <c r="J618" s="12"/>
      <c r="K618" s="4">
        <v>8</v>
      </c>
      <c r="L618" s="23">
        <v>2016</v>
      </c>
      <c r="M618" s="23">
        <v>2016</v>
      </c>
      <c r="N618" s="23">
        <v>2016</v>
      </c>
      <c r="O618" s="23">
        <v>2016</v>
      </c>
      <c r="P618" s="23">
        <v>2016</v>
      </c>
      <c r="Q618" s="23">
        <v>2016</v>
      </c>
      <c r="R618" s="23"/>
      <c r="Z618" s="26"/>
      <c r="AA618" s="26"/>
      <c r="AB618" s="26"/>
      <c r="AC618" s="26"/>
      <c r="AD618" s="26"/>
    </row>
    <row r="619" spans="3:30" x14ac:dyDescent="0.35">
      <c r="C619" t="s">
        <v>33</v>
      </c>
      <c r="D619" t="s">
        <v>143</v>
      </c>
      <c r="E619" t="s">
        <v>66</v>
      </c>
      <c r="F619" s="12"/>
      <c r="G619" s="12"/>
      <c r="H619" s="12"/>
      <c r="I619" s="12"/>
      <c r="J619" s="12"/>
      <c r="K619" s="4">
        <v>1</v>
      </c>
      <c r="L619" s="23">
        <v>262</v>
      </c>
      <c r="M619" s="23">
        <v>288</v>
      </c>
      <c r="N619" s="23">
        <v>288</v>
      </c>
      <c r="O619" s="23">
        <v>288</v>
      </c>
      <c r="P619" s="23">
        <v>288</v>
      </c>
      <c r="Q619" s="23">
        <v>288</v>
      </c>
      <c r="R619" s="23"/>
      <c r="Z619" s="26"/>
      <c r="AA619" s="26"/>
      <c r="AB619" s="26"/>
      <c r="AC619" s="26"/>
      <c r="AD619" s="26"/>
    </row>
    <row r="620" spans="3:30" x14ac:dyDescent="0.35">
      <c r="C620" t="s">
        <v>33</v>
      </c>
      <c r="D620" t="s">
        <v>143</v>
      </c>
      <c r="E620" t="s">
        <v>66</v>
      </c>
      <c r="F620" s="12"/>
      <c r="G620" s="12"/>
      <c r="H620" s="12"/>
      <c r="I620" s="12"/>
      <c r="J620" s="12"/>
      <c r="K620" s="4">
        <v>2</v>
      </c>
      <c r="L620" s="23">
        <v>301</v>
      </c>
      <c r="M620" s="23">
        <v>331</v>
      </c>
      <c r="N620" s="23">
        <v>331</v>
      </c>
      <c r="O620" s="23">
        <v>331</v>
      </c>
      <c r="P620" s="23">
        <v>331</v>
      </c>
      <c r="Q620" s="23">
        <v>331</v>
      </c>
      <c r="R620" s="23"/>
      <c r="Z620" s="26"/>
      <c r="AA620" s="26"/>
      <c r="AB620" s="26"/>
      <c r="AC620" s="26"/>
      <c r="AD620" s="26"/>
    </row>
    <row r="621" spans="3:30" x14ac:dyDescent="0.35">
      <c r="C621" t="s">
        <v>33</v>
      </c>
      <c r="D621" t="s">
        <v>143</v>
      </c>
      <c r="E621" t="s">
        <v>66</v>
      </c>
      <c r="F621" s="12"/>
      <c r="G621" s="12"/>
      <c r="H621" s="12"/>
      <c r="I621" s="12"/>
      <c r="J621" s="12"/>
      <c r="K621" s="4">
        <v>3</v>
      </c>
      <c r="L621" s="23">
        <v>340</v>
      </c>
      <c r="M621" s="23">
        <v>374</v>
      </c>
      <c r="N621" s="23">
        <v>374</v>
      </c>
      <c r="O621" s="23">
        <v>374</v>
      </c>
      <c r="P621" s="23">
        <v>374</v>
      </c>
      <c r="Q621" s="23">
        <v>374</v>
      </c>
      <c r="R621" s="23"/>
      <c r="Z621" s="26"/>
      <c r="AA621" s="26"/>
      <c r="AB621" s="26"/>
      <c r="AC621" s="26"/>
      <c r="AD621" s="26"/>
    </row>
    <row r="622" spans="3:30" x14ac:dyDescent="0.35">
      <c r="C622" t="s">
        <v>33</v>
      </c>
      <c r="D622" t="s">
        <v>143</v>
      </c>
      <c r="E622" t="s">
        <v>66</v>
      </c>
      <c r="F622" s="12"/>
      <c r="G622" s="12"/>
      <c r="H622" s="12"/>
      <c r="I622" s="12"/>
      <c r="J622" s="12"/>
      <c r="K622" s="4">
        <v>4</v>
      </c>
      <c r="L622" s="23">
        <v>384</v>
      </c>
      <c r="M622" s="23">
        <v>422</v>
      </c>
      <c r="N622" s="23">
        <v>422</v>
      </c>
      <c r="O622" s="23">
        <v>422</v>
      </c>
      <c r="P622" s="23">
        <v>422</v>
      </c>
      <c r="Q622" s="23">
        <v>422</v>
      </c>
      <c r="R622" s="23"/>
      <c r="Z622" s="26"/>
      <c r="AA622" s="26"/>
      <c r="AB622" s="26"/>
      <c r="AC622" s="26"/>
      <c r="AD622" s="26"/>
    </row>
    <row r="623" spans="3:30" x14ac:dyDescent="0.35">
      <c r="C623" t="s">
        <v>33</v>
      </c>
      <c r="D623" t="s">
        <v>143</v>
      </c>
      <c r="E623" t="s">
        <v>66</v>
      </c>
      <c r="F623" s="12"/>
      <c r="G623" s="12"/>
      <c r="H623" s="12"/>
      <c r="I623" s="12"/>
      <c r="J623" s="12"/>
      <c r="K623" s="4">
        <v>5</v>
      </c>
      <c r="L623" s="23">
        <v>420</v>
      </c>
      <c r="M623" s="23">
        <v>462</v>
      </c>
      <c r="N623" s="23">
        <v>462</v>
      </c>
      <c r="O623" s="23">
        <v>462</v>
      </c>
      <c r="P623" s="23">
        <v>462</v>
      </c>
      <c r="Q623" s="23">
        <v>462</v>
      </c>
      <c r="R623" s="23"/>
      <c r="Z623" s="26"/>
      <c r="AA623" s="26"/>
      <c r="AB623" s="26"/>
      <c r="AC623" s="26"/>
      <c r="AD623" s="26"/>
    </row>
    <row r="624" spans="3:30" x14ac:dyDescent="0.35">
      <c r="C624" t="s">
        <v>33</v>
      </c>
      <c r="D624" t="s">
        <v>143</v>
      </c>
      <c r="E624" t="s">
        <v>66</v>
      </c>
      <c r="F624" s="12"/>
      <c r="G624" s="12"/>
      <c r="H624" s="12"/>
      <c r="I624" s="12"/>
      <c r="J624" s="12"/>
      <c r="K624" s="4">
        <v>6</v>
      </c>
      <c r="L624" s="23">
        <v>460</v>
      </c>
      <c r="M624" s="23">
        <v>506</v>
      </c>
      <c r="N624" s="23">
        <v>506</v>
      </c>
      <c r="O624" s="23">
        <v>506</v>
      </c>
      <c r="P624" s="23">
        <v>506</v>
      </c>
      <c r="Q624" s="23">
        <v>506</v>
      </c>
      <c r="R624" s="23"/>
      <c r="Z624" s="26"/>
      <c r="AA624" s="26"/>
      <c r="AB624" s="26"/>
      <c r="AC624" s="26"/>
      <c r="AD624" s="26"/>
    </row>
    <row r="625" spans="3:30" x14ac:dyDescent="0.35">
      <c r="C625" t="s">
        <v>33</v>
      </c>
      <c r="D625" t="s">
        <v>143</v>
      </c>
      <c r="E625" t="s">
        <v>66</v>
      </c>
      <c r="F625" s="12"/>
      <c r="G625" s="12"/>
      <c r="H625" s="12"/>
      <c r="I625" s="12"/>
      <c r="J625" s="12"/>
      <c r="K625" s="4">
        <v>7</v>
      </c>
      <c r="L625" s="23">
        <v>497</v>
      </c>
      <c r="M625" s="23">
        <v>547</v>
      </c>
      <c r="N625" s="23">
        <v>547</v>
      </c>
      <c r="O625" s="23">
        <v>547</v>
      </c>
      <c r="P625" s="23">
        <v>547</v>
      </c>
      <c r="Q625" s="23">
        <v>547</v>
      </c>
      <c r="R625" s="23"/>
      <c r="Z625" s="26"/>
      <c r="AA625" s="26"/>
      <c r="AB625" s="26"/>
      <c r="AC625" s="26"/>
      <c r="AD625" s="26"/>
    </row>
    <row r="626" spans="3:30" x14ac:dyDescent="0.35">
      <c r="C626" t="s">
        <v>33</v>
      </c>
      <c r="D626" t="s">
        <v>143</v>
      </c>
      <c r="E626" t="s">
        <v>66</v>
      </c>
      <c r="F626" s="12"/>
      <c r="G626" s="12"/>
      <c r="H626" s="12"/>
      <c r="I626" s="12"/>
      <c r="J626" s="12"/>
      <c r="K626" s="4">
        <v>8</v>
      </c>
      <c r="L626" s="40">
        <v>508</v>
      </c>
      <c r="M626" s="40">
        <v>559</v>
      </c>
      <c r="N626" s="40">
        <v>559</v>
      </c>
      <c r="O626" s="40">
        <v>559</v>
      </c>
      <c r="P626" s="40">
        <v>559</v>
      </c>
      <c r="Q626" s="40">
        <v>559</v>
      </c>
      <c r="R626" s="23"/>
      <c r="Z626" s="26"/>
      <c r="AA626" s="26"/>
      <c r="AB626" s="26"/>
      <c r="AC626" s="26"/>
      <c r="AD626" s="26"/>
    </row>
    <row r="627" spans="3:30" x14ac:dyDescent="0.35">
      <c r="C627" t="s">
        <v>33</v>
      </c>
      <c r="D627" t="s">
        <v>147</v>
      </c>
      <c r="E627" t="s">
        <v>206</v>
      </c>
      <c r="F627" s="12"/>
      <c r="G627" s="12"/>
      <c r="H627" s="12" t="s">
        <v>174</v>
      </c>
      <c r="I627" s="12"/>
      <c r="J627" s="12"/>
      <c r="K627" s="4">
        <v>1</v>
      </c>
      <c r="L627" s="23">
        <v>262</v>
      </c>
      <c r="M627" s="23">
        <v>288</v>
      </c>
      <c r="N627" s="23">
        <v>288</v>
      </c>
      <c r="O627" s="23">
        <v>288</v>
      </c>
      <c r="P627" s="23">
        <v>288</v>
      </c>
      <c r="Q627" s="23">
        <v>288</v>
      </c>
      <c r="R627" s="23"/>
      <c r="Z627" s="26"/>
      <c r="AA627" s="26"/>
      <c r="AB627" s="26"/>
      <c r="AC627" s="26"/>
      <c r="AD627" s="26"/>
    </row>
    <row r="628" spans="3:30" x14ac:dyDescent="0.35">
      <c r="C628" t="s">
        <v>33</v>
      </c>
      <c r="D628" t="s">
        <v>147</v>
      </c>
      <c r="E628" t="s">
        <v>206</v>
      </c>
      <c r="F628" s="12"/>
      <c r="G628" s="12"/>
      <c r="H628" s="12" t="s">
        <v>174</v>
      </c>
      <c r="I628" s="12"/>
      <c r="J628" s="12"/>
      <c r="K628" s="4">
        <v>2</v>
      </c>
      <c r="L628" s="23">
        <v>301</v>
      </c>
      <c r="M628" s="23">
        <v>331</v>
      </c>
      <c r="N628" s="23">
        <v>331</v>
      </c>
      <c r="O628" s="23">
        <v>331</v>
      </c>
      <c r="P628" s="23">
        <v>331</v>
      </c>
      <c r="Q628" s="23">
        <v>331</v>
      </c>
      <c r="R628" s="23"/>
      <c r="Z628" s="26"/>
      <c r="AA628" s="26"/>
      <c r="AB628" s="26"/>
      <c r="AC628" s="26"/>
      <c r="AD628" s="26"/>
    </row>
    <row r="629" spans="3:30" x14ac:dyDescent="0.35">
      <c r="C629" t="s">
        <v>33</v>
      </c>
      <c r="D629" t="s">
        <v>147</v>
      </c>
      <c r="E629" t="s">
        <v>206</v>
      </c>
      <c r="F629" s="12"/>
      <c r="G629" s="12"/>
      <c r="H629" s="12" t="s">
        <v>174</v>
      </c>
      <c r="I629" s="12"/>
      <c r="J629" s="12"/>
      <c r="K629" s="4">
        <v>3</v>
      </c>
      <c r="L629" s="23">
        <v>340</v>
      </c>
      <c r="M629" s="23">
        <v>374</v>
      </c>
      <c r="N629" s="23">
        <v>374</v>
      </c>
      <c r="O629" s="23">
        <v>374</v>
      </c>
      <c r="P629" s="23">
        <v>374</v>
      </c>
      <c r="Q629" s="23">
        <v>374</v>
      </c>
      <c r="R629" s="23"/>
      <c r="Z629" s="26"/>
      <c r="AA629" s="26"/>
      <c r="AB629" s="26"/>
      <c r="AC629" s="26"/>
      <c r="AD629" s="26"/>
    </row>
    <row r="630" spans="3:30" x14ac:dyDescent="0.35">
      <c r="C630" t="s">
        <v>33</v>
      </c>
      <c r="D630" t="s">
        <v>147</v>
      </c>
      <c r="E630" t="s">
        <v>206</v>
      </c>
      <c r="F630" s="12"/>
      <c r="G630" s="12"/>
      <c r="H630" s="12" t="s">
        <v>174</v>
      </c>
      <c r="I630" s="12"/>
      <c r="J630" s="12"/>
      <c r="K630" s="4">
        <v>4</v>
      </c>
      <c r="L630" s="23">
        <v>384</v>
      </c>
      <c r="M630" s="23">
        <v>422</v>
      </c>
      <c r="N630" s="23">
        <v>422</v>
      </c>
      <c r="O630" s="23">
        <v>422</v>
      </c>
      <c r="P630" s="23">
        <v>422</v>
      </c>
      <c r="Q630" s="23">
        <v>422</v>
      </c>
      <c r="R630" s="23"/>
      <c r="Z630" s="26"/>
      <c r="AA630" s="26"/>
      <c r="AB630" s="26"/>
      <c r="AC630" s="26"/>
      <c r="AD630" s="26"/>
    </row>
    <row r="631" spans="3:30" x14ac:dyDescent="0.35">
      <c r="C631" t="s">
        <v>33</v>
      </c>
      <c r="D631" t="s">
        <v>147</v>
      </c>
      <c r="E631" t="s">
        <v>206</v>
      </c>
      <c r="F631" s="12"/>
      <c r="G631" s="12"/>
      <c r="H631" s="12" t="s">
        <v>174</v>
      </c>
      <c r="I631" s="12"/>
      <c r="J631" s="12"/>
      <c r="K631" s="4">
        <v>5</v>
      </c>
      <c r="L631" s="23">
        <v>420</v>
      </c>
      <c r="M631" s="23">
        <v>462</v>
      </c>
      <c r="N631" s="23">
        <v>462</v>
      </c>
      <c r="O631" s="23">
        <v>462</v>
      </c>
      <c r="P631" s="23">
        <v>462</v>
      </c>
      <c r="Q631" s="23">
        <v>462</v>
      </c>
      <c r="R631" s="23"/>
      <c r="Z631" s="26"/>
      <c r="AA631" s="26"/>
      <c r="AB631" s="26"/>
      <c r="AC631" s="26"/>
      <c r="AD631" s="26"/>
    </row>
    <row r="632" spans="3:30" x14ac:dyDescent="0.35">
      <c r="C632" t="s">
        <v>33</v>
      </c>
      <c r="D632" t="s">
        <v>147</v>
      </c>
      <c r="E632" t="s">
        <v>206</v>
      </c>
      <c r="F632" s="12"/>
      <c r="G632" s="12"/>
      <c r="H632" s="12" t="s">
        <v>174</v>
      </c>
      <c r="I632" s="12"/>
      <c r="J632" s="12"/>
      <c r="K632" s="4">
        <v>6</v>
      </c>
      <c r="L632" s="23">
        <v>460</v>
      </c>
      <c r="M632" s="23">
        <v>506</v>
      </c>
      <c r="N632" s="23">
        <v>506</v>
      </c>
      <c r="O632" s="23">
        <v>506</v>
      </c>
      <c r="P632" s="23">
        <v>506</v>
      </c>
      <c r="Q632" s="23">
        <v>506</v>
      </c>
      <c r="R632" s="23"/>
      <c r="Z632" s="26"/>
      <c r="AA632" s="26"/>
      <c r="AB632" s="26"/>
      <c r="AC632" s="26"/>
      <c r="AD632" s="26"/>
    </row>
    <row r="633" spans="3:30" x14ac:dyDescent="0.35">
      <c r="C633" t="s">
        <v>33</v>
      </c>
      <c r="D633" t="s">
        <v>147</v>
      </c>
      <c r="E633" t="s">
        <v>206</v>
      </c>
      <c r="F633" s="12"/>
      <c r="G633" s="12"/>
      <c r="H633" s="12" t="s">
        <v>174</v>
      </c>
      <c r="I633" s="12"/>
      <c r="J633" s="12"/>
      <c r="K633" s="4">
        <v>7</v>
      </c>
      <c r="L633" s="23">
        <v>497</v>
      </c>
      <c r="M633" s="23">
        <v>547</v>
      </c>
      <c r="N633" s="23">
        <v>547</v>
      </c>
      <c r="O633" s="23">
        <v>547</v>
      </c>
      <c r="P633" s="23">
        <v>547</v>
      </c>
      <c r="Q633" s="23">
        <v>547</v>
      </c>
      <c r="R633" s="23"/>
      <c r="Z633" s="26"/>
      <c r="AA633" s="26"/>
      <c r="AB633" s="26"/>
      <c r="AC633" s="26"/>
      <c r="AD633" s="26"/>
    </row>
    <row r="634" spans="3:30" x14ac:dyDescent="0.35">
      <c r="C634" t="s">
        <v>33</v>
      </c>
      <c r="D634" t="s">
        <v>147</v>
      </c>
      <c r="E634" t="s">
        <v>206</v>
      </c>
      <c r="F634" s="12"/>
      <c r="G634" s="12"/>
      <c r="H634" s="12" t="s">
        <v>174</v>
      </c>
      <c r="I634" s="12"/>
      <c r="J634" s="12"/>
      <c r="K634" s="4">
        <v>8</v>
      </c>
      <c r="L634" s="40">
        <v>508</v>
      </c>
      <c r="M634" s="40">
        <v>559</v>
      </c>
      <c r="N634" s="40">
        <v>559</v>
      </c>
      <c r="O634" s="40">
        <v>559</v>
      </c>
      <c r="P634" s="40">
        <v>559</v>
      </c>
      <c r="Q634" s="40">
        <v>559</v>
      </c>
      <c r="R634" s="40"/>
      <c r="Z634" s="26"/>
      <c r="AA634" s="26"/>
      <c r="AB634" s="26"/>
      <c r="AC634" s="26"/>
      <c r="AD634" s="26"/>
    </row>
    <row r="635" spans="3:30" x14ac:dyDescent="0.35">
      <c r="C635" t="s">
        <v>356</v>
      </c>
      <c r="D635" t="s">
        <v>137</v>
      </c>
      <c r="E635" t="s">
        <v>160</v>
      </c>
      <c r="F635" s="12" t="s">
        <v>139</v>
      </c>
      <c r="G635" s="12" t="s">
        <v>153</v>
      </c>
      <c r="H635" s="12" t="s">
        <v>141</v>
      </c>
      <c r="I635" s="12" t="s">
        <v>142</v>
      </c>
      <c r="J635" s="12"/>
      <c r="K635" s="4">
        <v>1</v>
      </c>
      <c r="L635" s="57">
        <f>L643*2</f>
        <v>714</v>
      </c>
      <c r="M635" s="57">
        <f t="shared" ref="M635:R635" si="1">M643*2</f>
        <v>730</v>
      </c>
      <c r="N635" s="57">
        <f t="shared" si="1"/>
        <v>746</v>
      </c>
      <c r="O635" s="57">
        <f t="shared" si="1"/>
        <v>762</v>
      </c>
      <c r="P635" s="57">
        <f t="shared" si="1"/>
        <v>778</v>
      </c>
      <c r="Q635" s="57">
        <f t="shared" si="1"/>
        <v>794</v>
      </c>
      <c r="R635" s="57">
        <f t="shared" si="1"/>
        <v>810</v>
      </c>
      <c r="Z635" s="26"/>
      <c r="AA635" s="26"/>
      <c r="AB635" s="26"/>
      <c r="AC635" s="26"/>
      <c r="AD635" s="26"/>
    </row>
    <row r="636" spans="3:30" x14ac:dyDescent="0.35">
      <c r="C636" t="s">
        <v>356</v>
      </c>
      <c r="D636" t="s">
        <v>137</v>
      </c>
      <c r="E636" t="s">
        <v>160</v>
      </c>
      <c r="F636" s="12" t="s">
        <v>139</v>
      </c>
      <c r="G636" s="12" t="s">
        <v>153</v>
      </c>
      <c r="H636" s="12" t="s">
        <v>141</v>
      </c>
      <c r="I636" s="12" t="s">
        <v>142</v>
      </c>
      <c r="J636" s="12"/>
      <c r="K636" s="4">
        <v>2</v>
      </c>
      <c r="L636" s="57">
        <f t="shared" ref="L636:R636" si="2">L644*2</f>
        <v>962</v>
      </c>
      <c r="M636" s="57">
        <f t="shared" si="2"/>
        <v>982</v>
      </c>
      <c r="N636" s="57">
        <f t="shared" si="2"/>
        <v>1002</v>
      </c>
      <c r="O636" s="57">
        <f t="shared" si="2"/>
        <v>1024</v>
      </c>
      <c r="P636" s="57">
        <f t="shared" si="2"/>
        <v>1046</v>
      </c>
      <c r="Q636" s="57">
        <f t="shared" si="2"/>
        <v>1068</v>
      </c>
      <c r="R636" s="57">
        <f t="shared" si="2"/>
        <v>1090</v>
      </c>
      <c r="Z636" s="26"/>
      <c r="AA636" s="26"/>
      <c r="AB636" s="26"/>
      <c r="AC636" s="26"/>
      <c r="AD636" s="26"/>
    </row>
    <row r="637" spans="3:30" x14ac:dyDescent="0.35">
      <c r="C637" t="s">
        <v>356</v>
      </c>
      <c r="D637" t="s">
        <v>137</v>
      </c>
      <c r="E637" t="s">
        <v>160</v>
      </c>
      <c r="F637" s="12" t="s">
        <v>139</v>
      </c>
      <c r="G637" s="12" t="s">
        <v>153</v>
      </c>
      <c r="H637" s="12" t="s">
        <v>141</v>
      </c>
      <c r="I637" s="12" t="s">
        <v>142</v>
      </c>
      <c r="J637" s="12"/>
      <c r="K637" s="4">
        <v>3</v>
      </c>
      <c r="L637" s="57">
        <f t="shared" ref="L637:R637" si="3">L645*2</f>
        <v>1204</v>
      </c>
      <c r="M637" s="57">
        <f t="shared" si="3"/>
        <v>1230</v>
      </c>
      <c r="N637" s="57">
        <f t="shared" si="3"/>
        <v>1256</v>
      </c>
      <c r="O637" s="57">
        <f t="shared" si="3"/>
        <v>1282</v>
      </c>
      <c r="P637" s="57">
        <f t="shared" si="3"/>
        <v>1310</v>
      </c>
      <c r="Q637" s="57">
        <f t="shared" si="3"/>
        <v>1338</v>
      </c>
      <c r="R637" s="57">
        <f t="shared" si="3"/>
        <v>1366</v>
      </c>
      <c r="Z637" s="26"/>
      <c r="AA637" s="26"/>
      <c r="AB637" s="26"/>
      <c r="AC637" s="26"/>
      <c r="AD637" s="26"/>
    </row>
    <row r="638" spans="3:30" x14ac:dyDescent="0.35">
      <c r="C638" t="s">
        <v>356</v>
      </c>
      <c r="D638" t="s">
        <v>137</v>
      </c>
      <c r="E638" t="s">
        <v>160</v>
      </c>
      <c r="F638" s="12" t="s">
        <v>139</v>
      </c>
      <c r="G638" s="12" t="s">
        <v>153</v>
      </c>
      <c r="H638" s="12" t="s">
        <v>141</v>
      </c>
      <c r="I638" s="12" t="s">
        <v>142</v>
      </c>
      <c r="J638" s="12"/>
      <c r="K638" s="4">
        <v>4</v>
      </c>
      <c r="L638" s="57">
        <f t="shared" ref="L638:R638" si="4">L646*2</f>
        <v>1440</v>
      </c>
      <c r="M638" s="57">
        <f t="shared" si="4"/>
        <v>1470</v>
      </c>
      <c r="N638" s="57">
        <f t="shared" si="4"/>
        <v>1502</v>
      </c>
      <c r="O638" s="57">
        <f t="shared" si="4"/>
        <v>1534</v>
      </c>
      <c r="P638" s="57">
        <f t="shared" si="4"/>
        <v>1566</v>
      </c>
      <c r="Q638" s="57">
        <f t="shared" si="4"/>
        <v>1600</v>
      </c>
      <c r="R638" s="57">
        <f t="shared" si="4"/>
        <v>1634</v>
      </c>
      <c r="Z638" s="26"/>
      <c r="AA638" s="26"/>
      <c r="AB638" s="26"/>
      <c r="AC638" s="26"/>
      <c r="AD638" s="26"/>
    </row>
    <row r="639" spans="3:30" x14ac:dyDescent="0.35">
      <c r="C639" t="s">
        <v>356</v>
      </c>
      <c r="D639" t="s">
        <v>137</v>
      </c>
      <c r="E639" t="s">
        <v>160</v>
      </c>
      <c r="F639" s="12" t="s">
        <v>139</v>
      </c>
      <c r="G639" s="12" t="s">
        <v>153</v>
      </c>
      <c r="H639" s="12" t="s">
        <v>141</v>
      </c>
      <c r="I639" s="12" t="s">
        <v>142</v>
      </c>
      <c r="J639" s="12"/>
      <c r="K639" s="4">
        <v>5</v>
      </c>
      <c r="L639" s="57">
        <f t="shared" ref="L639:R639" si="5">L647*2</f>
        <v>1672</v>
      </c>
      <c r="M639" s="57">
        <f t="shared" si="5"/>
        <v>1708</v>
      </c>
      <c r="N639" s="57">
        <f t="shared" si="5"/>
        <v>1744</v>
      </c>
      <c r="O639" s="57">
        <f t="shared" si="5"/>
        <v>1782</v>
      </c>
      <c r="P639" s="57">
        <f t="shared" si="5"/>
        <v>1820</v>
      </c>
      <c r="Q639" s="57">
        <f t="shared" si="5"/>
        <v>1858</v>
      </c>
      <c r="R639" s="57">
        <f t="shared" si="5"/>
        <v>1898</v>
      </c>
      <c r="Z639" s="26"/>
      <c r="AA639" s="26"/>
      <c r="AB639" s="26"/>
      <c r="AC639" s="26"/>
      <c r="AD639" s="26"/>
    </row>
    <row r="640" spans="3:30" x14ac:dyDescent="0.35">
      <c r="C640" t="s">
        <v>356</v>
      </c>
      <c r="D640" t="s">
        <v>137</v>
      </c>
      <c r="E640" t="s">
        <v>160</v>
      </c>
      <c r="F640" s="12" t="s">
        <v>139</v>
      </c>
      <c r="G640" s="12" t="s">
        <v>153</v>
      </c>
      <c r="H640" s="12" t="s">
        <v>141</v>
      </c>
      <c r="I640" s="12" t="s">
        <v>142</v>
      </c>
      <c r="J640" s="12"/>
      <c r="K640" s="4">
        <v>6</v>
      </c>
      <c r="L640" s="57">
        <f t="shared" ref="L640:R640" si="6">L648*2</f>
        <v>1894</v>
      </c>
      <c r="M640" s="57">
        <f t="shared" si="6"/>
        <v>1934</v>
      </c>
      <c r="N640" s="57">
        <f t="shared" si="6"/>
        <v>1976</v>
      </c>
      <c r="O640" s="57">
        <f t="shared" si="6"/>
        <v>2018</v>
      </c>
      <c r="P640" s="57">
        <f t="shared" si="6"/>
        <v>2060</v>
      </c>
      <c r="Q640" s="57">
        <f t="shared" si="6"/>
        <v>2104</v>
      </c>
      <c r="R640" s="57">
        <f t="shared" si="6"/>
        <v>2148</v>
      </c>
      <c r="Z640" s="26"/>
      <c r="AA640" s="26"/>
      <c r="AB640" s="26"/>
      <c r="AC640" s="26"/>
      <c r="AD640" s="26"/>
    </row>
    <row r="641" spans="2:30" x14ac:dyDescent="0.35">
      <c r="C641" t="s">
        <v>356</v>
      </c>
      <c r="D641" t="s">
        <v>137</v>
      </c>
      <c r="E641" t="s">
        <v>160</v>
      </c>
      <c r="F641" s="12" t="s">
        <v>139</v>
      </c>
      <c r="G641" s="12" t="s">
        <v>153</v>
      </c>
      <c r="H641" s="12" t="s">
        <v>141</v>
      </c>
      <c r="I641" s="12" t="s">
        <v>142</v>
      </c>
      <c r="J641" s="12"/>
      <c r="K641" s="4">
        <v>7</v>
      </c>
      <c r="L641" s="57">
        <f t="shared" ref="L641:R641" si="7">L649*2</f>
        <v>2128</v>
      </c>
      <c r="M641" s="57">
        <f t="shared" si="7"/>
        <v>2174</v>
      </c>
      <c r="N641" s="57">
        <f t="shared" si="7"/>
        <v>2220</v>
      </c>
      <c r="O641" s="57">
        <f t="shared" si="7"/>
        <v>2268</v>
      </c>
      <c r="P641" s="57">
        <f t="shared" si="7"/>
        <v>2316</v>
      </c>
      <c r="Q641" s="57">
        <f t="shared" si="7"/>
        <v>2366</v>
      </c>
      <c r="R641" s="57">
        <f t="shared" si="7"/>
        <v>2416</v>
      </c>
      <c r="Z641" s="26"/>
      <c r="AA641" s="26"/>
      <c r="AB641" s="26"/>
      <c r="AC641" s="26"/>
      <c r="AD641" s="26"/>
    </row>
    <row r="642" spans="2:30" x14ac:dyDescent="0.35">
      <c r="C642" t="s">
        <v>356</v>
      </c>
      <c r="D642" t="s">
        <v>137</v>
      </c>
      <c r="E642" t="s">
        <v>160</v>
      </c>
      <c r="F642" s="12" t="s">
        <v>139</v>
      </c>
      <c r="G642" s="12" t="s">
        <v>153</v>
      </c>
      <c r="H642" s="12" t="s">
        <v>141</v>
      </c>
      <c r="I642" s="12" t="s">
        <v>142</v>
      </c>
      <c r="J642" s="12"/>
      <c r="K642" s="4">
        <v>8</v>
      </c>
      <c r="L642" s="57">
        <f t="shared" ref="L642:R642" si="8">L650*2</f>
        <v>2366</v>
      </c>
      <c r="M642" s="57">
        <f t="shared" si="8"/>
        <v>2416</v>
      </c>
      <c r="N642" s="57">
        <f t="shared" si="8"/>
        <v>2468</v>
      </c>
      <c r="O642" s="57">
        <f t="shared" si="8"/>
        <v>2520</v>
      </c>
      <c r="P642" s="57">
        <f t="shared" si="8"/>
        <v>2574</v>
      </c>
      <c r="Q642" s="57">
        <f t="shared" si="8"/>
        <v>2628</v>
      </c>
      <c r="R642" s="57">
        <f t="shared" si="8"/>
        <v>2684</v>
      </c>
      <c r="Z642" s="26"/>
      <c r="AA642" s="26"/>
      <c r="AB642" s="26"/>
      <c r="AC642" s="26"/>
      <c r="AD642" s="26"/>
    </row>
    <row r="643" spans="2:30" x14ac:dyDescent="0.35">
      <c r="C643" t="s">
        <v>356</v>
      </c>
      <c r="D643" t="s">
        <v>147</v>
      </c>
      <c r="E643" t="s">
        <v>167</v>
      </c>
      <c r="F643" s="12" t="s">
        <v>139</v>
      </c>
      <c r="G643" s="12" t="s">
        <v>153</v>
      </c>
      <c r="H643" s="12" t="s">
        <v>141</v>
      </c>
      <c r="I643" s="12" t="s">
        <v>142</v>
      </c>
      <c r="J643" s="12"/>
      <c r="K643" s="4">
        <v>1</v>
      </c>
      <c r="L643" s="57">
        <v>357</v>
      </c>
      <c r="M643" s="57">
        <v>365</v>
      </c>
      <c r="N643" s="58">
        <v>373</v>
      </c>
      <c r="O643" s="57">
        <v>381</v>
      </c>
      <c r="P643" s="57">
        <v>389</v>
      </c>
      <c r="Q643" s="57">
        <v>397</v>
      </c>
      <c r="R643" s="57">
        <v>405</v>
      </c>
      <c r="Z643" s="26"/>
      <c r="AA643" s="26"/>
      <c r="AB643" s="26"/>
      <c r="AC643" s="26"/>
      <c r="AD643" s="26"/>
    </row>
    <row r="644" spans="2:30" x14ac:dyDescent="0.35">
      <c r="C644" t="s">
        <v>356</v>
      </c>
      <c r="D644" t="s">
        <v>147</v>
      </c>
      <c r="E644" t="s">
        <v>167</v>
      </c>
      <c r="F644" s="12" t="s">
        <v>139</v>
      </c>
      <c r="G644" s="12" t="s">
        <v>153</v>
      </c>
      <c r="H644" s="12" t="s">
        <v>141</v>
      </c>
      <c r="I644" s="12" t="s">
        <v>142</v>
      </c>
      <c r="J644" s="12"/>
      <c r="K644" s="4">
        <v>2</v>
      </c>
      <c r="L644" s="57">
        <v>481</v>
      </c>
      <c r="M644" s="57">
        <v>491</v>
      </c>
      <c r="N644" s="58">
        <v>501</v>
      </c>
      <c r="O644" s="57">
        <v>512</v>
      </c>
      <c r="P644" s="57">
        <v>523</v>
      </c>
      <c r="Q644" s="57">
        <v>534</v>
      </c>
      <c r="R644" s="57">
        <v>545</v>
      </c>
      <c r="Z644" s="26"/>
      <c r="AA644" s="26"/>
      <c r="AB644" s="26"/>
      <c r="AC644" s="26"/>
      <c r="AD644" s="26"/>
    </row>
    <row r="645" spans="2:30" x14ac:dyDescent="0.35">
      <c r="C645" t="s">
        <v>356</v>
      </c>
      <c r="D645" t="s">
        <v>147</v>
      </c>
      <c r="E645" t="s">
        <v>167</v>
      </c>
      <c r="F645" s="12" t="s">
        <v>139</v>
      </c>
      <c r="G645" s="12" t="s">
        <v>153</v>
      </c>
      <c r="H645" s="12" t="s">
        <v>141</v>
      </c>
      <c r="I645" s="12" t="s">
        <v>142</v>
      </c>
      <c r="J645" s="12"/>
      <c r="K645" s="4">
        <v>3</v>
      </c>
      <c r="L645" s="57">
        <v>602</v>
      </c>
      <c r="M645" s="57">
        <v>615</v>
      </c>
      <c r="N645" s="58">
        <v>628</v>
      </c>
      <c r="O645" s="57">
        <v>641</v>
      </c>
      <c r="P645" s="57">
        <v>655</v>
      </c>
      <c r="Q645" s="57">
        <v>669</v>
      </c>
      <c r="R645" s="57">
        <v>683</v>
      </c>
      <c r="Z645" s="26"/>
      <c r="AA645" s="26"/>
      <c r="AB645" s="26"/>
      <c r="AC645" s="26"/>
      <c r="AD645" s="26"/>
    </row>
    <row r="646" spans="2:30" x14ac:dyDescent="0.35">
      <c r="C646" t="s">
        <v>356</v>
      </c>
      <c r="D646" t="s">
        <v>147</v>
      </c>
      <c r="E646" t="s">
        <v>167</v>
      </c>
      <c r="F646" s="12" t="s">
        <v>139</v>
      </c>
      <c r="G646" s="12" t="s">
        <v>153</v>
      </c>
      <c r="H646" s="12" t="s">
        <v>141</v>
      </c>
      <c r="I646" s="12" t="s">
        <v>142</v>
      </c>
      <c r="J646" s="12"/>
      <c r="K646" s="4">
        <v>4</v>
      </c>
      <c r="L646" s="57">
        <v>720</v>
      </c>
      <c r="M646" s="57">
        <v>735</v>
      </c>
      <c r="N646" s="58">
        <v>751</v>
      </c>
      <c r="O646" s="57">
        <v>767</v>
      </c>
      <c r="P646" s="57">
        <v>783</v>
      </c>
      <c r="Q646" s="57">
        <v>800</v>
      </c>
      <c r="R646" s="57">
        <v>817</v>
      </c>
      <c r="Z646" s="26"/>
      <c r="AA646" s="26"/>
      <c r="AB646" s="26"/>
      <c r="AC646" s="26"/>
      <c r="AD646" s="26"/>
    </row>
    <row r="647" spans="2:30" x14ac:dyDescent="0.35">
      <c r="C647" t="s">
        <v>356</v>
      </c>
      <c r="D647" t="s">
        <v>147</v>
      </c>
      <c r="E647" t="s">
        <v>167</v>
      </c>
      <c r="F647" s="12" t="s">
        <v>139</v>
      </c>
      <c r="G647" s="12" t="s">
        <v>153</v>
      </c>
      <c r="H647" s="12" t="s">
        <v>141</v>
      </c>
      <c r="I647" s="12" t="s">
        <v>142</v>
      </c>
      <c r="J647" s="12"/>
      <c r="K647" s="4">
        <v>5</v>
      </c>
      <c r="L647" s="57">
        <v>836</v>
      </c>
      <c r="M647" s="57">
        <v>854</v>
      </c>
      <c r="N647" s="58">
        <v>872</v>
      </c>
      <c r="O647" s="57">
        <v>891</v>
      </c>
      <c r="P647" s="57">
        <v>910</v>
      </c>
      <c r="Q647" s="57">
        <v>929</v>
      </c>
      <c r="R647" s="57">
        <v>949</v>
      </c>
      <c r="Z647" s="26"/>
      <c r="AA647" s="26"/>
      <c r="AB647" s="26"/>
      <c r="AC647" s="26"/>
      <c r="AD647" s="26"/>
    </row>
    <row r="648" spans="2:30" x14ac:dyDescent="0.35">
      <c r="C648" t="s">
        <v>356</v>
      </c>
      <c r="D648" t="s">
        <v>147</v>
      </c>
      <c r="E648" t="s">
        <v>167</v>
      </c>
      <c r="F648" s="12" t="s">
        <v>139</v>
      </c>
      <c r="G648" s="12" t="s">
        <v>153</v>
      </c>
      <c r="H648" s="12" t="s">
        <v>141</v>
      </c>
      <c r="I648" s="12" t="s">
        <v>142</v>
      </c>
      <c r="J648" s="12"/>
      <c r="K648" s="4">
        <v>6</v>
      </c>
      <c r="L648" s="57">
        <v>947</v>
      </c>
      <c r="M648" s="57">
        <v>967</v>
      </c>
      <c r="N648" s="58">
        <v>988</v>
      </c>
      <c r="O648" s="57">
        <v>1009</v>
      </c>
      <c r="P648" s="57">
        <v>1030</v>
      </c>
      <c r="Q648" s="57">
        <v>1052</v>
      </c>
      <c r="R648" s="57">
        <v>1074</v>
      </c>
      <c r="Z648" s="26"/>
      <c r="AA648" s="26"/>
      <c r="AB648" s="26"/>
      <c r="AC648" s="26"/>
      <c r="AD648" s="26"/>
    </row>
    <row r="649" spans="2:30" x14ac:dyDescent="0.35">
      <c r="C649" t="s">
        <v>356</v>
      </c>
      <c r="D649" t="s">
        <v>147</v>
      </c>
      <c r="E649" t="s">
        <v>167</v>
      </c>
      <c r="F649" s="12" t="s">
        <v>139</v>
      </c>
      <c r="G649" s="12" t="s">
        <v>153</v>
      </c>
      <c r="H649" s="12" t="s">
        <v>141</v>
      </c>
      <c r="I649" s="12" t="s">
        <v>142</v>
      </c>
      <c r="J649" s="12"/>
      <c r="K649" s="4">
        <v>7</v>
      </c>
      <c r="L649" s="57">
        <v>1064</v>
      </c>
      <c r="M649" s="57">
        <v>1087</v>
      </c>
      <c r="N649" s="58">
        <v>1110</v>
      </c>
      <c r="O649" s="57">
        <v>1134</v>
      </c>
      <c r="P649" s="57">
        <v>1158</v>
      </c>
      <c r="Q649" s="57">
        <v>1183</v>
      </c>
      <c r="R649" s="57">
        <v>1208</v>
      </c>
      <c r="Z649" s="26"/>
      <c r="AA649" s="26"/>
      <c r="AB649" s="26"/>
      <c r="AC649" s="26"/>
      <c r="AD649" s="26"/>
    </row>
    <row r="650" spans="2:30" x14ac:dyDescent="0.35">
      <c r="C650" t="s">
        <v>356</v>
      </c>
      <c r="D650" t="s">
        <v>147</v>
      </c>
      <c r="E650" t="s">
        <v>167</v>
      </c>
      <c r="F650" s="12" t="s">
        <v>139</v>
      </c>
      <c r="G650" s="12" t="s">
        <v>153</v>
      </c>
      <c r="H650" s="12" t="s">
        <v>141</v>
      </c>
      <c r="I650" s="12" t="s">
        <v>142</v>
      </c>
      <c r="J650" s="12"/>
      <c r="K650" s="4">
        <v>8</v>
      </c>
      <c r="L650" s="40">
        <v>1183</v>
      </c>
      <c r="M650" s="40">
        <v>1208</v>
      </c>
      <c r="N650" s="40">
        <v>1234</v>
      </c>
      <c r="O650" s="40">
        <v>1260</v>
      </c>
      <c r="P650" s="40">
        <v>1287</v>
      </c>
      <c r="Q650" s="40">
        <v>1314</v>
      </c>
      <c r="R650" s="40">
        <v>1342</v>
      </c>
      <c r="Z650" s="26"/>
      <c r="AA650" s="26"/>
      <c r="AB650" s="26"/>
      <c r="AC650" s="26"/>
      <c r="AD650" s="26"/>
    </row>
    <row r="651" spans="2:30" x14ac:dyDescent="0.35">
      <c r="F651" s="12"/>
      <c r="G651" s="12"/>
      <c r="H651" s="12"/>
      <c r="I651" s="12"/>
      <c r="J651" s="12"/>
      <c r="K651" s="4"/>
      <c r="L651" s="25"/>
      <c r="M651" s="25"/>
      <c r="N651" s="25"/>
      <c r="O651" s="25"/>
      <c r="P651" s="25"/>
      <c r="X651" s="26"/>
      <c r="Y651" s="26"/>
      <c r="Z651" s="26"/>
      <c r="AA651" s="26"/>
      <c r="AB651" s="26"/>
    </row>
    <row r="652" spans="2:30" x14ac:dyDescent="0.35">
      <c r="F652" s="12"/>
      <c r="G652" s="12"/>
      <c r="H652" s="12"/>
      <c r="I652" s="12"/>
      <c r="J652" s="12"/>
      <c r="K652" s="4"/>
      <c r="L652" s="25"/>
      <c r="M652" s="25"/>
      <c r="N652" s="25"/>
      <c r="O652" s="25"/>
      <c r="P652" s="25"/>
      <c r="X652" s="26"/>
      <c r="Y652" s="26"/>
      <c r="Z652" s="26"/>
      <c r="AA652" s="26"/>
      <c r="AB652" s="26"/>
    </row>
    <row r="653" spans="2:30" x14ac:dyDescent="0.35">
      <c r="B653" s="3" t="s">
        <v>89</v>
      </c>
      <c r="C653" t="s">
        <v>23</v>
      </c>
      <c r="D653" t="s">
        <v>207</v>
      </c>
      <c r="F653" s="12"/>
      <c r="G653" s="12"/>
      <c r="H653" s="12"/>
      <c r="I653" s="12"/>
      <c r="J653" s="4"/>
      <c r="K653" s="27"/>
      <c r="L653" s="27"/>
      <c r="M653" s="27"/>
    </row>
    <row r="654" spans="2:30" x14ac:dyDescent="0.35">
      <c r="C654" t="s">
        <v>31</v>
      </c>
      <c r="D654" t="s">
        <v>119</v>
      </c>
      <c r="E654" t="s">
        <v>208</v>
      </c>
      <c r="F654" s="12"/>
      <c r="G654" s="12"/>
      <c r="H654" s="12"/>
      <c r="I654" s="12"/>
      <c r="J654" s="4"/>
      <c r="K654" s="27"/>
      <c r="L654" s="27"/>
      <c r="M654" s="27"/>
    </row>
    <row r="655" spans="2:30" x14ac:dyDescent="0.35">
      <c r="F655" s="12"/>
      <c r="G655" s="12"/>
      <c r="H655" s="12"/>
      <c r="I655" s="12"/>
      <c r="J655" s="4"/>
      <c r="K655" s="27"/>
      <c r="L655" s="27"/>
      <c r="M655" s="27"/>
    </row>
    <row r="656" spans="2:30" x14ac:dyDescent="0.35">
      <c r="F656" s="12"/>
      <c r="G656" s="12"/>
      <c r="H656" s="12"/>
      <c r="I656" s="12"/>
      <c r="J656" s="4"/>
      <c r="K656" s="27"/>
      <c r="L656" s="27"/>
      <c r="M656" s="27"/>
    </row>
    <row r="657" spans="2:22" x14ac:dyDescent="0.35">
      <c r="F657" s="12"/>
      <c r="G657" s="12"/>
      <c r="H657" s="12"/>
      <c r="I657" s="12"/>
      <c r="J657" s="4"/>
      <c r="K657" s="27"/>
      <c r="L657" s="27"/>
      <c r="M657" s="27"/>
    </row>
    <row r="658" spans="2:22" x14ac:dyDescent="0.35">
      <c r="E658" s="4"/>
      <c r="L658" s="27"/>
      <c r="M658" s="27"/>
    </row>
    <row r="659" spans="2:22" x14ac:dyDescent="0.35">
      <c r="E659" s="4"/>
      <c r="K659" s="42">
        <v>1</v>
      </c>
      <c r="L659" s="27"/>
      <c r="M659" s="27"/>
    </row>
    <row r="660" spans="2:22" x14ac:dyDescent="0.35">
      <c r="E660" s="4"/>
      <c r="K660" s="43">
        <v>2</v>
      </c>
      <c r="L660" s="27"/>
      <c r="M660" s="27"/>
    </row>
    <row r="661" spans="2:22" x14ac:dyDescent="0.35">
      <c r="B661" s="3" t="s">
        <v>40</v>
      </c>
      <c r="K661" s="42">
        <v>3</v>
      </c>
      <c r="L661" s="27"/>
      <c r="M661" s="27"/>
    </row>
    <row r="662" spans="2:22" x14ac:dyDescent="0.35">
      <c r="C662" s="5" t="s">
        <v>41</v>
      </c>
      <c r="D662" t="s">
        <v>209</v>
      </c>
      <c r="K662" s="43">
        <v>4</v>
      </c>
      <c r="L662" s="27"/>
      <c r="M662" s="27"/>
    </row>
    <row r="663" spans="2:22" x14ac:dyDescent="0.35">
      <c r="C663" s="5" t="s">
        <v>43</v>
      </c>
      <c r="D663" s="5" t="s">
        <v>44</v>
      </c>
      <c r="E663" t="s">
        <v>9</v>
      </c>
      <c r="K663" s="42">
        <v>5</v>
      </c>
      <c r="L663" s="27"/>
      <c r="M663" s="27"/>
    </row>
    <row r="664" spans="2:22" x14ac:dyDescent="0.35">
      <c r="D664" s="5" t="s">
        <v>210</v>
      </c>
      <c r="E664" t="s">
        <v>137</v>
      </c>
      <c r="H664" s="8" t="s">
        <v>147</v>
      </c>
      <c r="K664" s="43">
        <v>6</v>
      </c>
      <c r="L664" s="27"/>
      <c r="M664" s="27"/>
    </row>
    <row r="665" spans="2:22" x14ac:dyDescent="0.35">
      <c r="D665" s="5" t="s">
        <v>136</v>
      </c>
      <c r="E665">
        <v>6</v>
      </c>
      <c r="H665" s="6" t="s">
        <v>137</v>
      </c>
      <c r="L665" s="27"/>
      <c r="M665" s="27"/>
    </row>
    <row r="666" spans="2:22" x14ac:dyDescent="0.35">
      <c r="D666" s="5" t="s">
        <v>46</v>
      </c>
      <c r="E666">
        <v>2019</v>
      </c>
      <c r="L666" s="27"/>
      <c r="M666" s="27"/>
    </row>
    <row r="667" spans="2:22" x14ac:dyDescent="0.35">
      <c r="D667" s="7" t="s">
        <v>47</v>
      </c>
      <c r="E667">
        <f t="array" ref="E667">INDEX(TANFFactors[],MATCH(1,(TANFFactors[State]=$E$663)*(TANFFactors[Name]=$E$664)*(TANFFactors[Family Size]=$E$665),0),MATCH($E$666,VALUE(TANFFactors[#Headers]),0))</f>
        <v>621</v>
      </c>
      <c r="L667" s="27"/>
      <c r="M667" s="27"/>
    </row>
    <row r="668" spans="2:22" x14ac:dyDescent="0.35">
      <c r="E668" s="12"/>
      <c r="F668" s="12"/>
      <c r="G668" s="12"/>
      <c r="H668" s="12"/>
      <c r="I668" s="12"/>
      <c r="J668" s="4"/>
      <c r="K668" s="27"/>
      <c r="L668" s="27"/>
      <c r="M668" s="27"/>
      <c r="V668">
        <v>70</v>
      </c>
    </row>
    <row r="669" spans="2:22" x14ac:dyDescent="0.35">
      <c r="E669" s="4"/>
    </row>
    <row r="670" spans="2:22" x14ac:dyDescent="0.35">
      <c r="C670" s="1" t="s">
        <v>49</v>
      </c>
    </row>
    <row r="671" spans="2:22" x14ac:dyDescent="0.35">
      <c r="C671" t="s">
        <v>103</v>
      </c>
      <c r="D671" t="s">
        <v>211</v>
      </c>
      <c r="E671" t="s">
        <v>212</v>
      </c>
      <c r="G671" t="s">
        <v>105</v>
      </c>
    </row>
    <row r="672" spans="2:22" x14ac:dyDescent="0.35">
      <c r="C672" t="s">
        <v>213</v>
      </c>
    </row>
    <row r="673" spans="2:6" x14ac:dyDescent="0.35">
      <c r="C673" t="s">
        <v>214</v>
      </c>
    </row>
    <row r="674" spans="2:6" x14ac:dyDescent="0.35">
      <c r="C674" t="s">
        <v>215</v>
      </c>
      <c r="D674" t="s">
        <v>216</v>
      </c>
      <c r="F674" t="s">
        <v>217</v>
      </c>
    </row>
    <row r="675" spans="2:6" x14ac:dyDescent="0.35">
      <c r="C675" t="s">
        <v>218</v>
      </c>
      <c r="D675" t="s">
        <v>219</v>
      </c>
      <c r="F675" t="s">
        <v>220</v>
      </c>
    </row>
    <row r="676" spans="2:6" x14ac:dyDescent="0.35">
      <c r="B676" s="3" t="s">
        <v>48</v>
      </c>
    </row>
    <row r="683" spans="2:6" x14ac:dyDescent="0.35">
      <c r="C683" t="s">
        <v>129</v>
      </c>
    </row>
    <row r="684" spans="2:6" x14ac:dyDescent="0.35">
      <c r="C684" t="s">
        <v>221</v>
      </c>
    </row>
    <row r="685" spans="2:6" x14ac:dyDescent="0.35">
      <c r="C685" t="s">
        <v>222</v>
      </c>
      <c r="E685" s="22" t="s">
        <v>223</v>
      </c>
    </row>
    <row r="686" spans="2:6" x14ac:dyDescent="0.35">
      <c r="C686" t="s">
        <v>224</v>
      </c>
      <c r="E686" s="22" t="s">
        <v>225</v>
      </c>
    </row>
    <row r="687" spans="2:6" x14ac:dyDescent="0.35">
      <c r="C687" t="s">
        <v>226</v>
      </c>
      <c r="E687" s="22" t="s">
        <v>131</v>
      </c>
    </row>
    <row r="688" spans="2:6" x14ac:dyDescent="0.35">
      <c r="C688" t="s">
        <v>227</v>
      </c>
      <c r="E688" s="22" t="s">
        <v>228</v>
      </c>
    </row>
    <row r="689" spans="2:8" x14ac:dyDescent="0.35">
      <c r="B689" s="3" t="s">
        <v>229</v>
      </c>
      <c r="C689" t="s">
        <v>230</v>
      </c>
      <c r="E689" t="s">
        <v>231</v>
      </c>
    </row>
    <row r="690" spans="2:8" x14ac:dyDescent="0.35">
      <c r="C690" t="s">
        <v>232</v>
      </c>
    </row>
    <row r="691" spans="2:8" x14ac:dyDescent="0.35">
      <c r="C691" t="s">
        <v>233</v>
      </c>
      <c r="D691" t="s">
        <v>234</v>
      </c>
      <c r="E691" t="s">
        <v>235</v>
      </c>
      <c r="G691" t="s">
        <v>236</v>
      </c>
    </row>
    <row r="694" spans="2:8" x14ac:dyDescent="0.35">
      <c r="C694" t="s">
        <v>20</v>
      </c>
      <c r="D694" t="s">
        <v>237</v>
      </c>
    </row>
    <row r="695" spans="2:8" x14ac:dyDescent="0.35">
      <c r="C695" t="s">
        <v>20</v>
      </c>
      <c r="D695" t="s">
        <v>238</v>
      </c>
    </row>
    <row r="696" spans="2:8" x14ac:dyDescent="0.35">
      <c r="C696" t="s">
        <v>20</v>
      </c>
      <c r="D696" t="s">
        <v>239</v>
      </c>
    </row>
    <row r="697" spans="2:8" x14ac:dyDescent="0.35">
      <c r="C697" t="s">
        <v>20</v>
      </c>
      <c r="D697" t="s">
        <v>240</v>
      </c>
    </row>
    <row r="698" spans="2:8" x14ac:dyDescent="0.35">
      <c r="C698" t="s">
        <v>20</v>
      </c>
      <c r="D698" t="s">
        <v>241</v>
      </c>
      <c r="E698" s="22" t="s">
        <v>242</v>
      </c>
      <c r="H698" t="s">
        <v>243</v>
      </c>
    </row>
    <row r="699" spans="2:8" x14ac:dyDescent="0.35">
      <c r="C699" t="s">
        <v>20</v>
      </c>
      <c r="D699" t="s">
        <v>244</v>
      </c>
      <c r="E699" t="s">
        <v>245</v>
      </c>
      <c r="F699" s="44" t="s">
        <v>246</v>
      </c>
    </row>
    <row r="700" spans="2:8" x14ac:dyDescent="0.35">
      <c r="B700" s="3" t="s">
        <v>247</v>
      </c>
      <c r="C700" t="s">
        <v>23</v>
      </c>
      <c r="D700" s="1" t="s">
        <v>248</v>
      </c>
    </row>
    <row r="701" spans="2:8" x14ac:dyDescent="0.35">
      <c r="C701" t="s">
        <v>23</v>
      </c>
      <c r="D701" t="s">
        <v>249</v>
      </c>
    </row>
    <row r="702" spans="2:8" x14ac:dyDescent="0.35">
      <c r="C702" t="s">
        <v>23</v>
      </c>
      <c r="D702" t="s">
        <v>250</v>
      </c>
    </row>
    <row r="703" spans="2:8" x14ac:dyDescent="0.35">
      <c r="C703" t="s">
        <v>23</v>
      </c>
      <c r="D703" t="s">
        <v>251</v>
      </c>
      <c r="E703" s="22" t="s">
        <v>252</v>
      </c>
    </row>
    <row r="704" spans="2:8" x14ac:dyDescent="0.35">
      <c r="C704" t="s">
        <v>23</v>
      </c>
      <c r="D704" t="s">
        <v>253</v>
      </c>
      <c r="E704" s="22" t="s">
        <v>123</v>
      </c>
    </row>
    <row r="705" spans="3:5" x14ac:dyDescent="0.35">
      <c r="C705" t="s">
        <v>23</v>
      </c>
      <c r="D705" t="s">
        <v>254</v>
      </c>
      <c r="E705" s="22" t="s">
        <v>125</v>
      </c>
    </row>
    <row r="706" spans="3:5" x14ac:dyDescent="0.35">
      <c r="C706" t="s">
        <v>9</v>
      </c>
      <c r="D706" s="1" t="s">
        <v>255</v>
      </c>
    </row>
    <row r="707" spans="3:5" x14ac:dyDescent="0.35">
      <c r="C707" t="s">
        <v>9</v>
      </c>
      <c r="D707" t="s">
        <v>256</v>
      </c>
    </row>
    <row r="708" spans="3:5" x14ac:dyDescent="0.35">
      <c r="C708" t="s">
        <v>9</v>
      </c>
      <c r="D708" t="s">
        <v>257</v>
      </c>
    </row>
    <row r="709" spans="3:5" x14ac:dyDescent="0.35">
      <c r="C709" t="s">
        <v>9</v>
      </c>
      <c r="D709" t="s">
        <v>258</v>
      </c>
      <c r="E709" s="44" t="s">
        <v>259</v>
      </c>
    </row>
    <row r="710" spans="3:5" x14ac:dyDescent="0.35">
      <c r="C710" t="s">
        <v>9</v>
      </c>
      <c r="D710" t="s">
        <v>253</v>
      </c>
      <c r="E710" s="22" t="s">
        <v>260</v>
      </c>
    </row>
    <row r="711" spans="3:5" x14ac:dyDescent="0.35">
      <c r="C711" t="s">
        <v>24</v>
      </c>
      <c r="D711" s="1" t="s">
        <v>261</v>
      </c>
    </row>
    <row r="712" spans="3:5" x14ac:dyDescent="0.35">
      <c r="C712" t="s">
        <v>24</v>
      </c>
      <c r="D712" t="s">
        <v>262</v>
      </c>
      <c r="E712" s="22" t="s">
        <v>263</v>
      </c>
    </row>
    <row r="713" spans="3:5" x14ac:dyDescent="0.35">
      <c r="C713" t="s">
        <v>264</v>
      </c>
      <c r="D713" t="s">
        <v>265</v>
      </c>
      <c r="E713" s="22"/>
    </row>
    <row r="714" spans="3:5" x14ac:dyDescent="0.35">
      <c r="C714" t="s">
        <v>264</v>
      </c>
      <c r="D714" t="s">
        <v>266</v>
      </c>
      <c r="E714" s="22"/>
    </row>
    <row r="715" spans="3:5" x14ac:dyDescent="0.35">
      <c r="C715" t="s">
        <v>24</v>
      </c>
      <c r="D715" t="s">
        <v>253</v>
      </c>
      <c r="E715" s="22" t="s">
        <v>267</v>
      </c>
    </row>
    <row r="716" spans="3:5" x14ac:dyDescent="0.35">
      <c r="C716" t="s">
        <v>26</v>
      </c>
      <c r="D716" t="s">
        <v>268</v>
      </c>
    </row>
    <row r="717" spans="3:5" x14ac:dyDescent="0.35">
      <c r="C717" t="s">
        <v>26</v>
      </c>
      <c r="D717" t="s">
        <v>269</v>
      </c>
    </row>
    <row r="718" spans="3:5" x14ac:dyDescent="0.35">
      <c r="C718" t="s">
        <v>26</v>
      </c>
      <c r="D718" t="s">
        <v>253</v>
      </c>
      <c r="E718" s="22" t="s">
        <v>270</v>
      </c>
    </row>
    <row r="719" spans="3:5" x14ac:dyDescent="0.35">
      <c r="C719" t="s">
        <v>271</v>
      </c>
      <c r="D719" t="s">
        <v>272</v>
      </c>
    </row>
    <row r="720" spans="3:5" x14ac:dyDescent="0.35">
      <c r="C720" t="s">
        <v>271</v>
      </c>
      <c r="D720" t="s">
        <v>273</v>
      </c>
    </row>
    <row r="721" spans="3:5" x14ac:dyDescent="0.35">
      <c r="C721" t="s">
        <v>26</v>
      </c>
      <c r="D721" t="s">
        <v>274</v>
      </c>
      <c r="E721" s="22" t="s">
        <v>275</v>
      </c>
    </row>
    <row r="722" spans="3:5" x14ac:dyDescent="0.35">
      <c r="C722" t="s">
        <v>26</v>
      </c>
      <c r="D722" t="s">
        <v>276</v>
      </c>
      <c r="E722" t="s">
        <v>277</v>
      </c>
    </row>
    <row r="723" spans="3:5" x14ac:dyDescent="0.35">
      <c r="C723" t="s">
        <v>27</v>
      </c>
      <c r="D723" s="45" t="s">
        <v>278</v>
      </c>
    </row>
    <row r="724" spans="3:5" x14ac:dyDescent="0.35">
      <c r="C724" t="s">
        <v>27</v>
      </c>
      <c r="D724" t="s">
        <v>279</v>
      </c>
    </row>
    <row r="725" spans="3:5" x14ac:dyDescent="0.35">
      <c r="C725" t="s">
        <v>27</v>
      </c>
      <c r="D725" t="s">
        <v>280</v>
      </c>
    </row>
    <row r="726" spans="3:5" x14ac:dyDescent="0.35">
      <c r="C726" t="s">
        <v>27</v>
      </c>
      <c r="D726" t="s">
        <v>262</v>
      </c>
      <c r="E726" s="22" t="s">
        <v>281</v>
      </c>
    </row>
    <row r="727" spans="3:5" x14ac:dyDescent="0.35">
      <c r="C727" t="s">
        <v>27</v>
      </c>
      <c r="D727" t="s">
        <v>282</v>
      </c>
      <c r="E727" s="22" t="s">
        <v>283</v>
      </c>
    </row>
    <row r="728" spans="3:5" x14ac:dyDescent="0.35">
      <c r="C728" t="s">
        <v>30</v>
      </c>
      <c r="D728" t="s">
        <v>284</v>
      </c>
    </row>
    <row r="729" spans="3:5" x14ac:dyDescent="0.35">
      <c r="C729" t="s">
        <v>30</v>
      </c>
      <c r="D729" t="s">
        <v>285</v>
      </c>
    </row>
    <row r="730" spans="3:5" x14ac:dyDescent="0.35">
      <c r="C730" t="s">
        <v>30</v>
      </c>
      <c r="D730" s="22" t="s">
        <v>286</v>
      </c>
    </row>
    <row r="731" spans="3:5" x14ac:dyDescent="0.35">
      <c r="C731" t="s">
        <v>30</v>
      </c>
      <c r="D731" t="s">
        <v>287</v>
      </c>
      <c r="E731" s="22" t="s">
        <v>288</v>
      </c>
    </row>
    <row r="732" spans="3:5" x14ac:dyDescent="0.35">
      <c r="C732" t="s">
        <v>30</v>
      </c>
      <c r="D732" t="s">
        <v>289</v>
      </c>
      <c r="E732" s="22" t="s">
        <v>290</v>
      </c>
    </row>
    <row r="733" spans="3:5" x14ac:dyDescent="0.35">
      <c r="C733" t="s">
        <v>31</v>
      </c>
      <c r="D733" s="46" t="s">
        <v>291</v>
      </c>
    </row>
    <row r="734" spans="3:5" x14ac:dyDescent="0.35">
      <c r="C734" t="s">
        <v>31</v>
      </c>
      <c r="D734" t="s">
        <v>292</v>
      </c>
    </row>
    <row r="735" spans="3:5" x14ac:dyDescent="0.35">
      <c r="C735" t="s">
        <v>31</v>
      </c>
      <c r="D735" t="s">
        <v>293</v>
      </c>
      <c r="E735" s="22" t="s">
        <v>294</v>
      </c>
    </row>
    <row r="736" spans="3:5" x14ac:dyDescent="0.35">
      <c r="C736" t="s">
        <v>31</v>
      </c>
      <c r="D736" t="s">
        <v>295</v>
      </c>
      <c r="E736" s="22" t="s">
        <v>296</v>
      </c>
    </row>
    <row r="737" spans="3:5" x14ac:dyDescent="0.35">
      <c r="C737" t="s">
        <v>31</v>
      </c>
      <c r="D737" t="s">
        <v>297</v>
      </c>
      <c r="E737" s="22" t="s">
        <v>298</v>
      </c>
    </row>
    <row r="738" spans="3:5" x14ac:dyDescent="0.35">
      <c r="C738" t="s">
        <v>31</v>
      </c>
      <c r="D738" t="s">
        <v>299</v>
      </c>
      <c r="E738" s="22" t="s">
        <v>300</v>
      </c>
    </row>
  </sheetData>
  <phoneticPr fontId="9" type="noConversion"/>
  <dataValidations count="5">
    <dataValidation type="list" allowBlank="1" showInputMessage="1" showErrorMessage="1" sqref="E165" xr:uid="{77B8A1F7-84FF-4927-87A9-3D5F2CE68D78}">
      <formula1>$D$86:$D$153</formula1>
    </dataValidation>
    <dataValidation type="list" allowBlank="1" showInputMessage="1" showErrorMessage="1" sqref="E213" xr:uid="{6B92F90F-5196-4CDE-9B35-6D992BCDE703}">
      <formula1>$D$178:$D$203</formula1>
    </dataValidation>
    <dataValidation type="list" allowBlank="1" showInputMessage="1" showErrorMessage="1" sqref="E665" xr:uid="{C2F4EEC2-64CE-4742-8A3B-29BACEE4B96B}">
      <formula1>$K$659:$K$664</formula1>
    </dataValidation>
    <dataValidation type="list" allowBlank="1" showInputMessage="1" showErrorMessage="1" sqref="E664" xr:uid="{AD7377CE-8F5D-4B05-9927-F53BAD4E5FA3}">
      <formula1>$H$664:$H$665</formula1>
    </dataValidation>
    <dataValidation type="list" allowBlank="1" showInputMessage="1" showErrorMessage="1" sqref="E164 E663 E212 E72" xr:uid="{E443828B-BD49-4386-B77E-AF6917E242C8}">
      <formula1>State_List</formula1>
    </dataValidation>
  </dataValidations>
  <hyperlinks>
    <hyperlink ref="E685" r:id="rId1" display="https://wrd.urban.org/wrd/data/databooks/2018 Welfare Rules Databook (final 08 07 2019).pdf" xr:uid="{9260EEC3-0B9D-40BC-803C-CD9E25D321D4}"/>
    <hyperlink ref="E686" r:id="rId2" display="https://wrd.urban.org/wrd/data/databooks/2018 Welfare Rules Databook Tables (final 08 07 2019).xlsx" xr:uid="{1FCDC9DC-B497-41D1-A112-BBE2C4D819AF}"/>
    <hyperlink ref="E687" r:id="rId3" xr:uid="{4DC8438D-0C65-4B0C-93A9-D52817FF82E9}"/>
    <hyperlink ref="E688" r:id="rId4" xr:uid="{1FB9BE7E-DA99-424F-80C2-A0E0BCE63733}"/>
    <hyperlink ref="E709" r:id="rId5" xr:uid="{6AF8FEF6-E05A-4449-A95D-2F60ED00A879}"/>
    <hyperlink ref="E712" r:id="rId6" xr:uid="{CA14EA95-43DD-4F83-8E78-680D72450739}"/>
    <hyperlink ref="D730" r:id="rId7" xr:uid="{996F52B6-BAA5-42F0-8E3B-55BE28451816}"/>
    <hyperlink ref="E698" r:id="rId8" xr:uid="{788F8983-F2BF-45D8-BAF8-7A3052419776}"/>
    <hyperlink ref="E737" r:id="rId9" xr:uid="{676D11B6-628F-481C-BD39-3CAF62BFFFA5}"/>
    <hyperlink ref="E207" r:id="rId10" xr:uid="{C3FC03BA-4A91-40B8-A43C-433304DF217C}"/>
    <hyperlink ref="E219" r:id="rId11" xr:uid="{24A3D909-A712-4D8C-AAC1-E4CA64EA3832}"/>
    <hyperlink ref="E703" r:id="rId12" xr:uid="{73310596-5B56-4B80-8F0C-9ABD4CD74418}"/>
    <hyperlink ref="E704" r:id="rId13" xr:uid="{D50FC582-4CDC-433E-928E-A527922D1EBF}"/>
    <hyperlink ref="E705" r:id="rId14" xr:uid="{48D29F1A-DCF0-4FB0-8979-CCF4FB6150CB}"/>
    <hyperlink ref="E710" r:id="rId15" xr:uid="{F0B3E5F4-BF7F-4A8D-BBF3-4F46F9D18F20}"/>
    <hyperlink ref="E715" r:id="rId16" xr:uid="{9FD72826-5971-4F03-8EB9-7652ACE0B677}"/>
    <hyperlink ref="E721" r:id="rId17" xr:uid="{9A0FC997-F286-44A2-AAD6-D6CE5D607F22}"/>
    <hyperlink ref="E718" r:id="rId18" xr:uid="{B3A93392-1728-46D7-AB94-C7CE3BA589D1}"/>
    <hyperlink ref="E726" r:id="rId19" xr:uid="{2C14665D-0E24-4C08-887B-114D98CB0A99}"/>
    <hyperlink ref="E727" r:id="rId20" xr:uid="{262161C1-66B8-43B9-BE0B-CAA3670F8CB1}"/>
    <hyperlink ref="E731" r:id="rId21" xr:uid="{4C5282CD-B5CF-43FF-8FAA-5ECD19E6DB1D}"/>
    <hyperlink ref="E732" r:id="rId22" xr:uid="{9457F264-00C1-44D9-A22C-94C50B7EC7EC}"/>
    <hyperlink ref="E738" r:id="rId23" location="A1425" xr:uid="{18E15E21-471E-4A43-AD30-EBB42CCA7205}"/>
    <hyperlink ref="E736" r:id="rId24" xr:uid="{4BAEE142-D144-4314-9ED1-4E4C7D9DF079}"/>
    <hyperlink ref="E735" r:id="rId25" xr:uid="{52EBCA4E-1035-4BA4-B029-3ACB481C1402}"/>
  </hyperlinks>
  <pageMargins left="0.7" right="0.7" top="0.75" bottom="0.75" header="0.3" footer="0.3"/>
  <pageSetup orientation="portrait" r:id="rId26"/>
  <tableParts count="4">
    <tablePart r:id="rId27"/>
    <tablePart r:id="rId28"/>
    <tablePart r:id="rId29"/>
    <tablePart r:id="rId3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50907-FA22-415D-922E-34F6CE8359DE}">
  <sheetPr codeName="Sheet5"/>
  <dimension ref="A1:AL87"/>
  <sheetViews>
    <sheetView topLeftCell="H16" workbookViewId="0">
      <selection activeCell="E18" sqref="E18:Q18"/>
    </sheetView>
  </sheetViews>
  <sheetFormatPr defaultRowHeight="14.5" x14ac:dyDescent="0.35"/>
  <cols>
    <col min="4" max="4" width="26.1796875" customWidth="1"/>
    <col min="14" max="14" width="9" customWidth="1"/>
    <col min="28" max="28" width="9.81640625" bestFit="1" customWidth="1"/>
    <col min="29" max="33" width="10.81640625" customWidth="1"/>
    <col min="34" max="35" width="9.81640625" bestFit="1" customWidth="1"/>
    <col min="36" max="36" width="10.54296875" customWidth="1"/>
    <col min="37" max="37" width="9.54296875" bestFit="1" customWidth="1"/>
  </cols>
  <sheetData>
    <row r="1" spans="1:37" x14ac:dyDescent="0.35">
      <c r="A1" s="1" t="s">
        <v>307</v>
      </c>
      <c r="B1" s="1" t="s">
        <v>308</v>
      </c>
    </row>
    <row r="3" spans="1:37" ht="15.5" x14ac:dyDescent="0.35">
      <c r="B3" s="47" t="s">
        <v>309</v>
      </c>
    </row>
    <row r="5" spans="1:37" x14ac:dyDescent="0.35">
      <c r="B5" t="s">
        <v>310</v>
      </c>
      <c r="Y5" s="20"/>
    </row>
    <row r="6" spans="1:37" x14ac:dyDescent="0.35">
      <c r="B6" t="s">
        <v>311</v>
      </c>
      <c r="Y6" s="20"/>
    </row>
    <row r="7" spans="1:37" x14ac:dyDescent="0.35">
      <c r="B7" s="22" t="s">
        <v>312</v>
      </c>
    </row>
    <row r="9" spans="1:37" x14ac:dyDescent="0.35">
      <c r="B9" t="s">
        <v>313</v>
      </c>
    </row>
    <row r="10" spans="1:37" x14ac:dyDescent="0.35">
      <c r="B10" s="48" t="s">
        <v>314</v>
      </c>
    </row>
    <row r="11" spans="1:37" x14ac:dyDescent="0.35">
      <c r="B11" t="s">
        <v>315</v>
      </c>
    </row>
    <row r="12" spans="1:37" x14ac:dyDescent="0.35">
      <c r="B12" t="s">
        <v>316</v>
      </c>
    </row>
    <row r="13" spans="1:37" x14ac:dyDescent="0.35">
      <c r="B13" t="s">
        <v>317</v>
      </c>
    </row>
    <row r="14" spans="1:37" x14ac:dyDescent="0.35">
      <c r="B14" t="s">
        <v>318</v>
      </c>
    </row>
    <row r="15" spans="1:37" x14ac:dyDescent="0.35">
      <c r="B15" t="s">
        <v>319</v>
      </c>
    </row>
    <row r="16" spans="1:37" x14ac:dyDescent="0.35">
      <c r="W16">
        <v>2017</v>
      </c>
      <c r="X16">
        <v>2018</v>
      </c>
      <c r="Y16">
        <v>2019</v>
      </c>
      <c r="Z16">
        <v>2020</v>
      </c>
      <c r="AA16">
        <v>2021</v>
      </c>
      <c r="AB16">
        <v>2019</v>
      </c>
      <c r="AC16">
        <v>2020</v>
      </c>
      <c r="AD16">
        <v>2021</v>
      </c>
      <c r="AE16">
        <v>2019</v>
      </c>
      <c r="AF16">
        <v>2020</v>
      </c>
      <c r="AG16">
        <v>2021</v>
      </c>
      <c r="AH16">
        <v>2018</v>
      </c>
      <c r="AI16">
        <v>2019</v>
      </c>
      <c r="AJ16">
        <v>2020</v>
      </c>
      <c r="AK16">
        <v>2021</v>
      </c>
    </row>
    <row r="17" spans="2:38" x14ac:dyDescent="0.35">
      <c r="B17" s="3" t="s">
        <v>320</v>
      </c>
      <c r="W17" t="s">
        <v>321</v>
      </c>
      <c r="X17" t="s">
        <v>321</v>
      </c>
      <c r="Y17" t="s">
        <v>321</v>
      </c>
      <c r="Z17" t="s">
        <v>321</v>
      </c>
      <c r="AA17" t="s">
        <v>321</v>
      </c>
      <c r="AB17" t="s">
        <v>321</v>
      </c>
      <c r="AC17" t="s">
        <v>321</v>
      </c>
      <c r="AD17" t="s">
        <v>321</v>
      </c>
      <c r="AE17" t="s">
        <v>321</v>
      </c>
      <c r="AF17" t="s">
        <v>321</v>
      </c>
      <c r="AG17" t="s">
        <v>321</v>
      </c>
      <c r="AH17" t="s">
        <v>321</v>
      </c>
      <c r="AI17" t="s">
        <v>321</v>
      </c>
      <c r="AJ17" t="s">
        <v>321</v>
      </c>
      <c r="AK17" t="s">
        <v>321</v>
      </c>
    </row>
    <row r="18" spans="2:38" x14ac:dyDescent="0.35">
      <c r="C18" t="s">
        <v>12</v>
      </c>
      <c r="D18" t="s">
        <v>322</v>
      </c>
      <c r="E18" t="s">
        <v>323</v>
      </c>
      <c r="F18" t="s">
        <v>324</v>
      </c>
      <c r="G18" s="4" t="s">
        <v>325</v>
      </c>
      <c r="H18" s="4" t="s">
        <v>326</v>
      </c>
      <c r="I18" s="4" t="s">
        <v>327</v>
      </c>
      <c r="J18" s="4" t="s">
        <v>328</v>
      </c>
      <c r="K18" s="4" t="s">
        <v>329</v>
      </c>
      <c r="L18" s="4" t="s">
        <v>15</v>
      </c>
      <c r="M18" s="4" t="s">
        <v>16</v>
      </c>
      <c r="N18" s="4" t="s">
        <v>17</v>
      </c>
      <c r="O18" s="4" t="s">
        <v>18</v>
      </c>
      <c r="P18" s="4" t="s">
        <v>19</v>
      </c>
      <c r="Q18" s="4" t="s">
        <v>306</v>
      </c>
      <c r="X18" s="28">
        <v>1</v>
      </c>
      <c r="Y18" s="28">
        <v>1</v>
      </c>
      <c r="Z18" s="28">
        <v>1</v>
      </c>
      <c r="AA18" s="28">
        <v>1</v>
      </c>
      <c r="AB18" s="28">
        <v>1</v>
      </c>
      <c r="AC18" s="28">
        <v>1.33</v>
      </c>
      <c r="AD18" s="28">
        <v>1.33</v>
      </c>
      <c r="AE18" s="28">
        <v>1.33</v>
      </c>
      <c r="AF18" s="28">
        <v>2</v>
      </c>
      <c r="AG18" s="28">
        <v>2</v>
      </c>
      <c r="AH18" s="28">
        <v>2</v>
      </c>
      <c r="AI18" s="28">
        <v>0.5</v>
      </c>
      <c r="AJ18" s="28">
        <v>0.5</v>
      </c>
      <c r="AK18" s="28">
        <v>0.5</v>
      </c>
      <c r="AL18" s="28">
        <v>0.5</v>
      </c>
    </row>
    <row r="19" spans="2:38" x14ac:dyDescent="0.35">
      <c r="C19" t="s">
        <v>330</v>
      </c>
      <c r="D19" s="4">
        <v>1</v>
      </c>
      <c r="E19" s="20">
        <v>10890</v>
      </c>
      <c r="F19" s="20">
        <v>11170</v>
      </c>
      <c r="G19" s="20">
        <v>11490</v>
      </c>
      <c r="H19" s="20">
        <v>11670</v>
      </c>
      <c r="I19" s="20">
        <v>11770</v>
      </c>
      <c r="J19" s="20">
        <v>11880</v>
      </c>
      <c r="K19" s="20">
        <v>12060</v>
      </c>
      <c r="L19" s="20">
        <v>12140</v>
      </c>
      <c r="M19" s="20">
        <v>12490</v>
      </c>
      <c r="N19" s="20">
        <v>12760</v>
      </c>
      <c r="O19" s="20">
        <v>12880</v>
      </c>
      <c r="P19" s="20">
        <v>13590</v>
      </c>
      <c r="Q19" s="20">
        <v>14580.000000000009</v>
      </c>
      <c r="R19" s="20">
        <f>FPIG[[#This Row],[2019]]*2</f>
        <v>24980</v>
      </c>
      <c r="X19" s="20">
        <f>FPIG[[#This Row],[2017]]/12</f>
        <v>1005</v>
      </c>
      <c r="Y19" s="20">
        <f>FPIG[[#This Row],[2018]]/12</f>
        <v>1011.6666666666666</v>
      </c>
      <c r="Z19" s="20">
        <f>FPIG[[#This Row],[2019]]/12</f>
        <v>1040.8333333333333</v>
      </c>
      <c r="AA19" s="20">
        <f>FPIG[[#This Row],[2020]]/12</f>
        <v>1063.3333333333333</v>
      </c>
      <c r="AB19" s="20">
        <f>FPIG[[#This Row],[2021]]/12</f>
        <v>1073.3333333333333</v>
      </c>
      <c r="AC19" s="49">
        <f t="shared" ref="AC19:AC24" si="0">$Z19*AC$18</f>
        <v>1384.3083333333334</v>
      </c>
      <c r="AD19" s="49">
        <f t="shared" ref="AD19:AD24" si="1">$AA19*AD$18</f>
        <v>1414.2333333333333</v>
      </c>
      <c r="AE19" s="49">
        <f t="shared" ref="AE19:AE24" si="2">$AB19*AE$18</f>
        <v>1427.5333333333333</v>
      </c>
      <c r="AF19" s="49">
        <f t="shared" ref="AF19:AF24" si="3">$Z19*AF$18</f>
        <v>2081.6666666666665</v>
      </c>
      <c r="AG19" s="49">
        <f t="shared" ref="AG19:AG24" si="4">$AA19*AG$18</f>
        <v>2126.6666666666665</v>
      </c>
      <c r="AH19" s="49">
        <f t="shared" ref="AH19:AH24" si="5">$AB19*AH$18</f>
        <v>2146.6666666666665</v>
      </c>
      <c r="AI19" s="49">
        <f>FPIG[[#This Row],[2018]]*AI$18/12</f>
        <v>505.83333333333331</v>
      </c>
      <c r="AJ19" s="49">
        <f>FPIG[[#This Row],[2019]]*AJ$18/12</f>
        <v>520.41666666666663</v>
      </c>
      <c r="AK19" s="49">
        <f>FPIG[[#This Row],[2020]]*AK$18/12</f>
        <v>531.66666666666663</v>
      </c>
      <c r="AL19" s="49">
        <f>FPIG[[#This Row],[2021]]*AL$18/12</f>
        <v>536.66666666666663</v>
      </c>
    </row>
    <row r="20" spans="2:38" x14ac:dyDescent="0.35">
      <c r="C20" t="s">
        <v>330</v>
      </c>
      <c r="D20" s="4">
        <v>2</v>
      </c>
      <c r="E20" s="20">
        <v>14710</v>
      </c>
      <c r="F20" s="20">
        <v>15130</v>
      </c>
      <c r="G20" s="20">
        <v>15510</v>
      </c>
      <c r="H20" s="20">
        <v>15730</v>
      </c>
      <c r="I20" s="20">
        <v>15930</v>
      </c>
      <c r="J20" s="20">
        <v>16020</v>
      </c>
      <c r="K20" s="20">
        <v>16240</v>
      </c>
      <c r="L20" s="20">
        <v>16460</v>
      </c>
      <c r="M20" s="20">
        <v>16910</v>
      </c>
      <c r="N20" s="20">
        <v>17240</v>
      </c>
      <c r="O20" s="20">
        <v>17420</v>
      </c>
      <c r="P20" s="20">
        <v>18310</v>
      </c>
      <c r="Q20" s="20">
        <v>19720.000000000015</v>
      </c>
      <c r="S20" s="20">
        <f>FPIG[[#This Row],[2020]]/12</f>
        <v>1436.6666666666667</v>
      </c>
      <c r="X20" s="20">
        <f>FPIG[[#This Row],[2017]]/12</f>
        <v>1353.3333333333333</v>
      </c>
      <c r="Y20" s="20">
        <f>FPIG[[#This Row],[2018]]/12</f>
        <v>1371.6666666666667</v>
      </c>
      <c r="Z20" s="20">
        <f>FPIG[[#This Row],[2019]]/12</f>
        <v>1409.1666666666667</v>
      </c>
      <c r="AA20" s="20">
        <f>FPIG[[#This Row],[2020]]/12</f>
        <v>1436.6666666666667</v>
      </c>
      <c r="AB20" s="20">
        <f>FPIG[[#This Row],[2021]]/12</f>
        <v>1451.6666666666667</v>
      </c>
      <c r="AC20" s="49">
        <f t="shared" si="0"/>
        <v>1874.1916666666668</v>
      </c>
      <c r="AD20" s="49">
        <f t="shared" si="1"/>
        <v>1910.7666666666669</v>
      </c>
      <c r="AE20" s="49">
        <f t="shared" si="2"/>
        <v>1930.7166666666669</v>
      </c>
      <c r="AF20" s="49">
        <f t="shared" si="3"/>
        <v>2818.3333333333335</v>
      </c>
      <c r="AG20" s="49">
        <f t="shared" si="4"/>
        <v>2873.3333333333335</v>
      </c>
      <c r="AH20" s="49">
        <f t="shared" si="5"/>
        <v>2903.3333333333335</v>
      </c>
      <c r="AI20" s="49">
        <f>FPIG[[#This Row],[2018]]*AI$18/12</f>
        <v>685.83333333333337</v>
      </c>
      <c r="AJ20" s="49">
        <f>FPIG[[#This Row],[2019]]*AJ$18/12</f>
        <v>704.58333333333337</v>
      </c>
      <c r="AK20" s="49">
        <f>FPIG[[#This Row],[2020]]*AK$18/12</f>
        <v>718.33333333333337</v>
      </c>
      <c r="AL20" s="49">
        <f>FPIG[[#This Row],[2021]]*AL$18/12</f>
        <v>725.83333333333337</v>
      </c>
    </row>
    <row r="21" spans="2:38" x14ac:dyDescent="0.35">
      <c r="C21" t="s">
        <v>330</v>
      </c>
      <c r="D21" s="4">
        <v>3</v>
      </c>
      <c r="E21" s="20">
        <v>18530</v>
      </c>
      <c r="F21" s="20">
        <v>19090</v>
      </c>
      <c r="G21" s="20">
        <v>19530</v>
      </c>
      <c r="H21" s="20">
        <v>19790</v>
      </c>
      <c r="I21" s="20">
        <v>20090</v>
      </c>
      <c r="J21" s="20">
        <v>20160</v>
      </c>
      <c r="K21" s="20">
        <v>20420</v>
      </c>
      <c r="L21" s="20">
        <v>20780</v>
      </c>
      <c r="M21" s="20">
        <v>21330</v>
      </c>
      <c r="N21" s="20">
        <v>21720</v>
      </c>
      <c r="O21" s="20">
        <v>21960</v>
      </c>
      <c r="P21" s="20">
        <v>23030</v>
      </c>
      <c r="Q21" s="20">
        <v>24860.000000000018</v>
      </c>
      <c r="X21" s="20">
        <f>FPIG[[#This Row],[2017]]/12</f>
        <v>1701.6666666666667</v>
      </c>
      <c r="Y21" s="20">
        <f>FPIG[[#This Row],[2018]]/12</f>
        <v>1731.6666666666667</v>
      </c>
      <c r="Z21" s="20">
        <f>FPIG[[#This Row],[2019]]/12</f>
        <v>1777.5</v>
      </c>
      <c r="AA21" s="20">
        <f>FPIG[[#This Row],[2020]]/12</f>
        <v>1810</v>
      </c>
      <c r="AB21" s="20">
        <f>FPIG[[#This Row],[2021]]/12</f>
        <v>1830</v>
      </c>
      <c r="AC21" s="49">
        <f t="shared" si="0"/>
        <v>2364.0750000000003</v>
      </c>
      <c r="AD21" s="49">
        <f t="shared" si="1"/>
        <v>2407.3000000000002</v>
      </c>
      <c r="AE21" s="49">
        <f t="shared" si="2"/>
        <v>2433.9</v>
      </c>
      <c r="AF21" s="49">
        <f t="shared" si="3"/>
        <v>3555</v>
      </c>
      <c r="AG21" s="49">
        <f t="shared" si="4"/>
        <v>3620</v>
      </c>
      <c r="AH21" s="49">
        <f t="shared" si="5"/>
        <v>3660</v>
      </c>
      <c r="AI21" s="49">
        <f>FPIG[[#This Row],[2018]]*AI$18/12</f>
        <v>865.83333333333337</v>
      </c>
      <c r="AJ21" s="49">
        <f>FPIG[[#This Row],[2019]]*AJ$18/12</f>
        <v>888.75</v>
      </c>
      <c r="AK21" s="49">
        <f>FPIG[[#This Row],[2020]]*AK$18/12</f>
        <v>905</v>
      </c>
      <c r="AL21" s="49">
        <f>FPIG[[#This Row],[2021]]*AL$18/12</f>
        <v>915</v>
      </c>
    </row>
    <row r="22" spans="2:38" x14ac:dyDescent="0.35">
      <c r="C22" t="s">
        <v>330</v>
      </c>
      <c r="D22" s="4">
        <v>4</v>
      </c>
      <c r="E22" s="20">
        <v>22350</v>
      </c>
      <c r="F22" s="20">
        <v>23050</v>
      </c>
      <c r="G22" s="20">
        <v>23550</v>
      </c>
      <c r="H22" s="20">
        <v>23850</v>
      </c>
      <c r="I22" s="20">
        <v>24250</v>
      </c>
      <c r="J22" s="20">
        <v>24300</v>
      </c>
      <c r="K22" s="20">
        <v>24600</v>
      </c>
      <c r="L22" s="20">
        <v>25100</v>
      </c>
      <c r="M22" s="20">
        <v>25750</v>
      </c>
      <c r="N22" s="20">
        <v>26200</v>
      </c>
      <c r="O22" s="20">
        <v>26500</v>
      </c>
      <c r="P22" s="20">
        <v>27750</v>
      </c>
      <c r="Q22" s="20">
        <v>30000.000000000018</v>
      </c>
      <c r="R22" s="20">
        <f>FPIG[[#This Row],[2020]]*4</f>
        <v>104800</v>
      </c>
      <c r="S22">
        <v>94000</v>
      </c>
      <c r="T22" s="50">
        <f>S22/FPIG[[#This Row],[2020]]</f>
        <v>3.5877862595419847</v>
      </c>
      <c r="U22" s="50">
        <f>S22/FPIG[[#This Row],[2019]]</f>
        <v>3.650485436893204</v>
      </c>
      <c r="V22" s="50"/>
      <c r="W22" s="50"/>
      <c r="X22" s="20">
        <f>FPIG[[#This Row],[2017]]/12</f>
        <v>2050</v>
      </c>
      <c r="Y22" s="20">
        <f>FPIG[[#This Row],[2018]]/12</f>
        <v>2091.6666666666665</v>
      </c>
      <c r="Z22" s="20">
        <f>FPIG[[#This Row],[2019]]/12</f>
        <v>2145.8333333333335</v>
      </c>
      <c r="AA22" s="20">
        <f>FPIG[[#This Row],[2020]]/12</f>
        <v>2183.3333333333335</v>
      </c>
      <c r="AB22" s="20">
        <f>FPIG[[#This Row],[2021]]/12</f>
        <v>2208.3333333333335</v>
      </c>
      <c r="AC22" s="49">
        <f t="shared" si="0"/>
        <v>2853.9583333333335</v>
      </c>
      <c r="AD22" s="49">
        <f t="shared" si="1"/>
        <v>2903.8333333333335</v>
      </c>
      <c r="AE22" s="49">
        <f t="shared" si="2"/>
        <v>2937.0833333333335</v>
      </c>
      <c r="AF22" s="49">
        <f t="shared" si="3"/>
        <v>4291.666666666667</v>
      </c>
      <c r="AG22" s="49">
        <f t="shared" si="4"/>
        <v>4366.666666666667</v>
      </c>
      <c r="AH22" s="49">
        <f t="shared" si="5"/>
        <v>4416.666666666667</v>
      </c>
      <c r="AI22" s="49">
        <f>FPIG[[#This Row],[2018]]*AI$18/12</f>
        <v>1045.8333333333333</v>
      </c>
      <c r="AJ22" s="49">
        <f>FPIG[[#This Row],[2019]]*AJ$18/12</f>
        <v>1072.9166666666667</v>
      </c>
      <c r="AK22" s="49">
        <f>FPIG[[#This Row],[2020]]*AK$18/12</f>
        <v>1091.6666666666667</v>
      </c>
      <c r="AL22" s="49">
        <f>FPIG[[#This Row],[2021]]*AL$18/12</f>
        <v>1104.1666666666667</v>
      </c>
    </row>
    <row r="23" spans="2:38" x14ac:dyDescent="0.35">
      <c r="C23" t="s">
        <v>330</v>
      </c>
      <c r="D23" s="4">
        <v>5</v>
      </c>
      <c r="E23" s="20">
        <v>26170</v>
      </c>
      <c r="F23" s="20">
        <v>27010</v>
      </c>
      <c r="G23" s="20">
        <v>27570</v>
      </c>
      <c r="H23" s="20">
        <v>27910</v>
      </c>
      <c r="I23" s="20">
        <v>28410</v>
      </c>
      <c r="J23" s="20">
        <v>28440</v>
      </c>
      <c r="K23" s="20">
        <v>28780</v>
      </c>
      <c r="L23" s="20">
        <v>29420</v>
      </c>
      <c r="M23" s="20">
        <v>30170</v>
      </c>
      <c r="N23" s="20">
        <v>30680</v>
      </c>
      <c r="O23" s="20">
        <v>31040</v>
      </c>
      <c r="P23" s="20">
        <v>32470</v>
      </c>
      <c r="Q23" s="20">
        <v>35140.000000000022</v>
      </c>
      <c r="R23" s="20">
        <f>ROUND((L19/12),0)</f>
        <v>1012</v>
      </c>
      <c r="S23" s="51">
        <f>ROUND((L19/12)*1.85,0)</f>
        <v>1872</v>
      </c>
      <c r="T23">
        <v>1</v>
      </c>
      <c r="X23" s="20">
        <f>FPIG[[#This Row],[2017]]/12</f>
        <v>2398.3333333333335</v>
      </c>
      <c r="Y23" s="20">
        <f>FPIG[[#This Row],[2018]]/12</f>
        <v>2451.6666666666665</v>
      </c>
      <c r="Z23" s="20">
        <f>FPIG[[#This Row],[2019]]/12</f>
        <v>2514.1666666666665</v>
      </c>
      <c r="AA23" s="20">
        <f>FPIG[[#This Row],[2020]]/12</f>
        <v>2556.6666666666665</v>
      </c>
      <c r="AB23" s="20">
        <f>FPIG[[#This Row],[2021]]/12</f>
        <v>2586.6666666666665</v>
      </c>
      <c r="AC23" s="49">
        <f t="shared" si="0"/>
        <v>3343.8416666666667</v>
      </c>
      <c r="AD23" s="49">
        <f t="shared" si="1"/>
        <v>3400.3666666666668</v>
      </c>
      <c r="AE23" s="49">
        <f t="shared" si="2"/>
        <v>3440.2666666666664</v>
      </c>
      <c r="AF23" s="49">
        <f t="shared" si="3"/>
        <v>5028.333333333333</v>
      </c>
      <c r="AG23" s="49">
        <f t="shared" si="4"/>
        <v>5113.333333333333</v>
      </c>
      <c r="AH23" s="49">
        <f t="shared" si="5"/>
        <v>5173.333333333333</v>
      </c>
      <c r="AI23" s="49">
        <f>FPIG[[#This Row],[2018]]*AI$18/12</f>
        <v>1225.8333333333333</v>
      </c>
      <c r="AJ23" s="49">
        <f>FPIG[[#This Row],[2019]]*AJ$18/12</f>
        <v>1257.0833333333333</v>
      </c>
      <c r="AK23" s="49">
        <f>FPIG[[#This Row],[2020]]*AK$18/12</f>
        <v>1278.3333333333333</v>
      </c>
      <c r="AL23" s="49">
        <f>FPIG[[#This Row],[2021]]*AL$18/12</f>
        <v>1293.3333333333333</v>
      </c>
    </row>
    <row r="24" spans="2:38" x14ac:dyDescent="0.35">
      <c r="C24" t="s">
        <v>330</v>
      </c>
      <c r="D24" s="4">
        <v>6</v>
      </c>
      <c r="E24" s="20">
        <v>29990</v>
      </c>
      <c r="F24" s="20">
        <v>30970</v>
      </c>
      <c r="G24" s="20">
        <v>31590</v>
      </c>
      <c r="H24" s="20">
        <v>31970</v>
      </c>
      <c r="I24" s="20">
        <v>32570</v>
      </c>
      <c r="J24" s="20">
        <v>32580</v>
      </c>
      <c r="K24" s="20">
        <v>32960</v>
      </c>
      <c r="L24" s="20">
        <v>33740</v>
      </c>
      <c r="M24" s="20">
        <v>34590</v>
      </c>
      <c r="N24" s="20">
        <v>35160</v>
      </c>
      <c r="O24" s="20">
        <v>35580</v>
      </c>
      <c r="P24" s="20">
        <v>37190</v>
      </c>
      <c r="Q24" s="20">
        <v>40280.000000000029</v>
      </c>
      <c r="R24" s="20">
        <f>ROUND((L20/12),0)</f>
        <v>1372</v>
      </c>
      <c r="S24" s="51">
        <f>ROUND((L20/12)*1.85,0)</f>
        <v>2538</v>
      </c>
      <c r="T24">
        <v>2</v>
      </c>
      <c r="X24" s="20">
        <f>FPIG[[#This Row],[2017]]/12</f>
        <v>2746.6666666666665</v>
      </c>
      <c r="Y24" s="20">
        <f>FPIG[[#This Row],[2018]]/12</f>
        <v>2811.6666666666665</v>
      </c>
      <c r="Z24" s="20">
        <f>FPIG[[#This Row],[2019]]/12</f>
        <v>2882.5</v>
      </c>
      <c r="AA24" s="20">
        <f>FPIG[[#This Row],[2020]]/12</f>
        <v>2930</v>
      </c>
      <c r="AB24" s="20">
        <f>FPIG[[#This Row],[2021]]/12</f>
        <v>2965</v>
      </c>
      <c r="AC24" s="49">
        <f t="shared" si="0"/>
        <v>3833.7250000000004</v>
      </c>
      <c r="AD24" s="49">
        <f t="shared" si="1"/>
        <v>3896.9</v>
      </c>
      <c r="AE24" s="49">
        <f t="shared" si="2"/>
        <v>3943.4500000000003</v>
      </c>
      <c r="AF24" s="49">
        <f t="shared" si="3"/>
        <v>5765</v>
      </c>
      <c r="AG24" s="49">
        <f t="shared" si="4"/>
        <v>5860</v>
      </c>
      <c r="AH24" s="49">
        <f t="shared" si="5"/>
        <v>5930</v>
      </c>
      <c r="AI24" s="49">
        <f>FPIG[[#This Row],[2018]]*AI$18/12</f>
        <v>1405.8333333333333</v>
      </c>
      <c r="AJ24" s="49">
        <f>FPIG[[#This Row],[2019]]*AJ$18/12</f>
        <v>1441.25</v>
      </c>
      <c r="AK24" s="49">
        <f>FPIG[[#This Row],[2020]]*AK$18/12</f>
        <v>1465</v>
      </c>
      <c r="AL24" s="49">
        <f>FPIG[[#This Row],[2021]]*AL$18/12</f>
        <v>1482.5</v>
      </c>
    </row>
    <row r="25" spans="2:38" x14ac:dyDescent="0.35">
      <c r="C25" t="s">
        <v>330</v>
      </c>
      <c r="D25" s="4">
        <v>7</v>
      </c>
      <c r="E25" s="20">
        <v>33810</v>
      </c>
      <c r="F25" s="20">
        <v>34930</v>
      </c>
      <c r="G25" s="20">
        <v>35610</v>
      </c>
      <c r="H25" s="20">
        <v>36030</v>
      </c>
      <c r="I25" s="20">
        <v>36730</v>
      </c>
      <c r="J25" s="20">
        <v>36730</v>
      </c>
      <c r="K25" s="20">
        <v>37140</v>
      </c>
      <c r="L25" s="20">
        <v>38060</v>
      </c>
      <c r="M25" s="20">
        <v>39010</v>
      </c>
      <c r="N25" s="20">
        <v>39640</v>
      </c>
      <c r="O25" s="20">
        <v>40120</v>
      </c>
      <c r="P25" s="20">
        <v>41910</v>
      </c>
      <c r="Q25" s="20">
        <v>45420.000000000029</v>
      </c>
      <c r="R25" s="20">
        <f>ROUND((L21/12),0)</f>
        <v>1732</v>
      </c>
      <c r="S25" s="51">
        <f>ROUND((L21/12)*1.85,0)</f>
        <v>3204</v>
      </c>
      <c r="T25">
        <v>3</v>
      </c>
    </row>
    <row r="26" spans="2:38" x14ac:dyDescent="0.35">
      <c r="C26" t="s">
        <v>330</v>
      </c>
      <c r="D26" s="4">
        <v>8</v>
      </c>
      <c r="E26" s="20">
        <v>37630</v>
      </c>
      <c r="F26" s="20">
        <v>38890</v>
      </c>
      <c r="G26" s="20">
        <v>39630</v>
      </c>
      <c r="H26" s="20">
        <v>40090</v>
      </c>
      <c r="I26" s="20">
        <v>40890</v>
      </c>
      <c r="J26" s="20">
        <v>40890</v>
      </c>
      <c r="K26" s="20">
        <v>41320</v>
      </c>
      <c r="L26" s="20">
        <v>42380</v>
      </c>
      <c r="M26" s="20">
        <v>43430</v>
      </c>
      <c r="N26" s="20">
        <v>44120</v>
      </c>
      <c r="O26" s="20">
        <v>44660</v>
      </c>
      <c r="P26" s="20">
        <v>46630</v>
      </c>
      <c r="Q26" s="20">
        <v>50560.000000000036</v>
      </c>
      <c r="R26" s="20">
        <f>ROUND((L22/12),0)</f>
        <v>2092</v>
      </c>
      <c r="S26" s="51">
        <f>ROUND((L22/12)*1.85,0)</f>
        <v>3870</v>
      </c>
      <c r="T26">
        <v>4</v>
      </c>
      <c r="Z26" s="20"/>
      <c r="AA26">
        <v>888</v>
      </c>
    </row>
    <row r="27" spans="2:38" x14ac:dyDescent="0.35">
      <c r="C27" t="s">
        <v>330</v>
      </c>
      <c r="D27" s="4">
        <v>9</v>
      </c>
      <c r="E27" s="20">
        <f>E26+E$29</f>
        <v>41450</v>
      </c>
      <c r="F27" s="20">
        <f t="shared" ref="F27:O28" si="6">F26+F$29</f>
        <v>42850</v>
      </c>
      <c r="G27" s="20">
        <f t="shared" si="6"/>
        <v>43650</v>
      </c>
      <c r="H27" s="20">
        <f t="shared" si="6"/>
        <v>44150</v>
      </c>
      <c r="I27" s="20">
        <f t="shared" si="6"/>
        <v>45050</v>
      </c>
      <c r="J27" s="20">
        <f t="shared" si="6"/>
        <v>45050</v>
      </c>
      <c r="K27" s="20">
        <f t="shared" si="6"/>
        <v>45500</v>
      </c>
      <c r="L27" s="20">
        <f t="shared" si="6"/>
        <v>46700</v>
      </c>
      <c r="M27" s="20">
        <f t="shared" si="6"/>
        <v>47850</v>
      </c>
      <c r="N27" s="20">
        <f t="shared" si="6"/>
        <v>48600</v>
      </c>
      <c r="O27" s="20">
        <f t="shared" si="6"/>
        <v>49200</v>
      </c>
      <c r="P27" s="20">
        <v>51350</v>
      </c>
      <c r="Q27" s="20">
        <v>55700.000000000044</v>
      </c>
      <c r="R27" s="20"/>
      <c r="S27" s="51"/>
      <c r="Z27" s="20"/>
    </row>
    <row r="28" spans="2:38" x14ac:dyDescent="0.35">
      <c r="C28" t="s">
        <v>330</v>
      </c>
      <c r="D28" s="4">
        <v>10</v>
      </c>
      <c r="E28" s="20">
        <f>E27+E$29</f>
        <v>45270</v>
      </c>
      <c r="F28" s="20">
        <f t="shared" si="6"/>
        <v>46810</v>
      </c>
      <c r="G28" s="20">
        <f t="shared" si="6"/>
        <v>47670</v>
      </c>
      <c r="H28" s="20">
        <f t="shared" si="6"/>
        <v>48210</v>
      </c>
      <c r="I28" s="20">
        <f t="shared" si="6"/>
        <v>49210</v>
      </c>
      <c r="J28" s="20">
        <f t="shared" si="6"/>
        <v>49210</v>
      </c>
      <c r="K28" s="20">
        <f t="shared" si="6"/>
        <v>49680</v>
      </c>
      <c r="L28" s="20">
        <f t="shared" si="6"/>
        <v>51020</v>
      </c>
      <c r="M28" s="20">
        <f t="shared" si="6"/>
        <v>52270</v>
      </c>
      <c r="N28" s="20">
        <f t="shared" si="6"/>
        <v>53080</v>
      </c>
      <c r="O28" s="20">
        <f t="shared" si="6"/>
        <v>53740</v>
      </c>
      <c r="P28" s="20">
        <v>56070</v>
      </c>
      <c r="Q28" s="20">
        <v>60840.000000000044</v>
      </c>
      <c r="R28" s="20"/>
      <c r="S28" s="51"/>
      <c r="Z28" s="20"/>
    </row>
    <row r="29" spans="2:38" x14ac:dyDescent="0.35">
      <c r="C29" t="s">
        <v>330</v>
      </c>
      <c r="D29" s="4" t="s">
        <v>331</v>
      </c>
      <c r="E29" s="20">
        <v>3820</v>
      </c>
      <c r="F29" s="20">
        <v>3960</v>
      </c>
      <c r="G29" s="20">
        <v>4020</v>
      </c>
      <c r="H29" s="20">
        <v>4060</v>
      </c>
      <c r="I29" s="20">
        <v>4160</v>
      </c>
      <c r="J29" s="20">
        <v>4160</v>
      </c>
      <c r="K29" s="20">
        <v>4180</v>
      </c>
      <c r="L29" s="20">
        <v>4320</v>
      </c>
      <c r="M29" s="20">
        <v>4420</v>
      </c>
      <c r="N29" s="20">
        <v>4480</v>
      </c>
      <c r="O29" s="20">
        <v>4540</v>
      </c>
      <c r="P29" s="20">
        <v>4720</v>
      </c>
      <c r="Q29" s="20">
        <v>5140</v>
      </c>
      <c r="R29" s="20">
        <f>ROUND((L23/12),0)</f>
        <v>2452</v>
      </c>
      <c r="S29" s="51">
        <f>ROUND((L23/12)*1.85,0)</f>
        <v>4536</v>
      </c>
      <c r="T29">
        <v>5</v>
      </c>
      <c r="AA29">
        <v>1332</v>
      </c>
    </row>
    <row r="30" spans="2:38" x14ac:dyDescent="0.35">
      <c r="C30" t="s">
        <v>332</v>
      </c>
      <c r="D30" s="4">
        <v>1</v>
      </c>
      <c r="E30" s="20">
        <v>13600</v>
      </c>
      <c r="F30" s="20">
        <v>13970</v>
      </c>
      <c r="G30" s="20">
        <v>14350</v>
      </c>
      <c r="H30" s="20">
        <v>14580</v>
      </c>
      <c r="I30" s="20">
        <v>14720</v>
      </c>
      <c r="J30" s="20">
        <v>14840</v>
      </c>
      <c r="K30" s="20">
        <v>15060</v>
      </c>
      <c r="L30" s="20">
        <v>15180</v>
      </c>
      <c r="M30" s="20">
        <v>15600</v>
      </c>
      <c r="N30" s="20">
        <v>15950</v>
      </c>
      <c r="O30" s="20">
        <v>16090</v>
      </c>
      <c r="P30" s="20">
        <v>16990</v>
      </c>
      <c r="Q30" s="20">
        <v>18210</v>
      </c>
      <c r="R30" s="20">
        <f>ROUND((L24/12),0)</f>
        <v>2812</v>
      </c>
      <c r="S30" s="51">
        <f>ROUND((L24/12)*1.85,0)</f>
        <v>5202</v>
      </c>
      <c r="T30">
        <v>6</v>
      </c>
      <c r="AA30">
        <v>1777</v>
      </c>
    </row>
    <row r="31" spans="2:38" x14ac:dyDescent="0.35">
      <c r="C31" t="s">
        <v>332</v>
      </c>
      <c r="D31" s="4">
        <v>2</v>
      </c>
      <c r="E31" s="20">
        <v>18380</v>
      </c>
      <c r="F31" s="20">
        <v>18920</v>
      </c>
      <c r="G31" s="20">
        <v>19380</v>
      </c>
      <c r="H31" s="20">
        <v>19660</v>
      </c>
      <c r="I31" s="20">
        <v>19920</v>
      </c>
      <c r="J31" s="20">
        <v>20020</v>
      </c>
      <c r="K31" s="20">
        <v>20290</v>
      </c>
      <c r="L31" s="20">
        <v>20580</v>
      </c>
      <c r="M31" s="20">
        <v>21130</v>
      </c>
      <c r="N31" s="20">
        <v>21550</v>
      </c>
      <c r="O31" s="20">
        <v>21770</v>
      </c>
      <c r="P31" s="20">
        <v>22890</v>
      </c>
      <c r="Q31" s="20">
        <v>24640</v>
      </c>
      <c r="R31" s="20">
        <f>ROUND((L25/12),0)</f>
        <v>3172</v>
      </c>
      <c r="S31" s="51">
        <f>ROUND((L25/12)*1.85,0)</f>
        <v>5868</v>
      </c>
      <c r="T31">
        <v>7</v>
      </c>
      <c r="AA31">
        <v>2221</v>
      </c>
    </row>
    <row r="32" spans="2:38" x14ac:dyDescent="0.35">
      <c r="C32" t="s">
        <v>332</v>
      </c>
      <c r="D32" s="4">
        <v>3</v>
      </c>
      <c r="E32" s="20">
        <v>23160</v>
      </c>
      <c r="F32" s="20">
        <v>23870</v>
      </c>
      <c r="G32" s="20">
        <v>24410</v>
      </c>
      <c r="H32" s="20">
        <v>24740</v>
      </c>
      <c r="I32" s="20">
        <v>25120</v>
      </c>
      <c r="J32" s="20">
        <v>25200</v>
      </c>
      <c r="K32" s="20">
        <v>25520</v>
      </c>
      <c r="L32" s="20">
        <v>25980</v>
      </c>
      <c r="M32" s="20">
        <v>26660</v>
      </c>
      <c r="N32" s="20">
        <v>27150</v>
      </c>
      <c r="O32" s="20">
        <v>27450</v>
      </c>
      <c r="P32" s="20">
        <v>28790</v>
      </c>
      <c r="Q32" s="20">
        <v>31070</v>
      </c>
      <c r="R32" s="20">
        <f>ROUND((L26/12),0)</f>
        <v>3532</v>
      </c>
      <c r="S32" s="51">
        <f>ROUND((L26/12)*1.85,0)</f>
        <v>6534</v>
      </c>
      <c r="T32">
        <v>8</v>
      </c>
      <c r="AA32">
        <v>2665</v>
      </c>
    </row>
    <row r="33" spans="3:27" x14ac:dyDescent="0.35">
      <c r="C33" t="s">
        <v>332</v>
      </c>
      <c r="D33" s="4">
        <v>4</v>
      </c>
      <c r="E33" s="20">
        <v>27940</v>
      </c>
      <c r="F33" s="20">
        <v>28820</v>
      </c>
      <c r="G33" s="20">
        <v>29440</v>
      </c>
      <c r="H33" s="20">
        <v>29820</v>
      </c>
      <c r="I33" s="20">
        <v>30320</v>
      </c>
      <c r="J33" s="20">
        <v>30380</v>
      </c>
      <c r="K33" s="20">
        <v>30750</v>
      </c>
      <c r="L33" s="20">
        <v>31380</v>
      </c>
      <c r="M33" s="20">
        <v>32190</v>
      </c>
      <c r="N33" s="20">
        <v>32750</v>
      </c>
      <c r="O33" s="20">
        <v>33130</v>
      </c>
      <c r="P33" s="20">
        <v>34690</v>
      </c>
      <c r="Q33" s="20">
        <v>37500</v>
      </c>
      <c r="R33" s="20"/>
      <c r="S33" s="20"/>
      <c r="T33" s="20"/>
      <c r="AA33">
        <v>3109</v>
      </c>
    </row>
    <row r="34" spans="3:27" x14ac:dyDescent="0.35">
      <c r="C34" t="s">
        <v>332</v>
      </c>
      <c r="D34" s="4">
        <v>5</v>
      </c>
      <c r="E34" s="20">
        <v>32720</v>
      </c>
      <c r="F34" s="20">
        <v>33770</v>
      </c>
      <c r="G34" s="20">
        <v>34470</v>
      </c>
      <c r="H34" s="20">
        <v>34900</v>
      </c>
      <c r="I34" s="20">
        <v>35520</v>
      </c>
      <c r="J34" s="20">
        <v>35560</v>
      </c>
      <c r="K34" s="20">
        <v>35980</v>
      </c>
      <c r="L34" s="20">
        <v>36780</v>
      </c>
      <c r="M34" s="20">
        <v>37720</v>
      </c>
      <c r="N34" s="20">
        <v>38350</v>
      </c>
      <c r="O34" s="20">
        <v>38810</v>
      </c>
      <c r="P34" s="20">
        <v>40590</v>
      </c>
      <c r="Q34" s="20">
        <v>43930</v>
      </c>
      <c r="S34" s="20"/>
      <c r="T34" s="20"/>
      <c r="AA34">
        <v>3331</v>
      </c>
    </row>
    <row r="35" spans="3:27" x14ac:dyDescent="0.35">
      <c r="C35" t="s">
        <v>332</v>
      </c>
      <c r="D35" s="4">
        <v>6</v>
      </c>
      <c r="E35" s="20">
        <v>37500</v>
      </c>
      <c r="F35" s="20">
        <v>38720</v>
      </c>
      <c r="G35" s="20">
        <v>39500</v>
      </c>
      <c r="H35" s="20">
        <v>39980</v>
      </c>
      <c r="I35" s="20">
        <v>40720</v>
      </c>
      <c r="J35" s="20">
        <v>40740</v>
      </c>
      <c r="K35" s="20">
        <v>41210</v>
      </c>
      <c r="L35" s="20">
        <v>42180</v>
      </c>
      <c r="M35" s="20">
        <v>43250</v>
      </c>
      <c r="N35" s="20">
        <v>43950</v>
      </c>
      <c r="O35" s="20">
        <v>44490</v>
      </c>
      <c r="P35" s="20">
        <v>46490</v>
      </c>
      <c r="Q35" s="20">
        <v>50360</v>
      </c>
      <c r="S35" s="20"/>
      <c r="T35" s="20"/>
      <c r="AA35">
        <v>3553</v>
      </c>
    </row>
    <row r="36" spans="3:27" x14ac:dyDescent="0.35">
      <c r="C36" t="s">
        <v>332</v>
      </c>
      <c r="D36" s="4">
        <v>7</v>
      </c>
      <c r="E36" s="20">
        <v>42280</v>
      </c>
      <c r="F36" s="20">
        <v>43670</v>
      </c>
      <c r="G36" s="20">
        <v>44530</v>
      </c>
      <c r="H36" s="20">
        <v>45060</v>
      </c>
      <c r="I36" s="20">
        <v>45920</v>
      </c>
      <c r="J36" s="20">
        <v>45920</v>
      </c>
      <c r="K36" s="20">
        <v>46440</v>
      </c>
      <c r="L36" s="20">
        <v>47580</v>
      </c>
      <c r="M36" s="20">
        <v>48780</v>
      </c>
      <c r="N36" s="20">
        <v>49550</v>
      </c>
      <c r="O36" s="20">
        <v>50170</v>
      </c>
      <c r="P36" s="20">
        <v>52390</v>
      </c>
      <c r="Q36" s="20">
        <v>56790</v>
      </c>
      <c r="AA36">
        <v>3775</v>
      </c>
    </row>
    <row r="37" spans="3:27" x14ac:dyDescent="0.35">
      <c r="C37" t="s">
        <v>332</v>
      </c>
      <c r="D37" s="4">
        <v>8</v>
      </c>
      <c r="E37" s="20">
        <v>47060</v>
      </c>
      <c r="F37" s="20">
        <v>48620</v>
      </c>
      <c r="G37" s="20">
        <v>49560</v>
      </c>
      <c r="H37" s="20">
        <v>50140</v>
      </c>
      <c r="I37" s="20">
        <v>51120</v>
      </c>
      <c r="J37" s="20">
        <v>51120</v>
      </c>
      <c r="K37" s="20">
        <v>51670</v>
      </c>
      <c r="L37" s="20">
        <v>52980</v>
      </c>
      <c r="M37" s="20">
        <v>54310</v>
      </c>
      <c r="N37" s="20">
        <v>55150</v>
      </c>
      <c r="O37" s="20">
        <v>55850</v>
      </c>
      <c r="P37" s="20">
        <v>58290</v>
      </c>
      <c r="Q37" s="20">
        <v>63220</v>
      </c>
    </row>
    <row r="38" spans="3:27" x14ac:dyDescent="0.35">
      <c r="C38" t="s">
        <v>332</v>
      </c>
      <c r="D38" s="4">
        <v>9</v>
      </c>
      <c r="E38" s="20">
        <f>E37+E$40</f>
        <v>51840</v>
      </c>
      <c r="F38" s="20">
        <f t="shared" ref="F38:O39" si="7">F37+F$40</f>
        <v>53570</v>
      </c>
      <c r="G38" s="20">
        <f t="shared" si="7"/>
        <v>54590</v>
      </c>
      <c r="H38" s="20">
        <f t="shared" si="7"/>
        <v>55220</v>
      </c>
      <c r="I38" s="20">
        <f t="shared" si="7"/>
        <v>56320</v>
      </c>
      <c r="J38" s="20">
        <f t="shared" si="7"/>
        <v>56320</v>
      </c>
      <c r="K38" s="20">
        <f t="shared" si="7"/>
        <v>56900</v>
      </c>
      <c r="L38" s="20">
        <f t="shared" si="7"/>
        <v>58380</v>
      </c>
      <c r="M38" s="20">
        <f t="shared" si="7"/>
        <v>59840</v>
      </c>
      <c r="N38" s="20">
        <f t="shared" si="7"/>
        <v>60750</v>
      </c>
      <c r="O38" s="20">
        <f t="shared" si="7"/>
        <v>61530</v>
      </c>
      <c r="P38" s="20">
        <v>64190</v>
      </c>
      <c r="Q38" s="20">
        <v>69650</v>
      </c>
    </row>
    <row r="39" spans="3:27" x14ac:dyDescent="0.35">
      <c r="C39" t="s">
        <v>332</v>
      </c>
      <c r="D39" s="4">
        <v>10</v>
      </c>
      <c r="E39" s="20">
        <f>E38+E$40</f>
        <v>56620</v>
      </c>
      <c r="F39" s="20">
        <f t="shared" si="7"/>
        <v>58520</v>
      </c>
      <c r="G39" s="20">
        <f t="shared" si="7"/>
        <v>59620</v>
      </c>
      <c r="H39" s="20">
        <f t="shared" si="7"/>
        <v>60300</v>
      </c>
      <c r="I39" s="20">
        <f t="shared" si="7"/>
        <v>61520</v>
      </c>
      <c r="J39" s="20">
        <f t="shared" si="7"/>
        <v>61520</v>
      </c>
      <c r="K39" s="20">
        <f t="shared" si="7"/>
        <v>62130</v>
      </c>
      <c r="L39" s="20">
        <f t="shared" si="7"/>
        <v>63780</v>
      </c>
      <c r="M39" s="20">
        <f t="shared" si="7"/>
        <v>65370</v>
      </c>
      <c r="N39" s="20">
        <f t="shared" si="7"/>
        <v>66350</v>
      </c>
      <c r="O39" s="20">
        <f t="shared" si="7"/>
        <v>67210</v>
      </c>
      <c r="P39" s="20">
        <v>70090</v>
      </c>
      <c r="Q39" s="20">
        <v>76080</v>
      </c>
    </row>
    <row r="40" spans="3:27" x14ac:dyDescent="0.35">
      <c r="C40" t="s">
        <v>332</v>
      </c>
      <c r="D40" s="4" t="s">
        <v>331</v>
      </c>
      <c r="E40" s="20">
        <v>4780</v>
      </c>
      <c r="F40" s="20">
        <v>4950</v>
      </c>
      <c r="G40" s="20">
        <v>5030</v>
      </c>
      <c r="H40" s="20">
        <v>5080</v>
      </c>
      <c r="I40" s="20">
        <v>5200</v>
      </c>
      <c r="J40" s="20">
        <v>5200</v>
      </c>
      <c r="K40" s="20">
        <v>5230</v>
      </c>
      <c r="L40" s="20">
        <v>5400</v>
      </c>
      <c r="M40" s="20">
        <v>5530</v>
      </c>
      <c r="N40" s="20">
        <v>5600</v>
      </c>
      <c r="O40" s="20">
        <v>5680</v>
      </c>
      <c r="P40" s="20">
        <v>5900</v>
      </c>
      <c r="Q40" s="20">
        <v>6430</v>
      </c>
    </row>
    <row r="41" spans="3:27" x14ac:dyDescent="0.35">
      <c r="C41" t="s">
        <v>333</v>
      </c>
      <c r="D41" s="4">
        <v>1</v>
      </c>
      <c r="E41" s="20">
        <v>12540</v>
      </c>
      <c r="F41" s="20">
        <v>12860</v>
      </c>
      <c r="G41" s="20">
        <v>13230</v>
      </c>
      <c r="H41" s="20">
        <v>13420</v>
      </c>
      <c r="I41" s="20">
        <v>13550</v>
      </c>
      <c r="J41" s="20">
        <v>13670</v>
      </c>
      <c r="K41" s="20">
        <v>13860</v>
      </c>
      <c r="L41" s="20">
        <v>13960</v>
      </c>
      <c r="M41" s="20">
        <v>14380</v>
      </c>
      <c r="N41" s="20">
        <v>14680</v>
      </c>
      <c r="O41" s="20">
        <v>14820</v>
      </c>
      <c r="P41" s="20">
        <v>15630</v>
      </c>
      <c r="Q41" s="20">
        <v>16770</v>
      </c>
      <c r="T41" s="20"/>
    </row>
    <row r="42" spans="3:27" x14ac:dyDescent="0.35">
      <c r="C42" t="s">
        <v>333</v>
      </c>
      <c r="D42" s="4">
        <v>2</v>
      </c>
      <c r="E42" s="20">
        <v>16930</v>
      </c>
      <c r="F42" s="20">
        <v>17410</v>
      </c>
      <c r="G42" s="20">
        <v>17850</v>
      </c>
      <c r="H42" s="20">
        <v>18090</v>
      </c>
      <c r="I42" s="20">
        <v>18330</v>
      </c>
      <c r="J42" s="20">
        <v>18430</v>
      </c>
      <c r="K42" s="20">
        <v>18670</v>
      </c>
      <c r="L42" s="20">
        <v>18930</v>
      </c>
      <c r="M42" s="20">
        <v>19460</v>
      </c>
      <c r="N42" s="20">
        <v>19830</v>
      </c>
      <c r="O42" s="20">
        <v>20040</v>
      </c>
      <c r="P42" s="20">
        <v>21060</v>
      </c>
      <c r="Q42" s="20">
        <v>22680</v>
      </c>
      <c r="T42" s="20"/>
    </row>
    <row r="43" spans="3:27" x14ac:dyDescent="0.35">
      <c r="C43" t="s">
        <v>333</v>
      </c>
      <c r="D43" s="4">
        <v>3</v>
      </c>
      <c r="E43" s="20">
        <v>21320</v>
      </c>
      <c r="F43" s="20">
        <v>21960</v>
      </c>
      <c r="G43" s="20">
        <v>22470</v>
      </c>
      <c r="H43" s="20">
        <v>22760</v>
      </c>
      <c r="I43" s="20">
        <v>23110</v>
      </c>
      <c r="J43" s="20">
        <v>23190</v>
      </c>
      <c r="K43" s="20">
        <v>23480</v>
      </c>
      <c r="L43" s="20">
        <v>23900</v>
      </c>
      <c r="M43" s="20">
        <v>24540</v>
      </c>
      <c r="N43" s="20">
        <v>24980</v>
      </c>
      <c r="O43" s="20">
        <v>25260</v>
      </c>
      <c r="P43" s="20">
        <v>26490</v>
      </c>
      <c r="Q43" s="20">
        <v>28590</v>
      </c>
      <c r="T43" s="20"/>
    </row>
    <row r="44" spans="3:27" x14ac:dyDescent="0.35">
      <c r="C44" t="s">
        <v>333</v>
      </c>
      <c r="D44" s="4">
        <v>4</v>
      </c>
      <c r="E44" s="20">
        <v>25710</v>
      </c>
      <c r="F44" s="20">
        <v>26510</v>
      </c>
      <c r="G44" s="20">
        <v>27090</v>
      </c>
      <c r="H44" s="20">
        <v>27430</v>
      </c>
      <c r="I44" s="20">
        <v>27890</v>
      </c>
      <c r="J44" s="20">
        <v>27950</v>
      </c>
      <c r="K44" s="20">
        <v>28290</v>
      </c>
      <c r="L44" s="20">
        <v>28870</v>
      </c>
      <c r="M44" s="20">
        <v>29620</v>
      </c>
      <c r="N44" s="20">
        <v>30130</v>
      </c>
      <c r="O44" s="20">
        <v>30480</v>
      </c>
      <c r="P44" s="20">
        <v>31920</v>
      </c>
      <c r="Q44" s="20">
        <v>34500</v>
      </c>
      <c r="T44" s="20"/>
    </row>
    <row r="45" spans="3:27" x14ac:dyDescent="0.35">
      <c r="C45" t="s">
        <v>333</v>
      </c>
      <c r="D45" s="4">
        <v>5</v>
      </c>
      <c r="E45" s="20">
        <v>30100</v>
      </c>
      <c r="F45" s="20">
        <v>31060</v>
      </c>
      <c r="G45" s="20">
        <v>31710</v>
      </c>
      <c r="H45" s="20">
        <v>32100</v>
      </c>
      <c r="I45" s="20">
        <v>32670</v>
      </c>
      <c r="J45" s="20">
        <v>32710</v>
      </c>
      <c r="K45" s="20">
        <v>33100</v>
      </c>
      <c r="L45" s="20">
        <v>33840</v>
      </c>
      <c r="M45" s="20">
        <v>34700</v>
      </c>
      <c r="N45" s="20">
        <v>35280</v>
      </c>
      <c r="O45" s="20">
        <v>35700</v>
      </c>
      <c r="P45" s="20">
        <v>37350</v>
      </c>
      <c r="Q45" s="20">
        <v>40410</v>
      </c>
      <c r="T45" s="20"/>
    </row>
    <row r="46" spans="3:27" x14ac:dyDescent="0.35">
      <c r="C46" t="s">
        <v>333</v>
      </c>
      <c r="D46" s="4">
        <v>6</v>
      </c>
      <c r="E46" s="20">
        <v>34490</v>
      </c>
      <c r="F46" s="20">
        <v>35610</v>
      </c>
      <c r="G46" s="20">
        <v>36330</v>
      </c>
      <c r="H46" s="20">
        <v>36770</v>
      </c>
      <c r="I46" s="20">
        <v>37450</v>
      </c>
      <c r="J46" s="20">
        <v>37470</v>
      </c>
      <c r="K46" s="20">
        <v>37910</v>
      </c>
      <c r="L46" s="20">
        <v>38810</v>
      </c>
      <c r="M46" s="20">
        <v>39780</v>
      </c>
      <c r="N46" s="20">
        <v>40430</v>
      </c>
      <c r="O46" s="20">
        <v>40920</v>
      </c>
      <c r="P46" s="20">
        <v>42780</v>
      </c>
      <c r="Q46" s="20">
        <v>46320</v>
      </c>
      <c r="T46" s="20"/>
    </row>
    <row r="47" spans="3:27" x14ac:dyDescent="0.35">
      <c r="C47" t="s">
        <v>333</v>
      </c>
      <c r="D47" s="4">
        <v>7</v>
      </c>
      <c r="E47" s="20">
        <v>38880</v>
      </c>
      <c r="F47" s="20">
        <v>40160</v>
      </c>
      <c r="G47" s="20">
        <v>40950</v>
      </c>
      <c r="H47" s="20">
        <v>41440</v>
      </c>
      <c r="I47" s="20">
        <v>42230</v>
      </c>
      <c r="J47" s="20">
        <v>42230</v>
      </c>
      <c r="K47" s="20">
        <v>42720</v>
      </c>
      <c r="L47" s="20">
        <v>43780</v>
      </c>
      <c r="M47" s="20">
        <v>44860</v>
      </c>
      <c r="N47" s="20">
        <v>45580</v>
      </c>
      <c r="O47" s="20">
        <v>46140</v>
      </c>
      <c r="P47" s="20">
        <v>48210</v>
      </c>
      <c r="Q47" s="20">
        <v>52230</v>
      </c>
      <c r="T47" s="20"/>
    </row>
    <row r="48" spans="3:27" x14ac:dyDescent="0.35">
      <c r="C48" t="s">
        <v>333</v>
      </c>
      <c r="D48" s="4">
        <v>8</v>
      </c>
      <c r="E48" s="20">
        <v>43270</v>
      </c>
      <c r="F48" s="20">
        <v>44710</v>
      </c>
      <c r="G48" s="20">
        <v>45570</v>
      </c>
      <c r="H48" s="20">
        <v>46110</v>
      </c>
      <c r="I48" s="20">
        <v>47010</v>
      </c>
      <c r="J48" s="20">
        <v>47010</v>
      </c>
      <c r="K48" s="20">
        <v>47530</v>
      </c>
      <c r="L48" s="20">
        <v>48750</v>
      </c>
      <c r="M48" s="20">
        <v>49940</v>
      </c>
      <c r="N48" s="20">
        <v>50730</v>
      </c>
      <c r="O48" s="20">
        <v>51360</v>
      </c>
      <c r="P48" s="20">
        <v>53640</v>
      </c>
      <c r="Q48" s="20">
        <v>58140</v>
      </c>
      <c r="T48" s="20"/>
    </row>
    <row r="49" spans="2:20" x14ac:dyDescent="0.35">
      <c r="C49" t="s">
        <v>333</v>
      </c>
      <c r="D49" s="4">
        <v>9</v>
      </c>
      <c r="E49" s="20">
        <f>E48+E$51</f>
        <v>47660</v>
      </c>
      <c r="F49" s="20">
        <f t="shared" ref="F49:O50" si="8">F48+F$51</f>
        <v>49260</v>
      </c>
      <c r="G49" s="20">
        <f t="shared" si="8"/>
        <v>50190</v>
      </c>
      <c r="H49" s="20">
        <f t="shared" si="8"/>
        <v>50780</v>
      </c>
      <c r="I49" s="20">
        <f t="shared" si="8"/>
        <v>51790</v>
      </c>
      <c r="J49" s="20">
        <f t="shared" si="8"/>
        <v>51790</v>
      </c>
      <c r="K49" s="20">
        <f t="shared" si="8"/>
        <v>52340</v>
      </c>
      <c r="L49" s="20">
        <f t="shared" si="8"/>
        <v>53560</v>
      </c>
      <c r="M49" s="20">
        <f t="shared" si="8"/>
        <v>55020</v>
      </c>
      <c r="N49" s="20">
        <f t="shared" si="8"/>
        <v>55880</v>
      </c>
      <c r="O49" s="20">
        <f t="shared" si="8"/>
        <v>56580</v>
      </c>
      <c r="P49" s="20">
        <v>59070</v>
      </c>
      <c r="Q49" s="20">
        <v>64050</v>
      </c>
      <c r="T49" s="20"/>
    </row>
    <row r="50" spans="2:20" x14ac:dyDescent="0.35">
      <c r="C50" t="s">
        <v>333</v>
      </c>
      <c r="D50" s="4">
        <v>10</v>
      </c>
      <c r="E50" s="20">
        <f>E49+E$51</f>
        <v>52050</v>
      </c>
      <c r="F50" s="20">
        <f t="shared" si="8"/>
        <v>53810</v>
      </c>
      <c r="G50" s="20">
        <f t="shared" si="8"/>
        <v>54810</v>
      </c>
      <c r="H50" s="20">
        <f t="shared" si="8"/>
        <v>55450</v>
      </c>
      <c r="I50" s="20">
        <f t="shared" si="8"/>
        <v>56570</v>
      </c>
      <c r="J50" s="20">
        <f t="shared" si="8"/>
        <v>56570</v>
      </c>
      <c r="K50" s="20">
        <f t="shared" si="8"/>
        <v>57150</v>
      </c>
      <c r="L50" s="20">
        <f t="shared" si="8"/>
        <v>58370</v>
      </c>
      <c r="M50" s="20">
        <f t="shared" si="8"/>
        <v>60100</v>
      </c>
      <c r="N50" s="20">
        <f t="shared" si="8"/>
        <v>61030</v>
      </c>
      <c r="O50" s="20">
        <f t="shared" si="8"/>
        <v>61800</v>
      </c>
      <c r="P50" s="20">
        <v>64500</v>
      </c>
      <c r="Q50" s="20">
        <v>69960</v>
      </c>
      <c r="T50" s="20"/>
    </row>
    <row r="51" spans="2:20" x14ac:dyDescent="0.35">
      <c r="C51" t="s">
        <v>333</v>
      </c>
      <c r="D51" s="4" t="s">
        <v>331</v>
      </c>
      <c r="E51" s="20">
        <v>4390</v>
      </c>
      <c r="F51" s="20">
        <v>4550</v>
      </c>
      <c r="G51" s="20">
        <v>4620</v>
      </c>
      <c r="H51" s="20">
        <v>4670</v>
      </c>
      <c r="I51" s="20">
        <v>4780</v>
      </c>
      <c r="J51" s="20">
        <v>4780</v>
      </c>
      <c r="K51" s="20">
        <v>4810</v>
      </c>
      <c r="L51" s="20">
        <v>4810</v>
      </c>
      <c r="M51" s="20">
        <v>5080</v>
      </c>
      <c r="N51" s="20">
        <v>5150</v>
      </c>
      <c r="O51" s="20">
        <v>5220</v>
      </c>
      <c r="P51" s="20">
        <v>5430</v>
      </c>
      <c r="Q51" s="20">
        <v>5910</v>
      </c>
    </row>
    <row r="53" spans="2:20" x14ac:dyDescent="0.35">
      <c r="B53" s="3" t="s">
        <v>89</v>
      </c>
    </row>
    <row r="54" spans="2:20" x14ac:dyDescent="0.35">
      <c r="C54" t="s">
        <v>334</v>
      </c>
    </row>
    <row r="55" spans="2:20" x14ac:dyDescent="0.35">
      <c r="C55" t="s">
        <v>335</v>
      </c>
    </row>
    <row r="56" spans="2:20" x14ac:dyDescent="0.35">
      <c r="C56" t="s">
        <v>336</v>
      </c>
    </row>
    <row r="58" spans="2:20" x14ac:dyDescent="0.35">
      <c r="B58" s="3" t="s">
        <v>40</v>
      </c>
    </row>
    <row r="59" spans="2:20" x14ac:dyDescent="0.35">
      <c r="C59" s="5" t="s">
        <v>41</v>
      </c>
      <c r="D59" t="s">
        <v>337</v>
      </c>
    </row>
    <row r="60" spans="2:20" x14ac:dyDescent="0.35">
      <c r="C60" s="5" t="s">
        <v>43</v>
      </c>
      <c r="D60" s="5" t="s">
        <v>44</v>
      </c>
      <c r="E60" t="s">
        <v>330</v>
      </c>
    </row>
    <row r="61" spans="2:20" x14ac:dyDescent="0.35">
      <c r="D61" s="5" t="s">
        <v>45</v>
      </c>
      <c r="E61">
        <v>5</v>
      </c>
      <c r="J61" s="52" t="s">
        <v>330</v>
      </c>
      <c r="K61" s="42">
        <v>1</v>
      </c>
    </row>
    <row r="62" spans="2:20" x14ac:dyDescent="0.35">
      <c r="D62" s="5" t="s">
        <v>46</v>
      </c>
      <c r="E62">
        <v>2020</v>
      </c>
      <c r="J62" s="53" t="s">
        <v>332</v>
      </c>
      <c r="K62" s="43">
        <v>2</v>
      </c>
    </row>
    <row r="63" spans="2:20" x14ac:dyDescent="0.35">
      <c r="D63" s="7" t="s">
        <v>47</v>
      </c>
      <c r="E63" s="54">
        <f t="array" ref="E63">INDEX(FPIG[],MATCH(1,(FPIG[State]=$E$60)*(FPIG[Persons in Family/Household]=$E$61),0),MATCH($E$62,VALUE(FPIG[#Headers]),0))</f>
        <v>30680</v>
      </c>
      <c r="J63" s="52" t="s">
        <v>333</v>
      </c>
      <c r="K63" s="42">
        <v>3</v>
      </c>
    </row>
    <row r="64" spans="2:20" x14ac:dyDescent="0.35">
      <c r="K64" s="43">
        <v>4</v>
      </c>
    </row>
    <row r="65" spans="2:11" x14ac:dyDescent="0.35">
      <c r="K65" s="42">
        <v>5</v>
      </c>
    </row>
    <row r="66" spans="2:11" x14ac:dyDescent="0.35">
      <c r="K66" s="43">
        <v>6</v>
      </c>
    </row>
    <row r="67" spans="2:11" x14ac:dyDescent="0.35">
      <c r="K67" s="42">
        <v>7</v>
      </c>
    </row>
    <row r="68" spans="2:11" x14ac:dyDescent="0.35">
      <c r="K68" s="43">
        <v>8</v>
      </c>
    </row>
    <row r="69" spans="2:11" x14ac:dyDescent="0.35">
      <c r="K69" s="42" t="s">
        <v>331</v>
      </c>
    </row>
    <row r="71" spans="2:11" x14ac:dyDescent="0.35">
      <c r="B71" s="3" t="s">
        <v>48</v>
      </c>
    </row>
    <row r="72" spans="2:11" x14ac:dyDescent="0.35">
      <c r="C72" t="s">
        <v>338</v>
      </c>
    </row>
    <row r="73" spans="2:11" x14ac:dyDescent="0.35">
      <c r="C73" t="s">
        <v>339</v>
      </c>
    </row>
    <row r="74" spans="2:11" x14ac:dyDescent="0.35">
      <c r="C74">
        <v>2011</v>
      </c>
      <c r="D74" t="s">
        <v>340</v>
      </c>
      <c r="F74" t="s">
        <v>341</v>
      </c>
    </row>
    <row r="75" spans="2:11" x14ac:dyDescent="0.35">
      <c r="C75">
        <v>2012</v>
      </c>
      <c r="D75" t="s">
        <v>340</v>
      </c>
      <c r="F75" t="s">
        <v>342</v>
      </c>
    </row>
    <row r="76" spans="2:11" x14ac:dyDescent="0.35">
      <c r="C76">
        <v>2013</v>
      </c>
      <c r="D76" t="s">
        <v>340</v>
      </c>
      <c r="F76" t="s">
        <v>343</v>
      </c>
    </row>
    <row r="77" spans="2:11" x14ac:dyDescent="0.35">
      <c r="C77">
        <v>2014</v>
      </c>
      <c r="D77" t="s">
        <v>340</v>
      </c>
      <c r="F77" t="s">
        <v>344</v>
      </c>
    </row>
    <row r="78" spans="2:11" x14ac:dyDescent="0.35">
      <c r="C78">
        <v>2015</v>
      </c>
      <c r="D78" t="s">
        <v>340</v>
      </c>
      <c r="F78" t="s">
        <v>345</v>
      </c>
    </row>
    <row r="79" spans="2:11" x14ac:dyDescent="0.35">
      <c r="C79">
        <v>2016</v>
      </c>
      <c r="D79" t="s">
        <v>340</v>
      </c>
      <c r="F79" t="s">
        <v>346</v>
      </c>
    </row>
    <row r="80" spans="2:11" x14ac:dyDescent="0.35">
      <c r="C80">
        <v>2017</v>
      </c>
      <c r="D80" t="s">
        <v>340</v>
      </c>
      <c r="F80" t="s">
        <v>347</v>
      </c>
    </row>
    <row r="81" spans="3:6" x14ac:dyDescent="0.35">
      <c r="C81">
        <v>2018</v>
      </c>
      <c r="D81" t="s">
        <v>340</v>
      </c>
      <c r="F81" t="s">
        <v>348</v>
      </c>
    </row>
    <row r="82" spans="3:6" x14ac:dyDescent="0.35">
      <c r="C82">
        <v>2019</v>
      </c>
      <c r="D82" t="s">
        <v>340</v>
      </c>
      <c r="F82" s="48" t="s">
        <v>349</v>
      </c>
    </row>
    <row r="83" spans="3:6" x14ac:dyDescent="0.35">
      <c r="C83">
        <v>2020</v>
      </c>
      <c r="D83" s="48" t="s">
        <v>350</v>
      </c>
    </row>
    <row r="84" spans="3:6" x14ac:dyDescent="0.35">
      <c r="D84" t="s">
        <v>340</v>
      </c>
      <c r="F84" s="48" t="s">
        <v>351</v>
      </c>
    </row>
    <row r="85" spans="3:6" x14ac:dyDescent="0.35">
      <c r="D85" t="s">
        <v>352</v>
      </c>
    </row>
    <row r="86" spans="3:6" x14ac:dyDescent="0.35">
      <c r="D86" s="22" t="s">
        <v>353</v>
      </c>
    </row>
    <row r="87" spans="3:6" x14ac:dyDescent="0.35">
      <c r="C87">
        <v>2022</v>
      </c>
      <c r="D87" s="22" t="s">
        <v>354</v>
      </c>
    </row>
  </sheetData>
  <dataValidations count="2">
    <dataValidation type="list" allowBlank="1" showInputMessage="1" showErrorMessage="1" sqref="E60" xr:uid="{98423F3E-8119-4930-BEAE-70EA861298EA}">
      <formula1>$J$61:$J$63</formula1>
    </dataValidation>
    <dataValidation type="list" allowBlank="1" showInputMessage="1" showErrorMessage="1" sqref="E61" xr:uid="{182224CF-8A2F-43E7-B573-9D1B2AD82B1A}">
      <formula1>$K$61:$K$69</formula1>
    </dataValidation>
  </dataValidations>
  <hyperlinks>
    <hyperlink ref="B7" r:id="rId1" xr:uid="{BA23C5AC-7AE1-4283-863E-DDB54329FA21}"/>
    <hyperlink ref="D86" r:id="rId2" xr:uid="{3301952B-01B7-4142-908E-445D9DC71810}"/>
    <hyperlink ref="D87" r:id="rId3" xr:uid="{47254A48-0D62-4D5D-A093-907A7F57708D}"/>
  </hyperlinks>
  <pageMargins left="0.7" right="0.7" top="0.75" bottom="0.75" header="0.3" footer="0.3"/>
  <pageSetup orientation="portrait" r:id="rId4"/>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TANF</vt:lpstr>
      <vt:lpstr>FPIG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Raymond Packer</cp:lastModifiedBy>
  <dcterms:created xsi:type="dcterms:W3CDTF">2023-02-20T12:42:46Z</dcterms:created>
  <dcterms:modified xsi:type="dcterms:W3CDTF">2024-12-02T20:19:13Z</dcterms:modified>
</cp:coreProperties>
</file>