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https://d.docs.live.net/e05eebcf225b5e6d/Documents/3-Program Sources/Medicaid/"/>
    </mc:Choice>
  </mc:AlternateContent>
  <xr:revisionPtr revIDLastSave="16" documentId="8_{0E65F55E-DB58-4085-A8F1-F893129E6D08}" xr6:coauthVersionLast="45" xr6:coauthVersionMax="45" xr10:uidLastSave="{34A46B9F-2F76-4F56-9DBC-DB5653880714}"/>
  <bookViews>
    <workbookView xWindow="-28920" yWindow="-120" windowWidth="29040" windowHeight="15840" activeTab="1" xr2:uid="{EFBD5A15-A6B9-45FA-A971-B5FE0E91FF98}"/>
  </bookViews>
  <sheets>
    <sheet name="Original" sheetId="1" r:id="rId1"/>
    <sheet name="Original Rework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66" i="2" l="1"/>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alcChain>
</file>

<file path=xl/sharedStrings.xml><?xml version="1.0" encoding="utf-8"?>
<sst xmlns="http://schemas.openxmlformats.org/spreadsheetml/2006/main" count="658" uniqueCount="141">
  <si>
    <t>State</t>
  </si>
  <si>
    <t>Pregnant Women Medicaid</t>
  </si>
  <si>
    <t>Adults (Medicaid) Expansion to Adults</t>
  </si>
  <si>
    <t>Alabama</t>
  </si>
  <si>
    <t>N/A</t>
  </si>
  <si>
    <t>No</t>
  </si>
  <si>
    <t>135%($)</t>
  </si>
  <si>
    <t>Arizona</t>
  </si>
  <si>
    <t>Arkansas</t>
  </si>
  <si>
    <t>17%($)</t>
  </si>
  <si>
    <t>California</t>
  </si>
  <si>
    <t>See note6</t>
  </si>
  <si>
    <t>Colorado</t>
  </si>
  <si>
    <t>Connecticut</t>
  </si>
  <si>
    <t>Delaware</t>
  </si>
  <si>
    <t>212% (1 up to 19)</t>
  </si>
  <si>
    <t>District of Columbia</t>
  </si>
  <si>
    <t>Florida</t>
  </si>
  <si>
    <t>210% (1 up to 19)</t>
  </si>
  <si>
    <t>28%($)</t>
  </si>
  <si>
    <t>No8</t>
  </si>
  <si>
    <t>Georgia</t>
  </si>
  <si>
    <t>32%($)</t>
  </si>
  <si>
    <t>Idaho</t>
  </si>
  <si>
    <t>23%($)</t>
  </si>
  <si>
    <t>Illinois</t>
  </si>
  <si>
    <t>Indiana</t>
  </si>
  <si>
    <t>19%($)</t>
  </si>
  <si>
    <t>Iowa</t>
  </si>
  <si>
    <t>302% (1 up to 19)</t>
  </si>
  <si>
    <t>51%($)</t>
  </si>
  <si>
    <t>Kansas</t>
  </si>
  <si>
    <t>Kentucky</t>
  </si>
  <si>
    <t>24%($)</t>
  </si>
  <si>
    <t>Louisiana</t>
  </si>
  <si>
    <t>Maine</t>
  </si>
  <si>
    <t>Maryland</t>
  </si>
  <si>
    <t>Massachusetts</t>
  </si>
  <si>
    <t>Michigan</t>
  </si>
  <si>
    <t>Minnesota</t>
  </si>
  <si>
    <t>Mississippi</t>
  </si>
  <si>
    <t>Missouri</t>
  </si>
  <si>
    <t>No9</t>
  </si>
  <si>
    <t>Montana</t>
  </si>
  <si>
    <t>Nebraska</t>
  </si>
  <si>
    <t>Nevada</t>
  </si>
  <si>
    <t>31%($)</t>
  </si>
  <si>
    <t>New Hampshire</t>
  </si>
  <si>
    <t>64%($)</t>
  </si>
  <si>
    <t>New Jersey</t>
  </si>
  <si>
    <t>30%($)</t>
  </si>
  <si>
    <t>New Mexico</t>
  </si>
  <si>
    <t>43%($)</t>
  </si>
  <si>
    <t>New York</t>
  </si>
  <si>
    <t>North Carolina</t>
  </si>
  <si>
    <t>211% (6 up to 19)</t>
  </si>
  <si>
    <t>42%($)</t>
  </si>
  <si>
    <t>North Dakota</t>
  </si>
  <si>
    <t>50%($)</t>
  </si>
  <si>
    <t>Ohio</t>
  </si>
  <si>
    <t>Oklahoma</t>
  </si>
  <si>
    <t>Oregon</t>
  </si>
  <si>
    <t>38%($)</t>
  </si>
  <si>
    <t>Pennsylvania</t>
  </si>
  <si>
    <t>Rhode Island</t>
  </si>
  <si>
    <t>South Carolina</t>
  </si>
  <si>
    <t>South Dakota</t>
  </si>
  <si>
    <t>54%($)</t>
  </si>
  <si>
    <t>Tennessee</t>
  </si>
  <si>
    <t>98%($)</t>
  </si>
  <si>
    <t>Texas</t>
  </si>
  <si>
    <t>15%($)</t>
  </si>
  <si>
    <t>Utah</t>
  </si>
  <si>
    <t>Vermont</t>
  </si>
  <si>
    <t>52%($)</t>
  </si>
  <si>
    <t>Virginia</t>
  </si>
  <si>
    <t>47%($)</t>
  </si>
  <si>
    <t>Yes</t>
  </si>
  <si>
    <t>Washington</t>
  </si>
  <si>
    <t>40%($)</t>
  </si>
  <si>
    <t>West Virginia</t>
  </si>
  <si>
    <t>18%($)</t>
  </si>
  <si>
    <t>Wisconsin</t>
  </si>
  <si>
    <t>301% (1 up to19)</t>
  </si>
  <si>
    <t>Wyoming</t>
  </si>
  <si>
    <r>
      <t>Children Medicaid Ages 0-1</t>
    </r>
    <r>
      <rPr>
        <b/>
        <vertAlign val="superscript"/>
        <sz val="11"/>
        <color rgb="FF212121"/>
        <rFont val="Calibri"/>
        <family val="2"/>
        <scheme val="minor"/>
      </rPr>
      <t>1</t>
    </r>
  </si>
  <si>
    <r>
      <t>Children Medicaid Ages 1-5</t>
    </r>
    <r>
      <rPr>
        <b/>
        <vertAlign val="superscript"/>
        <sz val="11"/>
        <color rgb="FF212121"/>
        <rFont val="Calibri"/>
        <family val="2"/>
        <scheme val="minor"/>
      </rPr>
      <t>1</t>
    </r>
  </si>
  <si>
    <r>
      <t>Children Medicaid Ages 6-18</t>
    </r>
    <r>
      <rPr>
        <b/>
        <vertAlign val="superscript"/>
        <sz val="11"/>
        <color rgb="FF212121"/>
        <rFont val="Calibri"/>
        <family val="2"/>
        <scheme val="minor"/>
      </rPr>
      <t>1</t>
    </r>
  </si>
  <si>
    <r>
      <t>Children Separate CHIP</t>
    </r>
    <r>
      <rPr>
        <b/>
        <vertAlign val="superscript"/>
        <sz val="11"/>
        <color rgb="FF212121"/>
        <rFont val="Calibri"/>
        <family val="2"/>
        <scheme val="minor"/>
      </rPr>
      <t>2</t>
    </r>
  </si>
  <si>
    <r>
      <t>Pregnant Women CHIP</t>
    </r>
    <r>
      <rPr>
        <b/>
        <vertAlign val="superscript"/>
        <sz val="11"/>
        <color rgb="FF212121"/>
        <rFont val="Calibri"/>
        <family val="2"/>
        <scheme val="minor"/>
      </rPr>
      <t>3</t>
    </r>
  </si>
  <si>
    <r>
      <t>Adults (Medicaid) Parent/ Caretaker</t>
    </r>
    <r>
      <rPr>
        <b/>
        <vertAlign val="superscript"/>
        <sz val="11"/>
        <color rgb="FF212121"/>
        <rFont val="Calibri"/>
        <family val="2"/>
        <scheme val="minor"/>
      </rPr>
      <t>4</t>
    </r>
  </si>
  <si>
    <r>
      <t>Alaska</t>
    </r>
    <r>
      <rPr>
        <vertAlign val="superscript"/>
        <sz val="11"/>
        <color theme="1"/>
        <rFont val="Calibri"/>
        <family val="2"/>
        <scheme val="minor"/>
      </rPr>
      <t>5</t>
    </r>
  </si>
  <si>
    <r>
      <t>Hawaii</t>
    </r>
    <r>
      <rPr>
        <vertAlign val="superscript"/>
        <sz val="11"/>
        <color theme="1"/>
        <rFont val="Calibri"/>
        <family val="2"/>
        <scheme val="minor"/>
      </rPr>
      <t>5</t>
    </r>
  </si>
  <si>
    <r>
      <t>283%</t>
    </r>
    <r>
      <rPr>
        <vertAlign val="superscript"/>
        <sz val="11"/>
        <color theme="1"/>
        <rFont val="Calibri"/>
        <family val="2"/>
        <scheme val="minor"/>
      </rPr>
      <t>10</t>
    </r>
  </si>
  <si>
    <r>
      <t>No</t>
    </r>
    <r>
      <rPr>
        <vertAlign val="superscript"/>
        <sz val="11"/>
        <color theme="1"/>
        <rFont val="Calibri"/>
        <family val="2"/>
        <scheme val="minor"/>
      </rPr>
      <t>8</t>
    </r>
  </si>
  <si>
    <r>
      <t>210%</t>
    </r>
    <r>
      <rPr>
        <vertAlign val="superscript"/>
        <sz val="11"/>
        <color theme="1"/>
        <rFont val="Calibri"/>
        <family val="2"/>
        <scheme val="minor"/>
      </rPr>
      <t>7</t>
    </r>
  </si>
  <si>
    <t>1.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</si>
  <si>
    <t>2. CHIP covers birth up to age 19 unless otherwise noted in parentheses.</t>
  </si>
  <si>
    <t>3. CHIP gives states the option to cover pregnant women and children from conception to birth. This table shows coverage of pregnant women only.</t>
  </si>
  <si>
    <t>4.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</si>
  <si>
    <t>5.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</si>
  <si>
    <t>6. The Separate CHIP in California covers certain children up to age 2 with incomes up to 317% of the FPL statewide; and it covers children up to age 19 also up to 317% of the FPL in three counties only.</t>
  </si>
  <si>
    <t>7. In addition to covering the adult group up to 133% of the FPL, the state covers ages 19 and 20 up to the following levels: DC 216%, MA 150%, ME 156%.</t>
  </si>
  <si>
    <t>8. The state also covers ages 19 and 20 up to the following levels: FL 28%, NC 42%.</t>
  </si>
  <si>
    <r>
      <t xml:space="preserve">9. The state has a </t>
    </r>
    <r>
      <rPr>
        <u/>
        <sz val="13"/>
        <color rgb="FF046791"/>
        <rFont val="&amp;quot"/>
      </rPr>
      <t>section 1115 demonstration</t>
    </r>
    <r>
      <rPr>
        <sz val="13"/>
        <color rgb="FF000000"/>
        <rFont val="&amp;quot"/>
      </rPr>
      <t>, which provides Medicaid coverage to some additional low-income adults. In some cases, coverage:</t>
    </r>
  </si>
  <si>
    <t>Includes limitations on eligibility and benefits</t>
  </si>
  <si>
    <t>Is not offered to all residents of the state</t>
  </si>
  <si>
    <t>Includes an enrollment cap</t>
  </si>
  <si>
    <t>10. Minnesota covers children up to age 2 with incomes up to 283% of the FPL.</t>
  </si>
  <si>
    <t>11. Adults with incomes from above 133% and up to 200% of the FPL are covered through BHP.</t>
  </si>
  <si>
    <r>
      <t>Yes</t>
    </r>
    <r>
      <rPr>
        <vertAlign val="superscript"/>
        <sz val="11"/>
        <color theme="1"/>
        <rFont val="Calibri"/>
        <family val="2"/>
        <scheme val="minor"/>
      </rPr>
      <t>7</t>
    </r>
  </si>
  <si>
    <r>
      <t>133%</t>
    </r>
    <r>
      <rPr>
        <vertAlign val="superscript"/>
        <sz val="11"/>
        <color theme="1"/>
        <rFont val="Calibri"/>
        <family val="2"/>
        <scheme val="minor"/>
      </rPr>
      <t>7</t>
    </r>
  </si>
  <si>
    <r>
      <t>200%</t>
    </r>
    <r>
      <rPr>
        <vertAlign val="superscript"/>
        <sz val="11"/>
        <color theme="1"/>
        <rFont val="Calibri"/>
        <family val="2"/>
        <scheme val="minor"/>
      </rPr>
      <t>11</t>
    </r>
  </si>
  <si>
    <r>
      <t>17%</t>
    </r>
    <r>
      <rPr>
        <vertAlign val="superscript"/>
        <sz val="11"/>
        <color rgb="FFFF0000"/>
        <rFont val="Calibri"/>
        <family val="2"/>
        <scheme val="minor"/>
      </rPr>
      <t>9</t>
    </r>
    <r>
      <rPr>
        <sz val="11"/>
        <color rgb="FFFF0000"/>
        <rFont val="Calibri"/>
        <family val="2"/>
        <scheme val="minor"/>
      </rPr>
      <t>($)</t>
    </r>
  </si>
  <si>
    <r>
      <t>39%</t>
    </r>
    <r>
      <rPr>
        <vertAlign val="superscript"/>
        <sz val="11"/>
        <color rgb="FFFF0000"/>
        <rFont val="Calibri"/>
        <family val="2"/>
        <scheme val="minor"/>
      </rPr>
      <t>9</t>
    </r>
    <r>
      <rPr>
        <sz val="11"/>
        <color rgb="FFFF0000"/>
        <rFont val="Calibri"/>
        <family val="2"/>
        <scheme val="minor"/>
      </rPr>
      <t>($)</t>
    </r>
  </si>
  <si>
    <r>
      <t>42%</t>
    </r>
    <r>
      <rPr>
        <vertAlign val="superscript"/>
        <sz val="11"/>
        <color theme="1"/>
        <rFont val="Calibri"/>
        <family val="2"/>
        <scheme val="minor"/>
      </rPr>
      <t>9</t>
    </r>
  </si>
  <si>
    <r>
      <t>95%</t>
    </r>
    <r>
      <rPr>
        <vertAlign val="superscript"/>
        <sz val="11"/>
        <color theme="1"/>
        <rFont val="Calibri"/>
        <family val="2"/>
        <scheme val="minor"/>
      </rPr>
      <t>9</t>
    </r>
  </si>
  <si>
    <r>
      <t>No/95%</t>
    </r>
    <r>
      <rPr>
        <vertAlign val="superscript"/>
        <sz val="11"/>
        <color theme="1"/>
        <rFont val="Calibri"/>
        <family val="2"/>
        <scheme val="minor"/>
      </rPr>
      <t>9</t>
    </r>
  </si>
  <si>
    <t>2-5</t>
  </si>
  <si>
    <t>6-18</t>
  </si>
  <si>
    <t>Children</t>
  </si>
  <si>
    <t>Child</t>
  </si>
  <si>
    <t>Children Medicaid Age 0</t>
  </si>
  <si>
    <t>Children Medicaid Ages 1</t>
  </si>
  <si>
    <t>Children Medicaid Ages 2-5</t>
  </si>
  <si>
    <t>Category</t>
  </si>
  <si>
    <t>Parent</t>
  </si>
  <si>
    <t>Pregnant</t>
  </si>
  <si>
    <t>Expansion Adult</t>
  </si>
  <si>
    <t>Adults 19 and 20</t>
  </si>
  <si>
    <t>Adults 19 &amp; 20</t>
  </si>
  <si>
    <t>Hawaii</t>
  </si>
  <si>
    <t>Alaska</t>
  </si>
  <si>
    <t>BHP coverage between 133% and 200%</t>
  </si>
  <si>
    <t>BHP: 133% to 200%</t>
  </si>
  <si>
    <r>
      <t>No</t>
    </r>
    <r>
      <rPr>
        <vertAlign val="superscript"/>
        <sz val="11"/>
        <color theme="1"/>
        <rFont val="Calibri"/>
        <family val="2"/>
        <scheme val="minor"/>
      </rPr>
      <t>9</t>
    </r>
  </si>
  <si>
    <t>2019 converted from Dollar?</t>
  </si>
  <si>
    <t>2020 converted from Dollar?</t>
  </si>
  <si>
    <t>Effective Date</t>
  </si>
  <si>
    <t>copied from 2019</t>
  </si>
  <si>
    <t>Data does not appear to be consistent with 5% disregard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</si>
</sst>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FF0000"/>
      <name val="Calibri"/>
      <family val="2"/>
      <scheme val="minor"/>
    </font>
    <font>
      <b/>
      <sz val="11"/>
      <color rgb="FF212121"/>
      <name val="Calibri"/>
      <family val="2"/>
      <scheme val="minor"/>
    </font>
    <font>
      <b/>
      <vertAlign val="superscript"/>
      <sz val="11"/>
      <color rgb="FF212121"/>
      <name val="Calibri"/>
      <family val="2"/>
      <scheme val="minor"/>
    </font>
    <font>
      <vertAlign val="superscript"/>
      <sz val="11"/>
      <color theme="1"/>
      <name val="Calibri"/>
      <family val="2"/>
      <scheme val="minor"/>
    </font>
    <font>
      <sz val="13"/>
      <color rgb="FF000000"/>
      <name val="&amp;quot"/>
    </font>
    <font>
      <u/>
      <sz val="13"/>
      <color rgb="FF046791"/>
      <name val="&amp;quot"/>
    </font>
    <font>
      <vertAlign val="superscript"/>
      <sz val="11"/>
      <color rgb="FFFF0000"/>
      <name val="Calibri"/>
      <family val="2"/>
      <scheme val="minor"/>
    </font>
  </fonts>
  <fills count="6">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FFFF00"/>
        <bgColor indexed="64"/>
      </patternFill>
    </fill>
    <fill>
      <patternFill patternType="solid">
        <fgColor theme="4" tint="0.79998168889431442"/>
        <bgColor theme="4" tint="0.79998168889431442"/>
      </patternFill>
    </fill>
  </fills>
  <borders count="10">
    <border>
      <left/>
      <right/>
      <top/>
      <bottom/>
      <diagonal/>
    </border>
    <border>
      <left style="medium">
        <color rgb="FF212121"/>
      </left>
      <right style="medium">
        <color rgb="FF212121"/>
      </right>
      <top style="medium">
        <color rgb="FF212121"/>
      </top>
      <bottom style="medium">
        <color rgb="FF212121"/>
      </bottom>
      <diagonal/>
    </border>
    <border>
      <left style="medium">
        <color rgb="FF212121"/>
      </left>
      <right/>
      <top/>
      <bottom/>
      <diagonal/>
    </border>
    <border>
      <left/>
      <right style="medium">
        <color rgb="FF212121"/>
      </right>
      <top/>
      <bottom/>
      <diagonal/>
    </border>
    <border>
      <left style="medium">
        <color rgb="FF212121"/>
      </left>
      <right/>
      <top/>
      <bottom style="medium">
        <color rgb="FF212121"/>
      </bottom>
      <diagonal/>
    </border>
    <border>
      <left/>
      <right/>
      <top/>
      <bottom style="medium">
        <color rgb="FF212121"/>
      </bottom>
      <diagonal/>
    </border>
    <border>
      <left/>
      <right style="medium">
        <color rgb="FF212121"/>
      </right>
      <top/>
      <bottom style="medium">
        <color rgb="FF212121"/>
      </bottom>
      <diagonal/>
    </border>
    <border>
      <left style="medium">
        <color rgb="FF212121"/>
      </left>
      <right style="medium">
        <color rgb="FF212121"/>
      </right>
      <top/>
      <bottom/>
      <diagonal/>
    </border>
    <border>
      <left style="medium">
        <color rgb="FF212121"/>
      </left>
      <right style="medium">
        <color rgb="FF212121"/>
      </right>
      <top style="medium">
        <color rgb="FF212121"/>
      </top>
      <bottom/>
      <diagonal/>
    </border>
    <border>
      <left/>
      <right/>
      <top style="thin">
        <color theme="4" tint="0.39997558519241921"/>
      </top>
      <bottom style="thin">
        <color theme="4" tint="0.39997558519241921"/>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left" vertical="top" wrapText="1"/>
    </xf>
    <xf numFmtId="9" fontId="0" fillId="0" borderId="0" xfId="0" applyNumberFormat="1"/>
    <xf numFmtId="0" fontId="0" fillId="3" borderId="2" xfId="0" applyFill="1" applyBorder="1" applyAlignment="1">
      <alignment vertical="center" wrapText="1"/>
    </xf>
    <xf numFmtId="0" fontId="0" fillId="3" borderId="4" xfId="0" applyFill="1" applyBorder="1" applyAlignment="1">
      <alignment vertical="center" wrapText="1"/>
    </xf>
    <xf numFmtId="9" fontId="0" fillId="3" borderId="0" xfId="0" applyNumberFormat="1" applyFill="1" applyAlignment="1">
      <alignment horizontal="center" vertical="center" wrapText="1"/>
    </xf>
    <xf numFmtId="0" fontId="0" fillId="3" borderId="0" xfId="0" applyFill="1" applyAlignment="1">
      <alignment horizontal="center" vertical="center" wrapText="1"/>
    </xf>
    <xf numFmtId="0" fontId="0" fillId="3" borderId="3" xfId="0" applyFill="1" applyBorder="1" applyAlignment="1">
      <alignment horizontal="center" vertical="center" wrapText="1"/>
    </xf>
    <xf numFmtId="9" fontId="0" fillId="3" borderId="3" xfId="0" applyNumberFormat="1" applyFill="1" applyBorder="1" applyAlignment="1">
      <alignment horizontal="center" vertical="center" wrapText="1"/>
    </xf>
    <xf numFmtId="9"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4" borderId="0" xfId="0" applyFill="1"/>
    <xf numFmtId="0" fontId="0" fillId="4" borderId="0" xfId="0" applyFill="1" applyAlignment="1">
      <alignment horizontal="center"/>
    </xf>
    <xf numFmtId="0" fontId="5" fillId="0" borderId="0" xfId="0" applyFont="1" applyAlignment="1">
      <alignment horizontal="left" vertical="center" indent="1"/>
    </xf>
    <xf numFmtId="0" fontId="0" fillId="0" borderId="0" xfId="0" applyAlignment="1">
      <alignment horizontal="left" vertical="center" indent="2"/>
    </xf>
    <xf numFmtId="0" fontId="5" fillId="0" borderId="0" xfId="0" applyFont="1" applyAlignment="1">
      <alignment horizontal="left" vertical="center" indent="2"/>
    </xf>
    <xf numFmtId="0" fontId="0" fillId="0" borderId="0" xfId="0" applyAlignment="1">
      <alignment horizontal="left" vertical="center" indent="1"/>
    </xf>
    <xf numFmtId="0" fontId="0" fillId="4" borderId="0" xfId="0" applyFill="1" applyAlignment="1">
      <alignment horizontal="center" vertical="center" wrapText="1"/>
    </xf>
    <xf numFmtId="0" fontId="1" fillId="4" borderId="0" xfId="0" applyFont="1" applyFill="1"/>
    <xf numFmtId="0" fontId="1" fillId="3"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0" fillId="0" borderId="0" xfId="0" applyAlignment="1">
      <alignment horizontal="center"/>
    </xf>
    <xf numFmtId="0" fontId="2" fillId="2" borderId="1" xfId="0" applyFont="1" applyFill="1" applyBorder="1" applyAlignment="1">
      <alignment horizontal="center" vertical="center" wrapText="1"/>
    </xf>
    <xf numFmtId="0" fontId="0" fillId="0" borderId="0" xfId="0" applyAlignment="1">
      <alignment wrapText="1"/>
    </xf>
    <xf numFmtId="0" fontId="2" fillId="2" borderId="7" xfId="0" applyFont="1" applyFill="1" applyBorder="1" applyAlignment="1">
      <alignment horizontal="center" vertical="center" wrapText="1"/>
    </xf>
    <xf numFmtId="9" fontId="0" fillId="0" borderId="0" xfId="0" applyNumberFormat="1" applyFill="1" applyBorder="1"/>
    <xf numFmtId="9" fontId="1" fillId="3" borderId="0" xfId="0" applyNumberFormat="1" applyFont="1" applyFill="1" applyAlignment="1">
      <alignment horizontal="center" vertical="center" wrapText="1"/>
    </xf>
    <xf numFmtId="9" fontId="0" fillId="0" borderId="0" xfId="0" applyNumberFormat="1" applyAlignment="1">
      <alignment horizontal="center"/>
    </xf>
    <xf numFmtId="15" fontId="0" fillId="0" borderId="0" xfId="0" applyNumberFormat="1" applyAlignment="1">
      <alignment horizontal="center" wrapText="1"/>
    </xf>
    <xf numFmtId="0" fontId="2" fillId="2" borderId="8" xfId="0" applyFont="1" applyFill="1" applyBorder="1" applyAlignment="1">
      <alignment horizontal="center" vertical="center" wrapText="1"/>
    </xf>
    <xf numFmtId="9" fontId="0" fillId="3" borderId="0" xfId="0" applyNumberFormat="1" applyFill="1" applyBorder="1" applyAlignment="1">
      <alignment horizontal="center" vertical="center" wrapText="1"/>
    </xf>
    <xf numFmtId="0" fontId="0" fillId="3" borderId="0" xfId="0" applyFill="1" applyBorder="1" applyAlignment="1">
      <alignment horizontal="center" vertical="center" wrapText="1"/>
    </xf>
    <xf numFmtId="0" fontId="0" fillId="0" borderId="0" xfId="0" applyBorder="1"/>
    <xf numFmtId="0" fontId="1" fillId="3" borderId="0" xfId="0" applyFont="1" applyFill="1" applyBorder="1" applyAlignment="1">
      <alignment horizontal="center" vertical="center" wrapText="1"/>
    </xf>
    <xf numFmtId="9" fontId="0" fillId="4" borderId="0" xfId="0" applyNumberFormat="1" applyFill="1" applyBorder="1" applyAlignment="1">
      <alignment horizontal="center"/>
    </xf>
    <xf numFmtId="9" fontId="0" fillId="0" borderId="0" xfId="0" applyNumberFormat="1" applyBorder="1"/>
    <xf numFmtId="0" fontId="0" fillId="4" borderId="0" xfId="0" applyFill="1" applyBorder="1" applyAlignment="1">
      <alignment horizontal="center"/>
    </xf>
    <xf numFmtId="9" fontId="0" fillId="4" borderId="0" xfId="0" applyNumberFormat="1" applyFill="1" applyBorder="1"/>
    <xf numFmtId="0" fontId="1" fillId="4" borderId="0" xfId="0" applyFont="1" applyFill="1" applyBorder="1"/>
    <xf numFmtId="0" fontId="0" fillId="4" borderId="0" xfId="0" applyFill="1" applyBorder="1"/>
    <xf numFmtId="0" fontId="0" fillId="0" borderId="9" xfId="0" applyBorder="1" applyAlignment="1">
      <alignment horizontal="center"/>
    </xf>
    <xf numFmtId="0" fontId="0" fillId="5" borderId="9"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D2011-6E46-46EA-865D-92E58A61916C}">
  <dimension ref="B1:Q70"/>
  <sheetViews>
    <sheetView workbookViewId="0">
      <selection activeCell="F27" sqref="F27"/>
    </sheetView>
  </sheetViews>
  <sheetFormatPr defaultRowHeight="15"/>
  <cols>
    <col min="2" max="2" width="19.42578125" customWidth="1"/>
    <col min="3" max="3" width="10.5703125" customWidth="1"/>
    <col min="4" max="4" width="10.140625" customWidth="1"/>
    <col min="6" max="6" width="17.42578125" customWidth="1"/>
    <col min="9" max="9" width="13" customWidth="1"/>
    <col min="10" max="10" width="11.140625" customWidth="1"/>
  </cols>
  <sheetData>
    <row r="1" spans="2:17" ht="15.75" thickBot="1"/>
    <row r="2" spans="2:17" ht="63" thickBot="1">
      <c r="B2" s="1" t="s">
        <v>0</v>
      </c>
      <c r="C2" s="1" t="s">
        <v>85</v>
      </c>
      <c r="D2" s="1" t="s">
        <v>86</v>
      </c>
      <c r="E2" s="1" t="s">
        <v>87</v>
      </c>
      <c r="F2" s="1" t="s">
        <v>88</v>
      </c>
      <c r="G2" s="1" t="s">
        <v>1</v>
      </c>
      <c r="H2" s="1" t="s">
        <v>89</v>
      </c>
      <c r="I2" s="1" t="s">
        <v>90</v>
      </c>
      <c r="J2" s="1" t="s">
        <v>2</v>
      </c>
    </row>
    <row r="3" spans="2:17">
      <c r="B3" s="3" t="s">
        <v>3</v>
      </c>
      <c r="C3" s="5">
        <v>1.41</v>
      </c>
      <c r="D3" s="5">
        <v>1.41</v>
      </c>
      <c r="E3" s="5">
        <v>1.41</v>
      </c>
      <c r="F3" s="5">
        <v>3.12</v>
      </c>
      <c r="G3" s="5">
        <v>1.41</v>
      </c>
      <c r="H3" s="6" t="s">
        <v>4</v>
      </c>
      <c r="I3" s="5">
        <v>0.13</v>
      </c>
      <c r="J3" s="7" t="s">
        <v>5</v>
      </c>
      <c r="M3" t="s">
        <v>120</v>
      </c>
      <c r="N3" s="22">
        <v>0</v>
      </c>
      <c r="O3" s="22">
        <v>1</v>
      </c>
      <c r="P3" s="22" t="s">
        <v>118</v>
      </c>
      <c r="Q3" s="22" t="s">
        <v>119</v>
      </c>
    </row>
    <row r="4" spans="2:17" ht="17.25">
      <c r="B4" s="12" t="s">
        <v>91</v>
      </c>
      <c r="C4" s="5">
        <v>2.0299999999999998</v>
      </c>
      <c r="D4" s="5">
        <v>2.0299999999999998</v>
      </c>
      <c r="E4" s="5">
        <v>2.0299999999999998</v>
      </c>
      <c r="F4" s="6" t="s">
        <v>4</v>
      </c>
      <c r="G4" s="5">
        <v>2</v>
      </c>
      <c r="H4" s="6" t="s">
        <v>4</v>
      </c>
      <c r="I4" s="20" t="s">
        <v>6</v>
      </c>
      <c r="J4" s="8">
        <v>1.33</v>
      </c>
    </row>
    <row r="5" spans="2:17">
      <c r="B5" s="3" t="s">
        <v>7</v>
      </c>
      <c r="C5" s="5">
        <v>1.47</v>
      </c>
      <c r="D5" s="5">
        <v>1.41</v>
      </c>
      <c r="E5" s="5">
        <v>1.33</v>
      </c>
      <c r="F5" s="5">
        <v>2</v>
      </c>
      <c r="G5" s="5">
        <v>1.56</v>
      </c>
      <c r="H5" s="6" t="s">
        <v>4</v>
      </c>
      <c r="I5" s="5">
        <v>1.06</v>
      </c>
      <c r="J5" s="8">
        <v>1.33</v>
      </c>
      <c r="M5" t="s">
        <v>3</v>
      </c>
      <c r="N5" t="s">
        <v>121</v>
      </c>
      <c r="O5" s="22">
        <v>0</v>
      </c>
    </row>
    <row r="6" spans="2:17">
      <c r="B6" s="3" t="s">
        <v>8</v>
      </c>
      <c r="C6" s="5">
        <v>1.42</v>
      </c>
      <c r="D6" s="5">
        <v>1.42</v>
      </c>
      <c r="E6" s="5">
        <v>1.42</v>
      </c>
      <c r="F6" s="5">
        <v>2.11</v>
      </c>
      <c r="G6" s="5">
        <v>2.09</v>
      </c>
      <c r="H6" s="6" t="s">
        <v>4</v>
      </c>
      <c r="I6" s="20" t="s">
        <v>9</v>
      </c>
      <c r="J6" s="8">
        <v>1.33</v>
      </c>
      <c r="M6" t="s">
        <v>3</v>
      </c>
      <c r="N6" t="s">
        <v>121</v>
      </c>
      <c r="O6" s="22">
        <v>1</v>
      </c>
    </row>
    <row r="7" spans="2:17">
      <c r="B7" s="3" t="s">
        <v>10</v>
      </c>
      <c r="C7" s="5">
        <v>2.61</v>
      </c>
      <c r="D7" s="5">
        <v>2.61</v>
      </c>
      <c r="E7" s="5">
        <v>2.61</v>
      </c>
      <c r="F7" s="12" t="s">
        <v>11</v>
      </c>
      <c r="G7" s="5">
        <v>2.08</v>
      </c>
      <c r="H7" s="6" t="s">
        <v>4</v>
      </c>
      <c r="I7" s="5">
        <v>1.0900000000000001</v>
      </c>
      <c r="J7" s="8">
        <v>1.33</v>
      </c>
      <c r="M7" t="s">
        <v>3</v>
      </c>
      <c r="N7" t="s">
        <v>121</v>
      </c>
      <c r="O7" s="22" t="s">
        <v>118</v>
      </c>
    </row>
    <row r="8" spans="2:17">
      <c r="B8" s="3" t="s">
        <v>12</v>
      </c>
      <c r="C8" s="5">
        <v>1.42</v>
      </c>
      <c r="D8" s="5">
        <v>1.42</v>
      </c>
      <c r="E8" s="5">
        <v>1.42</v>
      </c>
      <c r="F8" s="5">
        <v>2.6</v>
      </c>
      <c r="G8" s="5">
        <v>1.95</v>
      </c>
      <c r="H8" s="5">
        <v>2.6</v>
      </c>
      <c r="I8" s="5">
        <v>0.68</v>
      </c>
      <c r="J8" s="8">
        <v>1.33</v>
      </c>
      <c r="M8" t="s">
        <v>3</v>
      </c>
      <c r="N8" t="s">
        <v>121</v>
      </c>
      <c r="O8" s="22" t="s">
        <v>119</v>
      </c>
    </row>
    <row r="9" spans="2:17">
      <c r="B9" s="3" t="s">
        <v>13</v>
      </c>
      <c r="C9" s="5">
        <v>1.96</v>
      </c>
      <c r="D9" s="5">
        <v>1.96</v>
      </c>
      <c r="E9" s="5">
        <v>1.96</v>
      </c>
      <c r="F9" s="5">
        <v>3.18</v>
      </c>
      <c r="G9" s="5">
        <v>2.58</v>
      </c>
      <c r="H9" s="6" t="s">
        <v>4</v>
      </c>
      <c r="I9" s="5">
        <v>1.5</v>
      </c>
      <c r="J9" s="8">
        <v>1.33</v>
      </c>
    </row>
    <row r="10" spans="2:17">
      <c r="B10" s="3" t="s">
        <v>14</v>
      </c>
      <c r="C10" s="5">
        <v>2.12</v>
      </c>
      <c r="D10" s="5">
        <v>1.42</v>
      </c>
      <c r="E10" s="5">
        <v>1.33</v>
      </c>
      <c r="F10" s="6" t="s">
        <v>15</v>
      </c>
      <c r="G10" s="5">
        <v>2.12</v>
      </c>
      <c r="H10" s="6" t="s">
        <v>4</v>
      </c>
      <c r="I10" s="5">
        <v>0.87</v>
      </c>
      <c r="J10" s="8">
        <v>1.33</v>
      </c>
    </row>
    <row r="11" spans="2:17" ht="17.25">
      <c r="B11" s="3" t="s">
        <v>16</v>
      </c>
      <c r="C11" s="5">
        <v>3.19</v>
      </c>
      <c r="D11" s="5">
        <v>3.19</v>
      </c>
      <c r="E11" s="5">
        <v>3.19</v>
      </c>
      <c r="F11" s="18" t="s">
        <v>4</v>
      </c>
      <c r="G11" s="5">
        <v>3.19</v>
      </c>
      <c r="H11" s="6" t="s">
        <v>4</v>
      </c>
      <c r="I11" s="5">
        <v>2.16</v>
      </c>
      <c r="J11" s="13" t="s">
        <v>95</v>
      </c>
    </row>
    <row r="12" spans="2:17" ht="17.25">
      <c r="B12" s="3" t="s">
        <v>17</v>
      </c>
      <c r="C12" s="5">
        <v>2.06</v>
      </c>
      <c r="D12" s="5">
        <v>1.4</v>
      </c>
      <c r="E12" s="5">
        <v>1.33</v>
      </c>
      <c r="F12" s="18" t="s">
        <v>18</v>
      </c>
      <c r="G12" s="5">
        <v>1.91</v>
      </c>
      <c r="H12" s="6" t="s">
        <v>4</v>
      </c>
      <c r="I12" s="20" t="s">
        <v>19</v>
      </c>
      <c r="J12" s="13" t="s">
        <v>94</v>
      </c>
    </row>
    <row r="13" spans="2:17">
      <c r="B13" s="3" t="s">
        <v>21</v>
      </c>
      <c r="C13" s="5">
        <v>2.0499999999999998</v>
      </c>
      <c r="D13" s="5">
        <v>1.49</v>
      </c>
      <c r="E13" s="5">
        <v>1.33</v>
      </c>
      <c r="F13" s="5">
        <v>2.4700000000000002</v>
      </c>
      <c r="G13" s="5">
        <v>2.2000000000000002</v>
      </c>
      <c r="H13" s="6" t="s">
        <v>4</v>
      </c>
      <c r="I13" s="20" t="s">
        <v>22</v>
      </c>
      <c r="J13" s="7" t="s">
        <v>5</v>
      </c>
      <c r="M13" t="s">
        <v>140</v>
      </c>
    </row>
    <row r="14" spans="2:17" ht="17.25">
      <c r="B14" s="12" t="s">
        <v>92</v>
      </c>
      <c r="C14" s="5">
        <v>3.08</v>
      </c>
      <c r="D14" s="5">
        <v>3.08</v>
      </c>
      <c r="E14" s="5">
        <v>3.08</v>
      </c>
      <c r="F14" s="6" t="s">
        <v>4</v>
      </c>
      <c r="G14" s="5">
        <v>1.91</v>
      </c>
      <c r="H14" s="6" t="s">
        <v>4</v>
      </c>
      <c r="I14" s="5">
        <v>1.05</v>
      </c>
      <c r="J14" s="8">
        <v>1.33</v>
      </c>
    </row>
    <row r="15" spans="2:17">
      <c r="B15" s="3" t="s">
        <v>23</v>
      </c>
      <c r="C15" s="5">
        <v>1.42</v>
      </c>
      <c r="D15" s="5">
        <v>1.42</v>
      </c>
      <c r="E15" s="5">
        <v>1.33</v>
      </c>
      <c r="F15" s="5">
        <v>1.85</v>
      </c>
      <c r="G15" s="5">
        <v>1.33</v>
      </c>
      <c r="H15" s="6" t="s">
        <v>4</v>
      </c>
      <c r="I15" s="20" t="s">
        <v>24</v>
      </c>
      <c r="J15" s="7" t="s">
        <v>5</v>
      </c>
    </row>
    <row r="16" spans="2:17">
      <c r="B16" s="3" t="s">
        <v>25</v>
      </c>
      <c r="C16" s="5">
        <v>1.42</v>
      </c>
      <c r="D16" s="5">
        <v>1.42</v>
      </c>
      <c r="E16" s="5">
        <v>1.42</v>
      </c>
      <c r="F16" s="5">
        <v>3.13</v>
      </c>
      <c r="G16" s="5">
        <v>2.08</v>
      </c>
      <c r="H16" s="6" t="s">
        <v>4</v>
      </c>
      <c r="I16" s="5">
        <v>1.33</v>
      </c>
      <c r="J16" s="8">
        <v>1.33</v>
      </c>
    </row>
    <row r="17" spans="2:10">
      <c r="B17" s="3" t="s">
        <v>26</v>
      </c>
      <c r="C17" s="5">
        <v>2.08</v>
      </c>
      <c r="D17" s="5">
        <v>1.58</v>
      </c>
      <c r="E17" s="5">
        <v>1.58</v>
      </c>
      <c r="F17" s="5">
        <v>2.5</v>
      </c>
      <c r="G17" s="5">
        <v>2.08</v>
      </c>
      <c r="H17" s="6" t="s">
        <v>4</v>
      </c>
      <c r="I17" s="20" t="s">
        <v>27</v>
      </c>
      <c r="J17" s="8">
        <v>1.33</v>
      </c>
    </row>
    <row r="18" spans="2:10">
      <c r="B18" s="3" t="s">
        <v>28</v>
      </c>
      <c r="C18" s="5">
        <v>3.75</v>
      </c>
      <c r="D18" s="5">
        <v>1.67</v>
      </c>
      <c r="E18" s="5">
        <v>1.67</v>
      </c>
      <c r="F18" s="18" t="s">
        <v>29</v>
      </c>
      <c r="G18" s="5">
        <v>3.75</v>
      </c>
      <c r="H18" s="6" t="s">
        <v>4</v>
      </c>
      <c r="I18" s="20" t="s">
        <v>30</v>
      </c>
      <c r="J18" s="8">
        <v>1.33</v>
      </c>
    </row>
    <row r="19" spans="2:10">
      <c r="B19" s="3" t="s">
        <v>31</v>
      </c>
      <c r="C19" s="5">
        <v>1.66</v>
      </c>
      <c r="D19" s="5">
        <v>1.49</v>
      </c>
      <c r="E19" s="5">
        <v>1.33</v>
      </c>
      <c r="F19" s="5">
        <v>2.2999999999999998</v>
      </c>
      <c r="G19" s="5">
        <v>1.66</v>
      </c>
      <c r="H19" s="6" t="s">
        <v>4</v>
      </c>
      <c r="I19" s="5">
        <v>0.33</v>
      </c>
      <c r="J19" s="7" t="s">
        <v>5</v>
      </c>
    </row>
    <row r="20" spans="2:10">
      <c r="B20" s="3" t="s">
        <v>32</v>
      </c>
      <c r="C20" s="5">
        <v>1.95</v>
      </c>
      <c r="D20" s="5">
        <v>1.59</v>
      </c>
      <c r="E20" s="5">
        <v>1.59</v>
      </c>
      <c r="F20" s="5">
        <v>2.13</v>
      </c>
      <c r="G20" s="5">
        <v>1.95</v>
      </c>
      <c r="H20" s="6" t="s">
        <v>4</v>
      </c>
      <c r="I20" s="20" t="s">
        <v>33</v>
      </c>
      <c r="J20" s="8">
        <v>1.33</v>
      </c>
    </row>
    <row r="21" spans="2:10">
      <c r="B21" s="3" t="s">
        <v>34</v>
      </c>
      <c r="C21" s="5">
        <v>2.12</v>
      </c>
      <c r="D21" s="5">
        <v>2.12</v>
      </c>
      <c r="E21" s="5">
        <v>2.12</v>
      </c>
      <c r="F21" s="5">
        <v>2.5</v>
      </c>
      <c r="G21" s="5">
        <v>1.33</v>
      </c>
      <c r="H21" s="6" t="s">
        <v>4</v>
      </c>
      <c r="I21" s="5">
        <v>0.19</v>
      </c>
      <c r="J21" s="8">
        <v>1.33</v>
      </c>
    </row>
    <row r="22" spans="2:10" ht="17.25">
      <c r="B22" s="3" t="s">
        <v>35</v>
      </c>
      <c r="C22" s="5">
        <v>1.91</v>
      </c>
      <c r="D22" s="5">
        <v>1.57</v>
      </c>
      <c r="E22" s="5">
        <v>1.57</v>
      </c>
      <c r="F22" s="5">
        <v>2.08</v>
      </c>
      <c r="G22" s="5">
        <v>2.09</v>
      </c>
      <c r="H22" s="6" t="s">
        <v>4</v>
      </c>
      <c r="I22" s="5">
        <v>1</v>
      </c>
      <c r="J22" s="12" t="s">
        <v>110</v>
      </c>
    </row>
    <row r="23" spans="2:10">
      <c r="B23" s="3" t="s">
        <v>36</v>
      </c>
      <c r="C23" s="5">
        <v>3.17</v>
      </c>
      <c r="D23" s="5">
        <v>3.17</v>
      </c>
      <c r="E23" s="5">
        <v>3.17</v>
      </c>
      <c r="F23" s="6" t="s">
        <v>4</v>
      </c>
      <c r="G23" s="5">
        <v>2.59</v>
      </c>
      <c r="H23" s="6" t="s">
        <v>4</v>
      </c>
      <c r="I23" s="5">
        <v>1.23</v>
      </c>
      <c r="J23" s="8">
        <v>1.33</v>
      </c>
    </row>
    <row r="24" spans="2:10" ht="17.25">
      <c r="B24" s="3" t="s">
        <v>37</v>
      </c>
      <c r="C24" s="5">
        <v>2</v>
      </c>
      <c r="D24" s="5">
        <v>1.5</v>
      </c>
      <c r="E24" s="5">
        <v>1.5</v>
      </c>
      <c r="F24" s="5">
        <v>3</v>
      </c>
      <c r="G24" s="5">
        <v>2</v>
      </c>
      <c r="H24" s="6" t="s">
        <v>4</v>
      </c>
      <c r="I24" s="5">
        <v>1.33</v>
      </c>
      <c r="J24" s="12" t="s">
        <v>111</v>
      </c>
    </row>
    <row r="25" spans="2:10">
      <c r="B25" s="3" t="s">
        <v>38</v>
      </c>
      <c r="C25" s="5">
        <v>2.12</v>
      </c>
      <c r="D25" s="5">
        <v>2.12</v>
      </c>
      <c r="E25" s="5">
        <v>2.12</v>
      </c>
      <c r="F25" s="6" t="s">
        <v>4</v>
      </c>
      <c r="G25" s="5">
        <v>1.95</v>
      </c>
      <c r="H25" s="6" t="s">
        <v>4</v>
      </c>
      <c r="I25" s="5">
        <v>0.54</v>
      </c>
      <c r="J25" s="8">
        <v>1.33</v>
      </c>
    </row>
    <row r="26" spans="2:10" ht="17.25">
      <c r="B26" s="3" t="s">
        <v>39</v>
      </c>
      <c r="C26" s="12" t="s">
        <v>93</v>
      </c>
      <c r="D26" s="5">
        <v>2.75</v>
      </c>
      <c r="E26" s="5">
        <v>2.75</v>
      </c>
      <c r="F26" s="6" t="s">
        <v>4</v>
      </c>
      <c r="G26" s="5">
        <v>2.78</v>
      </c>
      <c r="H26" s="6" t="s">
        <v>4</v>
      </c>
      <c r="I26" s="5">
        <v>1.33</v>
      </c>
      <c r="J26" s="12" t="s">
        <v>112</v>
      </c>
    </row>
    <row r="27" spans="2:10">
      <c r="B27" s="3" t="s">
        <v>40</v>
      </c>
      <c r="C27" s="5">
        <v>1.94</v>
      </c>
      <c r="D27" s="5">
        <v>1.43</v>
      </c>
      <c r="E27" s="5">
        <v>1.33</v>
      </c>
      <c r="F27" s="5">
        <v>2.09</v>
      </c>
      <c r="G27" s="5">
        <v>1.94</v>
      </c>
      <c r="H27" s="6" t="s">
        <v>4</v>
      </c>
      <c r="I27" s="20" t="s">
        <v>24</v>
      </c>
      <c r="J27" s="7" t="s">
        <v>5</v>
      </c>
    </row>
    <row r="28" spans="2:10" ht="17.25">
      <c r="B28" s="3" t="s">
        <v>41</v>
      </c>
      <c r="C28" s="5">
        <v>1.96</v>
      </c>
      <c r="D28" s="5">
        <v>1.5</v>
      </c>
      <c r="E28" s="5">
        <v>1.5</v>
      </c>
      <c r="F28" s="5">
        <v>3</v>
      </c>
      <c r="G28" s="5">
        <v>1.96</v>
      </c>
      <c r="H28" s="5">
        <v>3</v>
      </c>
      <c r="I28" s="19" t="s">
        <v>113</v>
      </c>
      <c r="J28" s="12" t="s">
        <v>42</v>
      </c>
    </row>
    <row r="29" spans="2:10">
      <c r="B29" s="3" t="s">
        <v>43</v>
      </c>
      <c r="C29" s="5">
        <v>1.43</v>
      </c>
      <c r="D29" s="5">
        <v>1.43</v>
      </c>
      <c r="E29" s="5">
        <v>1.43</v>
      </c>
      <c r="F29" s="5">
        <v>2.61</v>
      </c>
      <c r="G29" s="5">
        <v>1.57</v>
      </c>
      <c r="H29" s="6" t="s">
        <v>4</v>
      </c>
      <c r="I29" s="5">
        <v>0.24</v>
      </c>
      <c r="J29" s="8">
        <v>1.33</v>
      </c>
    </row>
    <row r="30" spans="2:10">
      <c r="B30" s="3" t="s">
        <v>44</v>
      </c>
      <c r="C30" s="5">
        <v>2.13</v>
      </c>
      <c r="D30" s="5">
        <v>2.13</v>
      </c>
      <c r="E30" s="5">
        <v>2.13</v>
      </c>
      <c r="F30" s="6" t="s">
        <v>4</v>
      </c>
      <c r="G30" s="5">
        <v>1.94</v>
      </c>
      <c r="H30" s="6" t="s">
        <v>4</v>
      </c>
      <c r="I30" s="5">
        <v>0.57999999999999996</v>
      </c>
      <c r="J30" s="7" t="s">
        <v>5</v>
      </c>
    </row>
    <row r="31" spans="2:10">
      <c r="B31" s="3" t="s">
        <v>45</v>
      </c>
      <c r="C31" s="5">
        <v>1.6</v>
      </c>
      <c r="D31" s="5">
        <v>1.6</v>
      </c>
      <c r="E31" s="5">
        <v>1.33</v>
      </c>
      <c r="F31" s="5">
        <v>2</v>
      </c>
      <c r="G31" s="5">
        <v>1.6</v>
      </c>
      <c r="H31" s="6" t="s">
        <v>4</v>
      </c>
      <c r="I31" s="20" t="s">
        <v>46</v>
      </c>
      <c r="J31" s="8">
        <v>1.33</v>
      </c>
    </row>
    <row r="32" spans="2:10">
      <c r="B32" s="3" t="s">
        <v>47</v>
      </c>
      <c r="C32" s="5">
        <v>3.18</v>
      </c>
      <c r="D32" s="5">
        <v>3.18</v>
      </c>
      <c r="E32" s="5">
        <v>3.18</v>
      </c>
      <c r="F32" s="6" t="s">
        <v>4</v>
      </c>
      <c r="G32" s="5">
        <v>1.96</v>
      </c>
      <c r="H32" s="6" t="s">
        <v>4</v>
      </c>
      <c r="I32" s="20" t="s">
        <v>48</v>
      </c>
      <c r="J32" s="8">
        <v>1.33</v>
      </c>
    </row>
    <row r="33" spans="2:10">
      <c r="B33" s="3" t="s">
        <v>49</v>
      </c>
      <c r="C33" s="5">
        <v>1.94</v>
      </c>
      <c r="D33" s="5">
        <v>1.42</v>
      </c>
      <c r="E33" s="5">
        <v>1.42</v>
      </c>
      <c r="F33" s="5">
        <v>3.5</v>
      </c>
      <c r="G33" s="5">
        <v>1.94</v>
      </c>
      <c r="H33" s="5">
        <v>2</v>
      </c>
      <c r="I33" s="20" t="s">
        <v>50</v>
      </c>
      <c r="J33" s="8">
        <v>1.33</v>
      </c>
    </row>
    <row r="34" spans="2:10">
      <c r="B34" s="3" t="s">
        <v>51</v>
      </c>
      <c r="C34" s="5">
        <v>3</v>
      </c>
      <c r="D34" s="5">
        <v>3</v>
      </c>
      <c r="E34" s="5">
        <v>2.4</v>
      </c>
      <c r="F34" s="6" t="s">
        <v>4</v>
      </c>
      <c r="G34" s="5">
        <v>2.5</v>
      </c>
      <c r="H34" s="6" t="s">
        <v>4</v>
      </c>
      <c r="I34" s="20" t="s">
        <v>52</v>
      </c>
      <c r="J34" s="8">
        <v>1.33</v>
      </c>
    </row>
    <row r="35" spans="2:10" ht="17.25">
      <c r="B35" s="3" t="s">
        <v>53</v>
      </c>
      <c r="C35" s="5">
        <v>2.1800000000000002</v>
      </c>
      <c r="D35" s="5">
        <v>1.49</v>
      </c>
      <c r="E35" s="5">
        <v>1.49</v>
      </c>
      <c r="F35" s="5">
        <v>4</v>
      </c>
      <c r="G35" s="5">
        <v>2.1800000000000002</v>
      </c>
      <c r="H35" s="6" t="s">
        <v>4</v>
      </c>
      <c r="I35" s="5">
        <v>1.33</v>
      </c>
      <c r="J35" s="12" t="s">
        <v>112</v>
      </c>
    </row>
    <row r="36" spans="2:10">
      <c r="B36" s="3" t="s">
        <v>54</v>
      </c>
      <c r="C36" s="5">
        <v>2.1</v>
      </c>
      <c r="D36" s="5">
        <v>2.1</v>
      </c>
      <c r="E36" s="5">
        <v>1.33</v>
      </c>
      <c r="F36" s="18" t="s">
        <v>55</v>
      </c>
      <c r="G36" s="5">
        <v>1.96</v>
      </c>
      <c r="H36" s="6" t="s">
        <v>4</v>
      </c>
      <c r="I36" s="20" t="s">
        <v>56</v>
      </c>
      <c r="J36" s="12" t="s">
        <v>20</v>
      </c>
    </row>
    <row r="37" spans="2:10">
      <c r="B37" s="3" t="s">
        <v>57</v>
      </c>
      <c r="C37" s="5">
        <v>1.47</v>
      </c>
      <c r="D37" s="5">
        <v>1.47</v>
      </c>
      <c r="E37" s="5">
        <v>1.33</v>
      </c>
      <c r="F37" s="5">
        <v>1.7</v>
      </c>
      <c r="G37" s="5">
        <v>1.47</v>
      </c>
      <c r="H37" s="6" t="s">
        <v>4</v>
      </c>
      <c r="I37" s="20" t="s">
        <v>58</v>
      </c>
      <c r="J37" s="8">
        <v>1.33</v>
      </c>
    </row>
    <row r="38" spans="2:10">
      <c r="B38" s="3" t="s">
        <v>59</v>
      </c>
      <c r="C38" s="5">
        <v>2.06</v>
      </c>
      <c r="D38" s="5">
        <v>2.06</v>
      </c>
      <c r="E38" s="5">
        <v>2.06</v>
      </c>
      <c r="F38" s="6" t="s">
        <v>4</v>
      </c>
      <c r="G38" s="5">
        <v>2</v>
      </c>
      <c r="H38" s="6" t="s">
        <v>4</v>
      </c>
      <c r="I38" s="5">
        <v>0.9</v>
      </c>
      <c r="J38" s="8">
        <v>1.33</v>
      </c>
    </row>
    <row r="39" spans="2:10" ht="17.25">
      <c r="B39" s="3" t="s">
        <v>60</v>
      </c>
      <c r="C39" s="5">
        <v>2.0499999999999998</v>
      </c>
      <c r="D39" s="5">
        <v>2.0499999999999998</v>
      </c>
      <c r="E39" s="5">
        <v>2.0499999999999998</v>
      </c>
      <c r="F39" s="6" t="s">
        <v>4</v>
      </c>
      <c r="G39" s="5">
        <v>1.33</v>
      </c>
      <c r="H39" s="6" t="s">
        <v>4</v>
      </c>
      <c r="I39" s="19" t="s">
        <v>114</v>
      </c>
      <c r="J39" s="12" t="s">
        <v>42</v>
      </c>
    </row>
    <row r="40" spans="2:10">
      <c r="B40" s="3" t="s">
        <v>61</v>
      </c>
      <c r="C40" s="5">
        <v>1.85</v>
      </c>
      <c r="D40" s="5">
        <v>1.33</v>
      </c>
      <c r="E40" s="5">
        <v>1.33</v>
      </c>
      <c r="F40" s="5">
        <v>3</v>
      </c>
      <c r="G40" s="5">
        <v>1.85</v>
      </c>
      <c r="H40" s="6" t="s">
        <v>4</v>
      </c>
      <c r="I40" s="20" t="s">
        <v>62</v>
      </c>
      <c r="J40" s="8">
        <v>1.33</v>
      </c>
    </row>
    <row r="41" spans="2:10">
      <c r="B41" s="3" t="s">
        <v>63</v>
      </c>
      <c r="C41" s="5">
        <v>2.15</v>
      </c>
      <c r="D41" s="5">
        <v>1.57</v>
      </c>
      <c r="E41" s="5">
        <v>1.33</v>
      </c>
      <c r="F41" s="5">
        <v>3.14</v>
      </c>
      <c r="G41" s="5">
        <v>2.15</v>
      </c>
      <c r="H41" s="6" t="s">
        <v>4</v>
      </c>
      <c r="I41" s="5">
        <v>0.33</v>
      </c>
      <c r="J41" s="8">
        <v>1.33</v>
      </c>
    </row>
    <row r="42" spans="2:10">
      <c r="B42" s="3" t="s">
        <v>64</v>
      </c>
      <c r="C42" s="5">
        <v>2.61</v>
      </c>
      <c r="D42" s="5">
        <v>2.61</v>
      </c>
      <c r="E42" s="5">
        <v>2.61</v>
      </c>
      <c r="F42" s="6" t="s">
        <v>4</v>
      </c>
      <c r="G42" s="5">
        <v>1.9</v>
      </c>
      <c r="H42" s="5">
        <v>2.5299999999999998</v>
      </c>
      <c r="I42" s="5">
        <v>1.1599999999999999</v>
      </c>
      <c r="J42" s="8">
        <v>1.33</v>
      </c>
    </row>
    <row r="43" spans="2:10" ht="13.5" customHeight="1">
      <c r="B43" s="3" t="s">
        <v>65</v>
      </c>
      <c r="C43" s="5">
        <v>2.08</v>
      </c>
      <c r="D43" s="5">
        <v>2.08</v>
      </c>
      <c r="E43" s="5">
        <v>2.08</v>
      </c>
      <c r="F43" s="6" t="s">
        <v>4</v>
      </c>
      <c r="G43" s="5">
        <v>1.94</v>
      </c>
      <c r="H43" s="6" t="s">
        <v>4</v>
      </c>
      <c r="I43" s="5">
        <v>0.62</v>
      </c>
      <c r="J43" s="7" t="s">
        <v>5</v>
      </c>
    </row>
    <row r="44" spans="2:10">
      <c r="B44" s="3" t="s">
        <v>66</v>
      </c>
      <c r="C44" s="5">
        <v>1.82</v>
      </c>
      <c r="D44" s="5">
        <v>1.82</v>
      </c>
      <c r="E44" s="5">
        <v>1.82</v>
      </c>
      <c r="F44" s="5">
        <v>2.04</v>
      </c>
      <c r="G44" s="5">
        <v>1.33</v>
      </c>
      <c r="H44" s="6" t="s">
        <v>4</v>
      </c>
      <c r="I44" s="20" t="s">
        <v>67</v>
      </c>
      <c r="J44" s="7" t="s">
        <v>5</v>
      </c>
    </row>
    <row r="45" spans="2:10">
      <c r="B45" s="3" t="s">
        <v>68</v>
      </c>
      <c r="C45" s="5">
        <v>1.95</v>
      </c>
      <c r="D45" s="5">
        <v>1.42</v>
      </c>
      <c r="E45" s="5">
        <v>1.33</v>
      </c>
      <c r="F45" s="5">
        <v>2.5</v>
      </c>
      <c r="G45" s="5">
        <v>1.95</v>
      </c>
      <c r="H45" s="6" t="s">
        <v>4</v>
      </c>
      <c r="I45" s="20" t="s">
        <v>69</v>
      </c>
      <c r="J45" s="7" t="s">
        <v>5</v>
      </c>
    </row>
    <row r="46" spans="2:10">
      <c r="B46" s="3" t="s">
        <v>70</v>
      </c>
      <c r="C46" s="5">
        <v>1.98</v>
      </c>
      <c r="D46" s="5">
        <v>1.44</v>
      </c>
      <c r="E46" s="5">
        <v>1.33</v>
      </c>
      <c r="F46" s="5">
        <v>2.0099999999999998</v>
      </c>
      <c r="G46" s="5">
        <v>1.98</v>
      </c>
      <c r="H46" s="6" t="s">
        <v>4</v>
      </c>
      <c r="I46" s="20" t="s">
        <v>71</v>
      </c>
      <c r="J46" s="7" t="s">
        <v>5</v>
      </c>
    </row>
    <row r="47" spans="2:10" ht="17.25">
      <c r="B47" s="3" t="s">
        <v>72</v>
      </c>
      <c r="C47" s="5">
        <v>1.39</v>
      </c>
      <c r="D47" s="5">
        <v>1.39</v>
      </c>
      <c r="E47" s="5">
        <v>1.33</v>
      </c>
      <c r="F47" s="5">
        <v>2</v>
      </c>
      <c r="G47" s="5">
        <v>1.39</v>
      </c>
      <c r="H47" s="6" t="s">
        <v>4</v>
      </c>
      <c r="I47" s="12" t="s">
        <v>115</v>
      </c>
      <c r="J47" s="12" t="s">
        <v>117</v>
      </c>
    </row>
    <row r="48" spans="2:10">
      <c r="B48" s="3" t="s">
        <v>73</v>
      </c>
      <c r="C48" s="5">
        <v>3.12</v>
      </c>
      <c r="D48" s="5">
        <v>3.12</v>
      </c>
      <c r="E48" s="5">
        <v>3.12</v>
      </c>
      <c r="F48" s="6" t="s">
        <v>4</v>
      </c>
      <c r="G48" s="5">
        <v>2.08</v>
      </c>
      <c r="H48" s="6" t="s">
        <v>4</v>
      </c>
      <c r="I48" s="20" t="s">
        <v>74</v>
      </c>
      <c r="J48" s="8">
        <v>1.33</v>
      </c>
    </row>
    <row r="49" spans="2:10">
      <c r="B49" s="3" t="s">
        <v>75</v>
      </c>
      <c r="C49" s="5">
        <v>1.43</v>
      </c>
      <c r="D49" s="5">
        <v>1.43</v>
      </c>
      <c r="E49" s="5">
        <v>1.43</v>
      </c>
      <c r="F49" s="5">
        <v>2</v>
      </c>
      <c r="G49" s="5">
        <v>1.43</v>
      </c>
      <c r="H49" s="5">
        <v>2</v>
      </c>
      <c r="I49" s="20" t="s">
        <v>76</v>
      </c>
      <c r="J49" s="7" t="s">
        <v>77</v>
      </c>
    </row>
    <row r="50" spans="2:10">
      <c r="B50" s="3" t="s">
        <v>78</v>
      </c>
      <c r="C50" s="5">
        <v>2.1</v>
      </c>
      <c r="D50" s="5">
        <v>2.1</v>
      </c>
      <c r="E50" s="5">
        <v>2.1</v>
      </c>
      <c r="F50" s="5">
        <v>3.12</v>
      </c>
      <c r="G50" s="5">
        <v>1.93</v>
      </c>
      <c r="H50" s="6" t="s">
        <v>4</v>
      </c>
      <c r="I50" s="20" t="s">
        <v>79</v>
      </c>
      <c r="J50" s="8">
        <v>1.33</v>
      </c>
    </row>
    <row r="51" spans="2:10">
      <c r="B51" s="3" t="s">
        <v>80</v>
      </c>
      <c r="C51" s="5">
        <v>1.58</v>
      </c>
      <c r="D51" s="5">
        <v>1.41</v>
      </c>
      <c r="E51" s="5">
        <v>1.33</v>
      </c>
      <c r="F51" s="5">
        <v>3</v>
      </c>
      <c r="G51" s="5">
        <v>1.58</v>
      </c>
      <c r="H51" s="6" t="s">
        <v>4</v>
      </c>
      <c r="I51" s="20" t="s">
        <v>81</v>
      </c>
      <c r="J51" s="8">
        <v>1.33</v>
      </c>
    </row>
    <row r="52" spans="2:10" ht="17.25">
      <c r="B52" s="3" t="s">
        <v>82</v>
      </c>
      <c r="C52" s="5">
        <v>3.01</v>
      </c>
      <c r="D52" s="5">
        <v>1.86</v>
      </c>
      <c r="E52" s="5">
        <v>1.51</v>
      </c>
      <c r="F52" s="18" t="s">
        <v>83</v>
      </c>
      <c r="G52" s="5">
        <v>3.01</v>
      </c>
      <c r="H52" s="6" t="s">
        <v>4</v>
      </c>
      <c r="I52" s="12" t="s">
        <v>116</v>
      </c>
      <c r="J52" s="12" t="s">
        <v>117</v>
      </c>
    </row>
    <row r="53" spans="2:10" ht="15.75" thickBot="1">
      <c r="B53" s="4" t="s">
        <v>84</v>
      </c>
      <c r="C53" s="9">
        <v>1.54</v>
      </c>
      <c r="D53" s="9">
        <v>1.54</v>
      </c>
      <c r="E53" s="9">
        <v>1.33</v>
      </c>
      <c r="F53" s="9">
        <v>2</v>
      </c>
      <c r="G53" s="9">
        <v>1.54</v>
      </c>
      <c r="H53" s="10" t="s">
        <v>4</v>
      </c>
      <c r="I53" s="21" t="s">
        <v>74</v>
      </c>
      <c r="J53" s="11" t="s">
        <v>5</v>
      </c>
    </row>
    <row r="55" spans="2:10" ht="16.5">
      <c r="B55" s="14" t="s">
        <v>96</v>
      </c>
    </row>
    <row r="56" spans="2:10" ht="16.5">
      <c r="B56" s="14" t="s">
        <v>97</v>
      </c>
    </row>
    <row r="57" spans="2:10" ht="16.5">
      <c r="B57" s="14" t="s">
        <v>98</v>
      </c>
    </row>
    <row r="58" spans="2:10" ht="16.5">
      <c r="B58" s="14" t="s">
        <v>99</v>
      </c>
    </row>
    <row r="59" spans="2:10" ht="16.5">
      <c r="B59" s="14" t="s">
        <v>100</v>
      </c>
    </row>
    <row r="60" spans="2:10" ht="16.5">
      <c r="B60" s="14" t="s">
        <v>101</v>
      </c>
    </row>
    <row r="61" spans="2:10" ht="16.5">
      <c r="B61" s="14" t="s">
        <v>102</v>
      </c>
    </row>
    <row r="62" spans="2:10" ht="16.5">
      <c r="B62" s="14" t="s">
        <v>103</v>
      </c>
    </row>
    <row r="63" spans="2:10" ht="16.5">
      <c r="B63" s="14" t="s">
        <v>104</v>
      </c>
    </row>
    <row r="64" spans="2:10">
      <c r="B64" s="15"/>
    </row>
    <row r="65" spans="2:2" ht="16.5">
      <c r="B65" s="16" t="s">
        <v>105</v>
      </c>
    </row>
    <row r="66" spans="2:2" ht="16.5">
      <c r="B66" s="16" t="s">
        <v>106</v>
      </c>
    </row>
    <row r="67" spans="2:2" ht="16.5">
      <c r="B67" s="16" t="s">
        <v>107</v>
      </c>
    </row>
    <row r="68" spans="2:2">
      <c r="B68" s="17"/>
    </row>
    <row r="69" spans="2:2" ht="16.5">
      <c r="B69" s="14" t="s">
        <v>108</v>
      </c>
    </row>
    <row r="70" spans="2:2" ht="16.5">
      <c r="B70" s="14"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D3C1-4267-44B9-BCEA-9C00BB6D5954}">
  <dimension ref="B1:AE70"/>
  <sheetViews>
    <sheetView tabSelected="1" workbookViewId="0">
      <selection activeCell="AA7" sqref="AA7"/>
    </sheetView>
  </sheetViews>
  <sheetFormatPr defaultRowHeight="15"/>
  <cols>
    <col min="2" max="2" width="19.42578125" customWidth="1"/>
    <col min="3" max="4" width="10.5703125" customWidth="1"/>
    <col min="5" max="5" width="10.140625" customWidth="1"/>
    <col min="7" max="7" width="11.5703125" customWidth="1"/>
    <col min="8" max="8" width="12.5703125" customWidth="1"/>
    <col min="9" max="9" width="11.42578125" customWidth="1"/>
    <col min="10" max="12" width="13" customWidth="1"/>
    <col min="13" max="13" width="17.85546875" hidden="1" customWidth="1"/>
    <col min="14" max="15" width="0" hidden="1" customWidth="1"/>
    <col min="16" max="16" width="14.85546875" hidden="1" customWidth="1"/>
    <col min="17" max="17" width="20.85546875" hidden="1" customWidth="1"/>
    <col min="18" max="18" width="10.85546875" hidden="1" customWidth="1"/>
    <col min="19" max="19" width="10" hidden="1" customWidth="1"/>
    <col min="20" max="22" width="0" hidden="1" customWidth="1"/>
    <col min="25" max="25" width="18.7109375" customWidth="1"/>
  </cols>
  <sheetData>
    <row r="1" spans="2:31" ht="15.75" thickBot="1"/>
    <row r="2" spans="2:31" ht="63" thickBot="1">
      <c r="B2" s="23" t="s">
        <v>0</v>
      </c>
      <c r="C2" s="30" t="s">
        <v>122</v>
      </c>
      <c r="D2" s="30" t="s">
        <v>123</v>
      </c>
      <c r="E2" s="30" t="s">
        <v>124</v>
      </c>
      <c r="F2" s="30" t="s">
        <v>87</v>
      </c>
      <c r="G2" s="30" t="s">
        <v>1</v>
      </c>
      <c r="H2" s="30" t="s">
        <v>90</v>
      </c>
      <c r="I2" s="30" t="s">
        <v>2</v>
      </c>
      <c r="J2" s="25" t="s">
        <v>129</v>
      </c>
      <c r="K2" s="25" t="s">
        <v>133</v>
      </c>
      <c r="L2" s="25"/>
      <c r="M2" s="1" t="s">
        <v>88</v>
      </c>
      <c r="N2" s="1" t="s">
        <v>89</v>
      </c>
      <c r="P2" t="s">
        <v>0</v>
      </c>
      <c r="Q2" t="s">
        <v>125</v>
      </c>
      <c r="R2">
        <v>2018</v>
      </c>
      <c r="S2">
        <v>2019</v>
      </c>
      <c r="T2" s="24" t="s">
        <v>136</v>
      </c>
      <c r="U2">
        <v>2020</v>
      </c>
      <c r="V2" s="24" t="s">
        <v>137</v>
      </c>
      <c r="X2" t="s">
        <v>0</v>
      </c>
      <c r="Y2" t="s">
        <v>125</v>
      </c>
      <c r="Z2">
        <v>2018</v>
      </c>
      <c r="AA2">
        <v>2019</v>
      </c>
      <c r="AB2" s="24" t="s">
        <v>136</v>
      </c>
      <c r="AC2">
        <v>2020</v>
      </c>
      <c r="AD2" s="24" t="s">
        <v>137</v>
      </c>
    </row>
    <row r="3" spans="2:31">
      <c r="B3" s="3" t="s">
        <v>3</v>
      </c>
      <c r="C3" s="31">
        <v>1.41</v>
      </c>
      <c r="D3" s="31">
        <v>1.41</v>
      </c>
      <c r="E3" s="31">
        <v>1.41</v>
      </c>
      <c r="F3" s="31">
        <v>1.41</v>
      </c>
      <c r="G3" s="31">
        <v>1.41</v>
      </c>
      <c r="H3" s="31">
        <v>0.13</v>
      </c>
      <c r="I3" s="32" t="s">
        <v>5</v>
      </c>
      <c r="J3" s="33" t="s">
        <v>5</v>
      </c>
      <c r="K3" s="33" t="s">
        <v>5</v>
      </c>
      <c r="M3" s="5">
        <v>3.12</v>
      </c>
      <c r="N3" s="6" t="s">
        <v>4</v>
      </c>
      <c r="P3" t="s">
        <v>138</v>
      </c>
      <c r="Q3" s="22"/>
      <c r="S3" s="29">
        <v>43556</v>
      </c>
      <c r="T3" s="22"/>
      <c r="U3" s="22" t="s">
        <v>139</v>
      </c>
      <c r="X3" t="s">
        <v>138</v>
      </c>
      <c r="Y3" s="22"/>
      <c r="AA3" s="29">
        <v>43556</v>
      </c>
      <c r="AB3" s="22"/>
      <c r="AC3" s="22" t="s">
        <v>139</v>
      </c>
    </row>
    <row r="4" spans="2:31">
      <c r="B4" s="12" t="s">
        <v>132</v>
      </c>
      <c r="C4" s="31">
        <v>2.0299999999999998</v>
      </c>
      <c r="D4" s="31">
        <v>2.0299999999999998</v>
      </c>
      <c r="E4" s="31">
        <v>2.0299999999999998</v>
      </c>
      <c r="F4" s="31">
        <v>2.0299999999999998</v>
      </c>
      <c r="G4" s="31">
        <v>2</v>
      </c>
      <c r="H4" s="34" t="s">
        <v>6</v>
      </c>
      <c r="I4" s="31">
        <v>1.33</v>
      </c>
      <c r="J4" s="33" t="s">
        <v>5</v>
      </c>
      <c r="K4" s="33" t="s">
        <v>5</v>
      </c>
      <c r="M4" s="6" t="s">
        <v>4</v>
      </c>
      <c r="N4" s="6" t="s">
        <v>4</v>
      </c>
      <c r="P4" t="s">
        <v>3</v>
      </c>
      <c r="Q4" s="22">
        <v>0</v>
      </c>
      <c r="S4" s="5">
        <v>1.41</v>
      </c>
      <c r="U4" s="28">
        <f>S4</f>
        <v>1.41</v>
      </c>
      <c r="Y4" s="41">
        <v>0</v>
      </c>
      <c r="AA4" s="2">
        <v>1.94</v>
      </c>
      <c r="AB4" s="2"/>
      <c r="AC4" s="2"/>
      <c r="AD4" s="2"/>
      <c r="AE4" s="2"/>
    </row>
    <row r="5" spans="2:31">
      <c r="B5" s="3" t="s">
        <v>7</v>
      </c>
      <c r="C5" s="31">
        <v>1.47</v>
      </c>
      <c r="D5" s="31">
        <v>1.41</v>
      </c>
      <c r="E5" s="31">
        <v>1.41</v>
      </c>
      <c r="F5" s="31">
        <v>1.33</v>
      </c>
      <c r="G5" s="31">
        <v>1.56</v>
      </c>
      <c r="H5" s="31">
        <v>1.06</v>
      </c>
      <c r="I5" s="31">
        <v>1.33</v>
      </c>
      <c r="J5" s="33" t="s">
        <v>5</v>
      </c>
      <c r="K5" s="33" t="s">
        <v>5</v>
      </c>
      <c r="M5" s="5">
        <v>2</v>
      </c>
      <c r="N5" s="6" t="s">
        <v>4</v>
      </c>
      <c r="P5" t="s">
        <v>3</v>
      </c>
      <c r="Q5" s="22">
        <v>1</v>
      </c>
      <c r="S5" s="5">
        <v>1.41</v>
      </c>
      <c r="U5" s="28">
        <f t="shared" ref="U5:U66" si="0">S5</f>
        <v>1.41</v>
      </c>
      <c r="Y5" s="42">
        <v>1</v>
      </c>
      <c r="AA5" s="2">
        <v>1.43</v>
      </c>
      <c r="AB5" s="2"/>
      <c r="AC5" s="2"/>
      <c r="AD5" s="2"/>
      <c r="AE5" s="2"/>
    </row>
    <row r="6" spans="2:31">
      <c r="B6" s="3" t="s">
        <v>8</v>
      </c>
      <c r="C6" s="31">
        <v>1.42</v>
      </c>
      <c r="D6" s="31">
        <v>1.42</v>
      </c>
      <c r="E6" s="31">
        <v>1.42</v>
      </c>
      <c r="F6" s="31">
        <v>1.42</v>
      </c>
      <c r="G6" s="31">
        <v>2.09</v>
      </c>
      <c r="H6" s="34" t="s">
        <v>9</v>
      </c>
      <c r="I6" s="31">
        <v>1.33</v>
      </c>
      <c r="J6" s="33" t="s">
        <v>5</v>
      </c>
      <c r="K6" s="33" t="s">
        <v>5</v>
      </c>
      <c r="M6" s="5">
        <v>2.11</v>
      </c>
      <c r="N6" s="6" t="s">
        <v>4</v>
      </c>
      <c r="P6" t="s">
        <v>3</v>
      </c>
      <c r="Q6" s="22" t="s">
        <v>118</v>
      </c>
      <c r="S6" s="5">
        <v>1.41</v>
      </c>
      <c r="U6" s="28">
        <f t="shared" si="0"/>
        <v>1.41</v>
      </c>
      <c r="Y6" s="41" t="s">
        <v>118</v>
      </c>
      <c r="AA6" s="2">
        <v>1.43</v>
      </c>
      <c r="AB6" s="2"/>
      <c r="AC6" s="2"/>
      <c r="AD6" s="2"/>
      <c r="AE6" s="2"/>
    </row>
    <row r="7" spans="2:31">
      <c r="B7" s="3" t="s">
        <v>10</v>
      </c>
      <c r="C7" s="31">
        <v>2.61</v>
      </c>
      <c r="D7" s="31">
        <v>2.61</v>
      </c>
      <c r="E7" s="31">
        <v>2.61</v>
      </c>
      <c r="F7" s="31">
        <v>2.61</v>
      </c>
      <c r="G7" s="31">
        <v>2.08</v>
      </c>
      <c r="H7" s="31">
        <v>1.0900000000000001</v>
      </c>
      <c r="I7" s="31">
        <v>1.33</v>
      </c>
      <c r="J7" s="33" t="s">
        <v>5</v>
      </c>
      <c r="K7" s="33" t="s">
        <v>5</v>
      </c>
      <c r="M7" s="12" t="s">
        <v>11</v>
      </c>
      <c r="N7" s="6" t="s">
        <v>4</v>
      </c>
      <c r="P7" t="s">
        <v>3</v>
      </c>
      <c r="Q7" s="22" t="s">
        <v>119</v>
      </c>
      <c r="S7" s="5">
        <v>1.41</v>
      </c>
      <c r="U7" s="28">
        <f t="shared" si="0"/>
        <v>1.41</v>
      </c>
      <c r="Y7" s="42" t="s">
        <v>119</v>
      </c>
      <c r="AA7" s="2">
        <v>1.33</v>
      </c>
      <c r="AB7" s="2"/>
      <c r="AC7" s="2"/>
      <c r="AD7" s="2"/>
      <c r="AE7" s="2"/>
    </row>
    <row r="8" spans="2:31">
      <c r="B8" s="3" t="s">
        <v>12</v>
      </c>
      <c r="C8" s="31">
        <v>1.42</v>
      </c>
      <c r="D8" s="31">
        <v>1.42</v>
      </c>
      <c r="E8" s="31">
        <v>1.42</v>
      </c>
      <c r="F8" s="31">
        <v>1.42</v>
      </c>
      <c r="G8" s="31">
        <v>1.95</v>
      </c>
      <c r="H8" s="31">
        <v>0.68</v>
      </c>
      <c r="I8" s="31">
        <v>1.33</v>
      </c>
      <c r="J8" s="33" t="s">
        <v>5</v>
      </c>
      <c r="K8" s="33" t="s">
        <v>5</v>
      </c>
      <c r="M8" s="5">
        <v>2.6</v>
      </c>
      <c r="N8" s="5">
        <v>2.6</v>
      </c>
      <c r="P8" t="s">
        <v>3</v>
      </c>
      <c r="Q8" s="22" t="s">
        <v>127</v>
      </c>
      <c r="S8" s="5">
        <v>1.41</v>
      </c>
      <c r="U8" s="28">
        <f t="shared" si="0"/>
        <v>1.41</v>
      </c>
      <c r="Y8" s="41" t="s">
        <v>127</v>
      </c>
      <c r="AA8" s="2">
        <v>1.94</v>
      </c>
      <c r="AB8" s="2"/>
      <c r="AC8" s="2"/>
      <c r="AD8" s="2"/>
      <c r="AE8" s="2"/>
    </row>
    <row r="9" spans="2:31">
      <c r="B9" s="3" t="s">
        <v>13</v>
      </c>
      <c r="C9" s="31">
        <v>1.96</v>
      </c>
      <c r="D9" s="31">
        <v>1.96</v>
      </c>
      <c r="E9" s="31">
        <v>1.96</v>
      </c>
      <c r="F9" s="31">
        <v>1.96</v>
      </c>
      <c r="G9" s="31">
        <v>2.58</v>
      </c>
      <c r="H9" s="31">
        <v>1.5</v>
      </c>
      <c r="I9" s="31">
        <v>1.33</v>
      </c>
      <c r="J9" s="33" t="s">
        <v>5</v>
      </c>
      <c r="K9" s="33" t="s">
        <v>5</v>
      </c>
      <c r="M9" s="5">
        <v>3.18</v>
      </c>
      <c r="N9" s="6" t="s">
        <v>4</v>
      </c>
      <c r="P9" t="s">
        <v>3</v>
      </c>
      <c r="Q9" s="22" t="s">
        <v>126</v>
      </c>
      <c r="S9" s="5">
        <v>0.13</v>
      </c>
      <c r="T9" s="22" t="s">
        <v>5</v>
      </c>
      <c r="U9" s="28">
        <f t="shared" si="0"/>
        <v>0.13</v>
      </c>
      <c r="V9" s="22" t="s">
        <v>5</v>
      </c>
      <c r="Y9" s="42" t="s">
        <v>126</v>
      </c>
      <c r="AA9" s="2">
        <v>0.23</v>
      </c>
    </row>
    <row r="10" spans="2:31">
      <c r="B10" s="3" t="s">
        <v>14</v>
      </c>
      <c r="C10" s="31">
        <v>2.12</v>
      </c>
      <c r="D10" s="31">
        <v>1.42</v>
      </c>
      <c r="E10" s="31">
        <v>1.42</v>
      </c>
      <c r="F10" s="31">
        <v>1.33</v>
      </c>
      <c r="G10" s="31">
        <v>2.12</v>
      </c>
      <c r="H10" s="31">
        <v>0.87</v>
      </c>
      <c r="I10" s="31">
        <v>1.33</v>
      </c>
      <c r="J10" s="33" t="s">
        <v>5</v>
      </c>
      <c r="K10" s="33" t="s">
        <v>5</v>
      </c>
      <c r="M10" s="6" t="s">
        <v>15</v>
      </c>
      <c r="N10" s="6" t="s">
        <v>4</v>
      </c>
      <c r="P10" t="s">
        <v>3</v>
      </c>
      <c r="Q10" s="22" t="s">
        <v>128</v>
      </c>
      <c r="S10" s="5" t="s">
        <v>5</v>
      </c>
      <c r="U10" s="28" t="str">
        <f t="shared" si="0"/>
        <v>No</v>
      </c>
      <c r="Y10" s="41" t="s">
        <v>128</v>
      </c>
      <c r="AA10" t="s">
        <v>5</v>
      </c>
    </row>
    <row r="11" spans="2:31">
      <c r="B11" s="3" t="s">
        <v>16</v>
      </c>
      <c r="C11" s="31">
        <v>3.19</v>
      </c>
      <c r="D11" s="31">
        <v>3.19</v>
      </c>
      <c r="E11" s="31">
        <v>3.19</v>
      </c>
      <c r="F11" s="31">
        <v>3.19</v>
      </c>
      <c r="G11" s="31">
        <v>3.19</v>
      </c>
      <c r="H11" s="31">
        <v>2.16</v>
      </c>
      <c r="I11" s="35">
        <v>2.1</v>
      </c>
      <c r="J11" s="36">
        <v>2.16</v>
      </c>
      <c r="K11" s="33" t="s">
        <v>5</v>
      </c>
      <c r="L11" s="2"/>
      <c r="M11" s="18" t="s">
        <v>4</v>
      </c>
      <c r="N11" s="6" t="s">
        <v>4</v>
      </c>
      <c r="P11" t="s">
        <v>3</v>
      </c>
      <c r="Q11" s="22" t="s">
        <v>130</v>
      </c>
      <c r="S11" s="5" t="s">
        <v>5</v>
      </c>
      <c r="U11" s="28" t="str">
        <f t="shared" si="0"/>
        <v>No</v>
      </c>
      <c r="Y11" s="42" t="s">
        <v>130</v>
      </c>
      <c r="AA11" t="s">
        <v>5</v>
      </c>
    </row>
    <row r="12" spans="2:31">
      <c r="B12" s="3" t="s">
        <v>17</v>
      </c>
      <c r="C12" s="31">
        <v>2.06</v>
      </c>
      <c r="D12" s="31">
        <v>1.4</v>
      </c>
      <c r="E12" s="31">
        <v>1.4</v>
      </c>
      <c r="F12" s="31">
        <v>1.33</v>
      </c>
      <c r="G12" s="31">
        <v>1.91</v>
      </c>
      <c r="H12" s="34" t="s">
        <v>19</v>
      </c>
      <c r="I12" s="37" t="s">
        <v>5</v>
      </c>
      <c r="J12" s="36">
        <v>0.28000000000000003</v>
      </c>
      <c r="K12" s="33" t="s">
        <v>5</v>
      </c>
      <c r="M12" s="18" t="s">
        <v>18</v>
      </c>
      <c r="N12" s="6" t="s">
        <v>4</v>
      </c>
      <c r="P12" t="s">
        <v>3</v>
      </c>
      <c r="Q12" s="22" t="s">
        <v>134</v>
      </c>
      <c r="S12" s="5" t="s">
        <v>5</v>
      </c>
      <c r="U12" s="28" t="str">
        <f t="shared" si="0"/>
        <v>No</v>
      </c>
      <c r="Y12" s="41" t="s">
        <v>134</v>
      </c>
      <c r="AA12" t="s">
        <v>5</v>
      </c>
    </row>
    <row r="13" spans="2:31">
      <c r="B13" s="3" t="s">
        <v>21</v>
      </c>
      <c r="C13" s="31">
        <v>2.0499999999999998</v>
      </c>
      <c r="D13" s="31">
        <v>1.49</v>
      </c>
      <c r="E13" s="31">
        <v>1.49</v>
      </c>
      <c r="F13" s="31">
        <v>1.33</v>
      </c>
      <c r="G13" s="31">
        <v>2.2000000000000002</v>
      </c>
      <c r="H13" s="34" t="s">
        <v>22</v>
      </c>
      <c r="I13" s="32" t="s">
        <v>5</v>
      </c>
      <c r="J13" s="33" t="s">
        <v>5</v>
      </c>
      <c r="K13" s="33" t="s">
        <v>5</v>
      </c>
      <c r="M13" s="5">
        <v>2.4700000000000002</v>
      </c>
      <c r="N13" s="6" t="s">
        <v>4</v>
      </c>
      <c r="P13" t="s">
        <v>17</v>
      </c>
      <c r="Q13" s="22">
        <v>0</v>
      </c>
      <c r="S13" s="5">
        <v>2.06</v>
      </c>
      <c r="U13" s="28">
        <f t="shared" si="0"/>
        <v>2.06</v>
      </c>
    </row>
    <row r="14" spans="2:31">
      <c r="B14" s="12" t="s">
        <v>131</v>
      </c>
      <c r="C14" s="31">
        <v>3.08</v>
      </c>
      <c r="D14" s="31">
        <v>3.08</v>
      </c>
      <c r="E14" s="31">
        <v>3.08</v>
      </c>
      <c r="F14" s="31">
        <v>3.08</v>
      </c>
      <c r="G14" s="31">
        <v>1.91</v>
      </c>
      <c r="H14" s="31">
        <v>1.05</v>
      </c>
      <c r="I14" s="31">
        <v>1.33</v>
      </c>
      <c r="J14" s="33" t="s">
        <v>5</v>
      </c>
      <c r="K14" s="33" t="s">
        <v>5</v>
      </c>
      <c r="M14" s="6" t="s">
        <v>4</v>
      </c>
      <c r="N14" s="6" t="s">
        <v>4</v>
      </c>
      <c r="P14" t="s">
        <v>17</v>
      </c>
      <c r="Q14" s="22">
        <v>1</v>
      </c>
      <c r="S14" s="5">
        <v>1.4</v>
      </c>
      <c r="U14" s="28">
        <f t="shared" si="0"/>
        <v>1.4</v>
      </c>
    </row>
    <row r="15" spans="2:31">
      <c r="B15" s="3" t="s">
        <v>23</v>
      </c>
      <c r="C15" s="31">
        <v>1.42</v>
      </c>
      <c r="D15" s="31">
        <v>1.42</v>
      </c>
      <c r="E15" s="31">
        <v>1.42</v>
      </c>
      <c r="F15" s="31">
        <v>1.33</v>
      </c>
      <c r="G15" s="31">
        <v>1.33</v>
      </c>
      <c r="H15" s="34" t="s">
        <v>24</v>
      </c>
      <c r="I15" s="32" t="s">
        <v>5</v>
      </c>
      <c r="J15" s="33" t="s">
        <v>5</v>
      </c>
      <c r="K15" s="33" t="s">
        <v>5</v>
      </c>
      <c r="M15" s="5">
        <v>1.85</v>
      </c>
      <c r="N15" s="6" t="s">
        <v>4</v>
      </c>
      <c r="P15" t="s">
        <v>17</v>
      </c>
      <c r="Q15" s="22" t="s">
        <v>118</v>
      </c>
      <c r="S15" s="5">
        <v>1.4</v>
      </c>
      <c r="U15" s="28">
        <f t="shared" si="0"/>
        <v>1.4</v>
      </c>
    </row>
    <row r="16" spans="2:31">
      <c r="B16" s="3" t="s">
        <v>25</v>
      </c>
      <c r="C16" s="31">
        <v>1.42</v>
      </c>
      <c r="D16" s="31">
        <v>1.42</v>
      </c>
      <c r="E16" s="31">
        <v>1.42</v>
      </c>
      <c r="F16" s="31">
        <v>1.42</v>
      </c>
      <c r="G16" s="31">
        <v>2.08</v>
      </c>
      <c r="H16" s="31">
        <v>1.33</v>
      </c>
      <c r="I16" s="31">
        <v>1.33</v>
      </c>
      <c r="J16" s="33" t="s">
        <v>5</v>
      </c>
      <c r="K16" s="33" t="s">
        <v>5</v>
      </c>
      <c r="M16" s="5">
        <v>3.13</v>
      </c>
      <c r="N16" s="6" t="s">
        <v>4</v>
      </c>
      <c r="P16" t="s">
        <v>17</v>
      </c>
      <c r="Q16" s="22" t="s">
        <v>119</v>
      </c>
      <c r="S16" s="5">
        <v>1.33</v>
      </c>
      <c r="U16" s="28">
        <f t="shared" si="0"/>
        <v>1.33</v>
      </c>
    </row>
    <row r="17" spans="2:22">
      <c r="B17" s="3" t="s">
        <v>26</v>
      </c>
      <c r="C17" s="31">
        <v>2.08</v>
      </c>
      <c r="D17" s="31">
        <v>1.58</v>
      </c>
      <c r="E17" s="31">
        <v>1.58</v>
      </c>
      <c r="F17" s="31">
        <v>1.58</v>
      </c>
      <c r="G17" s="31">
        <v>2.08</v>
      </c>
      <c r="H17" s="34" t="s">
        <v>27</v>
      </c>
      <c r="I17" s="31">
        <v>1.33</v>
      </c>
      <c r="J17" s="33" t="s">
        <v>5</v>
      </c>
      <c r="K17" s="33" t="s">
        <v>5</v>
      </c>
      <c r="M17" s="5">
        <v>2.5</v>
      </c>
      <c r="N17" s="6" t="s">
        <v>4</v>
      </c>
      <c r="P17" t="s">
        <v>17</v>
      </c>
      <c r="Q17" s="22" t="s">
        <v>127</v>
      </c>
      <c r="S17" s="5">
        <v>1.91</v>
      </c>
      <c r="U17" s="28">
        <f t="shared" si="0"/>
        <v>1.91</v>
      </c>
    </row>
    <row r="18" spans="2:22">
      <c r="B18" s="3" t="s">
        <v>28</v>
      </c>
      <c r="C18" s="31">
        <v>3.75</v>
      </c>
      <c r="D18" s="31">
        <v>1.67</v>
      </c>
      <c r="E18" s="31">
        <v>1.67</v>
      </c>
      <c r="F18" s="31">
        <v>1.67</v>
      </c>
      <c r="G18" s="31">
        <v>3.75</v>
      </c>
      <c r="H18" s="34" t="s">
        <v>30</v>
      </c>
      <c r="I18" s="31">
        <v>1.33</v>
      </c>
      <c r="J18" s="33" t="s">
        <v>5</v>
      </c>
      <c r="K18" s="33" t="s">
        <v>5</v>
      </c>
      <c r="M18" s="18" t="s">
        <v>29</v>
      </c>
      <c r="N18" s="6" t="s">
        <v>4</v>
      </c>
      <c r="P18" t="s">
        <v>17</v>
      </c>
      <c r="Q18" s="22" t="s">
        <v>126</v>
      </c>
      <c r="S18" s="27">
        <v>0.28000000000000003</v>
      </c>
      <c r="T18" s="22" t="s">
        <v>77</v>
      </c>
      <c r="U18" s="28">
        <f t="shared" si="0"/>
        <v>0.28000000000000003</v>
      </c>
      <c r="V18" s="22" t="s">
        <v>77</v>
      </c>
    </row>
    <row r="19" spans="2:22">
      <c r="B19" s="3" t="s">
        <v>31</v>
      </c>
      <c r="C19" s="31">
        <v>1.66</v>
      </c>
      <c r="D19" s="31">
        <v>1.49</v>
      </c>
      <c r="E19" s="31">
        <v>1.49</v>
      </c>
      <c r="F19" s="31">
        <v>1.33</v>
      </c>
      <c r="G19" s="31">
        <v>1.66</v>
      </c>
      <c r="H19" s="31">
        <v>0.33</v>
      </c>
      <c r="I19" s="32" t="s">
        <v>5</v>
      </c>
      <c r="J19" s="33" t="s">
        <v>5</v>
      </c>
      <c r="K19" s="33" t="s">
        <v>5</v>
      </c>
      <c r="M19" s="5">
        <v>2.2999999999999998</v>
      </c>
      <c r="N19" s="6" t="s">
        <v>4</v>
      </c>
      <c r="P19" t="s">
        <v>17</v>
      </c>
      <c r="Q19" s="22" t="s">
        <v>128</v>
      </c>
      <c r="S19" s="5" t="s">
        <v>5</v>
      </c>
      <c r="U19" s="28" t="str">
        <f t="shared" si="0"/>
        <v>No</v>
      </c>
    </row>
    <row r="20" spans="2:22">
      <c r="B20" s="3" t="s">
        <v>32</v>
      </c>
      <c r="C20" s="31">
        <v>1.95</v>
      </c>
      <c r="D20" s="31">
        <v>1.59</v>
      </c>
      <c r="E20" s="31">
        <v>1.59</v>
      </c>
      <c r="F20" s="31">
        <v>1.59</v>
      </c>
      <c r="G20" s="31">
        <v>1.95</v>
      </c>
      <c r="H20" s="34" t="s">
        <v>33</v>
      </c>
      <c r="I20" s="31">
        <v>1.33</v>
      </c>
      <c r="J20" s="33" t="s">
        <v>5</v>
      </c>
      <c r="K20" s="33" t="s">
        <v>5</v>
      </c>
      <c r="M20" s="5">
        <v>2.13</v>
      </c>
      <c r="N20" s="6" t="s">
        <v>4</v>
      </c>
      <c r="P20" t="s">
        <v>17</v>
      </c>
      <c r="Q20" s="22" t="s">
        <v>130</v>
      </c>
      <c r="S20" s="5">
        <v>0.28000000000000003</v>
      </c>
      <c r="U20" s="28">
        <f t="shared" si="0"/>
        <v>0.28000000000000003</v>
      </c>
    </row>
    <row r="21" spans="2:22">
      <c r="B21" s="3" t="s">
        <v>34</v>
      </c>
      <c r="C21" s="31">
        <v>2.12</v>
      </c>
      <c r="D21" s="31">
        <v>2.12</v>
      </c>
      <c r="E21" s="31">
        <v>2.12</v>
      </c>
      <c r="F21" s="31">
        <v>2.12</v>
      </c>
      <c r="G21" s="31">
        <v>1.33</v>
      </c>
      <c r="H21" s="31">
        <v>0.19</v>
      </c>
      <c r="I21" s="31">
        <v>1.33</v>
      </c>
      <c r="J21" s="33" t="s">
        <v>5</v>
      </c>
      <c r="K21" s="33" t="s">
        <v>5</v>
      </c>
      <c r="M21" s="5">
        <v>2.5</v>
      </c>
      <c r="N21" s="6" t="s">
        <v>4</v>
      </c>
      <c r="P21" t="s">
        <v>17</v>
      </c>
      <c r="Q21" s="22" t="s">
        <v>134</v>
      </c>
      <c r="S21" s="5" t="s">
        <v>5</v>
      </c>
      <c r="U21" s="28" t="str">
        <f t="shared" si="0"/>
        <v>No</v>
      </c>
    </row>
    <row r="22" spans="2:22">
      <c r="B22" s="3" t="s">
        <v>35</v>
      </c>
      <c r="C22" s="31">
        <v>1.91</v>
      </c>
      <c r="D22" s="31">
        <v>1.57</v>
      </c>
      <c r="E22" s="31">
        <v>1.57</v>
      </c>
      <c r="F22" s="31">
        <v>1.57</v>
      </c>
      <c r="G22" s="31">
        <v>2.09</v>
      </c>
      <c r="H22" s="31">
        <v>1</v>
      </c>
      <c r="I22" s="38">
        <v>1.33</v>
      </c>
      <c r="J22" s="36">
        <v>1.56</v>
      </c>
      <c r="K22" s="33" t="s">
        <v>5</v>
      </c>
      <c r="M22" s="5">
        <v>2.08</v>
      </c>
      <c r="N22" s="6" t="s">
        <v>4</v>
      </c>
      <c r="P22" t="s">
        <v>21</v>
      </c>
      <c r="Q22" s="22">
        <v>0</v>
      </c>
      <c r="S22" s="5">
        <v>2.0499999999999998</v>
      </c>
      <c r="U22" s="28">
        <f t="shared" si="0"/>
        <v>2.0499999999999998</v>
      </c>
    </row>
    <row r="23" spans="2:22">
      <c r="B23" s="3" t="s">
        <v>36</v>
      </c>
      <c r="C23" s="31">
        <v>3.17</v>
      </c>
      <c r="D23" s="31">
        <v>3.17</v>
      </c>
      <c r="E23" s="31">
        <v>3.17</v>
      </c>
      <c r="F23" s="31">
        <v>3.17</v>
      </c>
      <c r="G23" s="31">
        <v>2.59</v>
      </c>
      <c r="H23" s="31">
        <v>1.23</v>
      </c>
      <c r="I23" s="31">
        <v>1.33</v>
      </c>
      <c r="J23" s="33" t="s">
        <v>5</v>
      </c>
      <c r="K23" s="33" t="s">
        <v>5</v>
      </c>
      <c r="M23" s="6" t="s">
        <v>4</v>
      </c>
      <c r="N23" s="6" t="s">
        <v>4</v>
      </c>
      <c r="P23" t="s">
        <v>21</v>
      </c>
      <c r="Q23" s="22">
        <v>1</v>
      </c>
      <c r="S23" s="5">
        <v>1.49</v>
      </c>
      <c r="U23" s="28">
        <f t="shared" si="0"/>
        <v>1.49</v>
      </c>
    </row>
    <row r="24" spans="2:22">
      <c r="B24" s="3" t="s">
        <v>37</v>
      </c>
      <c r="C24" s="31">
        <v>2</v>
      </c>
      <c r="D24" s="31">
        <v>1.5</v>
      </c>
      <c r="E24" s="31">
        <v>1.5</v>
      </c>
      <c r="F24" s="31">
        <v>1.5</v>
      </c>
      <c r="G24" s="31">
        <v>2</v>
      </c>
      <c r="H24" s="31">
        <v>1.33</v>
      </c>
      <c r="I24" s="38">
        <v>1.33</v>
      </c>
      <c r="J24" s="36">
        <v>1.5</v>
      </c>
      <c r="K24" s="33" t="s">
        <v>5</v>
      </c>
      <c r="M24" s="5">
        <v>3</v>
      </c>
      <c r="N24" s="6" t="s">
        <v>4</v>
      </c>
      <c r="P24" t="s">
        <v>21</v>
      </c>
      <c r="Q24" s="22" t="s">
        <v>118</v>
      </c>
      <c r="S24" s="5">
        <v>1.49</v>
      </c>
      <c r="U24" s="28">
        <f t="shared" si="0"/>
        <v>1.49</v>
      </c>
    </row>
    <row r="25" spans="2:22">
      <c r="B25" s="3" t="s">
        <v>38</v>
      </c>
      <c r="C25" s="31">
        <v>2.12</v>
      </c>
      <c r="D25" s="31">
        <v>2.12</v>
      </c>
      <c r="E25" s="31">
        <v>2.12</v>
      </c>
      <c r="F25" s="31">
        <v>2.12</v>
      </c>
      <c r="G25" s="31">
        <v>1.95</v>
      </c>
      <c r="H25" s="31">
        <v>0.54</v>
      </c>
      <c r="I25" s="31">
        <v>1.33</v>
      </c>
      <c r="J25" s="33" t="s">
        <v>5</v>
      </c>
      <c r="K25" s="33" t="s">
        <v>5</v>
      </c>
      <c r="M25" s="6" t="s">
        <v>4</v>
      </c>
      <c r="N25" s="6" t="s">
        <v>4</v>
      </c>
      <c r="P25" t="s">
        <v>21</v>
      </c>
      <c r="Q25" s="22" t="s">
        <v>119</v>
      </c>
      <c r="S25" s="5">
        <v>1.33</v>
      </c>
      <c r="U25" s="28">
        <f t="shared" si="0"/>
        <v>1.33</v>
      </c>
    </row>
    <row r="26" spans="2:22">
      <c r="B26" s="3" t="s">
        <v>39</v>
      </c>
      <c r="C26" s="35">
        <v>2.83</v>
      </c>
      <c r="D26" s="35">
        <v>2.83</v>
      </c>
      <c r="E26" s="31">
        <v>2.75</v>
      </c>
      <c r="F26" s="31">
        <v>2.75</v>
      </c>
      <c r="G26" s="31">
        <v>2.78</v>
      </c>
      <c r="H26" s="31">
        <v>1.33</v>
      </c>
      <c r="I26" s="38">
        <v>2</v>
      </c>
      <c r="J26" s="26" t="s">
        <v>5</v>
      </c>
      <c r="K26" s="33" t="s">
        <v>77</v>
      </c>
      <c r="M26" s="6" t="s">
        <v>4</v>
      </c>
      <c r="N26" s="6" t="s">
        <v>4</v>
      </c>
      <c r="P26" t="s">
        <v>21</v>
      </c>
      <c r="Q26" s="22" t="s">
        <v>127</v>
      </c>
      <c r="S26" s="5">
        <v>2.2000000000000002</v>
      </c>
      <c r="U26" s="28">
        <f t="shared" si="0"/>
        <v>2.2000000000000002</v>
      </c>
    </row>
    <row r="27" spans="2:22">
      <c r="B27" s="3" t="s">
        <v>40</v>
      </c>
      <c r="C27" s="31">
        <v>1.94</v>
      </c>
      <c r="D27" s="31">
        <v>1.43</v>
      </c>
      <c r="E27" s="31">
        <v>1.43</v>
      </c>
      <c r="F27" s="31">
        <v>1.33</v>
      </c>
      <c r="G27" s="31">
        <v>1.94</v>
      </c>
      <c r="H27" s="34" t="s">
        <v>24</v>
      </c>
      <c r="I27" s="32" t="s">
        <v>5</v>
      </c>
      <c r="J27" s="33" t="s">
        <v>5</v>
      </c>
      <c r="K27" s="33" t="s">
        <v>5</v>
      </c>
      <c r="M27" s="5">
        <v>2.09</v>
      </c>
      <c r="N27" s="6" t="s">
        <v>4</v>
      </c>
      <c r="P27" t="s">
        <v>21</v>
      </c>
      <c r="Q27" s="22" t="s">
        <v>126</v>
      </c>
      <c r="S27" s="27">
        <v>0.32</v>
      </c>
      <c r="T27" s="22" t="s">
        <v>77</v>
      </c>
      <c r="U27" s="28">
        <f t="shared" si="0"/>
        <v>0.32</v>
      </c>
      <c r="V27" s="22" t="s">
        <v>77</v>
      </c>
    </row>
    <row r="28" spans="2:22" ht="17.25">
      <c r="B28" s="3" t="s">
        <v>41</v>
      </c>
      <c r="C28" s="31">
        <v>1.96</v>
      </c>
      <c r="D28" s="31">
        <v>1.5</v>
      </c>
      <c r="E28" s="31">
        <v>1.5</v>
      </c>
      <c r="F28" s="31">
        <v>1.5</v>
      </c>
      <c r="G28" s="31">
        <v>1.96</v>
      </c>
      <c r="H28" s="39" t="s">
        <v>113</v>
      </c>
      <c r="I28" s="40" t="s">
        <v>135</v>
      </c>
      <c r="J28" s="33" t="s">
        <v>5</v>
      </c>
      <c r="K28" s="33" t="s">
        <v>5</v>
      </c>
      <c r="M28" s="5">
        <v>3</v>
      </c>
      <c r="N28" s="5">
        <v>3</v>
      </c>
      <c r="P28" t="s">
        <v>21</v>
      </c>
      <c r="Q28" s="22" t="s">
        <v>128</v>
      </c>
      <c r="S28" s="5" t="s">
        <v>5</v>
      </c>
      <c r="T28" s="22"/>
      <c r="U28" s="28" t="str">
        <f t="shared" si="0"/>
        <v>No</v>
      </c>
      <c r="V28" s="22"/>
    </row>
    <row r="29" spans="2:22">
      <c r="B29" s="3" t="s">
        <v>43</v>
      </c>
      <c r="C29" s="31">
        <v>1.43</v>
      </c>
      <c r="D29" s="31">
        <v>1.43</v>
      </c>
      <c r="E29" s="31">
        <v>1.43</v>
      </c>
      <c r="F29" s="31">
        <v>1.43</v>
      </c>
      <c r="G29" s="31">
        <v>1.57</v>
      </c>
      <c r="H29" s="31">
        <v>0.24</v>
      </c>
      <c r="I29" s="31">
        <v>1.33</v>
      </c>
      <c r="J29" s="33" t="s">
        <v>5</v>
      </c>
      <c r="K29" s="33" t="s">
        <v>5</v>
      </c>
      <c r="M29" s="5">
        <v>2.61</v>
      </c>
      <c r="N29" s="6" t="s">
        <v>4</v>
      </c>
      <c r="P29" t="s">
        <v>21</v>
      </c>
      <c r="Q29" s="22" t="s">
        <v>130</v>
      </c>
      <c r="S29" s="5" t="s">
        <v>5</v>
      </c>
      <c r="T29" s="22"/>
      <c r="U29" s="28" t="str">
        <f t="shared" si="0"/>
        <v>No</v>
      </c>
      <c r="V29" s="22"/>
    </row>
    <row r="30" spans="2:22">
      <c r="B30" s="3" t="s">
        <v>44</v>
      </c>
      <c r="C30" s="31">
        <v>2.13</v>
      </c>
      <c r="D30" s="31">
        <v>2.13</v>
      </c>
      <c r="E30" s="31">
        <v>2.13</v>
      </c>
      <c r="F30" s="31">
        <v>2.13</v>
      </c>
      <c r="G30" s="31">
        <v>1.94</v>
      </c>
      <c r="H30" s="31">
        <v>0.57999999999999996</v>
      </c>
      <c r="I30" s="32" t="s">
        <v>5</v>
      </c>
      <c r="J30" s="33" t="s">
        <v>5</v>
      </c>
      <c r="K30" s="33" t="s">
        <v>5</v>
      </c>
      <c r="M30" s="6" t="s">
        <v>4</v>
      </c>
      <c r="N30" s="6" t="s">
        <v>4</v>
      </c>
      <c r="P30" t="s">
        <v>21</v>
      </c>
      <c r="Q30" s="22" t="s">
        <v>134</v>
      </c>
      <c r="S30" s="5" t="s">
        <v>5</v>
      </c>
      <c r="T30" s="22"/>
      <c r="U30" s="28" t="str">
        <f t="shared" si="0"/>
        <v>No</v>
      </c>
      <c r="V30" s="22"/>
    </row>
    <row r="31" spans="2:22">
      <c r="B31" s="3" t="s">
        <v>45</v>
      </c>
      <c r="C31" s="31">
        <v>1.6</v>
      </c>
      <c r="D31" s="31">
        <v>1.6</v>
      </c>
      <c r="E31" s="31">
        <v>1.6</v>
      </c>
      <c r="F31" s="31">
        <v>1.33</v>
      </c>
      <c r="G31" s="31">
        <v>1.6</v>
      </c>
      <c r="H31" s="34" t="s">
        <v>46</v>
      </c>
      <c r="I31" s="31">
        <v>1.33</v>
      </c>
      <c r="J31" s="33" t="s">
        <v>5</v>
      </c>
      <c r="K31" s="33" t="s">
        <v>5</v>
      </c>
      <c r="M31" s="5">
        <v>2</v>
      </c>
      <c r="N31" s="6" t="s">
        <v>4</v>
      </c>
      <c r="P31" t="s">
        <v>34</v>
      </c>
      <c r="Q31" s="22">
        <v>0</v>
      </c>
      <c r="S31" s="5">
        <v>2.12</v>
      </c>
      <c r="T31" s="22"/>
      <c r="U31" s="28">
        <f t="shared" si="0"/>
        <v>2.12</v>
      </c>
      <c r="V31" s="22"/>
    </row>
    <row r="32" spans="2:22">
      <c r="B32" s="3" t="s">
        <v>47</v>
      </c>
      <c r="C32" s="31">
        <v>3.18</v>
      </c>
      <c r="D32" s="31">
        <v>3.18</v>
      </c>
      <c r="E32" s="31">
        <v>3.18</v>
      </c>
      <c r="F32" s="31">
        <v>3.18</v>
      </c>
      <c r="G32" s="31">
        <v>1.96</v>
      </c>
      <c r="H32" s="34" t="s">
        <v>48</v>
      </c>
      <c r="I32" s="31">
        <v>1.33</v>
      </c>
      <c r="J32" s="33" t="s">
        <v>5</v>
      </c>
      <c r="K32" s="33" t="s">
        <v>5</v>
      </c>
      <c r="M32" s="6" t="s">
        <v>4</v>
      </c>
      <c r="N32" s="6" t="s">
        <v>4</v>
      </c>
      <c r="P32" t="s">
        <v>34</v>
      </c>
      <c r="Q32" s="22">
        <v>1</v>
      </c>
      <c r="S32" s="5">
        <v>2.12</v>
      </c>
      <c r="T32" s="22"/>
      <c r="U32" s="28">
        <f t="shared" si="0"/>
        <v>2.12</v>
      </c>
      <c r="V32" s="22"/>
    </row>
    <row r="33" spans="2:22">
      <c r="B33" s="3" t="s">
        <v>49</v>
      </c>
      <c r="C33" s="31">
        <v>1.94</v>
      </c>
      <c r="D33" s="31">
        <v>1.42</v>
      </c>
      <c r="E33" s="31">
        <v>1.42</v>
      </c>
      <c r="F33" s="31">
        <v>1.42</v>
      </c>
      <c r="G33" s="31">
        <v>1.94</v>
      </c>
      <c r="H33" s="34" t="s">
        <v>50</v>
      </c>
      <c r="I33" s="31">
        <v>1.33</v>
      </c>
      <c r="J33" s="33" t="s">
        <v>5</v>
      </c>
      <c r="K33" s="33" t="s">
        <v>5</v>
      </c>
      <c r="M33" s="5">
        <v>3.5</v>
      </c>
      <c r="N33" s="5">
        <v>2</v>
      </c>
      <c r="P33" t="s">
        <v>34</v>
      </c>
      <c r="Q33" s="22" t="s">
        <v>118</v>
      </c>
      <c r="S33" s="5">
        <v>2.12</v>
      </c>
      <c r="T33" s="22"/>
      <c r="U33" s="28">
        <f t="shared" si="0"/>
        <v>2.12</v>
      </c>
      <c r="V33" s="22"/>
    </row>
    <row r="34" spans="2:22">
      <c r="B34" s="3" t="s">
        <v>51</v>
      </c>
      <c r="C34" s="31">
        <v>3</v>
      </c>
      <c r="D34" s="31">
        <v>3</v>
      </c>
      <c r="E34" s="31">
        <v>3</v>
      </c>
      <c r="F34" s="31">
        <v>2.4</v>
      </c>
      <c r="G34" s="31">
        <v>2.5</v>
      </c>
      <c r="H34" s="34" t="s">
        <v>52</v>
      </c>
      <c r="I34" s="31">
        <v>1.33</v>
      </c>
      <c r="J34" s="33" t="s">
        <v>5</v>
      </c>
      <c r="K34" s="33" t="s">
        <v>5</v>
      </c>
      <c r="M34" s="6" t="s">
        <v>4</v>
      </c>
      <c r="N34" s="6" t="s">
        <v>4</v>
      </c>
      <c r="P34" t="s">
        <v>34</v>
      </c>
      <c r="Q34" s="22" t="s">
        <v>119</v>
      </c>
      <c r="S34" s="5">
        <v>2.12</v>
      </c>
      <c r="T34" s="22"/>
      <c r="U34" s="28">
        <f t="shared" si="0"/>
        <v>2.12</v>
      </c>
      <c r="V34" s="22"/>
    </row>
    <row r="35" spans="2:22">
      <c r="B35" s="3" t="s">
        <v>53</v>
      </c>
      <c r="C35" s="31">
        <v>2.1800000000000002</v>
      </c>
      <c r="D35" s="31">
        <v>1.49</v>
      </c>
      <c r="E35" s="31">
        <v>1.49</v>
      </c>
      <c r="F35" s="31">
        <v>1.49</v>
      </c>
      <c r="G35" s="31">
        <v>2.1800000000000002</v>
      </c>
      <c r="H35" s="31">
        <v>1.33</v>
      </c>
      <c r="I35" s="38">
        <v>2</v>
      </c>
      <c r="J35" s="33" t="s">
        <v>5</v>
      </c>
      <c r="K35" s="33" t="s">
        <v>77</v>
      </c>
      <c r="M35" s="5">
        <v>4</v>
      </c>
      <c r="N35" s="6" t="s">
        <v>4</v>
      </c>
      <c r="P35" t="s">
        <v>34</v>
      </c>
      <c r="Q35" s="22" t="s">
        <v>127</v>
      </c>
      <c r="S35" s="5">
        <v>1.33</v>
      </c>
      <c r="T35" s="22"/>
      <c r="U35" s="28">
        <f t="shared" si="0"/>
        <v>1.33</v>
      </c>
      <c r="V35" s="22"/>
    </row>
    <row r="36" spans="2:22">
      <c r="B36" s="3" t="s">
        <v>54</v>
      </c>
      <c r="C36" s="31">
        <v>2.1</v>
      </c>
      <c r="D36" s="31">
        <v>2.1</v>
      </c>
      <c r="E36" s="31">
        <v>2.1</v>
      </c>
      <c r="F36" s="31">
        <v>1.33</v>
      </c>
      <c r="G36" s="31">
        <v>1.96</v>
      </c>
      <c r="H36" s="34" t="s">
        <v>56</v>
      </c>
      <c r="I36" s="40" t="s">
        <v>5</v>
      </c>
      <c r="J36" s="36">
        <v>0.42</v>
      </c>
      <c r="K36" s="33" t="s">
        <v>5</v>
      </c>
      <c r="M36" s="18" t="s">
        <v>55</v>
      </c>
      <c r="N36" s="6" t="s">
        <v>4</v>
      </c>
      <c r="P36" t="s">
        <v>34</v>
      </c>
      <c r="Q36" s="22" t="s">
        <v>126</v>
      </c>
      <c r="S36" s="5">
        <v>0.19</v>
      </c>
      <c r="T36" s="22" t="s">
        <v>5</v>
      </c>
      <c r="U36" s="28">
        <f t="shared" si="0"/>
        <v>0.19</v>
      </c>
      <c r="V36" s="22" t="s">
        <v>5</v>
      </c>
    </row>
    <row r="37" spans="2:22">
      <c r="B37" s="3" t="s">
        <v>57</v>
      </c>
      <c r="C37" s="31">
        <v>1.47</v>
      </c>
      <c r="D37" s="31">
        <v>1.47</v>
      </c>
      <c r="E37" s="31">
        <v>1.47</v>
      </c>
      <c r="F37" s="31">
        <v>1.33</v>
      </c>
      <c r="G37" s="31">
        <v>1.47</v>
      </c>
      <c r="H37" s="34" t="s">
        <v>58</v>
      </c>
      <c r="I37" s="31">
        <v>1.33</v>
      </c>
      <c r="J37" s="33" t="s">
        <v>5</v>
      </c>
      <c r="K37" s="33" t="s">
        <v>5</v>
      </c>
      <c r="M37" s="5">
        <v>1.7</v>
      </c>
      <c r="N37" s="6" t="s">
        <v>4</v>
      </c>
      <c r="P37" t="s">
        <v>34</v>
      </c>
      <c r="Q37" s="22" t="s">
        <v>128</v>
      </c>
      <c r="S37" s="5">
        <v>1.33</v>
      </c>
      <c r="T37" s="22"/>
      <c r="U37" s="28">
        <f t="shared" si="0"/>
        <v>1.33</v>
      </c>
      <c r="V37" s="22"/>
    </row>
    <row r="38" spans="2:22">
      <c r="B38" s="3" t="s">
        <v>59</v>
      </c>
      <c r="C38" s="31">
        <v>2.06</v>
      </c>
      <c r="D38" s="31">
        <v>2.06</v>
      </c>
      <c r="E38" s="31">
        <v>2.06</v>
      </c>
      <c r="F38" s="31">
        <v>2.06</v>
      </c>
      <c r="G38" s="31">
        <v>2</v>
      </c>
      <c r="H38" s="31">
        <v>0.9</v>
      </c>
      <c r="I38" s="31">
        <v>1.33</v>
      </c>
      <c r="J38" s="33" t="s">
        <v>5</v>
      </c>
      <c r="K38" s="33" t="s">
        <v>5</v>
      </c>
      <c r="M38" s="6" t="s">
        <v>4</v>
      </c>
      <c r="N38" s="6" t="s">
        <v>4</v>
      </c>
      <c r="P38" t="s">
        <v>34</v>
      </c>
      <c r="Q38" s="22" t="s">
        <v>130</v>
      </c>
      <c r="S38" s="5" t="s">
        <v>5</v>
      </c>
      <c r="T38" s="22"/>
      <c r="U38" s="28" t="str">
        <f t="shared" si="0"/>
        <v>No</v>
      </c>
      <c r="V38" s="22"/>
    </row>
    <row r="39" spans="2:22" ht="17.25">
      <c r="B39" s="3" t="s">
        <v>60</v>
      </c>
      <c r="C39" s="31">
        <v>2.0499999999999998</v>
      </c>
      <c r="D39" s="31">
        <v>2.0499999999999998</v>
      </c>
      <c r="E39" s="31">
        <v>2.0499999999999998</v>
      </c>
      <c r="F39" s="31">
        <v>2.0499999999999998</v>
      </c>
      <c r="G39" s="31">
        <v>1.33</v>
      </c>
      <c r="H39" s="39" t="s">
        <v>114</v>
      </c>
      <c r="I39" s="40" t="s">
        <v>135</v>
      </c>
      <c r="J39" s="33" t="s">
        <v>5</v>
      </c>
      <c r="K39" s="33" t="s">
        <v>5</v>
      </c>
      <c r="M39" s="6" t="s">
        <v>4</v>
      </c>
      <c r="N39" s="6" t="s">
        <v>4</v>
      </c>
      <c r="P39" t="s">
        <v>34</v>
      </c>
      <c r="Q39" s="22" t="s">
        <v>134</v>
      </c>
      <c r="S39" s="5" t="s">
        <v>5</v>
      </c>
      <c r="T39" s="22"/>
      <c r="U39" s="28" t="str">
        <f t="shared" si="0"/>
        <v>No</v>
      </c>
      <c r="V39" s="22"/>
    </row>
    <row r="40" spans="2:22">
      <c r="B40" s="3" t="s">
        <v>61</v>
      </c>
      <c r="C40" s="31">
        <v>1.85</v>
      </c>
      <c r="D40" s="31">
        <v>1.33</v>
      </c>
      <c r="E40" s="31">
        <v>1.33</v>
      </c>
      <c r="F40" s="31">
        <v>1.33</v>
      </c>
      <c r="G40" s="31">
        <v>1.85</v>
      </c>
      <c r="H40" s="34" t="s">
        <v>62</v>
      </c>
      <c r="I40" s="31">
        <v>1.33</v>
      </c>
      <c r="J40" s="33" t="s">
        <v>5</v>
      </c>
      <c r="K40" s="33" t="s">
        <v>5</v>
      </c>
      <c r="M40" s="5">
        <v>3</v>
      </c>
      <c r="N40" s="6" t="s">
        <v>4</v>
      </c>
      <c r="P40" t="s">
        <v>54</v>
      </c>
      <c r="Q40" s="22">
        <v>0</v>
      </c>
      <c r="S40" s="5">
        <v>2.1</v>
      </c>
      <c r="T40" s="22"/>
      <c r="U40" s="28">
        <f t="shared" si="0"/>
        <v>2.1</v>
      </c>
      <c r="V40" s="22"/>
    </row>
    <row r="41" spans="2:22">
      <c r="B41" s="3" t="s">
        <v>63</v>
      </c>
      <c r="C41" s="31">
        <v>2.15</v>
      </c>
      <c r="D41" s="31">
        <v>1.57</v>
      </c>
      <c r="E41" s="31">
        <v>1.57</v>
      </c>
      <c r="F41" s="31">
        <v>1.33</v>
      </c>
      <c r="G41" s="31">
        <v>2.15</v>
      </c>
      <c r="H41" s="31">
        <v>0.33</v>
      </c>
      <c r="I41" s="31">
        <v>1.33</v>
      </c>
      <c r="J41" s="33" t="s">
        <v>5</v>
      </c>
      <c r="K41" s="33" t="s">
        <v>5</v>
      </c>
      <c r="M41" s="5">
        <v>3.14</v>
      </c>
      <c r="N41" s="6" t="s">
        <v>4</v>
      </c>
      <c r="P41" t="s">
        <v>54</v>
      </c>
      <c r="Q41" s="22">
        <v>1</v>
      </c>
      <c r="S41" s="5">
        <v>2.1</v>
      </c>
      <c r="T41" s="22"/>
      <c r="U41" s="28">
        <f t="shared" si="0"/>
        <v>2.1</v>
      </c>
      <c r="V41" s="22"/>
    </row>
    <row r="42" spans="2:22">
      <c r="B42" s="3" t="s">
        <v>64</v>
      </c>
      <c r="C42" s="31">
        <v>2.61</v>
      </c>
      <c r="D42" s="31">
        <v>2.61</v>
      </c>
      <c r="E42" s="31">
        <v>2.61</v>
      </c>
      <c r="F42" s="31">
        <v>2.61</v>
      </c>
      <c r="G42" s="31">
        <v>1.9</v>
      </c>
      <c r="H42" s="31">
        <v>1.1599999999999999</v>
      </c>
      <c r="I42" s="31">
        <v>1.33</v>
      </c>
      <c r="J42" s="33" t="s">
        <v>5</v>
      </c>
      <c r="K42" s="33" t="s">
        <v>5</v>
      </c>
      <c r="M42" s="6" t="s">
        <v>4</v>
      </c>
      <c r="N42" s="5">
        <v>2.5299999999999998</v>
      </c>
      <c r="P42" t="s">
        <v>54</v>
      </c>
      <c r="Q42" s="22" t="s">
        <v>118</v>
      </c>
      <c r="S42" s="5">
        <v>2.1</v>
      </c>
      <c r="T42" s="22"/>
      <c r="U42" s="28">
        <f t="shared" si="0"/>
        <v>2.1</v>
      </c>
      <c r="V42" s="22"/>
    </row>
    <row r="43" spans="2:22" ht="13.5" customHeight="1">
      <c r="B43" s="3" t="s">
        <v>65</v>
      </c>
      <c r="C43" s="31">
        <v>2.08</v>
      </c>
      <c r="D43" s="31">
        <v>2.08</v>
      </c>
      <c r="E43" s="31">
        <v>2.08</v>
      </c>
      <c r="F43" s="31">
        <v>2.08</v>
      </c>
      <c r="G43" s="31">
        <v>1.94</v>
      </c>
      <c r="H43" s="31">
        <v>0.62</v>
      </c>
      <c r="I43" s="32" t="s">
        <v>5</v>
      </c>
      <c r="J43" s="33" t="s">
        <v>5</v>
      </c>
      <c r="K43" s="33" t="s">
        <v>5</v>
      </c>
      <c r="M43" s="6" t="s">
        <v>4</v>
      </c>
      <c r="N43" s="6" t="s">
        <v>4</v>
      </c>
      <c r="P43" t="s">
        <v>54</v>
      </c>
      <c r="Q43" s="22" t="s">
        <v>119</v>
      </c>
      <c r="S43" s="5">
        <v>1.33</v>
      </c>
      <c r="T43" s="22"/>
      <c r="U43" s="28">
        <f t="shared" si="0"/>
        <v>1.33</v>
      </c>
      <c r="V43" s="22"/>
    </row>
    <row r="44" spans="2:22">
      <c r="B44" s="3" t="s">
        <v>66</v>
      </c>
      <c r="C44" s="31">
        <v>1.82</v>
      </c>
      <c r="D44" s="31">
        <v>1.82</v>
      </c>
      <c r="E44" s="31">
        <v>1.82</v>
      </c>
      <c r="F44" s="31">
        <v>1.82</v>
      </c>
      <c r="G44" s="31">
        <v>1.33</v>
      </c>
      <c r="H44" s="34" t="s">
        <v>67</v>
      </c>
      <c r="I44" s="32" t="s">
        <v>5</v>
      </c>
      <c r="J44" s="33" t="s">
        <v>5</v>
      </c>
      <c r="K44" s="33" t="s">
        <v>5</v>
      </c>
      <c r="M44" s="5">
        <v>2.04</v>
      </c>
      <c r="N44" s="6" t="s">
        <v>4</v>
      </c>
      <c r="P44" t="s">
        <v>54</v>
      </c>
      <c r="Q44" s="22" t="s">
        <v>127</v>
      </c>
      <c r="S44" s="5">
        <v>1.96</v>
      </c>
      <c r="T44" s="22"/>
      <c r="U44" s="28">
        <f t="shared" si="0"/>
        <v>1.96</v>
      </c>
      <c r="V44" s="22"/>
    </row>
    <row r="45" spans="2:22">
      <c r="B45" s="3" t="s">
        <v>68</v>
      </c>
      <c r="C45" s="31">
        <v>1.95</v>
      </c>
      <c r="D45" s="31">
        <v>1.42</v>
      </c>
      <c r="E45" s="31">
        <v>1.42</v>
      </c>
      <c r="F45" s="31">
        <v>1.33</v>
      </c>
      <c r="G45" s="31">
        <v>1.95</v>
      </c>
      <c r="H45" s="34" t="s">
        <v>69</v>
      </c>
      <c r="I45" s="32" t="s">
        <v>5</v>
      </c>
      <c r="J45" s="33" t="s">
        <v>5</v>
      </c>
      <c r="K45" s="33" t="s">
        <v>5</v>
      </c>
      <c r="M45" s="5">
        <v>2.5</v>
      </c>
      <c r="N45" s="6" t="s">
        <v>4</v>
      </c>
      <c r="P45" t="s">
        <v>54</v>
      </c>
      <c r="Q45" s="22" t="s">
        <v>126</v>
      </c>
      <c r="S45" s="27">
        <v>0.42</v>
      </c>
      <c r="T45" s="22" t="s">
        <v>77</v>
      </c>
      <c r="U45" s="28">
        <f t="shared" si="0"/>
        <v>0.42</v>
      </c>
      <c r="V45" s="22" t="s">
        <v>77</v>
      </c>
    </row>
    <row r="46" spans="2:22">
      <c r="B46" s="3" t="s">
        <v>70</v>
      </c>
      <c r="C46" s="31">
        <v>1.98</v>
      </c>
      <c r="D46" s="31">
        <v>1.44</v>
      </c>
      <c r="E46" s="31">
        <v>1.44</v>
      </c>
      <c r="F46" s="31">
        <v>1.33</v>
      </c>
      <c r="G46" s="31">
        <v>1.98</v>
      </c>
      <c r="H46" s="34" t="s">
        <v>71</v>
      </c>
      <c r="I46" s="32" t="s">
        <v>5</v>
      </c>
      <c r="J46" s="33" t="s">
        <v>5</v>
      </c>
      <c r="K46" s="33" t="s">
        <v>5</v>
      </c>
      <c r="M46" s="5">
        <v>2.0099999999999998</v>
      </c>
      <c r="N46" s="6" t="s">
        <v>4</v>
      </c>
      <c r="P46" t="s">
        <v>54</v>
      </c>
      <c r="Q46" s="22" t="s">
        <v>128</v>
      </c>
      <c r="S46" s="13" t="s">
        <v>5</v>
      </c>
      <c r="T46" s="22"/>
      <c r="U46" s="28" t="str">
        <f t="shared" si="0"/>
        <v>No</v>
      </c>
      <c r="V46" s="22"/>
    </row>
    <row r="47" spans="2:22" ht="17.25">
      <c r="B47" s="3" t="s">
        <v>72</v>
      </c>
      <c r="C47" s="31">
        <v>1.39</v>
      </c>
      <c r="D47" s="31">
        <v>1.39</v>
      </c>
      <c r="E47" s="31">
        <v>1.39</v>
      </c>
      <c r="F47" s="31">
        <v>1.33</v>
      </c>
      <c r="G47" s="31">
        <v>1.39</v>
      </c>
      <c r="H47" s="40" t="s">
        <v>115</v>
      </c>
      <c r="I47" s="40" t="s">
        <v>117</v>
      </c>
      <c r="J47" s="33" t="s">
        <v>5</v>
      </c>
      <c r="K47" s="33" t="s">
        <v>5</v>
      </c>
      <c r="M47" s="5">
        <v>2</v>
      </c>
      <c r="N47" s="6" t="s">
        <v>4</v>
      </c>
      <c r="P47" t="s">
        <v>54</v>
      </c>
      <c r="Q47" s="22" t="s">
        <v>130</v>
      </c>
      <c r="S47" s="2">
        <v>0.42</v>
      </c>
      <c r="T47" s="22"/>
      <c r="U47" s="28">
        <f t="shared" si="0"/>
        <v>0.42</v>
      </c>
      <c r="V47" s="22"/>
    </row>
    <row r="48" spans="2:22">
      <c r="B48" s="3" t="s">
        <v>73</v>
      </c>
      <c r="C48" s="31">
        <v>3.12</v>
      </c>
      <c r="D48" s="31">
        <v>3.12</v>
      </c>
      <c r="E48" s="31">
        <v>3.12</v>
      </c>
      <c r="F48" s="31">
        <v>3.12</v>
      </c>
      <c r="G48" s="31">
        <v>2.08</v>
      </c>
      <c r="H48" s="34" t="s">
        <v>74</v>
      </c>
      <c r="I48" s="31">
        <v>1.33</v>
      </c>
      <c r="J48" s="33" t="s">
        <v>5</v>
      </c>
      <c r="K48" s="33" t="s">
        <v>5</v>
      </c>
      <c r="M48" s="6" t="s">
        <v>4</v>
      </c>
      <c r="N48" s="6" t="s">
        <v>4</v>
      </c>
      <c r="P48" t="s">
        <v>54</v>
      </c>
      <c r="Q48" s="22" t="s">
        <v>134</v>
      </c>
      <c r="S48" s="22" t="s">
        <v>5</v>
      </c>
      <c r="T48" s="22"/>
      <c r="U48" s="28" t="str">
        <f t="shared" si="0"/>
        <v>No</v>
      </c>
      <c r="V48" s="22"/>
    </row>
    <row r="49" spans="2:22">
      <c r="B49" s="3" t="s">
        <v>75</v>
      </c>
      <c r="C49" s="31">
        <v>1.43</v>
      </c>
      <c r="D49" s="31">
        <v>1.43</v>
      </c>
      <c r="E49" s="31">
        <v>1.43</v>
      </c>
      <c r="F49" s="31">
        <v>1.43</v>
      </c>
      <c r="G49" s="31">
        <v>1.43</v>
      </c>
      <c r="H49" s="34" t="s">
        <v>76</v>
      </c>
      <c r="I49" s="32" t="s">
        <v>77</v>
      </c>
      <c r="J49" s="33" t="s">
        <v>5</v>
      </c>
      <c r="K49" s="33" t="s">
        <v>5</v>
      </c>
      <c r="M49" s="5">
        <v>2</v>
      </c>
      <c r="N49" s="5">
        <v>2</v>
      </c>
      <c r="P49" t="s">
        <v>68</v>
      </c>
      <c r="Q49" s="22">
        <v>0</v>
      </c>
      <c r="S49" s="5">
        <v>1.95</v>
      </c>
      <c r="U49" s="28">
        <f t="shared" si="0"/>
        <v>1.95</v>
      </c>
    </row>
    <row r="50" spans="2:22">
      <c r="B50" s="3" t="s">
        <v>78</v>
      </c>
      <c r="C50" s="31">
        <v>2.1</v>
      </c>
      <c r="D50" s="31">
        <v>2.1</v>
      </c>
      <c r="E50" s="31">
        <v>2.1</v>
      </c>
      <c r="F50" s="31">
        <v>2.1</v>
      </c>
      <c r="G50" s="31">
        <v>1.93</v>
      </c>
      <c r="H50" s="34" t="s">
        <v>79</v>
      </c>
      <c r="I50" s="31">
        <v>1.33</v>
      </c>
      <c r="J50" s="33" t="s">
        <v>5</v>
      </c>
      <c r="K50" s="33" t="s">
        <v>5</v>
      </c>
      <c r="M50" s="5">
        <v>3.12</v>
      </c>
      <c r="N50" s="6" t="s">
        <v>4</v>
      </c>
      <c r="P50" t="s">
        <v>68</v>
      </c>
      <c r="Q50" s="22">
        <v>1</v>
      </c>
      <c r="S50" s="5">
        <v>1.42</v>
      </c>
      <c r="U50" s="28">
        <f t="shared" si="0"/>
        <v>1.42</v>
      </c>
    </row>
    <row r="51" spans="2:22">
      <c r="B51" s="3" t="s">
        <v>80</v>
      </c>
      <c r="C51" s="31">
        <v>1.58</v>
      </c>
      <c r="D51" s="31">
        <v>1.41</v>
      </c>
      <c r="E51" s="31">
        <v>1.41</v>
      </c>
      <c r="F51" s="31">
        <v>1.33</v>
      </c>
      <c r="G51" s="31">
        <v>1.58</v>
      </c>
      <c r="H51" s="34" t="s">
        <v>81</v>
      </c>
      <c r="I51" s="31">
        <v>1.33</v>
      </c>
      <c r="J51" s="33" t="s">
        <v>5</v>
      </c>
      <c r="K51" s="33" t="s">
        <v>5</v>
      </c>
      <c r="M51" s="5">
        <v>3</v>
      </c>
      <c r="N51" s="6" t="s">
        <v>4</v>
      </c>
      <c r="P51" t="s">
        <v>68</v>
      </c>
      <c r="Q51" s="22" t="s">
        <v>118</v>
      </c>
      <c r="S51" s="5">
        <v>1.42</v>
      </c>
      <c r="U51" s="28">
        <f t="shared" si="0"/>
        <v>1.42</v>
      </c>
    </row>
    <row r="52" spans="2:22" ht="17.25">
      <c r="B52" s="3" t="s">
        <v>82</v>
      </c>
      <c r="C52" s="31">
        <v>3.01</v>
      </c>
      <c r="D52" s="31">
        <v>1.86</v>
      </c>
      <c r="E52" s="31">
        <v>1.86</v>
      </c>
      <c r="F52" s="31">
        <v>1.51</v>
      </c>
      <c r="G52" s="31">
        <v>3.01</v>
      </c>
      <c r="H52" s="40" t="s">
        <v>116</v>
      </c>
      <c r="I52" s="40" t="s">
        <v>117</v>
      </c>
      <c r="J52" s="33" t="s">
        <v>5</v>
      </c>
      <c r="K52" s="33" t="s">
        <v>5</v>
      </c>
      <c r="M52" s="18" t="s">
        <v>83</v>
      </c>
      <c r="N52" s="6" t="s">
        <v>4</v>
      </c>
      <c r="P52" t="s">
        <v>68</v>
      </c>
      <c r="Q52" s="22" t="s">
        <v>119</v>
      </c>
      <c r="S52" s="5">
        <v>1.33</v>
      </c>
      <c r="U52" s="28">
        <f t="shared" si="0"/>
        <v>1.33</v>
      </c>
    </row>
    <row r="53" spans="2:22" ht="15.75" thickBot="1">
      <c r="B53" s="4" t="s">
        <v>84</v>
      </c>
      <c r="C53" s="31">
        <v>1.54</v>
      </c>
      <c r="D53" s="31">
        <v>1.54</v>
      </c>
      <c r="E53" s="31">
        <v>1.54</v>
      </c>
      <c r="F53" s="31">
        <v>1.33</v>
      </c>
      <c r="G53" s="31">
        <v>1.54</v>
      </c>
      <c r="H53" s="34" t="s">
        <v>74</v>
      </c>
      <c r="I53" s="32" t="s">
        <v>5</v>
      </c>
      <c r="J53" s="33" t="s">
        <v>5</v>
      </c>
      <c r="K53" s="33" t="s">
        <v>5</v>
      </c>
      <c r="M53" s="9">
        <v>2</v>
      </c>
      <c r="N53" s="10" t="s">
        <v>4</v>
      </c>
      <c r="P53" t="s">
        <v>68</v>
      </c>
      <c r="Q53" s="22" t="s">
        <v>127</v>
      </c>
      <c r="S53" s="5">
        <v>1.95</v>
      </c>
      <c r="U53" s="28">
        <f t="shared" si="0"/>
        <v>1.95</v>
      </c>
    </row>
    <row r="54" spans="2:22">
      <c r="P54" t="s">
        <v>68</v>
      </c>
      <c r="Q54" s="22" t="s">
        <v>126</v>
      </c>
      <c r="S54" s="27">
        <v>0.98</v>
      </c>
      <c r="T54" s="22" t="s">
        <v>77</v>
      </c>
      <c r="U54" s="28">
        <f t="shared" si="0"/>
        <v>0.98</v>
      </c>
      <c r="V54" s="22" t="s">
        <v>77</v>
      </c>
    </row>
    <row r="55" spans="2:22" ht="16.5">
      <c r="B55" s="14" t="s">
        <v>96</v>
      </c>
      <c r="P55" t="s">
        <v>68</v>
      </c>
      <c r="Q55" s="22" t="s">
        <v>128</v>
      </c>
      <c r="S55" s="22" t="s">
        <v>5</v>
      </c>
      <c r="U55" s="28" t="str">
        <f t="shared" si="0"/>
        <v>No</v>
      </c>
    </row>
    <row r="56" spans="2:22" ht="16.5">
      <c r="B56" s="14" t="s">
        <v>97</v>
      </c>
      <c r="P56" t="s">
        <v>68</v>
      </c>
      <c r="Q56" s="22" t="s">
        <v>130</v>
      </c>
      <c r="S56" s="22" t="s">
        <v>5</v>
      </c>
      <c r="U56" s="28" t="str">
        <f t="shared" si="0"/>
        <v>No</v>
      </c>
    </row>
    <row r="57" spans="2:22" ht="16.5">
      <c r="B57" s="14" t="s">
        <v>98</v>
      </c>
      <c r="P57" t="s">
        <v>68</v>
      </c>
      <c r="Q57" s="22" t="s">
        <v>134</v>
      </c>
      <c r="S57" s="22" t="s">
        <v>5</v>
      </c>
      <c r="U57" s="28" t="str">
        <f t="shared" si="0"/>
        <v>No</v>
      </c>
    </row>
    <row r="58" spans="2:22" ht="16.5">
      <c r="B58" s="14" t="s">
        <v>99</v>
      </c>
      <c r="P58" t="s">
        <v>70</v>
      </c>
      <c r="Q58" s="22">
        <v>0</v>
      </c>
      <c r="S58" s="5">
        <v>1.98</v>
      </c>
      <c r="U58" s="28">
        <f t="shared" si="0"/>
        <v>1.98</v>
      </c>
    </row>
    <row r="59" spans="2:22" ht="16.5">
      <c r="B59" s="14" t="s">
        <v>100</v>
      </c>
      <c r="P59" t="s">
        <v>70</v>
      </c>
      <c r="Q59" s="22">
        <v>1</v>
      </c>
      <c r="S59" s="5">
        <v>1.44</v>
      </c>
      <c r="U59" s="28">
        <f t="shared" si="0"/>
        <v>1.44</v>
      </c>
    </row>
    <row r="60" spans="2:22" ht="16.5">
      <c r="B60" s="14" t="s">
        <v>101</v>
      </c>
      <c r="P60" t="s">
        <v>70</v>
      </c>
      <c r="Q60" s="22" t="s">
        <v>118</v>
      </c>
      <c r="S60" s="5">
        <v>1.44</v>
      </c>
      <c r="U60" s="28">
        <f t="shared" si="0"/>
        <v>1.44</v>
      </c>
    </row>
    <row r="61" spans="2:22" ht="16.5">
      <c r="B61" s="14" t="s">
        <v>102</v>
      </c>
      <c r="P61" t="s">
        <v>70</v>
      </c>
      <c r="Q61" s="22" t="s">
        <v>119</v>
      </c>
      <c r="S61" s="5">
        <v>1.33</v>
      </c>
      <c r="U61" s="28">
        <f t="shared" si="0"/>
        <v>1.33</v>
      </c>
    </row>
    <row r="62" spans="2:22" ht="16.5">
      <c r="B62" s="14" t="s">
        <v>103</v>
      </c>
      <c r="P62" t="s">
        <v>70</v>
      </c>
      <c r="Q62" s="22" t="s">
        <v>127</v>
      </c>
      <c r="S62" s="5">
        <v>1.98</v>
      </c>
      <c r="U62" s="28">
        <f t="shared" si="0"/>
        <v>1.98</v>
      </c>
    </row>
    <row r="63" spans="2:22" ht="16.5">
      <c r="B63" s="14" t="s">
        <v>104</v>
      </c>
      <c r="P63" t="s">
        <v>70</v>
      </c>
      <c r="Q63" s="22" t="s">
        <v>126</v>
      </c>
      <c r="S63" s="27">
        <v>0.15</v>
      </c>
      <c r="T63" t="s">
        <v>77</v>
      </c>
      <c r="U63" s="28">
        <f t="shared" si="0"/>
        <v>0.15</v>
      </c>
      <c r="V63" t="s">
        <v>77</v>
      </c>
    </row>
    <row r="64" spans="2:22">
      <c r="B64" s="15"/>
      <c r="P64" t="s">
        <v>70</v>
      </c>
      <c r="Q64" s="22" t="s">
        <v>128</v>
      </c>
      <c r="S64" s="22" t="s">
        <v>5</v>
      </c>
      <c r="U64" s="28" t="str">
        <f t="shared" si="0"/>
        <v>No</v>
      </c>
    </row>
    <row r="65" spans="2:21" ht="16.5">
      <c r="B65" s="16" t="s">
        <v>105</v>
      </c>
      <c r="P65" t="s">
        <v>70</v>
      </c>
      <c r="Q65" s="22" t="s">
        <v>130</v>
      </c>
      <c r="S65" s="22" t="s">
        <v>5</v>
      </c>
      <c r="U65" s="28" t="str">
        <f t="shared" si="0"/>
        <v>No</v>
      </c>
    </row>
    <row r="66" spans="2:21" ht="16.5">
      <c r="B66" s="16" t="s">
        <v>106</v>
      </c>
      <c r="P66" t="s">
        <v>70</v>
      </c>
      <c r="Q66" s="22" t="s">
        <v>134</v>
      </c>
      <c r="S66" s="22" t="s">
        <v>5</v>
      </c>
      <c r="U66" s="28" t="str">
        <f t="shared" si="0"/>
        <v>No</v>
      </c>
    </row>
    <row r="67" spans="2:21" ht="16.5">
      <c r="B67" s="16" t="s">
        <v>107</v>
      </c>
    </row>
    <row r="68" spans="2:21">
      <c r="B68" s="17"/>
    </row>
    <row r="69" spans="2:21" ht="16.5">
      <c r="B69" s="14" t="s">
        <v>108</v>
      </c>
    </row>
    <row r="70" spans="2:21" ht="16.5">
      <c r="B70" s="14"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Original Reworked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Erik Randolph</cp:lastModifiedBy>
  <dcterms:created xsi:type="dcterms:W3CDTF">2020-02-24T21:05:56Z</dcterms:created>
  <dcterms:modified xsi:type="dcterms:W3CDTF">2020-03-05T20:25:01Z</dcterms:modified>
</cp:coreProperties>
</file>