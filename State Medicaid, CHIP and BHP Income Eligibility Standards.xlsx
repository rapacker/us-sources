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Owner\Documents\Just Saying That\Consulting\GCO\Program Sources\Medicaid and CHIP\"/>
    </mc:Choice>
  </mc:AlternateContent>
  <xr:revisionPtr revIDLastSave="0" documentId="13_ncr:1_{7D6341F3-9DB8-43EA-BB10-5BC950295A14}" xr6:coauthVersionLast="47" xr6:coauthVersionMax="47" xr10:uidLastSave="{00000000-0000-0000-0000-000000000000}"/>
  <bookViews>
    <workbookView xWindow="8920" yWindow="110" windowWidth="10520" windowHeight="10060" firstSheet="2" activeTab="3" xr2:uid="{092E055E-2CA4-4785-BC6D-B69416DFC0C9}"/>
  </bookViews>
  <sheets>
    <sheet name="Medicaid CHIP Income Stand 2021" sheetId="1" r:id="rId1"/>
    <sheet name="Medicaid CHIP Income Stand 2022" sheetId="2" r:id="rId2"/>
    <sheet name="Medicaid CHIP Income Stand 2023" sheetId="4" r:id="rId3"/>
    <sheet name="Medicaid CHIP Income Stand 2024" sheetId="5" r:id="rId4"/>
    <sheet name="Medicaid Chip Stand Sort 2023" sheetId="3" r:id="rId5"/>
    <sheet name="Medicaid Chip Stand Sort 2024" sheetId="6" r:id="rId6"/>
  </sheets>
  <calcPr calcId="191029" iterate="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X10" i="6" l="1"/>
  <c r="AW10" i="6"/>
  <c r="AV10" i="6"/>
  <c r="AU10" i="6"/>
  <c r="AT10" i="6"/>
  <c r="AS10" i="6"/>
  <c r="AR10" i="6"/>
  <c r="AQ10" i="6"/>
  <c r="AP10" i="6"/>
  <c r="AN10" i="6"/>
  <c r="AL10" i="6"/>
  <c r="AK10" i="6"/>
  <c r="Z10" i="6"/>
  <c r="Y10" i="6"/>
  <c r="N10" i="6"/>
  <c r="M10" i="6"/>
  <c r="L10" i="6"/>
  <c r="B10" i="6"/>
  <c r="A10" i="6"/>
  <c r="AZ9" i="6"/>
  <c r="AX9" i="6"/>
  <c r="AW9" i="6"/>
  <c r="AV9" i="6"/>
  <c r="AU9" i="6"/>
  <c r="AT9" i="6"/>
  <c r="AS9" i="6"/>
  <c r="AR9" i="6"/>
  <c r="AL9" i="6"/>
  <c r="AK9" i="6"/>
  <c r="AJ9" i="6"/>
  <c r="Z9" i="6"/>
  <c r="Y9" i="6"/>
  <c r="X9" i="6"/>
  <c r="W9" i="6"/>
  <c r="V9" i="6"/>
  <c r="U9" i="6"/>
  <c r="N9" i="6"/>
  <c r="M9" i="6"/>
  <c r="L9" i="6"/>
  <c r="K9" i="6"/>
  <c r="J9" i="6"/>
  <c r="I9" i="6"/>
  <c r="H9" i="6"/>
  <c r="D9" i="6"/>
  <c r="B9" i="6"/>
  <c r="A9" i="6"/>
  <c r="AX8" i="6"/>
  <c r="AW8" i="6"/>
  <c r="AV8" i="6"/>
  <c r="AR8" i="6"/>
  <c r="AQ8" i="6"/>
  <c r="AO8" i="6"/>
  <c r="AL8" i="6"/>
  <c r="AK8" i="6"/>
  <c r="AJ8" i="6"/>
  <c r="Z8" i="6"/>
  <c r="Y8" i="6"/>
  <c r="N8" i="6"/>
  <c r="M8" i="6"/>
  <c r="L8" i="6"/>
  <c r="H8" i="6"/>
  <c r="G8" i="6"/>
  <c r="B8" i="6"/>
  <c r="A8" i="6"/>
  <c r="AX7" i="6"/>
  <c r="AW7" i="6"/>
  <c r="AV7" i="6"/>
  <c r="AU7" i="6"/>
  <c r="AT7" i="6"/>
  <c r="AL7" i="6"/>
  <c r="AK7" i="6"/>
  <c r="AJ7" i="6"/>
  <c r="AI7" i="6"/>
  <c r="AH7" i="6"/>
  <c r="AG7" i="6"/>
  <c r="Z7" i="6"/>
  <c r="Y7" i="6"/>
  <c r="X7" i="6"/>
  <c r="W7" i="6"/>
  <c r="V7" i="6"/>
  <c r="U7" i="6"/>
  <c r="T7" i="6"/>
  <c r="N7" i="6"/>
  <c r="M7" i="6"/>
  <c r="L7" i="6"/>
  <c r="K7" i="6"/>
  <c r="J7" i="6"/>
  <c r="I7" i="6"/>
  <c r="H7" i="6"/>
  <c r="G7" i="6"/>
  <c r="B7" i="6"/>
  <c r="A7" i="6"/>
  <c r="AX6" i="6"/>
  <c r="AW6" i="6"/>
  <c r="AV6" i="6"/>
  <c r="AU6" i="6"/>
  <c r="AT6" i="6"/>
  <c r="AL6" i="6"/>
  <c r="AK6" i="6"/>
  <c r="AJ6" i="6"/>
  <c r="AI6" i="6"/>
  <c r="AH6" i="6"/>
  <c r="AG6" i="6"/>
  <c r="AF6" i="6"/>
  <c r="Z6" i="6"/>
  <c r="Y6" i="6"/>
  <c r="X6" i="6"/>
  <c r="W6" i="6"/>
  <c r="V6" i="6"/>
  <c r="U6" i="6"/>
  <c r="T6" i="6"/>
  <c r="N6" i="6"/>
  <c r="M6" i="6"/>
  <c r="B6" i="6"/>
  <c r="A6" i="6"/>
  <c r="AX5" i="6"/>
  <c r="AW5" i="6"/>
  <c r="AL5" i="6"/>
  <c r="AK5" i="6"/>
  <c r="AJ5" i="6"/>
  <c r="AF5" i="6"/>
  <c r="Z5" i="6"/>
  <c r="Y5" i="6"/>
  <c r="X5" i="6"/>
  <c r="T5" i="6"/>
  <c r="S5" i="6"/>
  <c r="R5" i="6"/>
  <c r="Q5" i="6"/>
  <c r="N5" i="6"/>
  <c r="M5" i="6"/>
  <c r="L5" i="6"/>
  <c r="B5" i="6"/>
  <c r="A5" i="6"/>
  <c r="AX4" i="6"/>
  <c r="AW4" i="6"/>
  <c r="AV4" i="6"/>
  <c r="AU4" i="6"/>
  <c r="AT4" i="6"/>
  <c r="AS4" i="6"/>
  <c r="AR4" i="6"/>
  <c r="AQ4" i="6"/>
  <c r="AP4" i="6"/>
  <c r="AO4" i="6"/>
  <c r="AL4" i="6"/>
  <c r="AK4" i="6"/>
  <c r="AJ4" i="6"/>
  <c r="AI4" i="6"/>
  <c r="AH4" i="6"/>
  <c r="AG4" i="6"/>
  <c r="AF4" i="6"/>
  <c r="AE4" i="6"/>
  <c r="AD4" i="6"/>
  <c r="AC4" i="6"/>
  <c r="AB4" i="6"/>
  <c r="Z4" i="6"/>
  <c r="Y4" i="6"/>
  <c r="X4" i="6"/>
  <c r="W4" i="6"/>
  <c r="V4" i="6"/>
  <c r="U4" i="6"/>
  <c r="T4" i="6"/>
  <c r="S4" i="6"/>
  <c r="R4" i="6"/>
  <c r="P4" i="6"/>
  <c r="N4" i="6"/>
  <c r="M4" i="6"/>
  <c r="B4" i="6"/>
  <c r="AX3" i="6"/>
  <c r="AW3" i="6"/>
  <c r="AV3" i="6"/>
  <c r="AU3" i="6"/>
  <c r="AT3" i="6"/>
  <c r="AS3" i="6"/>
  <c r="AR3" i="6"/>
  <c r="AQ3" i="6"/>
  <c r="AL3" i="6"/>
  <c r="AK3" i="6"/>
  <c r="AJ3" i="6"/>
  <c r="Z3" i="6"/>
  <c r="Y3" i="6"/>
  <c r="X3" i="6"/>
  <c r="W3" i="6"/>
  <c r="V3" i="6"/>
  <c r="U3" i="6"/>
  <c r="N3" i="6"/>
  <c r="M3" i="6"/>
  <c r="L3" i="6"/>
  <c r="K3" i="6"/>
  <c r="J3" i="6"/>
  <c r="I3" i="6"/>
  <c r="H3" i="6"/>
  <c r="G3" i="6"/>
  <c r="B3" i="6"/>
  <c r="A3" i="6"/>
  <c r="AX2" i="6"/>
  <c r="AW2" i="6"/>
  <c r="AV2" i="6"/>
  <c r="AU2" i="6"/>
  <c r="AQ2" i="6"/>
  <c r="AP2" i="6"/>
  <c r="AO2" i="6"/>
  <c r="AN2" i="6"/>
  <c r="AL2" i="6"/>
  <c r="AK2" i="6"/>
  <c r="AJ2" i="6"/>
  <c r="AI2" i="6"/>
  <c r="Z2" i="6"/>
  <c r="Y2" i="6"/>
  <c r="N2" i="6"/>
  <c r="M2" i="6"/>
  <c r="L2" i="6"/>
  <c r="B2" i="6"/>
  <c r="A2" i="6"/>
  <c r="AZ1" i="6"/>
  <c r="AZ3" i="6" s="1"/>
  <c r="AY1" i="6"/>
  <c r="AX1" i="6"/>
  <c r="AW1" i="6"/>
  <c r="AV1" i="6"/>
  <c r="AV5" i="6" s="1"/>
  <c r="AU1" i="6"/>
  <c r="AT1" i="6"/>
  <c r="AS1" i="6"/>
  <c r="AR1" i="6"/>
  <c r="AR2" i="6" s="1"/>
  <c r="AQ1" i="6"/>
  <c r="AP1" i="6"/>
  <c r="AP8" i="6" s="1"/>
  <c r="AO1" i="6"/>
  <c r="AO10" i="6" s="1"/>
  <c r="AN1" i="6"/>
  <c r="AN3" i="6" s="1"/>
  <c r="AM1" i="6"/>
  <c r="AL1" i="6"/>
  <c r="AK1" i="6"/>
  <c r="AJ1" i="6"/>
  <c r="AJ10" i="6" s="1"/>
  <c r="AI1" i="6"/>
  <c r="AH1" i="6"/>
  <c r="AG1" i="6"/>
  <c r="AF1" i="6"/>
  <c r="AF7" i="6" s="1"/>
  <c r="AE1" i="6"/>
  <c r="AD1" i="6"/>
  <c r="AC1" i="6"/>
  <c r="AC10" i="6" s="1"/>
  <c r="AB1" i="6"/>
  <c r="AB3" i="6" s="1"/>
  <c r="AA1" i="6"/>
  <c r="AA8" i="6" s="1"/>
  <c r="Z1" i="6"/>
  <c r="Y1" i="6"/>
  <c r="X1" i="6"/>
  <c r="X10" i="6" s="1"/>
  <c r="W1" i="6"/>
  <c r="V1" i="6"/>
  <c r="U1" i="6"/>
  <c r="T1" i="6"/>
  <c r="T9" i="6" s="1"/>
  <c r="S1" i="6"/>
  <c r="R1" i="6"/>
  <c r="R10" i="6" s="1"/>
  <c r="Q1" i="6"/>
  <c r="Q4" i="6" s="1"/>
  <c r="P1" i="6"/>
  <c r="P3" i="6" s="1"/>
  <c r="O1" i="6"/>
  <c r="O6" i="6" s="1"/>
  <c r="N1" i="6"/>
  <c r="M1" i="6"/>
  <c r="L1" i="6"/>
  <c r="L6" i="6" s="1"/>
  <c r="K1" i="6"/>
  <c r="J1" i="6"/>
  <c r="I1" i="6"/>
  <c r="H1" i="6"/>
  <c r="H2" i="6" s="1"/>
  <c r="G1" i="6"/>
  <c r="F1" i="6"/>
  <c r="E1" i="6"/>
  <c r="E5" i="6" s="1"/>
  <c r="D1" i="6"/>
  <c r="D3" i="6" s="1"/>
  <c r="C1" i="6"/>
  <c r="C5" i="6" s="1"/>
  <c r="B1" i="6"/>
  <c r="N4" i="3"/>
  <c r="Z4" i="3"/>
  <c r="AL4" i="3"/>
  <c r="AX4" i="3"/>
  <c r="A10" i="3"/>
  <c r="A9" i="3"/>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6" i="2"/>
  <c r="K7" i="2"/>
  <c r="K5" i="2"/>
  <c r="K4" i="2"/>
  <c r="Z6" i="3"/>
  <c r="X7" i="3"/>
  <c r="AX9" i="3"/>
  <c r="AZ1" i="3"/>
  <c r="AZ10" i="3" s="1"/>
  <c r="AY1" i="3"/>
  <c r="AY10" i="3" s="1"/>
  <c r="AX1" i="3"/>
  <c r="AX10" i="3" s="1"/>
  <c r="AW1" i="3"/>
  <c r="AW2" i="3" s="1"/>
  <c r="AV1" i="3"/>
  <c r="AV3" i="3" s="1"/>
  <c r="AU1" i="3"/>
  <c r="AU3" i="3" s="1"/>
  <c r="AT1" i="3"/>
  <c r="AT4" i="3" s="1"/>
  <c r="AS1" i="3"/>
  <c r="AS3" i="3" s="1"/>
  <c r="AR1" i="3"/>
  <c r="AR4" i="3" s="1"/>
  <c r="AQ1" i="3"/>
  <c r="AQ10" i="3" s="1"/>
  <c r="AP1" i="3"/>
  <c r="AP2" i="3" s="1"/>
  <c r="AO1" i="3"/>
  <c r="AO2" i="3" s="1"/>
  <c r="AN1" i="3"/>
  <c r="AN3" i="3" s="1"/>
  <c r="AM1" i="3"/>
  <c r="AM3" i="3" s="1"/>
  <c r="AL1" i="3"/>
  <c r="AL10" i="3" s="1"/>
  <c r="AK1" i="3"/>
  <c r="AK3" i="3" s="1"/>
  <c r="AJ1" i="3"/>
  <c r="AI1" i="3"/>
  <c r="AI10" i="3" s="1"/>
  <c r="AH1" i="3"/>
  <c r="AH5" i="3" s="1"/>
  <c r="AG1" i="3"/>
  <c r="AG2" i="3" s="1"/>
  <c r="AF1" i="3"/>
  <c r="AF3" i="3" s="1"/>
  <c r="AE1" i="3"/>
  <c r="AE3" i="3" s="1"/>
  <c r="AD1" i="3"/>
  <c r="AD10" i="3" s="1"/>
  <c r="AC1" i="3"/>
  <c r="AC3" i="3" s="1"/>
  <c r="AB1" i="3"/>
  <c r="AB10" i="3" s="1"/>
  <c r="AA1" i="3"/>
  <c r="AA10" i="3" s="1"/>
  <c r="Z1" i="3"/>
  <c r="Z2" i="3" s="1"/>
  <c r="Y1" i="3"/>
  <c r="Y2" i="3" s="1"/>
  <c r="X1" i="3"/>
  <c r="X3" i="3" s="1"/>
  <c r="W1" i="3"/>
  <c r="W3" i="3" s="1"/>
  <c r="V1" i="3"/>
  <c r="V4" i="3" s="1"/>
  <c r="U1" i="3"/>
  <c r="U3" i="3" s="1"/>
  <c r="T1" i="3"/>
  <c r="T4" i="3" s="1"/>
  <c r="S1" i="3"/>
  <c r="S10" i="3" s="1"/>
  <c r="R1" i="3"/>
  <c r="R2" i="3" s="1"/>
  <c r="Q1" i="3"/>
  <c r="Q2" i="3" s="1"/>
  <c r="P1" i="3"/>
  <c r="P3" i="3" s="1"/>
  <c r="O1" i="3"/>
  <c r="O3" i="3" s="1"/>
  <c r="N1" i="3"/>
  <c r="N10" i="3" s="1"/>
  <c r="M1" i="3"/>
  <c r="M3" i="3" s="1"/>
  <c r="L1" i="3"/>
  <c r="K1" i="3"/>
  <c r="K10" i="3" s="1"/>
  <c r="J1" i="3"/>
  <c r="J7" i="3" s="1"/>
  <c r="I1" i="3"/>
  <c r="I2" i="3" s="1"/>
  <c r="H1" i="3"/>
  <c r="H2" i="3" s="1"/>
  <c r="G1" i="3"/>
  <c r="G7" i="3" s="1"/>
  <c r="F1" i="3"/>
  <c r="F6" i="3" s="1"/>
  <c r="E1" i="3"/>
  <c r="E8" i="3" s="1"/>
  <c r="D1" i="3"/>
  <c r="D6" i="3" s="1"/>
  <c r="C1" i="3"/>
  <c r="C10" i="3" s="1"/>
  <c r="B1" i="3"/>
  <c r="A8" i="3"/>
  <c r="A7" i="3"/>
  <c r="A6" i="3"/>
  <c r="A5" i="3"/>
  <c r="A3" i="3"/>
  <c r="A2" i="3"/>
  <c r="AY10" i="6" l="1"/>
  <c r="AY7" i="6"/>
  <c r="AY4" i="6"/>
  <c r="AB2" i="6"/>
  <c r="D4" i="6"/>
  <c r="D5" i="6"/>
  <c r="AZ5" i="6"/>
  <c r="AB10" i="6"/>
  <c r="AM10" i="6"/>
  <c r="AM7" i="6"/>
  <c r="AM4" i="6"/>
  <c r="AO3" i="6"/>
  <c r="AO9" i="6"/>
  <c r="AO6" i="6"/>
  <c r="C10" i="6"/>
  <c r="C7" i="6"/>
  <c r="C4" i="6"/>
  <c r="AY5" i="6"/>
  <c r="P6" i="6"/>
  <c r="P10" i="6"/>
  <c r="AP3" i="6"/>
  <c r="AP9" i="6"/>
  <c r="AP6" i="6"/>
  <c r="AM5" i="6"/>
  <c r="G9" i="6"/>
  <c r="G6" i="6"/>
  <c r="AY6" i="6"/>
  <c r="O10" i="6"/>
  <c r="O7" i="6"/>
  <c r="O4" i="6"/>
  <c r="AA10" i="6"/>
  <c r="AA7" i="6"/>
  <c r="AA4" i="6"/>
  <c r="AA2" i="6"/>
  <c r="E3" i="6"/>
  <c r="E9" i="6"/>
  <c r="E6" i="6"/>
  <c r="Q3" i="6"/>
  <c r="Q9" i="6"/>
  <c r="Q6" i="6"/>
  <c r="AC3" i="6"/>
  <c r="AC9" i="6"/>
  <c r="AC6" i="6"/>
  <c r="O2" i="6"/>
  <c r="AC2" i="6"/>
  <c r="AM3" i="6"/>
  <c r="E4" i="6"/>
  <c r="AB8" i="6"/>
  <c r="AM9" i="6"/>
  <c r="F3" i="6"/>
  <c r="F9" i="6"/>
  <c r="F6" i="6"/>
  <c r="R3" i="6"/>
  <c r="R9" i="6"/>
  <c r="R6" i="6"/>
  <c r="AD3" i="6"/>
  <c r="AD9" i="6"/>
  <c r="AD6" i="6"/>
  <c r="P2" i="6"/>
  <c r="AD2" i="6"/>
  <c r="F4" i="6"/>
  <c r="F5" i="6"/>
  <c r="AC8" i="6"/>
  <c r="AN9" i="6"/>
  <c r="D10" i="6"/>
  <c r="Q10" i="6"/>
  <c r="AD10" i="6"/>
  <c r="S9" i="6"/>
  <c r="S6" i="6"/>
  <c r="AE9" i="6"/>
  <c r="AE6" i="6"/>
  <c r="AQ9" i="6"/>
  <c r="AQ6" i="6"/>
  <c r="C2" i="6"/>
  <c r="Q2" i="6"/>
  <c r="AE2" i="6"/>
  <c r="G4" i="6"/>
  <c r="G5" i="6"/>
  <c r="AN5" i="6"/>
  <c r="C6" i="6"/>
  <c r="AZ7" i="6"/>
  <c r="O8" i="6"/>
  <c r="AD8" i="6"/>
  <c r="E10" i="6"/>
  <c r="AE10" i="6"/>
  <c r="D2" i="6"/>
  <c r="R2" i="6"/>
  <c r="AF2" i="6"/>
  <c r="AA3" i="6"/>
  <c r="H4" i="6"/>
  <c r="H5" i="6"/>
  <c r="AO5" i="6"/>
  <c r="D6" i="6"/>
  <c r="AZ6" i="6"/>
  <c r="AN7" i="6"/>
  <c r="P8" i="6"/>
  <c r="AE8" i="6"/>
  <c r="AA9" i="6"/>
  <c r="F10" i="6"/>
  <c r="S10" i="6"/>
  <c r="AF10" i="6"/>
  <c r="I2" i="6"/>
  <c r="I8" i="6"/>
  <c r="I5" i="6"/>
  <c r="U2" i="6"/>
  <c r="U8" i="6"/>
  <c r="U5" i="6"/>
  <c r="AG2" i="6"/>
  <c r="AG8" i="6"/>
  <c r="AG5" i="6"/>
  <c r="AS2" i="6"/>
  <c r="AS8" i="6"/>
  <c r="AS5" i="6"/>
  <c r="E2" i="6"/>
  <c r="S2" i="6"/>
  <c r="AE3" i="6"/>
  <c r="I4" i="6"/>
  <c r="AA5" i="6"/>
  <c r="AP5" i="6"/>
  <c r="H6" i="6"/>
  <c r="AB7" i="6"/>
  <c r="AO7" i="6"/>
  <c r="Q8" i="6"/>
  <c r="AF8" i="6"/>
  <c r="AB9" i="6"/>
  <c r="G10" i="6"/>
  <c r="T10" i="6"/>
  <c r="AG10" i="6"/>
  <c r="J2" i="6"/>
  <c r="J8" i="6"/>
  <c r="J5" i="6"/>
  <c r="V2" i="6"/>
  <c r="V8" i="6"/>
  <c r="V5" i="6"/>
  <c r="AH2" i="6"/>
  <c r="AH8" i="6"/>
  <c r="AH5" i="6"/>
  <c r="AT2" i="6"/>
  <c r="AT8" i="6"/>
  <c r="AT5" i="6"/>
  <c r="F2" i="6"/>
  <c r="T2" i="6"/>
  <c r="AY2" i="6"/>
  <c r="AF3" i="6"/>
  <c r="J4" i="6"/>
  <c r="AB5" i="6"/>
  <c r="AQ5" i="6"/>
  <c r="I6" i="6"/>
  <c r="AM6" i="6"/>
  <c r="P7" i="6"/>
  <c r="AC7" i="6"/>
  <c r="AP7" i="6"/>
  <c r="C8" i="6"/>
  <c r="R8" i="6"/>
  <c r="AY8" i="6"/>
  <c r="AF9" i="6"/>
  <c r="H10" i="6"/>
  <c r="U10" i="6"/>
  <c r="AH10" i="6"/>
  <c r="K8" i="6"/>
  <c r="K5" i="6"/>
  <c r="W8" i="6"/>
  <c r="W5" i="6"/>
  <c r="AI8" i="6"/>
  <c r="AI5" i="6"/>
  <c r="AU8" i="6"/>
  <c r="AU5" i="6"/>
  <c r="G2" i="6"/>
  <c r="W2" i="6"/>
  <c r="AZ2" i="6"/>
  <c r="O3" i="6"/>
  <c r="AG3" i="6"/>
  <c r="K4" i="6"/>
  <c r="AC5" i="6"/>
  <c r="AR5" i="6"/>
  <c r="J6" i="6"/>
  <c r="AN6" i="6"/>
  <c r="D7" i="6"/>
  <c r="Q7" i="6"/>
  <c r="AD7" i="6"/>
  <c r="AQ7" i="6"/>
  <c r="D8" i="6"/>
  <c r="S8" i="6"/>
  <c r="AZ8" i="6"/>
  <c r="O9" i="6"/>
  <c r="AG9" i="6"/>
  <c r="I10" i="6"/>
  <c r="V10" i="6"/>
  <c r="AI10" i="6"/>
  <c r="X2" i="6"/>
  <c r="S3" i="6"/>
  <c r="AH3" i="6"/>
  <c r="L4" i="6"/>
  <c r="AZ4" i="6"/>
  <c r="O5" i="6"/>
  <c r="AD5" i="6"/>
  <c r="K6" i="6"/>
  <c r="AR6" i="6"/>
  <c r="E7" i="6"/>
  <c r="R7" i="6"/>
  <c r="AE7" i="6"/>
  <c r="AR7" i="6"/>
  <c r="E8" i="6"/>
  <c r="T8" i="6"/>
  <c r="P9" i="6"/>
  <c r="AH9" i="6"/>
  <c r="J10" i="6"/>
  <c r="W10" i="6"/>
  <c r="K2" i="6"/>
  <c r="AM2" i="6"/>
  <c r="T3" i="6"/>
  <c r="AI3" i="6"/>
  <c r="AN4" i="6"/>
  <c r="P5" i="6"/>
  <c r="AE5" i="6"/>
  <c r="AA6" i="6"/>
  <c r="AS6" i="6"/>
  <c r="F7" i="6"/>
  <c r="S7" i="6"/>
  <c r="AS7" i="6"/>
  <c r="F8" i="6"/>
  <c r="X8" i="6"/>
  <c r="AM8" i="6"/>
  <c r="AI9" i="6"/>
  <c r="K10" i="6"/>
  <c r="C3" i="6"/>
  <c r="AY3" i="6"/>
  <c r="AB6" i="6"/>
  <c r="AN8" i="6"/>
  <c r="C9" i="6"/>
  <c r="AY9" i="6"/>
  <c r="AZ10" i="6"/>
  <c r="L10" i="3"/>
  <c r="AJ10" i="3"/>
  <c r="AF2" i="3"/>
  <c r="AW4" i="3"/>
  <c r="AK4" i="3"/>
  <c r="Y4" i="3"/>
  <c r="M4" i="3"/>
  <c r="AV4" i="3"/>
  <c r="AJ4" i="3"/>
  <c r="X4" i="3"/>
  <c r="L4" i="3"/>
  <c r="B10" i="3"/>
  <c r="AU4" i="3"/>
  <c r="AI4" i="3"/>
  <c r="W4" i="3"/>
  <c r="K4" i="3"/>
  <c r="AH4" i="3"/>
  <c r="J4" i="3"/>
  <c r="AS4" i="3"/>
  <c r="B5" i="3"/>
  <c r="AF4" i="3"/>
  <c r="H4" i="3"/>
  <c r="U4" i="3"/>
  <c r="AZ8" i="3"/>
  <c r="AQ4" i="3"/>
  <c r="AE4" i="3"/>
  <c r="S4" i="3"/>
  <c r="G4" i="3"/>
  <c r="AG4" i="3"/>
  <c r="AP9" i="3"/>
  <c r="AV8" i="3"/>
  <c r="AP4" i="3"/>
  <c r="AD4" i="3"/>
  <c r="R4" i="3"/>
  <c r="F4" i="3"/>
  <c r="I4" i="3"/>
  <c r="T10" i="3"/>
  <c r="AR10" i="3"/>
  <c r="Z9" i="3"/>
  <c r="B4" i="3"/>
  <c r="AO4" i="3"/>
  <c r="AC4" i="3"/>
  <c r="Q4" i="3"/>
  <c r="E4" i="3"/>
  <c r="AZ4" i="3"/>
  <c r="AN4" i="3"/>
  <c r="AB4" i="3"/>
  <c r="P4" i="3"/>
  <c r="D4" i="3"/>
  <c r="V10" i="3"/>
  <c r="AT10" i="3"/>
  <c r="AJ6" i="3"/>
  <c r="AY4" i="3"/>
  <c r="AM4" i="3"/>
  <c r="AA4" i="3"/>
  <c r="O4" i="3"/>
  <c r="C4" i="3"/>
  <c r="AH9" i="3"/>
  <c r="AB6" i="3"/>
  <c r="J2" i="3"/>
  <c r="AW8" i="3"/>
  <c r="B6" i="3"/>
  <c r="AV7" i="3"/>
  <c r="AX5" i="3"/>
  <c r="AO8" i="3"/>
  <c r="D7" i="3"/>
  <c r="AH7" i="3"/>
  <c r="AV5" i="3"/>
  <c r="AG8" i="3"/>
  <c r="AZ9" i="3"/>
  <c r="Z7" i="3"/>
  <c r="AZ3" i="3"/>
  <c r="Y8" i="3"/>
  <c r="J3" i="3"/>
  <c r="Q8" i="3"/>
  <c r="AR9" i="3"/>
  <c r="AX6" i="3"/>
  <c r="AN2" i="3"/>
  <c r="AH10" i="3"/>
  <c r="I8" i="3"/>
  <c r="B2" i="3"/>
  <c r="F5" i="3"/>
  <c r="AT9" i="3"/>
  <c r="AB9" i="3"/>
  <c r="AX7" i="3"/>
  <c r="AD7" i="3"/>
  <c r="AZ6" i="3"/>
  <c r="AD6" i="3"/>
  <c r="J6" i="3"/>
  <c r="AF5" i="3"/>
  <c r="J5" i="3"/>
  <c r="AH3" i="3"/>
  <c r="L3" i="3"/>
  <c r="AH2" i="3"/>
  <c r="N2" i="3"/>
  <c r="AP10" i="3"/>
  <c r="AX8" i="3"/>
  <c r="AP8" i="3"/>
  <c r="AH8" i="3"/>
  <c r="Z8" i="3"/>
  <c r="R8" i="3"/>
  <c r="J8" i="3"/>
  <c r="D2" i="3"/>
  <c r="V9" i="3"/>
  <c r="AT7" i="3"/>
  <c r="AT6" i="3"/>
  <c r="Z5" i="3"/>
  <c r="AX3" i="3"/>
  <c r="AB3" i="3"/>
  <c r="AX2" i="3"/>
  <c r="AD2" i="3"/>
  <c r="Z10" i="3"/>
  <c r="AN8" i="3"/>
  <c r="AF8" i="3"/>
  <c r="X8" i="3"/>
  <c r="P8" i="3"/>
  <c r="H8" i="3"/>
  <c r="B9" i="3"/>
  <c r="H9" i="3"/>
  <c r="AO9" i="3"/>
  <c r="T9" i="3"/>
  <c r="AP7" i="3"/>
  <c r="V7" i="3"/>
  <c r="AR6" i="3"/>
  <c r="V6" i="3"/>
  <c r="AT5" i="3"/>
  <c r="X5" i="3"/>
  <c r="AT3" i="3"/>
  <c r="Z3" i="3"/>
  <c r="AV2" i="3"/>
  <c r="R10" i="3"/>
  <c r="AU8" i="3"/>
  <c r="AM8" i="3"/>
  <c r="AE8" i="3"/>
  <c r="W8" i="3"/>
  <c r="O8" i="3"/>
  <c r="G8" i="3"/>
  <c r="F3" i="3"/>
  <c r="AD5" i="3"/>
  <c r="AD3" i="3"/>
  <c r="G9" i="3"/>
  <c r="H3" i="3"/>
  <c r="AL9" i="3"/>
  <c r="R9" i="3"/>
  <c r="AN7" i="3"/>
  <c r="R7" i="3"/>
  <c r="AP6" i="3"/>
  <c r="T6" i="3"/>
  <c r="AP5" i="3"/>
  <c r="V5" i="3"/>
  <c r="AR3" i="3"/>
  <c r="V3" i="3"/>
  <c r="AT2" i="3"/>
  <c r="X2" i="3"/>
  <c r="J10" i="3"/>
  <c r="AT8" i="3"/>
  <c r="AL8" i="3"/>
  <c r="AD8" i="3"/>
  <c r="V8" i="3"/>
  <c r="N8" i="3"/>
  <c r="F8" i="3"/>
  <c r="F7" i="3"/>
  <c r="AJ9" i="3"/>
  <c r="N9" i="3"/>
  <c r="AL7" i="3"/>
  <c r="P7" i="3"/>
  <c r="AL6" i="3"/>
  <c r="R6" i="3"/>
  <c r="AN5" i="3"/>
  <c r="R5" i="3"/>
  <c r="AP3" i="3"/>
  <c r="T3" i="3"/>
  <c r="V2" i="3"/>
  <c r="B8" i="3"/>
  <c r="AS8" i="3"/>
  <c r="AK8" i="3"/>
  <c r="AC8" i="3"/>
  <c r="U8" i="3"/>
  <c r="M8" i="3"/>
  <c r="L9" i="3"/>
  <c r="N7" i="3"/>
  <c r="N6" i="3"/>
  <c r="AL5" i="3"/>
  <c r="P5" i="3"/>
  <c r="AL3" i="3"/>
  <c r="R3" i="3"/>
  <c r="AR8" i="3"/>
  <c r="AJ8" i="3"/>
  <c r="AB8" i="3"/>
  <c r="T8" i="3"/>
  <c r="L8" i="3"/>
  <c r="D8" i="3"/>
  <c r="C6" i="3"/>
  <c r="AW9" i="3"/>
  <c r="AD9" i="3"/>
  <c r="J9" i="3"/>
  <c r="AF7" i="3"/>
  <c r="AH6" i="3"/>
  <c r="L6" i="3"/>
  <c r="N5" i="3"/>
  <c r="AJ3" i="3"/>
  <c r="N3" i="3"/>
  <c r="AL2" i="3"/>
  <c r="P2" i="3"/>
  <c r="AY8" i="3"/>
  <c r="AQ8" i="3"/>
  <c r="AI8" i="3"/>
  <c r="AA8" i="3"/>
  <c r="S8" i="3"/>
  <c r="K8" i="3"/>
  <c r="C8" i="3"/>
  <c r="B3" i="3"/>
  <c r="F9" i="3"/>
  <c r="E7" i="3"/>
  <c r="G5" i="3"/>
  <c r="D3" i="3"/>
  <c r="AY9" i="3"/>
  <c r="AQ9" i="3"/>
  <c r="AI9" i="3"/>
  <c r="AA9" i="3"/>
  <c r="S9" i="3"/>
  <c r="K9" i="3"/>
  <c r="AU7" i="3"/>
  <c r="AM7" i="3"/>
  <c r="AE7" i="3"/>
  <c r="W7" i="3"/>
  <c r="O7" i="3"/>
  <c r="AY6" i="3"/>
  <c r="AQ6" i="3"/>
  <c r="AI6" i="3"/>
  <c r="AA6" i="3"/>
  <c r="S6" i="3"/>
  <c r="K6" i="3"/>
  <c r="AU5" i="3"/>
  <c r="AM5" i="3"/>
  <c r="AE5" i="3"/>
  <c r="W5" i="3"/>
  <c r="O5" i="3"/>
  <c r="AY3" i="3"/>
  <c r="AQ3" i="3"/>
  <c r="AI3" i="3"/>
  <c r="AA3" i="3"/>
  <c r="S3" i="3"/>
  <c r="K3" i="3"/>
  <c r="AU2" i="3"/>
  <c r="AM2" i="3"/>
  <c r="AE2" i="3"/>
  <c r="W2" i="3"/>
  <c r="O2" i="3"/>
  <c r="AW10" i="3"/>
  <c r="AO10" i="3"/>
  <c r="AG10" i="3"/>
  <c r="Y10" i="3"/>
  <c r="Q10" i="3"/>
  <c r="I10" i="3"/>
  <c r="E9" i="3"/>
  <c r="C3" i="3"/>
  <c r="AV10" i="3"/>
  <c r="AN10" i="3"/>
  <c r="AF10" i="3"/>
  <c r="X10" i="3"/>
  <c r="P10" i="3"/>
  <c r="H10" i="3"/>
  <c r="E3" i="3"/>
  <c r="D9" i="3"/>
  <c r="C7" i="3"/>
  <c r="E5" i="3"/>
  <c r="G2" i="3"/>
  <c r="H7" i="3"/>
  <c r="AG9" i="3"/>
  <c r="Y9" i="3"/>
  <c r="Q9" i="3"/>
  <c r="I9" i="3"/>
  <c r="AS7" i="3"/>
  <c r="AK7" i="3"/>
  <c r="AC7" i="3"/>
  <c r="U7" i="3"/>
  <c r="M7" i="3"/>
  <c r="AW6" i="3"/>
  <c r="AO6" i="3"/>
  <c r="AG6" i="3"/>
  <c r="Y6" i="3"/>
  <c r="Q6" i="3"/>
  <c r="I6" i="3"/>
  <c r="AS5" i="3"/>
  <c r="AK5" i="3"/>
  <c r="AC5" i="3"/>
  <c r="U5" i="3"/>
  <c r="M5" i="3"/>
  <c r="AW3" i="3"/>
  <c r="AO3" i="3"/>
  <c r="AG3" i="3"/>
  <c r="Y3" i="3"/>
  <c r="Q3" i="3"/>
  <c r="I3" i="3"/>
  <c r="AS2" i="3"/>
  <c r="AK2" i="3"/>
  <c r="AC2" i="3"/>
  <c r="U2" i="3"/>
  <c r="M2" i="3"/>
  <c r="AU10" i="3"/>
  <c r="AM10" i="3"/>
  <c r="AE10" i="3"/>
  <c r="W10" i="3"/>
  <c r="O10" i="3"/>
  <c r="G10" i="3"/>
  <c r="B7" i="3"/>
  <c r="C9" i="3"/>
  <c r="G6" i="3"/>
  <c r="D5" i="3"/>
  <c r="F2" i="3"/>
  <c r="H6" i="3"/>
  <c r="AV9" i="3"/>
  <c r="AN9" i="3"/>
  <c r="AF9" i="3"/>
  <c r="X9" i="3"/>
  <c r="P9" i="3"/>
  <c r="AZ7" i="3"/>
  <c r="AR7" i="3"/>
  <c r="AJ7" i="3"/>
  <c r="AB7" i="3"/>
  <c r="T7" i="3"/>
  <c r="L7" i="3"/>
  <c r="AV6" i="3"/>
  <c r="AN6" i="3"/>
  <c r="AF6" i="3"/>
  <c r="X6" i="3"/>
  <c r="P6" i="3"/>
  <c r="AZ5" i="3"/>
  <c r="AR5" i="3"/>
  <c r="AJ5" i="3"/>
  <c r="AB5" i="3"/>
  <c r="T5" i="3"/>
  <c r="L5" i="3"/>
  <c r="AZ2" i="3"/>
  <c r="AR2" i="3"/>
  <c r="AJ2" i="3"/>
  <c r="AB2" i="3"/>
  <c r="T2" i="3"/>
  <c r="L2" i="3"/>
  <c r="F10" i="3"/>
  <c r="C5" i="3"/>
  <c r="E2" i="3"/>
  <c r="H5" i="3"/>
  <c r="AU9" i="3"/>
  <c r="AM9" i="3"/>
  <c r="AE9" i="3"/>
  <c r="W9" i="3"/>
  <c r="O9" i="3"/>
  <c r="AY7" i="3"/>
  <c r="AQ7" i="3"/>
  <c r="AI7" i="3"/>
  <c r="AA7" i="3"/>
  <c r="S7" i="3"/>
  <c r="K7" i="3"/>
  <c r="AU6" i="3"/>
  <c r="AM6" i="3"/>
  <c r="AE6" i="3"/>
  <c r="W6" i="3"/>
  <c r="O6" i="3"/>
  <c r="AY5" i="3"/>
  <c r="AQ5" i="3"/>
  <c r="AI5" i="3"/>
  <c r="AA5" i="3"/>
  <c r="S5" i="3"/>
  <c r="K5" i="3"/>
  <c r="AY2" i="3"/>
  <c r="AQ2" i="3"/>
  <c r="AI2" i="3"/>
  <c r="AA2" i="3"/>
  <c r="S2" i="3"/>
  <c r="K2" i="3"/>
  <c r="AS10" i="3"/>
  <c r="AK10" i="3"/>
  <c r="AC10" i="3"/>
  <c r="U10" i="3"/>
  <c r="M10" i="3"/>
  <c r="E10" i="3"/>
  <c r="E6" i="3"/>
  <c r="G3" i="3"/>
  <c r="D10" i="3"/>
  <c r="C2" i="3"/>
  <c r="AS9" i="3"/>
  <c r="AK9" i="3"/>
  <c r="AC9" i="3"/>
  <c r="U9" i="3"/>
  <c r="M9" i="3"/>
  <c r="AW7" i="3"/>
  <c r="AO7" i="3"/>
  <c r="AG7" i="3"/>
  <c r="Y7" i="3"/>
  <c r="Q7" i="3"/>
  <c r="I7" i="3"/>
  <c r="AS6" i="3"/>
  <c r="AK6" i="3"/>
  <c r="AC6" i="3"/>
  <c r="U6" i="3"/>
  <c r="M6" i="3"/>
  <c r="AW5" i="3"/>
  <c r="AO5" i="3"/>
  <c r="AG5" i="3"/>
  <c r="Y5" i="3"/>
  <c r="Q5" i="3"/>
  <c r="I5" i="3"/>
</calcChain>
</file>

<file path=xl/sharedStrings.xml><?xml version="1.0" encoding="utf-8"?>
<sst xmlns="http://schemas.openxmlformats.org/spreadsheetml/2006/main" count="645" uniqueCount="154">
  <si>
    <t>State Medicaid, CHIP and BHP Income Eligibility Standards</t>
  </si>
  <si>
    <t>(For selected MAGI Groups, based on state decisions as of October 1, 2020)</t>
  </si>
  <si>
    <t>State</t>
  </si>
  <si>
    <t>Children Medicaid Ages 0-11</t>
  </si>
  <si>
    <t>Children Medicaid Ages 1-51</t>
  </si>
  <si>
    <t>Children Medicaid Ages 6-181</t>
  </si>
  <si>
    <t>Children Separate CHIP2</t>
  </si>
  <si>
    <t>Pregnant Women Medicaid</t>
  </si>
  <si>
    <t>Pregnant Women CHIP3</t>
  </si>
  <si>
    <t>Adults (Medicaid) Parent/ Caretaker4</t>
  </si>
  <si>
    <t>Adults (Medicaid) Expansion to Adults</t>
  </si>
  <si>
    <t>Alabama</t>
  </si>
  <si>
    <t>N/A</t>
  </si>
  <si>
    <t>No</t>
  </si>
  <si>
    <t>Alaska5</t>
  </si>
  <si>
    <t>132%($)</t>
  </si>
  <si>
    <t>Arizona</t>
  </si>
  <si>
    <t>Arkansas</t>
  </si>
  <si>
    <t>15%($)</t>
  </si>
  <si>
    <t>California</t>
  </si>
  <si>
    <t>See note6</t>
  </si>
  <si>
    <t>Colorado</t>
  </si>
  <si>
    <t>Connecticut</t>
  </si>
  <si>
    <t>Delaware</t>
  </si>
  <si>
    <t>212% (1 up to 19)</t>
  </si>
  <si>
    <t>District of Columbia</t>
  </si>
  <si>
    <t>210%7</t>
  </si>
  <si>
    <t>Florida</t>
  </si>
  <si>
    <t>210% (1 up to 19)</t>
  </si>
  <si>
    <t>27%($)</t>
  </si>
  <si>
    <t>No8</t>
  </si>
  <si>
    <t>Georgia</t>
  </si>
  <si>
    <t>32%($)</t>
  </si>
  <si>
    <t>Hawaii5</t>
  </si>
  <si>
    <t>Idaho</t>
  </si>
  <si>
    <t>22%($)</t>
  </si>
  <si>
    <t>Illinois</t>
  </si>
  <si>
    <t>Indiana</t>
  </si>
  <si>
    <t>17%($)</t>
  </si>
  <si>
    <t>Iowa</t>
  </si>
  <si>
    <t>302% (1 up to 19)</t>
  </si>
  <si>
    <t>50%($)</t>
  </si>
  <si>
    <t>Kansas</t>
  </si>
  <si>
    <t>Kentucky</t>
  </si>
  <si>
    <t>Louisiana</t>
  </si>
  <si>
    <t>Maine</t>
  </si>
  <si>
    <t>133%7</t>
  </si>
  <si>
    <t>Maryland</t>
  </si>
  <si>
    <t>Massachusetts</t>
  </si>
  <si>
    <t>Michigan</t>
  </si>
  <si>
    <t>Minnesota</t>
  </si>
  <si>
    <t>283%10</t>
  </si>
  <si>
    <t>200%11</t>
  </si>
  <si>
    <t>Mississippi</t>
  </si>
  <si>
    <t>21%($)</t>
  </si>
  <si>
    <t>Missouri</t>
  </si>
  <si>
    <t>17%9($)</t>
  </si>
  <si>
    <t>No9</t>
  </si>
  <si>
    <t>Montana</t>
  </si>
  <si>
    <t>Nebraska</t>
  </si>
  <si>
    <t>Nevada</t>
  </si>
  <si>
    <t>31%($)</t>
  </si>
  <si>
    <t>New Hampshire</t>
  </si>
  <si>
    <t>63%($)</t>
  </si>
  <si>
    <t>New Jersey</t>
  </si>
  <si>
    <t>29%($)</t>
  </si>
  <si>
    <t>New Mexico</t>
  </si>
  <si>
    <t>42%($)</t>
  </si>
  <si>
    <t>New York</t>
  </si>
  <si>
    <t>North Carolina</t>
  </si>
  <si>
    <t>211% (6 up to 19)</t>
  </si>
  <si>
    <t>41%($)</t>
  </si>
  <si>
    <t>North Dakota</t>
  </si>
  <si>
    <t>NA%</t>
  </si>
  <si>
    <t>49%($)</t>
  </si>
  <si>
    <t>Ohio</t>
  </si>
  <si>
    <t>Oklahoma</t>
  </si>
  <si>
    <t>38%9($)</t>
  </si>
  <si>
    <t>Oregon</t>
  </si>
  <si>
    <t>38%($)</t>
  </si>
  <si>
    <t>Pennsylvania</t>
  </si>
  <si>
    <t>Rhode Island</t>
  </si>
  <si>
    <t>South Carolina</t>
  </si>
  <si>
    <t>South Dakota</t>
  </si>
  <si>
    <t>53%($)</t>
  </si>
  <si>
    <t>Tennessee</t>
  </si>
  <si>
    <t>96%($)</t>
  </si>
  <si>
    <t>Texas</t>
  </si>
  <si>
    <t>14%($)</t>
  </si>
  <si>
    <t>Utah</t>
  </si>
  <si>
    <t>133%9</t>
  </si>
  <si>
    <t>Vermont</t>
  </si>
  <si>
    <t>Virginia</t>
  </si>
  <si>
    <t>Washington</t>
  </si>
  <si>
    <t>37%($)</t>
  </si>
  <si>
    <t>West Virginia</t>
  </si>
  <si>
    <t>18%($)</t>
  </si>
  <si>
    <t>Wisconsin</t>
  </si>
  <si>
    <t>301% (1 up to19)</t>
  </si>
  <si>
    <t>95%9</t>
  </si>
  <si>
    <t>No/95%9</t>
  </si>
  <si>
    <t>Wyoming</t>
  </si>
  <si>
    <t>51%($)</t>
  </si>
  <si>
    <t>%</t>
  </si>
  <si>
    <t>(For selected MAGI Groups, based on state decisions as of July 1, 2021)</t>
  </si>
  <si>
    <t>131%($)</t>
  </si>
  <si>
    <t>30%($)</t>
  </si>
  <si>
    <t>62%($)</t>
  </si>
  <si>
    <t>40%($)</t>
  </si>
  <si>
    <t>48%($)</t>
  </si>
  <si>
    <t>52%($)</t>
  </si>
  <si>
    <t>95%($)</t>
  </si>
  <si>
    <t>1. These eligibility standards include CHIP-funded Medicaid expansions for children under age 19. Children eligible for a CHIP-funded Medicaid expansion may be covered either under the mandatory children’s group or under the optional targeted low-income child group. Expanded Medicaid eligibility after 1997 qualifies for CHIP funding.</t>
  </si>
  <si>
    <t>2. CHIP covers birth up to age 19 unless otherwise noted in parentheses.</t>
  </si>
  <si>
    <t>3. CHIP gives states the option to cover pregnant women and children from conception to birth. This table shows coverage of pregnant women only.</t>
  </si>
  <si>
    <t>4. These data show Medicaid state plan coverage of the eligibility group for parents and other caretaker relatives. In expansion states, parents and caretaker relatives with incomes above the standard shown here may be eligible for coverage in the adult group. Some states use dollar amounts based on household size instead of percentages of the FPL as the income standard for parent and caretaker relatives. For those states, CMS converted the amount to percentages of the FPL. CMS uses the highest percentage to show the eligibility level for the group. States that use dollar amounts to make determinations are indicated by ($).</t>
  </si>
  <si>
    <t>5. The dollar values that FPLs represent in Alaska and Hawaii are higher than in the rest of the United States. For example, in 2018, 100% of the FPL for a family of four was equal to $31,380 in Alaska and $28,870 in Hawaii, compared to $25,100 in the other 48 states and the District of Columbia.</t>
  </si>
  <si>
    <t>6. The Separate CHIP in California covers certain children up to age 2 with incomes up to 317% of the FPL statewide; and it covers children up to age 19 also up to 317% of the FPL in three counties only.</t>
  </si>
  <si>
    <t>7. In addition to covering the adult group up to 133% of the FPL, the state covers ages 19 and 20 up to the following levels: DC 216%, MA 150%, ME 156%.</t>
  </si>
  <si>
    <t>8. The state also covers ages 19 and 20 up to the following levels: FL 27%, NC 40%.</t>
  </si>
  <si>
    <t>9. The state has a section 1115 demonstration, which provides Medicaid coverage to some additional low-income adults. In some cases, coverage:</t>
  </si>
  <si>
    <t>Includes limitations on eligibility and benefits</t>
  </si>
  <si>
    <t>Is not offered to all residents of the state</t>
  </si>
  <si>
    <t>Includes an enrollment cap</t>
  </si>
  <si>
    <t>10. Minnesota covers children up to age 2 with incomes up to 283% of the FPL.</t>
  </si>
  <si>
    <t>11. Adults with incomes from above 133% and up to 200% of the FPL are covered through BHP.</t>
  </si>
  <si>
    <t>Medicaid &amp; CHIP Eligibility Levels</t>
  </si>
  <si>
    <t>Alaska</t>
  </si>
  <si>
    <t>Children Medicaid Ages 0-1</t>
  </si>
  <si>
    <t>Children Medicaid Ages 1-5</t>
  </si>
  <si>
    <t>Children Medicaid Ages 6-18</t>
  </si>
  <si>
    <t>Children Separate CHIP</t>
  </si>
  <si>
    <t>Pregnant Women CHIP</t>
  </si>
  <si>
    <t>Hawaii</t>
  </si>
  <si>
    <t>Adults (Medicaid) Parent/ Caretaker converted from Dollar?</t>
  </si>
  <si>
    <t>Adults (Medicaid) Parent/ Caretaker Source</t>
  </si>
  <si>
    <t>Adults (Medicaid) Parent/ Caretaker Derived</t>
  </si>
  <si>
    <t>Children Medicaid Ages 2-5</t>
  </si>
  <si>
    <t>(For selected MAGI Groups, based on state decisions as of July 1, 2022)</t>
  </si>
  <si>
    <t>Adults (Medicaid) Parent/ Caretaker</t>
  </si>
  <si>
    <t>16%9</t>
  </si>
  <si>
    <t>Year</t>
  </si>
  <si>
    <t>(For selected MAGI Groups, based on state decisions as of December 1, 2023)</t>
  </si>
  <si>
    <t>1. These eligibility standards include CHIP-funded Medicaid expansions for children under age 19. Children eligible for a CHIP-funded Medicaid expansion may be covered either under the mandatory children’s group or under the optional targeted low-income child group. Expanded Medicaid eligibility after 1997 qualifies for CHIP funding.</t>
  </si>
  <si>
    <t>2. CHIP covers birth up to age 19 unless otherwise noted in parentheses.</t>
  </si>
  <si>
    <t>3. CHIP gives states the option to cover pregnant women and children from conception to birth. This table shows coverage of pregnant women only.</t>
  </si>
  <si>
    <t>4. These data show Medicaid state plan coverage of the eligibility group for parents and other caretaker relatives. In expansion states, parents and caretaker relatives with incomes above the standard shown here may be eligible for coverage in the adult group. Some states use dollar amounts based on household size instead of percentages of the FPL as the income standard for parent and caretaker relatives. For those states, CMS converted the amount to percentages of the FPL. CMS uses the highest percentage to show the eligibility level for the group. States that use dollar amounts to make determinations are indicated by ($).</t>
  </si>
  <si>
    <t>5. The dollar values that FPLs represent in Alaska and Hawaii are higher than in the rest of the United States. For example, in 2018, 100% of the FPL for a family of four was equal to $31,380 in Alaska and $28,870 in Hawaii, compared to $25,100 in the other 48 states and the District of Columbia.</t>
  </si>
  <si>
    <t>6. The Separate CHIP in California covers certain children up to age 2 with incomes up to 317% of the FPL statewide; and it covers children up to age 19 also up to 317% of the FPL in three counties only.</t>
  </si>
  <si>
    <t>7. In addition to covering the adult group up to 133% of the FPL, the state covers ages 19 and 20 up to the following levels: DC 216%, MA 150%, ME 300%.</t>
  </si>
  <si>
    <t>8. The state also covers ages 19 and 20 up to the following levels: FL 24%.</t>
  </si>
  <si>
    <t>9. The state has a section 1115 demonstration, which provides Medicaid coverage to some additional low-income adults. In some cases, coverage:</t>
  </si>
  <si>
    <t>10. Minnesota covers children up to age 2 with incomes up to 283% of the FPL.</t>
  </si>
  <si>
    <t>11. Adults with incomes from above 133% and up to 200% of the FPL are covered through BHP.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</si>
</sst>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Georgia"/>
      <family val="1"/>
    </font>
    <font>
      <sz val="9"/>
      <color theme="1"/>
      <name val="Source Sans Pro"/>
      <family val="2"/>
    </font>
    <font>
      <u/>
      <sz val="9"/>
      <color rgb="FF046791"/>
      <name val="Source Sans Pro"/>
      <family val="2"/>
    </font>
    <font>
      <u/>
      <sz val="11"/>
      <color theme="10"/>
      <name val="Calibri"/>
      <family val="2"/>
      <scheme val="minor"/>
    </font>
    <font>
      <b/>
      <sz val="10"/>
      <color rgb="FF212121"/>
      <name val="Calibri"/>
      <family val="2"/>
      <scheme val="minor"/>
    </font>
    <font>
      <b/>
      <sz val="10"/>
      <color theme="1"/>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EEFAFD"/>
        <bgColor indexed="64"/>
      </patternFill>
    </fill>
  </fills>
  <borders count="10">
    <border>
      <left/>
      <right/>
      <top/>
      <bottom/>
      <diagonal/>
    </border>
    <border>
      <left style="thin">
        <color rgb="FF212121"/>
      </left>
      <right style="thin">
        <color rgb="FF212121"/>
      </right>
      <top style="thin">
        <color rgb="FF212121"/>
      </top>
      <bottom style="thin">
        <color rgb="FF212121"/>
      </bottom>
      <diagonal/>
    </border>
    <border>
      <left style="thin">
        <color rgb="FF212121"/>
      </left>
      <right/>
      <top style="thin">
        <color rgb="FF212121"/>
      </top>
      <bottom/>
      <diagonal/>
    </border>
    <border>
      <left/>
      <right/>
      <top style="thin">
        <color rgb="FF212121"/>
      </top>
      <bottom/>
      <diagonal/>
    </border>
    <border>
      <left/>
      <right style="thin">
        <color rgb="FF212121"/>
      </right>
      <top style="thin">
        <color rgb="FF212121"/>
      </top>
      <bottom/>
      <diagonal/>
    </border>
    <border>
      <left style="thin">
        <color rgb="FF212121"/>
      </left>
      <right/>
      <top/>
      <bottom/>
      <diagonal/>
    </border>
    <border>
      <left/>
      <right style="thin">
        <color rgb="FF212121"/>
      </right>
      <top/>
      <bottom/>
      <diagonal/>
    </border>
    <border>
      <left style="thin">
        <color rgb="FF212121"/>
      </left>
      <right/>
      <top/>
      <bottom style="thin">
        <color rgb="FF212121"/>
      </bottom>
      <diagonal/>
    </border>
    <border>
      <left/>
      <right/>
      <top/>
      <bottom style="thin">
        <color rgb="FF212121"/>
      </bottom>
      <diagonal/>
    </border>
    <border>
      <left/>
      <right style="thin">
        <color rgb="FF212121"/>
      </right>
      <top/>
      <bottom style="thin">
        <color rgb="FF212121"/>
      </bottom>
      <diagonal/>
    </border>
  </borders>
  <cellStyleXfs count="2">
    <xf numFmtId="0" fontId="0" fillId="0" borderId="0"/>
    <xf numFmtId="0" fontId="4" fillId="0" borderId="0" applyNumberFormat="0" applyFill="0" applyBorder="0" applyAlignment="0" applyProtection="0"/>
  </cellStyleXfs>
  <cellXfs count="38">
    <xf numFmtId="0" fontId="0" fillId="0" borderId="0" xfId="0"/>
    <xf numFmtId="9" fontId="0" fillId="0" borderId="0" xfId="0" applyNumberFormat="1"/>
    <xf numFmtId="0" fontId="0" fillId="0" borderId="0" xfId="0" applyAlignment="1">
      <alignment wrapText="1"/>
    </xf>
    <xf numFmtId="0" fontId="0" fillId="0" borderId="0" xfId="0" applyAlignment="1">
      <alignment horizontal="left" vertic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xf>
    <xf numFmtId="0" fontId="0" fillId="0" borderId="0" xfId="0" applyAlignment="1">
      <alignment horizontal="left" vertical="center" wrapText="1"/>
    </xf>
    <xf numFmtId="9" fontId="0" fillId="0" borderId="0" xfId="0" applyNumberFormat="1" applyAlignment="1">
      <alignment horizontal="center"/>
    </xf>
    <xf numFmtId="9" fontId="0" fillId="0" borderId="0" xfId="0" applyNumberFormat="1" applyAlignment="1">
      <alignment horizontal="center" vertical="center"/>
    </xf>
    <xf numFmtId="0" fontId="0" fillId="0" borderId="0" xfId="0" applyAlignment="1">
      <alignment horizontal="center" wrapText="1"/>
    </xf>
    <xf numFmtId="0" fontId="0" fillId="0" borderId="0" xfId="0" applyAlignment="1">
      <alignment vertical="center"/>
    </xf>
    <xf numFmtId="0" fontId="0" fillId="2" borderId="0" xfId="0" applyFill="1" applyAlignment="1">
      <alignment horizontal="left" vertical="center"/>
    </xf>
    <xf numFmtId="0" fontId="3" fillId="0" borderId="0" xfId="0" applyFont="1" applyAlignment="1">
      <alignment vertical="center"/>
    </xf>
    <xf numFmtId="0" fontId="2" fillId="0" borderId="0" xfId="0" applyFont="1" applyAlignment="1">
      <alignment horizontal="left" vertical="center" indent="1"/>
    </xf>
    <xf numFmtId="0" fontId="1" fillId="2" borderId="0" xfId="0" applyFont="1" applyFill="1" applyBorder="1" applyAlignment="1">
      <alignment horizontal="left" vertical="center"/>
    </xf>
    <xf numFmtId="0" fontId="2" fillId="3" borderId="2" xfId="0" applyFont="1" applyFill="1" applyBorder="1" applyAlignment="1">
      <alignment vertical="center" wrapText="1"/>
    </xf>
    <xf numFmtId="9" fontId="2" fillId="3" borderId="3" xfId="0" applyNumberFormat="1" applyFont="1" applyFill="1" applyBorder="1" applyAlignment="1">
      <alignment horizontal="right" vertical="center" wrapText="1"/>
    </xf>
    <xf numFmtId="0" fontId="2" fillId="3" borderId="3" xfId="0" applyFont="1" applyFill="1" applyBorder="1" applyAlignment="1">
      <alignment horizontal="right" vertical="center" wrapText="1"/>
    </xf>
    <xf numFmtId="0" fontId="2" fillId="3" borderId="4" xfId="0" applyFont="1" applyFill="1" applyBorder="1" applyAlignment="1">
      <alignment horizontal="right" vertical="center" wrapText="1"/>
    </xf>
    <xf numFmtId="0" fontId="2" fillId="3" borderId="5" xfId="0" applyFont="1" applyFill="1" applyBorder="1" applyAlignment="1">
      <alignment vertical="center" wrapText="1"/>
    </xf>
    <xf numFmtId="9" fontId="2" fillId="2" borderId="0" xfId="0" applyNumberFormat="1" applyFont="1" applyFill="1" applyBorder="1" applyAlignment="1">
      <alignment horizontal="right" vertical="center" wrapText="1"/>
    </xf>
    <xf numFmtId="0" fontId="2" fillId="2" borderId="0" xfId="0" applyFont="1" applyFill="1" applyBorder="1" applyAlignment="1">
      <alignment horizontal="right" vertical="center" wrapText="1"/>
    </xf>
    <xf numFmtId="9" fontId="2" fillId="2" borderId="6" xfId="0" applyNumberFormat="1" applyFont="1" applyFill="1" applyBorder="1" applyAlignment="1">
      <alignment horizontal="right" vertical="center" wrapText="1"/>
    </xf>
    <xf numFmtId="9" fontId="2" fillId="3" borderId="0" xfId="0" applyNumberFormat="1" applyFont="1" applyFill="1" applyBorder="1" applyAlignment="1">
      <alignment horizontal="right" vertical="center" wrapText="1"/>
    </xf>
    <xf numFmtId="0" fontId="2" fillId="3" borderId="0" xfId="0" applyFont="1" applyFill="1" applyBorder="1" applyAlignment="1">
      <alignment horizontal="right" vertical="center" wrapText="1"/>
    </xf>
    <xf numFmtId="9" fontId="2" fillId="3" borderId="6" xfId="0" applyNumberFormat="1" applyFont="1" applyFill="1" applyBorder="1" applyAlignment="1">
      <alignment horizontal="right" vertical="center" wrapText="1"/>
    </xf>
    <xf numFmtId="0" fontId="2" fillId="2" borderId="5" xfId="0" applyFont="1" applyFill="1" applyBorder="1" applyAlignment="1">
      <alignment vertical="center" wrapText="1"/>
    </xf>
    <xf numFmtId="0" fontId="2" fillId="3" borderId="6" xfId="0" applyFont="1" applyFill="1" applyBorder="1" applyAlignment="1">
      <alignment horizontal="right" vertical="center" wrapText="1"/>
    </xf>
    <xf numFmtId="0" fontId="4" fillId="3" borderId="6" xfId="1" applyFill="1" applyBorder="1" applyAlignment="1">
      <alignment horizontal="right" vertical="center" wrapText="1"/>
    </xf>
    <xf numFmtId="0" fontId="2" fillId="2" borderId="6" xfId="0" applyFont="1" applyFill="1" applyBorder="1" applyAlignment="1">
      <alignment horizontal="right" vertical="center" wrapText="1"/>
    </xf>
    <xf numFmtId="0" fontId="2" fillId="3" borderId="7" xfId="0" applyFont="1" applyFill="1" applyBorder="1" applyAlignment="1">
      <alignment vertical="center" wrapText="1"/>
    </xf>
    <xf numFmtId="9" fontId="2" fillId="3" borderId="8" xfId="0" applyNumberFormat="1" applyFont="1" applyFill="1" applyBorder="1" applyAlignment="1">
      <alignment horizontal="right" vertical="center" wrapText="1"/>
    </xf>
    <xf numFmtId="0" fontId="2" fillId="3" borderId="8" xfId="0" applyFont="1" applyFill="1" applyBorder="1" applyAlignment="1">
      <alignment horizontal="right" vertical="center" wrapText="1"/>
    </xf>
    <xf numFmtId="0" fontId="2" fillId="3" borderId="9" xfId="0" applyFont="1" applyFill="1" applyBorder="1" applyAlignment="1">
      <alignment horizontal="right" vertical="center" wrapText="1"/>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7844A-1030-444B-8052-56497042A59B}">
  <dimension ref="A1:I54"/>
  <sheetViews>
    <sheetView topLeftCell="A2" workbookViewId="0">
      <pane ySplit="2" topLeftCell="A4" activePane="bottomLeft" state="frozen"/>
      <selection activeCell="A2" sqref="A2"/>
      <selection pane="bottomLeft" activeCell="B13" sqref="B13"/>
    </sheetView>
  </sheetViews>
  <sheetFormatPr defaultRowHeight="14.5" x14ac:dyDescent="0.35"/>
  <cols>
    <col min="1" max="1" width="18.90625" customWidth="1"/>
    <col min="2" max="3" width="15.6328125" bestFit="1" customWidth="1"/>
    <col min="4" max="4" width="15.6328125" customWidth="1"/>
    <col min="5" max="5" width="15.453125" bestFit="1" customWidth="1"/>
    <col min="6" max="7" width="15.1796875" customWidth="1"/>
    <col min="8" max="8" width="16.453125" customWidth="1"/>
    <col min="9" max="9" width="17" customWidth="1"/>
  </cols>
  <sheetData>
    <row r="1" spans="1:9" x14ac:dyDescent="0.35">
      <c r="A1" t="s">
        <v>0</v>
      </c>
    </row>
    <row r="2" spans="1:9" x14ac:dyDescent="0.35">
      <c r="A2" t="s">
        <v>1</v>
      </c>
    </row>
    <row r="3" spans="1:9" ht="43.5" x14ac:dyDescent="0.35">
      <c r="A3" t="s">
        <v>2</v>
      </c>
      <c r="B3" s="2" t="s">
        <v>3</v>
      </c>
      <c r="C3" s="2" t="s">
        <v>4</v>
      </c>
      <c r="D3" s="2" t="s">
        <v>5</v>
      </c>
      <c r="E3" s="2" t="s">
        <v>6</v>
      </c>
      <c r="F3" s="2" t="s">
        <v>7</v>
      </c>
      <c r="G3" s="2" t="s">
        <v>8</v>
      </c>
      <c r="H3" s="2" t="s">
        <v>9</v>
      </c>
      <c r="I3" s="2" t="s">
        <v>10</v>
      </c>
    </row>
    <row r="4" spans="1:9" x14ac:dyDescent="0.35">
      <c r="A4" t="s">
        <v>11</v>
      </c>
      <c r="B4" s="1">
        <v>1.41</v>
      </c>
      <c r="C4" s="1">
        <v>1.41</v>
      </c>
      <c r="D4" s="1">
        <v>1.41</v>
      </c>
      <c r="E4" s="1">
        <v>3.12</v>
      </c>
      <c r="F4" s="1">
        <v>1.41</v>
      </c>
      <c r="G4" t="s">
        <v>12</v>
      </c>
      <c r="H4" s="1">
        <v>0.13</v>
      </c>
      <c r="I4" t="s">
        <v>13</v>
      </c>
    </row>
    <row r="5" spans="1:9" x14ac:dyDescent="0.35">
      <c r="A5" t="s">
        <v>14</v>
      </c>
      <c r="B5" s="1">
        <v>2.0299999999999998</v>
      </c>
      <c r="C5" s="1">
        <v>2.0299999999999998</v>
      </c>
      <c r="D5" s="1">
        <v>2.0299999999999998</v>
      </c>
      <c r="E5" t="s">
        <v>12</v>
      </c>
      <c r="F5" s="1">
        <v>2</v>
      </c>
      <c r="G5" t="s">
        <v>12</v>
      </c>
      <c r="H5" t="s">
        <v>15</v>
      </c>
      <c r="I5" s="1">
        <v>1.33</v>
      </c>
    </row>
    <row r="6" spans="1:9" x14ac:dyDescent="0.35">
      <c r="A6" t="s">
        <v>16</v>
      </c>
      <c r="B6" s="1">
        <v>1.47</v>
      </c>
      <c r="C6" s="1">
        <v>1.41</v>
      </c>
      <c r="D6" s="1">
        <v>1.33</v>
      </c>
      <c r="E6" s="1">
        <v>2</v>
      </c>
      <c r="F6" s="1">
        <v>1.56</v>
      </c>
      <c r="G6" t="s">
        <v>12</v>
      </c>
      <c r="H6" s="1">
        <v>1.06</v>
      </c>
      <c r="I6" s="1">
        <v>1.33</v>
      </c>
    </row>
    <row r="7" spans="1:9" x14ac:dyDescent="0.35">
      <c r="A7" t="s">
        <v>17</v>
      </c>
      <c r="B7" s="1">
        <v>1.42</v>
      </c>
      <c r="C7" s="1">
        <v>1.42</v>
      </c>
      <c r="D7" s="1">
        <v>1.42</v>
      </c>
      <c r="E7" s="1">
        <v>2.11</v>
      </c>
      <c r="F7" s="1">
        <v>2.09</v>
      </c>
      <c r="G7" t="s">
        <v>12</v>
      </c>
      <c r="H7" t="s">
        <v>18</v>
      </c>
      <c r="I7" s="1">
        <v>1.33</v>
      </c>
    </row>
    <row r="8" spans="1:9" x14ac:dyDescent="0.35">
      <c r="A8" t="s">
        <v>19</v>
      </c>
      <c r="B8" s="1">
        <v>2.61</v>
      </c>
      <c r="C8" s="1">
        <v>2.61</v>
      </c>
      <c r="D8" s="1">
        <v>2.61</v>
      </c>
      <c r="E8" t="s">
        <v>20</v>
      </c>
      <c r="F8" s="1">
        <v>2.08</v>
      </c>
      <c r="G8" t="s">
        <v>12</v>
      </c>
      <c r="H8" s="1">
        <v>1.0900000000000001</v>
      </c>
      <c r="I8" s="1">
        <v>1.33</v>
      </c>
    </row>
    <row r="9" spans="1:9" x14ac:dyDescent="0.35">
      <c r="A9" t="s">
        <v>21</v>
      </c>
      <c r="B9" s="1">
        <v>1.42</v>
      </c>
      <c r="C9" s="1">
        <v>1.42</v>
      </c>
      <c r="D9" s="1">
        <v>1.42</v>
      </c>
      <c r="E9" s="1">
        <v>2.6</v>
      </c>
      <c r="F9" s="1">
        <v>1.95</v>
      </c>
      <c r="G9" s="1">
        <v>2.6</v>
      </c>
      <c r="H9" s="1">
        <v>0.68</v>
      </c>
      <c r="I9" s="1">
        <v>1.33</v>
      </c>
    </row>
    <row r="10" spans="1:9" x14ac:dyDescent="0.35">
      <c r="A10" t="s">
        <v>22</v>
      </c>
      <c r="B10" s="1">
        <v>1.96</v>
      </c>
      <c r="C10" s="1">
        <v>1.96</v>
      </c>
      <c r="D10" s="1">
        <v>1.96</v>
      </c>
      <c r="E10" s="1">
        <v>3.18</v>
      </c>
      <c r="F10" s="1">
        <v>2.58</v>
      </c>
      <c r="G10" t="s">
        <v>12</v>
      </c>
      <c r="H10" s="1">
        <v>1.55</v>
      </c>
      <c r="I10" s="1">
        <v>1.33</v>
      </c>
    </row>
    <row r="11" spans="1:9" x14ac:dyDescent="0.35">
      <c r="A11" t="s">
        <v>23</v>
      </c>
      <c r="B11" s="1">
        <v>2.12</v>
      </c>
      <c r="C11" s="1">
        <v>1.42</v>
      </c>
      <c r="D11" s="1">
        <v>1.33</v>
      </c>
      <c r="E11" t="s">
        <v>24</v>
      </c>
      <c r="F11" s="1">
        <v>2.12</v>
      </c>
      <c r="G11" t="s">
        <v>12</v>
      </c>
      <c r="H11" s="1">
        <v>0.87</v>
      </c>
      <c r="I11" s="1">
        <v>1.33</v>
      </c>
    </row>
    <row r="12" spans="1:9" x14ac:dyDescent="0.35">
      <c r="A12" t="s">
        <v>25</v>
      </c>
      <c r="B12" s="1">
        <v>3.19</v>
      </c>
      <c r="C12" s="1">
        <v>3.19</v>
      </c>
      <c r="D12" s="1">
        <v>3.19</v>
      </c>
      <c r="E12" t="s">
        <v>12</v>
      </c>
      <c r="F12" s="1">
        <v>3.19</v>
      </c>
      <c r="G12" t="s">
        <v>12</v>
      </c>
      <c r="H12" s="1">
        <v>2.16</v>
      </c>
      <c r="I12" t="s">
        <v>26</v>
      </c>
    </row>
    <row r="13" spans="1:9" x14ac:dyDescent="0.35">
      <c r="A13" t="s">
        <v>27</v>
      </c>
      <c r="B13" s="1">
        <v>2.06</v>
      </c>
      <c r="C13" s="1">
        <v>1.4</v>
      </c>
      <c r="D13" s="1">
        <v>1.33</v>
      </c>
      <c r="E13" t="s">
        <v>28</v>
      </c>
      <c r="F13" s="1">
        <v>1.91</v>
      </c>
      <c r="G13" t="s">
        <v>12</v>
      </c>
      <c r="H13" t="s">
        <v>29</v>
      </c>
      <c r="I13" t="s">
        <v>30</v>
      </c>
    </row>
    <row r="14" spans="1:9" x14ac:dyDescent="0.35">
      <c r="A14" t="s">
        <v>31</v>
      </c>
      <c r="B14" s="1">
        <v>2.0499999999999998</v>
      </c>
      <c r="C14" s="1">
        <v>1.49</v>
      </c>
      <c r="D14" s="1">
        <v>1.33</v>
      </c>
      <c r="E14" s="1">
        <v>2.4700000000000002</v>
      </c>
      <c r="F14" s="1">
        <v>2.2000000000000002</v>
      </c>
      <c r="G14" t="s">
        <v>12</v>
      </c>
      <c r="H14" t="s">
        <v>32</v>
      </c>
      <c r="I14" t="s">
        <v>13</v>
      </c>
    </row>
    <row r="15" spans="1:9" x14ac:dyDescent="0.35">
      <c r="A15" t="s">
        <v>33</v>
      </c>
      <c r="B15" s="1">
        <v>3.08</v>
      </c>
      <c r="C15" s="1">
        <v>3.08</v>
      </c>
      <c r="D15" s="1">
        <v>3.08</v>
      </c>
      <c r="E15" t="s">
        <v>12</v>
      </c>
      <c r="F15" s="1">
        <v>1.91</v>
      </c>
      <c r="G15" t="s">
        <v>12</v>
      </c>
      <c r="H15" s="1">
        <v>1.05</v>
      </c>
      <c r="I15" s="1">
        <v>1.33</v>
      </c>
    </row>
    <row r="16" spans="1:9" x14ac:dyDescent="0.35">
      <c r="A16" t="s">
        <v>34</v>
      </c>
      <c r="B16" s="1">
        <v>1.42</v>
      </c>
      <c r="C16" s="1">
        <v>1.42</v>
      </c>
      <c r="D16" s="1">
        <v>1.33</v>
      </c>
      <c r="E16" s="1">
        <v>1.85</v>
      </c>
      <c r="F16" s="1">
        <v>1.33</v>
      </c>
      <c r="G16" t="s">
        <v>12</v>
      </c>
      <c r="H16" t="s">
        <v>35</v>
      </c>
      <c r="I16" s="1">
        <v>1.33</v>
      </c>
    </row>
    <row r="17" spans="1:9" x14ac:dyDescent="0.35">
      <c r="A17" t="s">
        <v>36</v>
      </c>
      <c r="B17" s="1">
        <v>1.42</v>
      </c>
      <c r="C17" s="1">
        <v>1.42</v>
      </c>
      <c r="D17" s="1">
        <v>1.42</v>
      </c>
      <c r="E17" s="1">
        <v>3.13</v>
      </c>
      <c r="F17" s="1">
        <v>2.08</v>
      </c>
      <c r="G17" t="s">
        <v>12</v>
      </c>
      <c r="H17" s="1">
        <v>1.33</v>
      </c>
      <c r="I17" s="1">
        <v>1.33</v>
      </c>
    </row>
    <row r="18" spans="1:9" x14ac:dyDescent="0.35">
      <c r="A18" t="s">
        <v>37</v>
      </c>
      <c r="B18" s="1">
        <v>2.08</v>
      </c>
      <c r="C18" s="1">
        <v>1.58</v>
      </c>
      <c r="D18" s="1">
        <v>1.58</v>
      </c>
      <c r="E18" s="1">
        <v>2.5</v>
      </c>
      <c r="F18" s="1">
        <v>2.08</v>
      </c>
      <c r="G18" t="s">
        <v>12</v>
      </c>
      <c r="H18" t="s">
        <v>38</v>
      </c>
      <c r="I18" s="1">
        <v>1.33</v>
      </c>
    </row>
    <row r="19" spans="1:9" x14ac:dyDescent="0.35">
      <c r="A19" t="s">
        <v>39</v>
      </c>
      <c r="B19" s="1">
        <v>3.75</v>
      </c>
      <c r="C19" s="1">
        <v>1.67</v>
      </c>
      <c r="D19" s="1">
        <v>1.67</v>
      </c>
      <c r="E19" t="s">
        <v>40</v>
      </c>
      <c r="F19" s="1">
        <v>3.75</v>
      </c>
      <c r="G19" t="s">
        <v>12</v>
      </c>
      <c r="H19" t="s">
        <v>41</v>
      </c>
      <c r="I19" s="1">
        <v>1.33</v>
      </c>
    </row>
    <row r="20" spans="1:9" x14ac:dyDescent="0.35">
      <c r="A20" t="s">
        <v>42</v>
      </c>
      <c r="B20" s="1" t="s">
        <v>103</v>
      </c>
      <c r="C20" s="1">
        <v>1.49</v>
      </c>
      <c r="D20" s="1">
        <v>1.33</v>
      </c>
      <c r="E20" s="1">
        <v>2.27</v>
      </c>
      <c r="F20" s="1">
        <v>1.66</v>
      </c>
      <c r="G20" t="s">
        <v>12</v>
      </c>
      <c r="H20" s="1">
        <v>0.33</v>
      </c>
      <c r="I20" t="s">
        <v>13</v>
      </c>
    </row>
    <row r="21" spans="1:9" x14ac:dyDescent="0.35">
      <c r="A21" t="s">
        <v>43</v>
      </c>
      <c r="B21" s="1">
        <v>1.95</v>
      </c>
      <c r="C21" s="1">
        <v>1.59</v>
      </c>
      <c r="D21" s="1">
        <v>1.59</v>
      </c>
      <c r="E21" s="1">
        <v>2.13</v>
      </c>
      <c r="F21" s="1">
        <v>1.95</v>
      </c>
      <c r="G21" t="s">
        <v>12</v>
      </c>
      <c r="H21" t="s">
        <v>35</v>
      </c>
      <c r="I21" s="1">
        <v>1.33</v>
      </c>
    </row>
    <row r="22" spans="1:9" x14ac:dyDescent="0.35">
      <c r="A22" t="s">
        <v>44</v>
      </c>
      <c r="B22" s="1">
        <v>2.12</v>
      </c>
      <c r="C22" s="1">
        <v>2.12</v>
      </c>
      <c r="D22" s="1">
        <v>2.12</v>
      </c>
      <c r="E22" s="1">
        <v>2.5</v>
      </c>
      <c r="F22" s="1">
        <v>1.33</v>
      </c>
      <c r="G22" t="s">
        <v>12</v>
      </c>
      <c r="H22" s="1">
        <v>0.19</v>
      </c>
      <c r="I22" s="1">
        <v>1.33</v>
      </c>
    </row>
    <row r="23" spans="1:9" x14ac:dyDescent="0.35">
      <c r="A23" t="s">
        <v>45</v>
      </c>
      <c r="B23" s="1">
        <v>1.91</v>
      </c>
      <c r="C23" s="1">
        <v>1.57</v>
      </c>
      <c r="D23" s="1">
        <v>1.57</v>
      </c>
      <c r="E23" s="1">
        <v>2.08</v>
      </c>
      <c r="F23" s="1">
        <v>2.09</v>
      </c>
      <c r="G23" t="s">
        <v>12</v>
      </c>
      <c r="H23" s="1">
        <v>1</v>
      </c>
      <c r="I23" t="s">
        <v>46</v>
      </c>
    </row>
    <row r="24" spans="1:9" x14ac:dyDescent="0.35">
      <c r="A24" t="s">
        <v>47</v>
      </c>
      <c r="B24" s="1">
        <v>3.17</v>
      </c>
      <c r="C24" s="1">
        <v>3.17</v>
      </c>
      <c r="D24" s="1">
        <v>3.17</v>
      </c>
      <c r="E24" t="s">
        <v>12</v>
      </c>
      <c r="F24" s="1">
        <v>2.59</v>
      </c>
      <c r="G24" t="s">
        <v>12</v>
      </c>
      <c r="H24" s="1">
        <v>1.23</v>
      </c>
      <c r="I24" s="1">
        <v>1.33</v>
      </c>
    </row>
    <row r="25" spans="1:9" x14ac:dyDescent="0.35">
      <c r="A25" t="s">
        <v>48</v>
      </c>
      <c r="B25" s="1">
        <v>2</v>
      </c>
      <c r="C25" s="1">
        <v>1.5</v>
      </c>
      <c r="D25" s="1">
        <v>1.5</v>
      </c>
      <c r="E25" s="1">
        <v>3</v>
      </c>
      <c r="F25" s="1">
        <v>2</v>
      </c>
      <c r="G25" t="s">
        <v>12</v>
      </c>
      <c r="H25" s="1">
        <v>1.33</v>
      </c>
      <c r="I25" t="s">
        <v>46</v>
      </c>
    </row>
    <row r="26" spans="1:9" x14ac:dyDescent="0.35">
      <c r="A26" t="s">
        <v>49</v>
      </c>
      <c r="B26" s="1">
        <v>2.12</v>
      </c>
      <c r="C26" s="1">
        <v>2.12</v>
      </c>
      <c r="D26" s="1">
        <v>2.12</v>
      </c>
      <c r="E26" t="s">
        <v>12</v>
      </c>
      <c r="F26" s="1">
        <v>1.95</v>
      </c>
      <c r="G26" t="s">
        <v>12</v>
      </c>
      <c r="H26" s="1">
        <v>0.54</v>
      </c>
      <c r="I26" s="1">
        <v>1.33</v>
      </c>
    </row>
    <row r="27" spans="1:9" x14ac:dyDescent="0.35">
      <c r="A27" t="s">
        <v>50</v>
      </c>
      <c r="B27" t="s">
        <v>51</v>
      </c>
      <c r="C27" s="1">
        <v>2.75</v>
      </c>
      <c r="D27" s="1">
        <v>2.75</v>
      </c>
      <c r="E27" t="s">
        <v>12</v>
      </c>
      <c r="F27" s="1">
        <v>2.78</v>
      </c>
      <c r="G27" t="s">
        <v>12</v>
      </c>
      <c r="H27" s="1">
        <v>1.33</v>
      </c>
      <c r="I27" t="s">
        <v>52</v>
      </c>
    </row>
    <row r="28" spans="1:9" x14ac:dyDescent="0.35">
      <c r="A28" t="s">
        <v>53</v>
      </c>
      <c r="B28" s="1">
        <v>1.94</v>
      </c>
      <c r="C28" s="1">
        <v>1.43</v>
      </c>
      <c r="D28" s="1">
        <v>1.33</v>
      </c>
      <c r="E28" s="1">
        <v>2.09</v>
      </c>
      <c r="F28" s="1">
        <v>1.94</v>
      </c>
      <c r="G28" t="s">
        <v>12</v>
      </c>
      <c r="H28" t="s">
        <v>54</v>
      </c>
      <c r="I28" t="s">
        <v>13</v>
      </c>
    </row>
    <row r="29" spans="1:9" x14ac:dyDescent="0.35">
      <c r="A29" t="s">
        <v>55</v>
      </c>
      <c r="B29" s="1">
        <v>1.96</v>
      </c>
      <c r="C29" s="1">
        <v>1.5</v>
      </c>
      <c r="D29" s="1">
        <v>1.5</v>
      </c>
      <c r="E29" s="1">
        <v>3</v>
      </c>
      <c r="F29" s="1">
        <v>1.96</v>
      </c>
      <c r="G29" s="1">
        <v>3</v>
      </c>
      <c r="H29" t="s">
        <v>56</v>
      </c>
      <c r="I29" t="s">
        <v>57</v>
      </c>
    </row>
    <row r="30" spans="1:9" x14ac:dyDescent="0.35">
      <c r="A30" t="s">
        <v>58</v>
      </c>
      <c r="B30" s="1">
        <v>1.43</v>
      </c>
      <c r="C30" s="1">
        <v>1.43</v>
      </c>
      <c r="D30" s="1">
        <v>1.43</v>
      </c>
      <c r="E30" s="1">
        <v>2.61</v>
      </c>
      <c r="F30" s="1">
        <v>1.57</v>
      </c>
      <c r="G30" t="s">
        <v>12</v>
      </c>
      <c r="H30" s="1">
        <v>0.24</v>
      </c>
      <c r="I30" s="1">
        <v>1.33</v>
      </c>
    </row>
    <row r="31" spans="1:9" x14ac:dyDescent="0.35">
      <c r="A31" t="s">
        <v>59</v>
      </c>
      <c r="B31" s="1">
        <v>2.13</v>
      </c>
      <c r="C31" s="1">
        <v>2.13</v>
      </c>
      <c r="D31" s="1">
        <v>2.13</v>
      </c>
      <c r="E31" t="s">
        <v>12</v>
      </c>
      <c r="F31" s="1">
        <v>1.94</v>
      </c>
      <c r="G31" t="s">
        <v>12</v>
      </c>
      <c r="H31" s="1">
        <v>0.57999999999999996</v>
      </c>
      <c r="I31" s="1">
        <v>1.33</v>
      </c>
    </row>
    <row r="32" spans="1:9" x14ac:dyDescent="0.35">
      <c r="A32" t="s">
        <v>60</v>
      </c>
      <c r="B32" s="1">
        <v>1.6</v>
      </c>
      <c r="C32" s="1">
        <v>1.6</v>
      </c>
      <c r="D32" s="1">
        <v>1.33</v>
      </c>
      <c r="E32" s="1">
        <v>2</v>
      </c>
      <c r="F32" s="1">
        <v>1.6</v>
      </c>
      <c r="G32" t="s">
        <v>12</v>
      </c>
      <c r="H32" t="s">
        <v>61</v>
      </c>
      <c r="I32" s="1">
        <v>1.33</v>
      </c>
    </row>
    <row r="33" spans="1:9" x14ac:dyDescent="0.35">
      <c r="A33" t="s">
        <v>62</v>
      </c>
      <c r="B33" s="1">
        <v>3.18</v>
      </c>
      <c r="C33" s="1">
        <v>3.18</v>
      </c>
      <c r="D33" s="1">
        <v>3.18</v>
      </c>
      <c r="E33" t="s">
        <v>12</v>
      </c>
      <c r="F33" s="1">
        <v>1.96</v>
      </c>
      <c r="G33" t="s">
        <v>12</v>
      </c>
      <c r="H33" t="s">
        <v>63</v>
      </c>
      <c r="I33" s="1">
        <v>1.33</v>
      </c>
    </row>
    <row r="34" spans="1:9" x14ac:dyDescent="0.35">
      <c r="A34" t="s">
        <v>64</v>
      </c>
      <c r="B34" s="1">
        <v>1.94</v>
      </c>
      <c r="C34" s="1">
        <v>1.42</v>
      </c>
      <c r="D34" s="1">
        <v>1.42</v>
      </c>
      <c r="E34" s="1">
        <v>3.5</v>
      </c>
      <c r="F34" s="1">
        <v>1.94</v>
      </c>
      <c r="G34" s="1">
        <v>2</v>
      </c>
      <c r="H34" t="s">
        <v>65</v>
      </c>
      <c r="I34" s="1">
        <v>1.33</v>
      </c>
    </row>
    <row r="35" spans="1:9" x14ac:dyDescent="0.35">
      <c r="A35" t="s">
        <v>66</v>
      </c>
      <c r="B35" s="1">
        <v>3</v>
      </c>
      <c r="C35" s="1">
        <v>3</v>
      </c>
      <c r="D35" s="1">
        <v>2.4</v>
      </c>
      <c r="E35" t="s">
        <v>12</v>
      </c>
      <c r="F35" s="1">
        <v>2.5</v>
      </c>
      <c r="G35" t="s">
        <v>12</v>
      </c>
      <c r="H35" t="s">
        <v>67</v>
      </c>
      <c r="I35" s="1">
        <v>1.33</v>
      </c>
    </row>
    <row r="36" spans="1:9" x14ac:dyDescent="0.35">
      <c r="A36" t="s">
        <v>68</v>
      </c>
      <c r="B36" s="1">
        <v>2.1800000000000002</v>
      </c>
      <c r="C36" s="1">
        <v>1.49</v>
      </c>
      <c r="D36" s="1">
        <v>1.49</v>
      </c>
      <c r="E36" s="1">
        <v>4</v>
      </c>
      <c r="F36" s="1">
        <v>2.1800000000000002</v>
      </c>
      <c r="G36" t="s">
        <v>12</v>
      </c>
      <c r="H36" s="1">
        <v>1.33</v>
      </c>
      <c r="I36" t="s">
        <v>52</v>
      </c>
    </row>
    <row r="37" spans="1:9" x14ac:dyDescent="0.35">
      <c r="A37" t="s">
        <v>69</v>
      </c>
      <c r="B37" s="1">
        <v>2.1</v>
      </c>
      <c r="C37" s="1">
        <v>2.1</v>
      </c>
      <c r="D37" s="1">
        <v>1.33</v>
      </c>
      <c r="E37" t="s">
        <v>70</v>
      </c>
      <c r="F37" s="1">
        <v>1.96</v>
      </c>
      <c r="G37" t="s">
        <v>12</v>
      </c>
      <c r="H37" t="s">
        <v>71</v>
      </c>
      <c r="I37" t="s">
        <v>30</v>
      </c>
    </row>
    <row r="38" spans="1:9" x14ac:dyDescent="0.35">
      <c r="A38" t="s">
        <v>72</v>
      </c>
      <c r="B38" s="1">
        <v>1.7</v>
      </c>
      <c r="C38" s="1">
        <v>1.7</v>
      </c>
      <c r="D38" s="1">
        <v>1.7</v>
      </c>
      <c r="E38" t="s">
        <v>73</v>
      </c>
      <c r="F38" s="1">
        <v>1.57</v>
      </c>
      <c r="G38" t="s">
        <v>12</v>
      </c>
      <c r="H38" t="s">
        <v>74</v>
      </c>
      <c r="I38" s="1">
        <v>1.33</v>
      </c>
    </row>
    <row r="39" spans="1:9" x14ac:dyDescent="0.35">
      <c r="A39" t="s">
        <v>75</v>
      </c>
      <c r="B39" s="1">
        <v>2.06</v>
      </c>
      <c r="C39" s="1">
        <v>2.06</v>
      </c>
      <c r="D39" s="1">
        <v>2.06</v>
      </c>
      <c r="E39" t="s">
        <v>12</v>
      </c>
      <c r="F39" s="1">
        <v>2</v>
      </c>
      <c r="G39" t="s">
        <v>12</v>
      </c>
      <c r="H39" s="1">
        <v>0.9</v>
      </c>
      <c r="I39" s="1">
        <v>1.33</v>
      </c>
    </row>
    <row r="40" spans="1:9" x14ac:dyDescent="0.35">
      <c r="A40" t="s">
        <v>76</v>
      </c>
      <c r="B40" s="1">
        <v>2.0499999999999998</v>
      </c>
      <c r="C40" s="1">
        <v>2.0499999999999998</v>
      </c>
      <c r="D40" s="1">
        <v>2.0499999999999998</v>
      </c>
      <c r="E40" t="s">
        <v>12</v>
      </c>
      <c r="F40" s="1">
        <v>1.33</v>
      </c>
      <c r="G40" t="s">
        <v>12</v>
      </c>
      <c r="H40" t="s">
        <v>77</v>
      </c>
      <c r="I40" t="s">
        <v>57</v>
      </c>
    </row>
    <row r="41" spans="1:9" x14ac:dyDescent="0.35">
      <c r="A41" t="s">
        <v>78</v>
      </c>
      <c r="B41" s="1">
        <v>1.85</v>
      </c>
      <c r="C41" s="1">
        <v>1.33</v>
      </c>
      <c r="D41" s="1">
        <v>1.33</v>
      </c>
      <c r="E41" s="1">
        <v>3</v>
      </c>
      <c r="F41" s="1">
        <v>1.85</v>
      </c>
      <c r="G41" t="s">
        <v>12</v>
      </c>
      <c r="H41" t="s">
        <v>79</v>
      </c>
      <c r="I41" s="1">
        <v>1.33</v>
      </c>
    </row>
    <row r="42" spans="1:9" x14ac:dyDescent="0.35">
      <c r="A42" t="s">
        <v>80</v>
      </c>
      <c r="B42" s="1">
        <v>2.15</v>
      </c>
      <c r="C42" s="1">
        <v>1.57</v>
      </c>
      <c r="D42" s="1">
        <v>1.33</v>
      </c>
      <c r="E42" s="1">
        <v>3.14</v>
      </c>
      <c r="F42" s="1">
        <v>2.15</v>
      </c>
      <c r="G42" t="s">
        <v>12</v>
      </c>
      <c r="H42" s="1">
        <v>0.33</v>
      </c>
      <c r="I42" s="1">
        <v>1.33</v>
      </c>
    </row>
    <row r="43" spans="1:9" x14ac:dyDescent="0.35">
      <c r="A43" t="s">
        <v>81</v>
      </c>
      <c r="B43" s="1">
        <v>2.61</v>
      </c>
      <c r="C43" s="1">
        <v>2.61</v>
      </c>
      <c r="D43" s="1">
        <v>2.61</v>
      </c>
      <c r="E43" t="s">
        <v>12</v>
      </c>
      <c r="F43" s="1">
        <v>1.9</v>
      </c>
      <c r="G43" s="1">
        <v>2.5299999999999998</v>
      </c>
      <c r="H43" s="1">
        <v>1.1599999999999999</v>
      </c>
      <c r="I43" s="1">
        <v>1.33</v>
      </c>
    </row>
    <row r="44" spans="1:9" x14ac:dyDescent="0.35">
      <c r="A44" t="s">
        <v>82</v>
      </c>
      <c r="B44" s="1">
        <v>2.08</v>
      </c>
      <c r="C44" s="1">
        <v>2.08</v>
      </c>
      <c r="D44" s="1">
        <v>2.08</v>
      </c>
      <c r="E44" t="s">
        <v>12</v>
      </c>
      <c r="F44" s="1">
        <v>1.94</v>
      </c>
      <c r="G44" t="s">
        <v>12</v>
      </c>
      <c r="H44" s="1">
        <v>0.95</v>
      </c>
      <c r="I44" t="s">
        <v>57</v>
      </c>
    </row>
    <row r="45" spans="1:9" x14ac:dyDescent="0.35">
      <c r="A45" t="s">
        <v>83</v>
      </c>
      <c r="B45" s="1">
        <v>1.82</v>
      </c>
      <c r="C45" s="1">
        <v>1.82</v>
      </c>
      <c r="D45" s="1">
        <v>1.82</v>
      </c>
      <c r="E45" s="1">
        <v>2.04</v>
      </c>
      <c r="F45" s="1">
        <v>1.33</v>
      </c>
      <c r="G45" t="s">
        <v>12</v>
      </c>
      <c r="H45" t="s">
        <v>84</v>
      </c>
      <c r="I45" t="s">
        <v>13</v>
      </c>
    </row>
    <row r="46" spans="1:9" x14ac:dyDescent="0.35">
      <c r="A46" t="s">
        <v>85</v>
      </c>
      <c r="B46" s="1">
        <v>1.95</v>
      </c>
      <c r="C46" s="1">
        <v>1.42</v>
      </c>
      <c r="D46" s="1">
        <v>1.33</v>
      </c>
      <c r="E46" s="1">
        <v>2.5</v>
      </c>
      <c r="F46" s="1">
        <v>1.95</v>
      </c>
      <c r="G46" t="s">
        <v>12</v>
      </c>
      <c r="H46" t="s">
        <v>86</v>
      </c>
      <c r="I46" t="s">
        <v>13</v>
      </c>
    </row>
    <row r="47" spans="1:9" x14ac:dyDescent="0.35">
      <c r="A47" t="s">
        <v>87</v>
      </c>
      <c r="B47" s="1">
        <v>1.98</v>
      </c>
      <c r="C47" s="1">
        <v>1.44</v>
      </c>
      <c r="D47" s="1">
        <v>1.33</v>
      </c>
      <c r="E47" s="1">
        <v>2.0099999999999998</v>
      </c>
      <c r="F47" s="1">
        <v>1.98</v>
      </c>
      <c r="G47" t="s">
        <v>12</v>
      </c>
      <c r="H47" t="s">
        <v>88</v>
      </c>
      <c r="I47" t="s">
        <v>13</v>
      </c>
    </row>
    <row r="48" spans="1:9" x14ac:dyDescent="0.35">
      <c r="A48" t="s">
        <v>89</v>
      </c>
      <c r="B48" s="1">
        <v>1.39</v>
      </c>
      <c r="C48" s="1">
        <v>1.39</v>
      </c>
      <c r="D48" s="1">
        <v>1.33</v>
      </c>
      <c r="E48" s="1">
        <v>2</v>
      </c>
      <c r="F48" s="1">
        <v>1.39</v>
      </c>
      <c r="G48" t="s">
        <v>12</v>
      </c>
      <c r="H48" t="s">
        <v>71</v>
      </c>
      <c r="I48" t="s">
        <v>90</v>
      </c>
    </row>
    <row r="49" spans="1:9" x14ac:dyDescent="0.35">
      <c r="A49" t="s">
        <v>91</v>
      </c>
      <c r="B49" s="1">
        <v>3.12</v>
      </c>
      <c r="C49" s="1">
        <v>3.12</v>
      </c>
      <c r="D49" s="1">
        <v>3.12</v>
      </c>
      <c r="E49" t="s">
        <v>12</v>
      </c>
      <c r="F49" s="1">
        <v>2.08</v>
      </c>
      <c r="G49" t="s">
        <v>12</v>
      </c>
      <c r="H49" t="s">
        <v>74</v>
      </c>
      <c r="I49" s="1">
        <v>1.33</v>
      </c>
    </row>
    <row r="50" spans="1:9" x14ac:dyDescent="0.35">
      <c r="A50" t="s">
        <v>92</v>
      </c>
      <c r="B50" s="1">
        <v>1.43</v>
      </c>
      <c r="C50" s="1">
        <v>1.43</v>
      </c>
      <c r="D50" s="1">
        <v>1.43</v>
      </c>
      <c r="E50" s="1">
        <v>2</v>
      </c>
      <c r="F50" s="1">
        <v>1.43</v>
      </c>
      <c r="G50" s="1">
        <v>2</v>
      </c>
      <c r="H50" t="s">
        <v>74</v>
      </c>
      <c r="I50" s="1">
        <v>1.33</v>
      </c>
    </row>
    <row r="51" spans="1:9" x14ac:dyDescent="0.35">
      <c r="A51" t="s">
        <v>93</v>
      </c>
      <c r="B51" s="1">
        <v>2.1</v>
      </c>
      <c r="C51" s="1">
        <v>2.1</v>
      </c>
      <c r="D51" s="1">
        <v>2.1</v>
      </c>
      <c r="E51" s="1">
        <v>3.12</v>
      </c>
      <c r="F51" s="1">
        <v>1.93</v>
      </c>
      <c r="G51" t="s">
        <v>12</v>
      </c>
      <c r="H51" t="s">
        <v>94</v>
      </c>
      <c r="I51" s="1">
        <v>1.33</v>
      </c>
    </row>
    <row r="52" spans="1:9" x14ac:dyDescent="0.35">
      <c r="A52" t="s">
        <v>95</v>
      </c>
      <c r="B52" s="1">
        <v>1.58</v>
      </c>
      <c r="C52" s="1">
        <v>1.41</v>
      </c>
      <c r="D52" s="1">
        <v>1.33</v>
      </c>
      <c r="E52" s="1">
        <v>3</v>
      </c>
      <c r="F52" s="1">
        <v>1.85</v>
      </c>
      <c r="G52" s="1">
        <v>3</v>
      </c>
      <c r="H52" t="s">
        <v>96</v>
      </c>
      <c r="I52" s="1">
        <v>1.33</v>
      </c>
    </row>
    <row r="53" spans="1:9" x14ac:dyDescent="0.35">
      <c r="A53" t="s">
        <v>97</v>
      </c>
      <c r="B53" s="1">
        <v>3.01</v>
      </c>
      <c r="C53" s="1">
        <v>1.86</v>
      </c>
      <c r="D53" s="1">
        <v>1.51</v>
      </c>
      <c r="E53" t="s">
        <v>98</v>
      </c>
      <c r="F53" s="1">
        <v>3.01</v>
      </c>
      <c r="G53" t="s">
        <v>12</v>
      </c>
      <c r="H53" t="s">
        <v>99</v>
      </c>
      <c r="I53" t="s">
        <v>100</v>
      </c>
    </row>
    <row r="54" spans="1:9" x14ac:dyDescent="0.35">
      <c r="A54" t="s">
        <v>101</v>
      </c>
      <c r="B54" s="1">
        <v>1.54</v>
      </c>
      <c r="C54" s="1">
        <v>1.54</v>
      </c>
      <c r="D54" s="1">
        <v>1.33</v>
      </c>
      <c r="E54" s="1">
        <v>2</v>
      </c>
      <c r="F54" s="1">
        <v>1.54</v>
      </c>
      <c r="G54" t="s">
        <v>12</v>
      </c>
      <c r="H54" t="s">
        <v>102</v>
      </c>
      <c r="I54"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38C47-46EC-40B8-903D-94C734143D78}">
  <dimension ref="A1:O74"/>
  <sheetViews>
    <sheetView workbookViewId="0">
      <selection activeCell="F9" sqref="F9"/>
    </sheetView>
  </sheetViews>
  <sheetFormatPr defaultRowHeight="14.5" x14ac:dyDescent="0.35"/>
  <cols>
    <col min="1" max="1" width="17.6328125" customWidth="1"/>
    <col min="2" max="4" width="10.6328125" customWidth="1"/>
    <col min="5" max="5" width="10.6328125" style="4" customWidth="1"/>
    <col min="6" max="6" width="10.6328125" customWidth="1"/>
    <col min="7" max="7" width="10.6328125" style="4" customWidth="1"/>
    <col min="8" max="8" width="15.1796875" style="4" customWidth="1"/>
    <col min="9" max="9" width="16.81640625" style="4" customWidth="1"/>
    <col min="10" max="10" width="15.81640625" style="4" customWidth="1"/>
    <col min="11" max="11" width="20.6328125" style="4" customWidth="1"/>
  </cols>
  <sheetData>
    <row r="1" spans="1:15" x14ac:dyDescent="0.35">
      <c r="A1" s="3" t="s">
        <v>0</v>
      </c>
    </row>
    <row r="2" spans="1:15" x14ac:dyDescent="0.35">
      <c r="A2" t="s">
        <v>104</v>
      </c>
    </row>
    <row r="3" spans="1:15" ht="58" x14ac:dyDescent="0.35">
      <c r="A3" s="5" t="s">
        <v>2</v>
      </c>
      <c r="B3" s="6" t="s">
        <v>128</v>
      </c>
      <c r="C3" s="6" t="s">
        <v>129</v>
      </c>
      <c r="D3" s="6" t="s">
        <v>130</v>
      </c>
      <c r="E3" s="6" t="s">
        <v>131</v>
      </c>
      <c r="F3" s="6" t="s">
        <v>7</v>
      </c>
      <c r="G3" s="6" t="s">
        <v>132</v>
      </c>
      <c r="H3" s="6" t="s">
        <v>135</v>
      </c>
      <c r="I3" s="6" t="s">
        <v>136</v>
      </c>
      <c r="J3" s="6" t="s">
        <v>10</v>
      </c>
      <c r="K3" s="6" t="s">
        <v>134</v>
      </c>
      <c r="O3" s="3"/>
    </row>
    <row r="4" spans="1:15" x14ac:dyDescent="0.35">
      <c r="A4" t="s">
        <v>11</v>
      </c>
      <c r="B4" s="1">
        <v>1.41</v>
      </c>
      <c r="C4" s="1">
        <v>1.41</v>
      </c>
      <c r="D4" s="1">
        <v>1.41</v>
      </c>
      <c r="E4" s="9">
        <v>3.12</v>
      </c>
      <c r="F4" s="1">
        <v>1.41</v>
      </c>
      <c r="G4" s="4" t="s">
        <v>12</v>
      </c>
      <c r="H4" s="9">
        <v>0.13</v>
      </c>
      <c r="I4" s="9">
        <v>0.13</v>
      </c>
      <c r="J4" s="4" t="s">
        <v>13</v>
      </c>
      <c r="K4" s="4" t="str">
        <f>IF(LEFT(RIGHT(H4,2),1)="$","Yes","No")</f>
        <v>No</v>
      </c>
    </row>
    <row r="5" spans="1:15" x14ac:dyDescent="0.35">
      <c r="A5" t="s">
        <v>127</v>
      </c>
      <c r="B5" s="1">
        <v>2.0299999999999998</v>
      </c>
      <c r="C5" s="1">
        <v>2.0299999999999998</v>
      </c>
      <c r="D5" s="1">
        <v>2.0299999999999998</v>
      </c>
      <c r="E5" s="4" t="s">
        <v>12</v>
      </c>
      <c r="F5" s="1">
        <v>2</v>
      </c>
      <c r="G5" s="4" t="s">
        <v>12</v>
      </c>
      <c r="H5" s="4" t="s">
        <v>105</v>
      </c>
      <c r="I5" s="9">
        <v>1.31</v>
      </c>
      <c r="J5" s="9">
        <v>1.33</v>
      </c>
      <c r="K5" s="4" t="str">
        <f>IF(LEFT(RIGHT(H5,2),1)="$","Yes","No")</f>
        <v>Yes</v>
      </c>
    </row>
    <row r="6" spans="1:15" x14ac:dyDescent="0.35">
      <c r="A6" t="s">
        <v>16</v>
      </c>
      <c r="B6" s="1">
        <v>1.47</v>
      </c>
      <c r="C6" s="1">
        <v>1.41</v>
      </c>
      <c r="D6" s="1">
        <v>1.33</v>
      </c>
      <c r="E6" s="9">
        <v>2</v>
      </c>
      <c r="F6" s="1">
        <v>1.56</v>
      </c>
      <c r="G6" s="4" t="s">
        <v>12</v>
      </c>
      <c r="H6" s="9">
        <v>1.06</v>
      </c>
      <c r="I6" s="9">
        <v>1.06</v>
      </c>
      <c r="J6" s="9">
        <v>1.33</v>
      </c>
      <c r="K6" s="4" t="str">
        <f>IF(LEFT(RIGHT(H6,2),1)="$","Yes","No")</f>
        <v>No</v>
      </c>
    </row>
    <row r="7" spans="1:15" x14ac:dyDescent="0.35">
      <c r="A7" t="s">
        <v>17</v>
      </c>
      <c r="B7" s="1">
        <v>1.42</v>
      </c>
      <c r="C7" s="1">
        <v>1.42</v>
      </c>
      <c r="D7" s="1">
        <v>1.42</v>
      </c>
      <c r="E7" s="9">
        <v>2.11</v>
      </c>
      <c r="F7" s="1">
        <v>2.09</v>
      </c>
      <c r="G7" s="4" t="s">
        <v>12</v>
      </c>
      <c r="H7" s="4" t="s">
        <v>18</v>
      </c>
      <c r="I7" s="9">
        <v>0.15</v>
      </c>
      <c r="J7" s="9">
        <v>1.33</v>
      </c>
      <c r="K7" s="4" t="str">
        <f>IF(LEFT(RIGHT(H7,2),1)="$","Yes","No")</f>
        <v>Yes</v>
      </c>
    </row>
    <row r="8" spans="1:15" x14ac:dyDescent="0.35">
      <c r="A8" t="s">
        <v>19</v>
      </c>
      <c r="B8" s="1">
        <v>2.61</v>
      </c>
      <c r="C8" s="1">
        <v>2.61</v>
      </c>
      <c r="D8" s="1">
        <v>2.61</v>
      </c>
      <c r="E8" s="9">
        <v>3.17</v>
      </c>
      <c r="F8" s="1">
        <v>2.08</v>
      </c>
      <c r="G8" s="4" t="s">
        <v>12</v>
      </c>
      <c r="H8" s="9">
        <v>1.0900000000000001</v>
      </c>
      <c r="I8" s="9">
        <v>1.0900000000000001</v>
      </c>
      <c r="J8" s="9">
        <v>1.33</v>
      </c>
      <c r="K8" s="4" t="str">
        <f t="shared" ref="K8:K54" si="0">IF(LEFT(RIGHT(H8,2),1)="$","Yes","No")</f>
        <v>No</v>
      </c>
    </row>
    <row r="9" spans="1:15" x14ac:dyDescent="0.35">
      <c r="A9" t="s">
        <v>21</v>
      </c>
      <c r="B9" s="1">
        <v>1.42</v>
      </c>
      <c r="C9" s="1">
        <v>1.42</v>
      </c>
      <c r="D9" s="1">
        <v>1.42</v>
      </c>
      <c r="E9" s="9">
        <v>2.6</v>
      </c>
      <c r="F9" s="1">
        <v>1.95</v>
      </c>
      <c r="G9" s="9">
        <v>2.6</v>
      </c>
      <c r="H9" s="9">
        <v>0.68</v>
      </c>
      <c r="I9" s="9">
        <v>0.68</v>
      </c>
      <c r="J9" s="9">
        <v>1.33</v>
      </c>
      <c r="K9" s="4" t="str">
        <f t="shared" si="0"/>
        <v>No</v>
      </c>
    </row>
    <row r="10" spans="1:15" x14ac:dyDescent="0.35">
      <c r="A10" t="s">
        <v>22</v>
      </c>
      <c r="B10" s="1">
        <v>1.96</v>
      </c>
      <c r="C10" s="1">
        <v>1.96</v>
      </c>
      <c r="D10" s="1">
        <v>1.96</v>
      </c>
      <c r="E10" s="9">
        <v>3.18</v>
      </c>
      <c r="F10" s="1">
        <v>2.58</v>
      </c>
      <c r="G10" s="4" t="s">
        <v>12</v>
      </c>
      <c r="H10" s="9">
        <v>1.55</v>
      </c>
      <c r="I10" s="9">
        <v>1.55</v>
      </c>
      <c r="J10" s="9">
        <v>1.33</v>
      </c>
      <c r="K10" s="4" t="str">
        <f t="shared" si="0"/>
        <v>No</v>
      </c>
    </row>
    <row r="11" spans="1:15" x14ac:dyDescent="0.35">
      <c r="A11" t="s">
        <v>23</v>
      </c>
      <c r="B11" s="1">
        <v>2.12</v>
      </c>
      <c r="C11" s="1">
        <v>1.42</v>
      </c>
      <c r="D11" s="1">
        <v>1.33</v>
      </c>
      <c r="E11" s="9">
        <v>2.12</v>
      </c>
      <c r="F11" s="1">
        <v>2.12</v>
      </c>
      <c r="G11" s="4" t="s">
        <v>12</v>
      </c>
      <c r="H11" s="9">
        <v>0.87</v>
      </c>
      <c r="I11" s="9">
        <v>0.87</v>
      </c>
      <c r="J11" s="9">
        <v>1.33</v>
      </c>
      <c r="K11" s="4" t="str">
        <f t="shared" si="0"/>
        <v>No</v>
      </c>
    </row>
    <row r="12" spans="1:15" x14ac:dyDescent="0.35">
      <c r="A12" t="s">
        <v>25</v>
      </c>
      <c r="B12" s="1">
        <v>3.19</v>
      </c>
      <c r="C12" s="1">
        <v>3.19</v>
      </c>
      <c r="D12" s="1">
        <v>3.19</v>
      </c>
      <c r="E12" s="4" t="s">
        <v>12</v>
      </c>
      <c r="F12" s="1">
        <v>3.19</v>
      </c>
      <c r="G12" s="4" t="s">
        <v>12</v>
      </c>
      <c r="H12" s="9">
        <v>2.16</v>
      </c>
      <c r="I12" s="9">
        <v>2.16</v>
      </c>
      <c r="J12" s="9">
        <v>2.1</v>
      </c>
      <c r="K12" s="4" t="str">
        <f t="shared" si="0"/>
        <v>No</v>
      </c>
    </row>
    <row r="13" spans="1:15" x14ac:dyDescent="0.35">
      <c r="A13" t="s">
        <v>27</v>
      </c>
      <c r="B13" s="1">
        <v>2.06</v>
      </c>
      <c r="C13" s="1">
        <v>1.4</v>
      </c>
      <c r="D13" s="1">
        <v>1.33</v>
      </c>
      <c r="E13" s="9">
        <v>2.1</v>
      </c>
      <c r="F13" s="1">
        <v>1.91</v>
      </c>
      <c r="G13" s="4" t="s">
        <v>12</v>
      </c>
      <c r="H13" s="4" t="s">
        <v>29</v>
      </c>
      <c r="I13" s="9">
        <v>0.27</v>
      </c>
      <c r="J13" s="4" t="s">
        <v>13</v>
      </c>
      <c r="K13" s="4" t="str">
        <f t="shared" si="0"/>
        <v>Yes</v>
      </c>
    </row>
    <row r="14" spans="1:15" x14ac:dyDescent="0.35">
      <c r="A14" t="s">
        <v>31</v>
      </c>
      <c r="B14" s="1">
        <v>2.0499999999999998</v>
      </c>
      <c r="C14" s="1">
        <v>1.49</v>
      </c>
      <c r="D14" s="1">
        <v>1.33</v>
      </c>
      <c r="E14" s="9">
        <v>2.4700000000000002</v>
      </c>
      <c r="F14" s="1">
        <v>2.2000000000000002</v>
      </c>
      <c r="G14" s="4" t="s">
        <v>12</v>
      </c>
      <c r="H14" s="4" t="s">
        <v>61</v>
      </c>
      <c r="I14" s="9">
        <v>0.31</v>
      </c>
      <c r="J14" s="4" t="s">
        <v>13</v>
      </c>
      <c r="K14" s="4" t="str">
        <f t="shared" si="0"/>
        <v>Yes</v>
      </c>
    </row>
    <row r="15" spans="1:15" x14ac:dyDescent="0.35">
      <c r="A15" t="s">
        <v>133</v>
      </c>
      <c r="B15" s="1">
        <v>3.08</v>
      </c>
      <c r="C15" s="1">
        <v>3.08</v>
      </c>
      <c r="D15" s="1">
        <v>3.08</v>
      </c>
      <c r="E15" s="4" t="s">
        <v>12</v>
      </c>
      <c r="F15" s="1">
        <v>1.91</v>
      </c>
      <c r="G15" s="4" t="s">
        <v>12</v>
      </c>
      <c r="H15" s="9">
        <v>1.05</v>
      </c>
      <c r="I15" s="9">
        <v>1.05</v>
      </c>
      <c r="J15" s="9">
        <v>1.33</v>
      </c>
      <c r="K15" s="4" t="str">
        <f t="shared" si="0"/>
        <v>No</v>
      </c>
    </row>
    <row r="16" spans="1:15" x14ac:dyDescent="0.35">
      <c r="A16" t="s">
        <v>34</v>
      </c>
      <c r="B16" s="1">
        <v>1.42</v>
      </c>
      <c r="C16" s="1">
        <v>1.42</v>
      </c>
      <c r="D16" s="1">
        <v>1.33</v>
      </c>
      <c r="E16" s="9">
        <v>1.85</v>
      </c>
      <c r="F16" s="1">
        <v>1.33</v>
      </c>
      <c r="G16" s="4" t="s">
        <v>12</v>
      </c>
      <c r="H16" s="4" t="s">
        <v>35</v>
      </c>
      <c r="I16" s="9">
        <v>0.22</v>
      </c>
      <c r="J16" s="9">
        <v>1.33</v>
      </c>
      <c r="K16" s="4" t="str">
        <f t="shared" si="0"/>
        <v>Yes</v>
      </c>
    </row>
    <row r="17" spans="1:11" x14ac:dyDescent="0.35">
      <c r="A17" t="s">
        <v>36</v>
      </c>
      <c r="B17" s="1">
        <v>1.42</v>
      </c>
      <c r="C17" s="1">
        <v>1.42</v>
      </c>
      <c r="D17" s="1">
        <v>1.42</v>
      </c>
      <c r="E17" s="9">
        <v>3.13</v>
      </c>
      <c r="F17" s="1">
        <v>2.08</v>
      </c>
      <c r="G17" s="4" t="s">
        <v>12</v>
      </c>
      <c r="H17" s="9">
        <v>1.33</v>
      </c>
      <c r="I17" s="9">
        <v>1.33</v>
      </c>
      <c r="J17" s="9">
        <v>1.33</v>
      </c>
      <c r="K17" s="4" t="str">
        <f t="shared" si="0"/>
        <v>No</v>
      </c>
    </row>
    <row r="18" spans="1:11" x14ac:dyDescent="0.35">
      <c r="A18" t="s">
        <v>37</v>
      </c>
      <c r="B18" s="1">
        <v>2.08</v>
      </c>
      <c r="C18" s="1">
        <v>1.58</v>
      </c>
      <c r="D18" s="1">
        <v>1.58</v>
      </c>
      <c r="E18" s="9">
        <v>2.5</v>
      </c>
      <c r="F18" s="1">
        <v>2.08</v>
      </c>
      <c r="G18" s="4" t="s">
        <v>12</v>
      </c>
      <c r="H18" s="4" t="s">
        <v>38</v>
      </c>
      <c r="I18" s="9">
        <v>0.17</v>
      </c>
      <c r="J18" s="9">
        <v>1.33</v>
      </c>
      <c r="K18" s="4" t="str">
        <f t="shared" si="0"/>
        <v>Yes</v>
      </c>
    </row>
    <row r="19" spans="1:11" x14ac:dyDescent="0.35">
      <c r="A19" t="s">
        <v>39</v>
      </c>
      <c r="B19" s="1">
        <v>3.75</v>
      </c>
      <c r="C19" s="1">
        <v>1.67</v>
      </c>
      <c r="D19" s="1">
        <v>1.67</v>
      </c>
      <c r="E19" s="9">
        <v>3.02</v>
      </c>
      <c r="F19" s="1">
        <v>3.75</v>
      </c>
      <c r="G19" s="4" t="s">
        <v>12</v>
      </c>
      <c r="H19" s="4" t="s">
        <v>74</v>
      </c>
      <c r="I19" s="9">
        <v>0.49</v>
      </c>
      <c r="J19" s="9">
        <v>1.33</v>
      </c>
      <c r="K19" s="4" t="str">
        <f t="shared" si="0"/>
        <v>Yes</v>
      </c>
    </row>
    <row r="20" spans="1:11" x14ac:dyDescent="0.35">
      <c r="A20" t="s">
        <v>42</v>
      </c>
      <c r="B20" s="1">
        <v>1.66</v>
      </c>
      <c r="C20" s="1">
        <v>1.49</v>
      </c>
      <c r="D20" s="1">
        <v>1.33</v>
      </c>
      <c r="E20" s="9">
        <v>2.25</v>
      </c>
      <c r="F20" s="1">
        <v>1.66</v>
      </c>
      <c r="G20" s="4" t="s">
        <v>12</v>
      </c>
      <c r="H20" s="9">
        <v>0.33</v>
      </c>
      <c r="I20" s="9">
        <v>0.33</v>
      </c>
      <c r="J20" s="4" t="s">
        <v>13</v>
      </c>
      <c r="K20" s="4" t="str">
        <f t="shared" si="0"/>
        <v>No</v>
      </c>
    </row>
    <row r="21" spans="1:11" x14ac:dyDescent="0.35">
      <c r="A21" t="s">
        <v>43</v>
      </c>
      <c r="B21" s="1">
        <v>1.95</v>
      </c>
      <c r="C21" s="1">
        <v>1.59</v>
      </c>
      <c r="D21" s="1">
        <v>1.59</v>
      </c>
      <c r="E21" s="9">
        <v>2.13</v>
      </c>
      <c r="F21" s="1">
        <v>1.95</v>
      </c>
      <c r="G21" s="4" t="s">
        <v>12</v>
      </c>
      <c r="H21" s="4" t="s">
        <v>35</v>
      </c>
      <c r="I21" s="9">
        <v>0.22</v>
      </c>
      <c r="J21" s="9">
        <v>1.33</v>
      </c>
      <c r="K21" s="4" t="str">
        <f t="shared" si="0"/>
        <v>Yes</v>
      </c>
    </row>
    <row r="22" spans="1:11" x14ac:dyDescent="0.35">
      <c r="A22" t="s">
        <v>44</v>
      </c>
      <c r="B22" s="1">
        <v>2.12</v>
      </c>
      <c r="C22" s="1">
        <v>2.12</v>
      </c>
      <c r="D22" s="1">
        <v>2.12</v>
      </c>
      <c r="E22" s="9">
        <v>2.5</v>
      </c>
      <c r="F22" s="1">
        <v>1.33</v>
      </c>
      <c r="G22" s="4" t="s">
        <v>12</v>
      </c>
      <c r="H22" s="9">
        <v>0.19</v>
      </c>
      <c r="I22" s="9">
        <v>0.19</v>
      </c>
      <c r="J22" s="9">
        <v>1.33</v>
      </c>
      <c r="K22" s="4" t="str">
        <f t="shared" si="0"/>
        <v>No</v>
      </c>
    </row>
    <row r="23" spans="1:11" x14ac:dyDescent="0.35">
      <c r="A23" t="s">
        <v>45</v>
      </c>
      <c r="B23" s="1">
        <v>1.91</v>
      </c>
      <c r="C23" s="1">
        <v>1.57</v>
      </c>
      <c r="D23" s="1">
        <v>1.57</v>
      </c>
      <c r="E23" s="9">
        <v>2.08</v>
      </c>
      <c r="F23" s="1">
        <v>2.09</v>
      </c>
      <c r="G23" s="4" t="s">
        <v>12</v>
      </c>
      <c r="H23" s="9">
        <v>1</v>
      </c>
      <c r="I23" s="9">
        <v>1</v>
      </c>
      <c r="J23" s="9">
        <v>1.33</v>
      </c>
      <c r="K23" s="4" t="str">
        <f t="shared" si="0"/>
        <v>No</v>
      </c>
    </row>
    <row r="24" spans="1:11" x14ac:dyDescent="0.35">
      <c r="A24" t="s">
        <v>47</v>
      </c>
      <c r="B24" s="1">
        <v>3.17</v>
      </c>
      <c r="C24" s="1">
        <v>3.17</v>
      </c>
      <c r="D24" s="1">
        <v>3.17</v>
      </c>
      <c r="E24" s="4" t="s">
        <v>12</v>
      </c>
      <c r="F24" s="1">
        <v>2.59</v>
      </c>
      <c r="G24" s="4" t="s">
        <v>12</v>
      </c>
      <c r="H24" s="9">
        <v>1.23</v>
      </c>
      <c r="I24" s="9">
        <v>1.23</v>
      </c>
      <c r="J24" s="9">
        <v>1.33</v>
      </c>
      <c r="K24" s="4" t="str">
        <f t="shared" si="0"/>
        <v>No</v>
      </c>
    </row>
    <row r="25" spans="1:11" x14ac:dyDescent="0.35">
      <c r="A25" t="s">
        <v>48</v>
      </c>
      <c r="B25" s="1">
        <v>2</v>
      </c>
      <c r="C25" s="1">
        <v>1.5</v>
      </c>
      <c r="D25" s="1">
        <v>1.5</v>
      </c>
      <c r="E25" s="9">
        <v>3</v>
      </c>
      <c r="F25" s="1">
        <v>2</v>
      </c>
      <c r="G25" s="4" t="s">
        <v>12</v>
      </c>
      <c r="H25" s="9">
        <v>1.33</v>
      </c>
      <c r="I25" s="9">
        <v>1.33</v>
      </c>
      <c r="J25" s="9">
        <v>1.33</v>
      </c>
      <c r="K25" s="4" t="str">
        <f t="shared" si="0"/>
        <v>No</v>
      </c>
    </row>
    <row r="26" spans="1:11" x14ac:dyDescent="0.35">
      <c r="A26" t="s">
        <v>49</v>
      </c>
      <c r="B26" s="1">
        <v>2.12</v>
      </c>
      <c r="C26" s="1">
        <v>2.12</v>
      </c>
      <c r="D26" s="1">
        <v>2.12</v>
      </c>
      <c r="E26" s="4" t="s">
        <v>12</v>
      </c>
      <c r="F26" s="1">
        <v>1.95</v>
      </c>
      <c r="G26" s="4" t="s">
        <v>12</v>
      </c>
      <c r="H26" s="9">
        <v>0.54</v>
      </c>
      <c r="I26" s="9">
        <v>0.54</v>
      </c>
      <c r="J26" s="9">
        <v>1.33</v>
      </c>
      <c r="K26" s="4" t="str">
        <f t="shared" si="0"/>
        <v>No</v>
      </c>
    </row>
    <row r="27" spans="1:11" x14ac:dyDescent="0.35">
      <c r="A27" t="s">
        <v>50</v>
      </c>
      <c r="B27" s="1">
        <v>2.83</v>
      </c>
      <c r="C27" s="1">
        <v>2.75</v>
      </c>
      <c r="D27" s="1">
        <v>2.75</v>
      </c>
      <c r="E27" s="4" t="s">
        <v>12</v>
      </c>
      <c r="F27" s="1">
        <v>2.78</v>
      </c>
      <c r="G27" s="4" t="s">
        <v>12</v>
      </c>
      <c r="H27" s="9">
        <v>1.33</v>
      </c>
      <c r="I27" s="9">
        <v>1.33</v>
      </c>
      <c r="J27" s="9">
        <v>2</v>
      </c>
      <c r="K27" s="4" t="str">
        <f t="shared" si="0"/>
        <v>No</v>
      </c>
    </row>
    <row r="28" spans="1:11" x14ac:dyDescent="0.35">
      <c r="A28" t="s">
        <v>53</v>
      </c>
      <c r="B28" s="1">
        <v>1.94</v>
      </c>
      <c r="C28" s="1">
        <v>1.43</v>
      </c>
      <c r="D28" s="1">
        <v>1.33</v>
      </c>
      <c r="E28" s="9">
        <v>2.09</v>
      </c>
      <c r="F28" s="1">
        <v>1.94</v>
      </c>
      <c r="G28" s="4" t="s">
        <v>12</v>
      </c>
      <c r="H28" s="4" t="s">
        <v>54</v>
      </c>
      <c r="I28" s="9">
        <v>0.21</v>
      </c>
      <c r="J28" s="4" t="s">
        <v>13</v>
      </c>
      <c r="K28" s="4" t="str">
        <f t="shared" si="0"/>
        <v>Yes</v>
      </c>
    </row>
    <row r="29" spans="1:11" x14ac:dyDescent="0.35">
      <c r="A29" t="s">
        <v>55</v>
      </c>
      <c r="B29" s="1">
        <v>1.96</v>
      </c>
      <c r="C29" s="1">
        <v>1.5</v>
      </c>
      <c r="D29" s="1">
        <v>1.5</v>
      </c>
      <c r="E29" s="9">
        <v>3</v>
      </c>
      <c r="F29" s="1">
        <v>1.96</v>
      </c>
      <c r="G29" s="9">
        <v>3</v>
      </c>
      <c r="H29" s="4" t="s">
        <v>56</v>
      </c>
      <c r="I29" s="9">
        <v>0.17</v>
      </c>
      <c r="J29" s="9">
        <v>1.33</v>
      </c>
      <c r="K29" s="4" t="str">
        <f t="shared" si="0"/>
        <v>Yes</v>
      </c>
    </row>
    <row r="30" spans="1:11" x14ac:dyDescent="0.35">
      <c r="A30" t="s">
        <v>58</v>
      </c>
      <c r="B30" s="1">
        <v>1.43</v>
      </c>
      <c r="C30" s="1">
        <v>1.43</v>
      </c>
      <c r="D30" s="1">
        <v>1.43</v>
      </c>
      <c r="E30" s="9">
        <v>2.61</v>
      </c>
      <c r="F30" s="1">
        <v>1.57</v>
      </c>
      <c r="G30" s="4" t="s">
        <v>12</v>
      </c>
      <c r="H30" s="9">
        <v>0.24</v>
      </c>
      <c r="I30" s="9">
        <v>0.24</v>
      </c>
      <c r="J30" s="9">
        <v>1.33</v>
      </c>
      <c r="K30" s="4" t="str">
        <f t="shared" si="0"/>
        <v>No</v>
      </c>
    </row>
    <row r="31" spans="1:11" x14ac:dyDescent="0.35">
      <c r="A31" t="s">
        <v>59</v>
      </c>
      <c r="B31" s="1">
        <v>2.13</v>
      </c>
      <c r="C31" s="1">
        <v>2.13</v>
      </c>
      <c r="D31" s="1">
        <v>2.13</v>
      </c>
      <c r="E31" s="4" t="s">
        <v>12</v>
      </c>
      <c r="F31" s="1">
        <v>1.94</v>
      </c>
      <c r="G31" s="4" t="s">
        <v>12</v>
      </c>
      <c r="H31" s="9">
        <v>0.57999999999999996</v>
      </c>
      <c r="I31" s="9">
        <v>0.57999999999999996</v>
      </c>
      <c r="J31" s="9">
        <v>1.33</v>
      </c>
      <c r="K31" s="4" t="str">
        <f t="shared" si="0"/>
        <v>No</v>
      </c>
    </row>
    <row r="32" spans="1:11" x14ac:dyDescent="0.35">
      <c r="A32" t="s">
        <v>60</v>
      </c>
      <c r="B32" s="1">
        <v>1.6</v>
      </c>
      <c r="C32" s="1">
        <v>1.6</v>
      </c>
      <c r="D32" s="1">
        <v>1.33</v>
      </c>
      <c r="E32" s="9">
        <v>2</v>
      </c>
      <c r="F32" s="1">
        <v>1.6</v>
      </c>
      <c r="G32" s="4" t="s">
        <v>12</v>
      </c>
      <c r="H32" s="4" t="s">
        <v>106</v>
      </c>
      <c r="I32" s="9">
        <v>0.3</v>
      </c>
      <c r="J32" s="9">
        <v>1.33</v>
      </c>
      <c r="K32" s="4" t="str">
        <f t="shared" si="0"/>
        <v>Yes</v>
      </c>
    </row>
    <row r="33" spans="1:11" x14ac:dyDescent="0.35">
      <c r="A33" t="s">
        <v>62</v>
      </c>
      <c r="B33" s="1">
        <v>3.18</v>
      </c>
      <c r="C33" s="1">
        <v>3.18</v>
      </c>
      <c r="D33" s="1">
        <v>3.18</v>
      </c>
      <c r="E33" s="4" t="s">
        <v>12</v>
      </c>
      <c r="F33" s="1">
        <v>1.96</v>
      </c>
      <c r="G33" s="4" t="s">
        <v>12</v>
      </c>
      <c r="H33" s="4" t="s">
        <v>107</v>
      </c>
      <c r="I33" s="9">
        <v>0.62</v>
      </c>
      <c r="J33" s="9">
        <v>1.33</v>
      </c>
      <c r="K33" s="4" t="str">
        <f t="shared" si="0"/>
        <v>Yes</v>
      </c>
    </row>
    <row r="34" spans="1:11" x14ac:dyDescent="0.35">
      <c r="A34" t="s">
        <v>64</v>
      </c>
      <c r="B34" s="1">
        <v>1.94</v>
      </c>
      <c r="C34" s="1">
        <v>1.42</v>
      </c>
      <c r="D34" s="1">
        <v>1.42</v>
      </c>
      <c r="E34" s="9">
        <v>3.5</v>
      </c>
      <c r="F34" s="1">
        <v>1.94</v>
      </c>
      <c r="G34" s="9">
        <v>2</v>
      </c>
      <c r="H34" s="4" t="s">
        <v>65</v>
      </c>
      <c r="I34" s="9">
        <v>0.28999999999999998</v>
      </c>
      <c r="J34" s="9">
        <v>1.33</v>
      </c>
      <c r="K34" s="4" t="str">
        <f t="shared" si="0"/>
        <v>Yes</v>
      </c>
    </row>
    <row r="35" spans="1:11" x14ac:dyDescent="0.35">
      <c r="A35" t="s">
        <v>66</v>
      </c>
      <c r="B35" s="1">
        <v>3</v>
      </c>
      <c r="C35" s="1">
        <v>3</v>
      </c>
      <c r="D35" s="1">
        <v>2.4</v>
      </c>
      <c r="E35" s="4" t="s">
        <v>12</v>
      </c>
      <c r="F35" s="1">
        <v>2.5</v>
      </c>
      <c r="G35" s="4" t="s">
        <v>12</v>
      </c>
      <c r="H35" s="4" t="s">
        <v>67</v>
      </c>
      <c r="I35" s="9">
        <v>0.42</v>
      </c>
      <c r="J35" s="9">
        <v>1.33</v>
      </c>
      <c r="K35" s="4" t="str">
        <f t="shared" si="0"/>
        <v>Yes</v>
      </c>
    </row>
    <row r="36" spans="1:11" x14ac:dyDescent="0.35">
      <c r="A36" t="s">
        <v>68</v>
      </c>
      <c r="B36" s="1">
        <v>2.1800000000000002</v>
      </c>
      <c r="C36" s="1">
        <v>1.49</v>
      </c>
      <c r="D36" s="1">
        <v>1.49</v>
      </c>
      <c r="E36" s="9">
        <v>4</v>
      </c>
      <c r="F36" s="1">
        <v>2.1800000000000002</v>
      </c>
      <c r="G36" s="4" t="s">
        <v>12</v>
      </c>
      <c r="H36" s="9">
        <v>1.33</v>
      </c>
      <c r="I36" s="9">
        <v>1.33</v>
      </c>
      <c r="J36" s="9">
        <v>2</v>
      </c>
      <c r="K36" s="4" t="str">
        <f t="shared" si="0"/>
        <v>No</v>
      </c>
    </row>
    <row r="37" spans="1:11" x14ac:dyDescent="0.35">
      <c r="A37" t="s">
        <v>69</v>
      </c>
      <c r="B37" s="1">
        <v>2.1</v>
      </c>
      <c r="C37" s="1">
        <v>2.1</v>
      </c>
      <c r="D37" s="1">
        <v>1.33</v>
      </c>
      <c r="E37" s="9">
        <v>2.11</v>
      </c>
      <c r="F37" s="1">
        <v>1.96</v>
      </c>
      <c r="G37" s="4" t="s">
        <v>12</v>
      </c>
      <c r="H37" s="4" t="s">
        <v>108</v>
      </c>
      <c r="I37" s="9">
        <v>0.4</v>
      </c>
      <c r="J37" s="4" t="s">
        <v>13</v>
      </c>
      <c r="K37" s="4" t="str">
        <f t="shared" si="0"/>
        <v>Yes</v>
      </c>
    </row>
    <row r="38" spans="1:11" x14ac:dyDescent="0.35">
      <c r="A38" t="s">
        <v>72</v>
      </c>
      <c r="B38" s="1">
        <v>1.7</v>
      </c>
      <c r="C38" s="1">
        <v>1.7</v>
      </c>
      <c r="D38" s="1">
        <v>1.7</v>
      </c>
      <c r="E38" s="4" t="s">
        <v>12</v>
      </c>
      <c r="F38" s="1">
        <v>1.57</v>
      </c>
      <c r="G38" s="4" t="s">
        <v>12</v>
      </c>
      <c r="H38" s="4" t="s">
        <v>109</v>
      </c>
      <c r="I38" s="9">
        <v>0.48</v>
      </c>
      <c r="J38" s="9">
        <v>1.33</v>
      </c>
      <c r="K38" s="4" t="str">
        <f t="shared" si="0"/>
        <v>Yes</v>
      </c>
    </row>
    <row r="39" spans="1:11" x14ac:dyDescent="0.35">
      <c r="A39" t="s">
        <v>75</v>
      </c>
      <c r="B39" s="1">
        <v>2.06</v>
      </c>
      <c r="C39" s="1">
        <v>2.06</v>
      </c>
      <c r="D39" s="1">
        <v>2.06</v>
      </c>
      <c r="E39" s="4" t="s">
        <v>12</v>
      </c>
      <c r="F39" s="1">
        <v>2</v>
      </c>
      <c r="G39" s="4" t="s">
        <v>12</v>
      </c>
      <c r="H39" s="9">
        <v>0.9</v>
      </c>
      <c r="I39" s="9">
        <v>0.9</v>
      </c>
      <c r="J39" s="9">
        <v>1.33</v>
      </c>
      <c r="K39" s="4" t="str">
        <f t="shared" si="0"/>
        <v>No</v>
      </c>
    </row>
    <row r="40" spans="1:11" x14ac:dyDescent="0.35">
      <c r="A40" t="s">
        <v>76</v>
      </c>
      <c r="B40" s="1">
        <v>2.0499999999999998</v>
      </c>
      <c r="C40" s="1">
        <v>2.0499999999999998</v>
      </c>
      <c r="D40" s="1">
        <v>2.0499999999999998</v>
      </c>
      <c r="E40" s="4" t="s">
        <v>12</v>
      </c>
      <c r="F40" s="1">
        <v>1.33</v>
      </c>
      <c r="G40" s="4" t="s">
        <v>12</v>
      </c>
      <c r="H40" s="4" t="s">
        <v>79</v>
      </c>
      <c r="I40" s="9">
        <v>0.38</v>
      </c>
      <c r="J40" s="9">
        <v>1.33</v>
      </c>
      <c r="K40" s="4" t="str">
        <f t="shared" si="0"/>
        <v>Yes</v>
      </c>
    </row>
    <row r="41" spans="1:11" x14ac:dyDescent="0.35">
      <c r="A41" t="s">
        <v>78</v>
      </c>
      <c r="B41" s="1">
        <v>1.85</v>
      </c>
      <c r="C41" s="1">
        <v>1.33</v>
      </c>
      <c r="D41" s="1">
        <v>1.33</v>
      </c>
      <c r="E41" s="9">
        <v>3</v>
      </c>
      <c r="F41" s="1">
        <v>1.85</v>
      </c>
      <c r="G41" s="4" t="s">
        <v>12</v>
      </c>
      <c r="H41" s="4" t="s">
        <v>94</v>
      </c>
      <c r="I41" s="9">
        <v>0.37</v>
      </c>
      <c r="J41" s="9">
        <v>1.33</v>
      </c>
      <c r="K41" s="4" t="str">
        <f t="shared" si="0"/>
        <v>Yes</v>
      </c>
    </row>
    <row r="42" spans="1:11" x14ac:dyDescent="0.35">
      <c r="A42" t="s">
        <v>80</v>
      </c>
      <c r="B42" s="1">
        <v>2.15</v>
      </c>
      <c r="C42" s="1">
        <v>1.57</v>
      </c>
      <c r="D42" s="1">
        <v>1.33</v>
      </c>
      <c r="E42" s="9">
        <v>3.14</v>
      </c>
      <c r="F42" s="1">
        <v>2.15</v>
      </c>
      <c r="G42" s="4" t="s">
        <v>12</v>
      </c>
      <c r="H42" s="9">
        <v>0.33</v>
      </c>
      <c r="I42" s="9">
        <v>0.33</v>
      </c>
      <c r="J42" s="9">
        <v>1.33</v>
      </c>
      <c r="K42" s="4" t="str">
        <f t="shared" si="0"/>
        <v>No</v>
      </c>
    </row>
    <row r="43" spans="1:11" x14ac:dyDescent="0.35">
      <c r="A43" t="s">
        <v>81</v>
      </c>
      <c r="B43" s="1">
        <v>2.61</v>
      </c>
      <c r="C43" s="1">
        <v>2.61</v>
      </c>
      <c r="D43" s="1">
        <v>2.61</v>
      </c>
      <c r="E43" s="4" t="s">
        <v>12</v>
      </c>
      <c r="F43" s="1">
        <v>1.9</v>
      </c>
      <c r="G43" s="9">
        <v>2.5299999999999998</v>
      </c>
      <c r="H43" s="9">
        <v>1.1599999999999999</v>
      </c>
      <c r="I43" s="9">
        <v>1.1599999999999999</v>
      </c>
      <c r="J43" s="9">
        <v>1.33</v>
      </c>
      <c r="K43" s="4" t="str">
        <f t="shared" si="0"/>
        <v>No</v>
      </c>
    </row>
    <row r="44" spans="1:11" x14ac:dyDescent="0.35">
      <c r="A44" t="s">
        <v>82</v>
      </c>
      <c r="B44" s="1">
        <v>2.08</v>
      </c>
      <c r="C44" s="1">
        <v>2.08</v>
      </c>
      <c r="D44" s="1">
        <v>2.08</v>
      </c>
      <c r="E44" s="4" t="s">
        <v>12</v>
      </c>
      <c r="F44" s="1">
        <v>1.94</v>
      </c>
      <c r="G44" s="4" t="s">
        <v>12</v>
      </c>
      <c r="H44" s="9">
        <v>0.95</v>
      </c>
      <c r="I44" s="9">
        <v>0.95</v>
      </c>
      <c r="J44" s="4" t="s">
        <v>13</v>
      </c>
      <c r="K44" s="4" t="str">
        <f t="shared" si="0"/>
        <v>No</v>
      </c>
    </row>
    <row r="45" spans="1:11" x14ac:dyDescent="0.35">
      <c r="A45" t="s">
        <v>83</v>
      </c>
      <c r="B45" s="1">
        <v>1.82</v>
      </c>
      <c r="C45" s="1">
        <v>1.82</v>
      </c>
      <c r="D45" s="1">
        <v>1.82</v>
      </c>
      <c r="E45" s="9">
        <v>2.04</v>
      </c>
      <c r="F45" s="1">
        <v>1.33</v>
      </c>
      <c r="G45" s="4" t="s">
        <v>12</v>
      </c>
      <c r="H45" s="4" t="s">
        <v>110</v>
      </c>
      <c r="I45" s="9">
        <v>0.52</v>
      </c>
      <c r="J45" s="4" t="s">
        <v>13</v>
      </c>
      <c r="K45" s="4" t="str">
        <f t="shared" si="0"/>
        <v>Yes</v>
      </c>
    </row>
    <row r="46" spans="1:11" x14ac:dyDescent="0.35">
      <c r="A46" t="s">
        <v>85</v>
      </c>
      <c r="B46" s="1">
        <v>1.95</v>
      </c>
      <c r="C46" s="1">
        <v>1.42</v>
      </c>
      <c r="D46" s="1">
        <v>1.33</v>
      </c>
      <c r="E46" s="9">
        <v>2.5</v>
      </c>
      <c r="F46" s="1">
        <v>1.95</v>
      </c>
      <c r="G46" s="4" t="s">
        <v>12</v>
      </c>
      <c r="H46" s="4" t="s">
        <v>111</v>
      </c>
      <c r="I46" s="9">
        <v>0.95</v>
      </c>
      <c r="J46" s="4" t="s">
        <v>13</v>
      </c>
      <c r="K46" s="4" t="str">
        <f t="shared" si="0"/>
        <v>Yes</v>
      </c>
    </row>
    <row r="47" spans="1:11" x14ac:dyDescent="0.35">
      <c r="A47" t="s">
        <v>87</v>
      </c>
      <c r="B47" s="1">
        <v>1.98</v>
      </c>
      <c r="C47" s="1">
        <v>1.44</v>
      </c>
      <c r="D47" s="1">
        <v>1.33</v>
      </c>
      <c r="E47" s="9">
        <v>2.0099999999999998</v>
      </c>
      <c r="F47" s="1">
        <v>1.98</v>
      </c>
      <c r="G47" s="4" t="s">
        <v>12</v>
      </c>
      <c r="H47" s="4" t="s">
        <v>88</v>
      </c>
      <c r="I47" s="9">
        <v>0.14000000000000001</v>
      </c>
      <c r="J47" s="4" t="s">
        <v>13</v>
      </c>
      <c r="K47" s="4" t="str">
        <f t="shared" si="0"/>
        <v>Yes</v>
      </c>
    </row>
    <row r="48" spans="1:11" x14ac:dyDescent="0.35">
      <c r="A48" t="s">
        <v>89</v>
      </c>
      <c r="B48" s="1">
        <v>1.39</v>
      </c>
      <c r="C48" s="1">
        <v>1.39</v>
      </c>
      <c r="D48" s="1">
        <v>1.33</v>
      </c>
      <c r="E48" s="9">
        <v>2</v>
      </c>
      <c r="F48" s="1">
        <v>1.39</v>
      </c>
      <c r="G48" s="4" t="s">
        <v>12</v>
      </c>
      <c r="H48" s="4" t="s">
        <v>71</v>
      </c>
      <c r="I48" s="9">
        <v>0.41</v>
      </c>
      <c r="J48" s="9">
        <v>1.33</v>
      </c>
      <c r="K48" s="4" t="str">
        <f t="shared" si="0"/>
        <v>Yes</v>
      </c>
    </row>
    <row r="49" spans="1:11" x14ac:dyDescent="0.35">
      <c r="A49" t="s">
        <v>91</v>
      </c>
      <c r="B49" s="1">
        <v>3.12</v>
      </c>
      <c r="C49" s="1">
        <v>3.12</v>
      </c>
      <c r="D49" s="1">
        <v>3.12</v>
      </c>
      <c r="E49" s="4" t="s">
        <v>12</v>
      </c>
      <c r="F49" s="1">
        <v>2.08</v>
      </c>
      <c r="G49" s="4" t="s">
        <v>12</v>
      </c>
      <c r="H49" s="4" t="s">
        <v>74</v>
      </c>
      <c r="I49" s="9">
        <v>0.49</v>
      </c>
      <c r="J49" s="9">
        <v>1.33</v>
      </c>
      <c r="K49" s="4" t="str">
        <f t="shared" si="0"/>
        <v>Yes</v>
      </c>
    </row>
    <row r="50" spans="1:11" x14ac:dyDescent="0.35">
      <c r="A50" t="s">
        <v>92</v>
      </c>
      <c r="B50" s="1">
        <v>1.43</v>
      </c>
      <c r="C50" s="1">
        <v>1.43</v>
      </c>
      <c r="D50" s="1">
        <v>1.43</v>
      </c>
      <c r="E50" s="9">
        <v>2</v>
      </c>
      <c r="F50" s="1">
        <v>1.43</v>
      </c>
      <c r="G50" s="9">
        <v>2</v>
      </c>
      <c r="H50" s="4" t="s">
        <v>74</v>
      </c>
      <c r="I50" s="9">
        <v>0.49</v>
      </c>
      <c r="J50" s="9">
        <v>1.33</v>
      </c>
      <c r="K50" s="4" t="str">
        <f t="shared" si="0"/>
        <v>Yes</v>
      </c>
    </row>
    <row r="51" spans="1:11" x14ac:dyDescent="0.35">
      <c r="A51" t="s">
        <v>93</v>
      </c>
      <c r="B51" s="1">
        <v>2.1</v>
      </c>
      <c r="C51" s="1">
        <v>2.1</v>
      </c>
      <c r="D51" s="1">
        <v>2.1</v>
      </c>
      <c r="E51" s="9">
        <v>3.12</v>
      </c>
      <c r="F51" s="1">
        <v>1.93</v>
      </c>
      <c r="G51" s="4" t="s">
        <v>12</v>
      </c>
      <c r="H51" s="4" t="s">
        <v>94</v>
      </c>
      <c r="I51" s="9">
        <v>0.37</v>
      </c>
      <c r="J51" s="9">
        <v>1.33</v>
      </c>
      <c r="K51" s="4" t="str">
        <f t="shared" si="0"/>
        <v>Yes</v>
      </c>
    </row>
    <row r="52" spans="1:11" x14ac:dyDescent="0.35">
      <c r="A52" t="s">
        <v>95</v>
      </c>
      <c r="B52" s="1">
        <v>1.58</v>
      </c>
      <c r="C52" s="1">
        <v>1.41</v>
      </c>
      <c r="D52" s="1">
        <v>1.33</v>
      </c>
      <c r="E52" s="9">
        <v>3</v>
      </c>
      <c r="F52" s="1">
        <v>1.85</v>
      </c>
      <c r="G52" s="9">
        <v>3</v>
      </c>
      <c r="H52" s="4" t="s">
        <v>96</v>
      </c>
      <c r="I52" s="9">
        <v>0.18</v>
      </c>
      <c r="J52" s="9">
        <v>1.33</v>
      </c>
      <c r="K52" s="4" t="str">
        <f t="shared" si="0"/>
        <v>Yes</v>
      </c>
    </row>
    <row r="53" spans="1:11" x14ac:dyDescent="0.35">
      <c r="A53" t="s">
        <v>97</v>
      </c>
      <c r="B53" s="1">
        <v>3.01</v>
      </c>
      <c r="C53" s="1">
        <v>1.86</v>
      </c>
      <c r="D53" s="1">
        <v>1.51</v>
      </c>
      <c r="E53" s="9">
        <v>3.01</v>
      </c>
      <c r="F53" s="1">
        <v>3.01</v>
      </c>
      <c r="G53" s="4" t="s">
        <v>12</v>
      </c>
      <c r="H53" s="4" t="s">
        <v>99</v>
      </c>
      <c r="I53" s="9">
        <v>0.95</v>
      </c>
      <c r="J53" s="4" t="s">
        <v>13</v>
      </c>
      <c r="K53" s="4" t="str">
        <f t="shared" si="0"/>
        <v>No</v>
      </c>
    </row>
    <row r="54" spans="1:11" x14ac:dyDescent="0.35">
      <c r="A54" t="s">
        <v>101</v>
      </c>
      <c r="B54" s="1">
        <v>2</v>
      </c>
      <c r="C54" s="1">
        <v>2</v>
      </c>
      <c r="D54" s="1">
        <v>2</v>
      </c>
      <c r="E54" s="4" t="s">
        <v>12</v>
      </c>
      <c r="F54" s="1">
        <v>1.54</v>
      </c>
      <c r="G54" s="4" t="s">
        <v>12</v>
      </c>
      <c r="H54" s="4" t="s">
        <v>102</v>
      </c>
      <c r="I54" s="9">
        <v>0.51</v>
      </c>
      <c r="J54" s="4" t="s">
        <v>13</v>
      </c>
      <c r="K54" s="4" t="str">
        <f t="shared" si="0"/>
        <v>Yes</v>
      </c>
    </row>
    <row r="57" spans="1:11" x14ac:dyDescent="0.35">
      <c r="A57" t="s">
        <v>112</v>
      </c>
    </row>
    <row r="58" spans="1:11" x14ac:dyDescent="0.35">
      <c r="A58" t="s">
        <v>113</v>
      </c>
    </row>
    <row r="59" spans="1:11" x14ac:dyDescent="0.35">
      <c r="A59" t="s">
        <v>114</v>
      </c>
    </row>
    <row r="60" spans="1:11" x14ac:dyDescent="0.35">
      <c r="A60" t="s">
        <v>115</v>
      </c>
    </row>
    <row r="61" spans="1:11" x14ac:dyDescent="0.35">
      <c r="A61" t="s">
        <v>116</v>
      </c>
    </row>
    <row r="62" spans="1:11" x14ac:dyDescent="0.35">
      <c r="A62" t="s">
        <v>117</v>
      </c>
    </row>
    <row r="63" spans="1:11" x14ac:dyDescent="0.35">
      <c r="A63" t="s">
        <v>118</v>
      </c>
    </row>
    <row r="64" spans="1:11" x14ac:dyDescent="0.35">
      <c r="A64" t="s">
        <v>119</v>
      </c>
    </row>
    <row r="65" spans="1:1" x14ac:dyDescent="0.35">
      <c r="A65" t="s">
        <v>120</v>
      </c>
    </row>
    <row r="67" spans="1:1" x14ac:dyDescent="0.35">
      <c r="A67" t="s">
        <v>121</v>
      </c>
    </row>
    <row r="68" spans="1:1" x14ac:dyDescent="0.35">
      <c r="A68" t="s">
        <v>122</v>
      </c>
    </row>
    <row r="69" spans="1:1" x14ac:dyDescent="0.35">
      <c r="A69" t="s">
        <v>123</v>
      </c>
    </row>
    <row r="71" spans="1:1" x14ac:dyDescent="0.35">
      <c r="A71" t="s">
        <v>124</v>
      </c>
    </row>
    <row r="72" spans="1:1" x14ac:dyDescent="0.35">
      <c r="A72" t="s">
        <v>125</v>
      </c>
    </row>
    <row r="74" spans="1:1" x14ac:dyDescent="0.35">
      <c r="A74" t="s">
        <v>126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299FD-9F7D-47B1-A06A-2F3D5BF19D0E}">
  <dimension ref="A1:J54"/>
  <sheetViews>
    <sheetView workbookViewId="0">
      <selection activeCell="F1" sqref="F1"/>
    </sheetView>
  </sheetViews>
  <sheetFormatPr defaultRowHeight="14.5" x14ac:dyDescent="0.35"/>
  <cols>
    <col min="1" max="2" width="18.81640625" customWidth="1"/>
    <col min="3" max="10" width="12.26953125" customWidth="1"/>
  </cols>
  <sheetData>
    <row r="1" spans="1:10" x14ac:dyDescent="0.35">
      <c r="A1" t="s">
        <v>0</v>
      </c>
    </row>
    <row r="2" spans="1:10" x14ac:dyDescent="0.35">
      <c r="A2" t="s">
        <v>138</v>
      </c>
    </row>
    <row r="3" spans="1:10" ht="58" x14ac:dyDescent="0.35">
      <c r="A3" s="12" t="s">
        <v>2</v>
      </c>
      <c r="B3" s="5" t="s">
        <v>141</v>
      </c>
      <c r="C3" s="11" t="s">
        <v>128</v>
      </c>
      <c r="D3" s="11" t="s">
        <v>129</v>
      </c>
      <c r="E3" s="11" t="s">
        <v>130</v>
      </c>
      <c r="F3" s="11" t="s">
        <v>131</v>
      </c>
      <c r="G3" s="11" t="s">
        <v>7</v>
      </c>
      <c r="H3" s="11" t="s">
        <v>132</v>
      </c>
      <c r="I3" s="11" t="s">
        <v>139</v>
      </c>
      <c r="J3" s="11" t="s">
        <v>10</v>
      </c>
    </row>
    <row r="4" spans="1:10" x14ac:dyDescent="0.35">
      <c r="A4" t="s">
        <v>11</v>
      </c>
      <c r="B4" s="4">
        <v>2023</v>
      </c>
      <c r="C4" s="1">
        <v>1.41</v>
      </c>
      <c r="D4" s="1">
        <v>1.41</v>
      </c>
      <c r="E4" s="1">
        <v>1.41</v>
      </c>
      <c r="F4" s="1">
        <v>3.12</v>
      </c>
      <c r="G4" s="1">
        <v>1.41</v>
      </c>
      <c r="H4" t="s">
        <v>12</v>
      </c>
      <c r="I4" s="1">
        <v>0.13</v>
      </c>
      <c r="J4" t="s">
        <v>13</v>
      </c>
    </row>
    <row r="5" spans="1:10" x14ac:dyDescent="0.35">
      <c r="A5" t="s">
        <v>127</v>
      </c>
      <c r="B5" s="4">
        <v>2023</v>
      </c>
      <c r="C5" s="1">
        <v>2.0299999999999998</v>
      </c>
      <c r="D5" s="1">
        <v>2.0299999999999998</v>
      </c>
      <c r="E5" s="1">
        <v>2.0299999999999998</v>
      </c>
      <c r="F5" t="s">
        <v>12</v>
      </c>
      <c r="G5" s="1">
        <v>2</v>
      </c>
      <c r="H5" t="s">
        <v>12</v>
      </c>
      <c r="I5" s="1">
        <v>1.31</v>
      </c>
      <c r="J5" s="1">
        <v>1.33</v>
      </c>
    </row>
    <row r="6" spans="1:10" x14ac:dyDescent="0.35">
      <c r="A6" t="s">
        <v>16</v>
      </c>
      <c r="B6" s="4">
        <v>2023</v>
      </c>
      <c r="C6" s="1">
        <v>1.47</v>
      </c>
      <c r="D6" s="1">
        <v>1.41</v>
      </c>
      <c r="E6" s="1">
        <v>1.33</v>
      </c>
      <c r="F6" s="1">
        <v>2</v>
      </c>
      <c r="G6" s="1">
        <v>1.56</v>
      </c>
      <c r="H6" t="s">
        <v>12</v>
      </c>
      <c r="I6" s="1">
        <v>1.06</v>
      </c>
      <c r="J6" s="1">
        <v>1.33</v>
      </c>
    </row>
    <row r="7" spans="1:10" x14ac:dyDescent="0.35">
      <c r="A7" t="s">
        <v>17</v>
      </c>
      <c r="B7" s="4">
        <v>2023</v>
      </c>
      <c r="C7" s="1">
        <v>1.42</v>
      </c>
      <c r="D7" s="1">
        <v>1.42</v>
      </c>
      <c r="E7" s="1">
        <v>1.42</v>
      </c>
      <c r="F7" s="1">
        <v>2.11</v>
      </c>
      <c r="G7" s="1">
        <v>2.09</v>
      </c>
      <c r="H7" t="s">
        <v>12</v>
      </c>
      <c r="I7" s="1">
        <v>0.14000000000000001</v>
      </c>
      <c r="J7" s="1">
        <v>1.33</v>
      </c>
    </row>
    <row r="8" spans="1:10" x14ac:dyDescent="0.35">
      <c r="A8" t="s">
        <v>19</v>
      </c>
      <c r="B8" s="4">
        <v>2023</v>
      </c>
      <c r="C8" s="1">
        <v>2.61</v>
      </c>
      <c r="D8" s="1">
        <v>2.61</v>
      </c>
      <c r="E8" s="1">
        <v>2.61</v>
      </c>
      <c r="G8" s="1">
        <v>2.08</v>
      </c>
      <c r="H8" t="s">
        <v>12</v>
      </c>
      <c r="I8" s="1">
        <v>1.0900000000000001</v>
      </c>
      <c r="J8" s="1">
        <v>1.33</v>
      </c>
    </row>
    <row r="9" spans="1:10" x14ac:dyDescent="0.35">
      <c r="A9" t="s">
        <v>21</v>
      </c>
      <c r="B9" s="4">
        <v>2023</v>
      </c>
      <c r="C9" s="1">
        <v>1.42</v>
      </c>
      <c r="D9" s="1">
        <v>1.42</v>
      </c>
      <c r="E9" s="1">
        <v>1.42</v>
      </c>
      <c r="F9" s="1">
        <v>2.6</v>
      </c>
      <c r="G9" s="1">
        <v>1.95</v>
      </c>
      <c r="H9" s="1">
        <v>2.6</v>
      </c>
      <c r="I9" s="1">
        <v>0.68</v>
      </c>
      <c r="J9" s="1">
        <v>1.33</v>
      </c>
    </row>
    <row r="10" spans="1:10" x14ac:dyDescent="0.35">
      <c r="A10" t="s">
        <v>22</v>
      </c>
      <c r="B10" s="4">
        <v>2023</v>
      </c>
      <c r="C10" s="1">
        <v>1.96</v>
      </c>
      <c r="D10" s="1">
        <v>1.96</v>
      </c>
      <c r="E10" s="1">
        <v>1.96</v>
      </c>
      <c r="F10" s="1">
        <v>3.18</v>
      </c>
      <c r="G10" s="1">
        <v>2.58</v>
      </c>
      <c r="H10" t="s">
        <v>12</v>
      </c>
      <c r="I10" s="1">
        <v>1.55</v>
      </c>
      <c r="J10" s="1">
        <v>1.33</v>
      </c>
    </row>
    <row r="11" spans="1:10" x14ac:dyDescent="0.35">
      <c r="A11" t="s">
        <v>23</v>
      </c>
      <c r="B11" s="4">
        <v>2023</v>
      </c>
      <c r="C11" s="1">
        <v>2.12</v>
      </c>
      <c r="D11" s="1">
        <v>1.42</v>
      </c>
      <c r="E11" s="1">
        <v>1.33</v>
      </c>
      <c r="F11" s="1">
        <v>2.12</v>
      </c>
      <c r="G11" s="1">
        <v>2.12</v>
      </c>
      <c r="H11" t="s">
        <v>12</v>
      </c>
      <c r="I11" s="1">
        <v>0.87</v>
      </c>
      <c r="J11" s="1">
        <v>1.33</v>
      </c>
    </row>
    <row r="12" spans="1:10" x14ac:dyDescent="0.35">
      <c r="A12" t="s">
        <v>25</v>
      </c>
      <c r="B12" s="4">
        <v>2023</v>
      </c>
      <c r="C12" s="1">
        <v>3.19</v>
      </c>
      <c r="D12" s="1">
        <v>3.19</v>
      </c>
      <c r="E12" s="1">
        <v>3.19</v>
      </c>
      <c r="F12" t="s">
        <v>12</v>
      </c>
      <c r="G12" s="1">
        <v>3.19</v>
      </c>
      <c r="H12" t="s">
        <v>12</v>
      </c>
      <c r="I12" s="1">
        <v>2.16</v>
      </c>
      <c r="J12" s="1">
        <v>2.1</v>
      </c>
    </row>
    <row r="13" spans="1:10" x14ac:dyDescent="0.35">
      <c r="A13" t="s">
        <v>27</v>
      </c>
      <c r="B13" s="4">
        <v>2023</v>
      </c>
      <c r="C13" s="1">
        <v>2.06</v>
      </c>
      <c r="D13" s="1">
        <v>1.4</v>
      </c>
      <c r="E13" s="1">
        <v>1.33</v>
      </c>
      <c r="F13" s="1">
        <v>2.1</v>
      </c>
      <c r="G13" s="1">
        <v>1.91</v>
      </c>
      <c r="H13" t="s">
        <v>12</v>
      </c>
      <c r="I13" s="1">
        <v>0.26</v>
      </c>
      <c r="J13" t="s">
        <v>13</v>
      </c>
    </row>
    <row r="14" spans="1:10" x14ac:dyDescent="0.35">
      <c r="A14" t="s">
        <v>31</v>
      </c>
      <c r="B14" s="4">
        <v>2023</v>
      </c>
      <c r="C14" s="1">
        <v>2.0499999999999998</v>
      </c>
      <c r="D14" s="1">
        <v>1.49</v>
      </c>
      <c r="E14" s="1">
        <v>1.33</v>
      </c>
      <c r="F14" s="1">
        <v>2.4700000000000002</v>
      </c>
      <c r="G14" s="1">
        <v>2.2000000000000002</v>
      </c>
      <c r="H14" t="s">
        <v>12</v>
      </c>
      <c r="I14" s="1">
        <v>0.3</v>
      </c>
      <c r="J14" t="s">
        <v>13</v>
      </c>
    </row>
    <row r="15" spans="1:10" x14ac:dyDescent="0.35">
      <c r="A15" t="s">
        <v>133</v>
      </c>
      <c r="B15" s="4">
        <v>2023</v>
      </c>
      <c r="C15" s="1">
        <v>3.08</v>
      </c>
      <c r="D15" s="1">
        <v>3.08</v>
      </c>
      <c r="E15" s="1">
        <v>3.08</v>
      </c>
      <c r="F15" t="s">
        <v>12</v>
      </c>
      <c r="G15" s="1">
        <v>1.91</v>
      </c>
      <c r="H15" t="s">
        <v>12</v>
      </c>
      <c r="I15" s="1">
        <v>1.05</v>
      </c>
      <c r="J15" s="1">
        <v>1.33</v>
      </c>
    </row>
    <row r="16" spans="1:10" x14ac:dyDescent="0.35">
      <c r="A16" t="s">
        <v>34</v>
      </c>
      <c r="B16" s="4">
        <v>2023</v>
      </c>
      <c r="C16" s="1">
        <v>1.42</v>
      </c>
      <c r="D16" s="1">
        <v>1.42</v>
      </c>
      <c r="E16" s="1">
        <v>1.33</v>
      </c>
      <c r="F16" s="1">
        <v>1.85</v>
      </c>
      <c r="G16" s="1">
        <v>1.33</v>
      </c>
      <c r="H16" t="s">
        <v>12</v>
      </c>
      <c r="I16" s="1">
        <v>0.22</v>
      </c>
      <c r="J16" s="1">
        <v>1.33</v>
      </c>
    </row>
    <row r="17" spans="1:10" x14ac:dyDescent="0.35">
      <c r="A17" t="s">
        <v>36</v>
      </c>
      <c r="B17" s="4">
        <v>2023</v>
      </c>
      <c r="C17" s="1">
        <v>3.13</v>
      </c>
      <c r="D17" s="1">
        <v>3.13</v>
      </c>
      <c r="E17" s="1">
        <v>3.13</v>
      </c>
      <c r="F17" t="s">
        <v>12</v>
      </c>
      <c r="G17" s="1">
        <v>2.08</v>
      </c>
      <c r="H17" t="s">
        <v>12</v>
      </c>
      <c r="I17" s="1">
        <v>1.33</v>
      </c>
      <c r="J17" s="1">
        <v>1.33</v>
      </c>
    </row>
    <row r="18" spans="1:10" x14ac:dyDescent="0.35">
      <c r="A18" t="s">
        <v>37</v>
      </c>
      <c r="B18" s="4">
        <v>2023</v>
      </c>
      <c r="C18" s="1">
        <v>2.08</v>
      </c>
      <c r="D18" s="1">
        <v>1.58</v>
      </c>
      <c r="E18" s="1">
        <v>1.58</v>
      </c>
      <c r="F18" s="1">
        <v>2.5</v>
      </c>
      <c r="G18" s="1">
        <v>2.08</v>
      </c>
      <c r="H18" t="s">
        <v>12</v>
      </c>
      <c r="I18" s="1">
        <v>0.16</v>
      </c>
      <c r="J18" s="1">
        <v>1.33</v>
      </c>
    </row>
    <row r="19" spans="1:10" x14ac:dyDescent="0.35">
      <c r="A19" t="s">
        <v>39</v>
      </c>
      <c r="B19" s="4">
        <v>2023</v>
      </c>
      <c r="C19" s="1">
        <v>3.75</v>
      </c>
      <c r="D19" s="1">
        <v>1.67</v>
      </c>
      <c r="E19" s="1">
        <v>1.67</v>
      </c>
      <c r="F19" s="1">
        <v>3.02</v>
      </c>
      <c r="G19" s="1">
        <v>3.75</v>
      </c>
      <c r="H19" t="s">
        <v>12</v>
      </c>
      <c r="I19" s="1">
        <v>0.47</v>
      </c>
      <c r="J19" s="1">
        <v>1.33</v>
      </c>
    </row>
    <row r="20" spans="1:10" x14ac:dyDescent="0.35">
      <c r="A20" t="s">
        <v>42</v>
      </c>
      <c r="B20" s="4">
        <v>2023</v>
      </c>
      <c r="C20" s="1">
        <v>1.66</v>
      </c>
      <c r="D20" s="1">
        <v>1.49</v>
      </c>
      <c r="E20" s="1">
        <v>1.33</v>
      </c>
      <c r="F20" s="1">
        <v>2.5</v>
      </c>
      <c r="G20" s="1">
        <v>1.66</v>
      </c>
      <c r="H20" t="s">
        <v>12</v>
      </c>
      <c r="I20" s="1">
        <v>0.33</v>
      </c>
      <c r="J20" t="s">
        <v>13</v>
      </c>
    </row>
    <row r="21" spans="1:10" x14ac:dyDescent="0.35">
      <c r="A21" t="s">
        <v>43</v>
      </c>
      <c r="B21" s="4">
        <v>2023</v>
      </c>
      <c r="C21" s="1">
        <v>1.95</v>
      </c>
      <c r="D21" s="1">
        <v>1.59</v>
      </c>
      <c r="E21" s="1">
        <v>1.59</v>
      </c>
      <c r="F21" s="1">
        <v>2.13</v>
      </c>
      <c r="G21" s="1">
        <v>1.95</v>
      </c>
      <c r="H21" s="1">
        <v>2.13</v>
      </c>
      <c r="I21" s="1">
        <v>0.21</v>
      </c>
      <c r="J21" s="1">
        <v>1.33</v>
      </c>
    </row>
    <row r="22" spans="1:10" x14ac:dyDescent="0.35">
      <c r="A22" t="s">
        <v>44</v>
      </c>
      <c r="B22" s="4">
        <v>2023</v>
      </c>
      <c r="C22" s="1">
        <v>2.12</v>
      </c>
      <c r="D22" s="1">
        <v>2.12</v>
      </c>
      <c r="E22" s="1">
        <v>2.12</v>
      </c>
      <c r="F22" s="1">
        <v>2.5</v>
      </c>
      <c r="G22" s="1">
        <v>1.33</v>
      </c>
      <c r="H22" t="s">
        <v>12</v>
      </c>
      <c r="I22" s="1">
        <v>0.19</v>
      </c>
      <c r="J22" s="1">
        <v>1.33</v>
      </c>
    </row>
    <row r="23" spans="1:10" x14ac:dyDescent="0.35">
      <c r="A23" t="s">
        <v>45</v>
      </c>
      <c r="B23" s="4">
        <v>2023</v>
      </c>
      <c r="C23" s="1">
        <v>1.91</v>
      </c>
      <c r="D23" s="1">
        <v>1.57</v>
      </c>
      <c r="E23" s="1">
        <v>1.57</v>
      </c>
      <c r="F23" s="1">
        <v>2.08</v>
      </c>
      <c r="G23" s="1">
        <v>2.09</v>
      </c>
      <c r="H23" t="s">
        <v>12</v>
      </c>
      <c r="I23" s="1">
        <v>1</v>
      </c>
      <c r="J23" s="1">
        <v>1.33</v>
      </c>
    </row>
    <row r="24" spans="1:10" x14ac:dyDescent="0.35">
      <c r="A24" t="s">
        <v>47</v>
      </c>
      <c r="B24" s="4">
        <v>2023</v>
      </c>
      <c r="C24" s="1">
        <v>3.17</v>
      </c>
      <c r="D24" s="1">
        <v>3.17</v>
      </c>
      <c r="E24" s="1">
        <v>3.17</v>
      </c>
      <c r="F24" t="s">
        <v>12</v>
      </c>
      <c r="G24" s="1">
        <v>2.59</v>
      </c>
      <c r="H24" t="s">
        <v>12</v>
      </c>
      <c r="I24" s="1">
        <v>1.23</v>
      </c>
      <c r="J24" s="1">
        <v>1.33</v>
      </c>
    </row>
    <row r="25" spans="1:10" x14ac:dyDescent="0.35">
      <c r="A25" t="s">
        <v>48</v>
      </c>
      <c r="B25" s="4">
        <v>2023</v>
      </c>
      <c r="C25" s="1">
        <v>2</v>
      </c>
      <c r="D25" s="1">
        <v>1.5</v>
      </c>
      <c r="E25" s="1">
        <v>1.5</v>
      </c>
      <c r="F25" s="1">
        <v>3</v>
      </c>
      <c r="G25" s="1">
        <v>2</v>
      </c>
      <c r="H25" t="s">
        <v>12</v>
      </c>
      <c r="I25" s="1">
        <v>1.33</v>
      </c>
      <c r="J25" s="1">
        <v>1.33</v>
      </c>
    </row>
    <row r="26" spans="1:10" x14ac:dyDescent="0.35">
      <c r="A26" t="s">
        <v>49</v>
      </c>
      <c r="B26" s="4">
        <v>2023</v>
      </c>
      <c r="C26" s="1">
        <v>2.12</v>
      </c>
      <c r="D26" s="1">
        <v>2.12</v>
      </c>
      <c r="E26" s="1">
        <v>2.12</v>
      </c>
      <c r="F26" t="s">
        <v>12</v>
      </c>
      <c r="G26" s="1">
        <v>1.95</v>
      </c>
      <c r="H26" t="s">
        <v>12</v>
      </c>
      <c r="I26" s="1">
        <v>0.54</v>
      </c>
      <c r="J26" s="1">
        <v>1.33</v>
      </c>
    </row>
    <row r="27" spans="1:10" x14ac:dyDescent="0.35">
      <c r="A27" t="s">
        <v>50</v>
      </c>
      <c r="B27" s="4">
        <v>2023</v>
      </c>
      <c r="C27" s="1">
        <v>2.83</v>
      </c>
      <c r="D27" s="1">
        <v>2.75</v>
      </c>
      <c r="E27" s="1">
        <v>2.75</v>
      </c>
      <c r="F27" t="s">
        <v>12</v>
      </c>
      <c r="G27" s="1">
        <v>2.78</v>
      </c>
      <c r="H27" t="s">
        <v>12</v>
      </c>
      <c r="I27" s="1">
        <v>1.33</v>
      </c>
      <c r="J27" s="1">
        <v>2</v>
      </c>
    </row>
    <row r="28" spans="1:10" x14ac:dyDescent="0.35">
      <c r="A28" t="s">
        <v>53</v>
      </c>
      <c r="B28" s="4">
        <v>2023</v>
      </c>
      <c r="C28" s="1">
        <v>1.94</v>
      </c>
      <c r="D28" s="1">
        <v>1.43</v>
      </c>
      <c r="E28" s="1">
        <v>1.33</v>
      </c>
      <c r="F28" s="1">
        <v>2.09</v>
      </c>
      <c r="G28" s="1">
        <v>1.94</v>
      </c>
      <c r="H28" t="s">
        <v>12</v>
      </c>
      <c r="I28" s="1">
        <v>0.2</v>
      </c>
      <c r="J28" t="s">
        <v>13</v>
      </c>
    </row>
    <row r="29" spans="1:10" x14ac:dyDescent="0.35">
      <c r="A29" t="s">
        <v>55</v>
      </c>
      <c r="B29" s="4">
        <v>2023</v>
      </c>
      <c r="C29" s="1">
        <v>1.96</v>
      </c>
      <c r="D29" s="1">
        <v>1.5</v>
      </c>
      <c r="E29" s="1">
        <v>1.5</v>
      </c>
      <c r="F29" s="1">
        <v>3</v>
      </c>
      <c r="G29" s="1">
        <v>1.96</v>
      </c>
      <c r="H29" s="1">
        <v>3</v>
      </c>
      <c r="I29" t="s">
        <v>140</v>
      </c>
      <c r="J29" s="1">
        <v>1.33</v>
      </c>
    </row>
    <row r="30" spans="1:10" x14ac:dyDescent="0.35">
      <c r="A30" t="s">
        <v>58</v>
      </c>
      <c r="B30" s="4">
        <v>2023</v>
      </c>
      <c r="C30" s="1">
        <v>1.43</v>
      </c>
      <c r="D30" s="1">
        <v>1.43</v>
      </c>
      <c r="E30" s="1">
        <v>1.43</v>
      </c>
      <c r="F30" s="1">
        <v>2.61</v>
      </c>
      <c r="G30" s="1">
        <v>1.57</v>
      </c>
      <c r="H30" t="s">
        <v>12</v>
      </c>
      <c r="I30" s="1">
        <v>0.24</v>
      </c>
      <c r="J30" s="1">
        <v>1.33</v>
      </c>
    </row>
    <row r="31" spans="1:10" x14ac:dyDescent="0.35">
      <c r="A31" t="s">
        <v>59</v>
      </c>
      <c r="B31" s="4">
        <v>2023</v>
      </c>
      <c r="C31" s="1">
        <v>2.13</v>
      </c>
      <c r="D31" s="1">
        <v>2.13</v>
      </c>
      <c r="E31" s="1">
        <v>2.13</v>
      </c>
      <c r="F31" t="s">
        <v>12</v>
      </c>
      <c r="G31" s="1">
        <v>1.94</v>
      </c>
      <c r="H31" t="s">
        <v>12</v>
      </c>
      <c r="I31" s="1">
        <v>0.57999999999999996</v>
      </c>
      <c r="J31" s="1">
        <v>1.33</v>
      </c>
    </row>
    <row r="32" spans="1:10" x14ac:dyDescent="0.35">
      <c r="A32" t="s">
        <v>60</v>
      </c>
      <c r="B32" s="4">
        <v>2023</v>
      </c>
      <c r="C32" s="1">
        <v>1.6</v>
      </c>
      <c r="D32" s="1">
        <v>1.6</v>
      </c>
      <c r="E32" s="1">
        <v>1.33</v>
      </c>
      <c r="F32" s="1">
        <v>2</v>
      </c>
      <c r="G32" s="1">
        <v>1.6</v>
      </c>
      <c r="H32" t="s">
        <v>12</v>
      </c>
      <c r="I32" s="1">
        <v>0.28000000000000003</v>
      </c>
      <c r="J32" s="1">
        <v>1.33</v>
      </c>
    </row>
    <row r="33" spans="1:10" x14ac:dyDescent="0.35">
      <c r="A33" t="s">
        <v>62</v>
      </c>
      <c r="B33" s="4">
        <v>2023</v>
      </c>
      <c r="C33" s="1">
        <v>3.18</v>
      </c>
      <c r="D33" s="1">
        <v>3.18</v>
      </c>
      <c r="E33" s="1">
        <v>3.18</v>
      </c>
      <c r="F33" t="s">
        <v>12</v>
      </c>
      <c r="G33" s="1">
        <v>1.96</v>
      </c>
      <c r="H33" t="s">
        <v>12</v>
      </c>
      <c r="I33" s="1">
        <v>0.59</v>
      </c>
      <c r="J33" s="1">
        <v>1.33</v>
      </c>
    </row>
    <row r="34" spans="1:10" x14ac:dyDescent="0.35">
      <c r="A34" t="s">
        <v>64</v>
      </c>
      <c r="B34" s="4">
        <v>2023</v>
      </c>
      <c r="C34" s="1">
        <v>1.94</v>
      </c>
      <c r="D34" s="1">
        <v>1.42</v>
      </c>
      <c r="E34" s="1">
        <v>1.42</v>
      </c>
      <c r="F34" s="1">
        <v>3.5</v>
      </c>
      <c r="G34" s="1">
        <v>1.94</v>
      </c>
      <c r="H34" s="1">
        <v>2</v>
      </c>
      <c r="I34" s="1">
        <v>0.28000000000000003</v>
      </c>
      <c r="J34" s="1">
        <v>1.33</v>
      </c>
    </row>
    <row r="35" spans="1:10" x14ac:dyDescent="0.35">
      <c r="A35" t="s">
        <v>66</v>
      </c>
      <c r="B35" s="4">
        <v>2023</v>
      </c>
      <c r="C35" s="1">
        <v>3</v>
      </c>
      <c r="D35" s="1">
        <v>3</v>
      </c>
      <c r="E35" s="1">
        <v>2.4</v>
      </c>
      <c r="F35" t="s">
        <v>12</v>
      </c>
      <c r="G35" s="1">
        <v>2.5</v>
      </c>
      <c r="H35" t="s">
        <v>12</v>
      </c>
      <c r="I35" s="1">
        <v>0.4</v>
      </c>
      <c r="J35" s="1">
        <v>1.33</v>
      </c>
    </row>
    <row r="36" spans="1:10" x14ac:dyDescent="0.35">
      <c r="A36" t="s">
        <v>68</v>
      </c>
      <c r="B36" s="4">
        <v>2023</v>
      </c>
      <c r="C36" s="1">
        <v>2.1800000000000002</v>
      </c>
      <c r="D36" s="1">
        <v>1.49</v>
      </c>
      <c r="E36" s="1">
        <v>1.49</v>
      </c>
      <c r="F36" s="1">
        <v>4</v>
      </c>
      <c r="G36" s="1">
        <v>2.1800000000000002</v>
      </c>
      <c r="H36" t="s">
        <v>12</v>
      </c>
      <c r="I36" s="1">
        <v>1.33</v>
      </c>
      <c r="J36" s="1">
        <v>2</v>
      </c>
    </row>
    <row r="37" spans="1:10" x14ac:dyDescent="0.35">
      <c r="A37" t="s">
        <v>69</v>
      </c>
      <c r="B37" s="4">
        <v>2023</v>
      </c>
      <c r="C37" s="1">
        <v>2.11</v>
      </c>
      <c r="D37" s="1">
        <v>2.11</v>
      </c>
      <c r="E37" s="1">
        <v>2.11</v>
      </c>
      <c r="F37" t="s">
        <v>12</v>
      </c>
      <c r="G37" s="1">
        <v>1.96</v>
      </c>
      <c r="H37" t="s">
        <v>12</v>
      </c>
      <c r="I37" s="1">
        <v>0.38</v>
      </c>
      <c r="J37" t="s">
        <v>13</v>
      </c>
    </row>
    <row r="38" spans="1:10" x14ac:dyDescent="0.35">
      <c r="A38" t="s">
        <v>72</v>
      </c>
      <c r="B38" s="4">
        <v>2023</v>
      </c>
      <c r="C38" s="1">
        <v>1.7</v>
      </c>
      <c r="D38" s="1">
        <v>1.7</v>
      </c>
      <c r="E38" s="1">
        <v>1.7</v>
      </c>
      <c r="F38" t="s">
        <v>12</v>
      </c>
      <c r="G38" s="1">
        <v>1.57</v>
      </c>
      <c r="H38" t="s">
        <v>12</v>
      </c>
      <c r="I38" s="1">
        <v>0.46</v>
      </c>
      <c r="J38" s="1">
        <v>1.33</v>
      </c>
    </row>
    <row r="39" spans="1:10" x14ac:dyDescent="0.35">
      <c r="A39" t="s">
        <v>75</v>
      </c>
      <c r="B39" s="4">
        <v>2023</v>
      </c>
      <c r="C39" s="1">
        <v>2.06</v>
      </c>
      <c r="D39" s="1">
        <v>2.06</v>
      </c>
      <c r="E39" s="1">
        <v>2.06</v>
      </c>
      <c r="F39" t="s">
        <v>12</v>
      </c>
      <c r="G39" s="1">
        <v>2</v>
      </c>
      <c r="H39" t="s">
        <v>12</v>
      </c>
      <c r="I39" s="1">
        <v>0.9</v>
      </c>
      <c r="J39" s="1">
        <v>1.33</v>
      </c>
    </row>
    <row r="40" spans="1:10" x14ac:dyDescent="0.35">
      <c r="A40" t="s">
        <v>76</v>
      </c>
      <c r="B40" s="4">
        <v>2023</v>
      </c>
      <c r="C40" s="1">
        <v>2.0499999999999998</v>
      </c>
      <c r="D40" s="1">
        <v>2.0499999999999998</v>
      </c>
      <c r="E40" s="1">
        <v>2.0499999999999998</v>
      </c>
      <c r="F40" t="s">
        <v>12</v>
      </c>
      <c r="G40" s="1">
        <v>1.33</v>
      </c>
      <c r="H40" t="s">
        <v>12</v>
      </c>
      <c r="I40" s="1">
        <v>0.36</v>
      </c>
      <c r="J40" s="1">
        <v>1.33</v>
      </c>
    </row>
    <row r="41" spans="1:10" x14ac:dyDescent="0.35">
      <c r="A41" t="s">
        <v>78</v>
      </c>
      <c r="B41" s="4">
        <v>2023</v>
      </c>
      <c r="C41" s="1">
        <v>1.85</v>
      </c>
      <c r="D41" s="1">
        <v>1.33</v>
      </c>
      <c r="E41" s="1">
        <v>1.33</v>
      </c>
      <c r="F41" s="1">
        <v>3</v>
      </c>
      <c r="G41" s="1">
        <v>1.85</v>
      </c>
      <c r="H41" t="s">
        <v>12</v>
      </c>
      <c r="I41" s="1">
        <v>0.35</v>
      </c>
      <c r="J41" s="1">
        <v>1.33</v>
      </c>
    </row>
    <row r="42" spans="1:10" x14ac:dyDescent="0.35">
      <c r="A42" t="s">
        <v>80</v>
      </c>
      <c r="B42" s="4">
        <v>2023</v>
      </c>
      <c r="C42" s="1">
        <v>2.15</v>
      </c>
      <c r="D42" s="1">
        <v>1.57</v>
      </c>
      <c r="E42" s="1">
        <v>1.33</v>
      </c>
      <c r="F42" s="1">
        <v>3.14</v>
      </c>
      <c r="G42" s="1">
        <v>2.15</v>
      </c>
      <c r="H42" t="s">
        <v>12</v>
      </c>
      <c r="I42" s="1">
        <v>0.33</v>
      </c>
      <c r="J42" s="1">
        <v>1.33</v>
      </c>
    </row>
    <row r="43" spans="1:10" x14ac:dyDescent="0.35">
      <c r="A43" t="s">
        <v>81</v>
      </c>
      <c r="B43" s="4">
        <v>2023</v>
      </c>
      <c r="C43" s="1">
        <v>2.61</v>
      </c>
      <c r="D43" s="1">
        <v>2.61</v>
      </c>
      <c r="E43" s="1">
        <v>2.61</v>
      </c>
      <c r="F43" t="s">
        <v>12</v>
      </c>
      <c r="G43" s="1">
        <v>1.9</v>
      </c>
      <c r="H43" s="1">
        <v>2.5299999999999998</v>
      </c>
      <c r="I43" s="1">
        <v>1.1599999999999999</v>
      </c>
      <c r="J43" s="1">
        <v>1.33</v>
      </c>
    </row>
    <row r="44" spans="1:10" x14ac:dyDescent="0.35">
      <c r="A44" t="s">
        <v>82</v>
      </c>
      <c r="B44" s="4">
        <v>2023</v>
      </c>
      <c r="C44" s="1">
        <v>2.08</v>
      </c>
      <c r="D44" s="1">
        <v>2.08</v>
      </c>
      <c r="E44" s="1">
        <v>2.08</v>
      </c>
      <c r="F44" t="s">
        <v>12</v>
      </c>
      <c r="G44" s="1">
        <v>1.94</v>
      </c>
      <c r="H44" t="s">
        <v>12</v>
      </c>
      <c r="I44" s="1">
        <v>0.95</v>
      </c>
      <c r="J44" t="s">
        <v>13</v>
      </c>
    </row>
    <row r="45" spans="1:10" x14ac:dyDescent="0.35">
      <c r="A45" t="s">
        <v>83</v>
      </c>
      <c r="B45" s="4">
        <v>2023</v>
      </c>
      <c r="C45" s="1">
        <v>1.82</v>
      </c>
      <c r="D45" s="1">
        <v>1.82</v>
      </c>
      <c r="E45" s="1">
        <v>1.82</v>
      </c>
      <c r="F45" s="1">
        <v>2.04</v>
      </c>
      <c r="G45" s="1">
        <v>1.33</v>
      </c>
      <c r="H45" t="s">
        <v>12</v>
      </c>
      <c r="I45" s="1">
        <v>0.5</v>
      </c>
      <c r="J45" t="s">
        <v>13</v>
      </c>
    </row>
    <row r="46" spans="1:10" x14ac:dyDescent="0.35">
      <c r="A46" t="s">
        <v>85</v>
      </c>
      <c r="B46" s="4">
        <v>2023</v>
      </c>
      <c r="C46" s="1">
        <v>1.95</v>
      </c>
      <c r="D46" s="1">
        <v>1.42</v>
      </c>
      <c r="E46" s="1">
        <v>1.33</v>
      </c>
      <c r="F46" s="1">
        <v>2.5</v>
      </c>
      <c r="G46" s="1">
        <v>1.95</v>
      </c>
      <c r="H46" t="s">
        <v>12</v>
      </c>
      <c r="I46" s="1">
        <v>0.9</v>
      </c>
      <c r="J46" t="s">
        <v>13</v>
      </c>
    </row>
    <row r="47" spans="1:10" x14ac:dyDescent="0.35">
      <c r="A47" t="s">
        <v>87</v>
      </c>
      <c r="B47" s="4">
        <v>2023</v>
      </c>
      <c r="C47" s="1">
        <v>1.98</v>
      </c>
      <c r="D47" s="1">
        <v>1.44</v>
      </c>
      <c r="E47" s="1">
        <v>1.33</v>
      </c>
      <c r="F47" s="1">
        <v>2.0099999999999998</v>
      </c>
      <c r="G47" s="1">
        <v>1.98</v>
      </c>
      <c r="H47" t="s">
        <v>12</v>
      </c>
      <c r="I47" s="1">
        <v>0.13</v>
      </c>
      <c r="J47" t="s">
        <v>13</v>
      </c>
    </row>
    <row r="48" spans="1:10" x14ac:dyDescent="0.35">
      <c r="A48" t="s">
        <v>89</v>
      </c>
      <c r="B48" s="4">
        <v>2023</v>
      </c>
      <c r="C48" s="1">
        <v>1.39</v>
      </c>
      <c r="D48" s="1">
        <v>1.39</v>
      </c>
      <c r="E48" s="1">
        <v>1.33</v>
      </c>
      <c r="F48" s="1">
        <v>2</v>
      </c>
      <c r="G48" s="1">
        <v>1.39</v>
      </c>
      <c r="H48" t="s">
        <v>12</v>
      </c>
      <c r="I48" s="1">
        <v>0.39</v>
      </c>
      <c r="J48" s="1">
        <v>1.33</v>
      </c>
    </row>
    <row r="49" spans="1:10" x14ac:dyDescent="0.35">
      <c r="A49" t="s">
        <v>91</v>
      </c>
      <c r="B49" s="4">
        <v>2023</v>
      </c>
      <c r="C49" s="1">
        <v>3.12</v>
      </c>
      <c r="D49" s="1">
        <v>3.12</v>
      </c>
      <c r="E49" s="1">
        <v>3.12</v>
      </c>
      <c r="F49" t="s">
        <v>12</v>
      </c>
      <c r="G49" s="1">
        <v>2.08</v>
      </c>
      <c r="H49" t="s">
        <v>12</v>
      </c>
      <c r="I49" s="1">
        <v>0.46</v>
      </c>
      <c r="J49" s="1">
        <v>1.33</v>
      </c>
    </row>
    <row r="50" spans="1:10" x14ac:dyDescent="0.35">
      <c r="A50" t="s">
        <v>92</v>
      </c>
      <c r="B50" s="4">
        <v>2023</v>
      </c>
      <c r="C50" s="1">
        <v>1.43</v>
      </c>
      <c r="D50" s="1">
        <v>1.43</v>
      </c>
      <c r="E50" s="1">
        <v>1.43</v>
      </c>
      <c r="F50" s="1">
        <v>2</v>
      </c>
      <c r="G50" s="1">
        <v>1.43</v>
      </c>
      <c r="H50" s="1">
        <v>2</v>
      </c>
      <c r="I50" s="1">
        <v>0.49</v>
      </c>
      <c r="J50" s="1">
        <v>1.33</v>
      </c>
    </row>
    <row r="51" spans="1:10" x14ac:dyDescent="0.35">
      <c r="A51" t="s">
        <v>93</v>
      </c>
      <c r="B51" s="4">
        <v>2023</v>
      </c>
      <c r="C51" s="1">
        <v>2.1</v>
      </c>
      <c r="D51" s="1">
        <v>2.1</v>
      </c>
      <c r="E51" s="1">
        <v>2.1</v>
      </c>
      <c r="F51" s="1">
        <v>3.12</v>
      </c>
      <c r="G51" s="1">
        <v>1.93</v>
      </c>
      <c r="H51" t="s">
        <v>12</v>
      </c>
      <c r="I51" s="1">
        <v>0.35</v>
      </c>
      <c r="J51" s="1">
        <v>1.33</v>
      </c>
    </row>
    <row r="52" spans="1:10" x14ac:dyDescent="0.35">
      <c r="A52" t="s">
        <v>95</v>
      </c>
      <c r="B52" s="4">
        <v>2023</v>
      </c>
      <c r="C52" s="1">
        <v>1.58</v>
      </c>
      <c r="D52" s="1">
        <v>1.41</v>
      </c>
      <c r="E52" s="1">
        <v>1.33</v>
      </c>
      <c r="F52" s="1">
        <v>3</v>
      </c>
      <c r="G52" s="1">
        <v>1.85</v>
      </c>
      <c r="H52" s="1">
        <v>3</v>
      </c>
      <c r="I52" s="1">
        <v>0.17</v>
      </c>
      <c r="J52" s="1">
        <v>1.33</v>
      </c>
    </row>
    <row r="53" spans="1:10" x14ac:dyDescent="0.35">
      <c r="A53" t="s">
        <v>97</v>
      </c>
      <c r="B53" s="4">
        <v>2023</v>
      </c>
      <c r="C53" s="1">
        <v>3.01</v>
      </c>
      <c r="D53" s="1">
        <v>1.86</v>
      </c>
      <c r="E53" s="1">
        <v>1.51</v>
      </c>
      <c r="F53" s="1">
        <v>3.01</v>
      </c>
      <c r="G53" s="1">
        <v>3.01</v>
      </c>
      <c r="H53" t="s">
        <v>12</v>
      </c>
      <c r="I53" s="1">
        <v>0.95</v>
      </c>
      <c r="J53" t="s">
        <v>13</v>
      </c>
    </row>
    <row r="54" spans="1:10" x14ac:dyDescent="0.35">
      <c r="A54" t="s">
        <v>101</v>
      </c>
      <c r="B54" s="4">
        <v>2023</v>
      </c>
      <c r="C54" s="1">
        <v>2</v>
      </c>
      <c r="D54" s="1">
        <v>2</v>
      </c>
      <c r="E54" s="1">
        <v>2</v>
      </c>
      <c r="F54" t="s">
        <v>12</v>
      </c>
      <c r="G54" s="1">
        <v>1.54</v>
      </c>
      <c r="H54" t="s">
        <v>12</v>
      </c>
      <c r="I54" s="1">
        <v>0.48</v>
      </c>
      <c r="J54" t="s">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AEF87-310D-4DAA-ADE1-169ECA86A021}">
  <dimension ref="A1:I69"/>
  <sheetViews>
    <sheetView tabSelected="1" workbookViewId="0">
      <selection activeCell="B4" sqref="B4:I54"/>
    </sheetView>
  </sheetViews>
  <sheetFormatPr defaultRowHeight="14.5" x14ac:dyDescent="0.35"/>
  <cols>
    <col min="1" max="1" width="14.7265625" customWidth="1"/>
    <col min="8" max="8" width="11.36328125" customWidth="1"/>
  </cols>
  <sheetData>
    <row r="1" spans="1:9" x14ac:dyDescent="0.35">
      <c r="A1" s="13" t="s">
        <v>0</v>
      </c>
      <c r="B1" s="13"/>
      <c r="C1" s="13"/>
      <c r="D1" s="13"/>
      <c r="E1" s="13"/>
      <c r="F1" s="13"/>
      <c r="G1" s="13"/>
      <c r="H1" s="13"/>
      <c r="I1" s="13"/>
    </row>
    <row r="2" spans="1:9" x14ac:dyDescent="0.35">
      <c r="A2" s="16" t="s">
        <v>142</v>
      </c>
      <c r="B2" s="16"/>
      <c r="C2" s="16"/>
      <c r="D2" s="16"/>
      <c r="E2" s="16"/>
      <c r="F2" s="16"/>
      <c r="G2" s="16"/>
      <c r="H2" s="16"/>
      <c r="I2" s="16"/>
    </row>
    <row r="3" spans="1:9" ht="65" x14ac:dyDescent="0.35">
      <c r="A3" s="36" t="s">
        <v>2</v>
      </c>
      <c r="B3" s="37" t="s">
        <v>128</v>
      </c>
      <c r="C3" s="37" t="s">
        <v>129</v>
      </c>
      <c r="D3" s="37" t="s">
        <v>130</v>
      </c>
      <c r="E3" s="37" t="s">
        <v>131</v>
      </c>
      <c r="F3" s="36" t="s">
        <v>7</v>
      </c>
      <c r="G3" s="37" t="s">
        <v>132</v>
      </c>
      <c r="H3" s="37" t="s">
        <v>139</v>
      </c>
      <c r="I3" s="36" t="s">
        <v>10</v>
      </c>
    </row>
    <row r="4" spans="1:9" x14ac:dyDescent="0.35">
      <c r="A4" s="17" t="s">
        <v>11</v>
      </c>
      <c r="B4" s="18">
        <v>1.41</v>
      </c>
      <c r="C4" s="18">
        <v>1.41</v>
      </c>
      <c r="D4" s="18">
        <v>1.41</v>
      </c>
      <c r="E4" s="18">
        <v>3.12</v>
      </c>
      <c r="F4" s="18">
        <v>1.41</v>
      </c>
      <c r="G4" s="19" t="s">
        <v>12</v>
      </c>
      <c r="H4" s="18">
        <v>0.13</v>
      </c>
      <c r="I4" s="20" t="s">
        <v>13</v>
      </c>
    </row>
    <row r="5" spans="1:9" x14ac:dyDescent="0.35">
      <c r="A5" s="21" t="s">
        <v>127</v>
      </c>
      <c r="B5" s="22">
        <v>2.0299999999999998</v>
      </c>
      <c r="C5" s="22">
        <v>2.0299999999999998</v>
      </c>
      <c r="D5" s="22">
        <v>2.0299999999999998</v>
      </c>
      <c r="E5" s="23" t="s">
        <v>12</v>
      </c>
      <c r="F5" s="22">
        <v>2</v>
      </c>
      <c r="G5" s="23" t="s">
        <v>12</v>
      </c>
      <c r="H5" s="22">
        <v>1.3</v>
      </c>
      <c r="I5" s="24">
        <v>1.33</v>
      </c>
    </row>
    <row r="6" spans="1:9" x14ac:dyDescent="0.35">
      <c r="A6" s="21" t="s">
        <v>16</v>
      </c>
      <c r="B6" s="25">
        <v>1.47</v>
      </c>
      <c r="C6" s="25">
        <v>1.41</v>
      </c>
      <c r="D6" s="25">
        <v>1.33</v>
      </c>
      <c r="E6" s="25">
        <v>2</v>
      </c>
      <c r="F6" s="25">
        <v>1.56</v>
      </c>
      <c r="G6" s="26" t="s">
        <v>12</v>
      </c>
      <c r="H6" s="25">
        <v>1.06</v>
      </c>
      <c r="I6" s="27">
        <v>1.33</v>
      </c>
    </row>
    <row r="7" spans="1:9" x14ac:dyDescent="0.35">
      <c r="A7" s="28" t="s">
        <v>17</v>
      </c>
      <c r="B7" s="22">
        <v>1.42</v>
      </c>
      <c r="C7" s="22">
        <v>1.42</v>
      </c>
      <c r="D7" s="22">
        <v>1.42</v>
      </c>
      <c r="E7" s="22">
        <v>2.11</v>
      </c>
      <c r="F7" s="22">
        <v>2.09</v>
      </c>
      <c r="G7" s="23" t="s">
        <v>12</v>
      </c>
      <c r="H7" s="22">
        <v>0.13</v>
      </c>
      <c r="I7" s="24">
        <v>1.33</v>
      </c>
    </row>
    <row r="8" spans="1:9" x14ac:dyDescent="0.35">
      <c r="A8" s="21" t="s">
        <v>19</v>
      </c>
      <c r="B8" s="25">
        <v>2.61</v>
      </c>
      <c r="C8" s="25">
        <v>2.61</v>
      </c>
      <c r="D8" s="25">
        <v>2.61</v>
      </c>
      <c r="E8" s="22">
        <v>3.17</v>
      </c>
      <c r="F8" s="25">
        <v>2.08</v>
      </c>
      <c r="G8" s="26" t="s">
        <v>12</v>
      </c>
      <c r="H8" s="25">
        <v>1.0900000000000001</v>
      </c>
      <c r="I8" s="27">
        <v>1.33</v>
      </c>
    </row>
    <row r="9" spans="1:9" x14ac:dyDescent="0.35">
      <c r="A9" s="28" t="s">
        <v>21</v>
      </c>
      <c r="B9" s="22">
        <v>1.42</v>
      </c>
      <c r="C9" s="22">
        <v>1.42</v>
      </c>
      <c r="D9" s="22">
        <v>1.42</v>
      </c>
      <c r="E9" s="22">
        <v>2.6</v>
      </c>
      <c r="F9" s="22">
        <v>1.95</v>
      </c>
      <c r="G9" s="22">
        <v>2.6</v>
      </c>
      <c r="H9" s="22">
        <v>0.68</v>
      </c>
      <c r="I9" s="24">
        <v>1.33</v>
      </c>
    </row>
    <row r="10" spans="1:9" x14ac:dyDescent="0.35">
      <c r="A10" s="21" t="s">
        <v>22</v>
      </c>
      <c r="B10" s="25">
        <v>1.96</v>
      </c>
      <c r="C10" s="25">
        <v>1.96</v>
      </c>
      <c r="D10" s="25">
        <v>1.96</v>
      </c>
      <c r="E10" s="25">
        <v>3.18</v>
      </c>
      <c r="F10" s="25">
        <v>2.58</v>
      </c>
      <c r="G10" s="26" t="s">
        <v>12</v>
      </c>
      <c r="H10" s="25">
        <v>1.55</v>
      </c>
      <c r="I10" s="27">
        <v>1.33</v>
      </c>
    </row>
    <row r="11" spans="1:9" x14ac:dyDescent="0.35">
      <c r="A11" s="28" t="s">
        <v>23</v>
      </c>
      <c r="B11" s="22">
        <v>2.12</v>
      </c>
      <c r="C11" s="22">
        <v>1.42</v>
      </c>
      <c r="D11" s="22">
        <v>1.33</v>
      </c>
      <c r="E11" s="22">
        <v>2.12</v>
      </c>
      <c r="F11" s="22">
        <v>2.12</v>
      </c>
      <c r="G11" s="23" t="s">
        <v>12</v>
      </c>
      <c r="H11" s="22">
        <v>0.87</v>
      </c>
      <c r="I11" s="24">
        <v>1.33</v>
      </c>
    </row>
    <row r="12" spans="1:9" x14ac:dyDescent="0.35">
      <c r="A12" s="21" t="s">
        <v>25</v>
      </c>
      <c r="B12" s="25">
        <v>3.19</v>
      </c>
      <c r="C12" s="25">
        <v>3.19</v>
      </c>
      <c r="D12" s="25">
        <v>3.19</v>
      </c>
      <c r="E12" s="26" t="s">
        <v>12</v>
      </c>
      <c r="F12" s="25">
        <v>3.19</v>
      </c>
      <c r="G12" s="26" t="s">
        <v>12</v>
      </c>
      <c r="H12" s="25">
        <v>2.16</v>
      </c>
      <c r="I12" s="24">
        <v>2.1</v>
      </c>
    </row>
    <row r="13" spans="1:9" x14ac:dyDescent="0.35">
      <c r="A13" s="28" t="s">
        <v>27</v>
      </c>
      <c r="B13" s="22">
        <v>2.06</v>
      </c>
      <c r="C13" s="22">
        <v>1.4</v>
      </c>
      <c r="D13" s="22">
        <v>1.33</v>
      </c>
      <c r="E13" s="22">
        <v>2.1</v>
      </c>
      <c r="F13" s="22">
        <v>1.91</v>
      </c>
      <c r="G13" s="23" t="s">
        <v>12</v>
      </c>
      <c r="H13" s="22">
        <v>0.24</v>
      </c>
      <c r="I13" s="24">
        <v>0.24</v>
      </c>
    </row>
    <row r="14" spans="1:9" x14ac:dyDescent="0.35">
      <c r="A14" s="21" t="s">
        <v>31</v>
      </c>
      <c r="B14" s="25">
        <v>2.0499999999999998</v>
      </c>
      <c r="C14" s="25">
        <v>1.49</v>
      </c>
      <c r="D14" s="25">
        <v>1.33</v>
      </c>
      <c r="E14" s="25">
        <v>2.4700000000000002</v>
      </c>
      <c r="F14" s="25">
        <v>2.2000000000000002</v>
      </c>
      <c r="G14" s="26" t="s">
        <v>12</v>
      </c>
      <c r="H14" s="25">
        <v>0.28000000000000003</v>
      </c>
      <c r="I14" s="29" t="s">
        <v>13</v>
      </c>
    </row>
    <row r="15" spans="1:9" x14ac:dyDescent="0.35">
      <c r="A15" s="21" t="s">
        <v>133</v>
      </c>
      <c r="B15" s="22">
        <v>3.08</v>
      </c>
      <c r="C15" s="22">
        <v>3.08</v>
      </c>
      <c r="D15" s="22">
        <v>3.08</v>
      </c>
      <c r="E15" s="23" t="s">
        <v>12</v>
      </c>
      <c r="F15" s="22">
        <v>1.91</v>
      </c>
      <c r="G15" s="23" t="s">
        <v>12</v>
      </c>
      <c r="H15" s="22">
        <v>1.05</v>
      </c>
      <c r="I15" s="24">
        <v>1.33</v>
      </c>
    </row>
    <row r="16" spans="1:9" x14ac:dyDescent="0.35">
      <c r="A16" s="21" t="s">
        <v>34</v>
      </c>
      <c r="B16" s="25">
        <v>1.42</v>
      </c>
      <c r="C16" s="25">
        <v>1.42</v>
      </c>
      <c r="D16" s="25">
        <v>1.33</v>
      </c>
      <c r="E16" s="25">
        <v>1.85</v>
      </c>
      <c r="F16" s="25">
        <v>1.33</v>
      </c>
      <c r="G16" s="26" t="s">
        <v>12</v>
      </c>
      <c r="H16" s="25">
        <v>0.19</v>
      </c>
      <c r="I16" s="27">
        <v>1.33</v>
      </c>
    </row>
    <row r="17" spans="1:9" x14ac:dyDescent="0.35">
      <c r="A17" s="28" t="s">
        <v>36</v>
      </c>
      <c r="B17" s="22">
        <v>3.13</v>
      </c>
      <c r="C17" s="22">
        <v>3.13</v>
      </c>
      <c r="D17" s="22">
        <v>3.13</v>
      </c>
      <c r="E17" s="23" t="s">
        <v>12</v>
      </c>
      <c r="F17" s="22">
        <v>2.08</v>
      </c>
      <c r="G17" s="23" t="s">
        <v>12</v>
      </c>
      <c r="H17" s="22">
        <v>1.33</v>
      </c>
      <c r="I17" s="24">
        <v>1.33</v>
      </c>
    </row>
    <row r="18" spans="1:9" x14ac:dyDescent="0.35">
      <c r="A18" s="21" t="s">
        <v>37</v>
      </c>
      <c r="B18" s="25">
        <v>2.08</v>
      </c>
      <c r="C18" s="25">
        <v>1.58</v>
      </c>
      <c r="D18" s="25">
        <v>1.58</v>
      </c>
      <c r="E18" s="25">
        <v>2.5</v>
      </c>
      <c r="F18" s="25">
        <v>2.08</v>
      </c>
      <c r="G18" s="26" t="s">
        <v>12</v>
      </c>
      <c r="H18" s="25">
        <v>0.15</v>
      </c>
      <c r="I18" s="27">
        <v>1.33</v>
      </c>
    </row>
    <row r="19" spans="1:9" x14ac:dyDescent="0.35">
      <c r="A19" s="28" t="s">
        <v>39</v>
      </c>
      <c r="B19" s="22">
        <v>3.75</v>
      </c>
      <c r="C19" s="22">
        <v>1.67</v>
      </c>
      <c r="D19" s="22">
        <v>1.67</v>
      </c>
      <c r="E19" s="22">
        <v>3.02</v>
      </c>
      <c r="F19" s="22">
        <v>3.75</v>
      </c>
      <c r="G19" s="23" t="s">
        <v>12</v>
      </c>
      <c r="H19" s="22">
        <v>0.44</v>
      </c>
      <c r="I19" s="24">
        <v>1.33</v>
      </c>
    </row>
    <row r="20" spans="1:9" x14ac:dyDescent="0.35">
      <c r="A20" s="21" t="s">
        <v>42</v>
      </c>
      <c r="B20" s="25">
        <v>1.66</v>
      </c>
      <c r="C20" s="25">
        <v>1.49</v>
      </c>
      <c r="D20" s="25">
        <v>1.33</v>
      </c>
      <c r="E20" s="25">
        <v>2.5</v>
      </c>
      <c r="F20" s="25">
        <v>1.66</v>
      </c>
      <c r="G20" s="26" t="s">
        <v>12</v>
      </c>
      <c r="H20" s="25">
        <v>0.33</v>
      </c>
      <c r="I20" s="29" t="s">
        <v>13</v>
      </c>
    </row>
    <row r="21" spans="1:9" x14ac:dyDescent="0.35">
      <c r="A21" s="28" t="s">
        <v>43</v>
      </c>
      <c r="B21" s="22">
        <v>2.13</v>
      </c>
      <c r="C21" s="22">
        <v>2.13</v>
      </c>
      <c r="D21" s="22">
        <v>2.13</v>
      </c>
      <c r="E21" s="23" t="s">
        <v>12</v>
      </c>
      <c r="F21" s="22">
        <v>1.95</v>
      </c>
      <c r="G21" s="22">
        <v>2.13</v>
      </c>
      <c r="H21" s="22">
        <v>0.19</v>
      </c>
      <c r="I21" s="24">
        <v>1.33</v>
      </c>
    </row>
    <row r="22" spans="1:9" x14ac:dyDescent="0.35">
      <c r="A22" s="21" t="s">
        <v>44</v>
      </c>
      <c r="B22" s="25">
        <v>2.12</v>
      </c>
      <c r="C22" s="25">
        <v>2.12</v>
      </c>
      <c r="D22" s="25">
        <v>2.12</v>
      </c>
      <c r="E22" s="25">
        <v>2.5</v>
      </c>
      <c r="F22" s="25">
        <v>1.33</v>
      </c>
      <c r="G22" s="26" t="s">
        <v>12</v>
      </c>
      <c r="H22" s="25">
        <v>0.19</v>
      </c>
      <c r="I22" s="27">
        <v>1.33</v>
      </c>
    </row>
    <row r="23" spans="1:9" x14ac:dyDescent="0.35">
      <c r="A23" s="28" t="s">
        <v>45</v>
      </c>
      <c r="B23" s="22">
        <v>3</v>
      </c>
      <c r="C23" s="22">
        <v>3</v>
      </c>
      <c r="D23" s="22">
        <v>3</v>
      </c>
      <c r="E23" s="23" t="s">
        <v>12</v>
      </c>
      <c r="F23" s="22">
        <v>2.09</v>
      </c>
      <c r="G23" s="23" t="s">
        <v>12</v>
      </c>
      <c r="H23" s="22">
        <v>1</v>
      </c>
      <c r="I23" s="27">
        <v>1.33</v>
      </c>
    </row>
    <row r="24" spans="1:9" x14ac:dyDescent="0.35">
      <c r="A24" s="21" t="s">
        <v>47</v>
      </c>
      <c r="B24" s="25">
        <v>3.17</v>
      </c>
      <c r="C24" s="25">
        <v>3.17</v>
      </c>
      <c r="D24" s="25">
        <v>3.17</v>
      </c>
      <c r="E24" s="26" t="s">
        <v>12</v>
      </c>
      <c r="F24" s="25">
        <v>2.59</v>
      </c>
      <c r="G24" s="26" t="s">
        <v>12</v>
      </c>
      <c r="H24" s="25">
        <v>1.23</v>
      </c>
      <c r="I24" s="27">
        <v>1.33</v>
      </c>
    </row>
    <row r="25" spans="1:9" x14ac:dyDescent="0.35">
      <c r="A25" s="28" t="s">
        <v>48</v>
      </c>
      <c r="B25" s="22">
        <v>2</v>
      </c>
      <c r="C25" s="22">
        <v>1.5</v>
      </c>
      <c r="D25" s="22">
        <v>1.5</v>
      </c>
      <c r="E25" s="22">
        <v>3</v>
      </c>
      <c r="F25" s="22">
        <v>2</v>
      </c>
      <c r="G25" s="23" t="s">
        <v>12</v>
      </c>
      <c r="H25" s="22">
        <v>1.33</v>
      </c>
      <c r="I25" s="27">
        <v>1.33</v>
      </c>
    </row>
    <row r="26" spans="1:9" x14ac:dyDescent="0.35">
      <c r="A26" s="21" t="s">
        <v>49</v>
      </c>
      <c r="B26" s="25">
        <v>2.12</v>
      </c>
      <c r="C26" s="25">
        <v>2.12</v>
      </c>
      <c r="D26" s="25">
        <v>2.12</v>
      </c>
      <c r="E26" s="26" t="s">
        <v>12</v>
      </c>
      <c r="F26" s="25">
        <v>1.95</v>
      </c>
      <c r="G26" s="26" t="s">
        <v>12</v>
      </c>
      <c r="H26" s="25">
        <v>0.54</v>
      </c>
      <c r="I26" s="27">
        <v>1.33</v>
      </c>
    </row>
    <row r="27" spans="1:9" x14ac:dyDescent="0.35">
      <c r="A27" s="28" t="s">
        <v>50</v>
      </c>
      <c r="B27" s="25">
        <v>2.83</v>
      </c>
      <c r="C27" s="22">
        <v>2.75</v>
      </c>
      <c r="D27" s="22">
        <v>2.75</v>
      </c>
      <c r="E27" s="23" t="s">
        <v>12</v>
      </c>
      <c r="F27" s="22">
        <v>2.78</v>
      </c>
      <c r="G27" s="23" t="s">
        <v>12</v>
      </c>
      <c r="H27" s="22">
        <v>1.33</v>
      </c>
      <c r="I27" s="27">
        <v>2</v>
      </c>
    </row>
    <row r="28" spans="1:9" x14ac:dyDescent="0.35">
      <c r="A28" s="21" t="s">
        <v>53</v>
      </c>
      <c r="B28" s="25">
        <v>1.94</v>
      </c>
      <c r="C28" s="25">
        <v>1.43</v>
      </c>
      <c r="D28" s="25">
        <v>1.33</v>
      </c>
      <c r="E28" s="25">
        <v>2.09</v>
      </c>
      <c r="F28" s="25">
        <v>1.94</v>
      </c>
      <c r="G28" s="26" t="s">
        <v>12</v>
      </c>
      <c r="H28" s="25">
        <v>0.19</v>
      </c>
      <c r="I28" s="29" t="s">
        <v>13</v>
      </c>
    </row>
    <row r="29" spans="1:9" x14ac:dyDescent="0.35">
      <c r="A29" s="28" t="s">
        <v>55</v>
      </c>
      <c r="B29" s="22">
        <v>1.96</v>
      </c>
      <c r="C29" s="22">
        <v>1.5</v>
      </c>
      <c r="D29" s="22">
        <v>1.5</v>
      </c>
      <c r="E29" s="22">
        <v>3</v>
      </c>
      <c r="F29" s="22">
        <v>1.96</v>
      </c>
      <c r="G29" s="22">
        <v>3</v>
      </c>
      <c r="H29" s="22">
        <v>0.15</v>
      </c>
      <c r="I29" s="24">
        <v>1.33</v>
      </c>
    </row>
    <row r="30" spans="1:9" x14ac:dyDescent="0.35">
      <c r="A30" s="21" t="s">
        <v>58</v>
      </c>
      <c r="B30" s="25">
        <v>1.43</v>
      </c>
      <c r="C30" s="25">
        <v>1.43</v>
      </c>
      <c r="D30" s="25">
        <v>1.43</v>
      </c>
      <c r="E30" s="25">
        <v>2.61</v>
      </c>
      <c r="F30" s="25">
        <v>1.57</v>
      </c>
      <c r="G30" s="26" t="s">
        <v>12</v>
      </c>
      <c r="H30" s="25">
        <v>0.24</v>
      </c>
      <c r="I30" s="27">
        <v>1.33</v>
      </c>
    </row>
    <row r="31" spans="1:9" x14ac:dyDescent="0.35">
      <c r="A31" s="28" t="s">
        <v>59</v>
      </c>
      <c r="B31" s="22">
        <v>2.13</v>
      </c>
      <c r="C31" s="22">
        <v>2.13</v>
      </c>
      <c r="D31" s="22">
        <v>2.13</v>
      </c>
      <c r="E31" s="23" t="s">
        <v>12</v>
      </c>
      <c r="F31" s="22">
        <v>1.94</v>
      </c>
      <c r="G31" s="23" t="s">
        <v>12</v>
      </c>
      <c r="H31" s="22">
        <v>0.57999999999999996</v>
      </c>
      <c r="I31" s="24">
        <v>1.33</v>
      </c>
    </row>
    <row r="32" spans="1:9" x14ac:dyDescent="0.35">
      <c r="A32" s="21" t="s">
        <v>60</v>
      </c>
      <c r="B32" s="25">
        <v>1.6</v>
      </c>
      <c r="C32" s="25">
        <v>1.6</v>
      </c>
      <c r="D32" s="25">
        <v>1.33</v>
      </c>
      <c r="E32" s="25">
        <v>2</v>
      </c>
      <c r="F32" s="25">
        <v>1.6</v>
      </c>
      <c r="G32" s="26" t="s">
        <v>12</v>
      </c>
      <c r="H32" s="25">
        <v>0.26</v>
      </c>
      <c r="I32" s="27">
        <v>1.33</v>
      </c>
    </row>
    <row r="33" spans="1:9" ht="24" x14ac:dyDescent="0.35">
      <c r="A33" s="28" t="s">
        <v>62</v>
      </c>
      <c r="B33" s="22">
        <v>3.18</v>
      </c>
      <c r="C33" s="22">
        <v>3.18</v>
      </c>
      <c r="D33" s="22">
        <v>3.18</v>
      </c>
      <c r="E33" s="23" t="s">
        <v>12</v>
      </c>
      <c r="F33" s="22">
        <v>1.96</v>
      </c>
      <c r="G33" s="23" t="s">
        <v>12</v>
      </c>
      <c r="H33" s="22">
        <v>0.55000000000000004</v>
      </c>
      <c r="I33" s="24">
        <v>1.33</v>
      </c>
    </row>
    <row r="34" spans="1:9" x14ac:dyDescent="0.35">
      <c r="A34" s="21" t="s">
        <v>64</v>
      </c>
      <c r="B34" s="25">
        <v>1.94</v>
      </c>
      <c r="C34" s="25">
        <v>1.42</v>
      </c>
      <c r="D34" s="25">
        <v>1.42</v>
      </c>
      <c r="E34" s="25">
        <v>3.5</v>
      </c>
      <c r="F34" s="25">
        <v>1.94</v>
      </c>
      <c r="G34" s="25">
        <v>2</v>
      </c>
      <c r="H34" s="25">
        <v>0.26</v>
      </c>
      <c r="I34" s="27">
        <v>1.33</v>
      </c>
    </row>
    <row r="35" spans="1:9" x14ac:dyDescent="0.35">
      <c r="A35" s="28" t="s">
        <v>66</v>
      </c>
      <c r="B35" s="22">
        <v>3</v>
      </c>
      <c r="C35" s="22">
        <v>3</v>
      </c>
      <c r="D35" s="22">
        <v>2.4</v>
      </c>
      <c r="E35" s="23" t="s">
        <v>12</v>
      </c>
      <c r="F35" s="22">
        <v>2.5</v>
      </c>
      <c r="G35" s="23" t="s">
        <v>12</v>
      </c>
      <c r="H35" s="22">
        <v>0.37</v>
      </c>
      <c r="I35" s="24">
        <v>1.33</v>
      </c>
    </row>
    <row r="36" spans="1:9" x14ac:dyDescent="0.35">
      <c r="A36" s="21" t="s">
        <v>68</v>
      </c>
      <c r="B36" s="25">
        <v>2.1800000000000002</v>
      </c>
      <c r="C36" s="25">
        <v>1.49</v>
      </c>
      <c r="D36" s="25">
        <v>1.49</v>
      </c>
      <c r="E36" s="25">
        <v>4</v>
      </c>
      <c r="F36" s="25">
        <v>2.1800000000000002</v>
      </c>
      <c r="G36" s="26" t="s">
        <v>12</v>
      </c>
      <c r="H36" s="25">
        <v>1.33</v>
      </c>
      <c r="I36" s="24">
        <v>2</v>
      </c>
    </row>
    <row r="37" spans="1:9" x14ac:dyDescent="0.35">
      <c r="A37" s="28" t="s">
        <v>69</v>
      </c>
      <c r="B37" s="22">
        <v>2.11</v>
      </c>
      <c r="C37" s="22">
        <v>2.11</v>
      </c>
      <c r="D37" s="22">
        <v>2.11</v>
      </c>
      <c r="E37" s="23" t="s">
        <v>12</v>
      </c>
      <c r="F37" s="22">
        <v>1.96</v>
      </c>
      <c r="G37" s="23" t="s">
        <v>12</v>
      </c>
      <c r="H37" s="22">
        <v>0.36</v>
      </c>
      <c r="I37" s="24">
        <v>1.33</v>
      </c>
    </row>
    <row r="38" spans="1:9" x14ac:dyDescent="0.35">
      <c r="A38" s="21" t="s">
        <v>72</v>
      </c>
      <c r="B38" s="25">
        <v>1.7</v>
      </c>
      <c r="C38" s="25">
        <v>1.7</v>
      </c>
      <c r="D38" s="25">
        <v>1.7</v>
      </c>
      <c r="E38" s="26" t="s">
        <v>12</v>
      </c>
      <c r="F38" s="25">
        <v>1.7</v>
      </c>
      <c r="G38" s="26" t="s">
        <v>12</v>
      </c>
      <c r="H38" s="25">
        <v>0.43</v>
      </c>
      <c r="I38" s="27">
        <v>1.33</v>
      </c>
    </row>
    <row r="39" spans="1:9" x14ac:dyDescent="0.35">
      <c r="A39" s="28" t="s">
        <v>75</v>
      </c>
      <c r="B39" s="22">
        <v>2.06</v>
      </c>
      <c r="C39" s="22">
        <v>2.06</v>
      </c>
      <c r="D39" s="22">
        <v>2.06</v>
      </c>
      <c r="E39" s="23" t="s">
        <v>12</v>
      </c>
      <c r="F39" s="22">
        <v>2</v>
      </c>
      <c r="G39" s="23" t="s">
        <v>12</v>
      </c>
      <c r="H39" s="22">
        <v>0.9</v>
      </c>
      <c r="I39" s="24">
        <v>1.33</v>
      </c>
    </row>
    <row r="40" spans="1:9" x14ac:dyDescent="0.35">
      <c r="A40" s="21" t="s">
        <v>76</v>
      </c>
      <c r="B40" s="25">
        <v>2.0499999999999998</v>
      </c>
      <c r="C40" s="25">
        <v>2.0499999999999998</v>
      </c>
      <c r="D40" s="25">
        <v>2.0499999999999998</v>
      </c>
      <c r="E40" s="26" t="s">
        <v>12</v>
      </c>
      <c r="F40" s="25">
        <v>2.0499999999999998</v>
      </c>
      <c r="G40" s="26" t="s">
        <v>12</v>
      </c>
      <c r="H40" s="25">
        <v>0.33</v>
      </c>
      <c r="I40" s="24">
        <v>1.33</v>
      </c>
    </row>
    <row r="41" spans="1:9" x14ac:dyDescent="0.35">
      <c r="A41" s="28" t="s">
        <v>78</v>
      </c>
      <c r="B41" s="22">
        <v>1.85</v>
      </c>
      <c r="C41" s="22">
        <v>1.33</v>
      </c>
      <c r="D41" s="22">
        <v>1.33</v>
      </c>
      <c r="E41" s="22">
        <v>3</v>
      </c>
      <c r="F41" s="22">
        <v>1.85</v>
      </c>
      <c r="G41" s="23" t="s">
        <v>12</v>
      </c>
      <c r="H41" s="22">
        <v>0.33</v>
      </c>
      <c r="I41" s="24">
        <v>1.33</v>
      </c>
    </row>
    <row r="42" spans="1:9" x14ac:dyDescent="0.35">
      <c r="A42" s="21" t="s">
        <v>80</v>
      </c>
      <c r="B42" s="25">
        <v>2.15</v>
      </c>
      <c r="C42" s="25">
        <v>1.57</v>
      </c>
      <c r="D42" s="25">
        <v>1.33</v>
      </c>
      <c r="E42" s="25">
        <v>3.14</v>
      </c>
      <c r="F42" s="25">
        <v>2.15</v>
      </c>
      <c r="G42" s="26" t="s">
        <v>12</v>
      </c>
      <c r="H42" s="25">
        <v>0.33</v>
      </c>
      <c r="I42" s="27">
        <v>1.33</v>
      </c>
    </row>
    <row r="43" spans="1:9" x14ac:dyDescent="0.35">
      <c r="A43" s="28" t="s">
        <v>81</v>
      </c>
      <c r="B43" s="22">
        <v>2.61</v>
      </c>
      <c r="C43" s="22">
        <v>2.61</v>
      </c>
      <c r="D43" s="22">
        <v>2.61</v>
      </c>
      <c r="E43" s="23" t="s">
        <v>12</v>
      </c>
      <c r="F43" s="22">
        <v>1.9</v>
      </c>
      <c r="G43" s="22">
        <v>2.5299999999999998</v>
      </c>
      <c r="H43" s="22">
        <v>1.1599999999999999</v>
      </c>
      <c r="I43" s="24">
        <v>1.33</v>
      </c>
    </row>
    <row r="44" spans="1:9" x14ac:dyDescent="0.35">
      <c r="A44" s="21" t="s">
        <v>82</v>
      </c>
      <c r="B44" s="25">
        <v>2.08</v>
      </c>
      <c r="C44" s="25">
        <v>2.08</v>
      </c>
      <c r="D44" s="25">
        <v>2.08</v>
      </c>
      <c r="E44" s="26" t="s">
        <v>12</v>
      </c>
      <c r="F44" s="25">
        <v>1.94</v>
      </c>
      <c r="G44" s="26" t="s">
        <v>12</v>
      </c>
      <c r="H44" s="25">
        <v>0.95</v>
      </c>
      <c r="I44" s="30"/>
    </row>
    <row r="45" spans="1:9" x14ac:dyDescent="0.35">
      <c r="A45" s="28" t="s">
        <v>83</v>
      </c>
      <c r="B45" s="22">
        <v>1.82</v>
      </c>
      <c r="C45" s="22">
        <v>1.82</v>
      </c>
      <c r="D45" s="22">
        <v>1.82</v>
      </c>
      <c r="E45" s="22">
        <v>2.04</v>
      </c>
      <c r="F45" s="22">
        <v>1.33</v>
      </c>
      <c r="G45" s="23" t="s">
        <v>12</v>
      </c>
      <c r="H45" s="22">
        <v>0.46</v>
      </c>
      <c r="I45" s="24">
        <v>1.33</v>
      </c>
    </row>
    <row r="46" spans="1:9" x14ac:dyDescent="0.35">
      <c r="A46" s="21" t="s">
        <v>85</v>
      </c>
      <c r="B46" s="25">
        <v>1.95</v>
      </c>
      <c r="C46" s="25">
        <v>1.42</v>
      </c>
      <c r="D46" s="25">
        <v>1.33</v>
      </c>
      <c r="E46" s="25">
        <v>2.5</v>
      </c>
      <c r="F46" s="25">
        <v>1.95</v>
      </c>
      <c r="G46" s="26" t="s">
        <v>12</v>
      </c>
      <c r="H46" s="25">
        <v>0.84</v>
      </c>
      <c r="I46" s="29" t="s">
        <v>13</v>
      </c>
    </row>
    <row r="47" spans="1:9" x14ac:dyDescent="0.35">
      <c r="A47" s="28" t="s">
        <v>87</v>
      </c>
      <c r="B47" s="22">
        <v>1.98</v>
      </c>
      <c r="C47" s="22">
        <v>1.44</v>
      </c>
      <c r="D47" s="22">
        <v>1.33</v>
      </c>
      <c r="E47" s="22">
        <v>2.0099999999999998</v>
      </c>
      <c r="F47" s="22">
        <v>1.98</v>
      </c>
      <c r="G47" s="23" t="s">
        <v>12</v>
      </c>
      <c r="H47" s="22">
        <v>0.12</v>
      </c>
      <c r="I47" s="31" t="s">
        <v>13</v>
      </c>
    </row>
    <row r="48" spans="1:9" x14ac:dyDescent="0.35">
      <c r="A48" s="21" t="s">
        <v>89</v>
      </c>
      <c r="B48" s="25">
        <v>1.39</v>
      </c>
      <c r="C48" s="25">
        <v>1.39</v>
      </c>
      <c r="D48" s="25">
        <v>1.33</v>
      </c>
      <c r="E48" s="25">
        <v>2</v>
      </c>
      <c r="F48" s="25">
        <v>1.39</v>
      </c>
      <c r="G48" s="26" t="s">
        <v>12</v>
      </c>
      <c r="H48" s="25">
        <v>0.36</v>
      </c>
      <c r="I48" s="24">
        <v>1.33</v>
      </c>
    </row>
    <row r="49" spans="1:9" x14ac:dyDescent="0.35">
      <c r="A49" s="28" t="s">
        <v>91</v>
      </c>
      <c r="B49" s="22">
        <v>3.12</v>
      </c>
      <c r="C49" s="22">
        <v>3.12</v>
      </c>
      <c r="D49" s="22">
        <v>3.12</v>
      </c>
      <c r="E49" s="23" t="s">
        <v>12</v>
      </c>
      <c r="F49" s="22">
        <v>2.08</v>
      </c>
      <c r="G49" s="23" t="s">
        <v>12</v>
      </c>
      <c r="H49" s="22">
        <v>0.43</v>
      </c>
      <c r="I49" s="24">
        <v>1.33</v>
      </c>
    </row>
    <row r="50" spans="1:9" x14ac:dyDescent="0.35">
      <c r="A50" s="21" t="s">
        <v>92</v>
      </c>
      <c r="B50" s="25">
        <v>1.43</v>
      </c>
      <c r="C50" s="25">
        <v>1.43</v>
      </c>
      <c r="D50" s="25">
        <v>1.43</v>
      </c>
      <c r="E50" s="25">
        <v>2</v>
      </c>
      <c r="F50" s="25">
        <v>1.43</v>
      </c>
      <c r="G50" s="25">
        <v>2</v>
      </c>
      <c r="H50" s="25">
        <v>0.49</v>
      </c>
      <c r="I50" s="27">
        <v>1.33</v>
      </c>
    </row>
    <row r="51" spans="1:9" x14ac:dyDescent="0.35">
      <c r="A51" s="28" t="s">
        <v>93</v>
      </c>
      <c r="B51" s="22">
        <v>2.1</v>
      </c>
      <c r="C51" s="22">
        <v>2.1</v>
      </c>
      <c r="D51" s="22">
        <v>2.1</v>
      </c>
      <c r="E51" s="22">
        <v>3.12</v>
      </c>
      <c r="F51" s="22">
        <v>1.93</v>
      </c>
      <c r="G51" s="23" t="s">
        <v>12</v>
      </c>
      <c r="H51" s="22">
        <v>0.33</v>
      </c>
      <c r="I51" s="24">
        <v>1.33</v>
      </c>
    </row>
    <row r="52" spans="1:9" x14ac:dyDescent="0.35">
      <c r="A52" s="21" t="s">
        <v>95</v>
      </c>
      <c r="B52" s="25">
        <v>1.58</v>
      </c>
      <c r="C52" s="25">
        <v>1.41</v>
      </c>
      <c r="D52" s="25">
        <v>1.33</v>
      </c>
      <c r="E52" s="25">
        <v>3</v>
      </c>
      <c r="F52" s="25">
        <v>1.85</v>
      </c>
      <c r="G52" s="25">
        <v>3</v>
      </c>
      <c r="H52" s="25">
        <v>0.16</v>
      </c>
      <c r="I52" s="27">
        <v>1.33</v>
      </c>
    </row>
    <row r="53" spans="1:9" x14ac:dyDescent="0.35">
      <c r="A53" s="28" t="s">
        <v>97</v>
      </c>
      <c r="B53" s="22">
        <v>3.01</v>
      </c>
      <c r="C53" s="22">
        <v>1.86</v>
      </c>
      <c r="D53" s="22">
        <v>1.51</v>
      </c>
      <c r="E53" s="22">
        <v>3.01</v>
      </c>
      <c r="F53" s="22">
        <v>3.01</v>
      </c>
      <c r="G53" s="23" t="s">
        <v>12</v>
      </c>
      <c r="H53" s="22">
        <v>0.95</v>
      </c>
      <c r="I53" s="24">
        <v>0.95</v>
      </c>
    </row>
    <row r="54" spans="1:9" x14ac:dyDescent="0.35">
      <c r="A54" s="32" t="s">
        <v>101</v>
      </c>
      <c r="B54" s="33">
        <v>2</v>
      </c>
      <c r="C54" s="33">
        <v>2</v>
      </c>
      <c r="D54" s="33">
        <v>2</v>
      </c>
      <c r="E54" s="34" t="s">
        <v>12</v>
      </c>
      <c r="F54" s="33">
        <v>1.54</v>
      </c>
      <c r="G54" s="34" t="s">
        <v>12</v>
      </c>
      <c r="H54" s="33">
        <v>0.45</v>
      </c>
      <c r="I54" s="35" t="s">
        <v>13</v>
      </c>
    </row>
    <row r="56" spans="1:9" x14ac:dyDescent="0.35">
      <c r="A56" s="14" t="s">
        <v>143</v>
      </c>
    </row>
    <row r="57" spans="1:9" x14ac:dyDescent="0.35">
      <c r="A57" s="14" t="s">
        <v>144</v>
      </c>
    </row>
    <row r="58" spans="1:9" x14ac:dyDescent="0.35">
      <c r="A58" s="14" t="s">
        <v>145</v>
      </c>
    </row>
    <row r="59" spans="1:9" x14ac:dyDescent="0.35">
      <c r="A59" s="14" t="s">
        <v>146</v>
      </c>
    </row>
    <row r="60" spans="1:9" x14ac:dyDescent="0.35">
      <c r="A60" s="14" t="s">
        <v>147</v>
      </c>
    </row>
    <row r="61" spans="1:9" x14ac:dyDescent="0.35">
      <c r="A61" s="14" t="s">
        <v>148</v>
      </c>
    </row>
    <row r="62" spans="1:9" x14ac:dyDescent="0.35">
      <c r="A62" s="14" t="s">
        <v>149</v>
      </c>
    </row>
    <row r="63" spans="1:9" x14ac:dyDescent="0.35">
      <c r="A63" s="14" t="s">
        <v>150</v>
      </c>
    </row>
    <row r="64" spans="1:9" x14ac:dyDescent="0.35">
      <c r="A64" s="14" t="s">
        <v>151</v>
      </c>
    </row>
    <row r="65" spans="1:1" x14ac:dyDescent="0.35">
      <c r="A65" s="15" t="s">
        <v>121</v>
      </c>
    </row>
    <row r="66" spans="1:1" x14ac:dyDescent="0.35">
      <c r="A66" s="15" t="s">
        <v>122</v>
      </c>
    </row>
    <row r="67" spans="1:1" x14ac:dyDescent="0.35">
      <c r="A67" s="15" t="s">
        <v>123</v>
      </c>
    </row>
    <row r="68" spans="1:1" x14ac:dyDescent="0.35">
      <c r="A68" s="14" t="s">
        <v>152</v>
      </c>
    </row>
    <row r="69" spans="1:1" x14ac:dyDescent="0.35">
      <c r="A69" s="14" t="s">
        <v>153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6CA2A-292F-4615-A580-007531DA7731}">
  <dimension ref="A1:AZ10"/>
  <sheetViews>
    <sheetView topLeftCell="AV1" workbookViewId="0">
      <selection activeCell="AZ2" sqref="AZ2"/>
    </sheetView>
  </sheetViews>
  <sheetFormatPr defaultRowHeight="14.5" x14ac:dyDescent="0.35"/>
  <cols>
    <col min="1" max="1" width="34.08984375" style="7" customWidth="1"/>
    <col min="2" max="2" width="8.08984375" bestFit="1" customWidth="1"/>
    <col min="3" max="3" width="6.1796875" bestFit="1" customWidth="1"/>
    <col min="4" max="4" width="7.08984375" bestFit="1" customWidth="1"/>
    <col min="5" max="5" width="8.1796875" bestFit="1" customWidth="1"/>
    <col min="7" max="7" width="8.54296875" bestFit="1" customWidth="1"/>
    <col min="8" max="8" width="10.81640625" bestFit="1" customWidth="1"/>
    <col min="9" max="9" width="8.81640625" bestFit="1" customWidth="1"/>
    <col min="10" max="10" width="17.36328125" bestFit="1" customWidth="1"/>
    <col min="11" max="11" width="6.54296875" bestFit="1" customWidth="1"/>
    <col min="12" max="12" width="7.36328125" bestFit="1" customWidth="1"/>
    <col min="13" max="13" width="6.54296875" bestFit="1" customWidth="1"/>
    <col min="14" max="14" width="5.6328125" bestFit="1" customWidth="1"/>
    <col min="15" max="15" width="6.1796875" bestFit="1" customWidth="1"/>
    <col min="16" max="16" width="7" bestFit="1" customWidth="1"/>
    <col min="17" max="17" width="7" customWidth="1"/>
    <col min="18" max="18" width="6.54296875" bestFit="1" customWidth="1"/>
    <col min="19" max="19" width="8.36328125" bestFit="1" customWidth="1"/>
    <col min="20" max="20" width="8.6328125" bestFit="1" customWidth="1"/>
    <col min="21" max="21" width="6.08984375" bestFit="1" customWidth="1"/>
    <col min="22" max="22" width="8.6328125" bestFit="1" customWidth="1"/>
    <col min="23" max="23" width="13.08984375" bestFit="1" customWidth="1"/>
    <col min="24" max="24" width="8.36328125" bestFit="1" customWidth="1"/>
    <col min="25" max="25" width="9.6328125" bestFit="1" customWidth="1"/>
    <col min="26" max="26" width="9.54296875" bestFit="1" customWidth="1"/>
    <col min="27" max="27" width="7.90625" bestFit="1" customWidth="1"/>
    <col min="28" max="28" width="8.453125" bestFit="1" customWidth="1"/>
    <col min="29" max="29" width="8.6328125" bestFit="1" customWidth="1"/>
    <col min="30" max="30" width="7.1796875" bestFit="1" customWidth="1"/>
    <col min="31" max="31" width="14" bestFit="1" customWidth="1"/>
    <col min="32" max="32" width="10.1796875" bestFit="1" customWidth="1"/>
    <col min="33" max="33" width="11.1796875" bestFit="1" customWidth="1"/>
    <col min="35" max="35" width="13.08984375" bestFit="1" customWidth="1"/>
    <col min="36" max="36" width="12.08984375" bestFit="1" customWidth="1"/>
    <col min="37" max="37" width="5.453125" bestFit="1" customWidth="1"/>
    <col min="38" max="38" width="9.36328125" bestFit="1" customWidth="1"/>
    <col min="39" max="39" width="7" bestFit="1" customWidth="1"/>
    <col min="40" max="41" width="11.453125" bestFit="1" customWidth="1"/>
    <col min="42" max="42" width="12.90625" bestFit="1" customWidth="1"/>
    <col min="43" max="43" width="12" bestFit="1" customWidth="1"/>
    <col min="44" max="44" width="9.54296875" bestFit="1" customWidth="1"/>
    <col min="45" max="45" width="5.6328125" bestFit="1" customWidth="1"/>
    <col min="46" max="46" width="6.54296875" bestFit="1" customWidth="1"/>
    <col min="47" max="47" width="8.08984375" bestFit="1" customWidth="1"/>
    <col min="48" max="48" width="7" bestFit="1" customWidth="1"/>
    <col min="49" max="49" width="10.6328125" bestFit="1" customWidth="1"/>
    <col min="50" max="50" width="11.6328125" bestFit="1" customWidth="1"/>
    <col min="51" max="51" width="9.1796875" bestFit="1" customWidth="1"/>
    <col min="52" max="52" width="8.6328125" bestFit="1" customWidth="1"/>
  </cols>
  <sheetData>
    <row r="1" spans="1:52" x14ac:dyDescent="0.35">
      <c r="B1" t="str">
        <f>'Medicaid CHIP Income Stand 2022'!$A4</f>
        <v>Alabama</v>
      </c>
      <c r="C1" t="str">
        <f>'Medicaid CHIP Income Stand 2022'!$A5</f>
        <v>Alaska</v>
      </c>
      <c r="D1" t="str">
        <f>'Medicaid CHIP Income Stand 2022'!$A6</f>
        <v>Arizona</v>
      </c>
      <c r="E1" t="str">
        <f>'Medicaid CHIP Income Stand 2022'!$A7</f>
        <v>Arkansas</v>
      </c>
      <c r="F1" t="str">
        <f>'Medicaid CHIP Income Stand 2022'!$A8</f>
        <v>California</v>
      </c>
      <c r="G1" t="str">
        <f>'Medicaid CHIP Income Stand 2022'!$A9</f>
        <v>Colorado</v>
      </c>
      <c r="H1" t="str">
        <f>'Medicaid CHIP Income Stand 2022'!$A10</f>
        <v>Connecticut</v>
      </c>
      <c r="I1" t="str">
        <f>'Medicaid CHIP Income Stand 2022'!$A11</f>
        <v>Delaware</v>
      </c>
      <c r="J1" t="str">
        <f>'Medicaid CHIP Income Stand 2022'!$A12</f>
        <v>District of Columbia</v>
      </c>
      <c r="K1" t="str">
        <f>'Medicaid CHIP Income Stand 2022'!$A13</f>
        <v>Florida</v>
      </c>
      <c r="L1" t="str">
        <f>'Medicaid CHIP Income Stand 2022'!$A14</f>
        <v>Georgia</v>
      </c>
      <c r="M1" t="str">
        <f>'Medicaid CHIP Income Stand 2022'!$A15</f>
        <v>Hawaii</v>
      </c>
      <c r="N1" t="str">
        <f>'Medicaid CHIP Income Stand 2022'!$A16</f>
        <v>Idaho</v>
      </c>
      <c r="O1" t="str">
        <f>'Medicaid CHIP Income Stand 2022'!$A17</f>
        <v>Illinois</v>
      </c>
      <c r="P1" t="str">
        <f>'Medicaid CHIP Income Stand 2022'!$A18</f>
        <v>Indiana</v>
      </c>
      <c r="Q1" t="str">
        <f>'Medicaid CHIP Income Stand 2022'!$A19</f>
        <v>Iowa</v>
      </c>
      <c r="R1" t="str">
        <f>'Medicaid CHIP Income Stand 2022'!$A20</f>
        <v>Kansas</v>
      </c>
      <c r="S1" t="str">
        <f>'Medicaid CHIP Income Stand 2022'!$A21</f>
        <v>Kentucky</v>
      </c>
      <c r="T1" t="str">
        <f>'Medicaid CHIP Income Stand 2022'!$A22</f>
        <v>Louisiana</v>
      </c>
      <c r="U1" t="str">
        <f>'Medicaid CHIP Income Stand 2022'!$A23</f>
        <v>Maine</v>
      </c>
      <c r="V1" t="str">
        <f>'Medicaid CHIP Income Stand 2022'!$A24</f>
        <v>Maryland</v>
      </c>
      <c r="W1" t="str">
        <f>'Medicaid CHIP Income Stand 2022'!$A25</f>
        <v>Massachusetts</v>
      </c>
      <c r="X1" t="str">
        <f>'Medicaid CHIP Income Stand 2022'!$A26</f>
        <v>Michigan</v>
      </c>
      <c r="Y1" t="str">
        <f>'Medicaid CHIP Income Stand 2022'!$A27</f>
        <v>Minnesota</v>
      </c>
      <c r="Z1" t="str">
        <f>'Medicaid CHIP Income Stand 2022'!$A28</f>
        <v>Mississippi</v>
      </c>
      <c r="AA1" t="str">
        <f>'Medicaid CHIP Income Stand 2022'!$A29</f>
        <v>Missouri</v>
      </c>
      <c r="AB1" t="str">
        <f>'Medicaid CHIP Income Stand 2022'!$A30</f>
        <v>Montana</v>
      </c>
      <c r="AC1" t="str">
        <f>'Medicaid CHIP Income Stand 2022'!$A31</f>
        <v>Nebraska</v>
      </c>
      <c r="AD1" t="str">
        <f>'Medicaid CHIP Income Stand 2022'!$A32</f>
        <v>Nevada</v>
      </c>
      <c r="AE1" t="str">
        <f>'Medicaid CHIP Income Stand 2022'!$A33</f>
        <v>New Hampshire</v>
      </c>
      <c r="AF1" t="str">
        <f>'Medicaid CHIP Income Stand 2022'!$A34</f>
        <v>New Jersey</v>
      </c>
      <c r="AG1" t="str">
        <f>'Medicaid CHIP Income Stand 2022'!$A35</f>
        <v>New Mexico</v>
      </c>
      <c r="AH1" t="str">
        <f>'Medicaid CHIP Income Stand 2022'!$A36</f>
        <v>New York</v>
      </c>
      <c r="AI1" t="str">
        <f>'Medicaid CHIP Income Stand 2022'!$A37</f>
        <v>North Carolina</v>
      </c>
      <c r="AJ1" t="str">
        <f>'Medicaid CHIP Income Stand 2022'!$A38</f>
        <v>North Dakota</v>
      </c>
      <c r="AK1" t="str">
        <f>'Medicaid CHIP Income Stand 2022'!$A39</f>
        <v>Ohio</v>
      </c>
      <c r="AL1" t="str">
        <f>'Medicaid CHIP Income Stand 2022'!$A40</f>
        <v>Oklahoma</v>
      </c>
      <c r="AM1" t="str">
        <f>'Medicaid CHIP Income Stand 2022'!$A41</f>
        <v>Oregon</v>
      </c>
      <c r="AN1" t="str">
        <f>'Medicaid CHIP Income Stand 2022'!$A42</f>
        <v>Pennsylvania</v>
      </c>
      <c r="AO1" t="str">
        <f>'Medicaid CHIP Income Stand 2022'!$A43</f>
        <v>Rhode Island</v>
      </c>
      <c r="AP1" t="str">
        <f>'Medicaid CHIP Income Stand 2022'!$A44</f>
        <v>South Carolina</v>
      </c>
      <c r="AQ1" t="str">
        <f>'Medicaid CHIP Income Stand 2022'!$A45</f>
        <v>South Dakota</v>
      </c>
      <c r="AR1" t="str">
        <f>'Medicaid CHIP Income Stand 2022'!$A46</f>
        <v>Tennessee</v>
      </c>
      <c r="AS1" t="str">
        <f>'Medicaid CHIP Income Stand 2022'!$A47</f>
        <v>Texas</v>
      </c>
      <c r="AT1" t="str">
        <f>'Medicaid CHIP Income Stand 2022'!$A48</f>
        <v>Utah</v>
      </c>
      <c r="AU1" t="str">
        <f>'Medicaid CHIP Income Stand 2022'!$A49</f>
        <v>Vermont</v>
      </c>
      <c r="AV1" t="str">
        <f>'Medicaid CHIP Income Stand 2022'!$A50</f>
        <v>Virginia</v>
      </c>
      <c r="AW1" t="str">
        <f>'Medicaid CHIP Income Stand 2022'!$A51</f>
        <v>Washington</v>
      </c>
      <c r="AX1" t="str">
        <f>'Medicaid CHIP Income Stand 2022'!$A52</f>
        <v>West Virginia</v>
      </c>
      <c r="AY1" t="str">
        <f>'Medicaid CHIP Income Stand 2022'!$A53</f>
        <v>Wisconsin</v>
      </c>
      <c r="AZ1" t="str">
        <f>'Medicaid CHIP Income Stand 2022'!$A54</f>
        <v>Wyoming</v>
      </c>
    </row>
    <row r="2" spans="1:52" x14ac:dyDescent="0.35">
      <c r="A2" s="8" t="str">
        <f>'Medicaid CHIP Income Stand 2022'!B3</f>
        <v>Children Medicaid Ages 0-1</v>
      </c>
      <c r="B2" s="9">
        <f>INDEX('Medicaid CHIP Income Stand 2022'!$B$4:$B$54,MATCH(B$1,'Medicaid CHIP Income Stand 2022'!$A$4:$A$54,0))</f>
        <v>1.41</v>
      </c>
      <c r="C2" s="9">
        <f>INDEX('Medicaid CHIP Income Stand 2022'!$B$4:$B$54,MATCH(C$1,'Medicaid CHIP Income Stand 2022'!$A$4:$A$54,0))</f>
        <v>2.0299999999999998</v>
      </c>
      <c r="D2" s="9">
        <f>INDEX('Medicaid CHIP Income Stand 2022'!$B$4:$B$54,MATCH(D$1,'Medicaid CHIP Income Stand 2022'!$A$4:$A$54,0))</f>
        <v>1.47</v>
      </c>
      <c r="E2" s="9">
        <f>INDEX('Medicaid CHIP Income Stand 2022'!$B$4:$B$54,MATCH(E$1,'Medicaid CHIP Income Stand 2022'!$A$4:$A$54,0))</f>
        <v>1.42</v>
      </c>
      <c r="F2" s="9">
        <f>INDEX('Medicaid CHIP Income Stand 2022'!$B$4:$B$54,MATCH(F$1,'Medicaid CHIP Income Stand 2022'!$A$4:$A$54,0))</f>
        <v>2.61</v>
      </c>
      <c r="G2" s="9">
        <f>INDEX('Medicaid CHIP Income Stand 2022'!$B$4:$B$54,MATCH(G$1,'Medicaid CHIP Income Stand 2022'!$A$4:$A$54,0))</f>
        <v>1.42</v>
      </c>
      <c r="H2" s="9">
        <f>INDEX('Medicaid CHIP Income Stand 2022'!$B$4:$B$54,MATCH(H$1,'Medicaid CHIP Income Stand 2022'!$A$4:$A$54,0))</f>
        <v>1.96</v>
      </c>
      <c r="I2" s="9">
        <f>INDEX('Medicaid CHIP Income Stand 2022'!$B$4:$B$54,MATCH(I$1,'Medicaid CHIP Income Stand 2022'!$A$4:$A$54,0))</f>
        <v>2.12</v>
      </c>
      <c r="J2" s="9">
        <f>INDEX('Medicaid CHIP Income Stand 2022'!$B$4:$B$54,MATCH(J$1,'Medicaid CHIP Income Stand 2022'!$A$4:$A$54,0))</f>
        <v>3.19</v>
      </c>
      <c r="K2" s="9">
        <f>INDEX('Medicaid CHIP Income Stand 2022'!$B$4:$B$54,MATCH(K$1,'Medicaid CHIP Income Stand 2022'!$A$4:$A$54,0))</f>
        <v>2.06</v>
      </c>
      <c r="L2" s="9">
        <f>INDEX('Medicaid CHIP Income Stand 2022'!$B$4:$B$54,MATCH(L$1,'Medicaid CHIP Income Stand 2022'!$A$4:$A$54,0))</f>
        <v>2.0499999999999998</v>
      </c>
      <c r="M2" s="9">
        <f>INDEX('Medicaid CHIP Income Stand 2022'!$B$4:$B$54,MATCH(M$1,'Medicaid CHIP Income Stand 2022'!$A$4:$A$54,0))</f>
        <v>3.08</v>
      </c>
      <c r="N2" s="9">
        <f>INDEX('Medicaid CHIP Income Stand 2022'!$B$4:$B$54,MATCH(N$1,'Medicaid CHIP Income Stand 2022'!$A$4:$A$54,0))</f>
        <v>1.42</v>
      </c>
      <c r="O2" s="9">
        <f>INDEX('Medicaid CHIP Income Stand 2022'!$B$4:$B$54,MATCH(O$1,'Medicaid CHIP Income Stand 2022'!$A$4:$A$54,0))</f>
        <v>1.42</v>
      </c>
      <c r="P2" s="9">
        <f>INDEX('Medicaid CHIP Income Stand 2022'!$B$4:$B$54,MATCH(P$1,'Medicaid CHIP Income Stand 2022'!$A$4:$A$54,0))</f>
        <v>2.08</v>
      </c>
      <c r="Q2" s="9">
        <f>INDEX('Medicaid CHIP Income Stand 2022'!$B$4:$B$54,MATCH(Q$1,'Medicaid CHIP Income Stand 2022'!$A$4:$A$54,0))</f>
        <v>3.75</v>
      </c>
      <c r="R2" s="9">
        <f>INDEX('Medicaid CHIP Income Stand 2022'!$B$4:$B$54,MATCH(R$1,'Medicaid CHIP Income Stand 2022'!$A$4:$A$54,0))</f>
        <v>1.66</v>
      </c>
      <c r="S2" s="9">
        <f>INDEX('Medicaid CHIP Income Stand 2022'!$B$4:$B$54,MATCH(S$1,'Medicaid CHIP Income Stand 2022'!$A$4:$A$54,0))</f>
        <v>1.95</v>
      </c>
      <c r="T2" s="9">
        <f>INDEX('Medicaid CHIP Income Stand 2022'!$B$4:$B$54,MATCH(T$1,'Medicaid CHIP Income Stand 2022'!$A$4:$A$54,0))</f>
        <v>2.12</v>
      </c>
      <c r="U2" s="9">
        <f>INDEX('Medicaid CHIP Income Stand 2022'!$B$4:$B$54,MATCH(U$1,'Medicaid CHIP Income Stand 2022'!$A$4:$A$54,0))</f>
        <v>1.91</v>
      </c>
      <c r="V2" s="9">
        <f>INDEX('Medicaid CHIP Income Stand 2022'!$B$4:$B$54,MATCH(V$1,'Medicaid CHIP Income Stand 2022'!$A$4:$A$54,0))</f>
        <v>3.17</v>
      </c>
      <c r="W2" s="9">
        <f>INDEX('Medicaid CHIP Income Stand 2022'!$B$4:$B$54,MATCH(W$1,'Medicaid CHIP Income Stand 2022'!$A$4:$A$54,0))</f>
        <v>2</v>
      </c>
      <c r="X2" s="9">
        <f>INDEX('Medicaid CHIP Income Stand 2022'!$B$4:$B$54,MATCH(X$1,'Medicaid CHIP Income Stand 2022'!$A$4:$A$54,0))</f>
        <v>2.12</v>
      </c>
      <c r="Y2" s="9">
        <f>INDEX('Medicaid CHIP Income Stand 2022'!$B$4:$B$54,MATCH(Y$1,'Medicaid CHIP Income Stand 2022'!$A$4:$A$54,0))</f>
        <v>2.83</v>
      </c>
      <c r="Z2" s="9">
        <f>INDEX('Medicaid CHIP Income Stand 2022'!$B$4:$B$54,MATCH(Z$1,'Medicaid CHIP Income Stand 2022'!$A$4:$A$54,0))</f>
        <v>1.94</v>
      </c>
      <c r="AA2" s="9">
        <f>INDEX('Medicaid CHIP Income Stand 2022'!$B$4:$B$54,MATCH(AA$1,'Medicaid CHIP Income Stand 2022'!$A$4:$A$54,0))</f>
        <v>1.96</v>
      </c>
      <c r="AB2" s="9">
        <f>INDEX('Medicaid CHIP Income Stand 2022'!$B$4:$B$54,MATCH(AB$1,'Medicaid CHIP Income Stand 2022'!$A$4:$A$54,0))</f>
        <v>1.43</v>
      </c>
      <c r="AC2" s="9">
        <f>INDEX('Medicaid CHIP Income Stand 2022'!$B$4:$B$54,MATCH(AC$1,'Medicaid CHIP Income Stand 2022'!$A$4:$A$54,0))</f>
        <v>2.13</v>
      </c>
      <c r="AD2" s="9">
        <f>INDEX('Medicaid CHIP Income Stand 2022'!$B$4:$B$54,MATCH(AD$1,'Medicaid CHIP Income Stand 2022'!$A$4:$A$54,0))</f>
        <v>1.6</v>
      </c>
      <c r="AE2" s="9">
        <f>INDEX('Medicaid CHIP Income Stand 2022'!$B$4:$B$54,MATCH(AE$1,'Medicaid CHIP Income Stand 2022'!$A$4:$A$54,0))</f>
        <v>3.18</v>
      </c>
      <c r="AF2" s="9">
        <f>INDEX('Medicaid CHIP Income Stand 2022'!$B$4:$B$54,MATCH(AF$1,'Medicaid CHIP Income Stand 2022'!$A$4:$A$54,0))</f>
        <v>1.94</v>
      </c>
      <c r="AG2" s="9">
        <f>INDEX('Medicaid CHIP Income Stand 2022'!$B$4:$B$54,MATCH(AG$1,'Medicaid CHIP Income Stand 2022'!$A$4:$A$54,0))</f>
        <v>3</v>
      </c>
      <c r="AH2" s="9">
        <f>INDEX('Medicaid CHIP Income Stand 2022'!$B$4:$B$54,MATCH(AH$1,'Medicaid CHIP Income Stand 2022'!$A$4:$A$54,0))</f>
        <v>2.1800000000000002</v>
      </c>
      <c r="AI2" s="9">
        <f>INDEX('Medicaid CHIP Income Stand 2022'!$B$4:$B$54,MATCH(AI$1,'Medicaid CHIP Income Stand 2022'!$A$4:$A$54,0))</f>
        <v>2.1</v>
      </c>
      <c r="AJ2" s="9">
        <f>INDEX('Medicaid CHIP Income Stand 2022'!$B$4:$B$54,MATCH(AJ$1,'Medicaid CHIP Income Stand 2022'!$A$4:$A$54,0))</f>
        <v>1.7</v>
      </c>
      <c r="AK2" s="9">
        <f>INDEX('Medicaid CHIP Income Stand 2022'!$B$4:$B$54,MATCH(AK$1,'Medicaid CHIP Income Stand 2022'!$A$4:$A$54,0))</f>
        <v>2.06</v>
      </c>
      <c r="AL2" s="9">
        <f>INDEX('Medicaid CHIP Income Stand 2022'!$B$4:$B$54,MATCH(AL$1,'Medicaid CHIP Income Stand 2022'!$A$4:$A$54,0))</f>
        <v>2.0499999999999998</v>
      </c>
      <c r="AM2" s="9">
        <f>INDEX('Medicaid CHIP Income Stand 2022'!$B$4:$B$54,MATCH(AM$1,'Medicaid CHIP Income Stand 2022'!$A$4:$A$54,0))</f>
        <v>1.85</v>
      </c>
      <c r="AN2" s="9">
        <f>INDEX('Medicaid CHIP Income Stand 2022'!$B$4:$B$54,MATCH(AN$1,'Medicaid CHIP Income Stand 2022'!$A$4:$A$54,0))</f>
        <v>2.15</v>
      </c>
      <c r="AO2" s="9">
        <f>INDEX('Medicaid CHIP Income Stand 2022'!$B$4:$B$54,MATCH(AO$1,'Medicaid CHIP Income Stand 2022'!$A$4:$A$54,0))</f>
        <v>2.61</v>
      </c>
      <c r="AP2" s="9">
        <f>INDEX('Medicaid CHIP Income Stand 2022'!$B$4:$B$54,MATCH(AP$1,'Medicaid CHIP Income Stand 2022'!$A$4:$A$54,0))</f>
        <v>2.08</v>
      </c>
      <c r="AQ2" s="9">
        <f>INDEX('Medicaid CHIP Income Stand 2022'!$B$4:$B$54,MATCH(AQ$1,'Medicaid CHIP Income Stand 2022'!$A$4:$A$54,0))</f>
        <v>1.82</v>
      </c>
      <c r="AR2" s="9">
        <f>INDEX('Medicaid CHIP Income Stand 2022'!$B$4:$B$54,MATCH(AR$1,'Medicaid CHIP Income Stand 2022'!$A$4:$A$54,0))</f>
        <v>1.95</v>
      </c>
      <c r="AS2" s="9">
        <f>INDEX('Medicaid CHIP Income Stand 2022'!$B$4:$B$54,MATCH(AS$1,'Medicaid CHIP Income Stand 2022'!$A$4:$A$54,0))</f>
        <v>1.98</v>
      </c>
      <c r="AT2" s="9">
        <f>INDEX('Medicaid CHIP Income Stand 2022'!$B$4:$B$54,MATCH(AT$1,'Medicaid CHIP Income Stand 2022'!$A$4:$A$54,0))</f>
        <v>1.39</v>
      </c>
      <c r="AU2" s="9">
        <f>INDEX('Medicaid CHIP Income Stand 2022'!$B$4:$B$54,MATCH(AU$1,'Medicaid CHIP Income Stand 2022'!$A$4:$A$54,0))</f>
        <v>3.12</v>
      </c>
      <c r="AV2" s="9">
        <f>INDEX('Medicaid CHIP Income Stand 2022'!$B$4:$B$54,MATCH(AV$1,'Medicaid CHIP Income Stand 2022'!$A$4:$A$54,0))</f>
        <v>1.43</v>
      </c>
      <c r="AW2" s="9">
        <f>INDEX('Medicaid CHIP Income Stand 2022'!$B$4:$B$54,MATCH(AW$1,'Medicaid CHIP Income Stand 2022'!$A$4:$A$54,0))</f>
        <v>2.1</v>
      </c>
      <c r="AX2" s="9">
        <f>INDEX('Medicaid CHIP Income Stand 2022'!$B$4:$B$54,MATCH(AX$1,'Medicaid CHIP Income Stand 2022'!$A$4:$A$54,0))</f>
        <v>1.58</v>
      </c>
      <c r="AY2" s="9">
        <f>INDEX('Medicaid CHIP Income Stand 2022'!$B$4:$B$54,MATCH(AY$1,'Medicaid CHIP Income Stand 2022'!$A$4:$A$54,0))</f>
        <v>3.01</v>
      </c>
      <c r="AZ2" s="9">
        <f>INDEX('Medicaid CHIP Income Stand 2022'!$B$4:$B$54,MATCH(AZ$1,'Medicaid CHIP Income Stand 2022'!$A$4:$A$54,0))</f>
        <v>2</v>
      </c>
    </row>
    <row r="3" spans="1:52" x14ac:dyDescent="0.35">
      <c r="A3" s="8" t="str">
        <f>'Medicaid CHIP Income Stand 2022'!C3</f>
        <v>Children Medicaid Ages 1-5</v>
      </c>
      <c r="B3" s="9">
        <f>INDEX('Medicaid CHIP Income Stand 2022'!$C$4:$C$54,MATCH(B$1,'Medicaid CHIP Income Stand 2022'!$A$4:$A$54,0))</f>
        <v>1.41</v>
      </c>
      <c r="C3" s="9">
        <f>INDEX('Medicaid CHIP Income Stand 2022'!$C$4:$C$54,MATCH(C$1,'Medicaid CHIP Income Stand 2022'!$A$4:$A$54,0))</f>
        <v>2.0299999999999998</v>
      </c>
      <c r="D3" s="9">
        <f>INDEX('Medicaid CHIP Income Stand 2022'!$C$4:$C$54,MATCH(D$1,'Medicaid CHIP Income Stand 2022'!$A$4:$A$54,0))</f>
        <v>1.41</v>
      </c>
      <c r="E3" s="9">
        <f>INDEX('Medicaid CHIP Income Stand 2022'!$C$4:$C$54,MATCH(E$1,'Medicaid CHIP Income Stand 2022'!$A$4:$A$54,0))</f>
        <v>1.42</v>
      </c>
      <c r="F3" s="9">
        <f>INDEX('Medicaid CHIP Income Stand 2022'!$C$4:$C$54,MATCH(F$1,'Medicaid CHIP Income Stand 2022'!$A$4:$A$54,0))</f>
        <v>2.61</v>
      </c>
      <c r="G3" s="9">
        <f>INDEX('Medicaid CHIP Income Stand 2022'!$C$4:$C$54,MATCH(G$1,'Medicaid CHIP Income Stand 2022'!$A$4:$A$54,0))</f>
        <v>1.42</v>
      </c>
      <c r="H3" s="9">
        <f>INDEX('Medicaid CHIP Income Stand 2022'!$C$4:$C$54,MATCH(H$1,'Medicaid CHIP Income Stand 2022'!$A$4:$A$54,0))</f>
        <v>1.96</v>
      </c>
      <c r="I3" s="9">
        <f>INDEX('Medicaid CHIP Income Stand 2022'!$C$4:$C$54,MATCH(I$1,'Medicaid CHIP Income Stand 2022'!$A$4:$A$54,0))</f>
        <v>1.42</v>
      </c>
      <c r="J3" s="9">
        <f>INDEX('Medicaid CHIP Income Stand 2022'!$C$4:$C$54,MATCH(J$1,'Medicaid CHIP Income Stand 2022'!$A$4:$A$54,0))</f>
        <v>3.19</v>
      </c>
      <c r="K3" s="9">
        <f>INDEX('Medicaid CHIP Income Stand 2022'!$C$4:$C$54,MATCH(K$1,'Medicaid CHIP Income Stand 2022'!$A$4:$A$54,0))</f>
        <v>1.4</v>
      </c>
      <c r="L3" s="9">
        <f>INDEX('Medicaid CHIP Income Stand 2022'!$C$4:$C$54,MATCH(L$1,'Medicaid CHIP Income Stand 2022'!$A$4:$A$54,0))</f>
        <v>1.49</v>
      </c>
      <c r="M3" s="9">
        <f>INDEX('Medicaid CHIP Income Stand 2022'!$C$4:$C$54,MATCH(M$1,'Medicaid CHIP Income Stand 2022'!$A$4:$A$54,0))</f>
        <v>3.08</v>
      </c>
      <c r="N3" s="9">
        <f>INDEX('Medicaid CHIP Income Stand 2022'!$C$4:$C$54,MATCH(N$1,'Medicaid CHIP Income Stand 2022'!$A$4:$A$54,0))</f>
        <v>1.42</v>
      </c>
      <c r="O3" s="9">
        <f>INDEX('Medicaid CHIP Income Stand 2022'!$C$4:$C$54,MATCH(O$1,'Medicaid CHIP Income Stand 2022'!$A$4:$A$54,0))</f>
        <v>1.42</v>
      </c>
      <c r="P3" s="9">
        <f>INDEX('Medicaid CHIP Income Stand 2022'!$C$4:$C$54,MATCH(P$1,'Medicaid CHIP Income Stand 2022'!$A$4:$A$54,0))</f>
        <v>1.58</v>
      </c>
      <c r="Q3" s="9">
        <f>INDEX('Medicaid CHIP Income Stand 2022'!$C$4:$C$54,MATCH(Q$1,'Medicaid CHIP Income Stand 2022'!$A$4:$A$54,0))</f>
        <v>1.67</v>
      </c>
      <c r="R3" s="9">
        <f>INDEX('Medicaid CHIP Income Stand 2022'!$C$4:$C$54,MATCH(R$1,'Medicaid CHIP Income Stand 2022'!$A$4:$A$54,0))</f>
        <v>1.49</v>
      </c>
      <c r="S3" s="9">
        <f>INDEX('Medicaid CHIP Income Stand 2022'!$C$4:$C$54,MATCH(S$1,'Medicaid CHIP Income Stand 2022'!$A$4:$A$54,0))</f>
        <v>1.59</v>
      </c>
      <c r="T3" s="9">
        <f>INDEX('Medicaid CHIP Income Stand 2022'!$C$4:$C$54,MATCH(T$1,'Medicaid CHIP Income Stand 2022'!$A$4:$A$54,0))</f>
        <v>2.12</v>
      </c>
      <c r="U3" s="9">
        <f>INDEX('Medicaid CHIP Income Stand 2022'!$C$4:$C$54,MATCH(U$1,'Medicaid CHIP Income Stand 2022'!$A$4:$A$54,0))</f>
        <v>1.57</v>
      </c>
      <c r="V3" s="9">
        <f>INDEX('Medicaid CHIP Income Stand 2022'!$C$4:$C$54,MATCH(V$1,'Medicaid CHIP Income Stand 2022'!$A$4:$A$54,0))</f>
        <v>3.17</v>
      </c>
      <c r="W3" s="9">
        <f>INDEX('Medicaid CHIP Income Stand 2022'!$C$4:$C$54,MATCH(W$1,'Medicaid CHIP Income Stand 2022'!$A$4:$A$54,0))</f>
        <v>1.5</v>
      </c>
      <c r="X3" s="9">
        <f>INDEX('Medicaid CHIP Income Stand 2022'!$C$4:$C$54,MATCH(X$1,'Medicaid CHIP Income Stand 2022'!$A$4:$A$54,0))</f>
        <v>2.12</v>
      </c>
      <c r="Y3" s="9">
        <f>INDEX('Medicaid CHIP Income Stand 2022'!$C$4:$C$54,MATCH(Y$1,'Medicaid CHIP Income Stand 2022'!$A$4:$A$54,0))</f>
        <v>2.75</v>
      </c>
      <c r="Z3" s="9">
        <f>INDEX('Medicaid CHIP Income Stand 2022'!$C$4:$C$54,MATCH(Z$1,'Medicaid CHIP Income Stand 2022'!$A$4:$A$54,0))</f>
        <v>1.43</v>
      </c>
      <c r="AA3" s="9">
        <f>INDEX('Medicaid CHIP Income Stand 2022'!$C$4:$C$54,MATCH(AA$1,'Medicaid CHIP Income Stand 2022'!$A$4:$A$54,0))</f>
        <v>1.5</v>
      </c>
      <c r="AB3" s="9">
        <f>INDEX('Medicaid CHIP Income Stand 2022'!$C$4:$C$54,MATCH(AB$1,'Medicaid CHIP Income Stand 2022'!$A$4:$A$54,0))</f>
        <v>1.43</v>
      </c>
      <c r="AC3" s="9">
        <f>INDEX('Medicaid CHIP Income Stand 2022'!$C$4:$C$54,MATCH(AC$1,'Medicaid CHIP Income Stand 2022'!$A$4:$A$54,0))</f>
        <v>2.13</v>
      </c>
      <c r="AD3" s="9">
        <f>INDEX('Medicaid CHIP Income Stand 2022'!$C$4:$C$54,MATCH(AD$1,'Medicaid CHIP Income Stand 2022'!$A$4:$A$54,0))</f>
        <v>1.6</v>
      </c>
      <c r="AE3" s="9">
        <f>INDEX('Medicaid CHIP Income Stand 2022'!$C$4:$C$54,MATCH(AE$1,'Medicaid CHIP Income Stand 2022'!$A$4:$A$54,0))</f>
        <v>3.18</v>
      </c>
      <c r="AF3" s="9">
        <f>INDEX('Medicaid CHIP Income Stand 2022'!$C$4:$C$54,MATCH(AF$1,'Medicaid CHIP Income Stand 2022'!$A$4:$A$54,0))</f>
        <v>1.42</v>
      </c>
      <c r="AG3" s="9">
        <f>INDEX('Medicaid CHIP Income Stand 2022'!$C$4:$C$54,MATCH(AG$1,'Medicaid CHIP Income Stand 2022'!$A$4:$A$54,0))</f>
        <v>3</v>
      </c>
      <c r="AH3" s="9">
        <f>INDEX('Medicaid CHIP Income Stand 2022'!$C$4:$C$54,MATCH(AH$1,'Medicaid CHIP Income Stand 2022'!$A$4:$A$54,0))</f>
        <v>1.49</v>
      </c>
      <c r="AI3" s="9">
        <f>INDEX('Medicaid CHIP Income Stand 2022'!$C$4:$C$54,MATCH(AI$1,'Medicaid CHIP Income Stand 2022'!$A$4:$A$54,0))</f>
        <v>2.1</v>
      </c>
      <c r="AJ3" s="9">
        <f>INDEX('Medicaid CHIP Income Stand 2022'!$C$4:$C$54,MATCH(AJ$1,'Medicaid CHIP Income Stand 2022'!$A$4:$A$54,0))</f>
        <v>1.7</v>
      </c>
      <c r="AK3" s="9">
        <f>INDEX('Medicaid CHIP Income Stand 2022'!$C$4:$C$54,MATCH(AK$1,'Medicaid CHIP Income Stand 2022'!$A$4:$A$54,0))</f>
        <v>2.06</v>
      </c>
      <c r="AL3" s="9">
        <f>INDEX('Medicaid CHIP Income Stand 2022'!$C$4:$C$54,MATCH(AL$1,'Medicaid CHIP Income Stand 2022'!$A$4:$A$54,0))</f>
        <v>2.0499999999999998</v>
      </c>
      <c r="AM3" s="9">
        <f>INDEX('Medicaid CHIP Income Stand 2022'!$C$4:$C$54,MATCH(AM$1,'Medicaid CHIP Income Stand 2022'!$A$4:$A$54,0))</f>
        <v>1.33</v>
      </c>
      <c r="AN3" s="9">
        <f>INDEX('Medicaid CHIP Income Stand 2022'!$C$4:$C$54,MATCH(AN$1,'Medicaid CHIP Income Stand 2022'!$A$4:$A$54,0))</f>
        <v>1.57</v>
      </c>
      <c r="AO3" s="9">
        <f>INDEX('Medicaid CHIP Income Stand 2022'!$C$4:$C$54,MATCH(AO$1,'Medicaid CHIP Income Stand 2022'!$A$4:$A$54,0))</f>
        <v>2.61</v>
      </c>
      <c r="AP3" s="9">
        <f>INDEX('Medicaid CHIP Income Stand 2022'!$C$4:$C$54,MATCH(AP$1,'Medicaid CHIP Income Stand 2022'!$A$4:$A$54,0))</f>
        <v>2.08</v>
      </c>
      <c r="AQ3" s="9">
        <f>INDEX('Medicaid CHIP Income Stand 2022'!$C$4:$C$54,MATCH(AQ$1,'Medicaid CHIP Income Stand 2022'!$A$4:$A$54,0))</f>
        <v>1.82</v>
      </c>
      <c r="AR3" s="9">
        <f>INDEX('Medicaid CHIP Income Stand 2022'!$C$4:$C$54,MATCH(AR$1,'Medicaid CHIP Income Stand 2022'!$A$4:$A$54,0))</f>
        <v>1.42</v>
      </c>
      <c r="AS3" s="9">
        <f>INDEX('Medicaid CHIP Income Stand 2022'!$C$4:$C$54,MATCH(AS$1,'Medicaid CHIP Income Stand 2022'!$A$4:$A$54,0))</f>
        <v>1.44</v>
      </c>
      <c r="AT3" s="9">
        <f>INDEX('Medicaid CHIP Income Stand 2022'!$C$4:$C$54,MATCH(AT$1,'Medicaid CHIP Income Stand 2022'!$A$4:$A$54,0))</f>
        <v>1.39</v>
      </c>
      <c r="AU3" s="9">
        <f>INDEX('Medicaid CHIP Income Stand 2022'!$C$4:$C$54,MATCH(AU$1,'Medicaid CHIP Income Stand 2022'!$A$4:$A$54,0))</f>
        <v>3.12</v>
      </c>
      <c r="AV3" s="9">
        <f>INDEX('Medicaid CHIP Income Stand 2022'!$C$4:$C$54,MATCH(AV$1,'Medicaid CHIP Income Stand 2022'!$A$4:$A$54,0))</f>
        <v>1.43</v>
      </c>
      <c r="AW3" s="9">
        <f>INDEX('Medicaid CHIP Income Stand 2022'!$C$4:$C$54,MATCH(AW$1,'Medicaid CHIP Income Stand 2022'!$A$4:$A$54,0))</f>
        <v>2.1</v>
      </c>
      <c r="AX3" s="9">
        <f>INDEX('Medicaid CHIP Income Stand 2022'!$C$4:$C$54,MATCH(AX$1,'Medicaid CHIP Income Stand 2022'!$A$4:$A$54,0))</f>
        <v>1.41</v>
      </c>
      <c r="AY3" s="9">
        <f>INDEX('Medicaid CHIP Income Stand 2022'!$C$4:$C$54,MATCH(AY$1,'Medicaid CHIP Income Stand 2022'!$A$4:$A$54,0))</f>
        <v>1.86</v>
      </c>
      <c r="AZ3" s="9">
        <f>INDEX('Medicaid CHIP Income Stand 2022'!$C$4:$C$54,MATCH(AZ$1,'Medicaid CHIP Income Stand 2022'!$A$4:$A$54,0))</f>
        <v>2</v>
      </c>
    </row>
    <row r="4" spans="1:52" x14ac:dyDescent="0.35">
      <c r="A4" s="8" t="s">
        <v>137</v>
      </c>
      <c r="B4" s="9">
        <f>INDEX('Medicaid CHIP Income Stand 2022'!$C$4:$C$54,MATCH(B$1,'Medicaid CHIP Income Stand 2022'!$A$4:$A$54,0))</f>
        <v>1.41</v>
      </c>
      <c r="C4" s="9">
        <f>INDEX('Medicaid CHIP Income Stand 2022'!$C$4:$C$54,MATCH(C$1,'Medicaid CHIP Income Stand 2022'!$A$4:$A$54,0))</f>
        <v>2.0299999999999998</v>
      </c>
      <c r="D4" s="9">
        <f>INDEX('Medicaid CHIP Income Stand 2022'!$C$4:$C$54,MATCH(D$1,'Medicaid CHIP Income Stand 2022'!$A$4:$A$54,0))</f>
        <v>1.41</v>
      </c>
      <c r="E4" s="9">
        <f>INDEX('Medicaid CHIP Income Stand 2022'!$C$4:$C$54,MATCH(E$1,'Medicaid CHIP Income Stand 2022'!$A$4:$A$54,0))</f>
        <v>1.42</v>
      </c>
      <c r="F4" s="9">
        <f>INDEX('Medicaid CHIP Income Stand 2022'!$C$4:$C$54,MATCH(F$1,'Medicaid CHIP Income Stand 2022'!$A$4:$A$54,0))</f>
        <v>2.61</v>
      </c>
      <c r="G4" s="9">
        <f>INDEX('Medicaid CHIP Income Stand 2022'!$C$4:$C$54,MATCH(G$1,'Medicaid CHIP Income Stand 2022'!$A$4:$A$54,0))</f>
        <v>1.42</v>
      </c>
      <c r="H4" s="9">
        <f>INDEX('Medicaid CHIP Income Stand 2022'!$C$4:$C$54,MATCH(H$1,'Medicaid CHIP Income Stand 2022'!$A$4:$A$54,0))</f>
        <v>1.96</v>
      </c>
      <c r="I4" s="9">
        <f>INDEX('Medicaid CHIP Income Stand 2022'!$C$4:$C$54,MATCH(I$1,'Medicaid CHIP Income Stand 2022'!$A$4:$A$54,0))</f>
        <v>1.42</v>
      </c>
      <c r="J4" s="9">
        <f>INDEX('Medicaid CHIP Income Stand 2022'!$C$4:$C$54,MATCH(J$1,'Medicaid CHIP Income Stand 2022'!$A$4:$A$54,0))</f>
        <v>3.19</v>
      </c>
      <c r="K4" s="9">
        <f>INDEX('Medicaid CHIP Income Stand 2022'!$C$4:$C$54,MATCH(K$1,'Medicaid CHIP Income Stand 2022'!$A$4:$A$54,0))</f>
        <v>1.4</v>
      </c>
      <c r="L4" s="9">
        <f>INDEX('Medicaid CHIP Income Stand 2022'!$C$4:$C$54,MATCH(L$1,'Medicaid CHIP Income Stand 2022'!$A$4:$A$54,0))</f>
        <v>1.49</v>
      </c>
      <c r="M4" s="9">
        <f>INDEX('Medicaid CHIP Income Stand 2022'!$C$4:$C$54,MATCH(M$1,'Medicaid CHIP Income Stand 2022'!$A$4:$A$54,0))</f>
        <v>3.08</v>
      </c>
      <c r="N4" s="9">
        <f>INDEX('Medicaid CHIP Income Stand 2022'!$C$4:$C$54,MATCH(N$1,'Medicaid CHIP Income Stand 2022'!$A$4:$A$54,0))</f>
        <v>1.42</v>
      </c>
      <c r="O4" s="9">
        <f>INDEX('Medicaid CHIP Income Stand 2022'!$C$4:$C$54,MATCH(O$1,'Medicaid CHIP Income Stand 2022'!$A$4:$A$54,0))</f>
        <v>1.42</v>
      </c>
      <c r="P4" s="9">
        <f>INDEX('Medicaid CHIP Income Stand 2022'!$C$4:$C$54,MATCH(P$1,'Medicaid CHIP Income Stand 2022'!$A$4:$A$54,0))</f>
        <v>1.58</v>
      </c>
      <c r="Q4" s="9">
        <f>INDEX('Medicaid CHIP Income Stand 2022'!$C$4:$C$54,MATCH(Q$1,'Medicaid CHIP Income Stand 2022'!$A$4:$A$54,0))</f>
        <v>1.67</v>
      </c>
      <c r="R4" s="9">
        <f>INDEX('Medicaid CHIP Income Stand 2022'!$C$4:$C$54,MATCH(R$1,'Medicaid CHIP Income Stand 2022'!$A$4:$A$54,0))</f>
        <v>1.49</v>
      </c>
      <c r="S4" s="9">
        <f>INDEX('Medicaid CHIP Income Stand 2022'!$C$4:$C$54,MATCH(S$1,'Medicaid CHIP Income Stand 2022'!$A$4:$A$54,0))</f>
        <v>1.59</v>
      </c>
      <c r="T4" s="9">
        <f>INDEX('Medicaid CHIP Income Stand 2022'!$C$4:$C$54,MATCH(T$1,'Medicaid CHIP Income Stand 2022'!$A$4:$A$54,0))</f>
        <v>2.12</v>
      </c>
      <c r="U4" s="9">
        <f>INDEX('Medicaid CHIP Income Stand 2022'!$C$4:$C$54,MATCH(U$1,'Medicaid CHIP Income Stand 2022'!$A$4:$A$54,0))</f>
        <v>1.57</v>
      </c>
      <c r="V4" s="9">
        <f>INDEX('Medicaid CHIP Income Stand 2022'!$C$4:$C$54,MATCH(V$1,'Medicaid CHIP Income Stand 2022'!$A$4:$A$54,0))</f>
        <v>3.17</v>
      </c>
      <c r="W4" s="9">
        <f>INDEX('Medicaid CHIP Income Stand 2022'!$C$4:$C$54,MATCH(W$1,'Medicaid CHIP Income Stand 2022'!$A$4:$A$54,0))</f>
        <v>1.5</v>
      </c>
      <c r="X4" s="9">
        <f>INDEX('Medicaid CHIP Income Stand 2022'!$C$4:$C$54,MATCH(X$1,'Medicaid CHIP Income Stand 2022'!$A$4:$A$54,0))</f>
        <v>2.12</v>
      </c>
      <c r="Y4" s="9">
        <f>INDEX('Medicaid CHIP Income Stand 2022'!$C$4:$C$54,MATCH(Y$1,'Medicaid CHIP Income Stand 2022'!$A$4:$A$54,0))</f>
        <v>2.75</v>
      </c>
      <c r="Z4" s="9">
        <f>INDEX('Medicaid CHIP Income Stand 2022'!$C$4:$C$54,MATCH(Z$1,'Medicaid CHIP Income Stand 2022'!$A$4:$A$54,0))</f>
        <v>1.43</v>
      </c>
      <c r="AA4" s="9">
        <f>INDEX('Medicaid CHIP Income Stand 2022'!$C$4:$C$54,MATCH(AA$1,'Medicaid CHIP Income Stand 2022'!$A$4:$A$54,0))</f>
        <v>1.5</v>
      </c>
      <c r="AB4" s="9">
        <f>INDEX('Medicaid CHIP Income Stand 2022'!$C$4:$C$54,MATCH(AB$1,'Medicaid CHIP Income Stand 2022'!$A$4:$A$54,0))</f>
        <v>1.43</v>
      </c>
      <c r="AC4" s="9">
        <f>INDEX('Medicaid CHIP Income Stand 2022'!$C$4:$C$54,MATCH(AC$1,'Medicaid CHIP Income Stand 2022'!$A$4:$A$54,0))</f>
        <v>2.13</v>
      </c>
      <c r="AD4" s="9">
        <f>INDEX('Medicaid CHIP Income Stand 2022'!$C$4:$C$54,MATCH(AD$1,'Medicaid CHIP Income Stand 2022'!$A$4:$A$54,0))</f>
        <v>1.6</v>
      </c>
      <c r="AE4" s="9">
        <f>INDEX('Medicaid CHIP Income Stand 2022'!$C$4:$C$54,MATCH(AE$1,'Medicaid CHIP Income Stand 2022'!$A$4:$A$54,0))</f>
        <v>3.18</v>
      </c>
      <c r="AF4" s="9">
        <f>INDEX('Medicaid CHIP Income Stand 2022'!$C$4:$C$54,MATCH(AF$1,'Medicaid CHIP Income Stand 2022'!$A$4:$A$54,0))</f>
        <v>1.42</v>
      </c>
      <c r="AG4" s="9">
        <f>INDEX('Medicaid CHIP Income Stand 2022'!$C$4:$C$54,MATCH(AG$1,'Medicaid CHIP Income Stand 2022'!$A$4:$A$54,0))</f>
        <v>3</v>
      </c>
      <c r="AH4" s="9">
        <f>INDEX('Medicaid CHIP Income Stand 2022'!$C$4:$C$54,MATCH(AH$1,'Medicaid CHIP Income Stand 2022'!$A$4:$A$54,0))</f>
        <v>1.49</v>
      </c>
      <c r="AI4" s="9">
        <f>INDEX('Medicaid CHIP Income Stand 2022'!$C$4:$C$54,MATCH(AI$1,'Medicaid CHIP Income Stand 2022'!$A$4:$A$54,0))</f>
        <v>2.1</v>
      </c>
      <c r="AJ4" s="9">
        <f>INDEX('Medicaid CHIP Income Stand 2022'!$C$4:$C$54,MATCH(AJ$1,'Medicaid CHIP Income Stand 2022'!$A$4:$A$54,0))</f>
        <v>1.7</v>
      </c>
      <c r="AK4" s="9">
        <f>INDEX('Medicaid CHIP Income Stand 2022'!$C$4:$C$54,MATCH(AK$1,'Medicaid CHIP Income Stand 2022'!$A$4:$A$54,0))</f>
        <v>2.06</v>
      </c>
      <c r="AL4" s="9">
        <f>INDEX('Medicaid CHIP Income Stand 2022'!$C$4:$C$54,MATCH(AL$1,'Medicaid CHIP Income Stand 2022'!$A$4:$A$54,0))</f>
        <v>2.0499999999999998</v>
      </c>
      <c r="AM4" s="9">
        <f>INDEX('Medicaid CHIP Income Stand 2022'!$C$4:$C$54,MATCH(AM$1,'Medicaid CHIP Income Stand 2022'!$A$4:$A$54,0))</f>
        <v>1.33</v>
      </c>
      <c r="AN4" s="9">
        <f>INDEX('Medicaid CHIP Income Stand 2022'!$C$4:$C$54,MATCH(AN$1,'Medicaid CHIP Income Stand 2022'!$A$4:$A$54,0))</f>
        <v>1.57</v>
      </c>
      <c r="AO4" s="9">
        <f>INDEX('Medicaid CHIP Income Stand 2022'!$C$4:$C$54,MATCH(AO$1,'Medicaid CHIP Income Stand 2022'!$A$4:$A$54,0))</f>
        <v>2.61</v>
      </c>
      <c r="AP4" s="9">
        <f>INDEX('Medicaid CHIP Income Stand 2022'!$C$4:$C$54,MATCH(AP$1,'Medicaid CHIP Income Stand 2022'!$A$4:$A$54,0))</f>
        <v>2.08</v>
      </c>
      <c r="AQ4" s="9">
        <f>INDEX('Medicaid CHIP Income Stand 2022'!$C$4:$C$54,MATCH(AQ$1,'Medicaid CHIP Income Stand 2022'!$A$4:$A$54,0))</f>
        <v>1.82</v>
      </c>
      <c r="AR4" s="9">
        <f>INDEX('Medicaid CHIP Income Stand 2022'!$C$4:$C$54,MATCH(AR$1,'Medicaid CHIP Income Stand 2022'!$A$4:$A$54,0))</f>
        <v>1.42</v>
      </c>
      <c r="AS4" s="9">
        <f>INDEX('Medicaid CHIP Income Stand 2022'!$C$4:$C$54,MATCH(AS$1,'Medicaid CHIP Income Stand 2022'!$A$4:$A$54,0))</f>
        <v>1.44</v>
      </c>
      <c r="AT4" s="9">
        <f>INDEX('Medicaid CHIP Income Stand 2022'!$C$4:$C$54,MATCH(AT$1,'Medicaid CHIP Income Stand 2022'!$A$4:$A$54,0))</f>
        <v>1.39</v>
      </c>
      <c r="AU4" s="9">
        <f>INDEX('Medicaid CHIP Income Stand 2022'!$C$4:$C$54,MATCH(AU$1,'Medicaid CHIP Income Stand 2022'!$A$4:$A$54,0))</f>
        <v>3.12</v>
      </c>
      <c r="AV4" s="9">
        <f>INDEX('Medicaid CHIP Income Stand 2022'!$C$4:$C$54,MATCH(AV$1,'Medicaid CHIP Income Stand 2022'!$A$4:$A$54,0))</f>
        <v>1.43</v>
      </c>
      <c r="AW4" s="9">
        <f>INDEX('Medicaid CHIP Income Stand 2022'!$C$4:$C$54,MATCH(AW$1,'Medicaid CHIP Income Stand 2022'!$A$4:$A$54,0))</f>
        <v>2.1</v>
      </c>
      <c r="AX4" s="9">
        <f>INDEX('Medicaid CHIP Income Stand 2022'!$C$4:$C$54,MATCH(AX$1,'Medicaid CHIP Income Stand 2022'!$A$4:$A$54,0))</f>
        <v>1.41</v>
      </c>
      <c r="AY4" s="9">
        <f>INDEX('Medicaid CHIP Income Stand 2022'!$C$4:$C$54,MATCH(AY$1,'Medicaid CHIP Income Stand 2022'!$A$4:$A$54,0))</f>
        <v>1.86</v>
      </c>
      <c r="AZ4" s="9">
        <f>INDEX('Medicaid CHIP Income Stand 2022'!$C$4:$C$54,MATCH(AZ$1,'Medicaid CHIP Income Stand 2022'!$A$4:$A$54,0))</f>
        <v>2</v>
      </c>
    </row>
    <row r="5" spans="1:52" x14ac:dyDescent="0.35">
      <c r="A5" s="8" t="str">
        <f>'Medicaid CHIP Income Stand 2022'!D3</f>
        <v>Children Medicaid Ages 6-18</v>
      </c>
      <c r="B5" s="9">
        <f>INDEX('Medicaid CHIP Income Stand 2022'!$D$4:$D$54,MATCH(B$1,'Medicaid CHIP Income Stand 2022'!$A$4:$A$54,0))</f>
        <v>1.41</v>
      </c>
      <c r="C5" s="9">
        <f>INDEX('Medicaid CHIP Income Stand 2022'!$D$4:$D$54,MATCH(C$1,'Medicaid CHIP Income Stand 2022'!$A$4:$A$54,0))</f>
        <v>2.0299999999999998</v>
      </c>
      <c r="D5" s="9">
        <f>INDEX('Medicaid CHIP Income Stand 2022'!$D$4:$D$54,MATCH(D$1,'Medicaid CHIP Income Stand 2022'!$A$4:$A$54,0))</f>
        <v>1.33</v>
      </c>
      <c r="E5" s="9">
        <f>INDEX('Medicaid CHIP Income Stand 2022'!$D$4:$D$54,MATCH(E$1,'Medicaid CHIP Income Stand 2022'!$A$4:$A$54,0))</f>
        <v>1.42</v>
      </c>
      <c r="F5" s="9">
        <f>INDEX('Medicaid CHIP Income Stand 2022'!$D$4:$D$54,MATCH(F$1,'Medicaid CHIP Income Stand 2022'!$A$4:$A$54,0))</f>
        <v>2.61</v>
      </c>
      <c r="G5" s="9">
        <f>INDEX('Medicaid CHIP Income Stand 2022'!$D$4:$D$54,MATCH(G$1,'Medicaid CHIP Income Stand 2022'!$A$4:$A$54,0))</f>
        <v>1.42</v>
      </c>
      <c r="H5" s="9">
        <f>INDEX('Medicaid CHIP Income Stand 2022'!$D$4:$D$54,MATCH(H$1,'Medicaid CHIP Income Stand 2022'!$A$4:$A$54,0))</f>
        <v>1.96</v>
      </c>
      <c r="I5" s="9">
        <f>INDEX('Medicaid CHIP Income Stand 2022'!$D$4:$D$54,MATCH(I$1,'Medicaid CHIP Income Stand 2022'!$A$4:$A$54,0))</f>
        <v>1.33</v>
      </c>
      <c r="J5" s="9">
        <f>INDEX('Medicaid CHIP Income Stand 2022'!$D$4:$D$54,MATCH(J$1,'Medicaid CHIP Income Stand 2022'!$A$4:$A$54,0))</f>
        <v>3.19</v>
      </c>
      <c r="K5" s="9">
        <f>INDEX('Medicaid CHIP Income Stand 2022'!$D$4:$D$54,MATCH(K$1,'Medicaid CHIP Income Stand 2022'!$A$4:$A$54,0))</f>
        <v>1.33</v>
      </c>
      <c r="L5" s="9">
        <f>INDEX('Medicaid CHIP Income Stand 2022'!$D$4:$D$54,MATCH(L$1,'Medicaid CHIP Income Stand 2022'!$A$4:$A$54,0))</f>
        <v>1.33</v>
      </c>
      <c r="M5" s="9">
        <f>INDEX('Medicaid CHIP Income Stand 2022'!$D$4:$D$54,MATCH(M$1,'Medicaid CHIP Income Stand 2022'!$A$4:$A$54,0))</f>
        <v>3.08</v>
      </c>
      <c r="N5" s="9">
        <f>INDEX('Medicaid CHIP Income Stand 2022'!$D$4:$D$54,MATCH(N$1,'Medicaid CHIP Income Stand 2022'!$A$4:$A$54,0))</f>
        <v>1.33</v>
      </c>
      <c r="O5" s="9">
        <f>INDEX('Medicaid CHIP Income Stand 2022'!$D$4:$D$54,MATCH(O$1,'Medicaid CHIP Income Stand 2022'!$A$4:$A$54,0))</f>
        <v>1.42</v>
      </c>
      <c r="P5" s="9">
        <f>INDEX('Medicaid CHIP Income Stand 2022'!$D$4:$D$54,MATCH(P$1,'Medicaid CHIP Income Stand 2022'!$A$4:$A$54,0))</f>
        <v>1.58</v>
      </c>
      <c r="Q5" s="9">
        <f>INDEX('Medicaid CHIP Income Stand 2022'!$D$4:$D$54,MATCH(Q$1,'Medicaid CHIP Income Stand 2022'!$A$4:$A$54,0))</f>
        <v>1.67</v>
      </c>
      <c r="R5" s="9">
        <f>INDEX('Medicaid CHIP Income Stand 2022'!$D$4:$D$54,MATCH(R$1,'Medicaid CHIP Income Stand 2022'!$A$4:$A$54,0))</f>
        <v>1.33</v>
      </c>
      <c r="S5" s="9">
        <f>INDEX('Medicaid CHIP Income Stand 2022'!$D$4:$D$54,MATCH(S$1,'Medicaid CHIP Income Stand 2022'!$A$4:$A$54,0))</f>
        <v>1.59</v>
      </c>
      <c r="T5" s="9">
        <f>INDEX('Medicaid CHIP Income Stand 2022'!$D$4:$D$54,MATCH(T$1,'Medicaid CHIP Income Stand 2022'!$A$4:$A$54,0))</f>
        <v>2.12</v>
      </c>
      <c r="U5" s="9">
        <f>INDEX('Medicaid CHIP Income Stand 2022'!$D$4:$D$54,MATCH(U$1,'Medicaid CHIP Income Stand 2022'!$A$4:$A$54,0))</f>
        <v>1.57</v>
      </c>
      <c r="V5" s="9">
        <f>INDEX('Medicaid CHIP Income Stand 2022'!$D$4:$D$54,MATCH(V$1,'Medicaid CHIP Income Stand 2022'!$A$4:$A$54,0))</f>
        <v>3.17</v>
      </c>
      <c r="W5" s="9">
        <f>INDEX('Medicaid CHIP Income Stand 2022'!$D$4:$D$54,MATCH(W$1,'Medicaid CHIP Income Stand 2022'!$A$4:$A$54,0))</f>
        <v>1.5</v>
      </c>
      <c r="X5" s="9">
        <f>INDEX('Medicaid CHIP Income Stand 2022'!$D$4:$D$54,MATCH(X$1,'Medicaid CHIP Income Stand 2022'!$A$4:$A$54,0))</f>
        <v>2.12</v>
      </c>
      <c r="Y5" s="9">
        <f>INDEX('Medicaid CHIP Income Stand 2022'!$D$4:$D$54,MATCH(Y$1,'Medicaid CHIP Income Stand 2022'!$A$4:$A$54,0))</f>
        <v>2.75</v>
      </c>
      <c r="Z5" s="9">
        <f>INDEX('Medicaid CHIP Income Stand 2022'!$D$4:$D$54,MATCH(Z$1,'Medicaid CHIP Income Stand 2022'!$A$4:$A$54,0))</f>
        <v>1.33</v>
      </c>
      <c r="AA5" s="9">
        <f>INDEX('Medicaid CHIP Income Stand 2022'!$D$4:$D$54,MATCH(AA$1,'Medicaid CHIP Income Stand 2022'!$A$4:$A$54,0))</f>
        <v>1.5</v>
      </c>
      <c r="AB5" s="9">
        <f>INDEX('Medicaid CHIP Income Stand 2022'!$D$4:$D$54,MATCH(AB$1,'Medicaid CHIP Income Stand 2022'!$A$4:$A$54,0))</f>
        <v>1.43</v>
      </c>
      <c r="AC5" s="9">
        <f>INDEX('Medicaid CHIP Income Stand 2022'!$D$4:$D$54,MATCH(AC$1,'Medicaid CHIP Income Stand 2022'!$A$4:$A$54,0))</f>
        <v>2.13</v>
      </c>
      <c r="AD5" s="9">
        <f>INDEX('Medicaid CHIP Income Stand 2022'!$D$4:$D$54,MATCH(AD$1,'Medicaid CHIP Income Stand 2022'!$A$4:$A$54,0))</f>
        <v>1.33</v>
      </c>
      <c r="AE5" s="9">
        <f>INDEX('Medicaid CHIP Income Stand 2022'!$D$4:$D$54,MATCH(AE$1,'Medicaid CHIP Income Stand 2022'!$A$4:$A$54,0))</f>
        <v>3.18</v>
      </c>
      <c r="AF5" s="9">
        <f>INDEX('Medicaid CHIP Income Stand 2022'!$D$4:$D$54,MATCH(AF$1,'Medicaid CHIP Income Stand 2022'!$A$4:$A$54,0))</f>
        <v>1.42</v>
      </c>
      <c r="AG5" s="9">
        <f>INDEX('Medicaid CHIP Income Stand 2022'!$D$4:$D$54,MATCH(AG$1,'Medicaid CHIP Income Stand 2022'!$A$4:$A$54,0))</f>
        <v>2.4</v>
      </c>
      <c r="AH5" s="9">
        <f>INDEX('Medicaid CHIP Income Stand 2022'!$D$4:$D$54,MATCH(AH$1,'Medicaid CHIP Income Stand 2022'!$A$4:$A$54,0))</f>
        <v>1.49</v>
      </c>
      <c r="AI5" s="9">
        <f>INDEX('Medicaid CHIP Income Stand 2022'!$D$4:$D$54,MATCH(AI$1,'Medicaid CHIP Income Stand 2022'!$A$4:$A$54,0))</f>
        <v>1.33</v>
      </c>
      <c r="AJ5" s="9">
        <f>INDEX('Medicaid CHIP Income Stand 2022'!$D$4:$D$54,MATCH(AJ$1,'Medicaid CHIP Income Stand 2022'!$A$4:$A$54,0))</f>
        <v>1.7</v>
      </c>
      <c r="AK5" s="9">
        <f>INDEX('Medicaid CHIP Income Stand 2022'!$D$4:$D$54,MATCH(AK$1,'Medicaid CHIP Income Stand 2022'!$A$4:$A$54,0))</f>
        <v>2.06</v>
      </c>
      <c r="AL5" s="9">
        <f>INDEX('Medicaid CHIP Income Stand 2022'!$D$4:$D$54,MATCH(AL$1,'Medicaid CHIP Income Stand 2022'!$A$4:$A$54,0))</f>
        <v>2.0499999999999998</v>
      </c>
      <c r="AM5" s="9">
        <f>INDEX('Medicaid CHIP Income Stand 2022'!$D$4:$D$54,MATCH(AM$1,'Medicaid CHIP Income Stand 2022'!$A$4:$A$54,0))</f>
        <v>1.33</v>
      </c>
      <c r="AN5" s="9">
        <f>INDEX('Medicaid CHIP Income Stand 2022'!$D$4:$D$54,MATCH(AN$1,'Medicaid CHIP Income Stand 2022'!$A$4:$A$54,0))</f>
        <v>1.33</v>
      </c>
      <c r="AO5" s="9">
        <f>INDEX('Medicaid CHIP Income Stand 2022'!$D$4:$D$54,MATCH(AO$1,'Medicaid CHIP Income Stand 2022'!$A$4:$A$54,0))</f>
        <v>2.61</v>
      </c>
      <c r="AP5" s="9">
        <f>INDEX('Medicaid CHIP Income Stand 2022'!$D$4:$D$54,MATCH(AP$1,'Medicaid CHIP Income Stand 2022'!$A$4:$A$54,0))</f>
        <v>2.08</v>
      </c>
      <c r="AQ5" s="9">
        <f>INDEX('Medicaid CHIP Income Stand 2022'!$D$4:$D$54,MATCH(AQ$1,'Medicaid CHIP Income Stand 2022'!$A$4:$A$54,0))</f>
        <v>1.82</v>
      </c>
      <c r="AR5" s="9">
        <f>INDEX('Medicaid CHIP Income Stand 2022'!$D$4:$D$54,MATCH(AR$1,'Medicaid CHIP Income Stand 2022'!$A$4:$A$54,0))</f>
        <v>1.33</v>
      </c>
      <c r="AS5" s="9">
        <f>INDEX('Medicaid CHIP Income Stand 2022'!$D$4:$D$54,MATCH(AS$1,'Medicaid CHIP Income Stand 2022'!$A$4:$A$54,0))</f>
        <v>1.33</v>
      </c>
      <c r="AT5" s="9">
        <f>INDEX('Medicaid CHIP Income Stand 2022'!$D$4:$D$54,MATCH(AT$1,'Medicaid CHIP Income Stand 2022'!$A$4:$A$54,0))</f>
        <v>1.33</v>
      </c>
      <c r="AU5" s="9">
        <f>INDEX('Medicaid CHIP Income Stand 2022'!$D$4:$D$54,MATCH(AU$1,'Medicaid CHIP Income Stand 2022'!$A$4:$A$54,0))</f>
        <v>3.12</v>
      </c>
      <c r="AV5" s="9">
        <f>INDEX('Medicaid CHIP Income Stand 2022'!$D$4:$D$54,MATCH(AV$1,'Medicaid CHIP Income Stand 2022'!$A$4:$A$54,0))</f>
        <v>1.43</v>
      </c>
      <c r="AW5" s="9">
        <f>INDEX('Medicaid CHIP Income Stand 2022'!$D$4:$D$54,MATCH(AW$1,'Medicaid CHIP Income Stand 2022'!$A$4:$A$54,0))</f>
        <v>2.1</v>
      </c>
      <c r="AX5" s="9">
        <f>INDEX('Medicaid CHIP Income Stand 2022'!$D$4:$D$54,MATCH(AX$1,'Medicaid CHIP Income Stand 2022'!$A$4:$A$54,0))</f>
        <v>1.33</v>
      </c>
      <c r="AY5" s="9">
        <f>INDEX('Medicaid CHIP Income Stand 2022'!$D$4:$D$54,MATCH(AY$1,'Medicaid CHIP Income Stand 2022'!$A$4:$A$54,0))</f>
        <v>1.51</v>
      </c>
      <c r="AZ5" s="9">
        <f>INDEX('Medicaid CHIP Income Stand 2022'!$D$4:$D$54,MATCH(AZ$1,'Medicaid CHIP Income Stand 2022'!$A$4:$A$54,0))</f>
        <v>2</v>
      </c>
    </row>
    <row r="6" spans="1:52" hidden="1" x14ac:dyDescent="0.35">
      <c r="A6" s="8" t="str">
        <f>'Medicaid CHIP Income Stand 2022'!E3</f>
        <v>Children Separate CHIP</v>
      </c>
      <c r="B6" s="9">
        <f>INDEX('Medicaid CHIP Income Stand 2022'!$E$4:$E$54,MATCH(B$1,'Medicaid CHIP Income Stand 2022'!$A$4:$A$54,0))</f>
        <v>3.12</v>
      </c>
      <c r="C6" s="9" t="str">
        <f>INDEX('Medicaid CHIP Income Stand 2022'!$E$4:$E$54,MATCH(C$1,'Medicaid CHIP Income Stand 2022'!$A$4:$A$54,0))</f>
        <v>N/A</v>
      </c>
      <c r="D6" s="9">
        <f>INDEX('Medicaid CHIP Income Stand 2022'!$E$4:$E$54,MATCH(D$1,'Medicaid CHIP Income Stand 2022'!$A$4:$A$54,0))</f>
        <v>2</v>
      </c>
      <c r="E6" s="9">
        <f>INDEX('Medicaid CHIP Income Stand 2022'!$E$4:$E$54,MATCH(E$1,'Medicaid CHIP Income Stand 2022'!$A$4:$A$54,0))</f>
        <v>2.11</v>
      </c>
      <c r="F6" s="9">
        <f>INDEX('Medicaid CHIP Income Stand 2022'!$E$4:$E$54,MATCH(F$1,'Medicaid CHIP Income Stand 2022'!$A$4:$A$54,0))</f>
        <v>3.17</v>
      </c>
      <c r="G6" s="9">
        <f>INDEX('Medicaid CHIP Income Stand 2022'!$E$4:$E$54,MATCH(G$1,'Medicaid CHIP Income Stand 2022'!$A$4:$A$54,0))</f>
        <v>2.6</v>
      </c>
      <c r="H6" s="9">
        <f>INDEX('Medicaid CHIP Income Stand 2022'!$E$4:$E$54,MATCH(H$1,'Medicaid CHIP Income Stand 2022'!$A$4:$A$54,0))</f>
        <v>3.18</v>
      </c>
      <c r="I6" s="9">
        <f>INDEX('Medicaid CHIP Income Stand 2022'!$E$4:$E$54,MATCH(I$1,'Medicaid CHIP Income Stand 2022'!$A$4:$A$54,0))</f>
        <v>2.12</v>
      </c>
      <c r="J6" s="9" t="str">
        <f>INDEX('Medicaid CHIP Income Stand 2022'!$E$4:$E$54,MATCH(J$1,'Medicaid CHIP Income Stand 2022'!$A$4:$A$54,0))</f>
        <v>N/A</v>
      </c>
      <c r="K6" s="9">
        <f>INDEX('Medicaid CHIP Income Stand 2022'!$E$4:$E$54,MATCH(K$1,'Medicaid CHIP Income Stand 2022'!$A$4:$A$54,0))</f>
        <v>2.1</v>
      </c>
      <c r="L6" s="9">
        <f>INDEX('Medicaid CHIP Income Stand 2022'!$E$4:$E$54,MATCH(L$1,'Medicaid CHIP Income Stand 2022'!$A$4:$A$54,0))</f>
        <v>2.4700000000000002</v>
      </c>
      <c r="M6" s="9" t="str">
        <f>INDEX('Medicaid CHIP Income Stand 2022'!$E$4:$E$54,MATCH(M$1,'Medicaid CHIP Income Stand 2022'!$A$4:$A$54,0))</f>
        <v>N/A</v>
      </c>
      <c r="N6" s="9">
        <f>INDEX('Medicaid CHIP Income Stand 2022'!$E$4:$E$54,MATCH(N$1,'Medicaid CHIP Income Stand 2022'!$A$4:$A$54,0))</f>
        <v>1.85</v>
      </c>
      <c r="O6" s="9">
        <f>INDEX('Medicaid CHIP Income Stand 2022'!$E$4:$E$54,MATCH(O$1,'Medicaid CHIP Income Stand 2022'!$A$4:$A$54,0))</f>
        <v>3.13</v>
      </c>
      <c r="P6" s="9">
        <f>INDEX('Medicaid CHIP Income Stand 2022'!$E$4:$E$54,MATCH(P$1,'Medicaid CHIP Income Stand 2022'!$A$4:$A$54,0))</f>
        <v>2.5</v>
      </c>
      <c r="Q6" s="9">
        <f>INDEX('Medicaid CHIP Income Stand 2022'!$E$4:$E$54,MATCH(Q$1,'Medicaid CHIP Income Stand 2022'!$A$4:$A$54,0))</f>
        <v>3.02</v>
      </c>
      <c r="R6" s="9">
        <f>INDEX('Medicaid CHIP Income Stand 2022'!$E$4:$E$54,MATCH(R$1,'Medicaid CHIP Income Stand 2022'!$A$4:$A$54,0))</f>
        <v>2.25</v>
      </c>
      <c r="S6" s="9">
        <f>INDEX('Medicaid CHIP Income Stand 2022'!$E$4:$E$54,MATCH(S$1,'Medicaid CHIP Income Stand 2022'!$A$4:$A$54,0))</f>
        <v>2.13</v>
      </c>
      <c r="T6" s="9">
        <f>INDEX('Medicaid CHIP Income Stand 2022'!$E$4:$E$54,MATCH(T$1,'Medicaid CHIP Income Stand 2022'!$A$4:$A$54,0))</f>
        <v>2.5</v>
      </c>
      <c r="U6" s="9">
        <f>INDEX('Medicaid CHIP Income Stand 2022'!$E$4:$E$54,MATCH(U$1,'Medicaid CHIP Income Stand 2022'!$A$4:$A$54,0))</f>
        <v>2.08</v>
      </c>
      <c r="V6" s="9" t="str">
        <f>INDEX('Medicaid CHIP Income Stand 2022'!$E$4:$E$54,MATCH(V$1,'Medicaid CHIP Income Stand 2022'!$A$4:$A$54,0))</f>
        <v>N/A</v>
      </c>
      <c r="W6" s="9">
        <f>INDEX('Medicaid CHIP Income Stand 2022'!$E$4:$E$54,MATCH(W$1,'Medicaid CHIP Income Stand 2022'!$A$4:$A$54,0))</f>
        <v>3</v>
      </c>
      <c r="X6" s="9" t="str">
        <f>INDEX('Medicaid CHIP Income Stand 2022'!$E$4:$E$54,MATCH(X$1,'Medicaid CHIP Income Stand 2022'!$A$4:$A$54,0))</f>
        <v>N/A</v>
      </c>
      <c r="Y6" s="9" t="str">
        <f>INDEX('Medicaid CHIP Income Stand 2022'!$E$4:$E$54,MATCH(Y$1,'Medicaid CHIP Income Stand 2022'!$A$4:$A$54,0))</f>
        <v>N/A</v>
      </c>
      <c r="Z6" s="9">
        <f>INDEX('Medicaid CHIP Income Stand 2022'!$E$4:$E$54,MATCH(Z$1,'Medicaid CHIP Income Stand 2022'!$A$4:$A$54,0))</f>
        <v>2.09</v>
      </c>
      <c r="AA6" s="9">
        <f>INDEX('Medicaid CHIP Income Stand 2022'!$E$4:$E$54,MATCH(AA$1,'Medicaid CHIP Income Stand 2022'!$A$4:$A$54,0))</f>
        <v>3</v>
      </c>
      <c r="AB6" s="9">
        <f>INDEX('Medicaid CHIP Income Stand 2022'!$E$4:$E$54,MATCH(AB$1,'Medicaid CHIP Income Stand 2022'!$A$4:$A$54,0))</f>
        <v>2.61</v>
      </c>
      <c r="AC6" s="9" t="str">
        <f>INDEX('Medicaid CHIP Income Stand 2022'!$E$4:$E$54,MATCH(AC$1,'Medicaid CHIP Income Stand 2022'!$A$4:$A$54,0))</f>
        <v>N/A</v>
      </c>
      <c r="AD6" s="9">
        <f>INDEX('Medicaid CHIP Income Stand 2022'!$E$4:$E$54,MATCH(AD$1,'Medicaid CHIP Income Stand 2022'!$A$4:$A$54,0))</f>
        <v>2</v>
      </c>
      <c r="AE6" s="9" t="str">
        <f>INDEX('Medicaid CHIP Income Stand 2022'!$E$4:$E$54,MATCH(AE$1,'Medicaid CHIP Income Stand 2022'!$A$4:$A$54,0))</f>
        <v>N/A</v>
      </c>
      <c r="AF6" s="9">
        <f>INDEX('Medicaid CHIP Income Stand 2022'!$E$4:$E$54,MATCH(AF$1,'Medicaid CHIP Income Stand 2022'!$A$4:$A$54,0))</f>
        <v>3.5</v>
      </c>
      <c r="AG6" s="9" t="str">
        <f>INDEX('Medicaid CHIP Income Stand 2022'!$E$4:$E$54,MATCH(AG$1,'Medicaid CHIP Income Stand 2022'!$A$4:$A$54,0))</f>
        <v>N/A</v>
      </c>
      <c r="AH6" s="9">
        <f>INDEX('Medicaid CHIP Income Stand 2022'!$E$4:$E$54,MATCH(AH$1,'Medicaid CHIP Income Stand 2022'!$A$4:$A$54,0))</f>
        <v>4</v>
      </c>
      <c r="AI6" s="9">
        <f>INDEX('Medicaid CHIP Income Stand 2022'!$E$4:$E$54,MATCH(AI$1,'Medicaid CHIP Income Stand 2022'!$A$4:$A$54,0))</f>
        <v>2.11</v>
      </c>
      <c r="AJ6" s="9" t="str">
        <f>INDEX('Medicaid CHIP Income Stand 2022'!$E$4:$E$54,MATCH(AJ$1,'Medicaid CHIP Income Stand 2022'!$A$4:$A$54,0))</f>
        <v>N/A</v>
      </c>
      <c r="AK6" s="9" t="str">
        <f>INDEX('Medicaid CHIP Income Stand 2022'!$E$4:$E$54,MATCH(AK$1,'Medicaid CHIP Income Stand 2022'!$A$4:$A$54,0))</f>
        <v>N/A</v>
      </c>
      <c r="AL6" s="9" t="str">
        <f>INDEX('Medicaid CHIP Income Stand 2022'!$E$4:$E$54,MATCH(AL$1,'Medicaid CHIP Income Stand 2022'!$A$4:$A$54,0))</f>
        <v>N/A</v>
      </c>
      <c r="AM6" s="9">
        <f>INDEX('Medicaid CHIP Income Stand 2022'!$E$4:$E$54,MATCH(AM$1,'Medicaid CHIP Income Stand 2022'!$A$4:$A$54,0))</f>
        <v>3</v>
      </c>
      <c r="AN6" s="9">
        <f>INDEX('Medicaid CHIP Income Stand 2022'!$E$4:$E$54,MATCH(AN$1,'Medicaid CHIP Income Stand 2022'!$A$4:$A$54,0))</f>
        <v>3.14</v>
      </c>
      <c r="AO6" s="9" t="str">
        <f>INDEX('Medicaid CHIP Income Stand 2022'!$E$4:$E$54,MATCH(AO$1,'Medicaid CHIP Income Stand 2022'!$A$4:$A$54,0))</f>
        <v>N/A</v>
      </c>
      <c r="AP6" s="9" t="str">
        <f>INDEX('Medicaid CHIP Income Stand 2022'!$E$4:$E$54,MATCH(AP$1,'Medicaid CHIP Income Stand 2022'!$A$4:$A$54,0))</f>
        <v>N/A</v>
      </c>
      <c r="AQ6" s="9">
        <f>INDEX('Medicaid CHIP Income Stand 2022'!$E$4:$E$54,MATCH(AQ$1,'Medicaid CHIP Income Stand 2022'!$A$4:$A$54,0))</f>
        <v>2.04</v>
      </c>
      <c r="AR6" s="9">
        <f>INDEX('Medicaid CHIP Income Stand 2022'!$E$4:$E$54,MATCH(AR$1,'Medicaid CHIP Income Stand 2022'!$A$4:$A$54,0))</f>
        <v>2.5</v>
      </c>
      <c r="AS6" s="9">
        <f>INDEX('Medicaid CHIP Income Stand 2022'!$E$4:$E$54,MATCH(AS$1,'Medicaid CHIP Income Stand 2022'!$A$4:$A$54,0))</f>
        <v>2.0099999999999998</v>
      </c>
      <c r="AT6" s="9">
        <f>INDEX('Medicaid CHIP Income Stand 2022'!$E$4:$E$54,MATCH(AT$1,'Medicaid CHIP Income Stand 2022'!$A$4:$A$54,0))</f>
        <v>2</v>
      </c>
      <c r="AU6" s="9" t="str">
        <f>INDEX('Medicaid CHIP Income Stand 2022'!$E$4:$E$54,MATCH(AU$1,'Medicaid CHIP Income Stand 2022'!$A$4:$A$54,0))</f>
        <v>N/A</v>
      </c>
      <c r="AV6" s="9">
        <f>INDEX('Medicaid CHIP Income Stand 2022'!$E$4:$E$54,MATCH(AV$1,'Medicaid CHIP Income Stand 2022'!$A$4:$A$54,0))</f>
        <v>2</v>
      </c>
      <c r="AW6" s="9">
        <f>INDEX('Medicaid CHIP Income Stand 2022'!$E$4:$E$54,MATCH(AW$1,'Medicaid CHIP Income Stand 2022'!$A$4:$A$54,0))</f>
        <v>3.12</v>
      </c>
      <c r="AX6" s="9">
        <f>INDEX('Medicaid CHIP Income Stand 2022'!$E$4:$E$54,MATCH(AX$1,'Medicaid CHIP Income Stand 2022'!$A$4:$A$54,0))</f>
        <v>3</v>
      </c>
      <c r="AY6" s="9">
        <f>INDEX('Medicaid CHIP Income Stand 2022'!$E$4:$E$54,MATCH(AY$1,'Medicaid CHIP Income Stand 2022'!$A$4:$A$54,0))</f>
        <v>3.01</v>
      </c>
      <c r="AZ6" s="9" t="str">
        <f>INDEX('Medicaid CHIP Income Stand 2022'!$E$4:$E$54,MATCH(AZ$1,'Medicaid CHIP Income Stand 2022'!$A$4:$A$54,0))</f>
        <v>N/A</v>
      </c>
    </row>
    <row r="7" spans="1:52" x14ac:dyDescent="0.35">
      <c r="A7" s="8" t="str">
        <f>'Medicaid CHIP Income Stand 2022'!F3</f>
        <v>Pregnant Women Medicaid</v>
      </c>
      <c r="B7" s="9">
        <f>INDEX('Medicaid CHIP Income Stand 2022'!$F$4:$F$54,MATCH(B$1,'Medicaid CHIP Income Stand 2022'!$A$4:$A$54,0))</f>
        <v>1.41</v>
      </c>
      <c r="C7" s="9">
        <f>INDEX('Medicaid CHIP Income Stand 2022'!$F$4:$F$54,MATCH(C$1,'Medicaid CHIP Income Stand 2022'!$A$4:$A$54,0))</f>
        <v>2</v>
      </c>
      <c r="D7" s="9">
        <f>INDEX('Medicaid CHIP Income Stand 2022'!$F$4:$F$54,MATCH(D$1,'Medicaid CHIP Income Stand 2022'!$A$4:$A$54,0))</f>
        <v>1.56</v>
      </c>
      <c r="E7" s="9">
        <f>INDEX('Medicaid CHIP Income Stand 2022'!$F$4:$F$54,MATCH(E$1,'Medicaid CHIP Income Stand 2022'!$A$4:$A$54,0))</f>
        <v>2.09</v>
      </c>
      <c r="F7" s="9">
        <f>INDEX('Medicaid CHIP Income Stand 2022'!$F$4:$F$54,MATCH(F$1,'Medicaid CHIP Income Stand 2022'!$A$4:$A$54,0))</f>
        <v>2.08</v>
      </c>
      <c r="G7" s="9">
        <f>INDEX('Medicaid CHIP Income Stand 2022'!$F$4:$F$54,MATCH(G$1,'Medicaid CHIP Income Stand 2022'!$A$4:$A$54,0))</f>
        <v>1.95</v>
      </c>
      <c r="H7" s="9">
        <f>INDEX('Medicaid CHIP Income Stand 2022'!$F$4:$F$54,MATCH(H$1,'Medicaid CHIP Income Stand 2022'!$A$4:$A$54,0))</f>
        <v>2.58</v>
      </c>
      <c r="I7" s="9">
        <f>INDEX('Medicaid CHIP Income Stand 2022'!$F$4:$F$54,MATCH(I$1,'Medicaid CHIP Income Stand 2022'!$A$4:$A$54,0))</f>
        <v>2.12</v>
      </c>
      <c r="J7" s="9">
        <f>INDEX('Medicaid CHIP Income Stand 2022'!$F$4:$F$54,MATCH(J$1,'Medicaid CHIP Income Stand 2022'!$A$4:$A$54,0))</f>
        <v>3.19</v>
      </c>
      <c r="K7" s="9">
        <f>INDEX('Medicaid CHIP Income Stand 2022'!$F$4:$F$54,MATCH(K$1,'Medicaid CHIP Income Stand 2022'!$A$4:$A$54,0))</f>
        <v>1.91</v>
      </c>
      <c r="L7" s="9">
        <f>INDEX('Medicaid CHIP Income Stand 2022'!$F$4:$F$54,MATCH(L$1,'Medicaid CHIP Income Stand 2022'!$A$4:$A$54,0))</f>
        <v>2.2000000000000002</v>
      </c>
      <c r="M7" s="9">
        <f>INDEX('Medicaid CHIP Income Stand 2022'!$F$4:$F$54,MATCH(M$1,'Medicaid CHIP Income Stand 2022'!$A$4:$A$54,0))</f>
        <v>1.91</v>
      </c>
      <c r="N7" s="9">
        <f>INDEX('Medicaid CHIP Income Stand 2022'!$F$4:$F$54,MATCH(N$1,'Medicaid CHIP Income Stand 2022'!$A$4:$A$54,0))</f>
        <v>1.33</v>
      </c>
      <c r="O7" s="9">
        <f>INDEX('Medicaid CHIP Income Stand 2022'!$F$4:$F$54,MATCH(O$1,'Medicaid CHIP Income Stand 2022'!$A$4:$A$54,0))</f>
        <v>2.08</v>
      </c>
      <c r="P7" s="9">
        <f>INDEX('Medicaid CHIP Income Stand 2022'!$F$4:$F$54,MATCH(P$1,'Medicaid CHIP Income Stand 2022'!$A$4:$A$54,0))</f>
        <v>2.08</v>
      </c>
      <c r="Q7" s="9">
        <f>INDEX('Medicaid CHIP Income Stand 2022'!$F$4:$F$54,MATCH(Q$1,'Medicaid CHIP Income Stand 2022'!$A$4:$A$54,0))</f>
        <v>3.75</v>
      </c>
      <c r="R7" s="9">
        <f>INDEX('Medicaid CHIP Income Stand 2022'!$F$4:$F$54,MATCH(R$1,'Medicaid CHIP Income Stand 2022'!$A$4:$A$54,0))</f>
        <v>1.66</v>
      </c>
      <c r="S7" s="9">
        <f>INDEX('Medicaid CHIP Income Stand 2022'!$F$4:$F$54,MATCH(S$1,'Medicaid CHIP Income Stand 2022'!$A$4:$A$54,0))</f>
        <v>1.95</v>
      </c>
      <c r="T7" s="9">
        <f>INDEX('Medicaid CHIP Income Stand 2022'!$F$4:$F$54,MATCH(T$1,'Medicaid CHIP Income Stand 2022'!$A$4:$A$54,0))</f>
        <v>1.33</v>
      </c>
      <c r="U7" s="9">
        <f>INDEX('Medicaid CHIP Income Stand 2022'!$F$4:$F$54,MATCH(U$1,'Medicaid CHIP Income Stand 2022'!$A$4:$A$54,0))</f>
        <v>2.09</v>
      </c>
      <c r="V7" s="9">
        <f>INDEX('Medicaid CHIP Income Stand 2022'!$F$4:$F$54,MATCH(V$1,'Medicaid CHIP Income Stand 2022'!$A$4:$A$54,0))</f>
        <v>2.59</v>
      </c>
      <c r="W7" s="9">
        <f>INDEX('Medicaid CHIP Income Stand 2022'!$F$4:$F$54,MATCH(W$1,'Medicaid CHIP Income Stand 2022'!$A$4:$A$54,0))</f>
        <v>2</v>
      </c>
      <c r="X7" s="9">
        <f>INDEX('Medicaid CHIP Income Stand 2022'!$F$4:$F$54,MATCH(X$1,'Medicaid CHIP Income Stand 2022'!$A$4:$A$54,0))</f>
        <v>1.95</v>
      </c>
      <c r="Y7" s="9">
        <f>INDEX('Medicaid CHIP Income Stand 2022'!$F$4:$F$54,MATCH(Y$1,'Medicaid CHIP Income Stand 2022'!$A$4:$A$54,0))</f>
        <v>2.78</v>
      </c>
      <c r="Z7" s="9">
        <f>INDEX('Medicaid CHIP Income Stand 2022'!$F$4:$F$54,MATCH(Z$1,'Medicaid CHIP Income Stand 2022'!$A$4:$A$54,0))</f>
        <v>1.94</v>
      </c>
      <c r="AA7" s="9">
        <f>INDEX('Medicaid CHIP Income Stand 2022'!$F$4:$F$54,MATCH(AA$1,'Medicaid CHIP Income Stand 2022'!$A$4:$A$54,0))</f>
        <v>1.96</v>
      </c>
      <c r="AB7" s="9">
        <f>INDEX('Medicaid CHIP Income Stand 2022'!$F$4:$F$54,MATCH(AB$1,'Medicaid CHIP Income Stand 2022'!$A$4:$A$54,0))</f>
        <v>1.57</v>
      </c>
      <c r="AC7" s="9">
        <f>INDEX('Medicaid CHIP Income Stand 2022'!$F$4:$F$54,MATCH(AC$1,'Medicaid CHIP Income Stand 2022'!$A$4:$A$54,0))</f>
        <v>1.94</v>
      </c>
      <c r="AD7" s="9">
        <f>INDEX('Medicaid CHIP Income Stand 2022'!$F$4:$F$54,MATCH(AD$1,'Medicaid CHIP Income Stand 2022'!$A$4:$A$54,0))</f>
        <v>1.6</v>
      </c>
      <c r="AE7" s="9">
        <f>INDEX('Medicaid CHIP Income Stand 2022'!$F$4:$F$54,MATCH(AE$1,'Medicaid CHIP Income Stand 2022'!$A$4:$A$54,0))</f>
        <v>1.96</v>
      </c>
      <c r="AF7" s="9">
        <f>INDEX('Medicaid CHIP Income Stand 2022'!$F$4:$F$54,MATCH(AF$1,'Medicaid CHIP Income Stand 2022'!$A$4:$A$54,0))</f>
        <v>1.94</v>
      </c>
      <c r="AG7" s="9">
        <f>INDEX('Medicaid CHIP Income Stand 2022'!$F$4:$F$54,MATCH(AG$1,'Medicaid CHIP Income Stand 2022'!$A$4:$A$54,0))</f>
        <v>2.5</v>
      </c>
      <c r="AH7" s="9">
        <f>INDEX('Medicaid CHIP Income Stand 2022'!$F$4:$F$54,MATCH(AH$1,'Medicaid CHIP Income Stand 2022'!$A$4:$A$54,0))</f>
        <v>2.1800000000000002</v>
      </c>
      <c r="AI7" s="9">
        <f>INDEX('Medicaid CHIP Income Stand 2022'!$F$4:$F$54,MATCH(AI$1,'Medicaid CHIP Income Stand 2022'!$A$4:$A$54,0))</f>
        <v>1.96</v>
      </c>
      <c r="AJ7" s="9">
        <f>INDEX('Medicaid CHIP Income Stand 2022'!$F$4:$F$54,MATCH(AJ$1,'Medicaid CHIP Income Stand 2022'!$A$4:$A$54,0))</f>
        <v>1.57</v>
      </c>
      <c r="AK7" s="9">
        <f>INDEX('Medicaid CHIP Income Stand 2022'!$F$4:$F$54,MATCH(AK$1,'Medicaid CHIP Income Stand 2022'!$A$4:$A$54,0))</f>
        <v>2</v>
      </c>
      <c r="AL7" s="9">
        <f>INDEX('Medicaid CHIP Income Stand 2022'!$F$4:$F$54,MATCH(AL$1,'Medicaid CHIP Income Stand 2022'!$A$4:$A$54,0))</f>
        <v>1.33</v>
      </c>
      <c r="AM7" s="9">
        <f>INDEX('Medicaid CHIP Income Stand 2022'!$F$4:$F$54,MATCH(AM$1,'Medicaid CHIP Income Stand 2022'!$A$4:$A$54,0))</f>
        <v>1.85</v>
      </c>
      <c r="AN7" s="9">
        <f>INDEX('Medicaid CHIP Income Stand 2022'!$F$4:$F$54,MATCH(AN$1,'Medicaid CHIP Income Stand 2022'!$A$4:$A$54,0))</f>
        <v>2.15</v>
      </c>
      <c r="AO7" s="9">
        <f>INDEX('Medicaid CHIP Income Stand 2022'!$F$4:$F$54,MATCH(AO$1,'Medicaid CHIP Income Stand 2022'!$A$4:$A$54,0))</f>
        <v>1.9</v>
      </c>
      <c r="AP7" s="9">
        <f>INDEX('Medicaid CHIP Income Stand 2022'!$F$4:$F$54,MATCH(AP$1,'Medicaid CHIP Income Stand 2022'!$A$4:$A$54,0))</f>
        <v>1.94</v>
      </c>
      <c r="AQ7" s="9">
        <f>INDEX('Medicaid CHIP Income Stand 2022'!$F$4:$F$54,MATCH(AQ$1,'Medicaid CHIP Income Stand 2022'!$A$4:$A$54,0))</f>
        <v>1.33</v>
      </c>
      <c r="AR7" s="9">
        <f>INDEX('Medicaid CHIP Income Stand 2022'!$F$4:$F$54,MATCH(AR$1,'Medicaid CHIP Income Stand 2022'!$A$4:$A$54,0))</f>
        <v>1.95</v>
      </c>
      <c r="AS7" s="9">
        <f>INDEX('Medicaid CHIP Income Stand 2022'!$F$4:$F$54,MATCH(AS$1,'Medicaid CHIP Income Stand 2022'!$A$4:$A$54,0))</f>
        <v>1.98</v>
      </c>
      <c r="AT7" s="9">
        <f>INDEX('Medicaid CHIP Income Stand 2022'!$F$4:$F$54,MATCH(AT$1,'Medicaid CHIP Income Stand 2022'!$A$4:$A$54,0))</f>
        <v>1.39</v>
      </c>
      <c r="AU7" s="9">
        <f>INDEX('Medicaid CHIP Income Stand 2022'!$F$4:$F$54,MATCH(AU$1,'Medicaid CHIP Income Stand 2022'!$A$4:$A$54,0))</f>
        <v>2.08</v>
      </c>
      <c r="AV7" s="9">
        <f>INDEX('Medicaid CHIP Income Stand 2022'!$F$4:$F$54,MATCH(AV$1,'Medicaid CHIP Income Stand 2022'!$A$4:$A$54,0))</f>
        <v>1.43</v>
      </c>
      <c r="AW7" s="9">
        <f>INDEX('Medicaid CHIP Income Stand 2022'!$F$4:$F$54,MATCH(AW$1,'Medicaid CHIP Income Stand 2022'!$A$4:$A$54,0))</f>
        <v>1.93</v>
      </c>
      <c r="AX7" s="9">
        <f>INDEX('Medicaid CHIP Income Stand 2022'!$F$4:$F$54,MATCH(AX$1,'Medicaid CHIP Income Stand 2022'!$A$4:$A$54,0))</f>
        <v>1.85</v>
      </c>
      <c r="AY7" s="9">
        <f>INDEX('Medicaid CHIP Income Stand 2022'!$F$4:$F$54,MATCH(AY$1,'Medicaid CHIP Income Stand 2022'!$A$4:$A$54,0))</f>
        <v>3.01</v>
      </c>
      <c r="AZ7" s="9">
        <f>INDEX('Medicaid CHIP Income Stand 2022'!$F$4:$F$54,MATCH(AZ$1,'Medicaid CHIP Income Stand 2022'!$A$4:$A$54,0))</f>
        <v>1.54</v>
      </c>
    </row>
    <row r="8" spans="1:52" ht="29" x14ac:dyDescent="0.35">
      <c r="A8" s="8" t="str">
        <f>'Medicaid CHIP Income Stand 2022'!H3</f>
        <v>Adults (Medicaid) Parent/ Caretaker Source</v>
      </c>
      <c r="B8" s="9">
        <f>INDEX('Medicaid CHIP Income Stand 2022'!$I$4:$I$54,MATCH(B$1,'Medicaid CHIP Income Stand 2022'!$A$4:$A$54,0))</f>
        <v>0.13</v>
      </c>
      <c r="C8" s="9">
        <f>INDEX('Medicaid CHIP Income Stand 2022'!$I$4:$I$54,MATCH(C$1,'Medicaid CHIP Income Stand 2022'!$A$4:$A$54,0))</f>
        <v>1.31</v>
      </c>
      <c r="D8" s="9">
        <f>INDEX('Medicaid CHIP Income Stand 2022'!$I$4:$I$54,MATCH(D$1,'Medicaid CHIP Income Stand 2022'!$A$4:$A$54,0))</f>
        <v>1.06</v>
      </c>
      <c r="E8" s="9">
        <f>INDEX('Medicaid CHIP Income Stand 2022'!$I$4:$I$54,MATCH(E$1,'Medicaid CHIP Income Stand 2022'!$A$4:$A$54,0))</f>
        <v>0.15</v>
      </c>
      <c r="F8" s="9">
        <f>INDEX('Medicaid CHIP Income Stand 2022'!$I$4:$I$54,MATCH(F$1,'Medicaid CHIP Income Stand 2022'!$A$4:$A$54,0))</f>
        <v>1.0900000000000001</v>
      </c>
      <c r="G8" s="9">
        <f>INDEX('Medicaid CHIP Income Stand 2022'!$I$4:$I$54,MATCH(G$1,'Medicaid CHIP Income Stand 2022'!$A$4:$A$54,0))</f>
        <v>0.68</v>
      </c>
      <c r="H8" s="9">
        <f>INDEX('Medicaid CHIP Income Stand 2022'!$I$4:$I$54,MATCH(H$1,'Medicaid CHIP Income Stand 2022'!$A$4:$A$54,0))</f>
        <v>1.55</v>
      </c>
      <c r="I8" s="9">
        <f>INDEX('Medicaid CHIP Income Stand 2022'!$I$4:$I$54,MATCH(I$1,'Medicaid CHIP Income Stand 2022'!$A$4:$A$54,0))</f>
        <v>0.87</v>
      </c>
      <c r="J8" s="9">
        <f>INDEX('Medicaid CHIP Income Stand 2022'!$I$4:$I$54,MATCH(J$1,'Medicaid CHIP Income Stand 2022'!$A$4:$A$54,0))</f>
        <v>2.16</v>
      </c>
      <c r="K8" s="9">
        <f>INDEX('Medicaid CHIP Income Stand 2022'!$I$4:$I$54,MATCH(K$1,'Medicaid CHIP Income Stand 2022'!$A$4:$A$54,0))</f>
        <v>0.27</v>
      </c>
      <c r="L8" s="9">
        <f>INDEX('Medicaid CHIP Income Stand 2022'!$I$4:$I$54,MATCH(L$1,'Medicaid CHIP Income Stand 2022'!$A$4:$A$54,0))</f>
        <v>0.31</v>
      </c>
      <c r="M8" s="9">
        <f>INDEX('Medicaid CHIP Income Stand 2022'!$I$4:$I$54,MATCH(M$1,'Medicaid CHIP Income Stand 2022'!$A$4:$A$54,0))</f>
        <v>1.05</v>
      </c>
      <c r="N8" s="9">
        <f>INDEX('Medicaid CHIP Income Stand 2022'!$I$4:$I$54,MATCH(N$1,'Medicaid CHIP Income Stand 2022'!$A$4:$A$54,0))</f>
        <v>0.22</v>
      </c>
      <c r="O8" s="9">
        <f>INDEX('Medicaid CHIP Income Stand 2022'!$I$4:$I$54,MATCH(O$1,'Medicaid CHIP Income Stand 2022'!$A$4:$A$54,0))</f>
        <v>1.33</v>
      </c>
      <c r="P8" s="9">
        <f>INDEX('Medicaid CHIP Income Stand 2022'!$I$4:$I$54,MATCH(P$1,'Medicaid CHIP Income Stand 2022'!$A$4:$A$54,0))</f>
        <v>0.17</v>
      </c>
      <c r="Q8" s="9">
        <f>INDEX('Medicaid CHIP Income Stand 2022'!$I$4:$I$54,MATCH(Q$1,'Medicaid CHIP Income Stand 2022'!$A$4:$A$54,0))</f>
        <v>0.49</v>
      </c>
      <c r="R8" s="9">
        <f>INDEX('Medicaid CHIP Income Stand 2022'!$I$4:$I$54,MATCH(R$1,'Medicaid CHIP Income Stand 2022'!$A$4:$A$54,0))</f>
        <v>0.33</v>
      </c>
      <c r="S8" s="9">
        <f>INDEX('Medicaid CHIP Income Stand 2022'!$I$4:$I$54,MATCH(S$1,'Medicaid CHIP Income Stand 2022'!$A$4:$A$54,0))</f>
        <v>0.22</v>
      </c>
      <c r="T8" s="9">
        <f>INDEX('Medicaid CHIP Income Stand 2022'!$I$4:$I$54,MATCH(T$1,'Medicaid CHIP Income Stand 2022'!$A$4:$A$54,0))</f>
        <v>0.19</v>
      </c>
      <c r="U8" s="9">
        <f>INDEX('Medicaid CHIP Income Stand 2022'!$I$4:$I$54,MATCH(U$1,'Medicaid CHIP Income Stand 2022'!$A$4:$A$54,0))</f>
        <v>1</v>
      </c>
      <c r="V8" s="9">
        <f>INDEX('Medicaid CHIP Income Stand 2022'!$I$4:$I$54,MATCH(V$1,'Medicaid CHIP Income Stand 2022'!$A$4:$A$54,0))</f>
        <v>1.23</v>
      </c>
      <c r="W8" s="9">
        <f>INDEX('Medicaid CHIP Income Stand 2022'!$I$4:$I$54,MATCH(W$1,'Medicaid CHIP Income Stand 2022'!$A$4:$A$54,0))</f>
        <v>1.33</v>
      </c>
      <c r="X8" s="9">
        <f>INDEX('Medicaid CHIP Income Stand 2022'!$I$4:$I$54,MATCH(X$1,'Medicaid CHIP Income Stand 2022'!$A$4:$A$54,0))</f>
        <v>0.54</v>
      </c>
      <c r="Y8" s="9">
        <f>INDEX('Medicaid CHIP Income Stand 2022'!$I$4:$I$54,MATCH(Y$1,'Medicaid CHIP Income Stand 2022'!$A$4:$A$54,0))</f>
        <v>1.33</v>
      </c>
      <c r="Z8" s="9">
        <f>INDEX('Medicaid CHIP Income Stand 2022'!$I$4:$I$54,MATCH(Z$1,'Medicaid CHIP Income Stand 2022'!$A$4:$A$54,0))</f>
        <v>0.21</v>
      </c>
      <c r="AA8" s="9">
        <f>INDEX('Medicaid CHIP Income Stand 2022'!$I$4:$I$54,MATCH(AA$1,'Medicaid CHIP Income Stand 2022'!$A$4:$A$54,0))</f>
        <v>0.17</v>
      </c>
      <c r="AB8" s="9">
        <f>INDEX('Medicaid CHIP Income Stand 2022'!$I$4:$I$54,MATCH(AB$1,'Medicaid CHIP Income Stand 2022'!$A$4:$A$54,0))</f>
        <v>0.24</v>
      </c>
      <c r="AC8" s="9">
        <f>INDEX('Medicaid CHIP Income Stand 2022'!$I$4:$I$54,MATCH(AC$1,'Medicaid CHIP Income Stand 2022'!$A$4:$A$54,0))</f>
        <v>0.57999999999999996</v>
      </c>
      <c r="AD8" s="9">
        <f>INDEX('Medicaid CHIP Income Stand 2022'!$I$4:$I$54,MATCH(AD$1,'Medicaid CHIP Income Stand 2022'!$A$4:$A$54,0))</f>
        <v>0.3</v>
      </c>
      <c r="AE8" s="9">
        <f>INDEX('Medicaid CHIP Income Stand 2022'!$I$4:$I$54,MATCH(AE$1,'Medicaid CHIP Income Stand 2022'!$A$4:$A$54,0))</f>
        <v>0.62</v>
      </c>
      <c r="AF8" s="9">
        <f>INDEX('Medicaid CHIP Income Stand 2022'!$I$4:$I$54,MATCH(AF$1,'Medicaid CHIP Income Stand 2022'!$A$4:$A$54,0))</f>
        <v>0.28999999999999998</v>
      </c>
      <c r="AG8" s="9">
        <f>INDEX('Medicaid CHIP Income Stand 2022'!$I$4:$I$54,MATCH(AG$1,'Medicaid CHIP Income Stand 2022'!$A$4:$A$54,0))</f>
        <v>0.42</v>
      </c>
      <c r="AH8" s="9">
        <f>INDEX('Medicaid CHIP Income Stand 2022'!$I$4:$I$54,MATCH(AH$1,'Medicaid CHIP Income Stand 2022'!$A$4:$A$54,0))</f>
        <v>1.33</v>
      </c>
      <c r="AI8" s="9">
        <f>INDEX('Medicaid CHIP Income Stand 2022'!$I$4:$I$54,MATCH(AI$1,'Medicaid CHIP Income Stand 2022'!$A$4:$A$54,0))</f>
        <v>0.4</v>
      </c>
      <c r="AJ8" s="9">
        <f>INDEX('Medicaid CHIP Income Stand 2022'!$I$4:$I$54,MATCH(AJ$1,'Medicaid CHIP Income Stand 2022'!$A$4:$A$54,0))</f>
        <v>0.48</v>
      </c>
      <c r="AK8" s="9">
        <f>INDEX('Medicaid CHIP Income Stand 2022'!$I$4:$I$54,MATCH(AK$1,'Medicaid CHIP Income Stand 2022'!$A$4:$A$54,0))</f>
        <v>0.9</v>
      </c>
      <c r="AL8" s="9">
        <f>INDEX('Medicaid CHIP Income Stand 2022'!$I$4:$I$54,MATCH(AL$1,'Medicaid CHIP Income Stand 2022'!$A$4:$A$54,0))</f>
        <v>0.38</v>
      </c>
      <c r="AM8" s="9">
        <f>INDEX('Medicaid CHIP Income Stand 2022'!$I$4:$I$54,MATCH(AM$1,'Medicaid CHIP Income Stand 2022'!$A$4:$A$54,0))</f>
        <v>0.37</v>
      </c>
      <c r="AN8" s="9">
        <f>INDEX('Medicaid CHIP Income Stand 2022'!$I$4:$I$54,MATCH(AN$1,'Medicaid CHIP Income Stand 2022'!$A$4:$A$54,0))</f>
        <v>0.33</v>
      </c>
      <c r="AO8" s="9">
        <f>INDEX('Medicaid CHIP Income Stand 2022'!$I$4:$I$54,MATCH(AO$1,'Medicaid CHIP Income Stand 2022'!$A$4:$A$54,0))</f>
        <v>1.1599999999999999</v>
      </c>
      <c r="AP8" s="9">
        <f>INDEX('Medicaid CHIP Income Stand 2022'!$I$4:$I$54,MATCH(AP$1,'Medicaid CHIP Income Stand 2022'!$A$4:$A$54,0))</f>
        <v>0.95</v>
      </c>
      <c r="AQ8" s="9">
        <f>INDEX('Medicaid CHIP Income Stand 2022'!$I$4:$I$54,MATCH(AQ$1,'Medicaid CHIP Income Stand 2022'!$A$4:$A$54,0))</f>
        <v>0.52</v>
      </c>
      <c r="AR8" s="9">
        <f>INDEX('Medicaid CHIP Income Stand 2022'!$I$4:$I$54,MATCH(AR$1,'Medicaid CHIP Income Stand 2022'!$A$4:$A$54,0))</f>
        <v>0.95</v>
      </c>
      <c r="AS8" s="9">
        <f>INDEX('Medicaid CHIP Income Stand 2022'!$I$4:$I$54,MATCH(AS$1,'Medicaid CHIP Income Stand 2022'!$A$4:$A$54,0))</f>
        <v>0.14000000000000001</v>
      </c>
      <c r="AT8" s="9">
        <f>INDEX('Medicaid CHIP Income Stand 2022'!$I$4:$I$54,MATCH(AT$1,'Medicaid CHIP Income Stand 2022'!$A$4:$A$54,0))</f>
        <v>0.41</v>
      </c>
      <c r="AU8" s="9">
        <f>INDEX('Medicaid CHIP Income Stand 2022'!$I$4:$I$54,MATCH(AU$1,'Medicaid CHIP Income Stand 2022'!$A$4:$A$54,0))</f>
        <v>0.49</v>
      </c>
      <c r="AV8" s="9">
        <f>INDEX('Medicaid CHIP Income Stand 2022'!$I$4:$I$54,MATCH(AV$1,'Medicaid CHIP Income Stand 2022'!$A$4:$A$54,0))</f>
        <v>0.49</v>
      </c>
      <c r="AW8" s="9">
        <f>INDEX('Medicaid CHIP Income Stand 2022'!$I$4:$I$54,MATCH(AW$1,'Medicaid CHIP Income Stand 2022'!$A$4:$A$54,0))</f>
        <v>0.37</v>
      </c>
      <c r="AX8" s="9">
        <f>INDEX('Medicaid CHIP Income Stand 2022'!$I$4:$I$54,MATCH(AX$1,'Medicaid CHIP Income Stand 2022'!$A$4:$A$54,0))</f>
        <v>0.18</v>
      </c>
      <c r="AY8" s="9">
        <f>INDEX('Medicaid CHIP Income Stand 2022'!$I$4:$I$54,MATCH(AY$1,'Medicaid CHIP Income Stand 2022'!$A$4:$A$54,0))</f>
        <v>0.95</v>
      </c>
      <c r="AZ8" s="9">
        <f>INDEX('Medicaid CHIP Income Stand 2022'!$I$4:$I$54,MATCH(AZ$1,'Medicaid CHIP Income Stand 2022'!$A$4:$A$54,0))</f>
        <v>0.51</v>
      </c>
    </row>
    <row r="9" spans="1:52" x14ac:dyDescent="0.35">
      <c r="A9" s="8" t="str">
        <f>'Medicaid CHIP Income Stand 2022'!J3</f>
        <v>Adults (Medicaid) Expansion to Adults</v>
      </c>
      <c r="B9" s="9" t="str">
        <f>INDEX('Medicaid CHIP Income Stand 2022'!$J$4:$J$54,MATCH(B$1,'Medicaid CHIP Income Stand 2022'!$A$4:$A$54,0))</f>
        <v>No</v>
      </c>
      <c r="C9" s="9">
        <f>INDEX('Medicaid CHIP Income Stand 2022'!$J$4:$J$54,MATCH(C$1,'Medicaid CHIP Income Stand 2022'!$A$4:$A$54,0))</f>
        <v>1.33</v>
      </c>
      <c r="D9" s="9">
        <f>INDEX('Medicaid CHIP Income Stand 2022'!$J$4:$J$54,MATCH(D$1,'Medicaid CHIP Income Stand 2022'!$A$4:$A$54,0))</f>
        <v>1.33</v>
      </c>
      <c r="E9" s="9">
        <f>INDEX('Medicaid CHIP Income Stand 2022'!$J$4:$J$54,MATCH(E$1,'Medicaid CHIP Income Stand 2022'!$A$4:$A$54,0))</f>
        <v>1.33</v>
      </c>
      <c r="F9" s="9">
        <f>INDEX('Medicaid CHIP Income Stand 2022'!$J$4:$J$54,MATCH(F$1,'Medicaid CHIP Income Stand 2022'!$A$4:$A$54,0))</f>
        <v>1.33</v>
      </c>
      <c r="G9" s="9">
        <f>INDEX('Medicaid CHIP Income Stand 2022'!$J$4:$J$54,MATCH(G$1,'Medicaid CHIP Income Stand 2022'!$A$4:$A$54,0))</f>
        <v>1.33</v>
      </c>
      <c r="H9" s="9">
        <f>INDEX('Medicaid CHIP Income Stand 2022'!$J$4:$J$54,MATCH(H$1,'Medicaid CHIP Income Stand 2022'!$A$4:$A$54,0))</f>
        <v>1.33</v>
      </c>
      <c r="I9" s="9">
        <f>INDEX('Medicaid CHIP Income Stand 2022'!$J$4:$J$54,MATCH(I$1,'Medicaid CHIP Income Stand 2022'!$A$4:$A$54,0))</f>
        <v>1.33</v>
      </c>
      <c r="J9" s="9">
        <f>INDEX('Medicaid CHIP Income Stand 2022'!$J$4:$J$54,MATCH(J$1,'Medicaid CHIP Income Stand 2022'!$A$4:$A$54,0))</f>
        <v>2.1</v>
      </c>
      <c r="K9" s="9" t="str">
        <f>INDEX('Medicaid CHIP Income Stand 2022'!$J$4:$J$54,MATCH(K$1,'Medicaid CHIP Income Stand 2022'!$A$4:$A$54,0))</f>
        <v>No</v>
      </c>
      <c r="L9" s="9" t="str">
        <f>INDEX('Medicaid CHIP Income Stand 2022'!$J$4:$J$54,MATCH(L$1,'Medicaid CHIP Income Stand 2022'!$A$4:$A$54,0))</f>
        <v>No</v>
      </c>
      <c r="M9" s="9">
        <f>INDEX('Medicaid CHIP Income Stand 2022'!$J$4:$J$54,MATCH(M$1,'Medicaid CHIP Income Stand 2022'!$A$4:$A$54,0))</f>
        <v>1.33</v>
      </c>
      <c r="N9" s="9">
        <f>INDEX('Medicaid CHIP Income Stand 2022'!$J$4:$J$54,MATCH(N$1,'Medicaid CHIP Income Stand 2022'!$A$4:$A$54,0))</f>
        <v>1.33</v>
      </c>
      <c r="O9" s="9">
        <f>INDEX('Medicaid CHIP Income Stand 2022'!$J$4:$J$54,MATCH(O$1,'Medicaid CHIP Income Stand 2022'!$A$4:$A$54,0))</f>
        <v>1.33</v>
      </c>
      <c r="P9" s="9">
        <f>INDEX('Medicaid CHIP Income Stand 2022'!$J$4:$J$54,MATCH(P$1,'Medicaid CHIP Income Stand 2022'!$A$4:$A$54,0))</f>
        <v>1.33</v>
      </c>
      <c r="Q9" s="9">
        <f>INDEX('Medicaid CHIP Income Stand 2022'!$J$4:$J$54,MATCH(Q$1,'Medicaid CHIP Income Stand 2022'!$A$4:$A$54,0))</f>
        <v>1.33</v>
      </c>
      <c r="R9" s="9" t="str">
        <f>INDEX('Medicaid CHIP Income Stand 2022'!$J$4:$J$54,MATCH(R$1,'Medicaid CHIP Income Stand 2022'!$A$4:$A$54,0))</f>
        <v>No</v>
      </c>
      <c r="S9" s="9">
        <f>INDEX('Medicaid CHIP Income Stand 2022'!$J$4:$J$54,MATCH(S$1,'Medicaid CHIP Income Stand 2022'!$A$4:$A$54,0))</f>
        <v>1.33</v>
      </c>
      <c r="T9" s="9">
        <f>INDEX('Medicaid CHIP Income Stand 2022'!$J$4:$J$54,MATCH(T$1,'Medicaid CHIP Income Stand 2022'!$A$4:$A$54,0))</f>
        <v>1.33</v>
      </c>
      <c r="U9" s="9">
        <f>INDEX('Medicaid CHIP Income Stand 2022'!$J$4:$J$54,MATCH(U$1,'Medicaid CHIP Income Stand 2022'!$A$4:$A$54,0))</f>
        <v>1.33</v>
      </c>
      <c r="V9" s="9">
        <f>INDEX('Medicaid CHIP Income Stand 2022'!$J$4:$J$54,MATCH(V$1,'Medicaid CHIP Income Stand 2022'!$A$4:$A$54,0))</f>
        <v>1.33</v>
      </c>
      <c r="W9" s="9">
        <f>INDEX('Medicaid CHIP Income Stand 2022'!$J$4:$J$54,MATCH(W$1,'Medicaid CHIP Income Stand 2022'!$A$4:$A$54,0))</f>
        <v>1.33</v>
      </c>
      <c r="X9" s="9">
        <f>INDEX('Medicaid CHIP Income Stand 2022'!$J$4:$J$54,MATCH(X$1,'Medicaid CHIP Income Stand 2022'!$A$4:$A$54,0))</f>
        <v>1.33</v>
      </c>
      <c r="Y9" s="9">
        <f>INDEX('Medicaid CHIP Income Stand 2022'!$J$4:$J$54,MATCH(Y$1,'Medicaid CHIP Income Stand 2022'!$A$4:$A$54,0))</f>
        <v>2</v>
      </c>
      <c r="Z9" s="9" t="str">
        <f>INDEX('Medicaid CHIP Income Stand 2022'!$J$4:$J$54,MATCH(Z$1,'Medicaid CHIP Income Stand 2022'!$A$4:$A$54,0))</f>
        <v>No</v>
      </c>
      <c r="AA9" s="9">
        <f>INDEX('Medicaid CHIP Income Stand 2022'!$J$4:$J$54,MATCH(AA$1,'Medicaid CHIP Income Stand 2022'!$A$4:$A$54,0))</f>
        <v>1.33</v>
      </c>
      <c r="AB9" s="9">
        <f>INDEX('Medicaid CHIP Income Stand 2022'!$J$4:$J$54,MATCH(AB$1,'Medicaid CHIP Income Stand 2022'!$A$4:$A$54,0))</f>
        <v>1.33</v>
      </c>
      <c r="AC9" s="9">
        <f>INDEX('Medicaid CHIP Income Stand 2022'!$J$4:$J$54,MATCH(AC$1,'Medicaid CHIP Income Stand 2022'!$A$4:$A$54,0))</f>
        <v>1.33</v>
      </c>
      <c r="AD9" s="9">
        <f>INDEX('Medicaid CHIP Income Stand 2022'!$J$4:$J$54,MATCH(AD$1,'Medicaid CHIP Income Stand 2022'!$A$4:$A$54,0))</f>
        <v>1.33</v>
      </c>
      <c r="AE9" s="9">
        <f>INDEX('Medicaid CHIP Income Stand 2022'!$J$4:$J$54,MATCH(AE$1,'Medicaid CHIP Income Stand 2022'!$A$4:$A$54,0))</f>
        <v>1.33</v>
      </c>
      <c r="AF9" s="9">
        <f>INDEX('Medicaid CHIP Income Stand 2022'!$J$4:$J$54,MATCH(AF$1,'Medicaid CHIP Income Stand 2022'!$A$4:$A$54,0))</f>
        <v>1.33</v>
      </c>
      <c r="AG9" s="9">
        <f>INDEX('Medicaid CHIP Income Stand 2022'!$J$4:$J$54,MATCH(AG$1,'Medicaid CHIP Income Stand 2022'!$A$4:$A$54,0))</f>
        <v>1.33</v>
      </c>
      <c r="AH9" s="9">
        <f>INDEX('Medicaid CHIP Income Stand 2022'!$J$4:$J$54,MATCH(AH$1,'Medicaid CHIP Income Stand 2022'!$A$4:$A$54,0))</f>
        <v>2</v>
      </c>
      <c r="AI9" s="9" t="str">
        <f>INDEX('Medicaid CHIP Income Stand 2022'!$J$4:$J$54,MATCH(AI$1,'Medicaid CHIP Income Stand 2022'!$A$4:$A$54,0))</f>
        <v>No</v>
      </c>
      <c r="AJ9" s="9">
        <f>INDEX('Medicaid CHIP Income Stand 2022'!$J$4:$J$54,MATCH(AJ$1,'Medicaid CHIP Income Stand 2022'!$A$4:$A$54,0))</f>
        <v>1.33</v>
      </c>
      <c r="AK9" s="9">
        <f>INDEX('Medicaid CHIP Income Stand 2022'!$J$4:$J$54,MATCH(AK$1,'Medicaid CHIP Income Stand 2022'!$A$4:$A$54,0))</f>
        <v>1.33</v>
      </c>
      <c r="AL9" s="9">
        <f>INDEX('Medicaid CHIP Income Stand 2022'!$J$4:$J$54,MATCH(AL$1,'Medicaid CHIP Income Stand 2022'!$A$4:$A$54,0))</f>
        <v>1.33</v>
      </c>
      <c r="AM9" s="9">
        <f>INDEX('Medicaid CHIP Income Stand 2022'!$J$4:$J$54,MATCH(AM$1,'Medicaid CHIP Income Stand 2022'!$A$4:$A$54,0))</f>
        <v>1.33</v>
      </c>
      <c r="AN9" s="9">
        <f>INDEX('Medicaid CHIP Income Stand 2022'!$J$4:$J$54,MATCH(AN$1,'Medicaid CHIP Income Stand 2022'!$A$4:$A$54,0))</f>
        <v>1.33</v>
      </c>
      <c r="AO9" s="9">
        <f>INDEX('Medicaid CHIP Income Stand 2022'!$J$4:$J$54,MATCH(AO$1,'Medicaid CHIP Income Stand 2022'!$A$4:$A$54,0))</f>
        <v>1.33</v>
      </c>
      <c r="AP9" s="9" t="str">
        <f>INDEX('Medicaid CHIP Income Stand 2022'!$J$4:$J$54,MATCH(AP$1,'Medicaid CHIP Income Stand 2022'!$A$4:$A$54,0))</f>
        <v>No</v>
      </c>
      <c r="AQ9" s="9" t="str">
        <f>INDEX('Medicaid CHIP Income Stand 2022'!$J$4:$J$54,MATCH(AQ$1,'Medicaid CHIP Income Stand 2022'!$A$4:$A$54,0))</f>
        <v>No</v>
      </c>
      <c r="AR9" s="9" t="str">
        <f>INDEX('Medicaid CHIP Income Stand 2022'!$J$4:$J$54,MATCH(AR$1,'Medicaid CHIP Income Stand 2022'!$A$4:$A$54,0))</f>
        <v>No</v>
      </c>
      <c r="AS9" s="9" t="str">
        <f>INDEX('Medicaid CHIP Income Stand 2022'!$J$4:$J$54,MATCH(AS$1,'Medicaid CHIP Income Stand 2022'!$A$4:$A$54,0))</f>
        <v>No</v>
      </c>
      <c r="AT9" s="9">
        <f>INDEX('Medicaid CHIP Income Stand 2022'!$J$4:$J$54,MATCH(AT$1,'Medicaid CHIP Income Stand 2022'!$A$4:$A$54,0))</f>
        <v>1.33</v>
      </c>
      <c r="AU9" s="9">
        <f>INDEX('Medicaid CHIP Income Stand 2022'!$J$4:$J$54,MATCH(AU$1,'Medicaid CHIP Income Stand 2022'!$A$4:$A$54,0))</f>
        <v>1.33</v>
      </c>
      <c r="AV9" s="9">
        <f>INDEX('Medicaid CHIP Income Stand 2022'!$J$4:$J$54,MATCH(AV$1,'Medicaid CHIP Income Stand 2022'!$A$4:$A$54,0))</f>
        <v>1.33</v>
      </c>
      <c r="AW9" s="9">
        <f>INDEX('Medicaid CHIP Income Stand 2022'!$J$4:$J$54,MATCH(AW$1,'Medicaid CHIP Income Stand 2022'!$A$4:$A$54,0))</f>
        <v>1.33</v>
      </c>
      <c r="AX9" s="9">
        <f>INDEX('Medicaid CHIP Income Stand 2022'!$J$4:$J$54,MATCH(AX$1,'Medicaid CHIP Income Stand 2022'!$A$4:$A$54,0))</f>
        <v>1.33</v>
      </c>
      <c r="AY9" s="9" t="str">
        <f>INDEX('Medicaid CHIP Income Stand 2022'!$J$4:$J$54,MATCH(AY$1,'Medicaid CHIP Income Stand 2022'!$A$4:$A$54,0))</f>
        <v>No</v>
      </c>
      <c r="AZ9" s="9" t="str">
        <f>INDEX('Medicaid CHIP Income Stand 2022'!$J$4:$J$54,MATCH(AZ$1,'Medicaid CHIP Income Stand 2022'!$A$4:$A$54,0))</f>
        <v>No</v>
      </c>
    </row>
    <row r="10" spans="1:52" ht="29" x14ac:dyDescent="0.35">
      <c r="A10" s="8" t="str">
        <f>'Medicaid CHIP Income Stand 2022'!K3</f>
        <v>Adults (Medicaid) Parent/ Caretaker converted from Dollar?</v>
      </c>
      <c r="B10" s="10" t="str">
        <f>INDEX('Medicaid CHIP Income Stand 2022'!$K$4:$K$54,MATCH(B$1,'Medicaid CHIP Income Stand 2022'!$A$4:$A$54,0))</f>
        <v>No</v>
      </c>
      <c r="C10" s="10" t="str">
        <f>INDEX('Medicaid CHIP Income Stand 2022'!$K$4:$K$54,MATCH(C$1,'Medicaid CHIP Income Stand 2022'!$A$4:$A$54,0))</f>
        <v>Yes</v>
      </c>
      <c r="D10" s="10" t="str">
        <f>INDEX('Medicaid CHIP Income Stand 2022'!$K$4:$K$54,MATCH(D$1,'Medicaid CHIP Income Stand 2022'!$A$4:$A$54,0))</f>
        <v>No</v>
      </c>
      <c r="E10" s="10" t="str">
        <f>INDEX('Medicaid CHIP Income Stand 2022'!$K$4:$K$54,MATCH(E$1,'Medicaid CHIP Income Stand 2022'!$A$4:$A$54,0))</f>
        <v>Yes</v>
      </c>
      <c r="F10" s="10" t="str">
        <f>INDEX('Medicaid CHIP Income Stand 2022'!$K$4:$K$54,MATCH(F$1,'Medicaid CHIP Income Stand 2022'!$A$4:$A$54,0))</f>
        <v>No</v>
      </c>
      <c r="G10" s="10" t="str">
        <f>INDEX('Medicaid CHIP Income Stand 2022'!$K$4:$K$54,MATCH(G$1,'Medicaid CHIP Income Stand 2022'!$A$4:$A$54,0))</f>
        <v>No</v>
      </c>
      <c r="H10" s="10" t="str">
        <f>INDEX('Medicaid CHIP Income Stand 2022'!$K$4:$K$54,MATCH(H$1,'Medicaid CHIP Income Stand 2022'!$A$4:$A$54,0))</f>
        <v>No</v>
      </c>
      <c r="I10" s="10" t="str">
        <f>INDEX('Medicaid CHIP Income Stand 2022'!$K$4:$K$54,MATCH(I$1,'Medicaid CHIP Income Stand 2022'!$A$4:$A$54,0))</f>
        <v>No</v>
      </c>
      <c r="J10" s="10" t="str">
        <f>INDEX('Medicaid CHIP Income Stand 2022'!$K$4:$K$54,MATCH(J$1,'Medicaid CHIP Income Stand 2022'!$A$4:$A$54,0))</f>
        <v>No</v>
      </c>
      <c r="K10" s="10" t="str">
        <f>INDEX('Medicaid CHIP Income Stand 2022'!$K$4:$K$54,MATCH(K$1,'Medicaid CHIP Income Stand 2022'!$A$4:$A$54,0))</f>
        <v>Yes</v>
      </c>
      <c r="L10" s="10" t="str">
        <f>INDEX('Medicaid CHIP Income Stand 2022'!$K$4:$K$54,MATCH(L$1,'Medicaid CHIP Income Stand 2022'!$A$4:$A$54,0))</f>
        <v>Yes</v>
      </c>
      <c r="M10" s="10" t="str">
        <f>INDEX('Medicaid CHIP Income Stand 2022'!$K$4:$K$54,MATCH(M$1,'Medicaid CHIP Income Stand 2022'!$A$4:$A$54,0))</f>
        <v>No</v>
      </c>
      <c r="N10" s="10" t="str">
        <f>INDEX('Medicaid CHIP Income Stand 2022'!$K$4:$K$54,MATCH(N$1,'Medicaid CHIP Income Stand 2022'!$A$4:$A$54,0))</f>
        <v>Yes</v>
      </c>
      <c r="O10" s="10" t="str">
        <f>INDEX('Medicaid CHIP Income Stand 2022'!$K$4:$K$54,MATCH(O$1,'Medicaid CHIP Income Stand 2022'!$A$4:$A$54,0))</f>
        <v>No</v>
      </c>
      <c r="P10" s="10" t="str">
        <f>INDEX('Medicaid CHIP Income Stand 2022'!$K$4:$K$54,MATCH(P$1,'Medicaid CHIP Income Stand 2022'!$A$4:$A$54,0))</f>
        <v>Yes</v>
      </c>
      <c r="Q10" s="10" t="str">
        <f>INDEX('Medicaid CHIP Income Stand 2022'!$K$4:$K$54,MATCH(Q$1,'Medicaid CHIP Income Stand 2022'!$A$4:$A$54,0))</f>
        <v>Yes</v>
      </c>
      <c r="R10" s="10" t="str">
        <f>INDEX('Medicaid CHIP Income Stand 2022'!$K$4:$K$54,MATCH(R$1,'Medicaid CHIP Income Stand 2022'!$A$4:$A$54,0))</f>
        <v>No</v>
      </c>
      <c r="S10" s="10" t="str">
        <f>INDEX('Medicaid CHIP Income Stand 2022'!$K$4:$K$54,MATCH(S$1,'Medicaid CHIP Income Stand 2022'!$A$4:$A$54,0))</f>
        <v>Yes</v>
      </c>
      <c r="T10" s="10" t="str">
        <f>INDEX('Medicaid CHIP Income Stand 2022'!$K$4:$K$54,MATCH(T$1,'Medicaid CHIP Income Stand 2022'!$A$4:$A$54,0))</f>
        <v>No</v>
      </c>
      <c r="U10" s="10" t="str">
        <f>INDEX('Medicaid CHIP Income Stand 2022'!$K$4:$K$54,MATCH(U$1,'Medicaid CHIP Income Stand 2022'!$A$4:$A$54,0))</f>
        <v>No</v>
      </c>
      <c r="V10" s="10" t="str">
        <f>INDEX('Medicaid CHIP Income Stand 2022'!$K$4:$K$54,MATCH(V$1,'Medicaid CHIP Income Stand 2022'!$A$4:$A$54,0))</f>
        <v>No</v>
      </c>
      <c r="W10" s="10" t="str">
        <f>INDEX('Medicaid CHIP Income Stand 2022'!$K$4:$K$54,MATCH(W$1,'Medicaid CHIP Income Stand 2022'!$A$4:$A$54,0))</f>
        <v>No</v>
      </c>
      <c r="X10" s="10" t="str">
        <f>INDEX('Medicaid CHIP Income Stand 2022'!$K$4:$K$54,MATCH(X$1,'Medicaid CHIP Income Stand 2022'!$A$4:$A$54,0))</f>
        <v>No</v>
      </c>
      <c r="Y10" s="10" t="str">
        <f>INDEX('Medicaid CHIP Income Stand 2022'!$K$4:$K$54,MATCH(Y$1,'Medicaid CHIP Income Stand 2022'!$A$4:$A$54,0))</f>
        <v>No</v>
      </c>
      <c r="Z10" s="10" t="str">
        <f>INDEX('Medicaid CHIP Income Stand 2022'!$K$4:$K$54,MATCH(Z$1,'Medicaid CHIP Income Stand 2022'!$A$4:$A$54,0))</f>
        <v>Yes</v>
      </c>
      <c r="AA10" s="10" t="str">
        <f>INDEX('Medicaid CHIP Income Stand 2022'!$K$4:$K$54,MATCH(AA$1,'Medicaid CHIP Income Stand 2022'!$A$4:$A$54,0))</f>
        <v>Yes</v>
      </c>
      <c r="AB10" s="10" t="str">
        <f>INDEX('Medicaid CHIP Income Stand 2022'!$K$4:$K$54,MATCH(AB$1,'Medicaid CHIP Income Stand 2022'!$A$4:$A$54,0))</f>
        <v>No</v>
      </c>
      <c r="AC10" s="10" t="str">
        <f>INDEX('Medicaid CHIP Income Stand 2022'!$K$4:$K$54,MATCH(AC$1,'Medicaid CHIP Income Stand 2022'!$A$4:$A$54,0))</f>
        <v>No</v>
      </c>
      <c r="AD10" s="10" t="str">
        <f>INDEX('Medicaid CHIP Income Stand 2022'!$K$4:$K$54,MATCH(AD$1,'Medicaid CHIP Income Stand 2022'!$A$4:$A$54,0))</f>
        <v>Yes</v>
      </c>
      <c r="AE10" s="10" t="str">
        <f>INDEX('Medicaid CHIP Income Stand 2022'!$K$4:$K$54,MATCH(AE$1,'Medicaid CHIP Income Stand 2022'!$A$4:$A$54,0))</f>
        <v>Yes</v>
      </c>
      <c r="AF10" s="10" t="str">
        <f>INDEX('Medicaid CHIP Income Stand 2022'!$K$4:$K$54,MATCH(AF$1,'Medicaid CHIP Income Stand 2022'!$A$4:$A$54,0))</f>
        <v>Yes</v>
      </c>
      <c r="AG10" s="10" t="str">
        <f>INDEX('Medicaid CHIP Income Stand 2022'!$K$4:$K$54,MATCH(AG$1,'Medicaid CHIP Income Stand 2022'!$A$4:$A$54,0))</f>
        <v>Yes</v>
      </c>
      <c r="AH10" s="10" t="str">
        <f>INDEX('Medicaid CHIP Income Stand 2022'!$K$4:$K$54,MATCH(AH$1,'Medicaid CHIP Income Stand 2022'!$A$4:$A$54,0))</f>
        <v>No</v>
      </c>
      <c r="AI10" s="10" t="str">
        <f>INDEX('Medicaid CHIP Income Stand 2022'!$K$4:$K$54,MATCH(AI$1,'Medicaid CHIP Income Stand 2022'!$A$4:$A$54,0))</f>
        <v>Yes</v>
      </c>
      <c r="AJ10" s="10" t="str">
        <f>INDEX('Medicaid CHIP Income Stand 2022'!$K$4:$K$54,MATCH(AJ$1,'Medicaid CHIP Income Stand 2022'!$A$4:$A$54,0))</f>
        <v>Yes</v>
      </c>
      <c r="AK10" s="10" t="str">
        <f>INDEX('Medicaid CHIP Income Stand 2022'!$K$4:$K$54,MATCH(AK$1,'Medicaid CHIP Income Stand 2022'!$A$4:$A$54,0))</f>
        <v>No</v>
      </c>
      <c r="AL10" s="10" t="str">
        <f>INDEX('Medicaid CHIP Income Stand 2022'!$K$4:$K$54,MATCH(AL$1,'Medicaid CHIP Income Stand 2022'!$A$4:$A$54,0))</f>
        <v>Yes</v>
      </c>
      <c r="AM10" s="10" t="str">
        <f>INDEX('Medicaid CHIP Income Stand 2022'!$K$4:$K$54,MATCH(AM$1,'Medicaid CHIP Income Stand 2022'!$A$4:$A$54,0))</f>
        <v>Yes</v>
      </c>
      <c r="AN10" s="10" t="str">
        <f>INDEX('Medicaid CHIP Income Stand 2022'!$K$4:$K$54,MATCH(AN$1,'Medicaid CHIP Income Stand 2022'!$A$4:$A$54,0))</f>
        <v>No</v>
      </c>
      <c r="AO10" s="10" t="str">
        <f>INDEX('Medicaid CHIP Income Stand 2022'!$K$4:$K$54,MATCH(AO$1,'Medicaid CHIP Income Stand 2022'!$A$4:$A$54,0))</f>
        <v>No</v>
      </c>
      <c r="AP10" s="10" t="str">
        <f>INDEX('Medicaid CHIP Income Stand 2022'!$K$4:$K$54,MATCH(AP$1,'Medicaid CHIP Income Stand 2022'!$A$4:$A$54,0))</f>
        <v>No</v>
      </c>
      <c r="AQ10" s="10" t="str">
        <f>INDEX('Medicaid CHIP Income Stand 2022'!$K$4:$K$54,MATCH(AQ$1,'Medicaid CHIP Income Stand 2022'!$A$4:$A$54,0))</f>
        <v>Yes</v>
      </c>
      <c r="AR10" s="10" t="str">
        <f>INDEX('Medicaid CHIP Income Stand 2022'!$K$4:$K$54,MATCH(AR$1,'Medicaid CHIP Income Stand 2022'!$A$4:$A$54,0))</f>
        <v>Yes</v>
      </c>
      <c r="AS10" s="10" t="str">
        <f>INDEX('Medicaid CHIP Income Stand 2022'!$K$4:$K$54,MATCH(AS$1,'Medicaid CHIP Income Stand 2022'!$A$4:$A$54,0))</f>
        <v>Yes</v>
      </c>
      <c r="AT10" s="10" t="str">
        <f>INDEX('Medicaid CHIP Income Stand 2022'!$K$4:$K$54,MATCH(AT$1,'Medicaid CHIP Income Stand 2022'!$A$4:$A$54,0))</f>
        <v>Yes</v>
      </c>
      <c r="AU10" s="10" t="str">
        <f>INDEX('Medicaid CHIP Income Stand 2022'!$K$4:$K$54,MATCH(AU$1,'Medicaid CHIP Income Stand 2022'!$A$4:$A$54,0))</f>
        <v>Yes</v>
      </c>
      <c r="AV10" s="10" t="str">
        <f>INDEX('Medicaid CHIP Income Stand 2022'!$K$4:$K$54,MATCH(AV$1,'Medicaid CHIP Income Stand 2022'!$A$4:$A$54,0))</f>
        <v>Yes</v>
      </c>
      <c r="AW10" s="10" t="str">
        <f>INDEX('Medicaid CHIP Income Stand 2022'!$K$4:$K$54,MATCH(AW$1,'Medicaid CHIP Income Stand 2022'!$A$4:$A$54,0))</f>
        <v>Yes</v>
      </c>
      <c r="AX10" s="10" t="str">
        <f>INDEX('Medicaid CHIP Income Stand 2022'!$K$4:$K$54,MATCH(AX$1,'Medicaid CHIP Income Stand 2022'!$A$4:$A$54,0))</f>
        <v>Yes</v>
      </c>
      <c r="AY10" s="10" t="str">
        <f>INDEX('Medicaid CHIP Income Stand 2022'!$K$4:$K$54,MATCH(AY$1,'Medicaid CHIP Income Stand 2022'!$A$4:$A$54,0))</f>
        <v>No</v>
      </c>
      <c r="AZ10" s="10" t="str">
        <f>INDEX('Medicaid CHIP Income Stand 2022'!$K$4:$K$54,MATCH(AZ$1,'Medicaid CHIP Income Stand 2022'!$A$4:$A$54,0))</f>
        <v>Yes</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06673-60BF-449C-9EA3-D2F89A66E7FD}">
  <dimension ref="A1:AZ10"/>
  <sheetViews>
    <sheetView workbookViewId="0">
      <selection activeCell="BA11" sqref="BA11"/>
    </sheetView>
  </sheetViews>
  <sheetFormatPr defaultRowHeight="14.5" x14ac:dyDescent="0.35"/>
  <cols>
    <col min="1" max="1" width="34.08984375" style="7" customWidth="1"/>
    <col min="2" max="2" width="8.08984375" bestFit="1" customWidth="1"/>
    <col min="3" max="3" width="6.1796875" bestFit="1" customWidth="1"/>
    <col min="4" max="4" width="7.08984375" bestFit="1" customWidth="1"/>
    <col min="5" max="5" width="8.1796875" bestFit="1" customWidth="1"/>
    <col min="7" max="7" width="8.54296875" bestFit="1" customWidth="1"/>
    <col min="8" max="8" width="10.81640625" bestFit="1" customWidth="1"/>
    <col min="9" max="9" width="8.81640625" bestFit="1" customWidth="1"/>
    <col min="10" max="10" width="17.36328125" bestFit="1" customWidth="1"/>
    <col min="11" max="11" width="6.54296875" bestFit="1" customWidth="1"/>
    <col min="12" max="12" width="7.36328125" bestFit="1" customWidth="1"/>
    <col min="13" max="13" width="6.54296875" bestFit="1" customWidth="1"/>
    <col min="14" max="14" width="5.6328125" bestFit="1" customWidth="1"/>
    <col min="15" max="15" width="6.1796875" bestFit="1" customWidth="1"/>
    <col min="16" max="16" width="7" bestFit="1" customWidth="1"/>
    <col min="17" max="17" width="7" customWidth="1"/>
    <col min="18" max="18" width="6.54296875" bestFit="1" customWidth="1"/>
    <col min="19" max="19" width="8.36328125" bestFit="1" customWidth="1"/>
    <col min="20" max="20" width="8.6328125" bestFit="1" customWidth="1"/>
    <col min="21" max="21" width="6.08984375" bestFit="1" customWidth="1"/>
    <col min="22" max="22" width="8.6328125" bestFit="1" customWidth="1"/>
    <col min="23" max="23" width="13.08984375" bestFit="1" customWidth="1"/>
    <col min="24" max="24" width="8.36328125" bestFit="1" customWidth="1"/>
    <col min="25" max="25" width="9.6328125" bestFit="1" customWidth="1"/>
    <col min="26" max="26" width="9.54296875" bestFit="1" customWidth="1"/>
    <col min="27" max="27" width="7.90625" bestFit="1" customWidth="1"/>
    <col min="28" max="28" width="8.453125" bestFit="1" customWidth="1"/>
    <col min="29" max="29" width="8.6328125" bestFit="1" customWidth="1"/>
    <col min="30" max="30" width="7.1796875" bestFit="1" customWidth="1"/>
    <col min="31" max="31" width="14" bestFit="1" customWidth="1"/>
    <col min="32" max="32" width="10.1796875" bestFit="1" customWidth="1"/>
    <col min="33" max="33" width="11.1796875" bestFit="1" customWidth="1"/>
    <col min="35" max="35" width="13.08984375" bestFit="1" customWidth="1"/>
    <col min="36" max="36" width="12.08984375" bestFit="1" customWidth="1"/>
    <col min="37" max="37" width="5.453125" bestFit="1" customWidth="1"/>
    <col min="38" max="38" width="9.36328125" bestFit="1" customWidth="1"/>
    <col min="39" max="39" width="7" bestFit="1" customWidth="1"/>
    <col min="40" max="41" width="11.453125" bestFit="1" customWidth="1"/>
    <col min="42" max="42" width="12.90625" bestFit="1" customWidth="1"/>
    <col min="43" max="43" width="12" bestFit="1" customWidth="1"/>
    <col min="44" max="44" width="9.54296875" bestFit="1" customWidth="1"/>
    <col min="45" max="45" width="5.6328125" bestFit="1" customWidth="1"/>
    <col min="46" max="46" width="6.54296875" bestFit="1" customWidth="1"/>
    <col min="47" max="47" width="8.08984375" bestFit="1" customWidth="1"/>
    <col min="48" max="48" width="7" bestFit="1" customWidth="1"/>
    <col min="49" max="49" width="10.6328125" bestFit="1" customWidth="1"/>
    <col min="50" max="50" width="11.6328125" bestFit="1" customWidth="1"/>
    <col min="51" max="51" width="9.1796875" bestFit="1" customWidth="1"/>
    <col min="52" max="52" width="8.6328125" bestFit="1" customWidth="1"/>
  </cols>
  <sheetData>
    <row r="1" spans="1:52" x14ac:dyDescent="0.35">
      <c r="B1" t="str">
        <f>'Medicaid CHIP Income Stand 2022'!$A4</f>
        <v>Alabama</v>
      </c>
      <c r="C1" t="str">
        <f>'Medicaid CHIP Income Stand 2022'!$A5</f>
        <v>Alaska</v>
      </c>
      <c r="D1" t="str">
        <f>'Medicaid CHIP Income Stand 2022'!$A6</f>
        <v>Arizona</v>
      </c>
      <c r="E1" t="str">
        <f>'Medicaid CHIP Income Stand 2022'!$A7</f>
        <v>Arkansas</v>
      </c>
      <c r="F1" t="str">
        <f>'Medicaid CHIP Income Stand 2022'!$A8</f>
        <v>California</v>
      </c>
      <c r="G1" t="str">
        <f>'Medicaid CHIP Income Stand 2022'!$A9</f>
        <v>Colorado</v>
      </c>
      <c r="H1" t="str">
        <f>'Medicaid CHIP Income Stand 2022'!$A10</f>
        <v>Connecticut</v>
      </c>
      <c r="I1" t="str">
        <f>'Medicaid CHIP Income Stand 2022'!$A11</f>
        <v>Delaware</v>
      </c>
      <c r="J1" t="str">
        <f>'Medicaid CHIP Income Stand 2022'!$A12</f>
        <v>District of Columbia</v>
      </c>
      <c r="K1" t="str">
        <f>'Medicaid CHIP Income Stand 2022'!$A13</f>
        <v>Florida</v>
      </c>
      <c r="L1" t="str">
        <f>'Medicaid CHIP Income Stand 2022'!$A14</f>
        <v>Georgia</v>
      </c>
      <c r="M1" t="str">
        <f>'Medicaid CHIP Income Stand 2022'!$A15</f>
        <v>Hawaii</v>
      </c>
      <c r="N1" t="str">
        <f>'Medicaid CHIP Income Stand 2022'!$A16</f>
        <v>Idaho</v>
      </c>
      <c r="O1" t="str">
        <f>'Medicaid CHIP Income Stand 2022'!$A17</f>
        <v>Illinois</v>
      </c>
      <c r="P1" t="str">
        <f>'Medicaid CHIP Income Stand 2022'!$A18</f>
        <v>Indiana</v>
      </c>
      <c r="Q1" t="str">
        <f>'Medicaid CHIP Income Stand 2022'!$A19</f>
        <v>Iowa</v>
      </c>
      <c r="R1" t="str">
        <f>'Medicaid CHIP Income Stand 2022'!$A20</f>
        <v>Kansas</v>
      </c>
      <c r="S1" t="str">
        <f>'Medicaid CHIP Income Stand 2022'!$A21</f>
        <v>Kentucky</v>
      </c>
      <c r="T1" t="str">
        <f>'Medicaid CHIP Income Stand 2022'!$A22</f>
        <v>Louisiana</v>
      </c>
      <c r="U1" t="str">
        <f>'Medicaid CHIP Income Stand 2022'!$A23</f>
        <v>Maine</v>
      </c>
      <c r="V1" t="str">
        <f>'Medicaid CHIP Income Stand 2022'!$A24</f>
        <v>Maryland</v>
      </c>
      <c r="W1" t="str">
        <f>'Medicaid CHIP Income Stand 2022'!$A25</f>
        <v>Massachusetts</v>
      </c>
      <c r="X1" t="str">
        <f>'Medicaid CHIP Income Stand 2022'!$A26</f>
        <v>Michigan</v>
      </c>
      <c r="Y1" t="str">
        <f>'Medicaid CHIP Income Stand 2022'!$A27</f>
        <v>Minnesota</v>
      </c>
      <c r="Z1" t="str">
        <f>'Medicaid CHIP Income Stand 2022'!$A28</f>
        <v>Mississippi</v>
      </c>
      <c r="AA1" t="str">
        <f>'Medicaid CHIP Income Stand 2022'!$A29</f>
        <v>Missouri</v>
      </c>
      <c r="AB1" t="str">
        <f>'Medicaid CHIP Income Stand 2022'!$A30</f>
        <v>Montana</v>
      </c>
      <c r="AC1" t="str">
        <f>'Medicaid CHIP Income Stand 2022'!$A31</f>
        <v>Nebraska</v>
      </c>
      <c r="AD1" t="str">
        <f>'Medicaid CHIP Income Stand 2022'!$A32</f>
        <v>Nevada</v>
      </c>
      <c r="AE1" t="str">
        <f>'Medicaid CHIP Income Stand 2022'!$A33</f>
        <v>New Hampshire</v>
      </c>
      <c r="AF1" t="str">
        <f>'Medicaid CHIP Income Stand 2022'!$A34</f>
        <v>New Jersey</v>
      </c>
      <c r="AG1" t="str">
        <f>'Medicaid CHIP Income Stand 2022'!$A35</f>
        <v>New Mexico</v>
      </c>
      <c r="AH1" t="str">
        <f>'Medicaid CHIP Income Stand 2022'!$A36</f>
        <v>New York</v>
      </c>
      <c r="AI1" t="str">
        <f>'Medicaid CHIP Income Stand 2022'!$A37</f>
        <v>North Carolina</v>
      </c>
      <c r="AJ1" t="str">
        <f>'Medicaid CHIP Income Stand 2022'!$A38</f>
        <v>North Dakota</v>
      </c>
      <c r="AK1" t="str">
        <f>'Medicaid CHIP Income Stand 2022'!$A39</f>
        <v>Ohio</v>
      </c>
      <c r="AL1" t="str">
        <f>'Medicaid CHIP Income Stand 2022'!$A40</f>
        <v>Oklahoma</v>
      </c>
      <c r="AM1" t="str">
        <f>'Medicaid CHIP Income Stand 2022'!$A41</f>
        <v>Oregon</v>
      </c>
      <c r="AN1" t="str">
        <f>'Medicaid CHIP Income Stand 2022'!$A42</f>
        <v>Pennsylvania</v>
      </c>
      <c r="AO1" t="str">
        <f>'Medicaid CHIP Income Stand 2022'!$A43</f>
        <v>Rhode Island</v>
      </c>
      <c r="AP1" t="str">
        <f>'Medicaid CHIP Income Stand 2022'!$A44</f>
        <v>South Carolina</v>
      </c>
      <c r="AQ1" t="str">
        <f>'Medicaid CHIP Income Stand 2022'!$A45</f>
        <v>South Dakota</v>
      </c>
      <c r="AR1" t="str">
        <f>'Medicaid CHIP Income Stand 2022'!$A46</f>
        <v>Tennessee</v>
      </c>
      <c r="AS1" t="str">
        <f>'Medicaid CHIP Income Stand 2022'!$A47</f>
        <v>Texas</v>
      </c>
      <c r="AT1" t="str">
        <f>'Medicaid CHIP Income Stand 2022'!$A48</f>
        <v>Utah</v>
      </c>
      <c r="AU1" t="str">
        <f>'Medicaid CHIP Income Stand 2022'!$A49</f>
        <v>Vermont</v>
      </c>
      <c r="AV1" t="str">
        <f>'Medicaid CHIP Income Stand 2022'!$A50</f>
        <v>Virginia</v>
      </c>
      <c r="AW1" t="str">
        <f>'Medicaid CHIP Income Stand 2022'!$A51</f>
        <v>Washington</v>
      </c>
      <c r="AX1" t="str">
        <f>'Medicaid CHIP Income Stand 2022'!$A52</f>
        <v>West Virginia</v>
      </c>
      <c r="AY1" t="str">
        <f>'Medicaid CHIP Income Stand 2022'!$A53</f>
        <v>Wisconsin</v>
      </c>
      <c r="AZ1" t="str">
        <f>'Medicaid CHIP Income Stand 2022'!$A54</f>
        <v>Wyoming</v>
      </c>
    </row>
    <row r="2" spans="1:52" x14ac:dyDescent="0.35">
      <c r="A2" s="8" t="str">
        <f>'Medicaid CHIP Income Stand 2022'!B3</f>
        <v>Children Medicaid Ages 0-1</v>
      </c>
      <c r="B2" s="9">
        <f>INDEX('Medicaid CHIP Income Stand 2022'!$B$4:$B$54,MATCH(B$1,'Medicaid CHIP Income Stand 2022'!$A$4:$A$54,0))</f>
        <v>1.41</v>
      </c>
      <c r="C2" s="9">
        <f>INDEX('Medicaid CHIP Income Stand 2022'!$B$4:$B$54,MATCH(C$1,'Medicaid CHIP Income Stand 2022'!$A$4:$A$54,0))</f>
        <v>2.0299999999999998</v>
      </c>
      <c r="D2" s="9">
        <f>INDEX('Medicaid CHIP Income Stand 2022'!$B$4:$B$54,MATCH(D$1,'Medicaid CHIP Income Stand 2022'!$A$4:$A$54,0))</f>
        <v>1.47</v>
      </c>
      <c r="E2" s="9">
        <f>INDEX('Medicaid CHIP Income Stand 2022'!$B$4:$B$54,MATCH(E$1,'Medicaid CHIP Income Stand 2022'!$A$4:$A$54,0))</f>
        <v>1.42</v>
      </c>
      <c r="F2" s="9">
        <f>INDEX('Medicaid CHIP Income Stand 2022'!$B$4:$B$54,MATCH(F$1,'Medicaid CHIP Income Stand 2022'!$A$4:$A$54,0))</f>
        <v>2.61</v>
      </c>
      <c r="G2" s="9">
        <f>INDEX('Medicaid CHIP Income Stand 2022'!$B$4:$B$54,MATCH(G$1,'Medicaid CHIP Income Stand 2022'!$A$4:$A$54,0))</f>
        <v>1.42</v>
      </c>
      <c r="H2" s="9">
        <f>INDEX('Medicaid CHIP Income Stand 2022'!$B$4:$B$54,MATCH(H$1,'Medicaid CHIP Income Stand 2022'!$A$4:$A$54,0))</f>
        <v>1.96</v>
      </c>
      <c r="I2" s="9">
        <f>INDEX('Medicaid CHIP Income Stand 2022'!$B$4:$B$54,MATCH(I$1,'Medicaid CHIP Income Stand 2022'!$A$4:$A$54,0))</f>
        <v>2.12</v>
      </c>
      <c r="J2" s="9">
        <f>INDEX('Medicaid CHIP Income Stand 2022'!$B$4:$B$54,MATCH(J$1,'Medicaid CHIP Income Stand 2022'!$A$4:$A$54,0))</f>
        <v>3.19</v>
      </c>
      <c r="K2" s="9">
        <f>INDEX('Medicaid CHIP Income Stand 2022'!$B$4:$B$54,MATCH(K$1,'Medicaid CHIP Income Stand 2022'!$A$4:$A$54,0))</f>
        <v>2.06</v>
      </c>
      <c r="L2" s="9">
        <f>INDEX('Medicaid CHIP Income Stand 2022'!$B$4:$B$54,MATCH(L$1,'Medicaid CHIP Income Stand 2022'!$A$4:$A$54,0))</f>
        <v>2.0499999999999998</v>
      </c>
      <c r="M2" s="9">
        <f>INDEX('Medicaid CHIP Income Stand 2022'!$B$4:$B$54,MATCH(M$1,'Medicaid CHIP Income Stand 2022'!$A$4:$A$54,0))</f>
        <v>3.08</v>
      </c>
      <c r="N2" s="9">
        <f>INDEX('Medicaid CHIP Income Stand 2022'!$B$4:$B$54,MATCH(N$1,'Medicaid CHIP Income Stand 2022'!$A$4:$A$54,0))</f>
        <v>1.42</v>
      </c>
      <c r="O2" s="9">
        <f>INDEX('Medicaid CHIP Income Stand 2022'!$B$4:$B$54,MATCH(O$1,'Medicaid CHIP Income Stand 2022'!$A$4:$A$54,0))</f>
        <v>1.42</v>
      </c>
      <c r="P2" s="9">
        <f>INDEX('Medicaid CHIP Income Stand 2022'!$B$4:$B$54,MATCH(P$1,'Medicaid CHIP Income Stand 2022'!$A$4:$A$54,0))</f>
        <v>2.08</v>
      </c>
      <c r="Q2" s="9">
        <f>INDEX('Medicaid CHIP Income Stand 2022'!$B$4:$B$54,MATCH(Q$1,'Medicaid CHIP Income Stand 2022'!$A$4:$A$54,0))</f>
        <v>3.75</v>
      </c>
      <c r="R2" s="9">
        <f>INDEX('Medicaid CHIP Income Stand 2022'!$B$4:$B$54,MATCH(R$1,'Medicaid CHIP Income Stand 2022'!$A$4:$A$54,0))</f>
        <v>1.66</v>
      </c>
      <c r="S2" s="9">
        <f>INDEX('Medicaid CHIP Income Stand 2022'!$B$4:$B$54,MATCH(S$1,'Medicaid CHIP Income Stand 2022'!$A$4:$A$54,0))</f>
        <v>1.95</v>
      </c>
      <c r="T2" s="9">
        <f>INDEX('Medicaid CHIP Income Stand 2022'!$B$4:$B$54,MATCH(T$1,'Medicaid CHIP Income Stand 2022'!$A$4:$A$54,0))</f>
        <v>2.12</v>
      </c>
      <c r="U2" s="9">
        <f>INDEX('Medicaid CHIP Income Stand 2022'!$B$4:$B$54,MATCH(U$1,'Medicaid CHIP Income Stand 2022'!$A$4:$A$54,0))</f>
        <v>1.91</v>
      </c>
      <c r="V2" s="9">
        <f>INDEX('Medicaid CHIP Income Stand 2022'!$B$4:$B$54,MATCH(V$1,'Medicaid CHIP Income Stand 2022'!$A$4:$A$54,0))</f>
        <v>3.17</v>
      </c>
      <c r="W2" s="9">
        <f>INDEX('Medicaid CHIP Income Stand 2022'!$B$4:$B$54,MATCH(W$1,'Medicaid CHIP Income Stand 2022'!$A$4:$A$54,0))</f>
        <v>2</v>
      </c>
      <c r="X2" s="9">
        <f>INDEX('Medicaid CHIP Income Stand 2022'!$B$4:$B$54,MATCH(X$1,'Medicaid CHIP Income Stand 2022'!$A$4:$A$54,0))</f>
        <v>2.12</v>
      </c>
      <c r="Y2" s="9">
        <f>INDEX('Medicaid CHIP Income Stand 2022'!$B$4:$B$54,MATCH(Y$1,'Medicaid CHIP Income Stand 2022'!$A$4:$A$54,0))</f>
        <v>2.83</v>
      </c>
      <c r="Z2" s="9">
        <f>INDEX('Medicaid CHIP Income Stand 2022'!$B$4:$B$54,MATCH(Z$1,'Medicaid CHIP Income Stand 2022'!$A$4:$A$54,0))</f>
        <v>1.94</v>
      </c>
      <c r="AA2" s="9">
        <f>INDEX('Medicaid CHIP Income Stand 2022'!$B$4:$B$54,MATCH(AA$1,'Medicaid CHIP Income Stand 2022'!$A$4:$A$54,0))</f>
        <v>1.96</v>
      </c>
      <c r="AB2" s="9">
        <f>INDEX('Medicaid CHIP Income Stand 2022'!$B$4:$B$54,MATCH(AB$1,'Medicaid CHIP Income Stand 2022'!$A$4:$A$54,0))</f>
        <v>1.43</v>
      </c>
      <c r="AC2" s="9">
        <f>INDEX('Medicaid CHIP Income Stand 2022'!$B$4:$B$54,MATCH(AC$1,'Medicaid CHIP Income Stand 2022'!$A$4:$A$54,0))</f>
        <v>2.13</v>
      </c>
      <c r="AD2" s="9">
        <f>INDEX('Medicaid CHIP Income Stand 2022'!$B$4:$B$54,MATCH(AD$1,'Medicaid CHIP Income Stand 2022'!$A$4:$A$54,0))</f>
        <v>1.6</v>
      </c>
      <c r="AE2" s="9">
        <f>INDEX('Medicaid CHIP Income Stand 2022'!$B$4:$B$54,MATCH(AE$1,'Medicaid CHIP Income Stand 2022'!$A$4:$A$54,0))</f>
        <v>3.18</v>
      </c>
      <c r="AF2" s="9">
        <f>INDEX('Medicaid CHIP Income Stand 2022'!$B$4:$B$54,MATCH(AF$1,'Medicaid CHIP Income Stand 2022'!$A$4:$A$54,0))</f>
        <v>1.94</v>
      </c>
      <c r="AG2" s="9">
        <f>INDEX('Medicaid CHIP Income Stand 2022'!$B$4:$B$54,MATCH(AG$1,'Medicaid CHIP Income Stand 2022'!$A$4:$A$54,0))</f>
        <v>3</v>
      </c>
      <c r="AH2" s="9">
        <f>INDEX('Medicaid CHIP Income Stand 2022'!$B$4:$B$54,MATCH(AH$1,'Medicaid CHIP Income Stand 2022'!$A$4:$A$54,0))</f>
        <v>2.1800000000000002</v>
      </c>
      <c r="AI2" s="9">
        <f>INDEX('Medicaid CHIP Income Stand 2022'!$B$4:$B$54,MATCH(AI$1,'Medicaid CHIP Income Stand 2022'!$A$4:$A$54,0))</f>
        <v>2.1</v>
      </c>
      <c r="AJ2" s="9">
        <f>INDEX('Medicaid CHIP Income Stand 2022'!$B$4:$B$54,MATCH(AJ$1,'Medicaid CHIP Income Stand 2022'!$A$4:$A$54,0))</f>
        <v>1.7</v>
      </c>
      <c r="AK2" s="9">
        <f>INDEX('Medicaid CHIP Income Stand 2022'!$B$4:$B$54,MATCH(AK$1,'Medicaid CHIP Income Stand 2022'!$A$4:$A$54,0))</f>
        <v>2.06</v>
      </c>
      <c r="AL2" s="9">
        <f>INDEX('Medicaid CHIP Income Stand 2022'!$B$4:$B$54,MATCH(AL$1,'Medicaid CHIP Income Stand 2022'!$A$4:$A$54,0))</f>
        <v>2.0499999999999998</v>
      </c>
      <c r="AM2" s="9">
        <f>INDEX('Medicaid CHIP Income Stand 2022'!$B$4:$B$54,MATCH(AM$1,'Medicaid CHIP Income Stand 2022'!$A$4:$A$54,0))</f>
        <v>1.85</v>
      </c>
      <c r="AN2" s="9">
        <f>INDEX('Medicaid CHIP Income Stand 2022'!$B$4:$B$54,MATCH(AN$1,'Medicaid CHIP Income Stand 2022'!$A$4:$A$54,0))</f>
        <v>2.15</v>
      </c>
      <c r="AO2" s="9">
        <f>INDEX('Medicaid CHIP Income Stand 2022'!$B$4:$B$54,MATCH(AO$1,'Medicaid CHIP Income Stand 2022'!$A$4:$A$54,0))</f>
        <v>2.61</v>
      </c>
      <c r="AP2" s="9">
        <f>INDEX('Medicaid CHIP Income Stand 2022'!$B$4:$B$54,MATCH(AP$1,'Medicaid CHIP Income Stand 2022'!$A$4:$A$54,0))</f>
        <v>2.08</v>
      </c>
      <c r="AQ2" s="9">
        <f>INDEX('Medicaid CHIP Income Stand 2022'!$B$4:$B$54,MATCH(AQ$1,'Medicaid CHIP Income Stand 2022'!$A$4:$A$54,0))</f>
        <v>1.82</v>
      </c>
      <c r="AR2" s="9">
        <f>INDEX('Medicaid CHIP Income Stand 2022'!$B$4:$B$54,MATCH(AR$1,'Medicaid CHIP Income Stand 2022'!$A$4:$A$54,0))</f>
        <v>1.95</v>
      </c>
      <c r="AS2" s="9">
        <f>INDEX('Medicaid CHIP Income Stand 2022'!$B$4:$B$54,MATCH(AS$1,'Medicaid CHIP Income Stand 2022'!$A$4:$A$54,0))</f>
        <v>1.98</v>
      </c>
      <c r="AT2" s="9">
        <f>INDEX('Medicaid CHIP Income Stand 2022'!$B$4:$B$54,MATCH(AT$1,'Medicaid CHIP Income Stand 2022'!$A$4:$A$54,0))</f>
        <v>1.39</v>
      </c>
      <c r="AU2" s="9">
        <f>INDEX('Medicaid CHIP Income Stand 2022'!$B$4:$B$54,MATCH(AU$1,'Medicaid CHIP Income Stand 2022'!$A$4:$A$54,0))</f>
        <v>3.12</v>
      </c>
      <c r="AV2" s="9">
        <f>INDEX('Medicaid CHIP Income Stand 2022'!$B$4:$B$54,MATCH(AV$1,'Medicaid CHIP Income Stand 2022'!$A$4:$A$54,0))</f>
        <v>1.43</v>
      </c>
      <c r="AW2" s="9">
        <f>INDEX('Medicaid CHIP Income Stand 2022'!$B$4:$B$54,MATCH(AW$1,'Medicaid CHIP Income Stand 2022'!$A$4:$A$54,0))</f>
        <v>2.1</v>
      </c>
      <c r="AX2" s="9">
        <f>INDEX('Medicaid CHIP Income Stand 2022'!$B$4:$B$54,MATCH(AX$1,'Medicaid CHIP Income Stand 2022'!$A$4:$A$54,0))</f>
        <v>1.58</v>
      </c>
      <c r="AY2" s="9">
        <f>INDEX('Medicaid CHIP Income Stand 2022'!$B$4:$B$54,MATCH(AY$1,'Medicaid CHIP Income Stand 2022'!$A$4:$A$54,0))</f>
        <v>3.01</v>
      </c>
      <c r="AZ2" s="9">
        <f>INDEX('Medicaid CHIP Income Stand 2022'!$B$4:$B$54,MATCH(AZ$1,'Medicaid CHIP Income Stand 2022'!$A$4:$A$54,0))</f>
        <v>2</v>
      </c>
    </row>
    <row r="3" spans="1:52" x14ac:dyDescent="0.35">
      <c r="A3" s="8" t="str">
        <f>'Medicaid CHIP Income Stand 2022'!C3</f>
        <v>Children Medicaid Ages 1-5</v>
      </c>
      <c r="B3" s="9">
        <f>INDEX('Medicaid CHIP Income Stand 2022'!$C$4:$C$54,MATCH(B$1,'Medicaid CHIP Income Stand 2022'!$A$4:$A$54,0))</f>
        <v>1.41</v>
      </c>
      <c r="C3" s="9">
        <f>INDEX('Medicaid CHIP Income Stand 2022'!$C$4:$C$54,MATCH(C$1,'Medicaid CHIP Income Stand 2022'!$A$4:$A$54,0))</f>
        <v>2.0299999999999998</v>
      </c>
      <c r="D3" s="9">
        <f>INDEX('Medicaid CHIP Income Stand 2022'!$C$4:$C$54,MATCH(D$1,'Medicaid CHIP Income Stand 2022'!$A$4:$A$54,0))</f>
        <v>1.41</v>
      </c>
      <c r="E3" s="9">
        <f>INDEX('Medicaid CHIP Income Stand 2022'!$C$4:$C$54,MATCH(E$1,'Medicaid CHIP Income Stand 2022'!$A$4:$A$54,0))</f>
        <v>1.42</v>
      </c>
      <c r="F3" s="9">
        <f>INDEX('Medicaid CHIP Income Stand 2022'!$C$4:$C$54,MATCH(F$1,'Medicaid CHIP Income Stand 2022'!$A$4:$A$54,0))</f>
        <v>2.61</v>
      </c>
      <c r="G3" s="9">
        <f>INDEX('Medicaid CHIP Income Stand 2022'!$C$4:$C$54,MATCH(G$1,'Medicaid CHIP Income Stand 2022'!$A$4:$A$54,0))</f>
        <v>1.42</v>
      </c>
      <c r="H3" s="9">
        <f>INDEX('Medicaid CHIP Income Stand 2022'!$C$4:$C$54,MATCH(H$1,'Medicaid CHIP Income Stand 2022'!$A$4:$A$54,0))</f>
        <v>1.96</v>
      </c>
      <c r="I3" s="9">
        <f>INDEX('Medicaid CHIP Income Stand 2022'!$C$4:$C$54,MATCH(I$1,'Medicaid CHIP Income Stand 2022'!$A$4:$A$54,0))</f>
        <v>1.42</v>
      </c>
      <c r="J3" s="9">
        <f>INDEX('Medicaid CHIP Income Stand 2022'!$C$4:$C$54,MATCH(J$1,'Medicaid CHIP Income Stand 2022'!$A$4:$A$54,0))</f>
        <v>3.19</v>
      </c>
      <c r="K3" s="9">
        <f>INDEX('Medicaid CHIP Income Stand 2022'!$C$4:$C$54,MATCH(K$1,'Medicaid CHIP Income Stand 2022'!$A$4:$A$54,0))</f>
        <v>1.4</v>
      </c>
      <c r="L3" s="9">
        <f>INDEX('Medicaid CHIP Income Stand 2022'!$C$4:$C$54,MATCH(L$1,'Medicaid CHIP Income Stand 2022'!$A$4:$A$54,0))</f>
        <v>1.49</v>
      </c>
      <c r="M3" s="9">
        <f>INDEX('Medicaid CHIP Income Stand 2022'!$C$4:$C$54,MATCH(M$1,'Medicaid CHIP Income Stand 2022'!$A$4:$A$54,0))</f>
        <v>3.08</v>
      </c>
      <c r="N3" s="9">
        <f>INDEX('Medicaid CHIP Income Stand 2022'!$C$4:$C$54,MATCH(N$1,'Medicaid CHIP Income Stand 2022'!$A$4:$A$54,0))</f>
        <v>1.42</v>
      </c>
      <c r="O3" s="9">
        <f>INDEX('Medicaid CHIP Income Stand 2022'!$C$4:$C$54,MATCH(O$1,'Medicaid CHIP Income Stand 2022'!$A$4:$A$54,0))</f>
        <v>1.42</v>
      </c>
      <c r="P3" s="9">
        <f>INDEX('Medicaid CHIP Income Stand 2022'!$C$4:$C$54,MATCH(P$1,'Medicaid CHIP Income Stand 2022'!$A$4:$A$54,0))</f>
        <v>1.58</v>
      </c>
      <c r="Q3" s="9">
        <f>INDEX('Medicaid CHIP Income Stand 2022'!$C$4:$C$54,MATCH(Q$1,'Medicaid CHIP Income Stand 2022'!$A$4:$A$54,0))</f>
        <v>1.67</v>
      </c>
      <c r="R3" s="9">
        <f>INDEX('Medicaid CHIP Income Stand 2022'!$C$4:$C$54,MATCH(R$1,'Medicaid CHIP Income Stand 2022'!$A$4:$A$54,0))</f>
        <v>1.49</v>
      </c>
      <c r="S3" s="9">
        <f>INDEX('Medicaid CHIP Income Stand 2022'!$C$4:$C$54,MATCH(S$1,'Medicaid CHIP Income Stand 2022'!$A$4:$A$54,0))</f>
        <v>1.59</v>
      </c>
      <c r="T3" s="9">
        <f>INDEX('Medicaid CHIP Income Stand 2022'!$C$4:$C$54,MATCH(T$1,'Medicaid CHIP Income Stand 2022'!$A$4:$A$54,0))</f>
        <v>2.12</v>
      </c>
      <c r="U3" s="9">
        <f>INDEX('Medicaid CHIP Income Stand 2022'!$C$4:$C$54,MATCH(U$1,'Medicaid CHIP Income Stand 2022'!$A$4:$A$54,0))</f>
        <v>1.57</v>
      </c>
      <c r="V3" s="9">
        <f>INDEX('Medicaid CHIP Income Stand 2022'!$C$4:$C$54,MATCH(V$1,'Medicaid CHIP Income Stand 2022'!$A$4:$A$54,0))</f>
        <v>3.17</v>
      </c>
      <c r="W3" s="9">
        <f>INDEX('Medicaid CHIP Income Stand 2022'!$C$4:$C$54,MATCH(W$1,'Medicaid CHIP Income Stand 2022'!$A$4:$A$54,0))</f>
        <v>1.5</v>
      </c>
      <c r="X3" s="9">
        <f>INDEX('Medicaid CHIP Income Stand 2022'!$C$4:$C$54,MATCH(X$1,'Medicaid CHIP Income Stand 2022'!$A$4:$A$54,0))</f>
        <v>2.12</v>
      </c>
      <c r="Y3" s="9">
        <f>INDEX('Medicaid CHIP Income Stand 2022'!$C$4:$C$54,MATCH(Y$1,'Medicaid CHIP Income Stand 2022'!$A$4:$A$54,0))</f>
        <v>2.75</v>
      </c>
      <c r="Z3" s="9">
        <f>INDEX('Medicaid CHIP Income Stand 2022'!$C$4:$C$54,MATCH(Z$1,'Medicaid CHIP Income Stand 2022'!$A$4:$A$54,0))</f>
        <v>1.43</v>
      </c>
      <c r="AA3" s="9">
        <f>INDEX('Medicaid CHIP Income Stand 2022'!$C$4:$C$54,MATCH(AA$1,'Medicaid CHIP Income Stand 2022'!$A$4:$A$54,0))</f>
        <v>1.5</v>
      </c>
      <c r="AB3" s="9">
        <f>INDEX('Medicaid CHIP Income Stand 2022'!$C$4:$C$54,MATCH(AB$1,'Medicaid CHIP Income Stand 2022'!$A$4:$A$54,0))</f>
        <v>1.43</v>
      </c>
      <c r="AC3" s="9">
        <f>INDEX('Medicaid CHIP Income Stand 2022'!$C$4:$C$54,MATCH(AC$1,'Medicaid CHIP Income Stand 2022'!$A$4:$A$54,0))</f>
        <v>2.13</v>
      </c>
      <c r="AD3" s="9">
        <f>INDEX('Medicaid CHIP Income Stand 2022'!$C$4:$C$54,MATCH(AD$1,'Medicaid CHIP Income Stand 2022'!$A$4:$A$54,0))</f>
        <v>1.6</v>
      </c>
      <c r="AE3" s="9">
        <f>INDEX('Medicaid CHIP Income Stand 2022'!$C$4:$C$54,MATCH(AE$1,'Medicaid CHIP Income Stand 2022'!$A$4:$A$54,0))</f>
        <v>3.18</v>
      </c>
      <c r="AF3" s="9">
        <f>INDEX('Medicaid CHIP Income Stand 2022'!$C$4:$C$54,MATCH(AF$1,'Medicaid CHIP Income Stand 2022'!$A$4:$A$54,0))</f>
        <v>1.42</v>
      </c>
      <c r="AG3" s="9">
        <f>INDEX('Medicaid CHIP Income Stand 2022'!$C$4:$C$54,MATCH(AG$1,'Medicaid CHIP Income Stand 2022'!$A$4:$A$54,0))</f>
        <v>3</v>
      </c>
      <c r="AH3" s="9">
        <f>INDEX('Medicaid CHIP Income Stand 2022'!$C$4:$C$54,MATCH(AH$1,'Medicaid CHIP Income Stand 2022'!$A$4:$A$54,0))</f>
        <v>1.49</v>
      </c>
      <c r="AI3" s="9">
        <f>INDEX('Medicaid CHIP Income Stand 2022'!$C$4:$C$54,MATCH(AI$1,'Medicaid CHIP Income Stand 2022'!$A$4:$A$54,0))</f>
        <v>2.1</v>
      </c>
      <c r="AJ3" s="9">
        <f>INDEX('Medicaid CHIP Income Stand 2022'!$C$4:$C$54,MATCH(AJ$1,'Medicaid CHIP Income Stand 2022'!$A$4:$A$54,0))</f>
        <v>1.7</v>
      </c>
      <c r="AK3" s="9">
        <f>INDEX('Medicaid CHIP Income Stand 2022'!$C$4:$C$54,MATCH(AK$1,'Medicaid CHIP Income Stand 2022'!$A$4:$A$54,0))</f>
        <v>2.06</v>
      </c>
      <c r="AL3" s="9">
        <f>INDEX('Medicaid CHIP Income Stand 2022'!$C$4:$C$54,MATCH(AL$1,'Medicaid CHIP Income Stand 2022'!$A$4:$A$54,0))</f>
        <v>2.0499999999999998</v>
      </c>
      <c r="AM3" s="9">
        <f>INDEX('Medicaid CHIP Income Stand 2022'!$C$4:$C$54,MATCH(AM$1,'Medicaid CHIP Income Stand 2022'!$A$4:$A$54,0))</f>
        <v>1.33</v>
      </c>
      <c r="AN3" s="9">
        <f>INDEX('Medicaid CHIP Income Stand 2022'!$C$4:$C$54,MATCH(AN$1,'Medicaid CHIP Income Stand 2022'!$A$4:$A$54,0))</f>
        <v>1.57</v>
      </c>
      <c r="AO3" s="9">
        <f>INDEX('Medicaid CHIP Income Stand 2022'!$C$4:$C$54,MATCH(AO$1,'Medicaid CHIP Income Stand 2022'!$A$4:$A$54,0))</f>
        <v>2.61</v>
      </c>
      <c r="AP3" s="9">
        <f>INDEX('Medicaid CHIP Income Stand 2022'!$C$4:$C$54,MATCH(AP$1,'Medicaid CHIP Income Stand 2022'!$A$4:$A$54,0))</f>
        <v>2.08</v>
      </c>
      <c r="AQ3" s="9">
        <f>INDEX('Medicaid CHIP Income Stand 2022'!$C$4:$C$54,MATCH(AQ$1,'Medicaid CHIP Income Stand 2022'!$A$4:$A$54,0))</f>
        <v>1.82</v>
      </c>
      <c r="AR3" s="9">
        <f>INDEX('Medicaid CHIP Income Stand 2022'!$C$4:$C$54,MATCH(AR$1,'Medicaid CHIP Income Stand 2022'!$A$4:$A$54,0))</f>
        <v>1.42</v>
      </c>
      <c r="AS3" s="9">
        <f>INDEX('Medicaid CHIP Income Stand 2022'!$C$4:$C$54,MATCH(AS$1,'Medicaid CHIP Income Stand 2022'!$A$4:$A$54,0))</f>
        <v>1.44</v>
      </c>
      <c r="AT3" s="9">
        <f>INDEX('Medicaid CHIP Income Stand 2022'!$C$4:$C$54,MATCH(AT$1,'Medicaid CHIP Income Stand 2022'!$A$4:$A$54,0))</f>
        <v>1.39</v>
      </c>
      <c r="AU3" s="9">
        <f>INDEX('Medicaid CHIP Income Stand 2022'!$C$4:$C$54,MATCH(AU$1,'Medicaid CHIP Income Stand 2022'!$A$4:$A$54,0))</f>
        <v>3.12</v>
      </c>
      <c r="AV3" s="9">
        <f>INDEX('Medicaid CHIP Income Stand 2022'!$C$4:$C$54,MATCH(AV$1,'Medicaid CHIP Income Stand 2022'!$A$4:$A$54,0))</f>
        <v>1.43</v>
      </c>
      <c r="AW3" s="9">
        <f>INDEX('Medicaid CHIP Income Stand 2022'!$C$4:$C$54,MATCH(AW$1,'Medicaid CHIP Income Stand 2022'!$A$4:$A$54,0))</f>
        <v>2.1</v>
      </c>
      <c r="AX3" s="9">
        <f>INDEX('Medicaid CHIP Income Stand 2022'!$C$4:$C$54,MATCH(AX$1,'Medicaid CHIP Income Stand 2022'!$A$4:$A$54,0))</f>
        <v>1.41</v>
      </c>
      <c r="AY3" s="9">
        <f>INDEX('Medicaid CHIP Income Stand 2022'!$C$4:$C$54,MATCH(AY$1,'Medicaid CHIP Income Stand 2022'!$A$4:$A$54,0))</f>
        <v>1.86</v>
      </c>
      <c r="AZ3" s="9">
        <f>INDEX('Medicaid CHIP Income Stand 2022'!$C$4:$C$54,MATCH(AZ$1,'Medicaid CHIP Income Stand 2022'!$A$4:$A$54,0))</f>
        <v>2</v>
      </c>
    </row>
    <row r="4" spans="1:52" x14ac:dyDescent="0.35">
      <c r="A4" s="8" t="s">
        <v>137</v>
      </c>
      <c r="B4" s="9">
        <f>INDEX('Medicaid CHIP Income Stand 2022'!$C$4:$C$54,MATCH(B$1,'Medicaid CHIP Income Stand 2022'!$A$4:$A$54,0))</f>
        <v>1.41</v>
      </c>
      <c r="C4" s="9">
        <f>INDEX('Medicaid CHIP Income Stand 2022'!$C$4:$C$54,MATCH(C$1,'Medicaid CHIP Income Stand 2022'!$A$4:$A$54,0))</f>
        <v>2.0299999999999998</v>
      </c>
      <c r="D4" s="9">
        <f>INDEX('Medicaid CHIP Income Stand 2022'!$C$4:$C$54,MATCH(D$1,'Medicaid CHIP Income Stand 2022'!$A$4:$A$54,0))</f>
        <v>1.41</v>
      </c>
      <c r="E4" s="9">
        <f>INDEX('Medicaid CHIP Income Stand 2022'!$C$4:$C$54,MATCH(E$1,'Medicaid CHIP Income Stand 2022'!$A$4:$A$54,0))</f>
        <v>1.42</v>
      </c>
      <c r="F4" s="9">
        <f>INDEX('Medicaid CHIP Income Stand 2022'!$C$4:$C$54,MATCH(F$1,'Medicaid CHIP Income Stand 2022'!$A$4:$A$54,0))</f>
        <v>2.61</v>
      </c>
      <c r="G4" s="9">
        <f>INDEX('Medicaid CHIP Income Stand 2022'!$C$4:$C$54,MATCH(G$1,'Medicaid CHIP Income Stand 2022'!$A$4:$A$54,0))</f>
        <v>1.42</v>
      </c>
      <c r="H4" s="9">
        <f>INDEX('Medicaid CHIP Income Stand 2022'!$C$4:$C$54,MATCH(H$1,'Medicaid CHIP Income Stand 2022'!$A$4:$A$54,0))</f>
        <v>1.96</v>
      </c>
      <c r="I4" s="9">
        <f>INDEX('Medicaid CHIP Income Stand 2022'!$C$4:$C$54,MATCH(I$1,'Medicaid CHIP Income Stand 2022'!$A$4:$A$54,0))</f>
        <v>1.42</v>
      </c>
      <c r="J4" s="9">
        <f>INDEX('Medicaid CHIP Income Stand 2022'!$C$4:$C$54,MATCH(J$1,'Medicaid CHIP Income Stand 2022'!$A$4:$A$54,0))</f>
        <v>3.19</v>
      </c>
      <c r="K4" s="9">
        <f>INDEX('Medicaid CHIP Income Stand 2022'!$C$4:$C$54,MATCH(K$1,'Medicaid CHIP Income Stand 2022'!$A$4:$A$54,0))</f>
        <v>1.4</v>
      </c>
      <c r="L4" s="9">
        <f>INDEX('Medicaid CHIP Income Stand 2022'!$C$4:$C$54,MATCH(L$1,'Medicaid CHIP Income Stand 2022'!$A$4:$A$54,0))</f>
        <v>1.49</v>
      </c>
      <c r="M4" s="9">
        <f>INDEX('Medicaid CHIP Income Stand 2022'!$C$4:$C$54,MATCH(M$1,'Medicaid CHIP Income Stand 2022'!$A$4:$A$54,0))</f>
        <v>3.08</v>
      </c>
      <c r="N4" s="9">
        <f>INDEX('Medicaid CHIP Income Stand 2022'!$C$4:$C$54,MATCH(N$1,'Medicaid CHIP Income Stand 2022'!$A$4:$A$54,0))</f>
        <v>1.42</v>
      </c>
      <c r="O4" s="9">
        <f>INDEX('Medicaid CHIP Income Stand 2022'!$C$4:$C$54,MATCH(O$1,'Medicaid CHIP Income Stand 2022'!$A$4:$A$54,0))</f>
        <v>1.42</v>
      </c>
      <c r="P4" s="9">
        <f>INDEX('Medicaid CHIP Income Stand 2022'!$C$4:$C$54,MATCH(P$1,'Medicaid CHIP Income Stand 2022'!$A$4:$A$54,0))</f>
        <v>1.58</v>
      </c>
      <c r="Q4" s="9">
        <f>INDEX('Medicaid CHIP Income Stand 2022'!$C$4:$C$54,MATCH(Q$1,'Medicaid CHIP Income Stand 2022'!$A$4:$A$54,0))</f>
        <v>1.67</v>
      </c>
      <c r="R4" s="9">
        <f>INDEX('Medicaid CHIP Income Stand 2022'!$C$4:$C$54,MATCH(R$1,'Medicaid CHIP Income Stand 2022'!$A$4:$A$54,0))</f>
        <v>1.49</v>
      </c>
      <c r="S4" s="9">
        <f>INDEX('Medicaid CHIP Income Stand 2022'!$C$4:$C$54,MATCH(S$1,'Medicaid CHIP Income Stand 2022'!$A$4:$A$54,0))</f>
        <v>1.59</v>
      </c>
      <c r="T4" s="9">
        <f>INDEX('Medicaid CHIP Income Stand 2022'!$C$4:$C$54,MATCH(T$1,'Medicaid CHIP Income Stand 2022'!$A$4:$A$54,0))</f>
        <v>2.12</v>
      </c>
      <c r="U4" s="9">
        <f>INDEX('Medicaid CHIP Income Stand 2022'!$C$4:$C$54,MATCH(U$1,'Medicaid CHIP Income Stand 2022'!$A$4:$A$54,0))</f>
        <v>1.57</v>
      </c>
      <c r="V4" s="9">
        <f>INDEX('Medicaid CHIP Income Stand 2022'!$C$4:$C$54,MATCH(V$1,'Medicaid CHIP Income Stand 2022'!$A$4:$A$54,0))</f>
        <v>3.17</v>
      </c>
      <c r="W4" s="9">
        <f>INDEX('Medicaid CHIP Income Stand 2022'!$C$4:$C$54,MATCH(W$1,'Medicaid CHIP Income Stand 2022'!$A$4:$A$54,0))</f>
        <v>1.5</v>
      </c>
      <c r="X4" s="9">
        <f>INDEX('Medicaid CHIP Income Stand 2022'!$C$4:$C$54,MATCH(X$1,'Medicaid CHIP Income Stand 2022'!$A$4:$A$54,0))</f>
        <v>2.12</v>
      </c>
      <c r="Y4" s="9">
        <f>INDEX('Medicaid CHIP Income Stand 2022'!$C$4:$C$54,MATCH(Y$1,'Medicaid CHIP Income Stand 2022'!$A$4:$A$54,0))</f>
        <v>2.75</v>
      </c>
      <c r="Z4" s="9">
        <f>INDEX('Medicaid CHIP Income Stand 2022'!$C$4:$C$54,MATCH(Z$1,'Medicaid CHIP Income Stand 2022'!$A$4:$A$54,0))</f>
        <v>1.43</v>
      </c>
      <c r="AA4" s="9">
        <f>INDEX('Medicaid CHIP Income Stand 2022'!$C$4:$C$54,MATCH(AA$1,'Medicaid CHIP Income Stand 2022'!$A$4:$A$54,0))</f>
        <v>1.5</v>
      </c>
      <c r="AB4" s="9">
        <f>INDEX('Medicaid CHIP Income Stand 2022'!$C$4:$C$54,MATCH(AB$1,'Medicaid CHIP Income Stand 2022'!$A$4:$A$54,0))</f>
        <v>1.43</v>
      </c>
      <c r="AC4" s="9">
        <f>INDEX('Medicaid CHIP Income Stand 2022'!$C$4:$C$54,MATCH(AC$1,'Medicaid CHIP Income Stand 2022'!$A$4:$A$54,0))</f>
        <v>2.13</v>
      </c>
      <c r="AD4" s="9">
        <f>INDEX('Medicaid CHIP Income Stand 2022'!$C$4:$C$54,MATCH(AD$1,'Medicaid CHIP Income Stand 2022'!$A$4:$A$54,0))</f>
        <v>1.6</v>
      </c>
      <c r="AE4" s="9">
        <f>INDEX('Medicaid CHIP Income Stand 2022'!$C$4:$C$54,MATCH(AE$1,'Medicaid CHIP Income Stand 2022'!$A$4:$A$54,0))</f>
        <v>3.18</v>
      </c>
      <c r="AF4" s="9">
        <f>INDEX('Medicaid CHIP Income Stand 2022'!$C$4:$C$54,MATCH(AF$1,'Medicaid CHIP Income Stand 2022'!$A$4:$A$54,0))</f>
        <v>1.42</v>
      </c>
      <c r="AG4" s="9">
        <f>INDEX('Medicaid CHIP Income Stand 2022'!$C$4:$C$54,MATCH(AG$1,'Medicaid CHIP Income Stand 2022'!$A$4:$A$54,0))</f>
        <v>3</v>
      </c>
      <c r="AH4" s="9">
        <f>INDEX('Medicaid CHIP Income Stand 2022'!$C$4:$C$54,MATCH(AH$1,'Medicaid CHIP Income Stand 2022'!$A$4:$A$54,0))</f>
        <v>1.49</v>
      </c>
      <c r="AI4" s="9">
        <f>INDEX('Medicaid CHIP Income Stand 2022'!$C$4:$C$54,MATCH(AI$1,'Medicaid CHIP Income Stand 2022'!$A$4:$A$54,0))</f>
        <v>2.1</v>
      </c>
      <c r="AJ4" s="9">
        <f>INDEX('Medicaid CHIP Income Stand 2022'!$C$4:$C$54,MATCH(AJ$1,'Medicaid CHIP Income Stand 2022'!$A$4:$A$54,0))</f>
        <v>1.7</v>
      </c>
      <c r="AK4" s="9">
        <f>INDEX('Medicaid CHIP Income Stand 2022'!$C$4:$C$54,MATCH(AK$1,'Medicaid CHIP Income Stand 2022'!$A$4:$A$54,0))</f>
        <v>2.06</v>
      </c>
      <c r="AL4" s="9">
        <f>INDEX('Medicaid CHIP Income Stand 2022'!$C$4:$C$54,MATCH(AL$1,'Medicaid CHIP Income Stand 2022'!$A$4:$A$54,0))</f>
        <v>2.0499999999999998</v>
      </c>
      <c r="AM4" s="9">
        <f>INDEX('Medicaid CHIP Income Stand 2022'!$C$4:$C$54,MATCH(AM$1,'Medicaid CHIP Income Stand 2022'!$A$4:$A$54,0))</f>
        <v>1.33</v>
      </c>
      <c r="AN4" s="9">
        <f>INDEX('Medicaid CHIP Income Stand 2022'!$C$4:$C$54,MATCH(AN$1,'Medicaid CHIP Income Stand 2022'!$A$4:$A$54,0))</f>
        <v>1.57</v>
      </c>
      <c r="AO4" s="9">
        <f>INDEX('Medicaid CHIP Income Stand 2022'!$C$4:$C$54,MATCH(AO$1,'Medicaid CHIP Income Stand 2022'!$A$4:$A$54,0))</f>
        <v>2.61</v>
      </c>
      <c r="AP4" s="9">
        <f>INDEX('Medicaid CHIP Income Stand 2022'!$C$4:$C$54,MATCH(AP$1,'Medicaid CHIP Income Stand 2022'!$A$4:$A$54,0))</f>
        <v>2.08</v>
      </c>
      <c r="AQ4" s="9">
        <f>INDEX('Medicaid CHIP Income Stand 2022'!$C$4:$C$54,MATCH(AQ$1,'Medicaid CHIP Income Stand 2022'!$A$4:$A$54,0))</f>
        <v>1.82</v>
      </c>
      <c r="AR4" s="9">
        <f>INDEX('Medicaid CHIP Income Stand 2022'!$C$4:$C$54,MATCH(AR$1,'Medicaid CHIP Income Stand 2022'!$A$4:$A$54,0))</f>
        <v>1.42</v>
      </c>
      <c r="AS4" s="9">
        <f>INDEX('Medicaid CHIP Income Stand 2022'!$C$4:$C$54,MATCH(AS$1,'Medicaid CHIP Income Stand 2022'!$A$4:$A$54,0))</f>
        <v>1.44</v>
      </c>
      <c r="AT4" s="9">
        <f>INDEX('Medicaid CHIP Income Stand 2022'!$C$4:$C$54,MATCH(AT$1,'Medicaid CHIP Income Stand 2022'!$A$4:$A$54,0))</f>
        <v>1.39</v>
      </c>
      <c r="AU4" s="9">
        <f>INDEX('Medicaid CHIP Income Stand 2022'!$C$4:$C$54,MATCH(AU$1,'Medicaid CHIP Income Stand 2022'!$A$4:$A$54,0))</f>
        <v>3.12</v>
      </c>
      <c r="AV4" s="9">
        <f>INDEX('Medicaid CHIP Income Stand 2022'!$C$4:$C$54,MATCH(AV$1,'Medicaid CHIP Income Stand 2022'!$A$4:$A$54,0))</f>
        <v>1.43</v>
      </c>
      <c r="AW4" s="9">
        <f>INDEX('Medicaid CHIP Income Stand 2022'!$C$4:$C$54,MATCH(AW$1,'Medicaid CHIP Income Stand 2022'!$A$4:$A$54,0))</f>
        <v>2.1</v>
      </c>
      <c r="AX4" s="9">
        <f>INDEX('Medicaid CHIP Income Stand 2022'!$C$4:$C$54,MATCH(AX$1,'Medicaid CHIP Income Stand 2022'!$A$4:$A$54,0))</f>
        <v>1.41</v>
      </c>
      <c r="AY4" s="9">
        <f>INDEX('Medicaid CHIP Income Stand 2022'!$C$4:$C$54,MATCH(AY$1,'Medicaid CHIP Income Stand 2022'!$A$4:$A$54,0))</f>
        <v>1.86</v>
      </c>
      <c r="AZ4" s="9">
        <f>INDEX('Medicaid CHIP Income Stand 2022'!$C$4:$C$54,MATCH(AZ$1,'Medicaid CHIP Income Stand 2022'!$A$4:$A$54,0))</f>
        <v>2</v>
      </c>
    </row>
    <row r="5" spans="1:52" x14ac:dyDescent="0.35">
      <c r="A5" s="8" t="str">
        <f>'Medicaid CHIP Income Stand 2022'!D3</f>
        <v>Children Medicaid Ages 6-18</v>
      </c>
      <c r="B5" s="9">
        <f>INDEX('Medicaid CHIP Income Stand 2022'!$D$4:$D$54,MATCH(B$1,'Medicaid CHIP Income Stand 2022'!$A$4:$A$54,0))</f>
        <v>1.41</v>
      </c>
      <c r="C5" s="9">
        <f>INDEX('Medicaid CHIP Income Stand 2022'!$D$4:$D$54,MATCH(C$1,'Medicaid CHIP Income Stand 2022'!$A$4:$A$54,0))</f>
        <v>2.0299999999999998</v>
      </c>
      <c r="D5" s="9">
        <f>INDEX('Medicaid CHIP Income Stand 2022'!$D$4:$D$54,MATCH(D$1,'Medicaid CHIP Income Stand 2022'!$A$4:$A$54,0))</f>
        <v>1.33</v>
      </c>
      <c r="E5" s="9">
        <f>INDEX('Medicaid CHIP Income Stand 2022'!$D$4:$D$54,MATCH(E$1,'Medicaid CHIP Income Stand 2022'!$A$4:$A$54,0))</f>
        <v>1.42</v>
      </c>
      <c r="F5" s="9">
        <f>INDEX('Medicaid CHIP Income Stand 2022'!$D$4:$D$54,MATCH(F$1,'Medicaid CHIP Income Stand 2022'!$A$4:$A$54,0))</f>
        <v>2.61</v>
      </c>
      <c r="G5" s="9">
        <f>INDEX('Medicaid CHIP Income Stand 2022'!$D$4:$D$54,MATCH(G$1,'Medicaid CHIP Income Stand 2022'!$A$4:$A$54,0))</f>
        <v>1.42</v>
      </c>
      <c r="H5" s="9">
        <f>INDEX('Medicaid CHIP Income Stand 2022'!$D$4:$D$54,MATCH(H$1,'Medicaid CHIP Income Stand 2022'!$A$4:$A$54,0))</f>
        <v>1.96</v>
      </c>
      <c r="I5" s="9">
        <f>INDEX('Medicaid CHIP Income Stand 2022'!$D$4:$D$54,MATCH(I$1,'Medicaid CHIP Income Stand 2022'!$A$4:$A$54,0))</f>
        <v>1.33</v>
      </c>
      <c r="J5" s="9">
        <f>INDEX('Medicaid CHIP Income Stand 2022'!$D$4:$D$54,MATCH(J$1,'Medicaid CHIP Income Stand 2022'!$A$4:$A$54,0))</f>
        <v>3.19</v>
      </c>
      <c r="K5" s="9">
        <f>INDEX('Medicaid CHIP Income Stand 2022'!$D$4:$D$54,MATCH(K$1,'Medicaid CHIP Income Stand 2022'!$A$4:$A$54,0))</f>
        <v>1.33</v>
      </c>
      <c r="L5" s="9">
        <f>INDEX('Medicaid CHIP Income Stand 2022'!$D$4:$D$54,MATCH(L$1,'Medicaid CHIP Income Stand 2022'!$A$4:$A$54,0))</f>
        <v>1.33</v>
      </c>
      <c r="M5" s="9">
        <f>INDEX('Medicaid CHIP Income Stand 2022'!$D$4:$D$54,MATCH(M$1,'Medicaid CHIP Income Stand 2022'!$A$4:$A$54,0))</f>
        <v>3.08</v>
      </c>
      <c r="N5" s="9">
        <f>INDEX('Medicaid CHIP Income Stand 2022'!$D$4:$D$54,MATCH(N$1,'Medicaid CHIP Income Stand 2022'!$A$4:$A$54,0))</f>
        <v>1.33</v>
      </c>
      <c r="O5" s="9">
        <f>INDEX('Medicaid CHIP Income Stand 2022'!$D$4:$D$54,MATCH(O$1,'Medicaid CHIP Income Stand 2022'!$A$4:$A$54,0))</f>
        <v>1.42</v>
      </c>
      <c r="P5" s="9">
        <f>INDEX('Medicaid CHIP Income Stand 2022'!$D$4:$D$54,MATCH(P$1,'Medicaid CHIP Income Stand 2022'!$A$4:$A$54,0))</f>
        <v>1.58</v>
      </c>
      <c r="Q5" s="9">
        <f>INDEX('Medicaid CHIP Income Stand 2022'!$D$4:$D$54,MATCH(Q$1,'Medicaid CHIP Income Stand 2022'!$A$4:$A$54,0))</f>
        <v>1.67</v>
      </c>
      <c r="R5" s="9">
        <f>INDEX('Medicaid CHIP Income Stand 2022'!$D$4:$D$54,MATCH(R$1,'Medicaid CHIP Income Stand 2022'!$A$4:$A$54,0))</f>
        <v>1.33</v>
      </c>
      <c r="S5" s="9">
        <f>INDEX('Medicaid CHIP Income Stand 2022'!$D$4:$D$54,MATCH(S$1,'Medicaid CHIP Income Stand 2022'!$A$4:$A$54,0))</f>
        <v>1.59</v>
      </c>
      <c r="T5" s="9">
        <f>INDEX('Medicaid CHIP Income Stand 2022'!$D$4:$D$54,MATCH(T$1,'Medicaid CHIP Income Stand 2022'!$A$4:$A$54,0))</f>
        <v>2.12</v>
      </c>
      <c r="U5" s="9">
        <f>INDEX('Medicaid CHIP Income Stand 2022'!$D$4:$D$54,MATCH(U$1,'Medicaid CHIP Income Stand 2022'!$A$4:$A$54,0))</f>
        <v>1.57</v>
      </c>
      <c r="V5" s="9">
        <f>INDEX('Medicaid CHIP Income Stand 2022'!$D$4:$D$54,MATCH(V$1,'Medicaid CHIP Income Stand 2022'!$A$4:$A$54,0))</f>
        <v>3.17</v>
      </c>
      <c r="W5" s="9">
        <f>INDEX('Medicaid CHIP Income Stand 2022'!$D$4:$D$54,MATCH(W$1,'Medicaid CHIP Income Stand 2022'!$A$4:$A$54,0))</f>
        <v>1.5</v>
      </c>
      <c r="X5" s="9">
        <f>INDEX('Medicaid CHIP Income Stand 2022'!$D$4:$D$54,MATCH(X$1,'Medicaid CHIP Income Stand 2022'!$A$4:$A$54,0))</f>
        <v>2.12</v>
      </c>
      <c r="Y5" s="9">
        <f>INDEX('Medicaid CHIP Income Stand 2022'!$D$4:$D$54,MATCH(Y$1,'Medicaid CHIP Income Stand 2022'!$A$4:$A$54,0))</f>
        <v>2.75</v>
      </c>
      <c r="Z5" s="9">
        <f>INDEX('Medicaid CHIP Income Stand 2022'!$D$4:$D$54,MATCH(Z$1,'Medicaid CHIP Income Stand 2022'!$A$4:$A$54,0))</f>
        <v>1.33</v>
      </c>
      <c r="AA5" s="9">
        <f>INDEX('Medicaid CHIP Income Stand 2022'!$D$4:$D$54,MATCH(AA$1,'Medicaid CHIP Income Stand 2022'!$A$4:$A$54,0))</f>
        <v>1.5</v>
      </c>
      <c r="AB5" s="9">
        <f>INDEX('Medicaid CHIP Income Stand 2022'!$D$4:$D$54,MATCH(AB$1,'Medicaid CHIP Income Stand 2022'!$A$4:$A$54,0))</f>
        <v>1.43</v>
      </c>
      <c r="AC5" s="9">
        <f>INDEX('Medicaid CHIP Income Stand 2022'!$D$4:$D$54,MATCH(AC$1,'Medicaid CHIP Income Stand 2022'!$A$4:$A$54,0))</f>
        <v>2.13</v>
      </c>
      <c r="AD5" s="9">
        <f>INDEX('Medicaid CHIP Income Stand 2022'!$D$4:$D$54,MATCH(AD$1,'Medicaid CHIP Income Stand 2022'!$A$4:$A$54,0))</f>
        <v>1.33</v>
      </c>
      <c r="AE5" s="9">
        <f>INDEX('Medicaid CHIP Income Stand 2022'!$D$4:$D$54,MATCH(AE$1,'Medicaid CHIP Income Stand 2022'!$A$4:$A$54,0))</f>
        <v>3.18</v>
      </c>
      <c r="AF5" s="9">
        <f>INDEX('Medicaid CHIP Income Stand 2022'!$D$4:$D$54,MATCH(AF$1,'Medicaid CHIP Income Stand 2022'!$A$4:$A$54,0))</f>
        <v>1.42</v>
      </c>
      <c r="AG5" s="9">
        <f>INDEX('Medicaid CHIP Income Stand 2022'!$D$4:$D$54,MATCH(AG$1,'Medicaid CHIP Income Stand 2022'!$A$4:$A$54,0))</f>
        <v>2.4</v>
      </c>
      <c r="AH5" s="9">
        <f>INDEX('Medicaid CHIP Income Stand 2022'!$D$4:$D$54,MATCH(AH$1,'Medicaid CHIP Income Stand 2022'!$A$4:$A$54,0))</f>
        <v>1.49</v>
      </c>
      <c r="AI5" s="9">
        <f>INDEX('Medicaid CHIP Income Stand 2022'!$D$4:$D$54,MATCH(AI$1,'Medicaid CHIP Income Stand 2022'!$A$4:$A$54,0))</f>
        <v>1.33</v>
      </c>
      <c r="AJ5" s="9">
        <f>INDEX('Medicaid CHIP Income Stand 2022'!$D$4:$D$54,MATCH(AJ$1,'Medicaid CHIP Income Stand 2022'!$A$4:$A$54,0))</f>
        <v>1.7</v>
      </c>
      <c r="AK5" s="9">
        <f>INDEX('Medicaid CHIP Income Stand 2022'!$D$4:$D$54,MATCH(AK$1,'Medicaid CHIP Income Stand 2022'!$A$4:$A$54,0))</f>
        <v>2.06</v>
      </c>
      <c r="AL5" s="9">
        <f>INDEX('Medicaid CHIP Income Stand 2022'!$D$4:$D$54,MATCH(AL$1,'Medicaid CHIP Income Stand 2022'!$A$4:$A$54,0))</f>
        <v>2.0499999999999998</v>
      </c>
      <c r="AM5" s="9">
        <f>INDEX('Medicaid CHIP Income Stand 2022'!$D$4:$D$54,MATCH(AM$1,'Medicaid CHIP Income Stand 2022'!$A$4:$A$54,0))</f>
        <v>1.33</v>
      </c>
      <c r="AN5" s="9">
        <f>INDEX('Medicaid CHIP Income Stand 2022'!$D$4:$D$54,MATCH(AN$1,'Medicaid CHIP Income Stand 2022'!$A$4:$A$54,0))</f>
        <v>1.33</v>
      </c>
      <c r="AO5" s="9">
        <f>INDEX('Medicaid CHIP Income Stand 2022'!$D$4:$D$54,MATCH(AO$1,'Medicaid CHIP Income Stand 2022'!$A$4:$A$54,0))</f>
        <v>2.61</v>
      </c>
      <c r="AP5" s="9">
        <f>INDEX('Medicaid CHIP Income Stand 2022'!$D$4:$D$54,MATCH(AP$1,'Medicaid CHIP Income Stand 2022'!$A$4:$A$54,0))</f>
        <v>2.08</v>
      </c>
      <c r="AQ5" s="9">
        <f>INDEX('Medicaid CHIP Income Stand 2022'!$D$4:$D$54,MATCH(AQ$1,'Medicaid CHIP Income Stand 2022'!$A$4:$A$54,0))</f>
        <v>1.82</v>
      </c>
      <c r="AR5" s="9">
        <f>INDEX('Medicaid CHIP Income Stand 2022'!$D$4:$D$54,MATCH(AR$1,'Medicaid CHIP Income Stand 2022'!$A$4:$A$54,0))</f>
        <v>1.33</v>
      </c>
      <c r="AS5" s="9">
        <f>INDEX('Medicaid CHIP Income Stand 2022'!$D$4:$D$54,MATCH(AS$1,'Medicaid CHIP Income Stand 2022'!$A$4:$A$54,0))</f>
        <v>1.33</v>
      </c>
      <c r="AT5" s="9">
        <f>INDEX('Medicaid CHIP Income Stand 2022'!$D$4:$D$54,MATCH(AT$1,'Medicaid CHIP Income Stand 2022'!$A$4:$A$54,0))</f>
        <v>1.33</v>
      </c>
      <c r="AU5" s="9">
        <f>INDEX('Medicaid CHIP Income Stand 2022'!$D$4:$D$54,MATCH(AU$1,'Medicaid CHIP Income Stand 2022'!$A$4:$A$54,0))</f>
        <v>3.12</v>
      </c>
      <c r="AV5" s="9">
        <f>INDEX('Medicaid CHIP Income Stand 2022'!$D$4:$D$54,MATCH(AV$1,'Medicaid CHIP Income Stand 2022'!$A$4:$A$54,0))</f>
        <v>1.43</v>
      </c>
      <c r="AW5" s="9">
        <f>INDEX('Medicaid CHIP Income Stand 2022'!$D$4:$D$54,MATCH(AW$1,'Medicaid CHIP Income Stand 2022'!$A$4:$A$54,0))</f>
        <v>2.1</v>
      </c>
      <c r="AX5" s="9">
        <f>INDEX('Medicaid CHIP Income Stand 2022'!$D$4:$D$54,MATCH(AX$1,'Medicaid CHIP Income Stand 2022'!$A$4:$A$54,0))</f>
        <v>1.33</v>
      </c>
      <c r="AY5" s="9">
        <f>INDEX('Medicaid CHIP Income Stand 2022'!$D$4:$D$54,MATCH(AY$1,'Medicaid CHIP Income Stand 2022'!$A$4:$A$54,0))</f>
        <v>1.51</v>
      </c>
      <c r="AZ5" s="9">
        <f>INDEX('Medicaid CHIP Income Stand 2022'!$D$4:$D$54,MATCH(AZ$1,'Medicaid CHIP Income Stand 2022'!$A$4:$A$54,0))</f>
        <v>2</v>
      </c>
    </row>
    <row r="6" spans="1:52" hidden="1" x14ac:dyDescent="0.35">
      <c r="A6" s="8" t="str">
        <f>'Medicaid CHIP Income Stand 2022'!E3</f>
        <v>Children Separate CHIP</v>
      </c>
      <c r="B6" s="9">
        <f>INDEX('Medicaid CHIP Income Stand 2022'!$E$4:$E$54,MATCH(B$1,'Medicaid CHIP Income Stand 2022'!$A$4:$A$54,0))</f>
        <v>3.12</v>
      </c>
      <c r="C6" s="9" t="str">
        <f>INDEX('Medicaid CHIP Income Stand 2022'!$E$4:$E$54,MATCH(C$1,'Medicaid CHIP Income Stand 2022'!$A$4:$A$54,0))</f>
        <v>N/A</v>
      </c>
      <c r="D6" s="9">
        <f>INDEX('Medicaid CHIP Income Stand 2022'!$E$4:$E$54,MATCH(D$1,'Medicaid CHIP Income Stand 2022'!$A$4:$A$54,0))</f>
        <v>2</v>
      </c>
      <c r="E6" s="9">
        <f>INDEX('Medicaid CHIP Income Stand 2022'!$E$4:$E$54,MATCH(E$1,'Medicaid CHIP Income Stand 2022'!$A$4:$A$54,0))</f>
        <v>2.11</v>
      </c>
      <c r="F6" s="9">
        <f>INDEX('Medicaid CHIP Income Stand 2022'!$E$4:$E$54,MATCH(F$1,'Medicaid CHIP Income Stand 2022'!$A$4:$A$54,0))</f>
        <v>3.17</v>
      </c>
      <c r="G6" s="9">
        <f>INDEX('Medicaid CHIP Income Stand 2022'!$E$4:$E$54,MATCH(G$1,'Medicaid CHIP Income Stand 2022'!$A$4:$A$54,0))</f>
        <v>2.6</v>
      </c>
      <c r="H6" s="9">
        <f>INDEX('Medicaid CHIP Income Stand 2022'!$E$4:$E$54,MATCH(H$1,'Medicaid CHIP Income Stand 2022'!$A$4:$A$54,0))</f>
        <v>3.18</v>
      </c>
      <c r="I6" s="9">
        <f>INDEX('Medicaid CHIP Income Stand 2022'!$E$4:$E$54,MATCH(I$1,'Medicaid CHIP Income Stand 2022'!$A$4:$A$54,0))</f>
        <v>2.12</v>
      </c>
      <c r="J6" s="9" t="str">
        <f>INDEX('Medicaid CHIP Income Stand 2022'!$E$4:$E$54,MATCH(J$1,'Medicaid CHIP Income Stand 2022'!$A$4:$A$54,0))</f>
        <v>N/A</v>
      </c>
      <c r="K6" s="9">
        <f>INDEX('Medicaid CHIP Income Stand 2022'!$E$4:$E$54,MATCH(K$1,'Medicaid CHIP Income Stand 2022'!$A$4:$A$54,0))</f>
        <v>2.1</v>
      </c>
      <c r="L6" s="9">
        <f>INDEX('Medicaid CHIP Income Stand 2022'!$E$4:$E$54,MATCH(L$1,'Medicaid CHIP Income Stand 2022'!$A$4:$A$54,0))</f>
        <v>2.4700000000000002</v>
      </c>
      <c r="M6" s="9" t="str">
        <f>INDEX('Medicaid CHIP Income Stand 2022'!$E$4:$E$54,MATCH(M$1,'Medicaid CHIP Income Stand 2022'!$A$4:$A$54,0))</f>
        <v>N/A</v>
      </c>
      <c r="N6" s="9">
        <f>INDEX('Medicaid CHIP Income Stand 2022'!$E$4:$E$54,MATCH(N$1,'Medicaid CHIP Income Stand 2022'!$A$4:$A$54,0))</f>
        <v>1.85</v>
      </c>
      <c r="O6" s="9">
        <f>INDEX('Medicaid CHIP Income Stand 2022'!$E$4:$E$54,MATCH(O$1,'Medicaid CHIP Income Stand 2022'!$A$4:$A$54,0))</f>
        <v>3.13</v>
      </c>
      <c r="P6" s="9">
        <f>INDEX('Medicaid CHIP Income Stand 2022'!$E$4:$E$54,MATCH(P$1,'Medicaid CHIP Income Stand 2022'!$A$4:$A$54,0))</f>
        <v>2.5</v>
      </c>
      <c r="Q6" s="9">
        <f>INDEX('Medicaid CHIP Income Stand 2022'!$E$4:$E$54,MATCH(Q$1,'Medicaid CHIP Income Stand 2022'!$A$4:$A$54,0))</f>
        <v>3.02</v>
      </c>
      <c r="R6" s="9">
        <f>INDEX('Medicaid CHIP Income Stand 2022'!$E$4:$E$54,MATCH(R$1,'Medicaid CHIP Income Stand 2022'!$A$4:$A$54,0))</f>
        <v>2.25</v>
      </c>
      <c r="S6" s="9">
        <f>INDEX('Medicaid CHIP Income Stand 2022'!$E$4:$E$54,MATCH(S$1,'Medicaid CHIP Income Stand 2022'!$A$4:$A$54,0))</f>
        <v>2.13</v>
      </c>
      <c r="T6" s="9">
        <f>INDEX('Medicaid CHIP Income Stand 2022'!$E$4:$E$54,MATCH(T$1,'Medicaid CHIP Income Stand 2022'!$A$4:$A$54,0))</f>
        <v>2.5</v>
      </c>
      <c r="U6" s="9">
        <f>INDEX('Medicaid CHIP Income Stand 2022'!$E$4:$E$54,MATCH(U$1,'Medicaid CHIP Income Stand 2022'!$A$4:$A$54,0))</f>
        <v>2.08</v>
      </c>
      <c r="V6" s="9" t="str">
        <f>INDEX('Medicaid CHIP Income Stand 2022'!$E$4:$E$54,MATCH(V$1,'Medicaid CHIP Income Stand 2022'!$A$4:$A$54,0))</f>
        <v>N/A</v>
      </c>
      <c r="W6" s="9">
        <f>INDEX('Medicaid CHIP Income Stand 2022'!$E$4:$E$54,MATCH(W$1,'Medicaid CHIP Income Stand 2022'!$A$4:$A$54,0))</f>
        <v>3</v>
      </c>
      <c r="X6" s="9" t="str">
        <f>INDEX('Medicaid CHIP Income Stand 2022'!$E$4:$E$54,MATCH(X$1,'Medicaid CHIP Income Stand 2022'!$A$4:$A$54,0))</f>
        <v>N/A</v>
      </c>
      <c r="Y6" s="9" t="str">
        <f>INDEX('Medicaid CHIP Income Stand 2022'!$E$4:$E$54,MATCH(Y$1,'Medicaid CHIP Income Stand 2022'!$A$4:$A$54,0))</f>
        <v>N/A</v>
      </c>
      <c r="Z6" s="9">
        <f>INDEX('Medicaid CHIP Income Stand 2022'!$E$4:$E$54,MATCH(Z$1,'Medicaid CHIP Income Stand 2022'!$A$4:$A$54,0))</f>
        <v>2.09</v>
      </c>
      <c r="AA6" s="9">
        <f>INDEX('Medicaid CHIP Income Stand 2022'!$E$4:$E$54,MATCH(AA$1,'Medicaid CHIP Income Stand 2022'!$A$4:$A$54,0))</f>
        <v>3</v>
      </c>
      <c r="AB6" s="9">
        <f>INDEX('Medicaid CHIP Income Stand 2022'!$E$4:$E$54,MATCH(AB$1,'Medicaid CHIP Income Stand 2022'!$A$4:$A$54,0))</f>
        <v>2.61</v>
      </c>
      <c r="AC6" s="9" t="str">
        <f>INDEX('Medicaid CHIP Income Stand 2022'!$E$4:$E$54,MATCH(AC$1,'Medicaid CHIP Income Stand 2022'!$A$4:$A$54,0))</f>
        <v>N/A</v>
      </c>
      <c r="AD6" s="9">
        <f>INDEX('Medicaid CHIP Income Stand 2022'!$E$4:$E$54,MATCH(AD$1,'Medicaid CHIP Income Stand 2022'!$A$4:$A$54,0))</f>
        <v>2</v>
      </c>
      <c r="AE6" s="9" t="str">
        <f>INDEX('Medicaid CHIP Income Stand 2022'!$E$4:$E$54,MATCH(AE$1,'Medicaid CHIP Income Stand 2022'!$A$4:$A$54,0))</f>
        <v>N/A</v>
      </c>
      <c r="AF6" s="9">
        <f>INDEX('Medicaid CHIP Income Stand 2022'!$E$4:$E$54,MATCH(AF$1,'Medicaid CHIP Income Stand 2022'!$A$4:$A$54,0))</f>
        <v>3.5</v>
      </c>
      <c r="AG6" s="9" t="str">
        <f>INDEX('Medicaid CHIP Income Stand 2022'!$E$4:$E$54,MATCH(AG$1,'Medicaid CHIP Income Stand 2022'!$A$4:$A$54,0))</f>
        <v>N/A</v>
      </c>
      <c r="AH6" s="9">
        <f>INDEX('Medicaid CHIP Income Stand 2022'!$E$4:$E$54,MATCH(AH$1,'Medicaid CHIP Income Stand 2022'!$A$4:$A$54,0))</f>
        <v>4</v>
      </c>
      <c r="AI6" s="9">
        <f>INDEX('Medicaid CHIP Income Stand 2022'!$E$4:$E$54,MATCH(AI$1,'Medicaid CHIP Income Stand 2022'!$A$4:$A$54,0))</f>
        <v>2.11</v>
      </c>
      <c r="AJ6" s="9" t="str">
        <f>INDEX('Medicaid CHIP Income Stand 2022'!$E$4:$E$54,MATCH(AJ$1,'Medicaid CHIP Income Stand 2022'!$A$4:$A$54,0))</f>
        <v>N/A</v>
      </c>
      <c r="AK6" s="9" t="str">
        <f>INDEX('Medicaid CHIP Income Stand 2022'!$E$4:$E$54,MATCH(AK$1,'Medicaid CHIP Income Stand 2022'!$A$4:$A$54,0))</f>
        <v>N/A</v>
      </c>
      <c r="AL6" s="9" t="str">
        <f>INDEX('Medicaid CHIP Income Stand 2022'!$E$4:$E$54,MATCH(AL$1,'Medicaid CHIP Income Stand 2022'!$A$4:$A$54,0))</f>
        <v>N/A</v>
      </c>
      <c r="AM6" s="9">
        <f>INDEX('Medicaid CHIP Income Stand 2022'!$E$4:$E$54,MATCH(AM$1,'Medicaid CHIP Income Stand 2022'!$A$4:$A$54,0))</f>
        <v>3</v>
      </c>
      <c r="AN6" s="9">
        <f>INDEX('Medicaid CHIP Income Stand 2022'!$E$4:$E$54,MATCH(AN$1,'Medicaid CHIP Income Stand 2022'!$A$4:$A$54,0))</f>
        <v>3.14</v>
      </c>
      <c r="AO6" s="9" t="str">
        <f>INDEX('Medicaid CHIP Income Stand 2022'!$E$4:$E$54,MATCH(AO$1,'Medicaid CHIP Income Stand 2022'!$A$4:$A$54,0))</f>
        <v>N/A</v>
      </c>
      <c r="AP6" s="9" t="str">
        <f>INDEX('Medicaid CHIP Income Stand 2022'!$E$4:$E$54,MATCH(AP$1,'Medicaid CHIP Income Stand 2022'!$A$4:$A$54,0))</f>
        <v>N/A</v>
      </c>
      <c r="AQ6" s="9">
        <f>INDEX('Medicaid CHIP Income Stand 2022'!$E$4:$E$54,MATCH(AQ$1,'Medicaid CHIP Income Stand 2022'!$A$4:$A$54,0))</f>
        <v>2.04</v>
      </c>
      <c r="AR6" s="9">
        <f>INDEX('Medicaid CHIP Income Stand 2022'!$E$4:$E$54,MATCH(AR$1,'Medicaid CHIP Income Stand 2022'!$A$4:$A$54,0))</f>
        <v>2.5</v>
      </c>
      <c r="AS6" s="9">
        <f>INDEX('Medicaid CHIP Income Stand 2022'!$E$4:$E$54,MATCH(AS$1,'Medicaid CHIP Income Stand 2022'!$A$4:$A$54,0))</f>
        <v>2.0099999999999998</v>
      </c>
      <c r="AT6" s="9">
        <f>INDEX('Medicaid CHIP Income Stand 2022'!$E$4:$E$54,MATCH(AT$1,'Medicaid CHIP Income Stand 2022'!$A$4:$A$54,0))</f>
        <v>2</v>
      </c>
      <c r="AU6" s="9" t="str">
        <f>INDEX('Medicaid CHIP Income Stand 2022'!$E$4:$E$54,MATCH(AU$1,'Medicaid CHIP Income Stand 2022'!$A$4:$A$54,0))</f>
        <v>N/A</v>
      </c>
      <c r="AV6" s="9">
        <f>INDEX('Medicaid CHIP Income Stand 2022'!$E$4:$E$54,MATCH(AV$1,'Medicaid CHIP Income Stand 2022'!$A$4:$A$54,0))</f>
        <v>2</v>
      </c>
      <c r="AW6" s="9">
        <f>INDEX('Medicaid CHIP Income Stand 2022'!$E$4:$E$54,MATCH(AW$1,'Medicaid CHIP Income Stand 2022'!$A$4:$A$54,0))</f>
        <v>3.12</v>
      </c>
      <c r="AX6" s="9">
        <f>INDEX('Medicaid CHIP Income Stand 2022'!$E$4:$E$54,MATCH(AX$1,'Medicaid CHIP Income Stand 2022'!$A$4:$A$54,0))</f>
        <v>3</v>
      </c>
      <c r="AY6" s="9">
        <f>INDEX('Medicaid CHIP Income Stand 2022'!$E$4:$E$54,MATCH(AY$1,'Medicaid CHIP Income Stand 2022'!$A$4:$A$54,0))</f>
        <v>3.01</v>
      </c>
      <c r="AZ6" s="9" t="str">
        <f>INDEX('Medicaid CHIP Income Stand 2022'!$E$4:$E$54,MATCH(AZ$1,'Medicaid CHIP Income Stand 2022'!$A$4:$A$54,0))</f>
        <v>N/A</v>
      </c>
    </row>
    <row r="7" spans="1:52" x14ac:dyDescent="0.35">
      <c r="A7" s="8" t="str">
        <f>'Medicaid CHIP Income Stand 2022'!F3</f>
        <v>Pregnant Women Medicaid</v>
      </c>
      <c r="B7" s="9">
        <f>INDEX('Medicaid CHIP Income Stand 2022'!$F$4:$F$54,MATCH(B$1,'Medicaid CHIP Income Stand 2022'!$A$4:$A$54,0))</f>
        <v>1.41</v>
      </c>
      <c r="C7" s="9">
        <f>INDEX('Medicaid CHIP Income Stand 2022'!$F$4:$F$54,MATCH(C$1,'Medicaid CHIP Income Stand 2022'!$A$4:$A$54,0))</f>
        <v>2</v>
      </c>
      <c r="D7" s="9">
        <f>INDEX('Medicaid CHIP Income Stand 2022'!$F$4:$F$54,MATCH(D$1,'Medicaid CHIP Income Stand 2022'!$A$4:$A$54,0))</f>
        <v>1.56</v>
      </c>
      <c r="E7" s="9">
        <f>INDEX('Medicaid CHIP Income Stand 2022'!$F$4:$F$54,MATCH(E$1,'Medicaid CHIP Income Stand 2022'!$A$4:$A$54,0))</f>
        <v>2.09</v>
      </c>
      <c r="F7" s="9">
        <f>INDEX('Medicaid CHIP Income Stand 2022'!$F$4:$F$54,MATCH(F$1,'Medicaid CHIP Income Stand 2022'!$A$4:$A$54,0))</f>
        <v>2.08</v>
      </c>
      <c r="G7" s="9">
        <f>INDEX('Medicaid CHIP Income Stand 2022'!$F$4:$F$54,MATCH(G$1,'Medicaid CHIP Income Stand 2022'!$A$4:$A$54,0))</f>
        <v>1.95</v>
      </c>
      <c r="H7" s="9">
        <f>INDEX('Medicaid CHIP Income Stand 2022'!$F$4:$F$54,MATCH(H$1,'Medicaid CHIP Income Stand 2022'!$A$4:$A$54,0))</f>
        <v>2.58</v>
      </c>
      <c r="I7" s="9">
        <f>INDEX('Medicaid CHIP Income Stand 2022'!$F$4:$F$54,MATCH(I$1,'Medicaid CHIP Income Stand 2022'!$A$4:$A$54,0))</f>
        <v>2.12</v>
      </c>
      <c r="J7" s="9">
        <f>INDEX('Medicaid CHIP Income Stand 2022'!$F$4:$F$54,MATCH(J$1,'Medicaid CHIP Income Stand 2022'!$A$4:$A$54,0))</f>
        <v>3.19</v>
      </c>
      <c r="K7" s="9">
        <f>INDEX('Medicaid CHIP Income Stand 2022'!$F$4:$F$54,MATCH(K$1,'Medicaid CHIP Income Stand 2022'!$A$4:$A$54,0))</f>
        <v>1.91</v>
      </c>
      <c r="L7" s="9">
        <f>INDEX('Medicaid CHIP Income Stand 2022'!$F$4:$F$54,MATCH(L$1,'Medicaid CHIP Income Stand 2022'!$A$4:$A$54,0))</f>
        <v>2.2000000000000002</v>
      </c>
      <c r="M7" s="9">
        <f>INDEX('Medicaid CHIP Income Stand 2022'!$F$4:$F$54,MATCH(M$1,'Medicaid CHIP Income Stand 2022'!$A$4:$A$54,0))</f>
        <v>1.91</v>
      </c>
      <c r="N7" s="9">
        <f>INDEX('Medicaid CHIP Income Stand 2022'!$F$4:$F$54,MATCH(N$1,'Medicaid CHIP Income Stand 2022'!$A$4:$A$54,0))</f>
        <v>1.33</v>
      </c>
      <c r="O7" s="9">
        <f>INDEX('Medicaid CHIP Income Stand 2022'!$F$4:$F$54,MATCH(O$1,'Medicaid CHIP Income Stand 2022'!$A$4:$A$54,0))</f>
        <v>2.08</v>
      </c>
      <c r="P7" s="9">
        <f>INDEX('Medicaid CHIP Income Stand 2022'!$F$4:$F$54,MATCH(P$1,'Medicaid CHIP Income Stand 2022'!$A$4:$A$54,0))</f>
        <v>2.08</v>
      </c>
      <c r="Q7" s="9">
        <f>INDEX('Medicaid CHIP Income Stand 2022'!$F$4:$F$54,MATCH(Q$1,'Medicaid CHIP Income Stand 2022'!$A$4:$A$54,0))</f>
        <v>3.75</v>
      </c>
      <c r="R7" s="9">
        <f>INDEX('Medicaid CHIP Income Stand 2022'!$F$4:$F$54,MATCH(R$1,'Medicaid CHIP Income Stand 2022'!$A$4:$A$54,0))</f>
        <v>1.66</v>
      </c>
      <c r="S7" s="9">
        <f>INDEX('Medicaid CHIP Income Stand 2022'!$F$4:$F$54,MATCH(S$1,'Medicaid CHIP Income Stand 2022'!$A$4:$A$54,0))</f>
        <v>1.95</v>
      </c>
      <c r="T7" s="9">
        <f>INDEX('Medicaid CHIP Income Stand 2022'!$F$4:$F$54,MATCH(T$1,'Medicaid CHIP Income Stand 2022'!$A$4:$A$54,0))</f>
        <v>1.33</v>
      </c>
      <c r="U7" s="9">
        <f>INDEX('Medicaid CHIP Income Stand 2022'!$F$4:$F$54,MATCH(U$1,'Medicaid CHIP Income Stand 2022'!$A$4:$A$54,0))</f>
        <v>2.09</v>
      </c>
      <c r="V7" s="9">
        <f>INDEX('Medicaid CHIP Income Stand 2022'!$F$4:$F$54,MATCH(V$1,'Medicaid CHIP Income Stand 2022'!$A$4:$A$54,0))</f>
        <v>2.59</v>
      </c>
      <c r="W7" s="9">
        <f>INDEX('Medicaid CHIP Income Stand 2022'!$F$4:$F$54,MATCH(W$1,'Medicaid CHIP Income Stand 2022'!$A$4:$A$54,0))</f>
        <v>2</v>
      </c>
      <c r="X7" s="9">
        <f>INDEX('Medicaid CHIP Income Stand 2022'!$F$4:$F$54,MATCH(X$1,'Medicaid CHIP Income Stand 2022'!$A$4:$A$54,0))</f>
        <v>1.95</v>
      </c>
      <c r="Y7" s="9">
        <f>INDEX('Medicaid CHIP Income Stand 2022'!$F$4:$F$54,MATCH(Y$1,'Medicaid CHIP Income Stand 2022'!$A$4:$A$54,0))</f>
        <v>2.78</v>
      </c>
      <c r="Z7" s="9">
        <f>INDEX('Medicaid CHIP Income Stand 2022'!$F$4:$F$54,MATCH(Z$1,'Medicaid CHIP Income Stand 2022'!$A$4:$A$54,0))</f>
        <v>1.94</v>
      </c>
      <c r="AA7" s="9">
        <f>INDEX('Medicaid CHIP Income Stand 2022'!$F$4:$F$54,MATCH(AA$1,'Medicaid CHIP Income Stand 2022'!$A$4:$A$54,0))</f>
        <v>1.96</v>
      </c>
      <c r="AB7" s="9">
        <f>INDEX('Medicaid CHIP Income Stand 2022'!$F$4:$F$54,MATCH(AB$1,'Medicaid CHIP Income Stand 2022'!$A$4:$A$54,0))</f>
        <v>1.57</v>
      </c>
      <c r="AC7" s="9">
        <f>INDEX('Medicaid CHIP Income Stand 2022'!$F$4:$F$54,MATCH(AC$1,'Medicaid CHIP Income Stand 2022'!$A$4:$A$54,0))</f>
        <v>1.94</v>
      </c>
      <c r="AD7" s="9">
        <f>INDEX('Medicaid CHIP Income Stand 2022'!$F$4:$F$54,MATCH(AD$1,'Medicaid CHIP Income Stand 2022'!$A$4:$A$54,0))</f>
        <v>1.6</v>
      </c>
      <c r="AE7" s="9">
        <f>INDEX('Medicaid CHIP Income Stand 2022'!$F$4:$F$54,MATCH(AE$1,'Medicaid CHIP Income Stand 2022'!$A$4:$A$54,0))</f>
        <v>1.96</v>
      </c>
      <c r="AF7" s="9">
        <f>INDEX('Medicaid CHIP Income Stand 2022'!$F$4:$F$54,MATCH(AF$1,'Medicaid CHIP Income Stand 2022'!$A$4:$A$54,0))</f>
        <v>1.94</v>
      </c>
      <c r="AG7" s="9">
        <f>INDEX('Medicaid CHIP Income Stand 2022'!$F$4:$F$54,MATCH(AG$1,'Medicaid CHIP Income Stand 2022'!$A$4:$A$54,0))</f>
        <v>2.5</v>
      </c>
      <c r="AH7" s="9">
        <f>INDEX('Medicaid CHIP Income Stand 2022'!$F$4:$F$54,MATCH(AH$1,'Medicaid CHIP Income Stand 2022'!$A$4:$A$54,0))</f>
        <v>2.1800000000000002</v>
      </c>
      <c r="AI7" s="9">
        <f>INDEX('Medicaid CHIP Income Stand 2022'!$F$4:$F$54,MATCH(AI$1,'Medicaid CHIP Income Stand 2022'!$A$4:$A$54,0))</f>
        <v>1.96</v>
      </c>
      <c r="AJ7" s="9">
        <f>INDEX('Medicaid CHIP Income Stand 2022'!$F$4:$F$54,MATCH(AJ$1,'Medicaid CHIP Income Stand 2022'!$A$4:$A$54,0))</f>
        <v>1.57</v>
      </c>
      <c r="AK7" s="9">
        <f>INDEX('Medicaid CHIP Income Stand 2022'!$F$4:$F$54,MATCH(AK$1,'Medicaid CHIP Income Stand 2022'!$A$4:$A$54,0))</f>
        <v>2</v>
      </c>
      <c r="AL7" s="9">
        <f>INDEX('Medicaid CHIP Income Stand 2022'!$F$4:$F$54,MATCH(AL$1,'Medicaid CHIP Income Stand 2022'!$A$4:$A$54,0))</f>
        <v>1.33</v>
      </c>
      <c r="AM7" s="9">
        <f>INDEX('Medicaid CHIP Income Stand 2022'!$F$4:$F$54,MATCH(AM$1,'Medicaid CHIP Income Stand 2022'!$A$4:$A$54,0))</f>
        <v>1.85</v>
      </c>
      <c r="AN7" s="9">
        <f>INDEX('Medicaid CHIP Income Stand 2022'!$F$4:$F$54,MATCH(AN$1,'Medicaid CHIP Income Stand 2022'!$A$4:$A$54,0))</f>
        <v>2.15</v>
      </c>
      <c r="AO7" s="9">
        <f>INDEX('Medicaid CHIP Income Stand 2022'!$F$4:$F$54,MATCH(AO$1,'Medicaid CHIP Income Stand 2022'!$A$4:$A$54,0))</f>
        <v>1.9</v>
      </c>
      <c r="AP7" s="9">
        <f>INDEX('Medicaid CHIP Income Stand 2022'!$F$4:$F$54,MATCH(AP$1,'Medicaid CHIP Income Stand 2022'!$A$4:$A$54,0))</f>
        <v>1.94</v>
      </c>
      <c r="AQ7" s="9">
        <f>INDEX('Medicaid CHIP Income Stand 2022'!$F$4:$F$54,MATCH(AQ$1,'Medicaid CHIP Income Stand 2022'!$A$4:$A$54,0))</f>
        <v>1.33</v>
      </c>
      <c r="AR7" s="9">
        <f>INDEX('Medicaid CHIP Income Stand 2022'!$F$4:$F$54,MATCH(AR$1,'Medicaid CHIP Income Stand 2022'!$A$4:$A$54,0))</f>
        <v>1.95</v>
      </c>
      <c r="AS7" s="9">
        <f>INDEX('Medicaid CHIP Income Stand 2022'!$F$4:$F$54,MATCH(AS$1,'Medicaid CHIP Income Stand 2022'!$A$4:$A$54,0))</f>
        <v>1.98</v>
      </c>
      <c r="AT7" s="9">
        <f>INDEX('Medicaid CHIP Income Stand 2022'!$F$4:$F$54,MATCH(AT$1,'Medicaid CHIP Income Stand 2022'!$A$4:$A$54,0))</f>
        <v>1.39</v>
      </c>
      <c r="AU7" s="9">
        <f>INDEX('Medicaid CHIP Income Stand 2022'!$F$4:$F$54,MATCH(AU$1,'Medicaid CHIP Income Stand 2022'!$A$4:$A$54,0))</f>
        <v>2.08</v>
      </c>
      <c r="AV7" s="9">
        <f>INDEX('Medicaid CHIP Income Stand 2022'!$F$4:$F$54,MATCH(AV$1,'Medicaid CHIP Income Stand 2022'!$A$4:$A$54,0))</f>
        <v>1.43</v>
      </c>
      <c r="AW7" s="9">
        <f>INDEX('Medicaid CHIP Income Stand 2022'!$F$4:$F$54,MATCH(AW$1,'Medicaid CHIP Income Stand 2022'!$A$4:$A$54,0))</f>
        <v>1.93</v>
      </c>
      <c r="AX7" s="9">
        <f>INDEX('Medicaid CHIP Income Stand 2022'!$F$4:$F$54,MATCH(AX$1,'Medicaid CHIP Income Stand 2022'!$A$4:$A$54,0))</f>
        <v>1.85</v>
      </c>
      <c r="AY7" s="9">
        <f>INDEX('Medicaid CHIP Income Stand 2022'!$F$4:$F$54,MATCH(AY$1,'Medicaid CHIP Income Stand 2022'!$A$4:$A$54,0))</f>
        <v>3.01</v>
      </c>
      <c r="AZ7" s="9">
        <f>INDEX('Medicaid CHIP Income Stand 2022'!$F$4:$F$54,MATCH(AZ$1,'Medicaid CHIP Income Stand 2022'!$A$4:$A$54,0))</f>
        <v>1.54</v>
      </c>
    </row>
    <row r="8" spans="1:52" ht="29" x14ac:dyDescent="0.35">
      <c r="A8" s="8" t="str">
        <f>'Medicaid CHIP Income Stand 2022'!H3</f>
        <v>Adults (Medicaid) Parent/ Caretaker Source</v>
      </c>
      <c r="B8" s="9">
        <f>INDEX('Medicaid CHIP Income Stand 2022'!$I$4:$I$54,MATCH(B$1,'Medicaid CHIP Income Stand 2022'!$A$4:$A$54,0))</f>
        <v>0.13</v>
      </c>
      <c r="C8" s="9">
        <f>INDEX('Medicaid CHIP Income Stand 2022'!$I$4:$I$54,MATCH(C$1,'Medicaid CHIP Income Stand 2022'!$A$4:$A$54,0))</f>
        <v>1.31</v>
      </c>
      <c r="D8" s="9">
        <f>INDEX('Medicaid CHIP Income Stand 2022'!$I$4:$I$54,MATCH(D$1,'Medicaid CHIP Income Stand 2022'!$A$4:$A$54,0))</f>
        <v>1.06</v>
      </c>
      <c r="E8" s="9">
        <f>INDEX('Medicaid CHIP Income Stand 2022'!$I$4:$I$54,MATCH(E$1,'Medicaid CHIP Income Stand 2022'!$A$4:$A$54,0))</f>
        <v>0.15</v>
      </c>
      <c r="F8" s="9">
        <f>INDEX('Medicaid CHIP Income Stand 2022'!$I$4:$I$54,MATCH(F$1,'Medicaid CHIP Income Stand 2022'!$A$4:$A$54,0))</f>
        <v>1.0900000000000001</v>
      </c>
      <c r="G8" s="9">
        <f>INDEX('Medicaid CHIP Income Stand 2022'!$I$4:$I$54,MATCH(G$1,'Medicaid CHIP Income Stand 2022'!$A$4:$A$54,0))</f>
        <v>0.68</v>
      </c>
      <c r="H8" s="9">
        <f>INDEX('Medicaid CHIP Income Stand 2022'!$I$4:$I$54,MATCH(H$1,'Medicaid CHIP Income Stand 2022'!$A$4:$A$54,0))</f>
        <v>1.55</v>
      </c>
      <c r="I8" s="9">
        <f>INDEX('Medicaid CHIP Income Stand 2022'!$I$4:$I$54,MATCH(I$1,'Medicaid CHIP Income Stand 2022'!$A$4:$A$54,0))</f>
        <v>0.87</v>
      </c>
      <c r="J8" s="9">
        <f>INDEX('Medicaid CHIP Income Stand 2022'!$I$4:$I$54,MATCH(J$1,'Medicaid CHIP Income Stand 2022'!$A$4:$A$54,0))</f>
        <v>2.16</v>
      </c>
      <c r="K8" s="9">
        <f>INDEX('Medicaid CHIP Income Stand 2022'!$I$4:$I$54,MATCH(K$1,'Medicaid CHIP Income Stand 2022'!$A$4:$A$54,0))</f>
        <v>0.27</v>
      </c>
      <c r="L8" s="9">
        <f>INDEX('Medicaid CHIP Income Stand 2022'!$I$4:$I$54,MATCH(L$1,'Medicaid CHIP Income Stand 2022'!$A$4:$A$54,0))</f>
        <v>0.31</v>
      </c>
      <c r="M8" s="9">
        <f>INDEX('Medicaid CHIP Income Stand 2022'!$I$4:$I$54,MATCH(M$1,'Medicaid CHIP Income Stand 2022'!$A$4:$A$54,0))</f>
        <v>1.05</v>
      </c>
      <c r="N8" s="9">
        <f>INDEX('Medicaid CHIP Income Stand 2022'!$I$4:$I$54,MATCH(N$1,'Medicaid CHIP Income Stand 2022'!$A$4:$A$54,0))</f>
        <v>0.22</v>
      </c>
      <c r="O8" s="9">
        <f>INDEX('Medicaid CHIP Income Stand 2022'!$I$4:$I$54,MATCH(O$1,'Medicaid CHIP Income Stand 2022'!$A$4:$A$54,0))</f>
        <v>1.33</v>
      </c>
      <c r="P8" s="9">
        <f>INDEX('Medicaid CHIP Income Stand 2022'!$I$4:$I$54,MATCH(P$1,'Medicaid CHIP Income Stand 2022'!$A$4:$A$54,0))</f>
        <v>0.17</v>
      </c>
      <c r="Q8" s="9">
        <f>INDEX('Medicaid CHIP Income Stand 2022'!$I$4:$I$54,MATCH(Q$1,'Medicaid CHIP Income Stand 2022'!$A$4:$A$54,0))</f>
        <v>0.49</v>
      </c>
      <c r="R8" s="9">
        <f>INDEX('Medicaid CHIP Income Stand 2022'!$I$4:$I$54,MATCH(R$1,'Medicaid CHIP Income Stand 2022'!$A$4:$A$54,0))</f>
        <v>0.33</v>
      </c>
      <c r="S8" s="9">
        <f>INDEX('Medicaid CHIP Income Stand 2022'!$I$4:$I$54,MATCH(S$1,'Medicaid CHIP Income Stand 2022'!$A$4:$A$54,0))</f>
        <v>0.22</v>
      </c>
      <c r="T8" s="9">
        <f>INDEX('Medicaid CHIP Income Stand 2022'!$I$4:$I$54,MATCH(T$1,'Medicaid CHIP Income Stand 2022'!$A$4:$A$54,0))</f>
        <v>0.19</v>
      </c>
      <c r="U8" s="9">
        <f>INDEX('Medicaid CHIP Income Stand 2022'!$I$4:$I$54,MATCH(U$1,'Medicaid CHIP Income Stand 2022'!$A$4:$A$54,0))</f>
        <v>1</v>
      </c>
      <c r="V8" s="9">
        <f>INDEX('Medicaid CHIP Income Stand 2022'!$I$4:$I$54,MATCH(V$1,'Medicaid CHIP Income Stand 2022'!$A$4:$A$54,0))</f>
        <v>1.23</v>
      </c>
      <c r="W8" s="9">
        <f>INDEX('Medicaid CHIP Income Stand 2022'!$I$4:$I$54,MATCH(W$1,'Medicaid CHIP Income Stand 2022'!$A$4:$A$54,0))</f>
        <v>1.33</v>
      </c>
      <c r="X8" s="9">
        <f>INDEX('Medicaid CHIP Income Stand 2022'!$I$4:$I$54,MATCH(X$1,'Medicaid CHIP Income Stand 2022'!$A$4:$A$54,0))</f>
        <v>0.54</v>
      </c>
      <c r="Y8" s="9">
        <f>INDEX('Medicaid CHIP Income Stand 2022'!$I$4:$I$54,MATCH(Y$1,'Medicaid CHIP Income Stand 2022'!$A$4:$A$54,0))</f>
        <v>1.33</v>
      </c>
      <c r="Z8" s="9">
        <f>INDEX('Medicaid CHIP Income Stand 2022'!$I$4:$I$54,MATCH(Z$1,'Medicaid CHIP Income Stand 2022'!$A$4:$A$54,0))</f>
        <v>0.21</v>
      </c>
      <c r="AA8" s="9">
        <f>INDEX('Medicaid CHIP Income Stand 2022'!$I$4:$I$54,MATCH(AA$1,'Medicaid CHIP Income Stand 2022'!$A$4:$A$54,0))</f>
        <v>0.17</v>
      </c>
      <c r="AB8" s="9">
        <f>INDEX('Medicaid CHIP Income Stand 2022'!$I$4:$I$54,MATCH(AB$1,'Medicaid CHIP Income Stand 2022'!$A$4:$A$54,0))</f>
        <v>0.24</v>
      </c>
      <c r="AC8" s="9">
        <f>INDEX('Medicaid CHIP Income Stand 2022'!$I$4:$I$54,MATCH(AC$1,'Medicaid CHIP Income Stand 2022'!$A$4:$A$54,0))</f>
        <v>0.57999999999999996</v>
      </c>
      <c r="AD8" s="9">
        <f>INDEX('Medicaid CHIP Income Stand 2022'!$I$4:$I$54,MATCH(AD$1,'Medicaid CHIP Income Stand 2022'!$A$4:$A$54,0))</f>
        <v>0.3</v>
      </c>
      <c r="AE8" s="9">
        <f>INDEX('Medicaid CHIP Income Stand 2022'!$I$4:$I$54,MATCH(AE$1,'Medicaid CHIP Income Stand 2022'!$A$4:$A$54,0))</f>
        <v>0.62</v>
      </c>
      <c r="AF8" s="9">
        <f>INDEX('Medicaid CHIP Income Stand 2022'!$I$4:$I$54,MATCH(AF$1,'Medicaid CHIP Income Stand 2022'!$A$4:$A$54,0))</f>
        <v>0.28999999999999998</v>
      </c>
      <c r="AG8" s="9">
        <f>INDEX('Medicaid CHIP Income Stand 2022'!$I$4:$I$54,MATCH(AG$1,'Medicaid CHIP Income Stand 2022'!$A$4:$A$54,0))</f>
        <v>0.42</v>
      </c>
      <c r="AH8" s="9">
        <f>INDEX('Medicaid CHIP Income Stand 2022'!$I$4:$I$54,MATCH(AH$1,'Medicaid CHIP Income Stand 2022'!$A$4:$A$54,0))</f>
        <v>1.33</v>
      </c>
      <c r="AI8" s="9">
        <f>INDEX('Medicaid CHIP Income Stand 2022'!$I$4:$I$54,MATCH(AI$1,'Medicaid CHIP Income Stand 2022'!$A$4:$A$54,0))</f>
        <v>0.4</v>
      </c>
      <c r="AJ8" s="9">
        <f>INDEX('Medicaid CHIP Income Stand 2022'!$I$4:$I$54,MATCH(AJ$1,'Medicaid CHIP Income Stand 2022'!$A$4:$A$54,0))</f>
        <v>0.48</v>
      </c>
      <c r="AK8" s="9">
        <f>INDEX('Medicaid CHIP Income Stand 2022'!$I$4:$I$54,MATCH(AK$1,'Medicaid CHIP Income Stand 2022'!$A$4:$A$54,0))</f>
        <v>0.9</v>
      </c>
      <c r="AL8" s="9">
        <f>INDEX('Medicaid CHIP Income Stand 2022'!$I$4:$I$54,MATCH(AL$1,'Medicaid CHIP Income Stand 2022'!$A$4:$A$54,0))</f>
        <v>0.38</v>
      </c>
      <c r="AM8" s="9">
        <f>INDEX('Medicaid CHIP Income Stand 2022'!$I$4:$I$54,MATCH(AM$1,'Medicaid CHIP Income Stand 2022'!$A$4:$A$54,0))</f>
        <v>0.37</v>
      </c>
      <c r="AN8" s="9">
        <f>INDEX('Medicaid CHIP Income Stand 2022'!$I$4:$I$54,MATCH(AN$1,'Medicaid CHIP Income Stand 2022'!$A$4:$A$54,0))</f>
        <v>0.33</v>
      </c>
      <c r="AO8" s="9">
        <f>INDEX('Medicaid CHIP Income Stand 2022'!$I$4:$I$54,MATCH(AO$1,'Medicaid CHIP Income Stand 2022'!$A$4:$A$54,0))</f>
        <v>1.1599999999999999</v>
      </c>
      <c r="AP8" s="9">
        <f>INDEX('Medicaid CHIP Income Stand 2022'!$I$4:$I$54,MATCH(AP$1,'Medicaid CHIP Income Stand 2022'!$A$4:$A$54,0))</f>
        <v>0.95</v>
      </c>
      <c r="AQ8" s="9">
        <f>INDEX('Medicaid CHIP Income Stand 2022'!$I$4:$I$54,MATCH(AQ$1,'Medicaid CHIP Income Stand 2022'!$A$4:$A$54,0))</f>
        <v>0.52</v>
      </c>
      <c r="AR8" s="9">
        <f>INDEX('Medicaid CHIP Income Stand 2022'!$I$4:$I$54,MATCH(AR$1,'Medicaid CHIP Income Stand 2022'!$A$4:$A$54,0))</f>
        <v>0.95</v>
      </c>
      <c r="AS8" s="9">
        <f>INDEX('Medicaid CHIP Income Stand 2022'!$I$4:$I$54,MATCH(AS$1,'Medicaid CHIP Income Stand 2022'!$A$4:$A$54,0))</f>
        <v>0.14000000000000001</v>
      </c>
      <c r="AT8" s="9">
        <f>INDEX('Medicaid CHIP Income Stand 2022'!$I$4:$I$54,MATCH(AT$1,'Medicaid CHIP Income Stand 2022'!$A$4:$A$54,0))</f>
        <v>0.41</v>
      </c>
      <c r="AU8" s="9">
        <f>INDEX('Medicaid CHIP Income Stand 2022'!$I$4:$I$54,MATCH(AU$1,'Medicaid CHIP Income Stand 2022'!$A$4:$A$54,0))</f>
        <v>0.49</v>
      </c>
      <c r="AV8" s="9">
        <f>INDEX('Medicaid CHIP Income Stand 2022'!$I$4:$I$54,MATCH(AV$1,'Medicaid CHIP Income Stand 2022'!$A$4:$A$54,0))</f>
        <v>0.49</v>
      </c>
      <c r="AW8" s="9">
        <f>INDEX('Medicaid CHIP Income Stand 2022'!$I$4:$I$54,MATCH(AW$1,'Medicaid CHIP Income Stand 2022'!$A$4:$A$54,0))</f>
        <v>0.37</v>
      </c>
      <c r="AX8" s="9">
        <f>INDEX('Medicaid CHIP Income Stand 2022'!$I$4:$I$54,MATCH(AX$1,'Medicaid CHIP Income Stand 2022'!$A$4:$A$54,0))</f>
        <v>0.18</v>
      </c>
      <c r="AY8" s="9">
        <f>INDEX('Medicaid CHIP Income Stand 2022'!$I$4:$I$54,MATCH(AY$1,'Medicaid CHIP Income Stand 2022'!$A$4:$A$54,0))</f>
        <v>0.95</v>
      </c>
      <c r="AZ8" s="9">
        <f>INDEX('Medicaid CHIP Income Stand 2022'!$I$4:$I$54,MATCH(AZ$1,'Medicaid CHIP Income Stand 2022'!$A$4:$A$54,0))</f>
        <v>0.51</v>
      </c>
    </row>
    <row r="9" spans="1:52" x14ac:dyDescent="0.35">
      <c r="A9" s="8" t="str">
        <f>'Medicaid CHIP Income Stand 2022'!J3</f>
        <v>Adults (Medicaid) Expansion to Adults</v>
      </c>
      <c r="B9" s="9" t="str">
        <f>INDEX('Medicaid CHIP Income Stand 2022'!$J$4:$J$54,MATCH(B$1,'Medicaid CHIP Income Stand 2022'!$A$4:$A$54,0))</f>
        <v>No</v>
      </c>
      <c r="C9" s="9">
        <f>INDEX('Medicaid CHIP Income Stand 2022'!$J$4:$J$54,MATCH(C$1,'Medicaid CHIP Income Stand 2022'!$A$4:$A$54,0))</f>
        <v>1.33</v>
      </c>
      <c r="D9" s="9">
        <f>INDEX('Medicaid CHIP Income Stand 2022'!$J$4:$J$54,MATCH(D$1,'Medicaid CHIP Income Stand 2022'!$A$4:$A$54,0))</f>
        <v>1.33</v>
      </c>
      <c r="E9" s="9">
        <f>INDEX('Medicaid CHIP Income Stand 2022'!$J$4:$J$54,MATCH(E$1,'Medicaid CHIP Income Stand 2022'!$A$4:$A$54,0))</f>
        <v>1.33</v>
      </c>
      <c r="F9" s="9">
        <f>INDEX('Medicaid CHIP Income Stand 2022'!$J$4:$J$54,MATCH(F$1,'Medicaid CHIP Income Stand 2022'!$A$4:$A$54,0))</f>
        <v>1.33</v>
      </c>
      <c r="G9" s="9">
        <f>INDEX('Medicaid CHIP Income Stand 2022'!$J$4:$J$54,MATCH(G$1,'Medicaid CHIP Income Stand 2022'!$A$4:$A$54,0))</f>
        <v>1.33</v>
      </c>
      <c r="H9" s="9">
        <f>INDEX('Medicaid CHIP Income Stand 2022'!$J$4:$J$54,MATCH(H$1,'Medicaid CHIP Income Stand 2022'!$A$4:$A$54,0))</f>
        <v>1.33</v>
      </c>
      <c r="I9" s="9">
        <f>INDEX('Medicaid CHIP Income Stand 2022'!$J$4:$J$54,MATCH(I$1,'Medicaid CHIP Income Stand 2022'!$A$4:$A$54,0))</f>
        <v>1.33</v>
      </c>
      <c r="J9" s="9">
        <f>INDEX('Medicaid CHIP Income Stand 2022'!$J$4:$J$54,MATCH(J$1,'Medicaid CHIP Income Stand 2022'!$A$4:$A$54,0))</f>
        <v>2.1</v>
      </c>
      <c r="K9" s="9" t="str">
        <f>INDEX('Medicaid CHIP Income Stand 2022'!$J$4:$J$54,MATCH(K$1,'Medicaid CHIP Income Stand 2022'!$A$4:$A$54,0))</f>
        <v>No</v>
      </c>
      <c r="L9" s="9" t="str">
        <f>INDEX('Medicaid CHIP Income Stand 2022'!$J$4:$J$54,MATCH(L$1,'Medicaid CHIP Income Stand 2022'!$A$4:$A$54,0))</f>
        <v>No</v>
      </c>
      <c r="M9" s="9">
        <f>INDEX('Medicaid CHIP Income Stand 2022'!$J$4:$J$54,MATCH(M$1,'Medicaid CHIP Income Stand 2022'!$A$4:$A$54,0))</f>
        <v>1.33</v>
      </c>
      <c r="N9" s="9">
        <f>INDEX('Medicaid CHIP Income Stand 2022'!$J$4:$J$54,MATCH(N$1,'Medicaid CHIP Income Stand 2022'!$A$4:$A$54,0))</f>
        <v>1.33</v>
      </c>
      <c r="O9" s="9">
        <f>INDEX('Medicaid CHIP Income Stand 2022'!$J$4:$J$54,MATCH(O$1,'Medicaid CHIP Income Stand 2022'!$A$4:$A$54,0))</f>
        <v>1.33</v>
      </c>
      <c r="P9" s="9">
        <f>INDEX('Medicaid CHIP Income Stand 2022'!$J$4:$J$54,MATCH(P$1,'Medicaid CHIP Income Stand 2022'!$A$4:$A$54,0))</f>
        <v>1.33</v>
      </c>
      <c r="Q9" s="9">
        <f>INDEX('Medicaid CHIP Income Stand 2022'!$J$4:$J$54,MATCH(Q$1,'Medicaid CHIP Income Stand 2022'!$A$4:$A$54,0))</f>
        <v>1.33</v>
      </c>
      <c r="R9" s="9" t="str">
        <f>INDEX('Medicaid CHIP Income Stand 2022'!$J$4:$J$54,MATCH(R$1,'Medicaid CHIP Income Stand 2022'!$A$4:$A$54,0))</f>
        <v>No</v>
      </c>
      <c r="S9" s="9">
        <f>INDEX('Medicaid CHIP Income Stand 2022'!$J$4:$J$54,MATCH(S$1,'Medicaid CHIP Income Stand 2022'!$A$4:$A$54,0))</f>
        <v>1.33</v>
      </c>
      <c r="T9" s="9">
        <f>INDEX('Medicaid CHIP Income Stand 2022'!$J$4:$J$54,MATCH(T$1,'Medicaid CHIP Income Stand 2022'!$A$4:$A$54,0))</f>
        <v>1.33</v>
      </c>
      <c r="U9" s="9">
        <f>INDEX('Medicaid CHIP Income Stand 2022'!$J$4:$J$54,MATCH(U$1,'Medicaid CHIP Income Stand 2022'!$A$4:$A$54,0))</f>
        <v>1.33</v>
      </c>
      <c r="V9" s="9">
        <f>INDEX('Medicaid CHIP Income Stand 2022'!$J$4:$J$54,MATCH(V$1,'Medicaid CHIP Income Stand 2022'!$A$4:$A$54,0))</f>
        <v>1.33</v>
      </c>
      <c r="W9" s="9">
        <f>INDEX('Medicaid CHIP Income Stand 2022'!$J$4:$J$54,MATCH(W$1,'Medicaid CHIP Income Stand 2022'!$A$4:$A$54,0))</f>
        <v>1.33</v>
      </c>
      <c r="X9" s="9">
        <f>INDEX('Medicaid CHIP Income Stand 2022'!$J$4:$J$54,MATCH(X$1,'Medicaid CHIP Income Stand 2022'!$A$4:$A$54,0))</f>
        <v>1.33</v>
      </c>
      <c r="Y9" s="9">
        <f>INDEX('Medicaid CHIP Income Stand 2022'!$J$4:$J$54,MATCH(Y$1,'Medicaid CHIP Income Stand 2022'!$A$4:$A$54,0))</f>
        <v>2</v>
      </c>
      <c r="Z9" s="9" t="str">
        <f>INDEX('Medicaid CHIP Income Stand 2022'!$J$4:$J$54,MATCH(Z$1,'Medicaid CHIP Income Stand 2022'!$A$4:$A$54,0))</f>
        <v>No</v>
      </c>
      <c r="AA9" s="9">
        <f>INDEX('Medicaid CHIP Income Stand 2022'!$J$4:$J$54,MATCH(AA$1,'Medicaid CHIP Income Stand 2022'!$A$4:$A$54,0))</f>
        <v>1.33</v>
      </c>
      <c r="AB9" s="9">
        <f>INDEX('Medicaid CHIP Income Stand 2022'!$J$4:$J$54,MATCH(AB$1,'Medicaid CHIP Income Stand 2022'!$A$4:$A$54,0))</f>
        <v>1.33</v>
      </c>
      <c r="AC9" s="9">
        <f>INDEX('Medicaid CHIP Income Stand 2022'!$J$4:$J$54,MATCH(AC$1,'Medicaid CHIP Income Stand 2022'!$A$4:$A$54,0))</f>
        <v>1.33</v>
      </c>
      <c r="AD9" s="9">
        <f>INDEX('Medicaid CHIP Income Stand 2022'!$J$4:$J$54,MATCH(AD$1,'Medicaid CHIP Income Stand 2022'!$A$4:$A$54,0))</f>
        <v>1.33</v>
      </c>
      <c r="AE9" s="9">
        <f>INDEX('Medicaid CHIP Income Stand 2022'!$J$4:$J$54,MATCH(AE$1,'Medicaid CHIP Income Stand 2022'!$A$4:$A$54,0))</f>
        <v>1.33</v>
      </c>
      <c r="AF9" s="9">
        <f>INDEX('Medicaid CHIP Income Stand 2022'!$J$4:$J$54,MATCH(AF$1,'Medicaid CHIP Income Stand 2022'!$A$4:$A$54,0))</f>
        <v>1.33</v>
      </c>
      <c r="AG9" s="9">
        <f>INDEX('Medicaid CHIP Income Stand 2022'!$J$4:$J$54,MATCH(AG$1,'Medicaid CHIP Income Stand 2022'!$A$4:$A$54,0))</f>
        <v>1.33</v>
      </c>
      <c r="AH9" s="9">
        <f>INDEX('Medicaid CHIP Income Stand 2022'!$J$4:$J$54,MATCH(AH$1,'Medicaid CHIP Income Stand 2022'!$A$4:$A$54,0))</f>
        <v>2</v>
      </c>
      <c r="AI9" s="9" t="str">
        <f>INDEX('Medicaid CHIP Income Stand 2022'!$J$4:$J$54,MATCH(AI$1,'Medicaid CHIP Income Stand 2022'!$A$4:$A$54,0))</f>
        <v>No</v>
      </c>
      <c r="AJ9" s="9">
        <f>INDEX('Medicaid CHIP Income Stand 2022'!$J$4:$J$54,MATCH(AJ$1,'Medicaid CHIP Income Stand 2022'!$A$4:$A$54,0))</f>
        <v>1.33</v>
      </c>
      <c r="AK9" s="9">
        <f>INDEX('Medicaid CHIP Income Stand 2022'!$J$4:$J$54,MATCH(AK$1,'Medicaid CHIP Income Stand 2022'!$A$4:$A$54,0))</f>
        <v>1.33</v>
      </c>
      <c r="AL9" s="9">
        <f>INDEX('Medicaid CHIP Income Stand 2022'!$J$4:$J$54,MATCH(AL$1,'Medicaid CHIP Income Stand 2022'!$A$4:$A$54,0))</f>
        <v>1.33</v>
      </c>
      <c r="AM9" s="9">
        <f>INDEX('Medicaid CHIP Income Stand 2022'!$J$4:$J$54,MATCH(AM$1,'Medicaid CHIP Income Stand 2022'!$A$4:$A$54,0))</f>
        <v>1.33</v>
      </c>
      <c r="AN9" s="9">
        <f>INDEX('Medicaid CHIP Income Stand 2022'!$J$4:$J$54,MATCH(AN$1,'Medicaid CHIP Income Stand 2022'!$A$4:$A$54,0))</f>
        <v>1.33</v>
      </c>
      <c r="AO9" s="9">
        <f>INDEX('Medicaid CHIP Income Stand 2022'!$J$4:$J$54,MATCH(AO$1,'Medicaid CHIP Income Stand 2022'!$A$4:$A$54,0))</f>
        <v>1.33</v>
      </c>
      <c r="AP9" s="9" t="str">
        <f>INDEX('Medicaid CHIP Income Stand 2022'!$J$4:$J$54,MATCH(AP$1,'Medicaid CHIP Income Stand 2022'!$A$4:$A$54,0))</f>
        <v>No</v>
      </c>
      <c r="AQ9" s="9" t="str">
        <f>INDEX('Medicaid CHIP Income Stand 2022'!$J$4:$J$54,MATCH(AQ$1,'Medicaid CHIP Income Stand 2022'!$A$4:$A$54,0))</f>
        <v>No</v>
      </c>
      <c r="AR9" s="9" t="str">
        <f>INDEX('Medicaid CHIP Income Stand 2022'!$J$4:$J$54,MATCH(AR$1,'Medicaid CHIP Income Stand 2022'!$A$4:$A$54,0))</f>
        <v>No</v>
      </c>
      <c r="AS9" s="9" t="str">
        <f>INDEX('Medicaid CHIP Income Stand 2022'!$J$4:$J$54,MATCH(AS$1,'Medicaid CHIP Income Stand 2022'!$A$4:$A$54,0))</f>
        <v>No</v>
      </c>
      <c r="AT9" s="9">
        <f>INDEX('Medicaid CHIP Income Stand 2022'!$J$4:$J$54,MATCH(AT$1,'Medicaid CHIP Income Stand 2022'!$A$4:$A$54,0))</f>
        <v>1.33</v>
      </c>
      <c r="AU9" s="9">
        <f>INDEX('Medicaid CHIP Income Stand 2022'!$J$4:$J$54,MATCH(AU$1,'Medicaid CHIP Income Stand 2022'!$A$4:$A$54,0))</f>
        <v>1.33</v>
      </c>
      <c r="AV9" s="9">
        <f>INDEX('Medicaid CHIP Income Stand 2022'!$J$4:$J$54,MATCH(AV$1,'Medicaid CHIP Income Stand 2022'!$A$4:$A$54,0))</f>
        <v>1.33</v>
      </c>
      <c r="AW9" s="9">
        <f>INDEX('Medicaid CHIP Income Stand 2022'!$J$4:$J$54,MATCH(AW$1,'Medicaid CHIP Income Stand 2022'!$A$4:$A$54,0))</f>
        <v>1.33</v>
      </c>
      <c r="AX9" s="9">
        <f>INDEX('Medicaid CHIP Income Stand 2022'!$J$4:$J$54,MATCH(AX$1,'Medicaid CHIP Income Stand 2022'!$A$4:$A$54,0))</f>
        <v>1.33</v>
      </c>
      <c r="AY9" s="9" t="str">
        <f>INDEX('Medicaid CHIP Income Stand 2022'!$J$4:$J$54,MATCH(AY$1,'Medicaid CHIP Income Stand 2022'!$A$4:$A$54,0))</f>
        <v>No</v>
      </c>
      <c r="AZ9" s="9" t="str">
        <f>INDEX('Medicaid CHIP Income Stand 2022'!$J$4:$J$54,MATCH(AZ$1,'Medicaid CHIP Income Stand 2022'!$A$4:$A$54,0))</f>
        <v>No</v>
      </c>
    </row>
    <row r="10" spans="1:52" ht="29" x14ac:dyDescent="0.35">
      <c r="A10" s="8" t="str">
        <f>'Medicaid CHIP Income Stand 2022'!K3</f>
        <v>Adults (Medicaid) Parent/ Caretaker converted from Dollar?</v>
      </c>
      <c r="B10" s="10" t="str">
        <f>INDEX('Medicaid CHIP Income Stand 2022'!$K$4:$K$54,MATCH(B$1,'Medicaid CHIP Income Stand 2022'!$A$4:$A$54,0))</f>
        <v>No</v>
      </c>
      <c r="C10" s="10" t="str">
        <f>INDEX('Medicaid CHIP Income Stand 2022'!$K$4:$K$54,MATCH(C$1,'Medicaid CHIP Income Stand 2022'!$A$4:$A$54,0))</f>
        <v>Yes</v>
      </c>
      <c r="D10" s="10" t="str">
        <f>INDEX('Medicaid CHIP Income Stand 2022'!$K$4:$K$54,MATCH(D$1,'Medicaid CHIP Income Stand 2022'!$A$4:$A$54,0))</f>
        <v>No</v>
      </c>
      <c r="E10" s="10" t="str">
        <f>INDEX('Medicaid CHIP Income Stand 2022'!$K$4:$K$54,MATCH(E$1,'Medicaid CHIP Income Stand 2022'!$A$4:$A$54,0))</f>
        <v>Yes</v>
      </c>
      <c r="F10" s="10" t="str">
        <f>INDEX('Medicaid CHIP Income Stand 2022'!$K$4:$K$54,MATCH(F$1,'Medicaid CHIP Income Stand 2022'!$A$4:$A$54,0))</f>
        <v>No</v>
      </c>
      <c r="G10" s="10" t="str">
        <f>INDEX('Medicaid CHIP Income Stand 2022'!$K$4:$K$54,MATCH(G$1,'Medicaid CHIP Income Stand 2022'!$A$4:$A$54,0))</f>
        <v>No</v>
      </c>
      <c r="H10" s="10" t="str">
        <f>INDEX('Medicaid CHIP Income Stand 2022'!$K$4:$K$54,MATCH(H$1,'Medicaid CHIP Income Stand 2022'!$A$4:$A$54,0))</f>
        <v>No</v>
      </c>
      <c r="I10" s="10" t="str">
        <f>INDEX('Medicaid CHIP Income Stand 2022'!$K$4:$K$54,MATCH(I$1,'Medicaid CHIP Income Stand 2022'!$A$4:$A$54,0))</f>
        <v>No</v>
      </c>
      <c r="J10" s="10" t="str">
        <f>INDEX('Medicaid CHIP Income Stand 2022'!$K$4:$K$54,MATCH(J$1,'Medicaid CHIP Income Stand 2022'!$A$4:$A$54,0))</f>
        <v>No</v>
      </c>
      <c r="K10" s="10" t="str">
        <f>INDEX('Medicaid CHIP Income Stand 2022'!$K$4:$K$54,MATCH(K$1,'Medicaid CHIP Income Stand 2022'!$A$4:$A$54,0))</f>
        <v>Yes</v>
      </c>
      <c r="L10" s="10" t="str">
        <f>INDEX('Medicaid CHIP Income Stand 2022'!$K$4:$K$54,MATCH(L$1,'Medicaid CHIP Income Stand 2022'!$A$4:$A$54,0))</f>
        <v>Yes</v>
      </c>
      <c r="M10" s="10" t="str">
        <f>INDEX('Medicaid CHIP Income Stand 2022'!$K$4:$K$54,MATCH(M$1,'Medicaid CHIP Income Stand 2022'!$A$4:$A$54,0))</f>
        <v>No</v>
      </c>
      <c r="N10" s="10" t="str">
        <f>INDEX('Medicaid CHIP Income Stand 2022'!$K$4:$K$54,MATCH(N$1,'Medicaid CHIP Income Stand 2022'!$A$4:$A$54,0))</f>
        <v>Yes</v>
      </c>
      <c r="O10" s="10" t="str">
        <f>INDEX('Medicaid CHIP Income Stand 2022'!$K$4:$K$54,MATCH(O$1,'Medicaid CHIP Income Stand 2022'!$A$4:$A$54,0))</f>
        <v>No</v>
      </c>
      <c r="P10" s="10" t="str">
        <f>INDEX('Medicaid CHIP Income Stand 2022'!$K$4:$K$54,MATCH(P$1,'Medicaid CHIP Income Stand 2022'!$A$4:$A$54,0))</f>
        <v>Yes</v>
      </c>
      <c r="Q10" s="10" t="str">
        <f>INDEX('Medicaid CHIP Income Stand 2022'!$K$4:$K$54,MATCH(Q$1,'Medicaid CHIP Income Stand 2022'!$A$4:$A$54,0))</f>
        <v>Yes</v>
      </c>
      <c r="R10" s="10" t="str">
        <f>INDEX('Medicaid CHIP Income Stand 2022'!$K$4:$K$54,MATCH(R$1,'Medicaid CHIP Income Stand 2022'!$A$4:$A$54,0))</f>
        <v>No</v>
      </c>
      <c r="S10" s="10" t="str">
        <f>INDEX('Medicaid CHIP Income Stand 2022'!$K$4:$K$54,MATCH(S$1,'Medicaid CHIP Income Stand 2022'!$A$4:$A$54,0))</f>
        <v>Yes</v>
      </c>
      <c r="T10" s="10" t="str">
        <f>INDEX('Medicaid CHIP Income Stand 2022'!$K$4:$K$54,MATCH(T$1,'Medicaid CHIP Income Stand 2022'!$A$4:$A$54,0))</f>
        <v>No</v>
      </c>
      <c r="U10" s="10" t="str">
        <f>INDEX('Medicaid CHIP Income Stand 2022'!$K$4:$K$54,MATCH(U$1,'Medicaid CHIP Income Stand 2022'!$A$4:$A$54,0))</f>
        <v>No</v>
      </c>
      <c r="V10" s="10" t="str">
        <f>INDEX('Medicaid CHIP Income Stand 2022'!$K$4:$K$54,MATCH(V$1,'Medicaid CHIP Income Stand 2022'!$A$4:$A$54,0))</f>
        <v>No</v>
      </c>
      <c r="W10" s="10" t="str">
        <f>INDEX('Medicaid CHIP Income Stand 2022'!$K$4:$K$54,MATCH(W$1,'Medicaid CHIP Income Stand 2022'!$A$4:$A$54,0))</f>
        <v>No</v>
      </c>
      <c r="X10" s="10" t="str">
        <f>INDEX('Medicaid CHIP Income Stand 2022'!$K$4:$K$54,MATCH(X$1,'Medicaid CHIP Income Stand 2022'!$A$4:$A$54,0))</f>
        <v>No</v>
      </c>
      <c r="Y10" s="10" t="str">
        <f>INDEX('Medicaid CHIP Income Stand 2022'!$K$4:$K$54,MATCH(Y$1,'Medicaid CHIP Income Stand 2022'!$A$4:$A$54,0))</f>
        <v>No</v>
      </c>
      <c r="Z10" s="10" t="str">
        <f>INDEX('Medicaid CHIP Income Stand 2022'!$K$4:$K$54,MATCH(Z$1,'Medicaid CHIP Income Stand 2022'!$A$4:$A$54,0))</f>
        <v>Yes</v>
      </c>
      <c r="AA10" s="10" t="str">
        <f>INDEX('Medicaid CHIP Income Stand 2022'!$K$4:$K$54,MATCH(AA$1,'Medicaid CHIP Income Stand 2022'!$A$4:$A$54,0))</f>
        <v>Yes</v>
      </c>
      <c r="AB10" s="10" t="str">
        <f>INDEX('Medicaid CHIP Income Stand 2022'!$K$4:$K$54,MATCH(AB$1,'Medicaid CHIP Income Stand 2022'!$A$4:$A$54,0))</f>
        <v>No</v>
      </c>
      <c r="AC10" s="10" t="str">
        <f>INDEX('Medicaid CHIP Income Stand 2022'!$K$4:$K$54,MATCH(AC$1,'Medicaid CHIP Income Stand 2022'!$A$4:$A$54,0))</f>
        <v>No</v>
      </c>
      <c r="AD10" s="10" t="str">
        <f>INDEX('Medicaid CHIP Income Stand 2022'!$K$4:$K$54,MATCH(AD$1,'Medicaid CHIP Income Stand 2022'!$A$4:$A$54,0))</f>
        <v>Yes</v>
      </c>
      <c r="AE10" s="10" t="str">
        <f>INDEX('Medicaid CHIP Income Stand 2022'!$K$4:$K$54,MATCH(AE$1,'Medicaid CHIP Income Stand 2022'!$A$4:$A$54,0))</f>
        <v>Yes</v>
      </c>
      <c r="AF10" s="10" t="str">
        <f>INDEX('Medicaid CHIP Income Stand 2022'!$K$4:$K$54,MATCH(AF$1,'Medicaid CHIP Income Stand 2022'!$A$4:$A$54,0))</f>
        <v>Yes</v>
      </c>
      <c r="AG10" s="10" t="str">
        <f>INDEX('Medicaid CHIP Income Stand 2022'!$K$4:$K$54,MATCH(AG$1,'Medicaid CHIP Income Stand 2022'!$A$4:$A$54,0))</f>
        <v>Yes</v>
      </c>
      <c r="AH10" s="10" t="str">
        <f>INDEX('Medicaid CHIP Income Stand 2022'!$K$4:$K$54,MATCH(AH$1,'Medicaid CHIP Income Stand 2022'!$A$4:$A$54,0))</f>
        <v>No</v>
      </c>
      <c r="AI10" s="10" t="str">
        <f>INDEX('Medicaid CHIP Income Stand 2022'!$K$4:$K$54,MATCH(AI$1,'Medicaid CHIP Income Stand 2022'!$A$4:$A$54,0))</f>
        <v>Yes</v>
      </c>
      <c r="AJ10" s="10" t="str">
        <f>INDEX('Medicaid CHIP Income Stand 2022'!$K$4:$K$54,MATCH(AJ$1,'Medicaid CHIP Income Stand 2022'!$A$4:$A$54,0))</f>
        <v>Yes</v>
      </c>
      <c r="AK10" s="10" t="str">
        <f>INDEX('Medicaid CHIP Income Stand 2022'!$K$4:$K$54,MATCH(AK$1,'Medicaid CHIP Income Stand 2022'!$A$4:$A$54,0))</f>
        <v>No</v>
      </c>
      <c r="AL10" s="10" t="str">
        <f>INDEX('Medicaid CHIP Income Stand 2022'!$K$4:$K$54,MATCH(AL$1,'Medicaid CHIP Income Stand 2022'!$A$4:$A$54,0))</f>
        <v>Yes</v>
      </c>
      <c r="AM10" s="10" t="str">
        <f>INDEX('Medicaid CHIP Income Stand 2022'!$K$4:$K$54,MATCH(AM$1,'Medicaid CHIP Income Stand 2022'!$A$4:$A$54,0))</f>
        <v>Yes</v>
      </c>
      <c r="AN10" s="10" t="str">
        <f>INDEX('Medicaid CHIP Income Stand 2022'!$K$4:$K$54,MATCH(AN$1,'Medicaid CHIP Income Stand 2022'!$A$4:$A$54,0))</f>
        <v>No</v>
      </c>
      <c r="AO10" s="10" t="str">
        <f>INDEX('Medicaid CHIP Income Stand 2022'!$K$4:$K$54,MATCH(AO$1,'Medicaid CHIP Income Stand 2022'!$A$4:$A$54,0))</f>
        <v>No</v>
      </c>
      <c r="AP10" s="10" t="str">
        <f>INDEX('Medicaid CHIP Income Stand 2022'!$K$4:$K$54,MATCH(AP$1,'Medicaid CHIP Income Stand 2022'!$A$4:$A$54,0))</f>
        <v>No</v>
      </c>
      <c r="AQ10" s="10" t="str">
        <f>INDEX('Medicaid CHIP Income Stand 2022'!$K$4:$K$54,MATCH(AQ$1,'Medicaid CHIP Income Stand 2022'!$A$4:$A$54,0))</f>
        <v>Yes</v>
      </c>
      <c r="AR10" s="10" t="str">
        <f>INDEX('Medicaid CHIP Income Stand 2022'!$K$4:$K$54,MATCH(AR$1,'Medicaid CHIP Income Stand 2022'!$A$4:$A$54,0))</f>
        <v>Yes</v>
      </c>
      <c r="AS10" s="10" t="str">
        <f>INDEX('Medicaid CHIP Income Stand 2022'!$K$4:$K$54,MATCH(AS$1,'Medicaid CHIP Income Stand 2022'!$A$4:$A$54,0))</f>
        <v>Yes</v>
      </c>
      <c r="AT10" s="10" t="str">
        <f>INDEX('Medicaid CHIP Income Stand 2022'!$K$4:$K$54,MATCH(AT$1,'Medicaid CHIP Income Stand 2022'!$A$4:$A$54,0))</f>
        <v>Yes</v>
      </c>
      <c r="AU10" s="10" t="str">
        <f>INDEX('Medicaid CHIP Income Stand 2022'!$K$4:$K$54,MATCH(AU$1,'Medicaid CHIP Income Stand 2022'!$A$4:$A$54,0))</f>
        <v>Yes</v>
      </c>
      <c r="AV10" s="10" t="str">
        <f>INDEX('Medicaid CHIP Income Stand 2022'!$K$4:$K$54,MATCH(AV$1,'Medicaid CHIP Income Stand 2022'!$A$4:$A$54,0))</f>
        <v>Yes</v>
      </c>
      <c r="AW10" s="10" t="str">
        <f>INDEX('Medicaid CHIP Income Stand 2022'!$K$4:$K$54,MATCH(AW$1,'Medicaid CHIP Income Stand 2022'!$A$4:$A$54,0))</f>
        <v>Yes</v>
      </c>
      <c r="AX10" s="10" t="str">
        <f>INDEX('Medicaid CHIP Income Stand 2022'!$K$4:$K$54,MATCH(AX$1,'Medicaid CHIP Income Stand 2022'!$A$4:$A$54,0))</f>
        <v>Yes</v>
      </c>
      <c r="AY10" s="10" t="str">
        <f>INDEX('Medicaid CHIP Income Stand 2022'!$K$4:$K$54,MATCH(AY$1,'Medicaid CHIP Income Stand 2022'!$A$4:$A$54,0))</f>
        <v>No</v>
      </c>
      <c r="AZ10" s="10" t="str">
        <f>INDEX('Medicaid CHIP Income Stand 2022'!$K$4:$K$54,MATCH(AZ$1,'Medicaid CHIP Income Stand 2022'!$A$4:$A$54,0))</f>
        <v>Yes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Medicaid CHIP Income Stand 2021</vt:lpstr>
      <vt:lpstr>Medicaid CHIP Income Stand 2022</vt:lpstr>
      <vt:lpstr>Medicaid CHIP Income Stand 2023</vt:lpstr>
      <vt:lpstr>Medicaid CHIP Income Stand 2024</vt:lpstr>
      <vt:lpstr>Medicaid Chip Stand Sort 2023</vt:lpstr>
      <vt:lpstr>Medicaid Chip Stand Sort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Raymond Packer</dc:creator>
  <cp:lastModifiedBy>Raymond Packer</cp:lastModifiedBy>
  <dcterms:created xsi:type="dcterms:W3CDTF">2021-07-06T19:14:41Z</dcterms:created>
  <dcterms:modified xsi:type="dcterms:W3CDTF">2024-05-07T16:57:22Z</dcterms:modified>
</cp:coreProperties>
</file>