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Medicaid and CHIP\"/>
    </mc:Choice>
  </mc:AlternateContent>
  <xr:revisionPtr revIDLastSave="0" documentId="13_ncr:1_{56C69282-48FA-45B8-9D90-5F87ED824462}" xr6:coauthVersionLast="47" xr6:coauthVersionMax="47" xr10:uidLastSave="{00000000-0000-0000-0000-000000000000}"/>
  <bookViews>
    <workbookView xWindow="130" yWindow="60" windowWidth="11650" windowHeight="10060" activeTab="1" xr2:uid="{00000000-000D-0000-FFFF-FFFF00000000}"/>
  </bookViews>
  <sheets>
    <sheet name="Table 1" sheetId="1" r:id="rId1"/>
    <sheet name="Table 1 (2)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G38" i="2"/>
  <c r="G37" i="2"/>
  <c r="G35" i="2"/>
  <c r="G34" i="2"/>
  <c r="G32" i="2"/>
  <c r="G29" i="2"/>
  <c r="G30" i="2"/>
  <c r="G31" i="2"/>
  <c r="G33" i="2"/>
  <c r="G36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3" i="2"/>
</calcChain>
</file>

<file path=xl/sharedStrings.xml><?xml version="1.0" encoding="utf-8"?>
<sst xmlns="http://schemas.openxmlformats.org/spreadsheetml/2006/main" count="267" uniqueCount="120">
  <si>
    <r>
      <rPr>
        <b/>
        <sz val="12"/>
        <rFont val="Times New Roman"/>
        <family val="1"/>
      </rPr>
      <t>MO HealthNet for Kids - CHIP Premium Chart Effective April 1, 2024</t>
    </r>
  </si>
  <si>
    <r>
      <rPr>
        <b/>
        <sz val="12"/>
        <rFont val="Times New Roman"/>
        <family val="1"/>
      </rPr>
      <t>Family Size</t>
    </r>
  </si>
  <si>
    <r>
      <rPr>
        <b/>
        <sz val="12"/>
        <rFont val="Times New Roman"/>
        <family val="1"/>
      </rPr>
      <t>Percent of FPL</t>
    </r>
  </si>
  <si>
    <r>
      <rPr>
        <b/>
        <sz val="12"/>
        <rFont val="Times New Roman"/>
        <family val="1"/>
      </rPr>
      <t>Monthly Income</t>
    </r>
  </si>
  <si>
    <r>
      <rPr>
        <b/>
        <sz val="12"/>
        <rFont val="Times New Roman"/>
        <family val="1"/>
      </rPr>
      <t>Premium Amount</t>
    </r>
  </si>
  <si>
    <r>
      <rPr>
        <sz val="10"/>
        <rFont val="Times New Roman"/>
        <family val="1"/>
      </rPr>
      <t>&gt;150</t>
    </r>
  </si>
  <si>
    <r>
      <rPr>
        <sz val="10"/>
        <rFont val="Times New Roman"/>
        <family val="1"/>
      </rPr>
      <t>$1,883.00 to $2,322.00</t>
    </r>
  </si>
  <si>
    <r>
      <rPr>
        <sz val="10"/>
        <rFont val="Times New Roman"/>
        <family val="1"/>
      </rPr>
      <t>&gt;185</t>
    </r>
  </si>
  <si>
    <r>
      <rPr>
        <sz val="10"/>
        <rFont val="Times New Roman"/>
        <family val="1"/>
      </rPr>
      <t>$2,322.01 to $2,824.00</t>
    </r>
  </si>
  <si>
    <r>
      <rPr>
        <sz val="10"/>
        <rFont val="Times New Roman"/>
        <family val="1"/>
      </rPr>
      <t>&gt;225</t>
    </r>
  </si>
  <si>
    <r>
      <rPr>
        <sz val="10"/>
        <rFont val="Times New Roman"/>
        <family val="1"/>
      </rPr>
      <t>$2,824.01 to $3,765.00</t>
    </r>
  </si>
  <si>
    <r>
      <rPr>
        <sz val="10"/>
        <rFont val="Times New Roman"/>
        <family val="1"/>
      </rPr>
      <t>$2,555.00 to $3,152.00</t>
    </r>
  </si>
  <si>
    <r>
      <rPr>
        <sz val="10"/>
        <rFont val="Times New Roman"/>
        <family val="1"/>
      </rPr>
      <t>$3,152.01 to $3,833.00</t>
    </r>
  </si>
  <si>
    <r>
      <rPr>
        <sz val="10"/>
        <rFont val="Times New Roman"/>
        <family val="1"/>
      </rPr>
      <t>$3,833.01 to $5,110.00</t>
    </r>
  </si>
  <si>
    <r>
      <rPr>
        <sz val="10"/>
        <rFont val="Times New Roman"/>
        <family val="1"/>
      </rPr>
      <t>$3,228.00 to $3,981.00</t>
    </r>
  </si>
  <si>
    <r>
      <rPr>
        <sz val="10"/>
        <rFont val="Times New Roman"/>
        <family val="1"/>
      </rPr>
      <t>$3,981.01 to $4,842.00</t>
    </r>
  </si>
  <si>
    <r>
      <rPr>
        <sz val="10"/>
        <rFont val="Times New Roman"/>
        <family val="1"/>
      </rPr>
      <t>$4,842.01 to $6,455.00</t>
    </r>
  </si>
  <si>
    <r>
      <rPr>
        <sz val="10"/>
        <rFont val="Times New Roman"/>
        <family val="1"/>
      </rPr>
      <t>$3,900.00 to $4,810.00</t>
    </r>
  </si>
  <si>
    <r>
      <rPr>
        <sz val="10"/>
        <rFont val="Times New Roman"/>
        <family val="1"/>
      </rPr>
      <t>$4,810.01 to $5,850.00</t>
    </r>
  </si>
  <si>
    <r>
      <rPr>
        <sz val="10"/>
        <rFont val="Times New Roman"/>
        <family val="1"/>
      </rPr>
      <t>$5,850.01 to $7,800.00</t>
    </r>
  </si>
  <si>
    <r>
      <rPr>
        <sz val="10"/>
        <rFont val="Times New Roman"/>
        <family val="1"/>
      </rPr>
      <t>$4,573.00 to $5,640.00</t>
    </r>
  </si>
  <si>
    <r>
      <rPr>
        <sz val="10"/>
        <rFont val="Times New Roman"/>
        <family val="1"/>
      </rPr>
      <t>$5,640.01 to $6,859.00</t>
    </r>
  </si>
  <si>
    <r>
      <rPr>
        <sz val="10"/>
        <rFont val="Times New Roman"/>
        <family val="1"/>
      </rPr>
      <t>$6,859.01 to $9,145.00</t>
    </r>
  </si>
  <si>
    <r>
      <rPr>
        <sz val="10"/>
        <rFont val="Times New Roman"/>
        <family val="1"/>
      </rPr>
      <t>$5,245.00 to $6,469.00</t>
    </r>
  </si>
  <si>
    <r>
      <rPr>
        <sz val="10"/>
        <rFont val="Times New Roman"/>
        <family val="1"/>
      </rPr>
      <t>$6,469.01 to $7,868.00</t>
    </r>
  </si>
  <si>
    <r>
      <rPr>
        <sz val="10"/>
        <rFont val="Times New Roman"/>
        <family val="1"/>
      </rPr>
      <t>$7,868.01 to $10,490.00</t>
    </r>
  </si>
  <si>
    <r>
      <rPr>
        <sz val="10"/>
        <rFont val="Times New Roman"/>
        <family val="1"/>
      </rPr>
      <t>$5,918.00 to $7,299.00</t>
    </r>
  </si>
  <si>
    <r>
      <rPr>
        <sz val="10"/>
        <rFont val="Times New Roman"/>
        <family val="1"/>
      </rPr>
      <t>$7,299.01 to $8,877.00</t>
    </r>
  </si>
  <si>
    <r>
      <rPr>
        <sz val="10"/>
        <rFont val="Times New Roman"/>
        <family val="1"/>
      </rPr>
      <t>$8,877.01 to $11,835.00</t>
    </r>
  </si>
  <si>
    <r>
      <rPr>
        <sz val="10"/>
        <rFont val="Times New Roman"/>
        <family val="1"/>
      </rPr>
      <t>$6,590.00 to $8,128.00</t>
    </r>
  </si>
  <si>
    <r>
      <rPr>
        <sz val="10"/>
        <rFont val="Times New Roman"/>
        <family val="1"/>
      </rPr>
      <t>$8,128.01 to $9,885.00</t>
    </r>
  </si>
  <si>
    <r>
      <rPr>
        <sz val="10"/>
        <rFont val="Times New Roman"/>
        <family val="1"/>
      </rPr>
      <t>$9,885.01 to $13,180.00</t>
    </r>
  </si>
  <si>
    <r>
      <rPr>
        <sz val="10"/>
        <rFont val="Times New Roman"/>
        <family val="1"/>
      </rPr>
      <t>$7,263.00 to $8,958.00</t>
    </r>
  </si>
  <si>
    <r>
      <rPr>
        <sz val="10"/>
        <rFont val="Times New Roman"/>
        <family val="1"/>
      </rPr>
      <t>$8,958.01 to $10,894.00</t>
    </r>
  </si>
  <si>
    <r>
      <rPr>
        <sz val="10"/>
        <rFont val="Times New Roman"/>
        <family val="1"/>
      </rPr>
      <t>$10,894.01 to $14,525.00</t>
    </r>
  </si>
  <si>
    <r>
      <rPr>
        <sz val="10"/>
        <rFont val="Times New Roman"/>
        <family val="1"/>
      </rPr>
      <t>$7,935.00 to $9,787.00</t>
    </r>
  </si>
  <si>
    <r>
      <rPr>
        <sz val="10"/>
        <rFont val="Times New Roman"/>
        <family val="1"/>
      </rPr>
      <t>$9,787.01 to $11,903.00</t>
    </r>
  </si>
  <si>
    <r>
      <rPr>
        <sz val="10"/>
        <rFont val="Times New Roman"/>
        <family val="1"/>
      </rPr>
      <t>$11,903.01 to $15,870.00</t>
    </r>
  </si>
  <si>
    <r>
      <rPr>
        <sz val="10"/>
        <rFont val="Times New Roman"/>
        <family val="1"/>
      </rPr>
      <t>$8,608.00 to $10,616.00</t>
    </r>
  </si>
  <si>
    <r>
      <rPr>
        <sz val="10"/>
        <rFont val="Times New Roman"/>
        <family val="1"/>
      </rPr>
      <t>$10,616.01 to $12,912.00</t>
    </r>
  </si>
  <si>
    <r>
      <rPr>
        <sz val="10"/>
        <rFont val="Times New Roman"/>
        <family val="1"/>
      </rPr>
      <t>$12,912.01 to $17,215.00</t>
    </r>
  </si>
  <si>
    <r>
      <rPr>
        <sz val="10"/>
        <rFont val="Times New Roman"/>
        <family val="1"/>
      </rPr>
      <t>$9,280.00 to $11,446.00</t>
    </r>
  </si>
  <si>
    <r>
      <rPr>
        <sz val="10"/>
        <rFont val="Times New Roman"/>
        <family val="1"/>
      </rPr>
      <t>$11,446.01 to $13,920.00</t>
    </r>
  </si>
  <si>
    <r>
      <rPr>
        <sz val="10"/>
        <rFont val="Times New Roman"/>
        <family val="1"/>
      </rPr>
      <t>$13,920.01 to $18,560.00</t>
    </r>
  </si>
  <si>
    <r>
      <rPr>
        <sz val="10"/>
        <rFont val="Times New Roman"/>
        <family val="1"/>
      </rPr>
      <t>Premium information for family sizes of 13+ is available upon request.</t>
    </r>
  </si>
  <si>
    <r>
      <rPr>
        <sz val="12"/>
        <rFont val="Times New Roman"/>
        <family val="1"/>
      </rPr>
      <t>Appendix E (04-24)</t>
    </r>
  </si>
  <si>
    <t>Min Monthly Income</t>
  </si>
  <si>
    <t>Max Monthly Income</t>
  </si>
  <si>
    <t>$1,883.00</t>
  </si>
  <si>
    <t>$2,322.01</t>
  </si>
  <si>
    <t>$2,824.01</t>
  </si>
  <si>
    <t>$2,555.00</t>
  </si>
  <si>
    <t>$3,152.01</t>
  </si>
  <si>
    <t>$3,833.01</t>
  </si>
  <si>
    <t>$3,228.00</t>
  </si>
  <si>
    <t>$3,981.01</t>
  </si>
  <si>
    <t>$4,842.01</t>
  </si>
  <si>
    <t>$3,900.00</t>
  </si>
  <si>
    <t>$4,810.01</t>
  </si>
  <si>
    <t>$5,850.01</t>
  </si>
  <si>
    <t>$4,573.00</t>
  </si>
  <si>
    <t>$5,640.01</t>
  </si>
  <si>
    <t>$6,859.01</t>
  </si>
  <si>
    <t>$5,245.00</t>
  </si>
  <si>
    <t>$6,469.01</t>
  </si>
  <si>
    <t>$7,868.01</t>
  </si>
  <si>
    <t>$5,918.00</t>
  </si>
  <si>
    <t>$7,299.01</t>
  </si>
  <si>
    <t>$8,877.01</t>
  </si>
  <si>
    <t>$6,590.00</t>
  </si>
  <si>
    <t>$8,128.01</t>
  </si>
  <si>
    <t>$9,885.01</t>
  </si>
  <si>
    <t>$7,263.00</t>
  </si>
  <si>
    <t>$8,958.01</t>
  </si>
  <si>
    <t>$10,894.01</t>
  </si>
  <si>
    <t>$7,935.00</t>
  </si>
  <si>
    <t>$9,787.01</t>
  </si>
  <si>
    <t>$11,903.01</t>
  </si>
  <si>
    <t>$8,608.00</t>
  </si>
  <si>
    <t>$10,616.01</t>
  </si>
  <si>
    <t>$12,912.01</t>
  </si>
  <si>
    <t>$9,280.00</t>
  </si>
  <si>
    <t>$11,446.01</t>
  </si>
  <si>
    <t>$13,920.01</t>
  </si>
  <si>
    <t>$2,322.00</t>
  </si>
  <si>
    <t>$2,824.00</t>
  </si>
  <si>
    <t>$3,765.00</t>
  </si>
  <si>
    <t>$3,152.00</t>
  </si>
  <si>
    <t>$3,833.00</t>
  </si>
  <si>
    <t>$5,110.00</t>
  </si>
  <si>
    <t>$3,981.00</t>
  </si>
  <si>
    <t>$4,842.00</t>
  </si>
  <si>
    <t>$6,455.00</t>
  </si>
  <si>
    <t>$4,810.00</t>
  </si>
  <si>
    <t>$5,850.00</t>
  </si>
  <si>
    <t>$7,800.00</t>
  </si>
  <si>
    <t>$5,640.00</t>
  </si>
  <si>
    <t>$6,859.00</t>
  </si>
  <si>
    <t>$9,145.00</t>
  </si>
  <si>
    <t>$6,469.00</t>
  </si>
  <si>
    <t>$7,868.00</t>
  </si>
  <si>
    <t>$10,490.00</t>
  </si>
  <si>
    <t>$7,299.00</t>
  </si>
  <si>
    <t>$8,877.00</t>
  </si>
  <si>
    <t>$11,835.00</t>
  </si>
  <si>
    <t>$8,128.00</t>
  </si>
  <si>
    <t>$9,885.00</t>
  </si>
  <si>
    <t>$13,180.00</t>
  </si>
  <si>
    <t>$8,958.00</t>
  </si>
  <si>
    <t>$10,894.00</t>
  </si>
  <si>
    <t>$14,525.00</t>
  </si>
  <si>
    <t>$9,787.00</t>
  </si>
  <si>
    <t>$11,903.00</t>
  </si>
  <si>
    <t>$15,870.00</t>
  </si>
  <si>
    <t>$10,616.00</t>
  </si>
  <si>
    <t>$12,912.00</t>
  </si>
  <si>
    <t>$17,215.00</t>
  </si>
  <si>
    <t>$11,446.00</t>
  </si>
  <si>
    <t>$13,920.00</t>
  </si>
  <si>
    <t>$18,560.00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</si>
</sst>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sz val="9"/>
      <color rgb="FF000000"/>
      <name val="Arial"/>
      <family val="2"/>
    </font>
    <font>
      <sz val="12"/>
      <name val="Times New Roman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 indent="16"/>
    </xf>
    <xf numFmtId="0" fontId="1" fillId="0" borderId="3" xfId="0" applyFont="1" applyBorder="1" applyAlignment="1">
      <alignment horizontal="left" vertical="top" wrapText="1" indent="16"/>
    </xf>
    <xf numFmtId="0" fontId="1" fillId="0" borderId="4" xfId="0" applyFont="1" applyBorder="1" applyAlignment="1">
      <alignment horizontal="left" vertical="top" wrapText="1" indent="16"/>
    </xf>
    <xf numFmtId="0" fontId="3" fillId="0" borderId="2" xfId="0" applyFont="1" applyBorder="1" applyAlignment="1">
      <alignment horizontal="left" vertical="top" wrapText="1" indent="13"/>
    </xf>
    <xf numFmtId="0" fontId="3" fillId="0" borderId="3" xfId="0" applyFont="1" applyBorder="1" applyAlignment="1">
      <alignment horizontal="left" vertical="top" wrapText="1" indent="13"/>
    </xf>
    <xf numFmtId="0" fontId="3" fillId="0" borderId="4" xfId="0" applyFont="1" applyBorder="1" applyAlignment="1">
      <alignment horizontal="left" vertical="top" wrapText="1" indent="13"/>
    </xf>
    <xf numFmtId="0" fontId="6" fillId="0" borderId="1" xfId="0" applyFont="1" applyBorder="1" applyAlignment="1">
      <alignment horizontal="center" vertical="top" wrapText="1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="60" zoomScaleNormal="60" workbookViewId="0">
      <selection sqref="A1:D1"/>
    </sheetView>
  </sheetViews>
  <sheetFormatPr defaultRowHeight="13" x14ac:dyDescent="0.3"/>
  <cols>
    <col min="1" max="1" width="20.8984375" customWidth="1"/>
    <col min="2" max="2" width="25.796875" customWidth="1"/>
    <col min="3" max="3" width="33.59765625" customWidth="1"/>
    <col min="4" max="4" width="30.69921875" customWidth="1"/>
  </cols>
  <sheetData>
    <row r="1" spans="1:4" ht="55" customHeight="1" x14ac:dyDescent="0.3">
      <c r="A1" s="7" t="s">
        <v>0</v>
      </c>
      <c r="B1" s="8"/>
      <c r="C1" s="8"/>
      <c r="D1" s="9"/>
    </row>
    <row r="2" spans="1:4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 x14ac:dyDescent="0.3">
      <c r="A3" s="2">
        <v>1</v>
      </c>
      <c r="B3" s="3" t="s">
        <v>5</v>
      </c>
      <c r="C3" s="3" t="s">
        <v>6</v>
      </c>
      <c r="D3" s="4">
        <v>15</v>
      </c>
    </row>
    <row r="4" spans="1:4" ht="13" customHeight="1" x14ac:dyDescent="0.3">
      <c r="A4" s="2">
        <v>1</v>
      </c>
      <c r="B4" s="3" t="s">
        <v>7</v>
      </c>
      <c r="C4" s="3" t="s">
        <v>8</v>
      </c>
      <c r="D4" s="4">
        <v>48</v>
      </c>
    </row>
    <row r="5" spans="1:4" ht="13" customHeight="1" x14ac:dyDescent="0.3">
      <c r="A5" s="2">
        <v>1</v>
      </c>
      <c r="B5" s="3" t="s">
        <v>9</v>
      </c>
      <c r="C5" s="3" t="s">
        <v>10</v>
      </c>
      <c r="D5" s="4">
        <v>117</v>
      </c>
    </row>
    <row r="6" spans="1:4" ht="13" customHeight="1" x14ac:dyDescent="0.3">
      <c r="A6" s="2">
        <v>2</v>
      </c>
      <c r="B6" s="3" t="s">
        <v>5</v>
      </c>
      <c r="C6" s="3" t="s">
        <v>11</v>
      </c>
      <c r="D6" s="4">
        <v>20</v>
      </c>
    </row>
    <row r="7" spans="1:4" ht="12" customHeight="1" x14ac:dyDescent="0.3">
      <c r="A7" s="2">
        <v>2</v>
      </c>
      <c r="B7" s="3" t="s">
        <v>7</v>
      </c>
      <c r="C7" s="3" t="s">
        <v>12</v>
      </c>
      <c r="D7" s="4">
        <v>65</v>
      </c>
    </row>
    <row r="8" spans="1:4" ht="13" customHeight="1" x14ac:dyDescent="0.3">
      <c r="A8" s="2">
        <v>2</v>
      </c>
      <c r="B8" s="3" t="s">
        <v>9</v>
      </c>
      <c r="C8" s="3" t="s">
        <v>13</v>
      </c>
      <c r="D8" s="4">
        <v>159</v>
      </c>
    </row>
    <row r="9" spans="1:4" ht="13" customHeight="1" x14ac:dyDescent="0.3">
      <c r="A9" s="2">
        <v>3</v>
      </c>
      <c r="B9" s="3" t="s">
        <v>5</v>
      </c>
      <c r="C9" s="3" t="s">
        <v>14</v>
      </c>
      <c r="D9" s="4">
        <v>25</v>
      </c>
    </row>
    <row r="10" spans="1:4" ht="12" customHeight="1" x14ac:dyDescent="0.3">
      <c r="A10" s="2">
        <v>3</v>
      </c>
      <c r="B10" s="3" t="s">
        <v>7</v>
      </c>
      <c r="C10" s="3" t="s">
        <v>15</v>
      </c>
      <c r="D10" s="4">
        <v>82</v>
      </c>
    </row>
    <row r="11" spans="1:4" ht="13" customHeight="1" x14ac:dyDescent="0.3">
      <c r="A11" s="2">
        <v>3</v>
      </c>
      <c r="B11" s="3" t="s">
        <v>9</v>
      </c>
      <c r="C11" s="3" t="s">
        <v>16</v>
      </c>
      <c r="D11" s="4">
        <v>200</v>
      </c>
    </row>
    <row r="12" spans="1:4" ht="13" customHeight="1" x14ac:dyDescent="0.3">
      <c r="A12" s="2">
        <v>4</v>
      </c>
      <c r="B12" s="3" t="s">
        <v>5</v>
      </c>
      <c r="C12" s="3" t="s">
        <v>17</v>
      </c>
      <c r="D12" s="4">
        <v>30</v>
      </c>
    </row>
    <row r="13" spans="1:4" ht="13" customHeight="1" x14ac:dyDescent="0.3">
      <c r="A13" s="2">
        <v>4</v>
      </c>
      <c r="B13" s="3" t="s">
        <v>7</v>
      </c>
      <c r="C13" s="3" t="s">
        <v>18</v>
      </c>
      <c r="D13" s="4">
        <v>99</v>
      </c>
    </row>
    <row r="14" spans="1:4" ht="13" customHeight="1" x14ac:dyDescent="0.3">
      <c r="A14" s="2">
        <v>4</v>
      </c>
      <c r="B14" s="3" t="s">
        <v>9</v>
      </c>
      <c r="C14" s="3" t="s">
        <v>19</v>
      </c>
      <c r="D14" s="4">
        <v>241</v>
      </c>
    </row>
    <row r="15" spans="1:4" ht="13" customHeight="1" x14ac:dyDescent="0.3">
      <c r="A15" s="2">
        <v>5</v>
      </c>
      <c r="B15" s="3" t="s">
        <v>5</v>
      </c>
      <c r="C15" s="3" t="s">
        <v>20</v>
      </c>
      <c r="D15" s="4">
        <v>35</v>
      </c>
    </row>
    <row r="16" spans="1:4" ht="13" customHeight="1" x14ac:dyDescent="0.3">
      <c r="A16" s="2">
        <v>5</v>
      </c>
      <c r="B16" s="3" t="s">
        <v>7</v>
      </c>
      <c r="C16" s="3" t="s">
        <v>21</v>
      </c>
      <c r="D16" s="4">
        <v>115</v>
      </c>
    </row>
    <row r="17" spans="1:4" ht="13" customHeight="1" x14ac:dyDescent="0.3">
      <c r="A17" s="2">
        <v>5</v>
      </c>
      <c r="B17" s="3" t="s">
        <v>9</v>
      </c>
      <c r="C17" s="3" t="s">
        <v>22</v>
      </c>
      <c r="D17" s="4">
        <v>283</v>
      </c>
    </row>
    <row r="18" spans="1:4" ht="13" customHeight="1" x14ac:dyDescent="0.3">
      <c r="A18" s="2">
        <v>6</v>
      </c>
      <c r="B18" s="3" t="s">
        <v>5</v>
      </c>
      <c r="C18" s="3" t="s">
        <v>23</v>
      </c>
      <c r="D18" s="4">
        <v>40</v>
      </c>
    </row>
    <row r="19" spans="1:4" ht="12" customHeight="1" x14ac:dyDescent="0.3">
      <c r="A19" s="2">
        <v>6</v>
      </c>
      <c r="B19" s="3" t="s">
        <v>7</v>
      </c>
      <c r="C19" s="3" t="s">
        <v>24</v>
      </c>
      <c r="D19" s="4">
        <v>132</v>
      </c>
    </row>
    <row r="20" spans="1:4" ht="13" customHeight="1" x14ac:dyDescent="0.3">
      <c r="A20" s="2">
        <v>6</v>
      </c>
      <c r="B20" s="3" t="s">
        <v>9</v>
      </c>
      <c r="C20" s="3" t="s">
        <v>25</v>
      </c>
      <c r="D20" s="4">
        <v>324</v>
      </c>
    </row>
    <row r="21" spans="1:4" ht="13" customHeight="1" x14ac:dyDescent="0.3">
      <c r="A21" s="2">
        <v>7</v>
      </c>
      <c r="B21" s="3" t="s">
        <v>5</v>
      </c>
      <c r="C21" s="3" t="s">
        <v>26</v>
      </c>
      <c r="D21" s="4">
        <v>46</v>
      </c>
    </row>
    <row r="22" spans="1:4" ht="13" customHeight="1" x14ac:dyDescent="0.3">
      <c r="A22" s="2">
        <v>7</v>
      </c>
      <c r="B22" s="3" t="s">
        <v>7</v>
      </c>
      <c r="C22" s="3" t="s">
        <v>27</v>
      </c>
      <c r="D22" s="4">
        <v>150</v>
      </c>
    </row>
    <row r="23" spans="1:4" ht="13" customHeight="1" x14ac:dyDescent="0.3">
      <c r="A23" s="2">
        <v>7</v>
      </c>
      <c r="B23" s="3" t="s">
        <v>9</v>
      </c>
      <c r="C23" s="3" t="s">
        <v>28</v>
      </c>
      <c r="D23" s="4">
        <v>366</v>
      </c>
    </row>
    <row r="24" spans="1:4" ht="13" customHeight="1" x14ac:dyDescent="0.3">
      <c r="A24" s="2">
        <v>8</v>
      </c>
      <c r="B24" s="3" t="s">
        <v>5</v>
      </c>
      <c r="C24" s="3" t="s">
        <v>29</v>
      </c>
      <c r="D24" s="4">
        <v>51</v>
      </c>
    </row>
    <row r="25" spans="1:4" ht="12" customHeight="1" x14ac:dyDescent="0.3">
      <c r="A25" s="2">
        <v>8</v>
      </c>
      <c r="B25" s="3" t="s">
        <v>7</v>
      </c>
      <c r="C25" s="3" t="s">
        <v>30</v>
      </c>
      <c r="D25" s="4">
        <v>167</v>
      </c>
    </row>
    <row r="26" spans="1:4" ht="13" customHeight="1" x14ac:dyDescent="0.3">
      <c r="A26" s="2">
        <v>8</v>
      </c>
      <c r="B26" s="3" t="s">
        <v>9</v>
      </c>
      <c r="C26" s="3" t="s">
        <v>31</v>
      </c>
      <c r="D26" s="4">
        <v>407</v>
      </c>
    </row>
    <row r="27" spans="1:4" ht="13" customHeight="1" x14ac:dyDescent="0.3">
      <c r="A27" s="2">
        <v>9</v>
      </c>
      <c r="B27" s="3" t="s">
        <v>5</v>
      </c>
      <c r="C27" s="3" t="s">
        <v>32</v>
      </c>
      <c r="D27" s="4">
        <v>56</v>
      </c>
    </row>
    <row r="28" spans="1:4" ht="12" customHeight="1" x14ac:dyDescent="0.3">
      <c r="A28" s="2">
        <v>9</v>
      </c>
      <c r="B28" s="3" t="s">
        <v>7</v>
      </c>
      <c r="C28" s="3" t="s">
        <v>33</v>
      </c>
      <c r="D28" s="4">
        <v>184</v>
      </c>
    </row>
    <row r="29" spans="1:4" ht="13" customHeight="1" x14ac:dyDescent="0.3">
      <c r="A29" s="2">
        <v>9</v>
      </c>
      <c r="B29" s="3" t="s">
        <v>9</v>
      </c>
      <c r="C29" s="3" t="s">
        <v>34</v>
      </c>
      <c r="D29" s="4">
        <v>449</v>
      </c>
    </row>
    <row r="30" spans="1:4" ht="13" customHeight="1" x14ac:dyDescent="0.3">
      <c r="A30" s="2">
        <v>10</v>
      </c>
      <c r="B30" s="3" t="s">
        <v>5</v>
      </c>
      <c r="C30" s="3" t="s">
        <v>35</v>
      </c>
      <c r="D30" s="4">
        <v>61</v>
      </c>
    </row>
    <row r="31" spans="1:4" ht="12" customHeight="1" x14ac:dyDescent="0.3">
      <c r="A31" s="2">
        <v>10</v>
      </c>
      <c r="B31" s="3" t="s">
        <v>7</v>
      </c>
      <c r="C31" s="3" t="s">
        <v>36</v>
      </c>
      <c r="D31" s="4">
        <v>200</v>
      </c>
    </row>
    <row r="32" spans="1:4" ht="13" customHeight="1" x14ac:dyDescent="0.3">
      <c r="A32" s="2">
        <v>10</v>
      </c>
      <c r="B32" s="3" t="s">
        <v>9</v>
      </c>
      <c r="C32" s="3" t="s">
        <v>37</v>
      </c>
      <c r="D32" s="4">
        <v>490</v>
      </c>
    </row>
    <row r="33" spans="1:4" ht="13" customHeight="1" x14ac:dyDescent="0.3">
      <c r="A33" s="2">
        <v>11</v>
      </c>
      <c r="B33" s="3" t="s">
        <v>5</v>
      </c>
      <c r="C33" s="3" t="s">
        <v>38</v>
      </c>
      <c r="D33" s="5">
        <v>66</v>
      </c>
    </row>
    <row r="34" spans="1:4" ht="12" customHeight="1" x14ac:dyDescent="0.3">
      <c r="A34" s="2">
        <v>11</v>
      </c>
      <c r="B34" s="3" t="s">
        <v>7</v>
      </c>
      <c r="C34" s="3" t="s">
        <v>39</v>
      </c>
      <c r="D34" s="5">
        <v>217</v>
      </c>
    </row>
    <row r="35" spans="1:4" ht="13" customHeight="1" x14ac:dyDescent="0.3">
      <c r="A35" s="2">
        <v>11</v>
      </c>
      <c r="B35" s="3" t="s">
        <v>9</v>
      </c>
      <c r="C35" s="3" t="s">
        <v>40</v>
      </c>
      <c r="D35" s="5">
        <v>532</v>
      </c>
    </row>
    <row r="36" spans="1:4" ht="13" customHeight="1" x14ac:dyDescent="0.3">
      <c r="A36" s="2">
        <v>12</v>
      </c>
      <c r="B36" s="3" t="s">
        <v>5</v>
      </c>
      <c r="C36" s="3" t="s">
        <v>41</v>
      </c>
      <c r="D36" s="5">
        <v>71</v>
      </c>
    </row>
    <row r="37" spans="1:4" ht="12" customHeight="1" x14ac:dyDescent="0.3">
      <c r="A37" s="2">
        <v>12</v>
      </c>
      <c r="B37" s="3" t="s">
        <v>7</v>
      </c>
      <c r="C37" s="3" t="s">
        <v>42</v>
      </c>
      <c r="D37" s="5">
        <v>235</v>
      </c>
    </row>
    <row r="38" spans="1:4" ht="13" customHeight="1" x14ac:dyDescent="0.3">
      <c r="A38" s="2">
        <v>12</v>
      </c>
      <c r="B38" s="3" t="s">
        <v>9</v>
      </c>
      <c r="C38" s="3" t="s">
        <v>43</v>
      </c>
      <c r="D38" s="5">
        <v>573</v>
      </c>
    </row>
    <row r="39" spans="1:4" ht="13" customHeight="1" x14ac:dyDescent="0.3">
      <c r="A39" s="10" t="s">
        <v>44</v>
      </c>
      <c r="B39" s="11"/>
      <c r="C39" s="11"/>
      <c r="D39" s="12"/>
    </row>
    <row r="40" spans="1:4" ht="16" customHeight="1" x14ac:dyDescent="0.3">
      <c r="A40" s="6" t="s">
        <v>45</v>
      </c>
    </row>
  </sheetData>
  <mergeCells count="2">
    <mergeCell ref="A1:D1"/>
    <mergeCell ref="A39:D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D309-E9A4-4C39-9641-21697BEA56CE}">
  <dimension ref="A1:M40"/>
  <sheetViews>
    <sheetView tabSelected="1" topLeftCell="C1" zoomScale="60" zoomScaleNormal="60" workbookViewId="0">
      <selection activeCell="M38" sqref="M3:M38"/>
    </sheetView>
  </sheetViews>
  <sheetFormatPr defaultRowHeight="13" x14ac:dyDescent="0.3"/>
  <cols>
    <col min="1" max="1" width="20.8984375" customWidth="1"/>
    <col min="2" max="2" width="25.796875" customWidth="1"/>
    <col min="3" max="4" width="33.59765625" customWidth="1"/>
    <col min="5" max="5" width="30.69921875" customWidth="1"/>
    <col min="7" max="7" width="11.09765625" customWidth="1"/>
    <col min="8" max="8" width="10.09765625" bestFit="1" customWidth="1"/>
  </cols>
  <sheetData>
    <row r="1" spans="1:13" ht="55" customHeight="1" x14ac:dyDescent="0.3">
      <c r="A1" s="7" t="s">
        <v>0</v>
      </c>
      <c r="B1" s="8"/>
      <c r="C1" s="8"/>
      <c r="D1" s="8"/>
      <c r="E1" s="9"/>
    </row>
    <row r="2" spans="1:13" ht="15" customHeight="1" x14ac:dyDescent="0.3">
      <c r="A2" s="1" t="s">
        <v>1</v>
      </c>
      <c r="B2" s="1" t="s">
        <v>2</v>
      </c>
      <c r="C2" s="13" t="s">
        <v>46</v>
      </c>
      <c r="D2" s="13" t="s">
        <v>47</v>
      </c>
      <c r="E2" s="1" t="s">
        <v>4</v>
      </c>
    </row>
    <row r="3" spans="1:13" ht="13" customHeight="1" x14ac:dyDescent="0.3">
      <c r="A3" s="2">
        <v>1</v>
      </c>
      <c r="B3" s="3" t="s">
        <v>5</v>
      </c>
      <c r="C3" s="14" t="s">
        <v>48</v>
      </c>
      <c r="D3" s="14" t="s">
        <v>84</v>
      </c>
      <c r="E3" s="4">
        <v>15</v>
      </c>
      <c r="G3" t="str">
        <f>LEFT(C3,9)</f>
        <v>$1,883.00</v>
      </c>
      <c r="H3" t="str">
        <f>RIGHT(D3,9)</f>
        <v>$2,322.00</v>
      </c>
      <c r="J3" t="s">
        <v>48</v>
      </c>
      <c r="K3" t="s">
        <v>84</v>
      </c>
      <c r="M3">
        <f>E3*12</f>
        <v>180</v>
      </c>
    </row>
    <row r="4" spans="1:13" ht="13" customHeight="1" x14ac:dyDescent="0.3">
      <c r="A4" s="2">
        <v>1</v>
      </c>
      <c r="B4" s="3" t="s">
        <v>7</v>
      </c>
      <c r="C4" s="14" t="s">
        <v>49</v>
      </c>
      <c r="D4" s="14" t="s">
        <v>85</v>
      </c>
      <c r="E4" s="4">
        <v>48</v>
      </c>
      <c r="G4" t="str">
        <f t="shared" ref="G4:G38" si="0">LEFT(C4,9)</f>
        <v>$2,322.01</v>
      </c>
      <c r="H4" t="str">
        <f t="shared" ref="H4:H30" si="1">RIGHT(D4,9)</f>
        <v>$2,824.00</v>
      </c>
      <c r="J4" t="s">
        <v>49</v>
      </c>
      <c r="K4" t="s">
        <v>85</v>
      </c>
      <c r="M4">
        <f t="shared" ref="M4:M38" si="2">E4*12</f>
        <v>576</v>
      </c>
    </row>
    <row r="5" spans="1:13" ht="13" customHeight="1" x14ac:dyDescent="0.3">
      <c r="A5" s="2">
        <v>1</v>
      </c>
      <c r="B5" s="3" t="s">
        <v>9</v>
      </c>
      <c r="C5" s="14" t="s">
        <v>50</v>
      </c>
      <c r="D5" s="14" t="s">
        <v>86</v>
      </c>
      <c r="E5" s="4">
        <v>117</v>
      </c>
      <c r="G5" t="str">
        <f t="shared" si="0"/>
        <v>$2,824.01</v>
      </c>
      <c r="H5" t="str">
        <f t="shared" si="1"/>
        <v>$3,765.00</v>
      </c>
      <c r="J5" t="s">
        <v>50</v>
      </c>
      <c r="K5" t="s">
        <v>86</v>
      </c>
      <c r="M5">
        <f t="shared" si="2"/>
        <v>1404</v>
      </c>
    </row>
    <row r="6" spans="1:13" ht="13" customHeight="1" x14ac:dyDescent="0.3">
      <c r="A6" s="2">
        <v>2</v>
      </c>
      <c r="B6" s="3" t="s">
        <v>5</v>
      </c>
      <c r="C6" s="14" t="s">
        <v>51</v>
      </c>
      <c r="D6" s="14" t="s">
        <v>87</v>
      </c>
      <c r="E6" s="4">
        <v>20</v>
      </c>
      <c r="G6" t="str">
        <f t="shared" si="0"/>
        <v>$2,555.00</v>
      </c>
      <c r="H6" t="str">
        <f t="shared" si="1"/>
        <v>$3,152.00</v>
      </c>
      <c r="J6" t="s">
        <v>51</v>
      </c>
      <c r="K6" t="s">
        <v>87</v>
      </c>
      <c r="M6">
        <f t="shared" si="2"/>
        <v>240</v>
      </c>
    </row>
    <row r="7" spans="1:13" ht="12" customHeight="1" x14ac:dyDescent="0.3">
      <c r="A7" s="2">
        <v>2</v>
      </c>
      <c r="B7" s="3" t="s">
        <v>7</v>
      </c>
      <c r="C7" s="14" t="s">
        <v>52</v>
      </c>
      <c r="D7" s="14" t="s">
        <v>88</v>
      </c>
      <c r="E7" s="4">
        <v>65</v>
      </c>
      <c r="G7" t="str">
        <f t="shared" si="0"/>
        <v>$3,152.01</v>
      </c>
      <c r="H7" t="str">
        <f t="shared" si="1"/>
        <v>$3,833.00</v>
      </c>
      <c r="J7" t="s">
        <v>52</v>
      </c>
      <c r="K7" t="s">
        <v>88</v>
      </c>
      <c r="M7">
        <f t="shared" si="2"/>
        <v>780</v>
      </c>
    </row>
    <row r="8" spans="1:13" ht="13" customHeight="1" x14ac:dyDescent="0.3">
      <c r="A8" s="2">
        <v>2</v>
      </c>
      <c r="B8" s="3" t="s">
        <v>9</v>
      </c>
      <c r="C8" s="14" t="s">
        <v>53</v>
      </c>
      <c r="D8" s="14" t="s">
        <v>89</v>
      </c>
      <c r="E8" s="4">
        <v>159</v>
      </c>
      <c r="G8" t="str">
        <f t="shared" si="0"/>
        <v>$3,833.01</v>
      </c>
      <c r="H8" t="str">
        <f t="shared" si="1"/>
        <v>$5,110.00</v>
      </c>
      <c r="J8" t="s">
        <v>53</v>
      </c>
      <c r="K8" t="s">
        <v>89</v>
      </c>
      <c r="M8">
        <f t="shared" si="2"/>
        <v>1908</v>
      </c>
    </row>
    <row r="9" spans="1:13" ht="13" customHeight="1" x14ac:dyDescent="0.3">
      <c r="A9" s="2">
        <v>3</v>
      </c>
      <c r="B9" s="3" t="s">
        <v>5</v>
      </c>
      <c r="C9" s="14" t="s">
        <v>54</v>
      </c>
      <c r="D9" s="14" t="s">
        <v>90</v>
      </c>
      <c r="E9" s="4">
        <v>25</v>
      </c>
      <c r="G9" t="str">
        <f t="shared" si="0"/>
        <v>$3,228.00</v>
      </c>
      <c r="H9" t="str">
        <f t="shared" si="1"/>
        <v>$3,981.00</v>
      </c>
      <c r="J9" t="s">
        <v>54</v>
      </c>
      <c r="K9" t="s">
        <v>90</v>
      </c>
      <c r="M9">
        <f t="shared" si="2"/>
        <v>300</v>
      </c>
    </row>
    <row r="10" spans="1:13" ht="12" customHeight="1" x14ac:dyDescent="0.3">
      <c r="A10" s="2">
        <v>3</v>
      </c>
      <c r="B10" s="3" t="s">
        <v>7</v>
      </c>
      <c r="C10" s="14" t="s">
        <v>55</v>
      </c>
      <c r="D10" s="14" t="s">
        <v>91</v>
      </c>
      <c r="E10" s="4">
        <v>82</v>
      </c>
      <c r="G10" t="str">
        <f t="shared" si="0"/>
        <v>$3,981.01</v>
      </c>
      <c r="H10" t="str">
        <f t="shared" si="1"/>
        <v>$4,842.00</v>
      </c>
      <c r="J10" t="s">
        <v>55</v>
      </c>
      <c r="K10" t="s">
        <v>91</v>
      </c>
      <c r="M10">
        <f t="shared" si="2"/>
        <v>984</v>
      </c>
    </row>
    <row r="11" spans="1:13" ht="13" customHeight="1" x14ac:dyDescent="0.3">
      <c r="A11" s="2">
        <v>3</v>
      </c>
      <c r="B11" s="3" t="s">
        <v>9</v>
      </c>
      <c r="C11" s="14" t="s">
        <v>56</v>
      </c>
      <c r="D11" s="14" t="s">
        <v>92</v>
      </c>
      <c r="E11" s="4">
        <v>200</v>
      </c>
      <c r="G11" t="str">
        <f t="shared" si="0"/>
        <v>$4,842.01</v>
      </c>
      <c r="H11" t="str">
        <f t="shared" si="1"/>
        <v>$6,455.00</v>
      </c>
      <c r="J11" t="s">
        <v>56</v>
      </c>
      <c r="K11" t="s">
        <v>92</v>
      </c>
      <c r="M11">
        <f t="shared" si="2"/>
        <v>2400</v>
      </c>
    </row>
    <row r="12" spans="1:13" ht="13" customHeight="1" x14ac:dyDescent="0.3">
      <c r="A12" s="2">
        <v>4</v>
      </c>
      <c r="B12" s="3" t="s">
        <v>5</v>
      </c>
      <c r="C12" s="14" t="s">
        <v>57</v>
      </c>
      <c r="D12" s="14" t="s">
        <v>93</v>
      </c>
      <c r="E12" s="4">
        <v>30</v>
      </c>
      <c r="G12" t="str">
        <f t="shared" si="0"/>
        <v>$3,900.00</v>
      </c>
      <c r="H12" t="str">
        <f t="shared" si="1"/>
        <v>$4,810.00</v>
      </c>
      <c r="J12" t="s">
        <v>57</v>
      </c>
      <c r="K12" t="s">
        <v>93</v>
      </c>
      <c r="M12">
        <f t="shared" si="2"/>
        <v>360</v>
      </c>
    </row>
    <row r="13" spans="1:13" ht="13" customHeight="1" x14ac:dyDescent="0.3">
      <c r="A13" s="2">
        <v>4</v>
      </c>
      <c r="B13" s="3" t="s">
        <v>7</v>
      </c>
      <c r="C13" s="14" t="s">
        <v>58</v>
      </c>
      <c r="D13" s="14" t="s">
        <v>94</v>
      </c>
      <c r="E13" s="4">
        <v>99</v>
      </c>
      <c r="G13" t="str">
        <f t="shared" si="0"/>
        <v>$4,810.01</v>
      </c>
      <c r="H13" t="str">
        <f t="shared" si="1"/>
        <v>$5,850.00</v>
      </c>
      <c r="J13" t="s">
        <v>58</v>
      </c>
      <c r="K13" t="s">
        <v>94</v>
      </c>
      <c r="M13">
        <f t="shared" si="2"/>
        <v>1188</v>
      </c>
    </row>
    <row r="14" spans="1:13" ht="13" customHeight="1" x14ac:dyDescent="0.3">
      <c r="A14" s="2">
        <v>4</v>
      </c>
      <c r="B14" s="3" t="s">
        <v>9</v>
      </c>
      <c r="C14" s="14" t="s">
        <v>59</v>
      </c>
      <c r="D14" s="14" t="s">
        <v>95</v>
      </c>
      <c r="E14" s="4">
        <v>241</v>
      </c>
      <c r="G14" t="str">
        <f t="shared" si="0"/>
        <v>$5,850.01</v>
      </c>
      <c r="H14" t="str">
        <f t="shared" si="1"/>
        <v>$7,800.00</v>
      </c>
      <c r="J14" t="s">
        <v>59</v>
      </c>
      <c r="K14" t="s">
        <v>95</v>
      </c>
      <c r="M14">
        <f t="shared" si="2"/>
        <v>2892</v>
      </c>
    </row>
    <row r="15" spans="1:13" ht="13" customHeight="1" x14ac:dyDescent="0.3">
      <c r="A15" s="2">
        <v>5</v>
      </c>
      <c r="B15" s="3" t="s">
        <v>5</v>
      </c>
      <c r="C15" s="14" t="s">
        <v>60</v>
      </c>
      <c r="D15" s="14" t="s">
        <v>96</v>
      </c>
      <c r="E15" s="4">
        <v>35</v>
      </c>
      <c r="G15" t="str">
        <f t="shared" si="0"/>
        <v>$4,573.00</v>
      </c>
      <c r="H15" t="str">
        <f t="shared" si="1"/>
        <v>$5,640.00</v>
      </c>
      <c r="J15" t="s">
        <v>60</v>
      </c>
      <c r="K15" t="s">
        <v>96</v>
      </c>
      <c r="M15">
        <f t="shared" si="2"/>
        <v>420</v>
      </c>
    </row>
    <row r="16" spans="1:13" ht="13" customHeight="1" x14ac:dyDescent="0.3">
      <c r="A16" s="2">
        <v>5</v>
      </c>
      <c r="B16" s="3" t="s">
        <v>7</v>
      </c>
      <c r="C16" s="14" t="s">
        <v>61</v>
      </c>
      <c r="D16" s="14" t="s">
        <v>97</v>
      </c>
      <c r="E16" s="4">
        <v>115</v>
      </c>
      <c r="G16" t="str">
        <f t="shared" si="0"/>
        <v>$5,640.01</v>
      </c>
      <c r="H16" t="str">
        <f t="shared" si="1"/>
        <v>$6,859.00</v>
      </c>
      <c r="J16" t="s">
        <v>61</v>
      </c>
      <c r="K16" t="s">
        <v>97</v>
      </c>
      <c r="M16">
        <f t="shared" si="2"/>
        <v>1380</v>
      </c>
    </row>
    <row r="17" spans="1:13" ht="13" customHeight="1" x14ac:dyDescent="0.3">
      <c r="A17" s="2">
        <v>5</v>
      </c>
      <c r="B17" s="3" t="s">
        <v>9</v>
      </c>
      <c r="C17" s="14" t="s">
        <v>62</v>
      </c>
      <c r="D17" s="14" t="s">
        <v>98</v>
      </c>
      <c r="E17" s="4">
        <v>283</v>
      </c>
      <c r="G17" t="str">
        <f t="shared" si="0"/>
        <v>$6,859.01</v>
      </c>
      <c r="H17" t="str">
        <f t="shared" si="1"/>
        <v>$9,145.00</v>
      </c>
      <c r="J17" t="s">
        <v>62</v>
      </c>
      <c r="K17" t="s">
        <v>98</v>
      </c>
      <c r="M17">
        <f t="shared" si="2"/>
        <v>3396</v>
      </c>
    </row>
    <row r="18" spans="1:13" ht="13" customHeight="1" x14ac:dyDescent="0.3">
      <c r="A18" s="2">
        <v>6</v>
      </c>
      <c r="B18" s="3" t="s">
        <v>5</v>
      </c>
      <c r="C18" s="14" t="s">
        <v>63</v>
      </c>
      <c r="D18" s="14" t="s">
        <v>99</v>
      </c>
      <c r="E18" s="4">
        <v>40</v>
      </c>
      <c r="G18" t="str">
        <f t="shared" si="0"/>
        <v>$5,245.00</v>
      </c>
      <c r="H18" t="str">
        <f t="shared" si="1"/>
        <v>$6,469.00</v>
      </c>
      <c r="J18" t="s">
        <v>63</v>
      </c>
      <c r="K18" t="s">
        <v>99</v>
      </c>
      <c r="M18">
        <f t="shared" si="2"/>
        <v>480</v>
      </c>
    </row>
    <row r="19" spans="1:13" ht="12" customHeight="1" x14ac:dyDescent="0.3">
      <c r="A19" s="2">
        <v>6</v>
      </c>
      <c r="B19" s="3" t="s">
        <v>7</v>
      </c>
      <c r="C19" s="14" t="s">
        <v>64</v>
      </c>
      <c r="D19" s="14" t="s">
        <v>100</v>
      </c>
      <c r="E19" s="4">
        <v>132</v>
      </c>
      <c r="G19" t="str">
        <f t="shared" si="0"/>
        <v>$6,469.01</v>
      </c>
      <c r="H19" t="str">
        <f t="shared" si="1"/>
        <v>$7,868.00</v>
      </c>
      <c r="J19" t="s">
        <v>64</v>
      </c>
      <c r="K19" t="s">
        <v>100</v>
      </c>
      <c r="M19">
        <f t="shared" si="2"/>
        <v>1584</v>
      </c>
    </row>
    <row r="20" spans="1:13" ht="13" customHeight="1" x14ac:dyDescent="0.3">
      <c r="A20" s="2">
        <v>6</v>
      </c>
      <c r="B20" s="3" t="s">
        <v>9</v>
      </c>
      <c r="C20" s="14" t="s">
        <v>65</v>
      </c>
      <c r="D20" s="14" t="s">
        <v>101</v>
      </c>
      <c r="E20" s="4">
        <v>324</v>
      </c>
      <c r="G20" t="str">
        <f t="shared" si="0"/>
        <v>$7,868.01</v>
      </c>
      <c r="H20" t="str">
        <f>RIGHT(D20,10)</f>
        <v>$10,490.00</v>
      </c>
      <c r="J20" t="s">
        <v>65</v>
      </c>
      <c r="K20" t="s">
        <v>101</v>
      </c>
      <c r="M20">
        <f t="shared" si="2"/>
        <v>3888</v>
      </c>
    </row>
    <row r="21" spans="1:13" ht="13" customHeight="1" x14ac:dyDescent="0.3">
      <c r="A21" s="2">
        <v>7</v>
      </c>
      <c r="B21" s="3" t="s">
        <v>5</v>
      </c>
      <c r="C21" s="14" t="s">
        <v>66</v>
      </c>
      <c r="D21" s="14" t="s">
        <v>102</v>
      </c>
      <c r="E21" s="4">
        <v>46</v>
      </c>
      <c r="G21" t="str">
        <f t="shared" si="0"/>
        <v>$5,918.00</v>
      </c>
      <c r="H21" t="str">
        <f t="shared" si="1"/>
        <v>$7,299.00</v>
      </c>
      <c r="J21" t="s">
        <v>66</v>
      </c>
      <c r="K21" t="s">
        <v>102</v>
      </c>
      <c r="M21">
        <f t="shared" si="2"/>
        <v>552</v>
      </c>
    </row>
    <row r="22" spans="1:13" ht="13" customHeight="1" x14ac:dyDescent="0.3">
      <c r="A22" s="2">
        <v>7</v>
      </c>
      <c r="B22" s="3" t="s">
        <v>7</v>
      </c>
      <c r="C22" s="14" t="s">
        <v>67</v>
      </c>
      <c r="D22" s="14" t="s">
        <v>103</v>
      </c>
      <c r="E22" s="4">
        <v>150</v>
      </c>
      <c r="G22" t="str">
        <f t="shared" si="0"/>
        <v>$7,299.01</v>
      </c>
      <c r="H22" t="str">
        <f t="shared" si="1"/>
        <v>$8,877.00</v>
      </c>
      <c r="J22" t="s">
        <v>67</v>
      </c>
      <c r="K22" t="s">
        <v>103</v>
      </c>
      <c r="M22">
        <f t="shared" si="2"/>
        <v>1800</v>
      </c>
    </row>
    <row r="23" spans="1:13" ht="13" customHeight="1" x14ac:dyDescent="0.3">
      <c r="A23" s="2">
        <v>7</v>
      </c>
      <c r="B23" s="3" t="s">
        <v>9</v>
      </c>
      <c r="C23" s="14" t="s">
        <v>68</v>
      </c>
      <c r="D23" s="14" t="s">
        <v>104</v>
      </c>
      <c r="E23" s="4">
        <v>366</v>
      </c>
      <c r="G23" t="str">
        <f t="shared" si="0"/>
        <v>$8,877.01</v>
      </c>
      <c r="H23" t="str">
        <f>RIGHT(D23,10)</f>
        <v>$11,835.00</v>
      </c>
      <c r="J23" t="s">
        <v>68</v>
      </c>
      <c r="K23" t="s">
        <v>104</v>
      </c>
      <c r="M23">
        <f t="shared" si="2"/>
        <v>4392</v>
      </c>
    </row>
    <row r="24" spans="1:13" ht="13" customHeight="1" x14ac:dyDescent="0.3">
      <c r="A24" s="2">
        <v>8</v>
      </c>
      <c r="B24" s="3" t="s">
        <v>5</v>
      </c>
      <c r="C24" s="14" t="s">
        <v>69</v>
      </c>
      <c r="D24" s="14" t="s">
        <v>105</v>
      </c>
      <c r="E24" s="4">
        <v>51</v>
      </c>
      <c r="G24" t="str">
        <f t="shared" si="0"/>
        <v>$6,590.00</v>
      </c>
      <c r="H24" t="str">
        <f t="shared" si="1"/>
        <v>$8,128.00</v>
      </c>
      <c r="J24" t="s">
        <v>69</v>
      </c>
      <c r="K24" t="s">
        <v>105</v>
      </c>
      <c r="M24">
        <f t="shared" si="2"/>
        <v>612</v>
      </c>
    </row>
    <row r="25" spans="1:13" ht="12" customHeight="1" x14ac:dyDescent="0.3">
      <c r="A25" s="2">
        <v>8</v>
      </c>
      <c r="B25" s="3" t="s">
        <v>7</v>
      </c>
      <c r="C25" s="14" t="s">
        <v>70</v>
      </c>
      <c r="D25" s="14" t="s">
        <v>106</v>
      </c>
      <c r="E25" s="4">
        <v>167</v>
      </c>
      <c r="G25" t="str">
        <f t="shared" si="0"/>
        <v>$8,128.01</v>
      </c>
      <c r="H25" t="str">
        <f t="shared" si="1"/>
        <v>$9,885.00</v>
      </c>
      <c r="J25" t="s">
        <v>70</v>
      </c>
      <c r="K25" t="s">
        <v>106</v>
      </c>
      <c r="M25">
        <f t="shared" si="2"/>
        <v>2004</v>
      </c>
    </row>
    <row r="26" spans="1:13" ht="13" customHeight="1" x14ac:dyDescent="0.3">
      <c r="A26" s="2">
        <v>8</v>
      </c>
      <c r="B26" s="3" t="s">
        <v>9</v>
      </c>
      <c r="C26" s="14" t="s">
        <v>71</v>
      </c>
      <c r="D26" s="14" t="s">
        <v>107</v>
      </c>
      <c r="E26" s="4">
        <v>407</v>
      </c>
      <c r="G26" t="str">
        <f t="shared" si="0"/>
        <v>$9,885.01</v>
      </c>
      <c r="H26" t="str">
        <f>RIGHT(D26,10)</f>
        <v>$13,180.00</v>
      </c>
      <c r="J26" t="s">
        <v>71</v>
      </c>
      <c r="K26" t="s">
        <v>107</v>
      </c>
      <c r="M26">
        <f t="shared" si="2"/>
        <v>4884</v>
      </c>
    </row>
    <row r="27" spans="1:13" ht="13" customHeight="1" x14ac:dyDescent="0.3">
      <c r="A27" s="2">
        <v>9</v>
      </c>
      <c r="B27" s="3" t="s">
        <v>5</v>
      </c>
      <c r="C27" s="14" t="s">
        <v>72</v>
      </c>
      <c r="D27" s="14" t="s">
        <v>108</v>
      </c>
      <c r="E27" s="4">
        <v>56</v>
      </c>
      <c r="G27" t="str">
        <f t="shared" si="0"/>
        <v>$7,263.00</v>
      </c>
      <c r="H27" t="str">
        <f t="shared" si="1"/>
        <v>$8,958.00</v>
      </c>
      <c r="J27" t="s">
        <v>72</v>
      </c>
      <c r="K27" t="s">
        <v>108</v>
      </c>
      <c r="M27">
        <f t="shared" si="2"/>
        <v>672</v>
      </c>
    </row>
    <row r="28" spans="1:13" ht="12" customHeight="1" x14ac:dyDescent="0.3">
      <c r="A28" s="2">
        <v>9</v>
      </c>
      <c r="B28" s="3" t="s">
        <v>7</v>
      </c>
      <c r="C28" s="14" t="s">
        <v>73</v>
      </c>
      <c r="D28" s="14" t="s">
        <v>109</v>
      </c>
      <c r="E28" s="4">
        <v>184</v>
      </c>
      <c r="G28" t="str">
        <f t="shared" si="0"/>
        <v>$8,958.01</v>
      </c>
      <c r="H28" t="str">
        <f>RIGHT(D28,10)</f>
        <v>$10,894.00</v>
      </c>
      <c r="J28" t="s">
        <v>73</v>
      </c>
      <c r="K28" t="s">
        <v>109</v>
      </c>
      <c r="M28">
        <f t="shared" si="2"/>
        <v>2208</v>
      </c>
    </row>
    <row r="29" spans="1:13" ht="13" customHeight="1" x14ac:dyDescent="0.3">
      <c r="A29" s="2">
        <v>9</v>
      </c>
      <c r="B29" s="3" t="s">
        <v>9</v>
      </c>
      <c r="C29" s="14" t="s">
        <v>74</v>
      </c>
      <c r="D29" s="14" t="s">
        <v>110</v>
      </c>
      <c r="E29" s="4">
        <v>449</v>
      </c>
      <c r="G29" t="str">
        <f>LEFT(C29,10)</f>
        <v>$10,894.01</v>
      </c>
      <c r="H29" t="str">
        <f>RIGHT(D29,10)</f>
        <v>$14,525.00</v>
      </c>
      <c r="J29" t="s">
        <v>74</v>
      </c>
      <c r="K29" t="s">
        <v>110</v>
      </c>
      <c r="M29">
        <f t="shared" si="2"/>
        <v>5388</v>
      </c>
    </row>
    <row r="30" spans="1:13" ht="13" customHeight="1" x14ac:dyDescent="0.3">
      <c r="A30" s="2">
        <v>10</v>
      </c>
      <c r="B30" s="3" t="s">
        <v>5</v>
      </c>
      <c r="C30" s="14" t="s">
        <v>75</v>
      </c>
      <c r="D30" s="14" t="s">
        <v>111</v>
      </c>
      <c r="E30" s="4">
        <v>61</v>
      </c>
      <c r="G30" t="str">
        <f t="shared" si="0"/>
        <v>$7,935.00</v>
      </c>
      <c r="H30" t="str">
        <f t="shared" si="1"/>
        <v>$9,787.00</v>
      </c>
      <c r="J30" t="s">
        <v>75</v>
      </c>
      <c r="K30" t="s">
        <v>111</v>
      </c>
      <c r="M30">
        <f t="shared" si="2"/>
        <v>732</v>
      </c>
    </row>
    <row r="31" spans="1:13" ht="12" customHeight="1" x14ac:dyDescent="0.3">
      <c r="A31" s="2">
        <v>10</v>
      </c>
      <c r="B31" s="3" t="s">
        <v>7</v>
      </c>
      <c r="C31" s="14" t="s">
        <v>76</v>
      </c>
      <c r="D31" s="14" t="s">
        <v>112</v>
      </c>
      <c r="E31" s="4">
        <v>200</v>
      </c>
      <c r="G31" t="str">
        <f t="shared" si="0"/>
        <v>$9,787.01</v>
      </c>
      <c r="H31" t="str">
        <f>RIGHT(D31,10)</f>
        <v>$11,903.00</v>
      </c>
      <c r="J31" t="s">
        <v>76</v>
      </c>
      <c r="K31" t="s">
        <v>112</v>
      </c>
      <c r="M31">
        <f t="shared" si="2"/>
        <v>2400</v>
      </c>
    </row>
    <row r="32" spans="1:13" ht="13" customHeight="1" x14ac:dyDescent="0.3">
      <c r="A32" s="2">
        <v>10</v>
      </c>
      <c r="B32" s="3" t="s">
        <v>9</v>
      </c>
      <c r="C32" s="14" t="s">
        <v>77</v>
      </c>
      <c r="D32" s="14" t="s">
        <v>113</v>
      </c>
      <c r="E32" s="4">
        <v>490</v>
      </c>
      <c r="G32" t="str">
        <f>LEFT(C32,10)</f>
        <v>$11,903.01</v>
      </c>
      <c r="H32" t="str">
        <f>RIGHT(D32,10)</f>
        <v>$15,870.00</v>
      </c>
      <c r="J32" t="s">
        <v>77</v>
      </c>
      <c r="K32" t="s">
        <v>113</v>
      </c>
      <c r="M32">
        <f t="shared" si="2"/>
        <v>5880</v>
      </c>
    </row>
    <row r="33" spans="1:13" ht="13" customHeight="1" x14ac:dyDescent="0.3">
      <c r="A33" s="2">
        <v>11</v>
      </c>
      <c r="B33" s="3" t="s">
        <v>5</v>
      </c>
      <c r="C33" s="14" t="s">
        <v>78</v>
      </c>
      <c r="D33" s="14" t="s">
        <v>114</v>
      </c>
      <c r="E33" s="5">
        <v>66</v>
      </c>
      <c r="G33" t="str">
        <f t="shared" si="0"/>
        <v>$8,608.00</v>
      </c>
      <c r="H33" t="str">
        <f>RIGHT(D33,10)</f>
        <v>$10,616.00</v>
      </c>
      <c r="J33" t="s">
        <v>78</v>
      </c>
      <c r="K33" t="s">
        <v>114</v>
      </c>
      <c r="M33">
        <f t="shared" si="2"/>
        <v>792</v>
      </c>
    </row>
    <row r="34" spans="1:13" ht="12" customHeight="1" x14ac:dyDescent="0.3">
      <c r="A34" s="2">
        <v>11</v>
      </c>
      <c r="B34" s="3" t="s">
        <v>7</v>
      </c>
      <c r="C34" s="14" t="s">
        <v>79</v>
      </c>
      <c r="D34" s="14" t="s">
        <v>115</v>
      </c>
      <c r="E34" s="5">
        <v>217</v>
      </c>
      <c r="G34" t="str">
        <f>LEFT(C34,10)</f>
        <v>$10,616.01</v>
      </c>
      <c r="H34" t="str">
        <f t="shared" ref="H34:H38" si="3">RIGHT(D34,10)</f>
        <v>$12,912.00</v>
      </c>
      <c r="J34" t="s">
        <v>79</v>
      </c>
      <c r="K34" t="s">
        <v>115</v>
      </c>
      <c r="M34">
        <f t="shared" si="2"/>
        <v>2604</v>
      </c>
    </row>
    <row r="35" spans="1:13" ht="13" customHeight="1" x14ac:dyDescent="0.3">
      <c r="A35" s="2">
        <v>11</v>
      </c>
      <c r="B35" s="3" t="s">
        <v>9</v>
      </c>
      <c r="C35" s="14" t="s">
        <v>80</v>
      </c>
      <c r="D35" s="14" t="s">
        <v>116</v>
      </c>
      <c r="E35" s="5">
        <v>532</v>
      </c>
      <c r="G35" t="str">
        <f>LEFT(C35,10)</f>
        <v>$12,912.01</v>
      </c>
      <c r="H35" t="str">
        <f t="shared" si="3"/>
        <v>$17,215.00</v>
      </c>
      <c r="J35" t="s">
        <v>80</v>
      </c>
      <c r="K35" t="s">
        <v>116</v>
      </c>
      <c r="M35">
        <f t="shared" si="2"/>
        <v>6384</v>
      </c>
    </row>
    <row r="36" spans="1:13" ht="13" customHeight="1" x14ac:dyDescent="0.3">
      <c r="A36" s="2">
        <v>12</v>
      </c>
      <c r="B36" s="3" t="s">
        <v>5</v>
      </c>
      <c r="C36" s="14" t="s">
        <v>81</v>
      </c>
      <c r="D36" s="14" t="s">
        <v>117</v>
      </c>
      <c r="E36" s="5">
        <v>71</v>
      </c>
      <c r="G36" t="str">
        <f t="shared" si="0"/>
        <v>$9,280.00</v>
      </c>
      <c r="H36" t="str">
        <f t="shared" si="3"/>
        <v>$11,446.00</v>
      </c>
      <c r="J36" t="s">
        <v>81</v>
      </c>
      <c r="K36" t="s">
        <v>117</v>
      </c>
      <c r="M36">
        <f t="shared" si="2"/>
        <v>852</v>
      </c>
    </row>
    <row r="37" spans="1:13" ht="12" customHeight="1" x14ac:dyDescent="0.3">
      <c r="A37" s="2">
        <v>12</v>
      </c>
      <c r="B37" s="3" t="s">
        <v>7</v>
      </c>
      <c r="C37" s="14" t="s">
        <v>82</v>
      </c>
      <c r="D37" s="14" t="s">
        <v>118</v>
      </c>
      <c r="E37" s="5">
        <v>235</v>
      </c>
      <c r="G37" t="str">
        <f>LEFT(C37,10)</f>
        <v>$11,446.01</v>
      </c>
      <c r="H37" t="str">
        <f t="shared" si="3"/>
        <v>$13,920.00</v>
      </c>
      <c r="J37" t="s">
        <v>82</v>
      </c>
      <c r="K37" t="s">
        <v>118</v>
      </c>
      <c r="M37">
        <f t="shared" si="2"/>
        <v>2820</v>
      </c>
    </row>
    <row r="38" spans="1:13" ht="13" customHeight="1" x14ac:dyDescent="0.3">
      <c r="A38" s="2">
        <v>12</v>
      </c>
      <c r="B38" s="3" t="s">
        <v>9</v>
      </c>
      <c r="C38" s="14" t="s">
        <v>83</v>
      </c>
      <c r="D38" s="14" t="s">
        <v>119</v>
      </c>
      <c r="E38" s="5">
        <v>573</v>
      </c>
      <c r="G38" t="str">
        <f>LEFT(C38,10)</f>
        <v>$13,920.01</v>
      </c>
      <c r="H38" t="str">
        <f t="shared" si="3"/>
        <v>$18,560.00</v>
      </c>
      <c r="J38" t="s">
        <v>83</v>
      </c>
      <c r="K38" t="s">
        <v>119</v>
      </c>
      <c r="M38">
        <f t="shared" si="2"/>
        <v>6876</v>
      </c>
    </row>
    <row r="39" spans="1:13" ht="13" customHeight="1" x14ac:dyDescent="0.3">
      <c r="A39" s="10" t="s">
        <v>44</v>
      </c>
      <c r="B39" s="11"/>
      <c r="C39" s="11"/>
      <c r="D39" s="11"/>
      <c r="E39" s="12"/>
    </row>
    <row r="40" spans="1:13" ht="16" customHeight="1" x14ac:dyDescent="0.3">
      <c r="A40" s="6" t="s">
        <v>45</v>
      </c>
    </row>
  </sheetData>
  <mergeCells count="2">
    <mergeCell ref="A1:E1"/>
    <mergeCell ref="A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MENDONQ</dc:creator>
  <cp:lastModifiedBy>Raymond Packer</cp:lastModifiedBy>
  <dcterms:created xsi:type="dcterms:W3CDTF">2024-05-09T12:06:03Z</dcterms:created>
  <dcterms:modified xsi:type="dcterms:W3CDTF">2024-05-09T16:21:58Z</dcterms:modified>
</cp:coreProperties>
</file>